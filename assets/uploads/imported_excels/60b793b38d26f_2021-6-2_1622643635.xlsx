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0" yWindow="-60" windowWidth="13610" windowHeight="12340" tabRatio="581" firstSheet="3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E5" i="2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4"/>
  <c r="AO3"/>
  <c r="AL5"/>
  <c r="AL6" s="1"/>
  <c r="AL7" s="1"/>
  <c r="AL8" s="1"/>
  <c r="AL9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M3"/>
  <c r="AN3"/>
  <c r="AL3"/>
  <c r="F37" i="73"/>
  <c r="S43" i="74"/>
  <c r="R43"/>
  <c r="N43"/>
  <c r="O35" i="76"/>
  <c r="AT37" i="7"/>
  <c r="AU36"/>
  <c r="AS36"/>
  <c r="P33" i="3"/>
  <c r="K34"/>
  <c r="I36" i="5"/>
  <c r="G38" s="1"/>
  <c r="F37"/>
  <c r="F38"/>
  <c r="D38"/>
  <c r="AX7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7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Z35" s="1"/>
  <c r="AT7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M38"/>
  <c r="AJ38"/>
  <c r="AK37"/>
  <c r="AL36"/>
  <c r="AJ36"/>
  <c r="Z37"/>
  <c r="Y36"/>
  <c r="Q36"/>
  <c r="H36"/>
  <c r="F36"/>
  <c r="D36"/>
  <c r="C36"/>
  <c r="C37" s="1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I36" i="1"/>
  <c r="AM35"/>
  <c r="AL35"/>
  <c r="AH37"/>
  <c r="AH36"/>
  <c r="AH35"/>
  <c r="V35"/>
  <c r="E3" i="2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AN4" l="1"/>
  <c r="AO4" s="1"/>
  <c r="AM5"/>
  <c r="AM6" s="1"/>
  <c r="AM7" s="1"/>
  <c r="AM8" s="1"/>
  <c r="AM9" s="1"/>
  <c r="AM10" s="1"/>
  <c r="AM11" s="1"/>
  <c r="AM12" s="1"/>
  <c r="AM13" s="1"/>
  <c r="AM14" s="1"/>
  <c r="AM15" s="1"/>
  <c r="AM16" s="1"/>
  <c r="AM17" s="1"/>
  <c r="AM18" s="1"/>
  <c r="AM19" s="1"/>
  <c r="AM20" s="1"/>
  <c r="AM21" s="1"/>
  <c r="AM22" s="1"/>
  <c r="AM23" s="1"/>
  <c r="AM24" s="1"/>
  <c r="AM25" s="1"/>
  <c r="AM26" s="1"/>
  <c r="AM27" s="1"/>
  <c r="AM28" s="1"/>
  <c r="AM29" s="1"/>
  <c r="AM30" s="1"/>
  <c r="AM31" s="1"/>
  <c r="AM32" s="1"/>
  <c r="AM33" s="1"/>
  <c r="O37" i="5"/>
  <c r="I37"/>
  <c r="AN6" i="2" l="1"/>
  <c r="AO6" s="1"/>
  <c r="AN5"/>
  <c r="AO5" s="1"/>
  <c r="A19" i="76" l="1"/>
  <c r="C15" i="77"/>
  <c r="C16"/>
  <c r="C17"/>
  <c r="C18"/>
  <c r="C19"/>
  <c r="C14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6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2"/>
  <c r="X3" s="1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6" s="1"/>
  <c r="B7" i="7" l="1"/>
  <c r="B7" i="1"/>
  <c r="AS5" i="7"/>
  <c r="B8" i="1" l="1"/>
  <c r="B8" i="7"/>
  <c r="AY5"/>
  <c r="AX5"/>
  <c r="B9" i="1" l="1"/>
  <c r="B9" i="7"/>
  <c r="H5" i="2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5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5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B10" i="1" l="1"/>
  <c r="B10" i="7"/>
  <c r="AF32" i="1"/>
  <c r="AA32"/>
  <c r="Y32"/>
  <c r="AB32" s="1"/>
  <c r="R32"/>
  <c r="S32"/>
  <c r="T32" s="1"/>
  <c r="N32"/>
  <c r="L32"/>
  <c r="I32"/>
  <c r="G32"/>
  <c r="J32" s="1"/>
  <c r="D32"/>
  <c r="E32" s="1"/>
  <c r="B11" l="1"/>
  <c r="B11" i="7"/>
  <c r="V32" i="1"/>
  <c r="U32"/>
  <c r="B12" l="1"/>
  <c r="B12" i="7"/>
  <c r="AN19" i="2"/>
  <c r="B13" i="1" l="1"/>
  <c r="B13" i="7"/>
  <c r="A14" i="5"/>
  <c r="B14" i="1" l="1"/>
  <c r="B14" i="7"/>
  <c r="AN13" i="2"/>
  <c r="AO13" s="1"/>
  <c r="AN12"/>
  <c r="B15" i="1" l="1"/>
  <c r="B15" i="7"/>
  <c r="AN10" i="2"/>
  <c r="AN11"/>
  <c r="AO12" s="1"/>
  <c r="AN14"/>
  <c r="AO14" s="1"/>
  <c r="AN15"/>
  <c r="AN16"/>
  <c r="AN17"/>
  <c r="AN18"/>
  <c r="AN20"/>
  <c r="AO20" s="1"/>
  <c r="AN21"/>
  <c r="AN22"/>
  <c r="AN23"/>
  <c r="AN24"/>
  <c r="AN25"/>
  <c r="AN26"/>
  <c r="AN27"/>
  <c r="AN28"/>
  <c r="AN29"/>
  <c r="AN30"/>
  <c r="AN31"/>
  <c r="AN32"/>
  <c r="AN33"/>
  <c r="AO26" l="1"/>
  <c r="AO17"/>
  <c r="AO31"/>
  <c r="AO29"/>
  <c r="AO27"/>
  <c r="AO21"/>
  <c r="AO22"/>
  <c r="AO15"/>
  <c r="AO18"/>
  <c r="AO19"/>
  <c r="AO28"/>
  <c r="AO30"/>
  <c r="AO11"/>
  <c r="AO23"/>
  <c r="AO32"/>
  <c r="AO24"/>
  <c r="AO33"/>
  <c r="AO25"/>
  <c r="AO16"/>
  <c r="B16" i="1"/>
  <c r="B16" i="7"/>
  <c r="AN7" i="2"/>
  <c r="AO7" s="1"/>
  <c r="AN8"/>
  <c r="AN9"/>
  <c r="AO10" s="1"/>
  <c r="AT36" i="7"/>
  <c r="W16" i="76"/>
  <c r="W15"/>
  <c r="H7" i="82" l="1"/>
  <c r="AO8" i="2"/>
  <c r="AO9"/>
  <c r="B17" i="1"/>
  <c r="B17" i="7"/>
  <c r="H11" i="82"/>
  <c r="E6" i="3"/>
  <c r="B18" i="1" l="1"/>
  <c r="B18" i="7"/>
  <c r="H10" i="82"/>
  <c r="H9"/>
  <c r="H8"/>
  <c r="B19" i="1" l="1"/>
  <c r="B19" i="7"/>
  <c r="H12" i="82"/>
  <c r="H13"/>
  <c r="K5" i="73"/>
  <c r="G5"/>
  <c r="D5"/>
  <c r="B20" i="1" l="1"/>
  <c r="B20" i="7"/>
  <c r="H14" i="82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21" i="1" l="1"/>
  <c r="B21" i="7"/>
  <c r="H15" i="82"/>
  <c r="AC34" i="76"/>
  <c r="AB34" s="1"/>
  <c r="B22" i="1" l="1"/>
  <c r="B22" i="7"/>
  <c r="H16" i="82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B23" i="1" l="1"/>
  <c r="B23" i="7"/>
  <c r="H17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24" i="1" l="1"/>
  <c r="B24" i="7"/>
  <c r="H18" i="82"/>
  <c r="I35" i="79"/>
  <c r="K35" i="5"/>
  <c r="Q16" i="2"/>
  <c r="B25" i="1" l="1"/>
  <c r="B25" i="7"/>
  <c r="H19" i="82"/>
  <c r="Q21" i="2"/>
  <c r="B26" i="1" l="1"/>
  <c r="B26" i="7"/>
  <c r="H20" i="82"/>
  <c r="G15" i="73"/>
  <c r="B27" i="1" l="1"/>
  <c r="B27" i="7"/>
  <c r="H21" i="82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28" i="1" l="1"/>
  <c r="B28" i="7"/>
  <c r="K43" i="74"/>
  <c r="J43"/>
  <c r="H22" i="82"/>
  <c r="G43" i="74"/>
  <c r="F43"/>
  <c r="B29" i="1" l="1"/>
  <c r="B29" i="7"/>
  <c r="H23" i="82"/>
  <c r="W13" i="76"/>
  <c r="S3" i="3"/>
  <c r="B30" i="1" l="1"/>
  <c r="B30" i="7"/>
  <c r="H24" i="82"/>
  <c r="B31" i="1" l="1"/>
  <c r="B31" i="7"/>
  <c r="H25" i="82"/>
  <c r="B32" i="1" l="1"/>
  <c r="B32" i="7"/>
  <c r="H26" i="82"/>
  <c r="B33" i="1" l="1"/>
  <c r="B33" i="7"/>
  <c r="H27" i="82"/>
  <c r="B34" i="1" l="1"/>
  <c r="B35" i="7" s="1"/>
  <c r="B34"/>
  <c r="H28" i="82"/>
  <c r="H29" l="1"/>
  <c r="A33" i="2"/>
  <c r="B33" s="1"/>
  <c r="A32"/>
  <c r="B32" s="1"/>
  <c r="H30" i="82" l="1"/>
  <c r="D31" i="73"/>
  <c r="A25" i="3"/>
  <c r="H31" i="82" l="1"/>
  <c r="A23" i="3"/>
  <c r="A23" i="1"/>
  <c r="I7" i="77" l="1"/>
  <c r="L30" i="82" l="1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D18" i="77"/>
  <c r="AC33" i="1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D33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E33" i="76" l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W43" i="74" l="1"/>
  <c r="B14" i="77" s="1"/>
  <c r="V43" i="74"/>
  <c r="B15" i="77" s="1"/>
  <c r="AB14" i="74"/>
  <c r="AA14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D19" l="1"/>
  <c r="C26"/>
  <c r="I20"/>
  <c r="M18"/>
  <c r="E18"/>
  <c r="L18"/>
  <c r="K19"/>
  <c r="N19" s="1"/>
  <c r="C27" l="1"/>
  <c r="I21"/>
  <c r="M19"/>
  <c r="E19"/>
  <c r="G20"/>
  <c r="D20" s="1"/>
  <c r="K20"/>
  <c r="N20" s="1"/>
  <c r="L19"/>
  <c r="C28" l="1"/>
  <c r="M20"/>
  <c r="E20"/>
  <c r="L20"/>
  <c r="G21"/>
  <c r="D21" s="1"/>
  <c r="K21"/>
  <c r="N21" s="1"/>
  <c r="O5" i="79"/>
  <c r="N5"/>
  <c r="AA5" i="76"/>
  <c r="V16"/>
  <c r="V15"/>
  <c r="V14"/>
  <c r="V13"/>
  <c r="C29" l="1"/>
  <c r="M21"/>
  <c r="E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4" i="2"/>
  <c r="AB4"/>
  <c r="Z4"/>
  <c r="V4"/>
  <c r="T4"/>
  <c r="K4"/>
  <c r="G4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I4" i="2"/>
  <c r="G2" i="82" s="1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G5" i="2"/>
  <c r="H2" i="8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U4" i="3"/>
  <c r="M5" i="76"/>
  <c r="D5"/>
  <c r="E5" s="1"/>
  <c r="D10"/>
  <c r="E10" s="1"/>
  <c r="L11"/>
  <c r="D11"/>
  <c r="L12"/>
  <c r="D12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E11"/>
  <c r="M11"/>
  <c r="G13"/>
  <c r="E12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S7" i="76"/>
  <c r="C9" i="63"/>
  <c r="D9" s="1"/>
  <c r="C8"/>
  <c r="D8" s="1"/>
  <c r="R11" i="2"/>
  <c r="AI11" s="1"/>
  <c r="E9" i="81"/>
  <c r="E8"/>
  <c r="E3"/>
  <c r="C3" i="63"/>
  <c r="D3" s="1"/>
  <c r="R5" i="2"/>
  <c r="O24" i="81"/>
  <c r="L12" i="82"/>
  <c r="L4"/>
  <c r="O6" i="2"/>
  <c r="AL6" i="1"/>
  <c r="D7" i="75" s="1"/>
  <c r="E7" s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R4" i="2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J6" i="65" l="1"/>
  <c r="AI5" i="2"/>
  <c r="J5" i="65"/>
  <c r="AI4" i="2"/>
  <c r="J10" i="65"/>
  <c r="AI9" i="2"/>
  <c r="J8" i="65"/>
  <c r="AI7" i="2"/>
  <c r="I36" i="76"/>
  <c r="K36"/>
  <c r="AR35" i="7"/>
  <c r="X34"/>
  <c r="AR34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X35" s="1"/>
  <c r="D14" i="65"/>
  <c r="AQ34" i="7"/>
  <c r="AG13" i="2"/>
  <c r="AG6"/>
  <c r="H14" i="65"/>
  <c r="B4" i="63"/>
  <c r="AF14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D15" i="65" l="1"/>
  <c r="AG14" i="2"/>
  <c r="AF15"/>
  <c r="H16" i="65" s="1"/>
  <c r="B12" i="63"/>
  <c r="AY35" i="7"/>
  <c r="Q33" i="76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D16" i="65" l="1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D17" i="65" l="1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D18" i="65" l="1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D21" i="65" l="1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G10" i="81"/>
  <c r="AJ13" i="1"/>
  <c r="AK13" s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AS10" l="1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C30" i="3"/>
  <c r="C34" s="1"/>
  <c r="U33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D33" i="75" s="1"/>
  <c r="E33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K29" i="82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D31" i="65" l="1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4"/>
  <c r="BC35" s="1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39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l="1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l="1"/>
  <c r="AX36" i="7"/>
  <c r="F35" i="75"/>
  <c r="G35" s="1"/>
  <c r="AY33" i="7"/>
  <c r="AY36" s="1"/>
  <c r="C34" i="65"/>
  <c r="E34" s="1"/>
  <c r="AX41" i="7" l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3" l="1"/>
  <c r="O34" s="1"/>
  <c r="O32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9" l="1"/>
  <c r="P30" s="1"/>
  <c r="P31" s="1"/>
  <c r="P32" s="1"/>
  <c r="P28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F18" s="1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Q6" i="5" l="1"/>
  <c r="M2" i="81" s="1"/>
  <c r="M5" i="3"/>
  <c r="AA5" s="1"/>
  <c r="AC5" s="1"/>
  <c r="AH5" s="1"/>
  <c r="P7" i="5"/>
  <c r="C7"/>
  <c r="N7"/>
  <c r="D6"/>
  <c r="E6"/>
  <c r="I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B6" i="77" s="1"/>
  <c r="P35" i="5"/>
  <c r="E34"/>
  <c r="D34"/>
  <c r="I34"/>
  <c r="M29" i="81"/>
  <c r="N35" i="5"/>
  <c r="J33"/>
  <c r="L29" i="81" s="1"/>
  <c r="K29"/>
  <c r="Q34" i="5"/>
  <c r="M30" i="81" s="1"/>
  <c r="H38" i="5" l="1"/>
  <c r="G6" i="77"/>
  <c r="D6"/>
  <c r="E6" s="1"/>
  <c r="F6" s="1"/>
  <c r="E35" i="5"/>
  <c r="I35"/>
  <c r="D35"/>
  <c r="K30" i="81"/>
  <c r="J34" i="5"/>
  <c r="L30" i="81" s="1"/>
  <c r="Q35" i="5"/>
  <c r="M31" i="81" s="1"/>
  <c r="K38" i="5" l="1"/>
  <c r="K31" i="81"/>
  <c r="J35" i="5"/>
  <c r="L31" i="81" s="1"/>
  <c r="AC28" i="76" l="1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<sst xmlns="http://schemas.openxmlformats.org/spreadsheetml/2006/main" count="657" uniqueCount="420">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</sst>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4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6" xfId="0" applyBorder="1"/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79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9940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5713664"/>
        <c:axId val="176952448"/>
      </c:lineChart>
      <c:catAx>
        <c:axId val="17571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52448"/>
        <c:crosses val="autoZero"/>
        <c:auto val="1"/>
        <c:lblAlgn val="ctr"/>
        <c:lblOffset val="100"/>
      </c:catAx>
      <c:valAx>
        <c:axId val="176952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1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76997888"/>
        <c:axId val="176999424"/>
      </c:lineChart>
      <c:catAx>
        <c:axId val="17699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99424"/>
        <c:crosses val="autoZero"/>
        <c:auto val="1"/>
        <c:lblAlgn val="ctr"/>
        <c:lblOffset val="100"/>
      </c:catAx>
      <c:valAx>
        <c:axId val="17699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99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35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76036864"/>
        <c:axId val="176059136"/>
      </c:lineChart>
      <c:catAx>
        <c:axId val="17603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59136"/>
        <c:crosses val="autoZero"/>
        <c:auto val="1"/>
        <c:lblAlgn val="ctr"/>
        <c:lblOffset val="100"/>
      </c:catAx>
      <c:valAx>
        <c:axId val="1760591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3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377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76083712"/>
        <c:axId val="176085248"/>
      </c:lineChart>
      <c:catAx>
        <c:axId val="17608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85248"/>
        <c:crosses val="autoZero"/>
        <c:auto val="1"/>
        <c:lblAlgn val="ctr"/>
        <c:lblOffset val="100"/>
      </c:catAx>
      <c:valAx>
        <c:axId val="1760852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08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8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77215744"/>
        <c:axId val="177221632"/>
      </c:lineChart>
      <c:catAx>
        <c:axId val="17721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21632"/>
        <c:crosses val="autoZero"/>
        <c:auto val="1"/>
        <c:lblAlgn val="ctr"/>
        <c:lblOffset val="100"/>
      </c:catAx>
      <c:valAx>
        <c:axId val="1772216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21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41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77553792"/>
        <c:axId val="177555328"/>
      </c:lineChart>
      <c:catAx>
        <c:axId val="17755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55328"/>
        <c:crosses val="autoZero"/>
        <c:auto val="1"/>
        <c:lblAlgn val="ctr"/>
        <c:lblOffset val="100"/>
      </c:catAx>
      <c:valAx>
        <c:axId val="177555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77596288"/>
        <c:axId val="177597824"/>
      </c:lineChart>
      <c:catAx>
        <c:axId val="17759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97824"/>
        <c:crosses val="autoZero"/>
        <c:auto val="1"/>
        <c:lblAlgn val="ctr"/>
        <c:lblOffset val="100"/>
      </c:catAx>
      <c:valAx>
        <c:axId val="17759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9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77486848"/>
        <c:axId val="177505024"/>
      </c:lineChart>
      <c:catAx>
        <c:axId val="17748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05024"/>
        <c:crosses val="autoZero"/>
        <c:auto val="1"/>
        <c:lblAlgn val="ctr"/>
        <c:lblOffset val="100"/>
      </c:catAx>
      <c:valAx>
        <c:axId val="17750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8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77603328"/>
        <c:axId val="177604864"/>
      </c:lineChart>
      <c:catAx>
        <c:axId val="17760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04864"/>
        <c:crosses val="autoZero"/>
        <c:auto val="1"/>
        <c:lblAlgn val="ctr"/>
        <c:lblOffset val="100"/>
      </c:catAx>
      <c:valAx>
        <c:axId val="177604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0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8914"/>
          <c:w val="0.1272403315177464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77633536"/>
        <c:axId val="177643520"/>
      </c:lineChart>
      <c:catAx>
        <c:axId val="177633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43520"/>
        <c:crosses val="autoZero"/>
        <c:auto val="1"/>
        <c:lblAlgn val="ctr"/>
        <c:lblOffset val="100"/>
      </c:catAx>
      <c:valAx>
        <c:axId val="17764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33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77668480"/>
        <c:axId val="177670016"/>
      </c:lineChart>
      <c:catAx>
        <c:axId val="17766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70016"/>
        <c:crosses val="autoZero"/>
        <c:auto val="1"/>
        <c:lblAlgn val="ctr"/>
        <c:lblOffset val="100"/>
      </c:catAx>
      <c:valAx>
        <c:axId val="1776700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66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78227072"/>
        <c:axId val="178228608"/>
      </c:lineChart>
      <c:catAx>
        <c:axId val="17822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28608"/>
        <c:crosses val="autoZero"/>
        <c:auto val="1"/>
        <c:lblAlgn val="ctr"/>
        <c:lblOffset val="100"/>
      </c:catAx>
      <c:valAx>
        <c:axId val="178228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22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08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78348032"/>
        <c:axId val="178349568"/>
      </c:lineChart>
      <c:catAx>
        <c:axId val="178348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49568"/>
        <c:crosses val="autoZero"/>
        <c:auto val="1"/>
        <c:lblAlgn val="ctr"/>
        <c:lblOffset val="100"/>
      </c:catAx>
      <c:valAx>
        <c:axId val="1783495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48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8914"/>
          <c:w val="0.13541688538936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78378240"/>
        <c:axId val="178379776"/>
      </c:lineChart>
      <c:catAx>
        <c:axId val="17837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79776"/>
        <c:crosses val="autoZero"/>
        <c:auto val="1"/>
        <c:lblAlgn val="ctr"/>
        <c:lblOffset val="100"/>
      </c:catAx>
      <c:valAx>
        <c:axId val="178379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37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891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9940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78408832"/>
        <c:axId val="178410624"/>
      </c:lineChart>
      <c:catAx>
        <c:axId val="17840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10624"/>
        <c:crosses val="autoZero"/>
        <c:auto val="1"/>
        <c:lblAlgn val="ctr"/>
        <c:lblOffset val="100"/>
      </c:catAx>
      <c:valAx>
        <c:axId val="1784106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0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78439296"/>
        <c:axId val="178440832"/>
      </c:lineChart>
      <c:catAx>
        <c:axId val="1784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40832"/>
        <c:crosses val="autoZero"/>
        <c:auto val="1"/>
        <c:lblAlgn val="ctr"/>
        <c:lblOffset val="100"/>
      </c:catAx>
      <c:valAx>
        <c:axId val="17844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8914"/>
          <c:w val="0.135416885389360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78473600"/>
        <c:axId val="178479488"/>
      </c:lineChart>
      <c:catAx>
        <c:axId val="1784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79488"/>
        <c:crosses val="autoZero"/>
        <c:auto val="1"/>
        <c:lblAlgn val="ctr"/>
        <c:lblOffset val="100"/>
      </c:catAx>
      <c:valAx>
        <c:axId val="178479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15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-700</c:v>
                </c:pt>
                <c:pt idx="1">
                  <c:v>-3786.8387096774313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78528640"/>
        <c:axId val="178530176"/>
      </c:lineChart>
      <c:catAx>
        <c:axId val="17852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30176"/>
        <c:crosses val="autoZero"/>
        <c:auto val="1"/>
        <c:lblAlgn val="ctr"/>
        <c:lblOffset val="100"/>
      </c:catAx>
      <c:valAx>
        <c:axId val="178530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2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78559232"/>
        <c:axId val="178561024"/>
      </c:lineChart>
      <c:catAx>
        <c:axId val="17855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61024"/>
        <c:crosses val="autoZero"/>
        <c:auto val="1"/>
        <c:lblAlgn val="ctr"/>
        <c:lblOffset val="100"/>
      </c:catAx>
      <c:valAx>
        <c:axId val="17856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59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1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78663424"/>
        <c:axId val="178664960"/>
      </c:lineChart>
      <c:catAx>
        <c:axId val="17866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64960"/>
        <c:crosses val="autoZero"/>
        <c:auto val="1"/>
        <c:lblAlgn val="ctr"/>
        <c:lblOffset val="100"/>
      </c:catAx>
      <c:valAx>
        <c:axId val="178664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6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36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78681344"/>
        <c:axId val="178682880"/>
      </c:lineChart>
      <c:catAx>
        <c:axId val="17868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82880"/>
        <c:crosses val="autoZero"/>
        <c:auto val="1"/>
        <c:lblAlgn val="ctr"/>
        <c:lblOffset val="100"/>
      </c:catAx>
      <c:valAx>
        <c:axId val="178682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8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78727936"/>
        <c:axId val="178746112"/>
      </c:lineChart>
      <c:catAx>
        <c:axId val="17872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46112"/>
        <c:crosses val="autoZero"/>
        <c:auto val="1"/>
        <c:lblAlgn val="ctr"/>
        <c:lblOffset val="100"/>
      </c:catAx>
      <c:valAx>
        <c:axId val="17874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2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273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78778880"/>
        <c:axId val="178780416"/>
      </c:lineChart>
      <c:catAx>
        <c:axId val="17877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80416"/>
        <c:crosses val="autoZero"/>
        <c:auto val="1"/>
        <c:lblAlgn val="ctr"/>
        <c:lblOffset val="100"/>
      </c:catAx>
      <c:valAx>
        <c:axId val="17878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78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891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78604288"/>
        <c:axId val="178618368"/>
      </c:lineChart>
      <c:catAx>
        <c:axId val="17860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18368"/>
        <c:crosses val="autoZero"/>
        <c:auto val="1"/>
        <c:lblAlgn val="ctr"/>
        <c:lblOffset val="100"/>
      </c:catAx>
      <c:valAx>
        <c:axId val="178618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0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827"/>
          <c:w val="0.1234311819809351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78791552"/>
        <c:axId val="178793088"/>
      </c:lineChart>
      <c:catAx>
        <c:axId val="1787915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93088"/>
        <c:crosses val="autoZero"/>
        <c:auto val="1"/>
        <c:lblAlgn val="ctr"/>
        <c:lblOffset val="100"/>
      </c:catAx>
      <c:valAx>
        <c:axId val="1787930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91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919"/>
          <c:w val="0.1569039853282274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78809088"/>
        <c:axId val="178839552"/>
      </c:lineChart>
      <c:catAx>
        <c:axId val="17880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39552"/>
        <c:crosses val="autoZero"/>
        <c:auto val="1"/>
        <c:lblAlgn val="ctr"/>
        <c:lblOffset val="100"/>
      </c:catAx>
      <c:valAx>
        <c:axId val="1788395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80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78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78995584"/>
        <c:axId val="178997120"/>
      </c:lineChart>
      <c:catAx>
        <c:axId val="17899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997120"/>
        <c:crosses val="autoZero"/>
        <c:auto val="1"/>
        <c:lblAlgn val="ctr"/>
        <c:lblOffset val="100"/>
      </c:catAx>
      <c:valAx>
        <c:axId val="17899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99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68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79355008"/>
        <c:axId val="179364992"/>
      </c:lineChart>
      <c:catAx>
        <c:axId val="1793550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64992"/>
        <c:crosses val="autoZero"/>
        <c:auto val="1"/>
        <c:lblAlgn val="ctr"/>
        <c:lblOffset val="100"/>
      </c:catAx>
      <c:valAx>
        <c:axId val="1793649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5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91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</row>
      </sheetData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12342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L33">
            <v>333631</v>
          </cell>
          <cell r="AM33">
            <v>431020</v>
          </cell>
          <cell r="AN33">
            <v>764651</v>
          </cell>
          <cell r="AO33">
            <v>4709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32" sqref="F32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5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2" t="s">
        <v>401</v>
      </c>
      <c r="N1" s="493" t="s">
        <v>402</v>
      </c>
      <c r="O1" s="273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9940</v>
      </c>
      <c r="F2" s="329" t="e">
        <f>SUM('EDl log'!T4)</f>
        <v>#DIV/0!</v>
      </c>
      <c r="G2" s="203">
        <f>-tanks!AW6</f>
        <v>0</v>
      </c>
      <c r="H2" s="329">
        <f>SUM(tanks!AV6)</f>
        <v>1.0029999999999999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0">
        <f>SUM(WATER!J6)</f>
        <v>0</v>
      </c>
      <c r="M2" s="330">
        <f>WATER!Q6</f>
        <v>0</v>
      </c>
      <c r="N2" s="494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0</v>
      </c>
      <c r="F3" s="329">
        <f>SUM('EDl log'!T5)</f>
        <v>0</v>
      </c>
      <c r="G3" s="203">
        <f>-tanks!AW7</f>
        <v>0</v>
      </c>
      <c r="H3" s="329">
        <f>SUM(tanks!AV7)</f>
        <v>1.0029999999999999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0">
        <f>SUM(WATER!J7)</f>
        <v>0</v>
      </c>
      <c r="M3" s="330">
        <f>WATER!Q7</f>
        <v>0</v>
      </c>
      <c r="N3" s="494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0</v>
      </c>
      <c r="F4" s="329">
        <f>SUM('EDl log'!T6)</f>
        <v>0</v>
      </c>
      <c r="G4" s="203">
        <f>-tanks!AW8</f>
        <v>0</v>
      </c>
      <c r="H4" s="329">
        <f>SUM(tanks!AV8)</f>
        <v>1.0029999999999999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0">
        <f>SUM(WATER!J8)</f>
        <v>0</v>
      </c>
      <c r="M4" s="330">
        <f>WATER!Q8</f>
        <v>0</v>
      </c>
      <c r="N4" s="494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0</v>
      </c>
      <c r="F5" s="329">
        <f>SUM('EDl log'!T7)</f>
        <v>0</v>
      </c>
      <c r="G5" s="203">
        <f>-tanks!AW9</f>
        <v>0</v>
      </c>
      <c r="H5" s="329">
        <f>SUM(tanks!AV9)</f>
        <v>1.0029999999999999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0">
        <f>SUM(WATER!J9)</f>
        <v>0</v>
      </c>
      <c r="M5" s="330">
        <f>WATER!Q9</f>
        <v>0</v>
      </c>
      <c r="N5" s="494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0</v>
      </c>
      <c r="F6" s="329">
        <f>SUM('EDl log'!T8)</f>
        <v>0</v>
      </c>
      <c r="G6" s="203">
        <f>-tanks!AW10</f>
        <v>0</v>
      </c>
      <c r="H6" s="329">
        <f>SUM(tanks!AV10)</f>
        <v>1.0029999999999999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0">
        <f>SUM(WATER!J10)</f>
        <v>0</v>
      </c>
      <c r="M6" s="330">
        <f>WATER!Q10</f>
        <v>0</v>
      </c>
      <c r="N6" s="494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0</v>
      </c>
      <c r="F7" s="329">
        <f>SUM('EDl log'!T9)</f>
        <v>0</v>
      </c>
      <c r="G7" s="203">
        <f>-tanks!AW11</f>
        <v>0</v>
      </c>
      <c r="H7" s="329">
        <f>SUM(tanks!AV11)</f>
        <v>1.0029999999999999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0">
        <f>SUM(WATER!J11)</f>
        <v>0</v>
      </c>
      <c r="M7" s="330">
        <f>WATER!Q11</f>
        <v>0</v>
      </c>
      <c r="N7" s="494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0</v>
      </c>
      <c r="F8" s="329">
        <f>SUM('EDl log'!T10)</f>
        <v>0</v>
      </c>
      <c r="G8" s="203">
        <f>-tanks!AW12</f>
        <v>0</v>
      </c>
      <c r="H8" s="329">
        <f>SUM(tanks!AV12)</f>
        <v>1.0029999999999999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0">
        <f>SUM(WATER!J12)</f>
        <v>0</v>
      </c>
      <c r="M8" s="330">
        <f>WATER!Q12</f>
        <v>0</v>
      </c>
      <c r="N8" s="494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0</v>
      </c>
      <c r="F9" s="329">
        <f>SUM('EDl log'!T11)</f>
        <v>0</v>
      </c>
      <c r="G9" s="203">
        <f>-tanks!AW13</f>
        <v>0</v>
      </c>
      <c r="H9" s="329">
        <f>SUM(tanks!AV13)</f>
        <v>1.0029999999999999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0">
        <f>SUM(WATER!J13)</f>
        <v>0</v>
      </c>
      <c r="M9" s="330">
        <f>WATER!Q13</f>
        <v>0</v>
      </c>
      <c r="N9" s="494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0</v>
      </c>
      <c r="F10" s="329">
        <f>SUM('EDl log'!T12)</f>
        <v>0</v>
      </c>
      <c r="G10" s="203">
        <f>-tanks!AW14</f>
        <v>0</v>
      </c>
      <c r="H10" s="329">
        <f>SUM(tanks!AV14)</f>
        <v>1.0029999999999999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0">
        <f>SUM(WATER!J14)</f>
        <v>0</v>
      </c>
      <c r="M10" s="330">
        <f>WATER!Q14</f>
        <v>0</v>
      </c>
      <c r="N10" s="494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0</v>
      </c>
      <c r="F11" s="329">
        <f>SUM('EDl log'!T13)</f>
        <v>0</v>
      </c>
      <c r="G11" s="203">
        <f>-tanks!AW15</f>
        <v>0</v>
      </c>
      <c r="H11" s="329">
        <f>SUM(tanks!AV15)</f>
        <v>1.0029999999999999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0">
        <f>SUM(WATER!J15)</f>
        <v>0</v>
      </c>
      <c r="M11" s="330">
        <f>WATER!Q15</f>
        <v>0</v>
      </c>
      <c r="N11" s="494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0</v>
      </c>
      <c r="F12" s="329">
        <f>SUM('EDl log'!T14)</f>
        <v>0</v>
      </c>
      <c r="G12" s="203">
        <f>-tanks!AW16</f>
        <v>0</v>
      </c>
      <c r="H12" s="329">
        <f>SUM(tanks!AV16)</f>
        <v>1.0029999999999999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0">
        <f>SUM(WATER!J16)</f>
        <v>0</v>
      </c>
      <c r="M12" s="330">
        <f>WATER!Q16</f>
        <v>0</v>
      </c>
      <c r="N12" s="494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0</v>
      </c>
      <c r="F13" s="329">
        <f>SUM('EDl log'!T15)</f>
        <v>0</v>
      </c>
      <c r="G13" s="203">
        <f>-tanks!AW17</f>
        <v>0</v>
      </c>
      <c r="H13" s="329">
        <f>SUM(tanks!AV17)</f>
        <v>1.0029999999999999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0">
        <f>SUM(WATER!J17)</f>
        <v>0</v>
      </c>
      <c r="M13" s="330">
        <f>WATER!Q17</f>
        <v>0</v>
      </c>
      <c r="N13" s="494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0</v>
      </c>
      <c r="F14" s="329">
        <f>SUM('EDl log'!T16)</f>
        <v>0</v>
      </c>
      <c r="G14" s="203">
        <f>-tanks!AW18</f>
        <v>0</v>
      </c>
      <c r="H14" s="329">
        <f>SUM(tanks!AV18)</f>
        <v>1.0029999999999999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0">
        <f>SUM(WATER!J18)</f>
        <v>0</v>
      </c>
      <c r="M14" s="330">
        <f>WATER!Q18</f>
        <v>0</v>
      </c>
      <c r="N14" s="494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0</v>
      </c>
      <c r="F15" s="329">
        <f>SUM('EDl log'!T17)</f>
        <v>0</v>
      </c>
      <c r="G15" s="203">
        <f>-tanks!AW19</f>
        <v>0</v>
      </c>
      <c r="H15" s="329">
        <f>SUM(tanks!AV19)</f>
        <v>1.0029999999999999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0">
        <f>SUM(WATER!J19)</f>
        <v>0</v>
      </c>
      <c r="M15" s="330">
        <f>WATER!Q19</f>
        <v>0</v>
      </c>
      <c r="N15" s="494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0</v>
      </c>
      <c r="F16" s="329">
        <f>SUM('EDl log'!T18)</f>
        <v>0</v>
      </c>
      <c r="G16" s="203">
        <f>-tanks!AW20</f>
        <v>0</v>
      </c>
      <c r="H16" s="329">
        <f>SUM(tanks!AV20)</f>
        <v>1.0029999999999999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0">
        <f>SUM(WATER!J20)</f>
        <v>0</v>
      </c>
      <c r="M16" s="330">
        <f>WATER!Q20</f>
        <v>0</v>
      </c>
      <c r="N16" s="494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0</v>
      </c>
      <c r="F17" s="329">
        <f>SUM('EDl log'!T19)</f>
        <v>0</v>
      </c>
      <c r="G17" s="203">
        <f>-tanks!AW21</f>
        <v>0</v>
      </c>
      <c r="H17" s="329">
        <f>SUM(tanks!AV21)</f>
        <v>1.0029999999999999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0">
        <f>SUM(WATER!J21)</f>
        <v>0</v>
      </c>
      <c r="M17" s="330">
        <f>WATER!Q21</f>
        <v>0</v>
      </c>
      <c r="N17" s="494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0</v>
      </c>
      <c r="F18" s="329">
        <f>SUM('EDl log'!T20)</f>
        <v>0</v>
      </c>
      <c r="G18" s="203">
        <f>-tanks!AW22</f>
        <v>0</v>
      </c>
      <c r="H18" s="329">
        <f>SUM(tanks!AV22)</f>
        <v>1.0029999999999999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0">
        <f>SUM(WATER!J22)</f>
        <v>0</v>
      </c>
      <c r="M18" s="330">
        <f>WATER!Q22</f>
        <v>0</v>
      </c>
      <c r="N18" s="494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9">
        <f>SUM('EDl log'!T21)</f>
        <v>0</v>
      </c>
      <c r="G19" s="203">
        <f>-tanks!AW23</f>
        <v>0</v>
      </c>
      <c r="H19" s="329">
        <f>SUM(tanks!AV23)</f>
        <v>1.0029999999999999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0">
        <f>SUM(WATER!J23)</f>
        <v>0</v>
      </c>
      <c r="M19" s="330">
        <f>WATER!Q23</f>
        <v>0</v>
      </c>
      <c r="N19" s="494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9">
        <f>SUM('EDl log'!T22)</f>
        <v>0</v>
      </c>
      <c r="G20" s="203">
        <f>-tanks!AW24</f>
        <v>0</v>
      </c>
      <c r="H20" s="329">
        <f>SUM(tanks!AV24)</f>
        <v>1.0029999999999999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0">
        <f>SUM(WATER!J24)</f>
        <v>0</v>
      </c>
      <c r="M20" s="330">
        <f>WATER!Q24</f>
        <v>0</v>
      </c>
      <c r="N20" s="494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9">
        <f>SUM('EDl log'!T23)</f>
        <v>0</v>
      </c>
      <c r="G21" s="203">
        <f>-tanks!AW25</f>
        <v>0</v>
      </c>
      <c r="H21" s="329">
        <f>SUM(tanks!AV25)</f>
        <v>1.0029999999999999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0">
        <f>SUM(WATER!J25)</f>
        <v>0</v>
      </c>
      <c r="M21" s="330">
        <f>WATER!Q25</f>
        <v>0</v>
      </c>
      <c r="N21" s="494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9">
        <f>SUM('EDl log'!T24)</f>
        <v>0</v>
      </c>
      <c r="G22" s="203">
        <f>-tanks!AW26</f>
        <v>0</v>
      </c>
      <c r="H22" s="329">
        <f>SUM(tanks!AV26)</f>
        <v>1.0029999999999999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0">
        <f>SUM(WATER!J26)</f>
        <v>0</v>
      </c>
      <c r="M22" s="330">
        <f>WATER!Q26</f>
        <v>0</v>
      </c>
      <c r="N22" s="494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9">
        <f>SUM('EDl log'!T25)</f>
        <v>0</v>
      </c>
      <c r="G23" s="203">
        <f>-tanks!AW27</f>
        <v>0</v>
      </c>
      <c r="H23" s="329">
        <f>SUM(tanks!AV27)</f>
        <v>1.0029999999999999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0">
        <f>SUM(WATER!J27)</f>
        <v>0</v>
      </c>
      <c r="M23" s="330">
        <f>WATER!Q27</f>
        <v>0</v>
      </c>
      <c r="N23" s="494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9">
        <f>SUM('EDl log'!T26)</f>
        <v>0</v>
      </c>
      <c r="G24" s="203">
        <f>-tanks!AW28</f>
        <v>0</v>
      </c>
      <c r="H24" s="329">
        <f>SUM(tanks!AV28)</f>
        <v>1.0029999999999999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0">
        <f>SUM(WATER!J28)</f>
        <v>0</v>
      </c>
      <c r="M24" s="330">
        <f>WATER!Q28</f>
        <v>0</v>
      </c>
      <c r="N24" s="494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9">
        <f>SUM('EDl log'!T27)</f>
        <v>0</v>
      </c>
      <c r="G25" s="203">
        <f>-tanks!AW29</f>
        <v>0</v>
      </c>
      <c r="H25" s="329">
        <f>SUM(tanks!AV29)</f>
        <v>1.0029999999999999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0">
        <f>SUM(WATER!J29)</f>
        <v>0</v>
      </c>
      <c r="M25" s="330">
        <f>WATER!Q29</f>
        <v>0</v>
      </c>
      <c r="N25" s="494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9">
        <f>SUM('EDl log'!T28)</f>
        <v>0</v>
      </c>
      <c r="G26" s="203">
        <f>-tanks!AW30</f>
        <v>0</v>
      </c>
      <c r="H26" s="329">
        <f>SUM(tanks!AV30)</f>
        <v>1.0029999999999999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0">
        <f>SUM(WATER!J30)</f>
        <v>0</v>
      </c>
      <c r="M26" s="330">
        <f>WATER!Q30</f>
        <v>0</v>
      </c>
      <c r="N26" s="494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9">
        <f>SUM('EDl log'!T29)</f>
        <v>0</v>
      </c>
      <c r="G27" s="203">
        <f>-tanks!AW31</f>
        <v>0</v>
      </c>
      <c r="H27" s="329">
        <f>SUM(tanks!AV31)</f>
        <v>1.0029999999999999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0">
        <f>SUM(WATER!J31)</f>
        <v>0</v>
      </c>
      <c r="M27" s="330">
        <f>WATER!Q31</f>
        <v>0</v>
      </c>
      <c r="N27" s="494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9">
        <f>SUM('EDl log'!T30)</f>
        <v>0</v>
      </c>
      <c r="G28" s="203">
        <f>-tanks!AW32</f>
        <v>0</v>
      </c>
      <c r="H28" s="329">
        <f>SUM(tanks!AV32)</f>
        <v>1.0029999999999999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0">
        <f>SUM(WATER!J32)</f>
        <v>0</v>
      </c>
      <c r="M28" s="330">
        <f>WATER!Q32</f>
        <v>0</v>
      </c>
      <c r="N28" s="494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9">
        <f>SUM('EDl log'!T31)</f>
        <v>0</v>
      </c>
      <c r="G29" s="203">
        <f>-tanks!AW33</f>
        <v>0</v>
      </c>
      <c r="H29" s="329">
        <f>SUM(tanks!AV33)</f>
        <v>1.0029999999999999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0">
        <f>SUM(WATER!J33)</f>
        <v>0</v>
      </c>
      <c r="M29" s="330">
        <f>WATER!Q33</f>
        <v>0</v>
      </c>
      <c r="N29" s="494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9">
        <f>SUM('EDl log'!T32)</f>
        <v>0</v>
      </c>
      <c r="G30" s="203">
        <f>-tanks!AW34</f>
        <v>0</v>
      </c>
      <c r="H30" s="329">
        <f>SUM(tanks!AV34)</f>
        <v>1.0029999999999999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0">
        <f>SUM(WATER!J34)</f>
        <v>0</v>
      </c>
      <c r="M30" s="330">
        <f>WATER!Q34</f>
        <v>0</v>
      </c>
      <c r="N30" s="494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9">
        <f>SUM('EDl log'!T33)</f>
        <v>0</v>
      </c>
      <c r="G31" s="203">
        <f>-tanks!AW35</f>
        <v>0</v>
      </c>
      <c r="H31" s="329">
        <f>SUM(tanks!AV35)</f>
        <v>1.0029999999999999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0">
        <f>SUM(WATER!J35)</f>
        <v>0</v>
      </c>
      <c r="M31" s="330">
        <f>WATER!Q35</f>
        <v>0</v>
      </c>
      <c r="N31" s="494">
        <v>0.6</v>
      </c>
      <c r="O31" s="10">
        <f>ELEC!B33</f>
        <v>0</v>
      </c>
    </row>
    <row r="32" spans="1:15">
      <c r="E32" s="203"/>
      <c r="F32" s="329"/>
      <c r="G32" s="203"/>
      <c r="H32" s="329"/>
      <c r="I32" s="10"/>
      <c r="J32" s="309"/>
      <c r="K32" s="203"/>
      <c r="L32" s="330"/>
      <c r="M32" s="330"/>
      <c r="N32" s="494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R9" sqref="R9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2415</v>
      </c>
      <c r="I2" s="203">
        <f>ELEC!G4</f>
        <v>475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ELEC!AO9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ELEC!AO10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ELEC!AO11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ELEC!AO12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ELEC!AO13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ELEC!AO14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ELEC!AO15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ELEC!AO16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ELEC!AO17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ELEC!AO18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ELEC!AO19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ELEC!AO20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ELEC!AO21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ELEC!AO22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ELEC!AO23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ELEC!AO24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ELEC!AO25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ELEC!AO26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ELEC!AO27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ELEC!AO28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ELEC!AO29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ELEC!AO30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ELEC!AO31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ELEC!AO32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ELEC!AO33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34"/>
  <sheetViews>
    <sheetView topLeftCell="U1" zoomScale="90" zoomScaleNormal="90" zoomScaleSheetLayoutView="100" workbookViewId="0">
      <pane ySplit="2" topLeftCell="A3" activePane="bottomLeft" state="frozen"/>
      <selection activeCell="C1" sqref="C1"/>
      <selection pane="bottomLeft" activeCell="AI4" sqref="AI4"/>
    </sheetView>
  </sheetViews>
  <sheetFormatPr defaultColWidth="9.1796875" defaultRowHeight="14.5"/>
  <cols>
    <col min="1" max="1" width="7.7265625" style="464" bestFit="1" customWidth="1"/>
    <col min="2" max="2" width="10.26953125" style="472" bestFit="1" customWidth="1"/>
    <col min="3" max="3" width="11.54296875" style="464" customWidth="1"/>
    <col min="4" max="4" width="18" style="473" bestFit="1" customWidth="1"/>
    <col min="5" max="5" width="14.453125" style="473" bestFit="1" customWidth="1"/>
    <col min="6" max="6" width="15.26953125" style="473" bestFit="1" customWidth="1"/>
    <col min="7" max="7" width="12" style="473" bestFit="1" customWidth="1"/>
    <col min="8" max="8" width="18" style="473" bestFit="1" customWidth="1"/>
    <col min="9" max="9" width="13" style="473" bestFit="1" customWidth="1"/>
    <col min="10" max="10" width="18" style="473" bestFit="1" customWidth="1"/>
    <col min="11" max="11" width="11.7265625" style="473" customWidth="1"/>
    <col min="12" max="12" width="18" style="473" bestFit="1" customWidth="1"/>
    <col min="13" max="13" width="12.54296875" style="473" bestFit="1" customWidth="1"/>
    <col min="14" max="14" width="15.453125" style="464" bestFit="1" customWidth="1"/>
    <col min="15" max="15" width="13.1796875" style="474" bestFit="1" customWidth="1"/>
    <col min="16" max="16" width="14.26953125" style="464" bestFit="1" customWidth="1"/>
    <col min="17" max="17" width="13.7265625" style="464" bestFit="1" customWidth="1"/>
    <col min="18" max="18" width="12.453125" style="464" bestFit="1" customWidth="1"/>
    <col min="19" max="21" width="11.54296875" style="464" bestFit="1" customWidth="1"/>
    <col min="22" max="22" width="13.1796875" style="464" bestFit="1" customWidth="1"/>
    <col min="23" max="25" width="11.54296875" style="464" bestFit="1" customWidth="1"/>
    <col min="26" max="26" width="13.1796875" style="464" bestFit="1" customWidth="1"/>
    <col min="27" max="29" width="11.54296875" style="464" bestFit="1" customWidth="1"/>
    <col min="30" max="30" width="13.1796875" style="464" bestFit="1" customWidth="1"/>
    <col min="31" max="32" width="11.54296875" style="464" bestFit="1" customWidth="1"/>
    <col min="33" max="33" width="15.7265625" style="464" customWidth="1"/>
    <col min="34" max="34" width="9.1796875" style="464"/>
    <col min="35" max="35" width="9.7265625" style="464" bestFit="1" customWidth="1"/>
    <col min="36" max="36" width="9.1796875" style="464"/>
    <col min="37" max="37" width="12.453125" style="464" customWidth="1"/>
    <col min="38" max="38" width="11.453125" style="464" customWidth="1"/>
    <col min="39" max="39" width="9.1796875" style="464"/>
    <col min="40" max="40" width="10.81640625" style="464" bestFit="1" customWidth="1"/>
    <col min="41" max="41" width="21.1796875" style="464" customWidth="1"/>
    <col min="42" max="16384" width="9.1796875" style="464"/>
  </cols>
  <sheetData>
    <row r="1" spans="1:41">
      <c r="AK1" s="642" t="s">
        <v>418</v>
      </c>
      <c r="AL1" s="642"/>
      <c r="AM1" s="642"/>
      <c r="AN1" s="643"/>
    </row>
    <row r="2" spans="1:41" s="448" customFormat="1" ht="18.75" customHeight="1">
      <c r="A2" s="448" t="s">
        <v>19</v>
      </c>
      <c r="B2" s="449" t="s">
        <v>155</v>
      </c>
      <c r="C2" s="450"/>
      <c r="D2" s="451" t="s">
        <v>20</v>
      </c>
      <c r="E2" s="451" t="s">
        <v>21</v>
      </c>
      <c r="F2" s="451" t="s">
        <v>22</v>
      </c>
      <c r="G2" s="451" t="s">
        <v>23</v>
      </c>
      <c r="H2" s="451" t="s">
        <v>24</v>
      </c>
      <c r="I2" s="451" t="s">
        <v>25</v>
      </c>
      <c r="J2" s="451" t="s">
        <v>26</v>
      </c>
      <c r="K2" s="451" t="s">
        <v>27</v>
      </c>
      <c r="L2" s="451" t="s">
        <v>28</v>
      </c>
      <c r="M2" s="451" t="s">
        <v>29</v>
      </c>
      <c r="N2" s="452" t="s">
        <v>30</v>
      </c>
      <c r="O2" s="453" t="s">
        <v>156</v>
      </c>
      <c r="P2" s="454" t="s">
        <v>326</v>
      </c>
      <c r="Q2" s="452" t="s">
        <v>31</v>
      </c>
      <c r="R2" s="452" t="s">
        <v>32</v>
      </c>
      <c r="S2" s="452" t="s">
        <v>361</v>
      </c>
      <c r="T2" s="452" t="s">
        <v>33</v>
      </c>
      <c r="U2" s="452" t="s">
        <v>34</v>
      </c>
      <c r="V2" s="452" t="s">
        <v>35</v>
      </c>
      <c r="W2" s="452" t="s">
        <v>36</v>
      </c>
      <c r="X2" s="452" t="s">
        <v>33</v>
      </c>
      <c r="Y2" s="452" t="s">
        <v>37</v>
      </c>
      <c r="Z2" s="452" t="s">
        <v>38</v>
      </c>
      <c r="AA2" s="452" t="s">
        <v>39</v>
      </c>
      <c r="AB2" s="452" t="s">
        <v>33</v>
      </c>
      <c r="AC2" s="452" t="s">
        <v>77</v>
      </c>
      <c r="AD2" s="452" t="s">
        <v>40</v>
      </c>
      <c r="AE2" s="452" t="s">
        <v>41</v>
      </c>
      <c r="AF2" s="452" t="s">
        <v>42</v>
      </c>
      <c r="AG2" s="448" t="s">
        <v>132</v>
      </c>
      <c r="AK2" s="614" t="s">
        <v>417</v>
      </c>
      <c r="AL2" s="615" t="s">
        <v>416</v>
      </c>
      <c r="AM2" s="615" t="s">
        <v>391</v>
      </c>
      <c r="AN2" s="635" t="s">
        <v>419</v>
      </c>
    </row>
    <row r="3" spans="1:41">
      <c r="A3" s="455">
        <f>[1]ELEC!$A$33</f>
        <v>0</v>
      </c>
      <c r="B3" s="449">
        <f>[1]ELEC!$B$33</f>
        <v>0</v>
      </c>
      <c r="C3" s="456">
        <v>44347</v>
      </c>
      <c r="D3" s="443">
        <f>[2]ELEC!D33</f>
        <v>32911138</v>
      </c>
      <c r="E3" s="443">
        <f>[2]ELEC!E33</f>
        <v>4709</v>
      </c>
      <c r="F3" s="443">
        <f>[2]ELEC!F33</f>
        <v>4031450</v>
      </c>
      <c r="G3" s="443">
        <f>[2]ELEC!G33</f>
        <v>1057</v>
      </c>
      <c r="H3" s="443">
        <f>[2]ELEC!H33</f>
        <v>17884320</v>
      </c>
      <c r="I3" s="443">
        <f>[2]ELEC!I33</f>
        <v>1442</v>
      </c>
      <c r="J3" s="443">
        <f>[2]ELEC!J33</f>
        <v>29123928</v>
      </c>
      <c r="K3" s="443">
        <f>[2]ELEC!K33</f>
        <v>9050</v>
      </c>
      <c r="L3" s="443">
        <f>[2]ELEC!L33</f>
        <v>24235992</v>
      </c>
      <c r="M3" s="443">
        <f>[2]ELEC!M33</f>
        <v>3158</v>
      </c>
      <c r="N3" s="443">
        <f>[2]ELEC!N33</f>
        <v>19416</v>
      </c>
      <c r="O3" s="443">
        <f>[2]ELEC!O33</f>
        <v>0</v>
      </c>
      <c r="P3" s="443">
        <f>[2]ELEC!P33</f>
        <v>17207.452000000001</v>
      </c>
      <c r="Q3" s="443">
        <f>[2]ELEC!Q33</f>
        <v>17174.000000002707</v>
      </c>
      <c r="R3" s="443">
        <f>[2]ELEC!R33</f>
        <v>2241.9999999972933</v>
      </c>
      <c r="S3" s="443">
        <f>[2]ELEC!S33</f>
        <v>10175</v>
      </c>
      <c r="T3" s="443">
        <f>[2]ELEC!T33</f>
        <v>0</v>
      </c>
      <c r="U3" s="443">
        <f>[2]ELEC!U33</f>
        <v>429166</v>
      </c>
      <c r="V3" s="443">
        <f>[2]ELEC!V33</f>
        <v>0</v>
      </c>
      <c r="W3" s="443">
        <f>[2]ELEC!W33</f>
        <v>32542</v>
      </c>
      <c r="X3" s="443">
        <f>[2]ELEC!X33</f>
        <v>12</v>
      </c>
      <c r="Y3" s="443">
        <f>[2]ELEC!Y33</f>
        <v>770932</v>
      </c>
      <c r="Z3" s="443">
        <f>[2]ELEC!Z33</f>
        <v>2837</v>
      </c>
      <c r="AA3" s="443">
        <f>[2]ELEC!AA33</f>
        <v>35939</v>
      </c>
      <c r="AB3" s="443">
        <f>[2]ELEC!AB33</f>
        <v>0</v>
      </c>
      <c r="AC3" s="443">
        <f>[2]ELEC!AC33</f>
        <v>961645</v>
      </c>
      <c r="AD3" s="443">
        <f>[2]ELEC!AD33</f>
        <v>0</v>
      </c>
      <c r="AE3" s="443">
        <f>[2]ELEC!AE33</f>
        <v>12</v>
      </c>
      <c r="AF3" s="443">
        <f>[2]ELEC!AF33</f>
        <v>2837</v>
      </c>
      <c r="AG3" s="443">
        <f>[2]ELEC!AG33</f>
        <v>236.41666666666666</v>
      </c>
      <c r="AI3" s="464">
        <v>-999705.99999999895</v>
      </c>
      <c r="AK3" s="639">
        <v>44347</v>
      </c>
      <c r="AL3" s="640">
        <f>[3]ELEC!AL33</f>
        <v>333631</v>
      </c>
      <c r="AM3" s="640">
        <f>[3]ELEC!AM33</f>
        <v>431020</v>
      </c>
      <c r="AN3" s="640">
        <f>[3]ELEC!AN33</f>
        <v>764651</v>
      </c>
      <c r="AO3" s="640">
        <f>[3]ELEC!AO33</f>
        <v>4709</v>
      </c>
    </row>
    <row r="4" spans="1:41">
      <c r="A4" s="455">
        <f>'General information '!F6</f>
        <v>0</v>
      </c>
      <c r="B4" s="449">
        <f>SUM(230*A4)</f>
        <v>0</v>
      </c>
      <c r="C4" s="456">
        <v>44348</v>
      </c>
      <c r="D4" s="443">
        <f>D3</f>
        <v>32911138</v>
      </c>
      <c r="E4" s="444">
        <f>AO4</f>
        <v>2415</v>
      </c>
      <c r="F4" s="443">
        <v>4031925</v>
      </c>
      <c r="G4" s="445">
        <f t="shared" ref="G4:G33" si="0">F4-F3</f>
        <v>475</v>
      </c>
      <c r="H4" s="443">
        <v>17885062</v>
      </c>
      <c r="I4" s="445">
        <f>H4-H3</f>
        <v>742</v>
      </c>
      <c r="J4" s="443">
        <v>29128686</v>
      </c>
      <c r="K4" s="445">
        <f>J4-J3</f>
        <v>4758</v>
      </c>
      <c r="L4" s="443">
        <v>24237542</v>
      </c>
      <c r="M4" s="445">
        <f>L4-L3</f>
        <v>1550</v>
      </c>
      <c r="N4" s="446">
        <f>M4+K4+I4+G4+E4</f>
        <v>9940</v>
      </c>
      <c r="O4" s="457">
        <f t="shared" ref="O4:O10" si="1">IF(B4&gt;0,N4/B4,0)</f>
        <v>0</v>
      </c>
      <c r="P4" s="587">
        <v>17216.967000000001</v>
      </c>
      <c r="Q4" s="466">
        <f t="shared" ref="Q4:Q13" si="2">(P4-P3)*1000</f>
        <v>9514.9999999994179</v>
      </c>
      <c r="R4" s="459">
        <f>+N4-Q4</f>
        <v>425.00000000058208</v>
      </c>
      <c r="S4" s="443">
        <f>S3</f>
        <v>10175</v>
      </c>
      <c r="T4" s="460">
        <f t="shared" ref="T4:T31" si="3">S4-S3</f>
        <v>0</v>
      </c>
      <c r="U4" s="443">
        <f>U3</f>
        <v>429166</v>
      </c>
      <c r="V4" s="458">
        <f>U4-U3</f>
        <v>0</v>
      </c>
      <c r="W4" s="443">
        <v>32562</v>
      </c>
      <c r="X4" s="458">
        <f t="shared" ref="X4:X9" si="4">W4-W3</f>
        <v>20</v>
      </c>
      <c r="Y4" s="443">
        <v>775030</v>
      </c>
      <c r="Z4" s="458">
        <f>Y4-Y3</f>
        <v>4098</v>
      </c>
      <c r="AA4" s="443">
        <f>AA3</f>
        <v>35939</v>
      </c>
      <c r="AB4" s="458">
        <f>AA4-AA3</f>
        <v>0</v>
      </c>
      <c r="AC4" s="443">
        <f>AC3</f>
        <v>961645</v>
      </c>
      <c r="AD4" s="461">
        <f>AC4-AC3</f>
        <v>0</v>
      </c>
      <c r="AE4" s="462">
        <f>AB4+X4+T4</f>
        <v>20</v>
      </c>
      <c r="AF4" s="471">
        <f t="shared" ref="AF4:AF31" si="5">V4+Z4+AD4</f>
        <v>4098</v>
      </c>
      <c r="AG4" s="463">
        <f t="shared" ref="AG4:AG10" si="6">IF(AE4&gt;0,AF4/AE4,0)</f>
        <v>204.9</v>
      </c>
      <c r="AI4" s="464">
        <f>R4-'EDl log'!B4</f>
        <v>-1057749.9999999995</v>
      </c>
      <c r="AK4" s="616">
        <v>44348</v>
      </c>
      <c r="AL4" s="641">
        <v>335894</v>
      </c>
      <c r="AM4" s="641">
        <v>431172</v>
      </c>
      <c r="AN4" s="641">
        <f t="shared" ref="AN4:AN9" si="7">AM4+AL4</f>
        <v>767066</v>
      </c>
      <c r="AO4" s="617">
        <f>AN4-AN3</f>
        <v>2415</v>
      </c>
    </row>
    <row r="5" spans="1:41">
      <c r="A5" s="455">
        <f>'General information '!F7</f>
        <v>0</v>
      </c>
      <c r="B5" s="449">
        <f t="shared" ref="B5:B31" si="8">SUM(230*A5)</f>
        <v>0</v>
      </c>
      <c r="C5" s="456">
        <v>44349</v>
      </c>
      <c r="D5" s="443">
        <f t="shared" ref="D5:D33" si="9">D4</f>
        <v>32911138</v>
      </c>
      <c r="E5" s="444">
        <f t="shared" ref="E5:E33" si="10">AO5</f>
        <v>0</v>
      </c>
      <c r="F5" s="443">
        <f t="shared" ref="F5:F33" si="11">F4</f>
        <v>4031925</v>
      </c>
      <c r="G5" s="311">
        <f t="shared" si="0"/>
        <v>0</v>
      </c>
      <c r="H5" s="443">
        <f t="shared" ref="H5:H33" si="12">H4</f>
        <v>17885062</v>
      </c>
      <c r="I5" s="311">
        <f>H5-H4</f>
        <v>0</v>
      </c>
      <c r="J5" s="443">
        <f t="shared" ref="J5:J33" si="13">J4</f>
        <v>29128686</v>
      </c>
      <c r="K5" s="311">
        <f>J5-J4</f>
        <v>0</v>
      </c>
      <c r="L5" s="443">
        <f t="shared" ref="L5:L33" si="14">L4</f>
        <v>24237542</v>
      </c>
      <c r="M5" s="311">
        <f>L5-L4</f>
        <v>0</v>
      </c>
      <c r="N5" s="310">
        <f>M5+K5+I5+G5+E5</f>
        <v>0</v>
      </c>
      <c r="O5" s="465">
        <f t="shared" si="1"/>
        <v>0</v>
      </c>
      <c r="P5" s="587">
        <f t="shared" ref="P5:P33" si="15">P4</f>
        <v>17216.967000000001</v>
      </c>
      <c r="Q5" s="466">
        <f t="shared" si="2"/>
        <v>0</v>
      </c>
      <c r="R5" s="447">
        <f>N5-Q5</f>
        <v>0</v>
      </c>
      <c r="S5" s="443">
        <f t="shared" ref="S5:S33" si="16">S4</f>
        <v>10175</v>
      </c>
      <c r="T5" s="467">
        <f t="shared" si="3"/>
        <v>0</v>
      </c>
      <c r="U5" s="443">
        <f t="shared" ref="U5:U33" si="17">U4</f>
        <v>429166</v>
      </c>
      <c r="V5" s="447">
        <f>U5-U4</f>
        <v>0</v>
      </c>
      <c r="W5" s="443">
        <f t="shared" ref="W5:W33" si="18">W4</f>
        <v>32562</v>
      </c>
      <c r="X5" s="447">
        <f t="shared" si="4"/>
        <v>0</v>
      </c>
      <c r="Y5" s="443">
        <f t="shared" ref="Y5:Y33" si="19">Y4</f>
        <v>775030</v>
      </c>
      <c r="Z5" s="447">
        <f>Y5-Y4</f>
        <v>0</v>
      </c>
      <c r="AA5" s="443">
        <f t="shared" ref="AA5:AA33" si="20">AA4</f>
        <v>35939</v>
      </c>
      <c r="AB5" s="468">
        <f>AA5-AA4</f>
        <v>0</v>
      </c>
      <c r="AC5" s="443">
        <f t="shared" ref="AC5:AC33" si="21">AC4</f>
        <v>961645</v>
      </c>
      <c r="AD5" s="469">
        <f>AC5-AC4</f>
        <v>0</v>
      </c>
      <c r="AE5" s="470">
        <f t="shared" ref="AE5:AE31" si="22">AB5+X5+T5</f>
        <v>0</v>
      </c>
      <c r="AF5" s="471">
        <f t="shared" si="5"/>
        <v>0</v>
      </c>
      <c r="AG5" s="463">
        <f t="shared" si="6"/>
        <v>0</v>
      </c>
      <c r="AI5" s="464">
        <f>R5-'EDl log'!B5</f>
        <v>-1058175</v>
      </c>
      <c r="AK5" s="616">
        <v>44349</v>
      </c>
      <c r="AL5" s="641">
        <f t="shared" ref="AL5:AL33" si="23">AL4</f>
        <v>335894</v>
      </c>
      <c r="AM5" s="641">
        <f t="shared" ref="AM5:AM33" si="24">AM4</f>
        <v>431172</v>
      </c>
      <c r="AN5" s="641">
        <f t="shared" si="7"/>
        <v>767066</v>
      </c>
      <c r="AO5" s="617">
        <f>AN5-AN4</f>
        <v>0</v>
      </c>
    </row>
    <row r="6" spans="1:41">
      <c r="A6" s="455">
        <f>'General information '!F8</f>
        <v>0</v>
      </c>
      <c r="B6" s="449">
        <f>SUM(230*A6)</f>
        <v>0</v>
      </c>
      <c r="C6" s="456">
        <v>44350</v>
      </c>
      <c r="D6" s="443">
        <f t="shared" si="9"/>
        <v>32911138</v>
      </c>
      <c r="E6" s="444">
        <f t="shared" si="10"/>
        <v>0</v>
      </c>
      <c r="F6" s="443">
        <f t="shared" si="11"/>
        <v>4031925</v>
      </c>
      <c r="G6" s="311">
        <f t="shared" si="0"/>
        <v>0</v>
      </c>
      <c r="H6" s="443">
        <f t="shared" si="12"/>
        <v>17885062</v>
      </c>
      <c r="I6" s="311">
        <f t="shared" ref="I6:I33" si="25">H6-H5</f>
        <v>0</v>
      </c>
      <c r="J6" s="443">
        <f t="shared" si="13"/>
        <v>29128686</v>
      </c>
      <c r="K6" s="311">
        <f t="shared" ref="K6:K33" si="26">J6-J5</f>
        <v>0</v>
      </c>
      <c r="L6" s="443">
        <f t="shared" si="14"/>
        <v>24237542</v>
      </c>
      <c r="M6" s="311">
        <f t="shared" ref="M6:M33" si="27">L6-L5</f>
        <v>0</v>
      </c>
      <c r="N6" s="310">
        <f t="shared" ref="N6:N33" si="28">M6+K6+I6+G6+E6</f>
        <v>0</v>
      </c>
      <c r="O6" s="465">
        <f t="shared" si="1"/>
        <v>0</v>
      </c>
      <c r="P6" s="587">
        <f t="shared" si="15"/>
        <v>17216.967000000001</v>
      </c>
      <c r="Q6" s="466">
        <f>(P6-P5)*1000</f>
        <v>0</v>
      </c>
      <c r="R6" s="447">
        <f>N6-Q6</f>
        <v>0</v>
      </c>
      <c r="S6" s="443">
        <f t="shared" si="16"/>
        <v>10175</v>
      </c>
      <c r="T6" s="467">
        <f t="shared" si="3"/>
        <v>0</v>
      </c>
      <c r="U6" s="443">
        <f t="shared" si="17"/>
        <v>429166</v>
      </c>
      <c r="V6" s="447">
        <f t="shared" ref="V6:V31" si="29">U6-U5</f>
        <v>0</v>
      </c>
      <c r="W6" s="443">
        <f t="shared" si="18"/>
        <v>32562</v>
      </c>
      <c r="X6" s="447">
        <f t="shared" si="4"/>
        <v>0</v>
      </c>
      <c r="Y6" s="443">
        <f t="shared" si="19"/>
        <v>775030</v>
      </c>
      <c r="Z6" s="447">
        <f>Y6-Y5</f>
        <v>0</v>
      </c>
      <c r="AA6" s="443">
        <f t="shared" si="20"/>
        <v>35939</v>
      </c>
      <c r="AB6" s="447">
        <f t="shared" ref="AB6:AB31" si="30">AA6-AA5</f>
        <v>0</v>
      </c>
      <c r="AC6" s="443">
        <f t="shared" si="21"/>
        <v>961645</v>
      </c>
      <c r="AD6" s="447">
        <f t="shared" ref="AD6:AD17" si="31">AC6-AC5</f>
        <v>0</v>
      </c>
      <c r="AE6" s="470">
        <f t="shared" si="22"/>
        <v>0</v>
      </c>
      <c r="AF6" s="471">
        <f t="shared" si="5"/>
        <v>0</v>
      </c>
      <c r="AG6" s="463">
        <f t="shared" si="6"/>
        <v>0</v>
      </c>
      <c r="AI6" s="464">
        <f>R6-'EDl log'!B6</f>
        <v>-1058175</v>
      </c>
      <c r="AK6" s="616">
        <v>44350</v>
      </c>
      <c r="AL6" s="641">
        <f t="shared" si="23"/>
        <v>335894</v>
      </c>
      <c r="AM6" s="641">
        <f t="shared" si="24"/>
        <v>431172</v>
      </c>
      <c r="AN6" s="641">
        <f t="shared" si="7"/>
        <v>767066</v>
      </c>
      <c r="AO6" s="617">
        <f>AN6-AN5</f>
        <v>0</v>
      </c>
    </row>
    <row r="7" spans="1:41">
      <c r="A7" s="455">
        <f>'General information '!F9</f>
        <v>0</v>
      </c>
      <c r="B7" s="449">
        <f t="shared" si="8"/>
        <v>0</v>
      </c>
      <c r="C7" s="456">
        <v>44351</v>
      </c>
      <c r="D7" s="443">
        <f t="shared" si="9"/>
        <v>32911138</v>
      </c>
      <c r="E7" s="444">
        <f t="shared" si="10"/>
        <v>0</v>
      </c>
      <c r="F7" s="443">
        <f t="shared" si="11"/>
        <v>4031925</v>
      </c>
      <c r="G7" s="311">
        <f t="shared" si="0"/>
        <v>0</v>
      </c>
      <c r="H7" s="443">
        <f t="shared" si="12"/>
        <v>17885062</v>
      </c>
      <c r="I7" s="311">
        <f t="shared" si="25"/>
        <v>0</v>
      </c>
      <c r="J7" s="443">
        <f t="shared" si="13"/>
        <v>29128686</v>
      </c>
      <c r="K7" s="311">
        <f t="shared" si="26"/>
        <v>0</v>
      </c>
      <c r="L7" s="443">
        <f t="shared" si="14"/>
        <v>24237542</v>
      </c>
      <c r="M7" s="311">
        <f t="shared" si="27"/>
        <v>0</v>
      </c>
      <c r="N7" s="310">
        <f t="shared" si="28"/>
        <v>0</v>
      </c>
      <c r="O7" s="465">
        <f t="shared" si="1"/>
        <v>0</v>
      </c>
      <c r="P7" s="587">
        <f t="shared" si="15"/>
        <v>17216.967000000001</v>
      </c>
      <c r="Q7" s="447">
        <f t="shared" si="2"/>
        <v>0</v>
      </c>
      <c r="R7" s="447">
        <f t="shared" ref="R7:R13" si="32">N7-Q7</f>
        <v>0</v>
      </c>
      <c r="S7" s="443">
        <f t="shared" si="16"/>
        <v>10175</v>
      </c>
      <c r="T7" s="467">
        <f t="shared" si="3"/>
        <v>0</v>
      </c>
      <c r="U7" s="443">
        <f t="shared" si="17"/>
        <v>429166</v>
      </c>
      <c r="V7" s="447">
        <f t="shared" si="29"/>
        <v>0</v>
      </c>
      <c r="W7" s="443">
        <f t="shared" si="18"/>
        <v>32562</v>
      </c>
      <c r="X7" s="447">
        <f t="shared" si="4"/>
        <v>0</v>
      </c>
      <c r="Y7" s="443">
        <f t="shared" si="19"/>
        <v>775030</v>
      </c>
      <c r="Z7" s="447">
        <f t="shared" ref="Z7:Z31" si="33">Y7-Y6</f>
        <v>0</v>
      </c>
      <c r="AA7" s="443">
        <f t="shared" si="20"/>
        <v>35939</v>
      </c>
      <c r="AB7" s="447">
        <f t="shared" si="30"/>
        <v>0</v>
      </c>
      <c r="AC7" s="443">
        <f t="shared" si="21"/>
        <v>961645</v>
      </c>
      <c r="AD7" s="447">
        <f t="shared" si="31"/>
        <v>0</v>
      </c>
      <c r="AE7" s="470">
        <f t="shared" si="22"/>
        <v>0</v>
      </c>
      <c r="AF7" s="471">
        <f t="shared" si="5"/>
        <v>0</v>
      </c>
      <c r="AG7" s="463">
        <f t="shared" si="6"/>
        <v>0</v>
      </c>
      <c r="AI7" s="464">
        <f>R7-'EDl log'!B7</f>
        <v>-1058175</v>
      </c>
      <c r="AK7" s="616">
        <v>44351</v>
      </c>
      <c r="AL7" s="641">
        <f t="shared" si="23"/>
        <v>335894</v>
      </c>
      <c r="AM7" s="641">
        <f t="shared" si="24"/>
        <v>431172</v>
      </c>
      <c r="AN7" s="641">
        <f t="shared" si="7"/>
        <v>767066</v>
      </c>
      <c r="AO7" s="617">
        <f t="shared" ref="AO7" si="34">AN7-AN6</f>
        <v>0</v>
      </c>
    </row>
    <row r="8" spans="1:41">
      <c r="A8" s="455">
        <f>'General information '!F10</f>
        <v>0</v>
      </c>
      <c r="B8" s="449">
        <f t="shared" si="8"/>
        <v>0</v>
      </c>
      <c r="C8" s="456">
        <v>44352</v>
      </c>
      <c r="D8" s="443">
        <f t="shared" si="9"/>
        <v>32911138</v>
      </c>
      <c r="E8" s="444">
        <f t="shared" si="10"/>
        <v>0</v>
      </c>
      <c r="F8" s="443">
        <f t="shared" si="11"/>
        <v>4031925</v>
      </c>
      <c r="G8" s="311">
        <f t="shared" si="0"/>
        <v>0</v>
      </c>
      <c r="H8" s="443">
        <f t="shared" si="12"/>
        <v>17885062</v>
      </c>
      <c r="I8" s="311">
        <f t="shared" si="25"/>
        <v>0</v>
      </c>
      <c r="J8" s="443">
        <f t="shared" si="13"/>
        <v>29128686</v>
      </c>
      <c r="K8" s="311">
        <f t="shared" si="26"/>
        <v>0</v>
      </c>
      <c r="L8" s="443">
        <f t="shared" si="14"/>
        <v>24237542</v>
      </c>
      <c r="M8" s="311">
        <f t="shared" si="27"/>
        <v>0</v>
      </c>
      <c r="N8" s="310">
        <f t="shared" si="28"/>
        <v>0</v>
      </c>
      <c r="O8" s="465">
        <f t="shared" si="1"/>
        <v>0</v>
      </c>
      <c r="P8" s="587">
        <f t="shared" si="15"/>
        <v>17216.967000000001</v>
      </c>
      <c r="Q8" s="447">
        <f t="shared" si="2"/>
        <v>0</v>
      </c>
      <c r="R8" s="447">
        <f t="shared" si="32"/>
        <v>0</v>
      </c>
      <c r="S8" s="443">
        <f t="shared" si="16"/>
        <v>10175</v>
      </c>
      <c r="T8" s="467">
        <f t="shared" si="3"/>
        <v>0</v>
      </c>
      <c r="U8" s="443">
        <f t="shared" si="17"/>
        <v>429166</v>
      </c>
      <c r="V8" s="447">
        <f t="shared" si="29"/>
        <v>0</v>
      </c>
      <c r="W8" s="443">
        <f t="shared" si="18"/>
        <v>32562</v>
      </c>
      <c r="X8" s="447">
        <f t="shared" si="4"/>
        <v>0</v>
      </c>
      <c r="Y8" s="443">
        <f t="shared" si="19"/>
        <v>775030</v>
      </c>
      <c r="Z8" s="447">
        <f t="shared" si="33"/>
        <v>0</v>
      </c>
      <c r="AA8" s="443">
        <f t="shared" si="20"/>
        <v>35939</v>
      </c>
      <c r="AB8" s="447">
        <f t="shared" si="30"/>
        <v>0</v>
      </c>
      <c r="AC8" s="443">
        <f t="shared" si="21"/>
        <v>961645</v>
      </c>
      <c r="AD8" s="447">
        <f t="shared" si="31"/>
        <v>0</v>
      </c>
      <c r="AE8" s="470">
        <f t="shared" si="22"/>
        <v>0</v>
      </c>
      <c r="AF8" s="471">
        <f t="shared" si="5"/>
        <v>0</v>
      </c>
      <c r="AG8" s="463">
        <f t="shared" si="6"/>
        <v>0</v>
      </c>
      <c r="AI8" s="464">
        <f>R8-'EDl log'!B8</f>
        <v>-1058175</v>
      </c>
      <c r="AK8" s="616">
        <v>44352</v>
      </c>
      <c r="AL8" s="641">
        <f t="shared" si="23"/>
        <v>335894</v>
      </c>
      <c r="AM8" s="641">
        <f t="shared" si="24"/>
        <v>431172</v>
      </c>
      <c r="AN8" s="641">
        <f t="shared" si="7"/>
        <v>767066</v>
      </c>
      <c r="AO8" s="617">
        <f>AN8-AN7</f>
        <v>0</v>
      </c>
    </row>
    <row r="9" spans="1:41">
      <c r="A9" s="455">
        <f>'General information '!F11</f>
        <v>0</v>
      </c>
      <c r="B9" s="449">
        <f t="shared" si="8"/>
        <v>0</v>
      </c>
      <c r="C9" s="456">
        <v>44353</v>
      </c>
      <c r="D9" s="443">
        <f t="shared" si="9"/>
        <v>32911138</v>
      </c>
      <c r="E9" s="444">
        <f t="shared" si="10"/>
        <v>0</v>
      </c>
      <c r="F9" s="443">
        <f t="shared" si="11"/>
        <v>4031925</v>
      </c>
      <c r="G9" s="311">
        <f t="shared" si="0"/>
        <v>0</v>
      </c>
      <c r="H9" s="443">
        <f t="shared" si="12"/>
        <v>17885062</v>
      </c>
      <c r="I9" s="311">
        <f t="shared" si="25"/>
        <v>0</v>
      </c>
      <c r="J9" s="443">
        <f t="shared" si="13"/>
        <v>29128686</v>
      </c>
      <c r="K9" s="311">
        <f t="shared" si="26"/>
        <v>0</v>
      </c>
      <c r="L9" s="443">
        <f t="shared" si="14"/>
        <v>24237542</v>
      </c>
      <c r="M9" s="311">
        <f t="shared" si="27"/>
        <v>0</v>
      </c>
      <c r="N9" s="310">
        <f t="shared" si="28"/>
        <v>0</v>
      </c>
      <c r="O9" s="465">
        <f t="shared" si="1"/>
        <v>0</v>
      </c>
      <c r="P9" s="587">
        <f t="shared" si="15"/>
        <v>17216.967000000001</v>
      </c>
      <c r="Q9" s="447">
        <f t="shared" si="2"/>
        <v>0</v>
      </c>
      <c r="R9" s="447">
        <f t="shared" si="32"/>
        <v>0</v>
      </c>
      <c r="S9" s="443">
        <f t="shared" si="16"/>
        <v>10175</v>
      </c>
      <c r="T9" s="467">
        <f t="shared" si="3"/>
        <v>0</v>
      </c>
      <c r="U9" s="443">
        <f t="shared" si="17"/>
        <v>429166</v>
      </c>
      <c r="V9" s="447">
        <f t="shared" si="29"/>
        <v>0</v>
      </c>
      <c r="W9" s="443">
        <f t="shared" si="18"/>
        <v>32562</v>
      </c>
      <c r="X9" s="447">
        <f t="shared" si="4"/>
        <v>0</v>
      </c>
      <c r="Y9" s="443">
        <f t="shared" si="19"/>
        <v>775030</v>
      </c>
      <c r="Z9" s="447">
        <f t="shared" si="33"/>
        <v>0</v>
      </c>
      <c r="AA9" s="443">
        <f t="shared" si="20"/>
        <v>35939</v>
      </c>
      <c r="AB9" s="447">
        <f t="shared" si="30"/>
        <v>0</v>
      </c>
      <c r="AC9" s="443">
        <f t="shared" si="21"/>
        <v>961645</v>
      </c>
      <c r="AD9" s="447">
        <f t="shared" si="31"/>
        <v>0</v>
      </c>
      <c r="AE9" s="470">
        <f t="shared" si="22"/>
        <v>0</v>
      </c>
      <c r="AF9" s="471">
        <f t="shared" si="5"/>
        <v>0</v>
      </c>
      <c r="AG9" s="463">
        <f t="shared" si="6"/>
        <v>0</v>
      </c>
      <c r="AI9" s="464">
        <f>R9-'EDl log'!B9</f>
        <v>-1058175</v>
      </c>
      <c r="AK9" s="616">
        <v>44353</v>
      </c>
      <c r="AL9" s="641">
        <f t="shared" si="23"/>
        <v>335894</v>
      </c>
      <c r="AM9" s="641">
        <f t="shared" si="24"/>
        <v>431172</v>
      </c>
      <c r="AN9" s="641">
        <f t="shared" si="7"/>
        <v>767066</v>
      </c>
      <c r="AO9" s="617">
        <f>AN9-AN8</f>
        <v>0</v>
      </c>
    </row>
    <row r="10" spans="1:41">
      <c r="A10" s="455">
        <f>'General information '!F12</f>
        <v>0</v>
      </c>
      <c r="B10" s="449">
        <f t="shared" si="8"/>
        <v>0</v>
      </c>
      <c r="C10" s="456">
        <v>44354</v>
      </c>
      <c r="D10" s="443">
        <f t="shared" si="9"/>
        <v>32911138</v>
      </c>
      <c r="E10" s="444">
        <f t="shared" si="10"/>
        <v>0</v>
      </c>
      <c r="F10" s="443">
        <f t="shared" si="11"/>
        <v>4031925</v>
      </c>
      <c r="G10" s="311">
        <f t="shared" si="0"/>
        <v>0</v>
      </c>
      <c r="H10" s="443">
        <f t="shared" si="12"/>
        <v>17885062</v>
      </c>
      <c r="I10" s="311">
        <f t="shared" si="25"/>
        <v>0</v>
      </c>
      <c r="J10" s="443">
        <f t="shared" si="13"/>
        <v>29128686</v>
      </c>
      <c r="K10" s="311">
        <f t="shared" si="26"/>
        <v>0</v>
      </c>
      <c r="L10" s="443">
        <f t="shared" si="14"/>
        <v>24237542</v>
      </c>
      <c r="M10" s="311">
        <f t="shared" si="27"/>
        <v>0</v>
      </c>
      <c r="N10" s="310">
        <f t="shared" si="28"/>
        <v>0</v>
      </c>
      <c r="O10" s="465">
        <f t="shared" si="1"/>
        <v>0</v>
      </c>
      <c r="P10" s="587">
        <f t="shared" si="15"/>
        <v>17216.967000000001</v>
      </c>
      <c r="Q10" s="447">
        <f t="shared" si="2"/>
        <v>0</v>
      </c>
      <c r="R10" s="447">
        <f t="shared" si="32"/>
        <v>0</v>
      </c>
      <c r="S10" s="443">
        <f t="shared" si="16"/>
        <v>10175</v>
      </c>
      <c r="T10" s="467">
        <f t="shared" si="3"/>
        <v>0</v>
      </c>
      <c r="U10" s="443">
        <f t="shared" si="17"/>
        <v>429166</v>
      </c>
      <c r="V10" s="447">
        <f t="shared" si="29"/>
        <v>0</v>
      </c>
      <c r="W10" s="443">
        <f t="shared" si="18"/>
        <v>32562</v>
      </c>
      <c r="X10" s="447">
        <f t="shared" ref="X10:X31" si="35">W10-W9</f>
        <v>0</v>
      </c>
      <c r="Y10" s="443">
        <f t="shared" si="19"/>
        <v>775030</v>
      </c>
      <c r="Z10" s="447">
        <f t="shared" si="33"/>
        <v>0</v>
      </c>
      <c r="AA10" s="443">
        <f t="shared" si="20"/>
        <v>35939</v>
      </c>
      <c r="AB10" s="447">
        <f t="shared" si="30"/>
        <v>0</v>
      </c>
      <c r="AC10" s="443">
        <f t="shared" si="21"/>
        <v>961645</v>
      </c>
      <c r="AD10" s="447">
        <f t="shared" si="31"/>
        <v>0</v>
      </c>
      <c r="AE10" s="470">
        <f t="shared" si="22"/>
        <v>0</v>
      </c>
      <c r="AF10" s="471">
        <f t="shared" si="5"/>
        <v>0</v>
      </c>
      <c r="AG10" s="463">
        <f t="shared" si="6"/>
        <v>0</v>
      </c>
      <c r="AI10" s="464">
        <f>R10-'EDl log'!B10</f>
        <v>-1058175</v>
      </c>
      <c r="AK10" s="616">
        <v>44354</v>
      </c>
      <c r="AL10" s="641">
        <f t="shared" si="23"/>
        <v>335894</v>
      </c>
      <c r="AM10" s="641">
        <f t="shared" si="24"/>
        <v>431172</v>
      </c>
      <c r="AN10" s="641">
        <f t="shared" ref="AN10:AN33" si="36">AM10+AL10</f>
        <v>767066</v>
      </c>
      <c r="AO10" s="617">
        <f t="shared" ref="AO10:AO33" si="37">AN10-AN9</f>
        <v>0</v>
      </c>
    </row>
    <row r="11" spans="1:41">
      <c r="A11" s="455">
        <f>'General information '!F13</f>
        <v>0</v>
      </c>
      <c r="B11" s="449">
        <f t="shared" si="8"/>
        <v>0</v>
      </c>
      <c r="C11" s="456">
        <v>44355</v>
      </c>
      <c r="D11" s="443">
        <f t="shared" si="9"/>
        <v>32911138</v>
      </c>
      <c r="E11" s="444">
        <f t="shared" si="10"/>
        <v>0</v>
      </c>
      <c r="F11" s="443">
        <f t="shared" si="11"/>
        <v>4031925</v>
      </c>
      <c r="G11" s="311">
        <f t="shared" si="0"/>
        <v>0</v>
      </c>
      <c r="H11" s="443">
        <f t="shared" si="12"/>
        <v>17885062</v>
      </c>
      <c r="I11" s="311">
        <f t="shared" si="25"/>
        <v>0</v>
      </c>
      <c r="J11" s="443">
        <f t="shared" si="13"/>
        <v>29128686</v>
      </c>
      <c r="K11" s="311">
        <f t="shared" si="26"/>
        <v>0</v>
      </c>
      <c r="L11" s="443">
        <f t="shared" si="14"/>
        <v>24237542</v>
      </c>
      <c r="M11" s="311">
        <f t="shared" si="27"/>
        <v>0</v>
      </c>
      <c r="N11" s="310">
        <f t="shared" si="28"/>
        <v>0</v>
      </c>
      <c r="O11" s="465">
        <f t="shared" ref="O11:O31" si="38">IF(B11&gt;0,N11/B11,0)</f>
        <v>0</v>
      </c>
      <c r="P11" s="587">
        <f t="shared" si="15"/>
        <v>17216.967000000001</v>
      </c>
      <c r="Q11" s="447">
        <f t="shared" si="2"/>
        <v>0</v>
      </c>
      <c r="R11" s="447">
        <f t="shared" si="32"/>
        <v>0</v>
      </c>
      <c r="S11" s="443">
        <f t="shared" si="16"/>
        <v>10175</v>
      </c>
      <c r="T11" s="467">
        <f t="shared" si="3"/>
        <v>0</v>
      </c>
      <c r="U11" s="443">
        <f t="shared" si="17"/>
        <v>429166</v>
      </c>
      <c r="V11" s="447">
        <f t="shared" si="29"/>
        <v>0</v>
      </c>
      <c r="W11" s="443">
        <f t="shared" si="18"/>
        <v>32562</v>
      </c>
      <c r="X11" s="447">
        <f t="shared" si="35"/>
        <v>0</v>
      </c>
      <c r="Y11" s="443">
        <f t="shared" si="19"/>
        <v>775030</v>
      </c>
      <c r="Z11" s="447">
        <f t="shared" si="33"/>
        <v>0</v>
      </c>
      <c r="AA11" s="443">
        <f t="shared" si="20"/>
        <v>35939</v>
      </c>
      <c r="AB11" s="447">
        <f t="shared" si="30"/>
        <v>0</v>
      </c>
      <c r="AC11" s="443">
        <f t="shared" si="21"/>
        <v>961645</v>
      </c>
      <c r="AD11" s="447">
        <f t="shared" si="31"/>
        <v>0</v>
      </c>
      <c r="AE11" s="470">
        <f t="shared" si="22"/>
        <v>0</v>
      </c>
      <c r="AF11" s="471">
        <f t="shared" si="5"/>
        <v>0</v>
      </c>
      <c r="AG11" s="463">
        <f t="shared" ref="AG11:AG31" si="39">IF(AE11&gt;0,AF11/AE11,0)</f>
        <v>0</v>
      </c>
      <c r="AI11" s="464">
        <f>R11-'EDl log'!B11</f>
        <v>-1058175</v>
      </c>
      <c r="AK11" s="616">
        <v>44355</v>
      </c>
      <c r="AL11" s="641">
        <f t="shared" si="23"/>
        <v>335894</v>
      </c>
      <c r="AM11" s="641">
        <f t="shared" si="24"/>
        <v>431172</v>
      </c>
      <c r="AN11" s="641">
        <f t="shared" si="36"/>
        <v>767066</v>
      </c>
      <c r="AO11" s="617">
        <f t="shared" si="37"/>
        <v>0</v>
      </c>
    </row>
    <row r="12" spans="1:41">
      <c r="A12" s="455">
        <f>'General information '!F14</f>
        <v>0</v>
      </c>
      <c r="B12" s="449">
        <f>SUM(230*A12)</f>
        <v>0</v>
      </c>
      <c r="C12" s="456">
        <v>44356</v>
      </c>
      <c r="D12" s="443">
        <f t="shared" si="9"/>
        <v>32911138</v>
      </c>
      <c r="E12" s="444">
        <f t="shared" si="10"/>
        <v>0</v>
      </c>
      <c r="F12" s="443">
        <f t="shared" si="11"/>
        <v>4031925</v>
      </c>
      <c r="G12" s="311">
        <f t="shared" si="0"/>
        <v>0</v>
      </c>
      <c r="H12" s="443">
        <f t="shared" si="12"/>
        <v>17885062</v>
      </c>
      <c r="I12" s="311">
        <f t="shared" si="25"/>
        <v>0</v>
      </c>
      <c r="J12" s="443">
        <f t="shared" si="13"/>
        <v>29128686</v>
      </c>
      <c r="K12" s="311">
        <f t="shared" si="26"/>
        <v>0</v>
      </c>
      <c r="L12" s="443">
        <f t="shared" si="14"/>
        <v>24237542</v>
      </c>
      <c r="M12" s="311">
        <f t="shared" si="27"/>
        <v>0</v>
      </c>
      <c r="N12" s="310">
        <f>M12+K12+I12+G12+E12</f>
        <v>0</v>
      </c>
      <c r="O12" s="465">
        <f t="shared" si="38"/>
        <v>0</v>
      </c>
      <c r="P12" s="587">
        <f t="shared" si="15"/>
        <v>17216.967000000001</v>
      </c>
      <c r="Q12" s="447">
        <f t="shared" si="2"/>
        <v>0</v>
      </c>
      <c r="R12" s="447">
        <f t="shared" si="32"/>
        <v>0</v>
      </c>
      <c r="S12" s="443">
        <f t="shared" si="16"/>
        <v>10175</v>
      </c>
      <c r="T12" s="467">
        <f t="shared" si="3"/>
        <v>0</v>
      </c>
      <c r="U12" s="443">
        <f t="shared" si="17"/>
        <v>429166</v>
      </c>
      <c r="V12" s="447">
        <f t="shared" si="29"/>
        <v>0</v>
      </c>
      <c r="W12" s="443">
        <f t="shared" si="18"/>
        <v>32562</v>
      </c>
      <c r="X12" s="447">
        <f t="shared" si="35"/>
        <v>0</v>
      </c>
      <c r="Y12" s="443">
        <f t="shared" si="19"/>
        <v>775030</v>
      </c>
      <c r="Z12" s="447">
        <f t="shared" si="33"/>
        <v>0</v>
      </c>
      <c r="AA12" s="443">
        <f t="shared" si="20"/>
        <v>35939</v>
      </c>
      <c r="AB12" s="447">
        <f t="shared" si="30"/>
        <v>0</v>
      </c>
      <c r="AC12" s="443">
        <f t="shared" si="21"/>
        <v>961645</v>
      </c>
      <c r="AD12" s="447">
        <f t="shared" si="31"/>
        <v>0</v>
      </c>
      <c r="AE12" s="470">
        <f t="shared" si="22"/>
        <v>0</v>
      </c>
      <c r="AF12" s="471">
        <f t="shared" si="5"/>
        <v>0</v>
      </c>
      <c r="AG12" s="463">
        <f t="shared" si="39"/>
        <v>0</v>
      </c>
      <c r="AI12" s="464">
        <f>R12-'EDl log'!B12</f>
        <v>-1058175</v>
      </c>
      <c r="AK12" s="616">
        <v>44356</v>
      </c>
      <c r="AL12" s="641">
        <f t="shared" si="23"/>
        <v>335894</v>
      </c>
      <c r="AM12" s="641">
        <f t="shared" si="24"/>
        <v>431172</v>
      </c>
      <c r="AN12" s="641">
        <f>AM12+AL12</f>
        <v>767066</v>
      </c>
      <c r="AO12" s="617">
        <f t="shared" si="37"/>
        <v>0</v>
      </c>
    </row>
    <row r="13" spans="1:41">
      <c r="A13" s="455">
        <f>'General information '!F15</f>
        <v>0</v>
      </c>
      <c r="B13" s="449">
        <f t="shared" si="8"/>
        <v>0</v>
      </c>
      <c r="C13" s="456">
        <v>44357</v>
      </c>
      <c r="D13" s="443">
        <f t="shared" si="9"/>
        <v>32911138</v>
      </c>
      <c r="E13" s="444">
        <f t="shared" si="10"/>
        <v>0</v>
      </c>
      <c r="F13" s="443">
        <f t="shared" si="11"/>
        <v>4031925</v>
      </c>
      <c r="G13" s="311">
        <f t="shared" si="0"/>
        <v>0</v>
      </c>
      <c r="H13" s="443">
        <f t="shared" si="12"/>
        <v>17885062</v>
      </c>
      <c r="I13" s="311">
        <f t="shared" si="25"/>
        <v>0</v>
      </c>
      <c r="J13" s="443">
        <f t="shared" si="13"/>
        <v>29128686</v>
      </c>
      <c r="K13" s="311">
        <f t="shared" si="26"/>
        <v>0</v>
      </c>
      <c r="L13" s="443">
        <f t="shared" si="14"/>
        <v>24237542</v>
      </c>
      <c r="M13" s="311">
        <f t="shared" si="27"/>
        <v>0</v>
      </c>
      <c r="N13" s="310">
        <f>M13+K13+I13+G13+E13</f>
        <v>0</v>
      </c>
      <c r="O13" s="465">
        <f t="shared" si="38"/>
        <v>0</v>
      </c>
      <c r="P13" s="587">
        <f t="shared" si="15"/>
        <v>17216.967000000001</v>
      </c>
      <c r="Q13" s="447">
        <f t="shared" si="2"/>
        <v>0</v>
      </c>
      <c r="R13" s="447">
        <f t="shared" si="32"/>
        <v>0</v>
      </c>
      <c r="S13" s="443">
        <f t="shared" si="16"/>
        <v>10175</v>
      </c>
      <c r="T13" s="467">
        <f t="shared" si="3"/>
        <v>0</v>
      </c>
      <c r="U13" s="443">
        <f t="shared" si="17"/>
        <v>429166</v>
      </c>
      <c r="V13" s="447">
        <f t="shared" si="29"/>
        <v>0</v>
      </c>
      <c r="W13" s="443">
        <f t="shared" si="18"/>
        <v>32562</v>
      </c>
      <c r="X13" s="447">
        <f t="shared" si="35"/>
        <v>0</v>
      </c>
      <c r="Y13" s="443">
        <f t="shared" si="19"/>
        <v>775030</v>
      </c>
      <c r="Z13" s="447">
        <f t="shared" si="33"/>
        <v>0</v>
      </c>
      <c r="AA13" s="443">
        <f t="shared" si="20"/>
        <v>35939</v>
      </c>
      <c r="AB13" s="447">
        <f t="shared" si="30"/>
        <v>0</v>
      </c>
      <c r="AC13" s="443">
        <f t="shared" si="21"/>
        <v>961645</v>
      </c>
      <c r="AD13" s="447">
        <f t="shared" si="31"/>
        <v>0</v>
      </c>
      <c r="AE13" s="470">
        <f t="shared" si="22"/>
        <v>0</v>
      </c>
      <c r="AF13" s="471">
        <f t="shared" si="5"/>
        <v>0</v>
      </c>
      <c r="AG13" s="463">
        <f t="shared" si="39"/>
        <v>0</v>
      </c>
      <c r="AI13" s="464">
        <f>R13-'EDl log'!B13</f>
        <v>-1058175</v>
      </c>
      <c r="AK13" s="616">
        <v>44357</v>
      </c>
      <c r="AL13" s="641">
        <f t="shared" si="23"/>
        <v>335894</v>
      </c>
      <c r="AM13" s="641">
        <f t="shared" si="24"/>
        <v>431172</v>
      </c>
      <c r="AN13" s="641">
        <f>AM13+AL13</f>
        <v>767066</v>
      </c>
      <c r="AO13" s="617">
        <f t="shared" si="37"/>
        <v>0</v>
      </c>
    </row>
    <row r="14" spans="1:41">
      <c r="A14" s="455">
        <f>'General information '!F16</f>
        <v>0</v>
      </c>
      <c r="B14" s="449">
        <f t="shared" si="8"/>
        <v>0</v>
      </c>
      <c r="C14" s="456">
        <v>44358</v>
      </c>
      <c r="D14" s="443">
        <f t="shared" si="9"/>
        <v>32911138</v>
      </c>
      <c r="E14" s="444">
        <f t="shared" si="10"/>
        <v>0</v>
      </c>
      <c r="F14" s="443">
        <f t="shared" si="11"/>
        <v>4031925</v>
      </c>
      <c r="G14" s="311">
        <f t="shared" si="0"/>
        <v>0</v>
      </c>
      <c r="H14" s="443">
        <f t="shared" si="12"/>
        <v>17885062</v>
      </c>
      <c r="I14" s="311">
        <f t="shared" si="25"/>
        <v>0</v>
      </c>
      <c r="J14" s="443">
        <f t="shared" si="13"/>
        <v>29128686</v>
      </c>
      <c r="K14" s="311">
        <f t="shared" si="26"/>
        <v>0</v>
      </c>
      <c r="L14" s="443">
        <f t="shared" si="14"/>
        <v>24237542</v>
      </c>
      <c r="M14" s="311">
        <f t="shared" si="27"/>
        <v>0</v>
      </c>
      <c r="N14" s="310">
        <f t="shared" si="28"/>
        <v>0</v>
      </c>
      <c r="O14" s="465">
        <f t="shared" si="38"/>
        <v>0</v>
      </c>
      <c r="P14" s="587">
        <f t="shared" si="15"/>
        <v>17216.967000000001</v>
      </c>
      <c r="Q14" s="447">
        <f>(P14-P13)*1000</f>
        <v>0</v>
      </c>
      <c r="R14" s="447">
        <f>N14-Q14</f>
        <v>0</v>
      </c>
      <c r="S14" s="443">
        <f t="shared" si="16"/>
        <v>10175</v>
      </c>
      <c r="T14" s="467">
        <f t="shared" si="3"/>
        <v>0</v>
      </c>
      <c r="U14" s="443">
        <f t="shared" si="17"/>
        <v>429166</v>
      </c>
      <c r="V14" s="447">
        <f t="shared" si="29"/>
        <v>0</v>
      </c>
      <c r="W14" s="443">
        <f t="shared" si="18"/>
        <v>32562</v>
      </c>
      <c r="X14" s="447">
        <f t="shared" si="35"/>
        <v>0</v>
      </c>
      <c r="Y14" s="443">
        <f t="shared" si="19"/>
        <v>775030</v>
      </c>
      <c r="Z14" s="447">
        <f t="shared" si="33"/>
        <v>0</v>
      </c>
      <c r="AA14" s="443">
        <f t="shared" si="20"/>
        <v>35939</v>
      </c>
      <c r="AB14" s="447">
        <f t="shared" si="30"/>
        <v>0</v>
      </c>
      <c r="AC14" s="443">
        <f t="shared" si="21"/>
        <v>961645</v>
      </c>
      <c r="AD14" s="447">
        <f t="shared" si="31"/>
        <v>0</v>
      </c>
      <c r="AE14" s="470">
        <f t="shared" si="22"/>
        <v>0</v>
      </c>
      <c r="AF14" s="471">
        <f t="shared" si="5"/>
        <v>0</v>
      </c>
      <c r="AG14" s="463">
        <f t="shared" si="39"/>
        <v>0</v>
      </c>
      <c r="AI14" s="464">
        <f>R14-'EDl log'!B14</f>
        <v>-1058175</v>
      </c>
      <c r="AK14" s="616">
        <v>44358</v>
      </c>
      <c r="AL14" s="641">
        <f t="shared" si="23"/>
        <v>335894</v>
      </c>
      <c r="AM14" s="641">
        <f t="shared" si="24"/>
        <v>431172</v>
      </c>
      <c r="AN14" s="641">
        <f t="shared" si="36"/>
        <v>767066</v>
      </c>
      <c r="AO14" s="617">
        <f t="shared" si="37"/>
        <v>0</v>
      </c>
    </row>
    <row r="15" spans="1:41">
      <c r="A15" s="455">
        <f>'General information '!F17</f>
        <v>0</v>
      </c>
      <c r="B15" s="449">
        <f t="shared" si="8"/>
        <v>0</v>
      </c>
      <c r="C15" s="456">
        <v>44359</v>
      </c>
      <c r="D15" s="443">
        <f t="shared" si="9"/>
        <v>32911138</v>
      </c>
      <c r="E15" s="444">
        <f t="shared" si="10"/>
        <v>0</v>
      </c>
      <c r="F15" s="443">
        <f t="shared" si="11"/>
        <v>4031925</v>
      </c>
      <c r="G15" s="311">
        <f t="shared" si="0"/>
        <v>0</v>
      </c>
      <c r="H15" s="443">
        <f t="shared" si="12"/>
        <v>17885062</v>
      </c>
      <c r="I15" s="311">
        <f t="shared" si="25"/>
        <v>0</v>
      </c>
      <c r="J15" s="443">
        <f t="shared" si="13"/>
        <v>29128686</v>
      </c>
      <c r="K15" s="311">
        <f t="shared" si="26"/>
        <v>0</v>
      </c>
      <c r="L15" s="443">
        <f t="shared" si="14"/>
        <v>24237542</v>
      </c>
      <c r="M15" s="311">
        <f t="shared" si="27"/>
        <v>0</v>
      </c>
      <c r="N15" s="310">
        <f t="shared" si="28"/>
        <v>0</v>
      </c>
      <c r="O15" s="465">
        <f t="shared" si="38"/>
        <v>0</v>
      </c>
      <c r="P15" s="587">
        <f t="shared" si="15"/>
        <v>17216.967000000001</v>
      </c>
      <c r="Q15" s="447">
        <f t="shared" ref="Q15:Q31" si="40">(P15-P14)*1000</f>
        <v>0</v>
      </c>
      <c r="R15" s="447">
        <f t="shared" ref="R15:R31" si="41">N15-Q15</f>
        <v>0</v>
      </c>
      <c r="S15" s="443">
        <f t="shared" si="16"/>
        <v>10175</v>
      </c>
      <c r="T15" s="467">
        <f t="shared" si="3"/>
        <v>0</v>
      </c>
      <c r="U15" s="443">
        <f t="shared" si="17"/>
        <v>429166</v>
      </c>
      <c r="V15" s="447">
        <f t="shared" si="29"/>
        <v>0</v>
      </c>
      <c r="W15" s="443">
        <f t="shared" si="18"/>
        <v>32562</v>
      </c>
      <c r="X15" s="447">
        <f t="shared" si="35"/>
        <v>0</v>
      </c>
      <c r="Y15" s="443">
        <f t="shared" si="19"/>
        <v>775030</v>
      </c>
      <c r="Z15" s="447">
        <f t="shared" si="33"/>
        <v>0</v>
      </c>
      <c r="AA15" s="443">
        <f t="shared" si="20"/>
        <v>35939</v>
      </c>
      <c r="AB15" s="447">
        <f t="shared" si="30"/>
        <v>0</v>
      </c>
      <c r="AC15" s="443">
        <f t="shared" si="21"/>
        <v>961645</v>
      </c>
      <c r="AD15" s="447">
        <f t="shared" si="31"/>
        <v>0</v>
      </c>
      <c r="AE15" s="470">
        <f t="shared" si="22"/>
        <v>0</v>
      </c>
      <c r="AF15" s="471">
        <f t="shared" si="5"/>
        <v>0</v>
      </c>
      <c r="AG15" s="463">
        <f t="shared" si="39"/>
        <v>0</v>
      </c>
      <c r="AI15" s="464">
        <f>R15-'EDl log'!B15</f>
        <v>-1058175</v>
      </c>
      <c r="AK15" s="616">
        <v>44359</v>
      </c>
      <c r="AL15" s="641">
        <f t="shared" si="23"/>
        <v>335894</v>
      </c>
      <c r="AM15" s="641">
        <f t="shared" si="24"/>
        <v>431172</v>
      </c>
      <c r="AN15" s="641">
        <f t="shared" si="36"/>
        <v>767066</v>
      </c>
      <c r="AO15" s="617">
        <f t="shared" si="37"/>
        <v>0</v>
      </c>
    </row>
    <row r="16" spans="1:41">
      <c r="A16" s="455">
        <f>'General information '!F18</f>
        <v>0</v>
      </c>
      <c r="B16" s="449">
        <f t="shared" si="8"/>
        <v>0</v>
      </c>
      <c r="C16" s="456">
        <v>44360</v>
      </c>
      <c r="D16" s="443">
        <f t="shared" si="9"/>
        <v>32911138</v>
      </c>
      <c r="E16" s="444">
        <f t="shared" si="10"/>
        <v>0</v>
      </c>
      <c r="F16" s="443">
        <f t="shared" si="11"/>
        <v>4031925</v>
      </c>
      <c r="G16" s="311">
        <f t="shared" si="0"/>
        <v>0</v>
      </c>
      <c r="H16" s="443">
        <f t="shared" si="12"/>
        <v>17885062</v>
      </c>
      <c r="I16" s="311">
        <f t="shared" si="25"/>
        <v>0</v>
      </c>
      <c r="J16" s="443">
        <f t="shared" si="13"/>
        <v>29128686</v>
      </c>
      <c r="K16" s="311">
        <f t="shared" si="26"/>
        <v>0</v>
      </c>
      <c r="L16" s="443">
        <f t="shared" si="14"/>
        <v>24237542</v>
      </c>
      <c r="M16" s="311">
        <f t="shared" si="27"/>
        <v>0</v>
      </c>
      <c r="N16" s="310">
        <f t="shared" si="28"/>
        <v>0</v>
      </c>
      <c r="O16" s="465">
        <f t="shared" si="38"/>
        <v>0</v>
      </c>
      <c r="P16" s="587">
        <f t="shared" si="15"/>
        <v>17216.967000000001</v>
      </c>
      <c r="Q16" s="447">
        <f>(P16-P15)*1000</f>
        <v>0</v>
      </c>
      <c r="R16" s="447">
        <f t="shared" si="41"/>
        <v>0</v>
      </c>
      <c r="S16" s="443">
        <f t="shared" si="16"/>
        <v>10175</v>
      </c>
      <c r="T16" s="467">
        <f t="shared" si="3"/>
        <v>0</v>
      </c>
      <c r="U16" s="443">
        <f t="shared" si="17"/>
        <v>429166</v>
      </c>
      <c r="V16" s="447">
        <f t="shared" si="29"/>
        <v>0</v>
      </c>
      <c r="W16" s="443">
        <f t="shared" si="18"/>
        <v>32562</v>
      </c>
      <c r="X16" s="447">
        <f t="shared" si="35"/>
        <v>0</v>
      </c>
      <c r="Y16" s="443">
        <f t="shared" si="19"/>
        <v>775030</v>
      </c>
      <c r="Z16" s="447">
        <f t="shared" si="33"/>
        <v>0</v>
      </c>
      <c r="AA16" s="443">
        <f t="shared" si="20"/>
        <v>35939</v>
      </c>
      <c r="AB16" s="447">
        <f t="shared" si="30"/>
        <v>0</v>
      </c>
      <c r="AC16" s="443">
        <f t="shared" si="21"/>
        <v>961645</v>
      </c>
      <c r="AD16" s="447">
        <f t="shared" si="31"/>
        <v>0</v>
      </c>
      <c r="AE16" s="470">
        <f t="shared" si="22"/>
        <v>0</v>
      </c>
      <c r="AF16" s="471">
        <f t="shared" si="5"/>
        <v>0</v>
      </c>
      <c r="AG16" s="463">
        <f t="shared" si="39"/>
        <v>0</v>
      </c>
      <c r="AI16" s="464">
        <f>R16-'EDl log'!B16</f>
        <v>-1058175</v>
      </c>
      <c r="AK16" s="616">
        <v>44360</v>
      </c>
      <c r="AL16" s="641">
        <f t="shared" si="23"/>
        <v>335894</v>
      </c>
      <c r="AM16" s="641">
        <f t="shared" si="24"/>
        <v>431172</v>
      </c>
      <c r="AN16" s="641">
        <f t="shared" si="36"/>
        <v>767066</v>
      </c>
      <c r="AO16" s="617">
        <f t="shared" si="37"/>
        <v>0</v>
      </c>
    </row>
    <row r="17" spans="1:41">
      <c r="A17" s="455">
        <f>'General information '!F19</f>
        <v>0</v>
      </c>
      <c r="B17" s="449">
        <f t="shared" si="8"/>
        <v>0</v>
      </c>
      <c r="C17" s="456">
        <v>44361</v>
      </c>
      <c r="D17" s="443">
        <f t="shared" si="9"/>
        <v>32911138</v>
      </c>
      <c r="E17" s="444">
        <f t="shared" si="10"/>
        <v>0</v>
      </c>
      <c r="F17" s="443">
        <f t="shared" si="11"/>
        <v>4031925</v>
      </c>
      <c r="G17" s="311">
        <f t="shared" si="0"/>
        <v>0</v>
      </c>
      <c r="H17" s="443">
        <f t="shared" si="12"/>
        <v>17885062</v>
      </c>
      <c r="I17" s="311">
        <f t="shared" si="25"/>
        <v>0</v>
      </c>
      <c r="J17" s="443">
        <f t="shared" si="13"/>
        <v>29128686</v>
      </c>
      <c r="K17" s="311">
        <f t="shared" si="26"/>
        <v>0</v>
      </c>
      <c r="L17" s="443">
        <f t="shared" si="14"/>
        <v>24237542</v>
      </c>
      <c r="M17" s="311">
        <f t="shared" si="27"/>
        <v>0</v>
      </c>
      <c r="N17" s="310">
        <f t="shared" si="28"/>
        <v>0</v>
      </c>
      <c r="O17" s="465">
        <f t="shared" si="38"/>
        <v>0</v>
      </c>
      <c r="P17" s="587">
        <f t="shared" si="15"/>
        <v>17216.967000000001</v>
      </c>
      <c r="Q17" s="447">
        <f t="shared" si="40"/>
        <v>0</v>
      </c>
      <c r="R17" s="447">
        <f t="shared" si="41"/>
        <v>0</v>
      </c>
      <c r="S17" s="443">
        <f t="shared" si="16"/>
        <v>10175</v>
      </c>
      <c r="T17" s="467">
        <f t="shared" si="3"/>
        <v>0</v>
      </c>
      <c r="U17" s="443">
        <f t="shared" si="17"/>
        <v>429166</v>
      </c>
      <c r="V17" s="447">
        <f t="shared" si="29"/>
        <v>0</v>
      </c>
      <c r="W17" s="443">
        <f t="shared" si="18"/>
        <v>32562</v>
      </c>
      <c r="X17" s="447">
        <f>W17-W16</f>
        <v>0</v>
      </c>
      <c r="Y17" s="443">
        <f t="shared" si="19"/>
        <v>775030</v>
      </c>
      <c r="Z17" s="447">
        <f>Y17-Y16</f>
        <v>0</v>
      </c>
      <c r="AA17" s="443">
        <f t="shared" si="20"/>
        <v>35939</v>
      </c>
      <c r="AB17" s="447">
        <f>AA17-AA16</f>
        <v>0</v>
      </c>
      <c r="AC17" s="443">
        <f t="shared" si="21"/>
        <v>961645</v>
      </c>
      <c r="AD17" s="447">
        <f t="shared" si="31"/>
        <v>0</v>
      </c>
      <c r="AE17" s="470">
        <f t="shared" si="22"/>
        <v>0</v>
      </c>
      <c r="AF17" s="471">
        <f t="shared" si="5"/>
        <v>0</v>
      </c>
      <c r="AG17" s="463">
        <f t="shared" si="39"/>
        <v>0</v>
      </c>
      <c r="AI17" s="464">
        <f>R17-'EDl log'!B17</f>
        <v>-1058175</v>
      </c>
      <c r="AK17" s="616">
        <v>44361</v>
      </c>
      <c r="AL17" s="641">
        <f t="shared" si="23"/>
        <v>335894</v>
      </c>
      <c r="AM17" s="641">
        <f t="shared" si="24"/>
        <v>431172</v>
      </c>
      <c r="AN17" s="641">
        <f t="shared" si="36"/>
        <v>767066</v>
      </c>
      <c r="AO17" s="617">
        <f t="shared" si="37"/>
        <v>0</v>
      </c>
    </row>
    <row r="18" spans="1:41">
      <c r="A18" s="455">
        <f>'General information '!F20</f>
        <v>0</v>
      </c>
      <c r="B18" s="449">
        <f t="shared" si="8"/>
        <v>0</v>
      </c>
      <c r="C18" s="456">
        <v>44362</v>
      </c>
      <c r="D18" s="443">
        <f t="shared" si="9"/>
        <v>32911138</v>
      </c>
      <c r="E18" s="444">
        <f t="shared" si="10"/>
        <v>0</v>
      </c>
      <c r="F18" s="443">
        <f t="shared" si="11"/>
        <v>4031925</v>
      </c>
      <c r="G18" s="311">
        <f t="shared" si="0"/>
        <v>0</v>
      </c>
      <c r="H18" s="443">
        <f t="shared" si="12"/>
        <v>17885062</v>
      </c>
      <c r="I18" s="311">
        <f t="shared" si="25"/>
        <v>0</v>
      </c>
      <c r="J18" s="443">
        <f t="shared" si="13"/>
        <v>29128686</v>
      </c>
      <c r="K18" s="311">
        <f t="shared" si="26"/>
        <v>0</v>
      </c>
      <c r="L18" s="443">
        <f t="shared" si="14"/>
        <v>24237542</v>
      </c>
      <c r="M18" s="311">
        <f t="shared" si="27"/>
        <v>0</v>
      </c>
      <c r="N18" s="310">
        <f t="shared" si="28"/>
        <v>0</v>
      </c>
      <c r="O18" s="465">
        <f t="shared" si="38"/>
        <v>0</v>
      </c>
      <c r="P18" s="587">
        <f t="shared" si="15"/>
        <v>17216.967000000001</v>
      </c>
      <c r="Q18" s="447">
        <f t="shared" si="40"/>
        <v>0</v>
      </c>
      <c r="R18" s="447">
        <f t="shared" si="41"/>
        <v>0</v>
      </c>
      <c r="S18" s="443">
        <f t="shared" si="16"/>
        <v>10175</v>
      </c>
      <c r="T18" s="467">
        <f t="shared" si="3"/>
        <v>0</v>
      </c>
      <c r="U18" s="443">
        <f t="shared" si="17"/>
        <v>429166</v>
      </c>
      <c r="V18" s="447">
        <f t="shared" si="29"/>
        <v>0</v>
      </c>
      <c r="W18" s="443">
        <f t="shared" si="18"/>
        <v>32562</v>
      </c>
      <c r="X18" s="447">
        <f t="shared" si="35"/>
        <v>0</v>
      </c>
      <c r="Y18" s="443">
        <f t="shared" si="19"/>
        <v>775030</v>
      </c>
      <c r="Z18" s="447">
        <f t="shared" si="33"/>
        <v>0</v>
      </c>
      <c r="AA18" s="443">
        <f t="shared" si="20"/>
        <v>35939</v>
      </c>
      <c r="AB18" s="447">
        <f t="shared" si="30"/>
        <v>0</v>
      </c>
      <c r="AC18" s="443">
        <f t="shared" si="21"/>
        <v>961645</v>
      </c>
      <c r="AD18" s="447">
        <f t="shared" ref="AD18:AD31" si="42">AC18-AC17</f>
        <v>0</v>
      </c>
      <c r="AE18" s="470">
        <f t="shared" si="22"/>
        <v>0</v>
      </c>
      <c r="AF18" s="471">
        <f t="shared" si="5"/>
        <v>0</v>
      </c>
      <c r="AG18" s="463">
        <f t="shared" si="39"/>
        <v>0</v>
      </c>
      <c r="AI18" s="464">
        <f>R18-'EDl log'!B18</f>
        <v>-1058175</v>
      </c>
      <c r="AK18" s="616">
        <v>44362</v>
      </c>
      <c r="AL18" s="641">
        <f t="shared" si="23"/>
        <v>335894</v>
      </c>
      <c r="AM18" s="641">
        <f t="shared" si="24"/>
        <v>431172</v>
      </c>
      <c r="AN18" s="641">
        <f t="shared" si="36"/>
        <v>767066</v>
      </c>
      <c r="AO18" s="617">
        <f t="shared" si="37"/>
        <v>0</v>
      </c>
    </row>
    <row r="19" spans="1:41">
      <c r="A19" s="455">
        <f>'General information '!F21</f>
        <v>0</v>
      </c>
      <c r="B19" s="449">
        <f t="shared" si="8"/>
        <v>0</v>
      </c>
      <c r="C19" s="456">
        <v>44363</v>
      </c>
      <c r="D19" s="443">
        <f t="shared" si="9"/>
        <v>32911138</v>
      </c>
      <c r="E19" s="444">
        <f t="shared" si="10"/>
        <v>0</v>
      </c>
      <c r="F19" s="443">
        <f t="shared" si="11"/>
        <v>4031925</v>
      </c>
      <c r="G19" s="311">
        <f t="shared" si="0"/>
        <v>0</v>
      </c>
      <c r="H19" s="443">
        <f t="shared" si="12"/>
        <v>17885062</v>
      </c>
      <c r="I19" s="311">
        <f t="shared" si="25"/>
        <v>0</v>
      </c>
      <c r="J19" s="443">
        <f t="shared" si="13"/>
        <v>29128686</v>
      </c>
      <c r="K19" s="311">
        <f t="shared" si="26"/>
        <v>0</v>
      </c>
      <c r="L19" s="443">
        <f t="shared" si="14"/>
        <v>24237542</v>
      </c>
      <c r="M19" s="311">
        <f t="shared" si="27"/>
        <v>0</v>
      </c>
      <c r="N19" s="310">
        <f t="shared" si="28"/>
        <v>0</v>
      </c>
      <c r="O19" s="465">
        <f t="shared" si="38"/>
        <v>0</v>
      </c>
      <c r="P19" s="587">
        <f t="shared" si="15"/>
        <v>17216.967000000001</v>
      </c>
      <c r="Q19" s="447">
        <f t="shared" si="40"/>
        <v>0</v>
      </c>
      <c r="R19" s="447">
        <f t="shared" si="41"/>
        <v>0</v>
      </c>
      <c r="S19" s="443">
        <f t="shared" si="16"/>
        <v>10175</v>
      </c>
      <c r="T19" s="467">
        <f t="shared" si="3"/>
        <v>0</v>
      </c>
      <c r="U19" s="443">
        <f t="shared" si="17"/>
        <v>429166</v>
      </c>
      <c r="V19" s="447">
        <f t="shared" si="29"/>
        <v>0</v>
      </c>
      <c r="W19" s="443">
        <f t="shared" si="18"/>
        <v>32562</v>
      </c>
      <c r="X19" s="447">
        <f t="shared" si="35"/>
        <v>0</v>
      </c>
      <c r="Y19" s="443">
        <f t="shared" si="19"/>
        <v>775030</v>
      </c>
      <c r="Z19" s="447">
        <f t="shared" si="33"/>
        <v>0</v>
      </c>
      <c r="AA19" s="443">
        <f t="shared" si="20"/>
        <v>35939</v>
      </c>
      <c r="AB19" s="447">
        <f t="shared" si="30"/>
        <v>0</v>
      </c>
      <c r="AC19" s="443">
        <f t="shared" si="21"/>
        <v>961645</v>
      </c>
      <c r="AD19" s="447">
        <f t="shared" si="42"/>
        <v>0</v>
      </c>
      <c r="AE19" s="470">
        <f t="shared" si="22"/>
        <v>0</v>
      </c>
      <c r="AF19" s="471">
        <f t="shared" si="5"/>
        <v>0</v>
      </c>
      <c r="AG19" s="463">
        <f t="shared" si="39"/>
        <v>0</v>
      </c>
      <c r="AI19" s="464">
        <f>R19-'EDl log'!B19</f>
        <v>-1058175</v>
      </c>
      <c r="AK19" s="616">
        <v>44363</v>
      </c>
      <c r="AL19" s="641">
        <f t="shared" si="23"/>
        <v>335894</v>
      </c>
      <c r="AM19" s="641">
        <f t="shared" si="24"/>
        <v>431172</v>
      </c>
      <c r="AN19" s="641">
        <f t="shared" si="36"/>
        <v>767066</v>
      </c>
      <c r="AO19" s="617">
        <f t="shared" si="37"/>
        <v>0</v>
      </c>
    </row>
    <row r="20" spans="1:41">
      <c r="A20" s="455">
        <f>'General information '!F22</f>
        <v>0</v>
      </c>
      <c r="B20" s="449">
        <f t="shared" si="8"/>
        <v>0</v>
      </c>
      <c r="C20" s="456">
        <v>44364</v>
      </c>
      <c r="D20" s="443">
        <f t="shared" si="9"/>
        <v>32911138</v>
      </c>
      <c r="E20" s="444">
        <f t="shared" si="10"/>
        <v>0</v>
      </c>
      <c r="F20" s="443">
        <f t="shared" si="11"/>
        <v>4031925</v>
      </c>
      <c r="G20" s="311">
        <f t="shared" si="0"/>
        <v>0</v>
      </c>
      <c r="H20" s="443">
        <f t="shared" si="12"/>
        <v>17885062</v>
      </c>
      <c r="I20" s="311">
        <f t="shared" si="25"/>
        <v>0</v>
      </c>
      <c r="J20" s="443">
        <f t="shared" si="13"/>
        <v>29128686</v>
      </c>
      <c r="K20" s="311">
        <f t="shared" si="26"/>
        <v>0</v>
      </c>
      <c r="L20" s="443">
        <f t="shared" si="14"/>
        <v>24237542</v>
      </c>
      <c r="M20" s="311">
        <f t="shared" si="27"/>
        <v>0</v>
      </c>
      <c r="N20" s="310">
        <f t="shared" si="28"/>
        <v>0</v>
      </c>
      <c r="O20" s="465">
        <f t="shared" si="38"/>
        <v>0</v>
      </c>
      <c r="P20" s="587">
        <f t="shared" si="15"/>
        <v>17216.967000000001</v>
      </c>
      <c r="Q20" s="447">
        <f t="shared" si="40"/>
        <v>0</v>
      </c>
      <c r="R20" s="447">
        <f t="shared" si="41"/>
        <v>0</v>
      </c>
      <c r="S20" s="443">
        <f t="shared" si="16"/>
        <v>10175</v>
      </c>
      <c r="T20" s="467">
        <f t="shared" si="3"/>
        <v>0</v>
      </c>
      <c r="U20" s="443">
        <f t="shared" si="17"/>
        <v>429166</v>
      </c>
      <c r="V20" s="447">
        <f t="shared" si="29"/>
        <v>0</v>
      </c>
      <c r="W20" s="443">
        <f t="shared" si="18"/>
        <v>32562</v>
      </c>
      <c r="X20" s="447">
        <f t="shared" si="35"/>
        <v>0</v>
      </c>
      <c r="Y20" s="443">
        <f t="shared" si="19"/>
        <v>775030</v>
      </c>
      <c r="Z20" s="447">
        <f t="shared" si="33"/>
        <v>0</v>
      </c>
      <c r="AA20" s="443">
        <f t="shared" si="20"/>
        <v>35939</v>
      </c>
      <c r="AB20" s="447">
        <f t="shared" si="30"/>
        <v>0</v>
      </c>
      <c r="AC20" s="443">
        <f t="shared" si="21"/>
        <v>961645</v>
      </c>
      <c r="AD20" s="447">
        <f t="shared" si="42"/>
        <v>0</v>
      </c>
      <c r="AE20" s="470">
        <f t="shared" si="22"/>
        <v>0</v>
      </c>
      <c r="AF20" s="471">
        <f t="shared" si="5"/>
        <v>0</v>
      </c>
      <c r="AG20" s="463">
        <f t="shared" si="39"/>
        <v>0</v>
      </c>
      <c r="AI20" s="464">
        <f>R20-'EDl log'!B20</f>
        <v>-1058175</v>
      </c>
      <c r="AK20" s="616">
        <v>44364</v>
      </c>
      <c r="AL20" s="641">
        <f t="shared" si="23"/>
        <v>335894</v>
      </c>
      <c r="AM20" s="641">
        <f t="shared" si="24"/>
        <v>431172</v>
      </c>
      <c r="AN20" s="641">
        <f t="shared" si="36"/>
        <v>767066</v>
      </c>
      <c r="AO20" s="617">
        <f t="shared" si="37"/>
        <v>0</v>
      </c>
    </row>
    <row r="21" spans="1:41">
      <c r="A21" s="455">
        <f>'General information '!F23</f>
        <v>0</v>
      </c>
      <c r="B21" s="449">
        <f t="shared" si="8"/>
        <v>0</v>
      </c>
      <c r="C21" s="456">
        <v>44365</v>
      </c>
      <c r="D21" s="443">
        <f t="shared" si="9"/>
        <v>32911138</v>
      </c>
      <c r="E21" s="444">
        <f t="shared" si="10"/>
        <v>0</v>
      </c>
      <c r="F21" s="443">
        <f t="shared" si="11"/>
        <v>4031925</v>
      </c>
      <c r="G21" s="311">
        <f t="shared" si="0"/>
        <v>0</v>
      </c>
      <c r="H21" s="443">
        <f t="shared" si="12"/>
        <v>17885062</v>
      </c>
      <c r="I21" s="311">
        <f t="shared" si="25"/>
        <v>0</v>
      </c>
      <c r="J21" s="443">
        <f t="shared" si="13"/>
        <v>29128686</v>
      </c>
      <c r="K21" s="311">
        <f t="shared" si="26"/>
        <v>0</v>
      </c>
      <c r="L21" s="443">
        <f t="shared" si="14"/>
        <v>24237542</v>
      </c>
      <c r="M21" s="311">
        <f t="shared" si="27"/>
        <v>0</v>
      </c>
      <c r="N21" s="310">
        <f t="shared" si="28"/>
        <v>0</v>
      </c>
      <c r="O21" s="465">
        <f t="shared" si="38"/>
        <v>0</v>
      </c>
      <c r="P21" s="587">
        <f t="shared" si="15"/>
        <v>17216.967000000001</v>
      </c>
      <c r="Q21" s="447">
        <f>(P21-P20)*1000</f>
        <v>0</v>
      </c>
      <c r="R21" s="447">
        <f t="shared" si="41"/>
        <v>0</v>
      </c>
      <c r="S21" s="443">
        <f t="shared" si="16"/>
        <v>10175</v>
      </c>
      <c r="T21" s="467">
        <f t="shared" si="3"/>
        <v>0</v>
      </c>
      <c r="U21" s="443">
        <f t="shared" si="17"/>
        <v>429166</v>
      </c>
      <c r="V21" s="447">
        <f t="shared" si="29"/>
        <v>0</v>
      </c>
      <c r="W21" s="443">
        <f t="shared" si="18"/>
        <v>32562</v>
      </c>
      <c r="X21" s="447">
        <f t="shared" si="35"/>
        <v>0</v>
      </c>
      <c r="Y21" s="443">
        <f t="shared" si="19"/>
        <v>775030</v>
      </c>
      <c r="Z21" s="447">
        <f t="shared" si="33"/>
        <v>0</v>
      </c>
      <c r="AA21" s="443">
        <f t="shared" si="20"/>
        <v>35939</v>
      </c>
      <c r="AB21" s="447">
        <f t="shared" si="30"/>
        <v>0</v>
      </c>
      <c r="AC21" s="443">
        <f t="shared" si="21"/>
        <v>961645</v>
      </c>
      <c r="AD21" s="447">
        <f t="shared" si="42"/>
        <v>0</v>
      </c>
      <c r="AE21" s="470">
        <f t="shared" si="22"/>
        <v>0</v>
      </c>
      <c r="AF21" s="471">
        <f t="shared" si="5"/>
        <v>0</v>
      </c>
      <c r="AG21" s="463">
        <f t="shared" si="39"/>
        <v>0</v>
      </c>
      <c r="AI21" s="464">
        <f>R21-'EDl log'!B21</f>
        <v>-1058175</v>
      </c>
      <c r="AK21" s="616">
        <v>44365</v>
      </c>
      <c r="AL21" s="641">
        <f t="shared" si="23"/>
        <v>335894</v>
      </c>
      <c r="AM21" s="641">
        <f t="shared" si="24"/>
        <v>431172</v>
      </c>
      <c r="AN21" s="641">
        <f t="shared" si="36"/>
        <v>767066</v>
      </c>
      <c r="AO21" s="617">
        <f t="shared" si="37"/>
        <v>0</v>
      </c>
    </row>
    <row r="22" spans="1:41">
      <c r="A22" s="455">
        <f>'General information '!F24</f>
        <v>0</v>
      </c>
      <c r="B22" s="449">
        <f t="shared" si="8"/>
        <v>0</v>
      </c>
      <c r="C22" s="456">
        <v>44366</v>
      </c>
      <c r="D22" s="443">
        <f t="shared" si="9"/>
        <v>32911138</v>
      </c>
      <c r="E22" s="444">
        <f t="shared" si="10"/>
        <v>0</v>
      </c>
      <c r="F22" s="443">
        <f t="shared" si="11"/>
        <v>4031925</v>
      </c>
      <c r="G22" s="311">
        <f t="shared" si="0"/>
        <v>0</v>
      </c>
      <c r="H22" s="443">
        <f t="shared" si="12"/>
        <v>17885062</v>
      </c>
      <c r="I22" s="311">
        <f t="shared" si="25"/>
        <v>0</v>
      </c>
      <c r="J22" s="443">
        <f t="shared" si="13"/>
        <v>29128686</v>
      </c>
      <c r="K22" s="311">
        <f t="shared" si="26"/>
        <v>0</v>
      </c>
      <c r="L22" s="443">
        <f t="shared" si="14"/>
        <v>24237542</v>
      </c>
      <c r="M22" s="311">
        <f t="shared" si="27"/>
        <v>0</v>
      </c>
      <c r="N22" s="310">
        <f t="shared" si="28"/>
        <v>0</v>
      </c>
      <c r="O22" s="465">
        <f t="shared" si="38"/>
        <v>0</v>
      </c>
      <c r="P22" s="587">
        <f t="shared" si="15"/>
        <v>17216.967000000001</v>
      </c>
      <c r="Q22" s="447">
        <f t="shared" si="40"/>
        <v>0</v>
      </c>
      <c r="R22" s="447">
        <f t="shared" si="41"/>
        <v>0</v>
      </c>
      <c r="S22" s="443">
        <f t="shared" si="16"/>
        <v>10175</v>
      </c>
      <c r="T22" s="467">
        <f t="shared" si="3"/>
        <v>0</v>
      </c>
      <c r="U22" s="443">
        <f t="shared" si="17"/>
        <v>429166</v>
      </c>
      <c r="V22" s="447">
        <f t="shared" si="29"/>
        <v>0</v>
      </c>
      <c r="W22" s="443">
        <f t="shared" si="18"/>
        <v>32562</v>
      </c>
      <c r="X22" s="447">
        <f t="shared" si="35"/>
        <v>0</v>
      </c>
      <c r="Y22" s="443">
        <f t="shared" si="19"/>
        <v>775030</v>
      </c>
      <c r="Z22" s="447">
        <f t="shared" si="33"/>
        <v>0</v>
      </c>
      <c r="AA22" s="443">
        <f t="shared" si="20"/>
        <v>35939</v>
      </c>
      <c r="AB22" s="447">
        <f t="shared" si="30"/>
        <v>0</v>
      </c>
      <c r="AC22" s="443">
        <f t="shared" si="21"/>
        <v>961645</v>
      </c>
      <c r="AD22" s="447">
        <f t="shared" si="42"/>
        <v>0</v>
      </c>
      <c r="AE22" s="470">
        <f t="shared" si="22"/>
        <v>0</v>
      </c>
      <c r="AF22" s="471">
        <f t="shared" si="5"/>
        <v>0</v>
      </c>
      <c r="AG22" s="463">
        <f t="shared" si="39"/>
        <v>0</v>
      </c>
      <c r="AI22" s="464">
        <f>R22-'EDl log'!B22</f>
        <v>-1058175</v>
      </c>
      <c r="AK22" s="616">
        <v>44366</v>
      </c>
      <c r="AL22" s="641">
        <f t="shared" si="23"/>
        <v>335894</v>
      </c>
      <c r="AM22" s="641">
        <f t="shared" si="24"/>
        <v>431172</v>
      </c>
      <c r="AN22" s="641">
        <f t="shared" si="36"/>
        <v>767066</v>
      </c>
      <c r="AO22" s="617">
        <f t="shared" si="37"/>
        <v>0</v>
      </c>
    </row>
    <row r="23" spans="1:41">
      <c r="A23" s="455">
        <f>'General information '!F25</f>
        <v>0</v>
      </c>
      <c r="B23" s="449">
        <f t="shared" si="8"/>
        <v>0</v>
      </c>
      <c r="C23" s="456">
        <v>44367</v>
      </c>
      <c r="D23" s="443">
        <f t="shared" si="9"/>
        <v>32911138</v>
      </c>
      <c r="E23" s="444">
        <f t="shared" si="10"/>
        <v>0</v>
      </c>
      <c r="F23" s="443">
        <f t="shared" si="11"/>
        <v>4031925</v>
      </c>
      <c r="G23" s="311">
        <f t="shared" si="0"/>
        <v>0</v>
      </c>
      <c r="H23" s="443">
        <f t="shared" si="12"/>
        <v>17885062</v>
      </c>
      <c r="I23" s="311">
        <f t="shared" si="25"/>
        <v>0</v>
      </c>
      <c r="J23" s="443">
        <f t="shared" si="13"/>
        <v>29128686</v>
      </c>
      <c r="K23" s="311">
        <f t="shared" si="26"/>
        <v>0</v>
      </c>
      <c r="L23" s="443">
        <f t="shared" si="14"/>
        <v>24237542</v>
      </c>
      <c r="M23" s="311">
        <f t="shared" si="27"/>
        <v>0</v>
      </c>
      <c r="N23" s="310">
        <f t="shared" si="28"/>
        <v>0</v>
      </c>
      <c r="O23" s="465">
        <f t="shared" si="38"/>
        <v>0</v>
      </c>
      <c r="P23" s="587">
        <f t="shared" si="15"/>
        <v>17216.967000000001</v>
      </c>
      <c r="Q23" s="447">
        <f t="shared" si="40"/>
        <v>0</v>
      </c>
      <c r="R23" s="447">
        <f t="shared" si="41"/>
        <v>0</v>
      </c>
      <c r="S23" s="443">
        <f t="shared" si="16"/>
        <v>10175</v>
      </c>
      <c r="T23" s="467">
        <f t="shared" si="3"/>
        <v>0</v>
      </c>
      <c r="U23" s="443">
        <f t="shared" si="17"/>
        <v>429166</v>
      </c>
      <c r="V23" s="447">
        <f t="shared" si="29"/>
        <v>0</v>
      </c>
      <c r="W23" s="443">
        <f t="shared" si="18"/>
        <v>32562</v>
      </c>
      <c r="X23" s="447">
        <f t="shared" si="35"/>
        <v>0</v>
      </c>
      <c r="Y23" s="443">
        <f t="shared" si="19"/>
        <v>775030</v>
      </c>
      <c r="Z23" s="447">
        <f t="shared" si="33"/>
        <v>0</v>
      </c>
      <c r="AA23" s="443">
        <f t="shared" si="20"/>
        <v>35939</v>
      </c>
      <c r="AB23" s="447">
        <f t="shared" si="30"/>
        <v>0</v>
      </c>
      <c r="AC23" s="443">
        <f t="shared" si="21"/>
        <v>961645</v>
      </c>
      <c r="AD23" s="447">
        <f t="shared" si="42"/>
        <v>0</v>
      </c>
      <c r="AE23" s="470">
        <f t="shared" si="22"/>
        <v>0</v>
      </c>
      <c r="AF23" s="471">
        <f t="shared" si="5"/>
        <v>0</v>
      </c>
      <c r="AG23" s="463">
        <f t="shared" si="39"/>
        <v>0</v>
      </c>
      <c r="AI23" s="464">
        <f>R23-'EDl log'!B23</f>
        <v>-1058175</v>
      </c>
      <c r="AK23" s="616">
        <v>44367</v>
      </c>
      <c r="AL23" s="641">
        <f t="shared" si="23"/>
        <v>335894</v>
      </c>
      <c r="AM23" s="641">
        <f t="shared" si="24"/>
        <v>431172</v>
      </c>
      <c r="AN23" s="641">
        <f t="shared" si="36"/>
        <v>767066</v>
      </c>
      <c r="AO23" s="617">
        <f t="shared" si="37"/>
        <v>0</v>
      </c>
    </row>
    <row r="24" spans="1:41">
      <c r="A24" s="455">
        <f>'General information '!F26</f>
        <v>0</v>
      </c>
      <c r="B24" s="449">
        <f t="shared" si="8"/>
        <v>0</v>
      </c>
      <c r="C24" s="456">
        <v>44368</v>
      </c>
      <c r="D24" s="443">
        <f t="shared" si="9"/>
        <v>32911138</v>
      </c>
      <c r="E24" s="444">
        <f t="shared" si="10"/>
        <v>0</v>
      </c>
      <c r="F24" s="443">
        <f t="shared" si="11"/>
        <v>4031925</v>
      </c>
      <c r="G24" s="311">
        <f t="shared" si="0"/>
        <v>0</v>
      </c>
      <c r="H24" s="443">
        <f t="shared" si="12"/>
        <v>17885062</v>
      </c>
      <c r="I24" s="436">
        <f t="shared" si="25"/>
        <v>0</v>
      </c>
      <c r="J24" s="443">
        <f t="shared" si="13"/>
        <v>29128686</v>
      </c>
      <c r="K24" s="311">
        <f t="shared" si="26"/>
        <v>0</v>
      </c>
      <c r="L24" s="443">
        <f t="shared" si="14"/>
        <v>24237542</v>
      </c>
      <c r="M24" s="311">
        <f t="shared" si="27"/>
        <v>0</v>
      </c>
      <c r="N24" s="310">
        <f t="shared" si="28"/>
        <v>0</v>
      </c>
      <c r="O24" s="465">
        <f t="shared" si="38"/>
        <v>0</v>
      </c>
      <c r="P24" s="587">
        <f t="shared" si="15"/>
        <v>17216.967000000001</v>
      </c>
      <c r="Q24" s="447">
        <f t="shared" si="40"/>
        <v>0</v>
      </c>
      <c r="R24" s="447">
        <f t="shared" si="41"/>
        <v>0</v>
      </c>
      <c r="S24" s="443">
        <f t="shared" si="16"/>
        <v>10175</v>
      </c>
      <c r="T24" s="467">
        <f t="shared" si="3"/>
        <v>0</v>
      </c>
      <c r="U24" s="443">
        <f t="shared" si="17"/>
        <v>429166</v>
      </c>
      <c r="V24" s="447">
        <f t="shared" si="29"/>
        <v>0</v>
      </c>
      <c r="W24" s="443">
        <f t="shared" si="18"/>
        <v>32562</v>
      </c>
      <c r="X24" s="447">
        <f t="shared" si="35"/>
        <v>0</v>
      </c>
      <c r="Y24" s="443">
        <f t="shared" si="19"/>
        <v>775030</v>
      </c>
      <c r="Z24" s="447">
        <f t="shared" si="33"/>
        <v>0</v>
      </c>
      <c r="AA24" s="443">
        <f t="shared" si="20"/>
        <v>35939</v>
      </c>
      <c r="AB24" s="447">
        <f t="shared" si="30"/>
        <v>0</v>
      </c>
      <c r="AC24" s="443">
        <f t="shared" si="21"/>
        <v>961645</v>
      </c>
      <c r="AD24" s="447">
        <f t="shared" si="42"/>
        <v>0</v>
      </c>
      <c r="AE24" s="470">
        <f t="shared" si="22"/>
        <v>0</v>
      </c>
      <c r="AF24" s="471">
        <f t="shared" si="5"/>
        <v>0</v>
      </c>
      <c r="AG24" s="463">
        <f t="shared" si="39"/>
        <v>0</v>
      </c>
      <c r="AI24" s="464">
        <f>R24-'EDl log'!B24</f>
        <v>-1058175</v>
      </c>
      <c r="AK24" s="616">
        <v>44368</v>
      </c>
      <c r="AL24" s="641">
        <f t="shared" si="23"/>
        <v>335894</v>
      </c>
      <c r="AM24" s="641">
        <f t="shared" si="24"/>
        <v>431172</v>
      </c>
      <c r="AN24" s="641">
        <f t="shared" si="36"/>
        <v>767066</v>
      </c>
      <c r="AO24" s="617">
        <f t="shared" si="37"/>
        <v>0</v>
      </c>
    </row>
    <row r="25" spans="1:41">
      <c r="A25" s="455">
        <f>'General information '!F27</f>
        <v>0</v>
      </c>
      <c r="B25" s="449">
        <f t="shared" si="8"/>
        <v>0</v>
      </c>
      <c r="C25" s="456">
        <v>44369</v>
      </c>
      <c r="D25" s="443">
        <f t="shared" si="9"/>
        <v>32911138</v>
      </c>
      <c r="E25" s="444">
        <f t="shared" si="10"/>
        <v>0</v>
      </c>
      <c r="F25" s="443">
        <f t="shared" si="11"/>
        <v>4031925</v>
      </c>
      <c r="G25" s="311">
        <f t="shared" si="0"/>
        <v>0</v>
      </c>
      <c r="H25" s="443">
        <f t="shared" si="12"/>
        <v>17885062</v>
      </c>
      <c r="I25" s="311">
        <f t="shared" si="25"/>
        <v>0</v>
      </c>
      <c r="J25" s="443">
        <f t="shared" si="13"/>
        <v>29128686</v>
      </c>
      <c r="K25" s="311">
        <f t="shared" si="26"/>
        <v>0</v>
      </c>
      <c r="L25" s="443">
        <f t="shared" si="14"/>
        <v>24237542</v>
      </c>
      <c r="M25" s="311">
        <f t="shared" si="27"/>
        <v>0</v>
      </c>
      <c r="N25" s="310">
        <f t="shared" si="28"/>
        <v>0</v>
      </c>
      <c r="O25" s="465">
        <f t="shared" si="38"/>
        <v>0</v>
      </c>
      <c r="P25" s="587">
        <f t="shared" si="15"/>
        <v>17216.967000000001</v>
      </c>
      <c r="Q25" s="447">
        <f t="shared" si="40"/>
        <v>0</v>
      </c>
      <c r="R25" s="447">
        <f t="shared" si="41"/>
        <v>0</v>
      </c>
      <c r="S25" s="443">
        <f t="shared" si="16"/>
        <v>10175</v>
      </c>
      <c r="T25" s="467">
        <f t="shared" si="3"/>
        <v>0</v>
      </c>
      <c r="U25" s="443">
        <f t="shared" si="17"/>
        <v>429166</v>
      </c>
      <c r="V25" s="447">
        <f t="shared" si="29"/>
        <v>0</v>
      </c>
      <c r="W25" s="443">
        <f t="shared" si="18"/>
        <v>32562</v>
      </c>
      <c r="X25" s="447">
        <f t="shared" si="35"/>
        <v>0</v>
      </c>
      <c r="Y25" s="443">
        <f t="shared" si="19"/>
        <v>775030</v>
      </c>
      <c r="Z25" s="447">
        <f t="shared" si="33"/>
        <v>0</v>
      </c>
      <c r="AA25" s="443">
        <f t="shared" si="20"/>
        <v>35939</v>
      </c>
      <c r="AB25" s="447">
        <f t="shared" si="30"/>
        <v>0</v>
      </c>
      <c r="AC25" s="443">
        <f t="shared" si="21"/>
        <v>961645</v>
      </c>
      <c r="AD25" s="447">
        <f t="shared" si="42"/>
        <v>0</v>
      </c>
      <c r="AE25" s="470">
        <f t="shared" si="22"/>
        <v>0</v>
      </c>
      <c r="AF25" s="471">
        <f t="shared" si="5"/>
        <v>0</v>
      </c>
      <c r="AG25" s="463">
        <f t="shared" si="39"/>
        <v>0</v>
      </c>
      <c r="AI25" s="464">
        <f>R25-'EDl log'!B25</f>
        <v>-1058175</v>
      </c>
      <c r="AK25" s="616">
        <v>44369</v>
      </c>
      <c r="AL25" s="641">
        <f t="shared" si="23"/>
        <v>335894</v>
      </c>
      <c r="AM25" s="641">
        <f t="shared" si="24"/>
        <v>431172</v>
      </c>
      <c r="AN25" s="641">
        <f t="shared" si="36"/>
        <v>767066</v>
      </c>
      <c r="AO25" s="617">
        <f t="shared" si="37"/>
        <v>0</v>
      </c>
    </row>
    <row r="26" spans="1:41">
      <c r="A26" s="455">
        <f>'General information '!F28</f>
        <v>0</v>
      </c>
      <c r="B26" s="449">
        <f t="shared" si="8"/>
        <v>0</v>
      </c>
      <c r="C26" s="456">
        <v>44370</v>
      </c>
      <c r="D26" s="443">
        <f t="shared" si="9"/>
        <v>32911138</v>
      </c>
      <c r="E26" s="444">
        <f t="shared" si="10"/>
        <v>0</v>
      </c>
      <c r="F26" s="443">
        <f t="shared" si="11"/>
        <v>4031925</v>
      </c>
      <c r="G26" s="311">
        <f t="shared" si="0"/>
        <v>0</v>
      </c>
      <c r="H26" s="443">
        <f t="shared" si="12"/>
        <v>17885062</v>
      </c>
      <c r="I26" s="311">
        <f t="shared" si="25"/>
        <v>0</v>
      </c>
      <c r="J26" s="443">
        <f t="shared" si="13"/>
        <v>29128686</v>
      </c>
      <c r="K26" s="311">
        <f t="shared" si="26"/>
        <v>0</v>
      </c>
      <c r="L26" s="443">
        <f t="shared" si="14"/>
        <v>24237542</v>
      </c>
      <c r="M26" s="311">
        <f t="shared" si="27"/>
        <v>0</v>
      </c>
      <c r="N26" s="310">
        <f t="shared" si="28"/>
        <v>0</v>
      </c>
      <c r="O26" s="465">
        <f t="shared" si="38"/>
        <v>0</v>
      </c>
      <c r="P26" s="587">
        <f t="shared" si="15"/>
        <v>17216.967000000001</v>
      </c>
      <c r="Q26" s="447">
        <f t="shared" si="40"/>
        <v>0</v>
      </c>
      <c r="R26" s="447">
        <f t="shared" si="41"/>
        <v>0</v>
      </c>
      <c r="S26" s="443">
        <f t="shared" si="16"/>
        <v>10175</v>
      </c>
      <c r="T26" s="467">
        <f t="shared" si="3"/>
        <v>0</v>
      </c>
      <c r="U26" s="443">
        <f t="shared" si="17"/>
        <v>429166</v>
      </c>
      <c r="V26" s="447">
        <f t="shared" si="29"/>
        <v>0</v>
      </c>
      <c r="W26" s="443">
        <f t="shared" si="18"/>
        <v>32562</v>
      </c>
      <c r="X26" s="447">
        <f t="shared" si="35"/>
        <v>0</v>
      </c>
      <c r="Y26" s="443">
        <f t="shared" si="19"/>
        <v>775030</v>
      </c>
      <c r="Z26" s="447">
        <f t="shared" si="33"/>
        <v>0</v>
      </c>
      <c r="AA26" s="443">
        <f t="shared" si="20"/>
        <v>35939</v>
      </c>
      <c r="AB26" s="447">
        <f t="shared" si="30"/>
        <v>0</v>
      </c>
      <c r="AC26" s="443">
        <f t="shared" si="21"/>
        <v>961645</v>
      </c>
      <c r="AD26" s="447">
        <f t="shared" si="42"/>
        <v>0</v>
      </c>
      <c r="AE26" s="470">
        <f t="shared" si="22"/>
        <v>0</v>
      </c>
      <c r="AF26" s="471">
        <f t="shared" si="5"/>
        <v>0</v>
      </c>
      <c r="AG26" s="463">
        <f t="shared" si="39"/>
        <v>0</v>
      </c>
      <c r="AI26" s="464">
        <f>R26-'EDl log'!B26</f>
        <v>-1058175</v>
      </c>
      <c r="AK26" s="616">
        <v>44370</v>
      </c>
      <c r="AL26" s="641">
        <f t="shared" si="23"/>
        <v>335894</v>
      </c>
      <c r="AM26" s="641">
        <f t="shared" si="24"/>
        <v>431172</v>
      </c>
      <c r="AN26" s="641">
        <f t="shared" si="36"/>
        <v>767066</v>
      </c>
      <c r="AO26" s="617">
        <f t="shared" si="37"/>
        <v>0</v>
      </c>
    </row>
    <row r="27" spans="1:41">
      <c r="A27" s="455">
        <f>'General information '!F29</f>
        <v>0</v>
      </c>
      <c r="B27" s="449">
        <f t="shared" si="8"/>
        <v>0</v>
      </c>
      <c r="C27" s="456">
        <v>44371</v>
      </c>
      <c r="D27" s="443">
        <f t="shared" si="9"/>
        <v>32911138</v>
      </c>
      <c r="E27" s="444">
        <f t="shared" si="10"/>
        <v>0</v>
      </c>
      <c r="F27" s="443">
        <f t="shared" si="11"/>
        <v>4031925</v>
      </c>
      <c r="G27" s="311">
        <f t="shared" si="0"/>
        <v>0</v>
      </c>
      <c r="H27" s="443">
        <f t="shared" si="12"/>
        <v>17885062</v>
      </c>
      <c r="I27" s="311">
        <f t="shared" si="25"/>
        <v>0</v>
      </c>
      <c r="J27" s="443">
        <f t="shared" si="13"/>
        <v>29128686</v>
      </c>
      <c r="K27" s="311">
        <f t="shared" si="26"/>
        <v>0</v>
      </c>
      <c r="L27" s="443">
        <f t="shared" si="14"/>
        <v>24237542</v>
      </c>
      <c r="M27" s="311">
        <f t="shared" si="27"/>
        <v>0</v>
      </c>
      <c r="N27" s="310">
        <f t="shared" si="28"/>
        <v>0</v>
      </c>
      <c r="O27" s="465">
        <f t="shared" si="38"/>
        <v>0</v>
      </c>
      <c r="P27" s="587">
        <f t="shared" si="15"/>
        <v>17216.967000000001</v>
      </c>
      <c r="Q27" s="447">
        <f t="shared" si="40"/>
        <v>0</v>
      </c>
      <c r="R27" s="447">
        <f t="shared" si="41"/>
        <v>0</v>
      </c>
      <c r="S27" s="443">
        <f t="shared" si="16"/>
        <v>10175</v>
      </c>
      <c r="T27" s="467">
        <f t="shared" si="3"/>
        <v>0</v>
      </c>
      <c r="U27" s="443">
        <f t="shared" si="17"/>
        <v>429166</v>
      </c>
      <c r="V27" s="447">
        <f t="shared" si="29"/>
        <v>0</v>
      </c>
      <c r="W27" s="443">
        <f t="shared" si="18"/>
        <v>32562</v>
      </c>
      <c r="X27" s="447">
        <f t="shared" si="35"/>
        <v>0</v>
      </c>
      <c r="Y27" s="443">
        <f t="shared" si="19"/>
        <v>775030</v>
      </c>
      <c r="Z27" s="447">
        <f t="shared" si="33"/>
        <v>0</v>
      </c>
      <c r="AA27" s="443">
        <f t="shared" si="20"/>
        <v>35939</v>
      </c>
      <c r="AB27" s="447">
        <f t="shared" si="30"/>
        <v>0</v>
      </c>
      <c r="AC27" s="443">
        <f t="shared" si="21"/>
        <v>961645</v>
      </c>
      <c r="AD27" s="447">
        <f t="shared" si="42"/>
        <v>0</v>
      </c>
      <c r="AE27" s="470">
        <f t="shared" si="22"/>
        <v>0</v>
      </c>
      <c r="AF27" s="471">
        <f t="shared" si="5"/>
        <v>0</v>
      </c>
      <c r="AG27" s="463">
        <f t="shared" si="39"/>
        <v>0</v>
      </c>
      <c r="AI27" s="464">
        <f>R27-'EDl log'!B27</f>
        <v>-1058175</v>
      </c>
      <c r="AK27" s="616">
        <v>44371</v>
      </c>
      <c r="AL27" s="641">
        <f t="shared" si="23"/>
        <v>335894</v>
      </c>
      <c r="AM27" s="641">
        <f t="shared" si="24"/>
        <v>431172</v>
      </c>
      <c r="AN27" s="641">
        <f t="shared" si="36"/>
        <v>767066</v>
      </c>
      <c r="AO27" s="617">
        <f t="shared" si="37"/>
        <v>0</v>
      </c>
    </row>
    <row r="28" spans="1:41">
      <c r="A28" s="455">
        <f>'General information '!F30</f>
        <v>0</v>
      </c>
      <c r="B28" s="449">
        <f t="shared" si="8"/>
        <v>0</v>
      </c>
      <c r="C28" s="456">
        <v>44372</v>
      </c>
      <c r="D28" s="443">
        <f t="shared" si="9"/>
        <v>32911138</v>
      </c>
      <c r="E28" s="444">
        <f t="shared" si="10"/>
        <v>0</v>
      </c>
      <c r="F28" s="443">
        <f t="shared" si="11"/>
        <v>4031925</v>
      </c>
      <c r="G28" s="311">
        <f>F28-F27</f>
        <v>0</v>
      </c>
      <c r="H28" s="443">
        <f t="shared" si="12"/>
        <v>17885062</v>
      </c>
      <c r="I28" s="311">
        <f t="shared" si="25"/>
        <v>0</v>
      </c>
      <c r="J28" s="443">
        <f t="shared" si="13"/>
        <v>29128686</v>
      </c>
      <c r="K28" s="311">
        <f t="shared" si="26"/>
        <v>0</v>
      </c>
      <c r="L28" s="443">
        <f t="shared" si="14"/>
        <v>24237542</v>
      </c>
      <c r="M28" s="311">
        <f t="shared" si="27"/>
        <v>0</v>
      </c>
      <c r="N28" s="310">
        <f t="shared" si="28"/>
        <v>0</v>
      </c>
      <c r="O28" s="465">
        <f t="shared" si="38"/>
        <v>0</v>
      </c>
      <c r="P28" s="587">
        <f t="shared" si="15"/>
        <v>17216.967000000001</v>
      </c>
      <c r="Q28" s="447">
        <f t="shared" si="40"/>
        <v>0</v>
      </c>
      <c r="R28" s="447">
        <f t="shared" si="41"/>
        <v>0</v>
      </c>
      <c r="S28" s="443">
        <f t="shared" si="16"/>
        <v>10175</v>
      </c>
      <c r="T28" s="467">
        <f t="shared" si="3"/>
        <v>0</v>
      </c>
      <c r="U28" s="443">
        <f t="shared" si="17"/>
        <v>429166</v>
      </c>
      <c r="V28" s="447">
        <f t="shared" si="29"/>
        <v>0</v>
      </c>
      <c r="W28" s="443">
        <f t="shared" si="18"/>
        <v>32562</v>
      </c>
      <c r="X28" s="447">
        <f t="shared" si="35"/>
        <v>0</v>
      </c>
      <c r="Y28" s="443">
        <f t="shared" si="19"/>
        <v>775030</v>
      </c>
      <c r="Z28" s="447">
        <f t="shared" si="33"/>
        <v>0</v>
      </c>
      <c r="AA28" s="443">
        <f t="shared" si="20"/>
        <v>35939</v>
      </c>
      <c r="AB28" s="447">
        <f t="shared" si="30"/>
        <v>0</v>
      </c>
      <c r="AC28" s="443">
        <f t="shared" si="21"/>
        <v>961645</v>
      </c>
      <c r="AD28" s="447">
        <f t="shared" si="42"/>
        <v>0</v>
      </c>
      <c r="AE28" s="470">
        <f t="shared" si="22"/>
        <v>0</v>
      </c>
      <c r="AF28" s="471">
        <f t="shared" si="5"/>
        <v>0</v>
      </c>
      <c r="AG28" s="463">
        <f t="shared" si="39"/>
        <v>0</v>
      </c>
      <c r="AI28" s="464">
        <f>R28-'EDl log'!B28</f>
        <v>-1058175</v>
      </c>
      <c r="AK28" s="616">
        <v>44372</v>
      </c>
      <c r="AL28" s="641">
        <f t="shared" si="23"/>
        <v>335894</v>
      </c>
      <c r="AM28" s="641">
        <f t="shared" si="24"/>
        <v>431172</v>
      </c>
      <c r="AN28" s="641">
        <f t="shared" si="36"/>
        <v>767066</v>
      </c>
      <c r="AO28" s="617">
        <f t="shared" si="37"/>
        <v>0</v>
      </c>
    </row>
    <row r="29" spans="1:41">
      <c r="A29" s="455">
        <f>'General information '!F31</f>
        <v>0</v>
      </c>
      <c r="B29" s="449">
        <f t="shared" si="8"/>
        <v>0</v>
      </c>
      <c r="C29" s="456">
        <v>44373</v>
      </c>
      <c r="D29" s="443">
        <f t="shared" si="9"/>
        <v>32911138</v>
      </c>
      <c r="E29" s="444">
        <f t="shared" si="10"/>
        <v>0</v>
      </c>
      <c r="F29" s="443">
        <f t="shared" si="11"/>
        <v>4031925</v>
      </c>
      <c r="G29" s="311">
        <f t="shared" si="0"/>
        <v>0</v>
      </c>
      <c r="H29" s="443">
        <f t="shared" si="12"/>
        <v>17885062</v>
      </c>
      <c r="I29" s="311">
        <f t="shared" si="25"/>
        <v>0</v>
      </c>
      <c r="J29" s="443">
        <f t="shared" si="13"/>
        <v>29128686</v>
      </c>
      <c r="K29" s="311">
        <f t="shared" si="26"/>
        <v>0</v>
      </c>
      <c r="L29" s="443">
        <f t="shared" si="14"/>
        <v>24237542</v>
      </c>
      <c r="M29" s="311">
        <f t="shared" si="27"/>
        <v>0</v>
      </c>
      <c r="N29" s="310">
        <f t="shared" si="28"/>
        <v>0</v>
      </c>
      <c r="O29" s="465">
        <f t="shared" si="38"/>
        <v>0</v>
      </c>
      <c r="P29" s="587">
        <f t="shared" si="15"/>
        <v>17216.967000000001</v>
      </c>
      <c r="Q29" s="447">
        <f t="shared" si="40"/>
        <v>0</v>
      </c>
      <c r="R29" s="447">
        <f t="shared" si="41"/>
        <v>0</v>
      </c>
      <c r="S29" s="443">
        <f t="shared" si="16"/>
        <v>10175</v>
      </c>
      <c r="T29" s="467">
        <f t="shared" si="3"/>
        <v>0</v>
      </c>
      <c r="U29" s="443">
        <f t="shared" si="17"/>
        <v>429166</v>
      </c>
      <c r="V29" s="447">
        <f t="shared" si="29"/>
        <v>0</v>
      </c>
      <c r="W29" s="443">
        <f t="shared" si="18"/>
        <v>32562</v>
      </c>
      <c r="X29" s="447">
        <f t="shared" si="35"/>
        <v>0</v>
      </c>
      <c r="Y29" s="443">
        <f t="shared" si="19"/>
        <v>775030</v>
      </c>
      <c r="Z29" s="447">
        <f t="shared" si="33"/>
        <v>0</v>
      </c>
      <c r="AA29" s="443">
        <f t="shared" si="20"/>
        <v>35939</v>
      </c>
      <c r="AB29" s="447">
        <f t="shared" si="30"/>
        <v>0</v>
      </c>
      <c r="AC29" s="443">
        <f t="shared" si="21"/>
        <v>961645</v>
      </c>
      <c r="AD29" s="447">
        <f t="shared" si="42"/>
        <v>0</v>
      </c>
      <c r="AE29" s="470">
        <f t="shared" si="22"/>
        <v>0</v>
      </c>
      <c r="AF29" s="471">
        <f t="shared" si="5"/>
        <v>0</v>
      </c>
      <c r="AG29" s="463">
        <f t="shared" si="39"/>
        <v>0</v>
      </c>
      <c r="AI29" s="464">
        <f>R29-'EDl log'!B29</f>
        <v>-1058175</v>
      </c>
      <c r="AK29" s="616">
        <v>44373</v>
      </c>
      <c r="AL29" s="641">
        <f t="shared" si="23"/>
        <v>335894</v>
      </c>
      <c r="AM29" s="641">
        <f t="shared" si="24"/>
        <v>431172</v>
      </c>
      <c r="AN29" s="641">
        <f t="shared" si="36"/>
        <v>767066</v>
      </c>
      <c r="AO29" s="617">
        <f t="shared" si="37"/>
        <v>0</v>
      </c>
    </row>
    <row r="30" spans="1:41">
      <c r="A30" s="455">
        <f>'General information '!F32</f>
        <v>0</v>
      </c>
      <c r="B30" s="449">
        <f>SUM(230*A30)</f>
        <v>0</v>
      </c>
      <c r="C30" s="456">
        <v>44374</v>
      </c>
      <c r="D30" s="443">
        <f t="shared" si="9"/>
        <v>32911138</v>
      </c>
      <c r="E30" s="444">
        <f t="shared" si="10"/>
        <v>0</v>
      </c>
      <c r="F30" s="443">
        <f t="shared" si="11"/>
        <v>4031925</v>
      </c>
      <c r="G30" s="311">
        <f t="shared" si="0"/>
        <v>0</v>
      </c>
      <c r="H30" s="443">
        <f t="shared" si="12"/>
        <v>17885062</v>
      </c>
      <c r="I30" s="311">
        <f t="shared" si="25"/>
        <v>0</v>
      </c>
      <c r="J30" s="443">
        <f t="shared" si="13"/>
        <v>29128686</v>
      </c>
      <c r="K30" s="311">
        <f t="shared" si="26"/>
        <v>0</v>
      </c>
      <c r="L30" s="443">
        <f t="shared" si="14"/>
        <v>24237542</v>
      </c>
      <c r="M30" s="311">
        <f t="shared" si="27"/>
        <v>0</v>
      </c>
      <c r="N30" s="310">
        <f t="shared" si="28"/>
        <v>0</v>
      </c>
      <c r="O30" s="465">
        <f t="shared" si="38"/>
        <v>0</v>
      </c>
      <c r="P30" s="587">
        <f t="shared" si="15"/>
        <v>17216.967000000001</v>
      </c>
      <c r="Q30" s="447">
        <f t="shared" si="40"/>
        <v>0</v>
      </c>
      <c r="R30" s="447">
        <f t="shared" si="41"/>
        <v>0</v>
      </c>
      <c r="S30" s="443">
        <f t="shared" si="16"/>
        <v>10175</v>
      </c>
      <c r="T30" s="467">
        <f t="shared" si="3"/>
        <v>0</v>
      </c>
      <c r="U30" s="443">
        <f t="shared" si="17"/>
        <v>429166</v>
      </c>
      <c r="V30" s="447">
        <f t="shared" si="29"/>
        <v>0</v>
      </c>
      <c r="W30" s="443">
        <f t="shared" si="18"/>
        <v>32562</v>
      </c>
      <c r="X30" s="447">
        <f t="shared" si="35"/>
        <v>0</v>
      </c>
      <c r="Y30" s="443">
        <f t="shared" si="19"/>
        <v>775030</v>
      </c>
      <c r="Z30" s="447">
        <f t="shared" si="33"/>
        <v>0</v>
      </c>
      <c r="AA30" s="443">
        <f t="shared" si="20"/>
        <v>35939</v>
      </c>
      <c r="AB30" s="447">
        <f t="shared" si="30"/>
        <v>0</v>
      </c>
      <c r="AC30" s="443">
        <f t="shared" si="21"/>
        <v>961645</v>
      </c>
      <c r="AD30" s="447">
        <f t="shared" si="42"/>
        <v>0</v>
      </c>
      <c r="AE30" s="470">
        <f t="shared" si="22"/>
        <v>0</v>
      </c>
      <c r="AF30" s="471">
        <f t="shared" si="5"/>
        <v>0</v>
      </c>
      <c r="AG30" s="463">
        <f t="shared" si="39"/>
        <v>0</v>
      </c>
      <c r="AI30" s="464">
        <f>R30-'EDl log'!B30</f>
        <v>-1058175</v>
      </c>
      <c r="AK30" s="616">
        <v>44374</v>
      </c>
      <c r="AL30" s="641">
        <f t="shared" si="23"/>
        <v>335894</v>
      </c>
      <c r="AM30" s="641">
        <f t="shared" si="24"/>
        <v>431172</v>
      </c>
      <c r="AN30" s="641">
        <f t="shared" si="36"/>
        <v>767066</v>
      </c>
      <c r="AO30" s="617">
        <f t="shared" si="37"/>
        <v>0</v>
      </c>
    </row>
    <row r="31" spans="1:41">
      <c r="A31" s="455">
        <f>'General information '!F33</f>
        <v>0</v>
      </c>
      <c r="B31" s="449">
        <f t="shared" si="8"/>
        <v>0</v>
      </c>
      <c r="C31" s="456">
        <v>44375</v>
      </c>
      <c r="D31" s="443">
        <f t="shared" si="9"/>
        <v>32911138</v>
      </c>
      <c r="E31" s="444">
        <f t="shared" si="10"/>
        <v>0</v>
      </c>
      <c r="F31" s="443">
        <f t="shared" si="11"/>
        <v>4031925</v>
      </c>
      <c r="G31" s="311">
        <f t="shared" si="0"/>
        <v>0</v>
      </c>
      <c r="H31" s="443">
        <f t="shared" si="12"/>
        <v>17885062</v>
      </c>
      <c r="I31" s="311">
        <f t="shared" si="25"/>
        <v>0</v>
      </c>
      <c r="J31" s="443">
        <f t="shared" si="13"/>
        <v>29128686</v>
      </c>
      <c r="K31" s="311">
        <f t="shared" si="26"/>
        <v>0</v>
      </c>
      <c r="L31" s="443">
        <f t="shared" si="14"/>
        <v>24237542</v>
      </c>
      <c r="M31" s="311">
        <f t="shared" si="27"/>
        <v>0</v>
      </c>
      <c r="N31" s="310">
        <f t="shared" si="28"/>
        <v>0</v>
      </c>
      <c r="O31" s="465">
        <f t="shared" si="38"/>
        <v>0</v>
      </c>
      <c r="P31" s="587">
        <f t="shared" si="15"/>
        <v>17216.967000000001</v>
      </c>
      <c r="Q31" s="447">
        <f t="shared" si="40"/>
        <v>0</v>
      </c>
      <c r="R31" s="447">
        <f t="shared" si="41"/>
        <v>0</v>
      </c>
      <c r="S31" s="443">
        <f t="shared" si="16"/>
        <v>10175</v>
      </c>
      <c r="T31" s="467">
        <f t="shared" si="3"/>
        <v>0</v>
      </c>
      <c r="U31" s="443">
        <f t="shared" si="17"/>
        <v>429166</v>
      </c>
      <c r="V31" s="447">
        <f t="shared" si="29"/>
        <v>0</v>
      </c>
      <c r="W31" s="443">
        <f t="shared" si="18"/>
        <v>32562</v>
      </c>
      <c r="X31" s="468">
        <f t="shared" si="35"/>
        <v>0</v>
      </c>
      <c r="Y31" s="443">
        <f t="shared" si="19"/>
        <v>775030</v>
      </c>
      <c r="Z31" s="447">
        <f t="shared" si="33"/>
        <v>0</v>
      </c>
      <c r="AA31" s="443">
        <f t="shared" si="20"/>
        <v>35939</v>
      </c>
      <c r="AB31" s="447">
        <f t="shared" si="30"/>
        <v>0</v>
      </c>
      <c r="AC31" s="443">
        <f t="shared" si="21"/>
        <v>961645</v>
      </c>
      <c r="AD31" s="447">
        <f t="shared" si="42"/>
        <v>0</v>
      </c>
      <c r="AE31" s="470">
        <f t="shared" si="22"/>
        <v>0</v>
      </c>
      <c r="AF31" s="471">
        <f t="shared" si="5"/>
        <v>0</v>
      </c>
      <c r="AG31" s="463">
        <f t="shared" si="39"/>
        <v>0</v>
      </c>
      <c r="AI31" s="464">
        <f>R31-'EDl log'!B31</f>
        <v>-1058175</v>
      </c>
      <c r="AK31" s="616">
        <v>44375</v>
      </c>
      <c r="AL31" s="641">
        <f t="shared" si="23"/>
        <v>335894</v>
      </c>
      <c r="AM31" s="641">
        <f t="shared" si="24"/>
        <v>431172</v>
      </c>
      <c r="AN31" s="641">
        <f t="shared" si="36"/>
        <v>767066</v>
      </c>
      <c r="AO31" s="617">
        <f t="shared" si="37"/>
        <v>0</v>
      </c>
    </row>
    <row r="32" spans="1:41">
      <c r="A32" s="455">
        <f>'General information '!F34</f>
        <v>0</v>
      </c>
      <c r="B32" s="449">
        <f>SUM(230*A32)</f>
        <v>0</v>
      </c>
      <c r="C32" s="456">
        <v>44376</v>
      </c>
      <c r="D32" s="443">
        <f t="shared" si="9"/>
        <v>32911138</v>
      </c>
      <c r="E32" s="444">
        <f t="shared" si="10"/>
        <v>0</v>
      </c>
      <c r="F32" s="443">
        <f t="shared" si="11"/>
        <v>4031925</v>
      </c>
      <c r="G32" s="311">
        <f t="shared" si="0"/>
        <v>0</v>
      </c>
      <c r="H32" s="443">
        <f t="shared" si="12"/>
        <v>17885062</v>
      </c>
      <c r="I32" s="311">
        <f t="shared" si="25"/>
        <v>0</v>
      </c>
      <c r="J32" s="443">
        <f t="shared" si="13"/>
        <v>29128686</v>
      </c>
      <c r="K32" s="311">
        <f t="shared" si="26"/>
        <v>0</v>
      </c>
      <c r="L32" s="443">
        <f t="shared" si="14"/>
        <v>24237542</v>
      </c>
      <c r="M32" s="311">
        <f t="shared" si="27"/>
        <v>0</v>
      </c>
      <c r="N32" s="310">
        <f t="shared" si="28"/>
        <v>0</v>
      </c>
      <c r="O32" s="465">
        <f>IF(B32&gt;0,N32/B32,0)</f>
        <v>0</v>
      </c>
      <c r="P32" s="587">
        <f t="shared" si="15"/>
        <v>17216.967000000001</v>
      </c>
      <c r="Q32" s="447">
        <f>(P32-P31)*1000</f>
        <v>0</v>
      </c>
      <c r="R32" s="447">
        <f>N32-Q32</f>
        <v>0</v>
      </c>
      <c r="S32" s="443">
        <f t="shared" si="16"/>
        <v>10175</v>
      </c>
      <c r="T32" s="467">
        <f>S32-S31</f>
        <v>0</v>
      </c>
      <c r="U32" s="443">
        <f t="shared" si="17"/>
        <v>429166</v>
      </c>
      <c r="V32" s="447">
        <f>U32-U31</f>
        <v>0</v>
      </c>
      <c r="W32" s="443">
        <f t="shared" si="18"/>
        <v>32562</v>
      </c>
      <c r="X32" s="468">
        <f>W32-W31</f>
        <v>0</v>
      </c>
      <c r="Y32" s="443">
        <f t="shared" si="19"/>
        <v>775030</v>
      </c>
      <c r="Z32" s="447">
        <f>Y32-Y31</f>
        <v>0</v>
      </c>
      <c r="AA32" s="443">
        <f t="shared" si="20"/>
        <v>35939</v>
      </c>
      <c r="AB32" s="447">
        <f>AA32-AA31</f>
        <v>0</v>
      </c>
      <c r="AC32" s="443">
        <f t="shared" si="21"/>
        <v>961645</v>
      </c>
      <c r="AD32" s="447">
        <f>AC32-AC31</f>
        <v>0</v>
      </c>
      <c r="AE32" s="470">
        <f>AB32+X32+T32</f>
        <v>0</v>
      </c>
      <c r="AF32" s="471">
        <f>V32+Z32+AD32</f>
        <v>0</v>
      </c>
      <c r="AG32" s="463">
        <f>IF(AE32&gt;0,AF32/AE32,0)</f>
        <v>0</v>
      </c>
      <c r="AI32" s="464">
        <f>R32-'EDl log'!B32</f>
        <v>-1058175</v>
      </c>
      <c r="AK32" s="616">
        <v>44376</v>
      </c>
      <c r="AL32" s="641">
        <f t="shared" si="23"/>
        <v>335894</v>
      </c>
      <c r="AM32" s="641">
        <f t="shared" si="24"/>
        <v>431172</v>
      </c>
      <c r="AN32" s="641">
        <f t="shared" si="36"/>
        <v>767066</v>
      </c>
      <c r="AO32" s="617">
        <f t="shared" si="37"/>
        <v>0</v>
      </c>
    </row>
    <row r="33" spans="1:41">
      <c r="A33" s="455">
        <f>'General information '!F35</f>
        <v>0</v>
      </c>
      <c r="B33" s="449">
        <f>SUM(230*A33)</f>
        <v>0</v>
      </c>
      <c r="C33" s="456">
        <v>44377</v>
      </c>
      <c r="D33" s="443">
        <f t="shared" si="9"/>
        <v>32911138</v>
      </c>
      <c r="E33" s="444">
        <f t="shared" si="10"/>
        <v>0</v>
      </c>
      <c r="F33" s="443">
        <f t="shared" si="11"/>
        <v>4031925</v>
      </c>
      <c r="G33" s="311">
        <f t="shared" si="0"/>
        <v>0</v>
      </c>
      <c r="H33" s="443">
        <f t="shared" si="12"/>
        <v>17885062</v>
      </c>
      <c r="I33" s="311">
        <f t="shared" si="25"/>
        <v>0</v>
      </c>
      <c r="J33" s="443">
        <f t="shared" si="13"/>
        <v>29128686</v>
      </c>
      <c r="K33" s="311">
        <f t="shared" si="26"/>
        <v>0</v>
      </c>
      <c r="L33" s="443">
        <f t="shared" si="14"/>
        <v>24237542</v>
      </c>
      <c r="M33" s="311">
        <f t="shared" si="27"/>
        <v>0</v>
      </c>
      <c r="N33" s="310">
        <f t="shared" si="28"/>
        <v>0</v>
      </c>
      <c r="O33" s="465">
        <f>IF(B33&gt;0,N33/B33,0)</f>
        <v>0</v>
      </c>
      <c r="P33" s="587">
        <f t="shared" si="15"/>
        <v>17216.967000000001</v>
      </c>
      <c r="Q33" s="447">
        <f>(P33-P32)*1000</f>
        <v>0</v>
      </c>
      <c r="R33" s="447">
        <f>N33-Q33</f>
        <v>0</v>
      </c>
      <c r="S33" s="443">
        <f t="shared" si="16"/>
        <v>10175</v>
      </c>
      <c r="T33" s="467">
        <f>S33-S32</f>
        <v>0</v>
      </c>
      <c r="U33" s="443">
        <f t="shared" si="17"/>
        <v>429166</v>
      </c>
      <c r="V33" s="447">
        <f>U33-U32</f>
        <v>0</v>
      </c>
      <c r="W33" s="443">
        <f t="shared" si="18"/>
        <v>32562</v>
      </c>
      <c r="X33" s="468">
        <f>W33-W32</f>
        <v>0</v>
      </c>
      <c r="Y33" s="443">
        <f t="shared" si="19"/>
        <v>775030</v>
      </c>
      <c r="Z33" s="447">
        <f>Y33-Y32</f>
        <v>0</v>
      </c>
      <c r="AA33" s="443">
        <f t="shared" si="20"/>
        <v>35939</v>
      </c>
      <c r="AB33" s="447">
        <f>AA33-AA32</f>
        <v>0</v>
      </c>
      <c r="AC33" s="443">
        <f t="shared" si="21"/>
        <v>961645</v>
      </c>
      <c r="AD33" s="447">
        <f>AC33-AC32</f>
        <v>0</v>
      </c>
      <c r="AE33" s="470">
        <f>AB33+X33+T33</f>
        <v>0</v>
      </c>
      <c r="AF33" s="471">
        <f>V33+Z33+AD33</f>
        <v>0</v>
      </c>
      <c r="AG33" s="463">
        <f>IF(AE33&gt;0,AF33/AE33,0)</f>
        <v>0</v>
      </c>
      <c r="AI33" s="464">
        <f>R33-'EDl log'!B33</f>
        <v>-1058175</v>
      </c>
      <c r="AK33" s="616">
        <v>44377</v>
      </c>
      <c r="AL33" s="641">
        <f t="shared" si="23"/>
        <v>335894</v>
      </c>
      <c r="AM33" s="641">
        <f t="shared" si="24"/>
        <v>431172</v>
      </c>
      <c r="AN33" s="641">
        <f t="shared" si="36"/>
        <v>767066</v>
      </c>
      <c r="AO33" s="617">
        <f t="shared" si="37"/>
        <v>0</v>
      </c>
    </row>
    <row r="34" spans="1:41">
      <c r="AK34" s="618"/>
      <c r="AL34" s="619"/>
      <c r="AM34" s="619"/>
      <c r="AN34" s="619"/>
      <c r="AO34" s="620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topLeftCell="AD1" zoomScale="90" zoomScaleNormal="90" workbookViewId="0">
      <pane ySplit="1" topLeftCell="A2" activePane="bottomLeft" state="frozen"/>
      <selection activeCell="K1" sqref="K1"/>
      <selection pane="bottomLeft" activeCell="AU5" sqref="AU5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5.5429687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0" customWidth="1"/>
    <col min="38" max="38" width="11.1796875" style="320" bestFit="1" customWidth="1"/>
    <col min="39" max="39" width="11.453125" style="320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2"/>
    <col min="51" max="16384" width="9.1796875" style="42"/>
  </cols>
  <sheetData>
    <row r="1" spans="1:52" ht="29.5" thickBot="1">
      <c r="F1" s="652" t="s">
        <v>2</v>
      </c>
      <c r="G1" s="653"/>
      <c r="H1" s="653"/>
      <c r="I1" s="654"/>
      <c r="J1" s="282">
        <f>J35</f>
        <v>1</v>
      </c>
      <c r="K1" s="655" t="s">
        <v>4</v>
      </c>
      <c r="L1" s="656"/>
      <c r="M1" s="656"/>
      <c r="N1" s="656"/>
      <c r="O1" s="657"/>
      <c r="P1" s="646" t="s">
        <v>6</v>
      </c>
      <c r="Q1" s="647"/>
      <c r="R1" s="647"/>
      <c r="S1" s="647"/>
      <c r="T1" s="648"/>
      <c r="U1" s="396"/>
      <c r="V1" s="27" t="s">
        <v>104</v>
      </c>
      <c r="W1" s="397"/>
      <c r="X1" s="646" t="s">
        <v>8</v>
      </c>
      <c r="Y1" s="647"/>
      <c r="Z1" s="647"/>
      <c r="AA1" s="647"/>
      <c r="AB1" s="647"/>
      <c r="AC1" s="649" t="s">
        <v>10</v>
      </c>
      <c r="AD1" s="650"/>
      <c r="AE1" s="650"/>
      <c r="AF1" s="651"/>
      <c r="AG1" s="207"/>
      <c r="AH1" s="85" t="s">
        <v>105</v>
      </c>
      <c r="AI1" s="313" t="s">
        <v>128</v>
      </c>
      <c r="AJ1" s="313"/>
      <c r="AK1" s="313"/>
      <c r="AL1" s="313" t="s">
        <v>133</v>
      </c>
      <c r="AM1" s="313" t="s">
        <v>134</v>
      </c>
      <c r="AN1" s="315" t="s">
        <v>12</v>
      </c>
      <c r="AO1" s="315" t="s">
        <v>13</v>
      </c>
      <c r="AP1" s="315" t="s">
        <v>14</v>
      </c>
      <c r="AQ1" s="315" t="s">
        <v>15</v>
      </c>
      <c r="AR1" s="315" t="s">
        <v>16</v>
      </c>
      <c r="AS1" s="315" t="s">
        <v>17</v>
      </c>
      <c r="AT1" s="315"/>
      <c r="AU1" s="316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44"/>
      <c r="R2" s="645"/>
      <c r="S2" s="52" t="s">
        <v>7</v>
      </c>
      <c r="T2" s="53"/>
      <c r="U2" s="400" t="s">
        <v>381</v>
      </c>
      <c r="V2" s="54" t="s">
        <v>103</v>
      </c>
      <c r="W2" s="398"/>
      <c r="X2" s="55" t="s">
        <v>8</v>
      </c>
      <c r="Y2" s="46" t="s">
        <v>9</v>
      </c>
      <c r="Z2" s="389" t="s">
        <v>377</v>
      </c>
      <c r="AA2" s="390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4" t="s">
        <v>103</v>
      </c>
      <c r="AJ2" s="392"/>
      <c r="AK2" s="392"/>
      <c r="AL2" s="392"/>
      <c r="AM2" s="392"/>
      <c r="AN2" s="391"/>
      <c r="AO2" s="391"/>
      <c r="AP2" s="391"/>
      <c r="AQ2" s="391"/>
      <c r="AR2" s="391"/>
      <c r="AS2" s="391"/>
      <c r="AT2" s="391"/>
      <c r="AU2" s="391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0"/>
      <c r="V3" s="59"/>
      <c r="W3" s="398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7"/>
      <c r="AJ3" s="318"/>
      <c r="AK3" s="318"/>
      <c r="AL3" s="318"/>
      <c r="AM3" s="318"/>
    </row>
    <row r="4" spans="1:52" s="338" customFormat="1">
      <c r="A4" s="63">
        <f>ELEC!C3</f>
        <v>44347</v>
      </c>
      <c r="B4" s="394">
        <f>[2]B5!B35</f>
        <v>207</v>
      </c>
      <c r="C4" s="394">
        <f>[2]B5!C35</f>
        <v>214</v>
      </c>
      <c r="D4" s="394">
        <f>[2]B5!D35</f>
        <v>-27</v>
      </c>
      <c r="E4" s="394">
        <f>[2]B5!E35</f>
        <v>-226.26000000000002</v>
      </c>
      <c r="F4" s="394">
        <f>[2]B5!F35</f>
        <v>1841</v>
      </c>
      <c r="G4" s="394">
        <f>[2]B5!G35</f>
        <v>1</v>
      </c>
      <c r="H4" s="394">
        <f>[2]B5!H35</f>
        <v>13408</v>
      </c>
      <c r="I4" s="394">
        <f>[2]B5!I35</f>
        <v>96</v>
      </c>
      <c r="J4" s="394">
        <f>[2]B5!J35</f>
        <v>96</v>
      </c>
      <c r="K4" s="394">
        <f>[2]B5!K35</f>
        <v>2331</v>
      </c>
      <c r="L4" s="394">
        <f>[2]B5!L35</f>
        <v>2</v>
      </c>
      <c r="M4" s="394">
        <f>[2]B5!M35</f>
        <v>171898</v>
      </c>
      <c r="N4" s="394">
        <f>[2]B5!N35</f>
        <v>171</v>
      </c>
      <c r="O4" s="394">
        <f>[2]B5!O35</f>
        <v>1869</v>
      </c>
      <c r="P4" s="394">
        <f>[2]B5!P35</f>
        <v>2096</v>
      </c>
      <c r="Q4" s="394">
        <f>[2]B5!Q35</f>
        <v>176206</v>
      </c>
      <c r="R4" s="394">
        <f>[2]B5!R35</f>
        <v>20</v>
      </c>
      <c r="S4" s="394">
        <f>[2]B5!S35</f>
        <v>0</v>
      </c>
      <c r="T4" s="394">
        <f>[2]B5!T35</f>
        <v>0</v>
      </c>
      <c r="U4" s="394">
        <f>[2]B5!U35</f>
        <v>3</v>
      </c>
      <c r="V4" s="394">
        <f>[2]B5!V35</f>
        <v>287</v>
      </c>
      <c r="W4" s="394">
        <f>[2]B5!W35</f>
        <v>0</v>
      </c>
      <c r="X4" s="394">
        <f>[2]B5!X35</f>
        <v>2469</v>
      </c>
      <c r="Y4" s="394">
        <f>[2]B5!Y35</f>
        <v>0</v>
      </c>
      <c r="Z4" s="394">
        <f>[2]B5!Z35</f>
        <v>138993</v>
      </c>
      <c r="AA4" s="394">
        <f>[2]B5!AA35</f>
        <v>0</v>
      </c>
      <c r="AB4" s="394">
        <f>[2]B5!AB35</f>
        <v>0</v>
      </c>
      <c r="AC4" s="394">
        <f>[2]B5!AC35</f>
        <v>1937</v>
      </c>
      <c r="AD4" s="394">
        <f>[2]B5!AD35</f>
        <v>1</v>
      </c>
      <c r="AE4" s="394">
        <f>[2]B5!AE35</f>
        <v>365590</v>
      </c>
      <c r="AF4" s="394">
        <f>[2]B5!AF35</f>
        <v>19</v>
      </c>
      <c r="AG4" s="394">
        <f>[2]B5!AG35</f>
        <v>19</v>
      </c>
      <c r="AH4" s="394">
        <f>[2]B5!AH35</f>
        <v>19</v>
      </c>
      <c r="AI4" s="394">
        <f>[2]B5!AI35</f>
        <v>306</v>
      </c>
      <c r="AJ4" s="394">
        <f>[2]B5!AJ35</f>
        <v>0</v>
      </c>
      <c r="AK4" s="394">
        <f>[2]B5!AK35</f>
        <v>-306</v>
      </c>
      <c r="AL4" s="394">
        <f>[2]B5!AL35</f>
        <v>3</v>
      </c>
      <c r="AM4" s="394">
        <f>[2]B5!AM35</f>
        <v>1</v>
      </c>
      <c r="AN4" s="394">
        <f>[2]B5!AN35</f>
        <v>67</v>
      </c>
      <c r="AO4" s="394">
        <f>[2]B5!AO35</f>
        <v>2010.0000000000002</v>
      </c>
      <c r="AP4" s="394">
        <f>[2]B5!AP35</f>
        <v>55</v>
      </c>
      <c r="AQ4" s="394">
        <f>[2]B5!AQ35</f>
        <v>1650.0000000000002</v>
      </c>
      <c r="AR4" s="394">
        <f>[2]B5!AR35</f>
        <v>61</v>
      </c>
      <c r="AS4" s="394">
        <f>[2]B5!AS35</f>
        <v>1830</v>
      </c>
      <c r="AT4" s="394">
        <f>[2]B5!AT35</f>
        <v>5490</v>
      </c>
      <c r="AU4" s="394">
        <f>[2]B5!AU35</f>
        <v>0</v>
      </c>
      <c r="AV4" s="394">
        <f>[2]B5!AV35</f>
        <v>0</v>
      </c>
      <c r="AW4" s="394">
        <f>[2]B5!AW35</f>
        <v>0</v>
      </c>
      <c r="AX4" s="394">
        <f>[2]B5!AX35</f>
        <v>0.8</v>
      </c>
    </row>
    <row r="5" spans="1:52">
      <c r="A5" s="63">
        <f>ELEC!C4</f>
        <v>44348</v>
      </c>
      <c r="B5" s="580">
        <v>191</v>
      </c>
      <c r="C5" s="580">
        <v>204</v>
      </c>
      <c r="D5" s="45">
        <f>C4-C5</f>
        <v>10</v>
      </c>
      <c r="E5" s="45">
        <f>D5*8.38</f>
        <v>83.800000000000011</v>
      </c>
      <c r="F5" s="580">
        <f>F4</f>
        <v>1841</v>
      </c>
      <c r="G5" s="52">
        <f t="shared" ref="G5:G32" si="0">F5-F4</f>
        <v>0</v>
      </c>
      <c r="H5" s="580">
        <f>H4</f>
        <v>13408</v>
      </c>
      <c r="I5" s="395">
        <f t="shared" ref="I5:I32" si="1">SUM(H5-H4)</f>
        <v>0</v>
      </c>
      <c r="J5" s="66">
        <v>1</v>
      </c>
      <c r="K5" s="580">
        <f>K4</f>
        <v>2331</v>
      </c>
      <c r="L5" s="52">
        <f>K5-K4</f>
        <v>0</v>
      </c>
      <c r="M5" s="580">
        <f>M4</f>
        <v>171898</v>
      </c>
      <c r="N5" s="395">
        <f t="shared" ref="N5:N32" si="2">M5-M4</f>
        <v>0</v>
      </c>
      <c r="O5" s="64">
        <f t="shared" ref="O5:O17" si="3">O4</f>
        <v>1869</v>
      </c>
      <c r="P5" s="580">
        <f>P4</f>
        <v>2096</v>
      </c>
      <c r="Q5" s="580">
        <f>Q4</f>
        <v>176206</v>
      </c>
      <c r="R5" s="394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401">
        <f>SUM(G5+L5+S5)</f>
        <v>0</v>
      </c>
      <c r="V5" s="62">
        <f>R5+N5+I5:I5</f>
        <v>0</v>
      </c>
      <c r="W5" s="399" t="e">
        <f>SUM(V5/U5)</f>
        <v>#DIV/0!</v>
      </c>
      <c r="X5" s="580">
        <f>X4</f>
        <v>2469</v>
      </c>
      <c r="Y5" s="52">
        <f>X5-X4</f>
        <v>0</v>
      </c>
      <c r="Z5" s="580">
        <f>Z4</f>
        <v>138993</v>
      </c>
      <c r="AA5" s="65">
        <f t="shared" ref="AA5:AA32" si="6">Z5-Z4</f>
        <v>0</v>
      </c>
      <c r="AB5" s="284">
        <f>SUM(Y5*$AB$2)</f>
        <v>0</v>
      </c>
      <c r="AC5" s="580">
        <f t="shared" ref="AC5:AC34" si="7">AC4</f>
        <v>1937</v>
      </c>
      <c r="AD5" s="45">
        <f t="shared" ref="AD5:AD32" si="8">AC5-AC4</f>
        <v>0</v>
      </c>
      <c r="AE5" s="580">
        <f>AE4</f>
        <v>365590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7">
        <f>SUM(AH5+V5)</f>
        <v>0</v>
      </c>
      <c r="AJ5" s="317">
        <f>-tanks!AW6</f>
        <v>0</v>
      </c>
      <c r="AK5" s="317">
        <f>SUM(AJ5-AI5)</f>
        <v>0</v>
      </c>
      <c r="AL5" s="317">
        <f t="shared" ref="AL5:AL32" si="9">S5+L5+G5</f>
        <v>0</v>
      </c>
      <c r="AM5" s="317">
        <f>Y5+AD5</f>
        <v>0</v>
      </c>
      <c r="AN5" s="580">
        <f t="shared" ref="AN5:AN33" si="10">AN4</f>
        <v>67</v>
      </c>
      <c r="AO5" s="319">
        <f>(AN5/100)*3000</f>
        <v>2010.0000000000002</v>
      </c>
      <c r="AP5" s="580">
        <f t="shared" ref="AP5:AP33" si="11">AP4</f>
        <v>55</v>
      </c>
      <c r="AQ5" s="319">
        <f>(AP5/100)*3000</f>
        <v>1650.0000000000002</v>
      </c>
      <c r="AR5" s="580">
        <f t="shared" ref="AR5:AR34" si="12">AR4</f>
        <v>61</v>
      </c>
      <c r="AS5" s="319">
        <f>(AR5/100)*3000</f>
        <v>1830</v>
      </c>
      <c r="AT5" s="319">
        <f>SUM(AO5+AQ5+AS5)</f>
        <v>5490</v>
      </c>
      <c r="AU5" s="319">
        <f>AT4-AT5+AV5</f>
        <v>0</v>
      </c>
      <c r="AV5" s="269"/>
      <c r="AW5" s="269"/>
      <c r="AX5" s="312">
        <f>IF(AV5&gt;0,AW5,AX4)</f>
        <v>0.8</v>
      </c>
    </row>
    <row r="6" spans="1:52">
      <c r="A6" s="63">
        <f>ELEC!C5</f>
        <v>44349</v>
      </c>
      <c r="B6" s="580">
        <f t="shared" ref="B6:B34" si="13">B5</f>
        <v>191</v>
      </c>
      <c r="C6" s="580">
        <f t="shared" ref="C6:C34" si="14">C5</f>
        <v>204</v>
      </c>
      <c r="D6" s="45">
        <f>C5-C6</f>
        <v>0</v>
      </c>
      <c r="E6" s="45">
        <f t="shared" ref="E6:E32" si="15">D6*8.38</f>
        <v>0</v>
      </c>
      <c r="F6" s="580">
        <f t="shared" ref="F6:F34" si="16">F5</f>
        <v>1841</v>
      </c>
      <c r="G6" s="52">
        <f t="shared" si="0"/>
        <v>0</v>
      </c>
      <c r="H6" s="580">
        <f t="shared" ref="H6:H34" si="17">H5</f>
        <v>13408</v>
      </c>
      <c r="I6" s="395">
        <f t="shared" si="1"/>
        <v>0</v>
      </c>
      <c r="J6" s="66">
        <f t="shared" ref="J6:J32" si="18">IF(G6&gt;0,I6/G6,0)</f>
        <v>0</v>
      </c>
      <c r="K6" s="580">
        <f t="shared" ref="K6:K34" si="19">K5</f>
        <v>2331</v>
      </c>
      <c r="L6" s="52">
        <f t="shared" ref="L6:L32" si="20">K6-K5</f>
        <v>0</v>
      </c>
      <c r="M6" s="580">
        <f t="shared" ref="M6:M34" si="21">M5</f>
        <v>171898</v>
      </c>
      <c r="N6" s="395">
        <f t="shared" si="2"/>
        <v>0</v>
      </c>
      <c r="O6" s="64">
        <f t="shared" si="3"/>
        <v>1869</v>
      </c>
      <c r="P6" s="580">
        <f t="shared" ref="P6:P34" si="22">P5</f>
        <v>2096</v>
      </c>
      <c r="Q6" s="580">
        <f t="shared" ref="Q6:Q34" si="23">Q5</f>
        <v>176206</v>
      </c>
      <c r="R6" s="394">
        <f t="shared" si="4"/>
        <v>0</v>
      </c>
      <c r="S6" s="52">
        <f t="shared" si="5"/>
        <v>0</v>
      </c>
      <c r="T6" s="67">
        <f>SUM(S6*$T$2)</f>
        <v>0</v>
      </c>
      <c r="U6" s="401">
        <f t="shared" ref="U6:U32" si="24">SUM(G6+L6+S6)</f>
        <v>0</v>
      </c>
      <c r="V6" s="62">
        <f t="shared" ref="V6:V32" si="25">R6+N6+I6:I6</f>
        <v>0</v>
      </c>
      <c r="W6" s="399" t="e">
        <f t="shared" ref="W6:W16" si="26">SUM(V6/U6)</f>
        <v>#DIV/0!</v>
      </c>
      <c r="X6" s="580">
        <f t="shared" ref="X6:X34" si="27">X5</f>
        <v>2469</v>
      </c>
      <c r="Y6" s="52">
        <f t="shared" ref="Y6:Y32" si="28">X6-X5</f>
        <v>0</v>
      </c>
      <c r="Z6" s="580">
        <f t="shared" ref="Z6:Z34" si="29">Z5</f>
        <v>138993</v>
      </c>
      <c r="AA6" s="65">
        <f t="shared" si="6"/>
        <v>0</v>
      </c>
      <c r="AB6" s="284">
        <f>SUM(Y6*$AB$2)</f>
        <v>0</v>
      </c>
      <c r="AC6" s="580">
        <f t="shared" si="7"/>
        <v>1937</v>
      </c>
      <c r="AD6" s="45">
        <f t="shared" si="8"/>
        <v>0</v>
      </c>
      <c r="AE6" s="580">
        <f t="shared" ref="AE6:AE34" si="30">AE5</f>
        <v>365590</v>
      </c>
      <c r="AF6" s="306">
        <f t="shared" ref="AF6:AF32" si="31">AE6-AE5</f>
        <v>0</v>
      </c>
      <c r="AG6" s="209">
        <f>IF(AD6&gt;0,AF6/AD6,0)</f>
        <v>0</v>
      </c>
      <c r="AH6" s="62">
        <f>AF6+AA6</f>
        <v>0</v>
      </c>
      <c r="AI6" s="317">
        <f t="shared" ref="AI6:AI32" si="32">SUM(AH6+V6)</f>
        <v>0</v>
      </c>
      <c r="AJ6" s="317">
        <f>-tanks!AW7</f>
        <v>0</v>
      </c>
      <c r="AK6" s="317">
        <f t="shared" ref="AK6:AK32" si="33">SUM(AJ6-AI6)</f>
        <v>0</v>
      </c>
      <c r="AL6" s="317">
        <f t="shared" si="9"/>
        <v>0</v>
      </c>
      <c r="AM6" s="317">
        <f t="shared" ref="AM6:AM32" si="34">Y6+AD6</f>
        <v>0</v>
      </c>
      <c r="AN6" s="580">
        <f t="shared" si="10"/>
        <v>67</v>
      </c>
      <c r="AO6" s="319">
        <f t="shared" ref="AO6:AO26" si="35">(AN6/100)*3000</f>
        <v>2010.0000000000002</v>
      </c>
      <c r="AP6" s="580">
        <f t="shared" si="11"/>
        <v>55</v>
      </c>
      <c r="AQ6" s="319">
        <f t="shared" ref="AQ6:AQ24" si="36">(AP6/100)*3000</f>
        <v>1650.0000000000002</v>
      </c>
      <c r="AR6" s="580">
        <f t="shared" si="12"/>
        <v>61</v>
      </c>
      <c r="AS6" s="319">
        <f>(AR6/100)*3000</f>
        <v>1830</v>
      </c>
      <c r="AT6" s="319">
        <f>SUM(AO6+AQ6+AS6)</f>
        <v>5490</v>
      </c>
      <c r="AU6" s="319">
        <f>AT5-AT6+AV6</f>
        <v>0</v>
      </c>
      <c r="AV6" s="269"/>
      <c r="AW6" s="269"/>
      <c r="AX6" s="312">
        <f t="shared" ref="AX6:AX32" si="37">IF(AV6&gt;0,AW6,AX5)</f>
        <v>0.8</v>
      </c>
    </row>
    <row r="7" spans="1:52">
      <c r="A7" s="63">
        <f>ELEC!C6</f>
        <v>44350</v>
      </c>
      <c r="B7" s="580">
        <f t="shared" si="13"/>
        <v>191</v>
      </c>
      <c r="C7" s="580">
        <f t="shared" si="14"/>
        <v>204</v>
      </c>
      <c r="D7" s="45">
        <f t="shared" ref="D7:D19" si="38">C6-C7</f>
        <v>0</v>
      </c>
      <c r="E7" s="45">
        <f t="shared" si="15"/>
        <v>0</v>
      </c>
      <c r="F7" s="580">
        <f t="shared" si="16"/>
        <v>1841</v>
      </c>
      <c r="G7" s="52">
        <f t="shared" si="0"/>
        <v>0</v>
      </c>
      <c r="H7" s="580">
        <f t="shared" si="17"/>
        <v>13408</v>
      </c>
      <c r="I7" s="395">
        <f t="shared" si="1"/>
        <v>0</v>
      </c>
      <c r="J7" s="66">
        <f t="shared" si="18"/>
        <v>0</v>
      </c>
      <c r="K7" s="580">
        <f t="shared" si="19"/>
        <v>2331</v>
      </c>
      <c r="L7" s="52">
        <f t="shared" si="20"/>
        <v>0</v>
      </c>
      <c r="M7" s="580">
        <f t="shared" si="21"/>
        <v>171898</v>
      </c>
      <c r="N7" s="395">
        <f t="shared" si="2"/>
        <v>0</v>
      </c>
      <c r="O7" s="64">
        <f t="shared" si="3"/>
        <v>1869</v>
      </c>
      <c r="P7" s="580">
        <f t="shared" si="22"/>
        <v>2096</v>
      </c>
      <c r="Q7" s="580">
        <f t="shared" si="23"/>
        <v>176206</v>
      </c>
      <c r="R7" s="394">
        <f t="shared" si="4"/>
        <v>0</v>
      </c>
      <c r="S7" s="52">
        <f t="shared" si="5"/>
        <v>0</v>
      </c>
      <c r="T7" s="67">
        <f t="shared" ref="T7:T32" si="39">SUM(S7*$T$2)</f>
        <v>0</v>
      </c>
      <c r="U7" s="401">
        <f t="shared" si="24"/>
        <v>0</v>
      </c>
      <c r="V7" s="62">
        <f t="shared" si="25"/>
        <v>0</v>
      </c>
      <c r="W7" s="399" t="e">
        <f t="shared" si="26"/>
        <v>#DIV/0!</v>
      </c>
      <c r="X7" s="580">
        <f t="shared" si="27"/>
        <v>2469</v>
      </c>
      <c r="Y7" s="52">
        <f t="shared" si="28"/>
        <v>0</v>
      </c>
      <c r="Z7" s="580">
        <f t="shared" si="29"/>
        <v>138993</v>
      </c>
      <c r="AA7" s="65">
        <f t="shared" si="6"/>
        <v>0</v>
      </c>
      <c r="AB7" s="284">
        <f t="shared" ref="AB7:AB17" si="40">SUM(Y7*$AB$2)</f>
        <v>0</v>
      </c>
      <c r="AC7" s="580">
        <f t="shared" si="7"/>
        <v>1937</v>
      </c>
      <c r="AD7" s="45">
        <f t="shared" si="8"/>
        <v>0</v>
      </c>
      <c r="AE7" s="580">
        <f t="shared" si="30"/>
        <v>365590</v>
      </c>
      <c r="AF7" s="306">
        <f t="shared" si="31"/>
        <v>0</v>
      </c>
      <c r="AG7" s="209">
        <f t="shared" ref="AG7:AG32" si="41">IF(AD7&gt;0,AF7/AD7,0)</f>
        <v>0</v>
      </c>
      <c r="AH7" s="62">
        <f t="shared" ref="AH7:AH32" si="42">AF7+AA7</f>
        <v>0</v>
      </c>
      <c r="AI7" s="317">
        <f t="shared" si="32"/>
        <v>0</v>
      </c>
      <c r="AJ7" s="317">
        <f>-tanks!AW8</f>
        <v>0</v>
      </c>
      <c r="AK7" s="317">
        <f t="shared" si="33"/>
        <v>0</v>
      </c>
      <c r="AL7" s="317">
        <f t="shared" si="9"/>
        <v>0</v>
      </c>
      <c r="AM7" s="317">
        <f t="shared" si="34"/>
        <v>0</v>
      </c>
      <c r="AN7" s="580">
        <f t="shared" si="10"/>
        <v>67</v>
      </c>
      <c r="AO7" s="319">
        <f t="shared" si="35"/>
        <v>2010.0000000000002</v>
      </c>
      <c r="AP7" s="580">
        <f t="shared" si="11"/>
        <v>55</v>
      </c>
      <c r="AQ7" s="319">
        <f t="shared" si="36"/>
        <v>1650.0000000000002</v>
      </c>
      <c r="AR7" s="580">
        <f t="shared" si="12"/>
        <v>61</v>
      </c>
      <c r="AS7" s="319">
        <f t="shared" ref="AS7:AS32" si="43">(AR7/100)*3000</f>
        <v>1830</v>
      </c>
      <c r="AT7" s="319">
        <f t="shared" ref="AT7:AT23" si="44">SUM(AO7+AQ7+AS7)</f>
        <v>5490</v>
      </c>
      <c r="AU7" s="319">
        <f t="shared" ref="AU7:AU32" si="45">AT6-AT7+AV7</f>
        <v>0</v>
      </c>
      <c r="AV7" s="269"/>
      <c r="AW7" s="269"/>
      <c r="AX7" s="312">
        <f t="shared" si="37"/>
        <v>0.8</v>
      </c>
      <c r="AZ7" s="42" t="s">
        <v>412</v>
      </c>
    </row>
    <row r="8" spans="1:52">
      <c r="A8" s="63">
        <f>ELEC!C7</f>
        <v>44351</v>
      </c>
      <c r="B8" s="580">
        <f t="shared" si="13"/>
        <v>191</v>
      </c>
      <c r="C8" s="580">
        <f t="shared" si="14"/>
        <v>204</v>
      </c>
      <c r="D8" s="45">
        <f t="shared" si="38"/>
        <v>0</v>
      </c>
      <c r="E8" s="45">
        <f t="shared" si="15"/>
        <v>0</v>
      </c>
      <c r="F8" s="580">
        <f t="shared" si="16"/>
        <v>1841</v>
      </c>
      <c r="G8" s="52">
        <f t="shared" si="0"/>
        <v>0</v>
      </c>
      <c r="H8" s="580">
        <f t="shared" si="17"/>
        <v>13408</v>
      </c>
      <c r="I8" s="395">
        <f t="shared" si="1"/>
        <v>0</v>
      </c>
      <c r="J8" s="66">
        <f t="shared" si="18"/>
        <v>0</v>
      </c>
      <c r="K8" s="580">
        <f t="shared" si="19"/>
        <v>2331</v>
      </c>
      <c r="L8" s="52">
        <f t="shared" si="20"/>
        <v>0</v>
      </c>
      <c r="M8" s="580">
        <f t="shared" si="21"/>
        <v>171898</v>
      </c>
      <c r="N8" s="395">
        <f t="shared" si="2"/>
        <v>0</v>
      </c>
      <c r="O8" s="64">
        <f t="shared" si="3"/>
        <v>1869</v>
      </c>
      <c r="P8" s="580">
        <f t="shared" si="22"/>
        <v>2096</v>
      </c>
      <c r="Q8" s="580">
        <f t="shared" si="23"/>
        <v>176206</v>
      </c>
      <c r="R8" s="394">
        <f t="shared" si="4"/>
        <v>0</v>
      </c>
      <c r="S8" s="52">
        <f t="shared" si="5"/>
        <v>0</v>
      </c>
      <c r="T8" s="67">
        <f t="shared" si="39"/>
        <v>0</v>
      </c>
      <c r="U8" s="401">
        <f t="shared" si="24"/>
        <v>0</v>
      </c>
      <c r="V8" s="62">
        <f t="shared" si="25"/>
        <v>0</v>
      </c>
      <c r="W8" s="399" t="e">
        <f t="shared" si="26"/>
        <v>#DIV/0!</v>
      </c>
      <c r="X8" s="580">
        <f t="shared" si="27"/>
        <v>2469</v>
      </c>
      <c r="Y8" s="52">
        <f t="shared" si="28"/>
        <v>0</v>
      </c>
      <c r="Z8" s="580">
        <f t="shared" si="29"/>
        <v>138993</v>
      </c>
      <c r="AA8" s="65">
        <f t="shared" si="6"/>
        <v>0</v>
      </c>
      <c r="AB8" s="284">
        <f t="shared" si="40"/>
        <v>0</v>
      </c>
      <c r="AC8" s="580">
        <f t="shared" si="7"/>
        <v>1937</v>
      </c>
      <c r="AD8" s="45">
        <f t="shared" si="8"/>
        <v>0</v>
      </c>
      <c r="AE8" s="580">
        <f t="shared" si="30"/>
        <v>365590</v>
      </c>
      <c r="AF8" s="306">
        <f t="shared" si="31"/>
        <v>0</v>
      </c>
      <c r="AG8" s="209">
        <f t="shared" si="41"/>
        <v>0</v>
      </c>
      <c r="AH8" s="62">
        <f t="shared" si="42"/>
        <v>0</v>
      </c>
      <c r="AI8" s="317">
        <f t="shared" si="32"/>
        <v>0</v>
      </c>
      <c r="AJ8" s="317">
        <f>-tanks!AW9</f>
        <v>0</v>
      </c>
      <c r="AK8" s="317">
        <f t="shared" si="33"/>
        <v>0</v>
      </c>
      <c r="AL8" s="317">
        <f t="shared" si="9"/>
        <v>0</v>
      </c>
      <c r="AM8" s="317">
        <f t="shared" si="34"/>
        <v>0</v>
      </c>
      <c r="AN8" s="580">
        <f t="shared" si="10"/>
        <v>67</v>
      </c>
      <c r="AO8" s="319">
        <f t="shared" si="35"/>
        <v>2010.0000000000002</v>
      </c>
      <c r="AP8" s="580">
        <f t="shared" si="11"/>
        <v>55</v>
      </c>
      <c r="AQ8" s="319">
        <f t="shared" si="36"/>
        <v>1650.0000000000002</v>
      </c>
      <c r="AR8" s="580">
        <f t="shared" si="12"/>
        <v>61</v>
      </c>
      <c r="AS8" s="319">
        <f t="shared" si="43"/>
        <v>1830</v>
      </c>
      <c r="AT8" s="319">
        <f t="shared" si="44"/>
        <v>5490</v>
      </c>
      <c r="AU8" s="319">
        <f t="shared" si="45"/>
        <v>0</v>
      </c>
      <c r="AV8" s="269"/>
      <c r="AW8" s="269"/>
      <c r="AX8" s="312">
        <f t="shared" si="37"/>
        <v>0.8</v>
      </c>
    </row>
    <row r="9" spans="1:52" ht="15.75" customHeight="1">
      <c r="A9" s="63">
        <f>ELEC!C8</f>
        <v>44352</v>
      </c>
      <c r="B9" s="580">
        <f t="shared" si="13"/>
        <v>191</v>
      </c>
      <c r="C9" s="580">
        <f t="shared" si="14"/>
        <v>204</v>
      </c>
      <c r="D9" s="45">
        <f t="shared" si="38"/>
        <v>0</v>
      </c>
      <c r="E9" s="45">
        <f t="shared" si="15"/>
        <v>0</v>
      </c>
      <c r="F9" s="580">
        <f t="shared" si="16"/>
        <v>1841</v>
      </c>
      <c r="G9" s="52">
        <f t="shared" si="0"/>
        <v>0</v>
      </c>
      <c r="H9" s="580">
        <f t="shared" si="17"/>
        <v>13408</v>
      </c>
      <c r="I9" s="395">
        <f t="shared" si="1"/>
        <v>0</v>
      </c>
      <c r="J9" s="66">
        <f t="shared" si="18"/>
        <v>0</v>
      </c>
      <c r="K9" s="580">
        <f t="shared" si="19"/>
        <v>2331</v>
      </c>
      <c r="L9" s="52">
        <f t="shared" si="20"/>
        <v>0</v>
      </c>
      <c r="M9" s="580">
        <f t="shared" si="21"/>
        <v>171898</v>
      </c>
      <c r="N9" s="395">
        <f t="shared" si="2"/>
        <v>0</v>
      </c>
      <c r="O9" s="64">
        <f t="shared" si="3"/>
        <v>1869</v>
      </c>
      <c r="P9" s="580">
        <f t="shared" si="22"/>
        <v>2096</v>
      </c>
      <c r="Q9" s="580">
        <f t="shared" si="23"/>
        <v>176206</v>
      </c>
      <c r="R9" s="394">
        <f t="shared" si="4"/>
        <v>0</v>
      </c>
      <c r="S9" s="52">
        <f t="shared" si="5"/>
        <v>0</v>
      </c>
      <c r="T9" s="67">
        <f t="shared" si="39"/>
        <v>0</v>
      </c>
      <c r="U9" s="401">
        <f t="shared" si="24"/>
        <v>0</v>
      </c>
      <c r="V9" s="62">
        <f t="shared" si="25"/>
        <v>0</v>
      </c>
      <c r="W9" s="399" t="e">
        <f t="shared" si="26"/>
        <v>#DIV/0!</v>
      </c>
      <c r="X9" s="580">
        <f t="shared" si="27"/>
        <v>2469</v>
      </c>
      <c r="Y9" s="52">
        <f t="shared" si="28"/>
        <v>0</v>
      </c>
      <c r="Z9" s="580">
        <f t="shared" si="29"/>
        <v>138993</v>
      </c>
      <c r="AA9" s="65">
        <f t="shared" si="6"/>
        <v>0</v>
      </c>
      <c r="AB9" s="284">
        <f t="shared" si="40"/>
        <v>0</v>
      </c>
      <c r="AC9" s="580">
        <f t="shared" si="7"/>
        <v>1937</v>
      </c>
      <c r="AD9" s="45">
        <f t="shared" si="8"/>
        <v>0</v>
      </c>
      <c r="AE9" s="580">
        <f t="shared" si="30"/>
        <v>365590</v>
      </c>
      <c r="AF9" s="306">
        <f t="shared" si="31"/>
        <v>0</v>
      </c>
      <c r="AG9" s="209">
        <f t="shared" si="41"/>
        <v>0</v>
      </c>
      <c r="AH9" s="62">
        <f t="shared" si="42"/>
        <v>0</v>
      </c>
      <c r="AI9" s="317">
        <f t="shared" si="32"/>
        <v>0</v>
      </c>
      <c r="AJ9" s="317">
        <f>-tanks!AW10</f>
        <v>0</v>
      </c>
      <c r="AK9" s="317">
        <f t="shared" si="33"/>
        <v>0</v>
      </c>
      <c r="AL9" s="317">
        <f t="shared" si="9"/>
        <v>0</v>
      </c>
      <c r="AM9" s="317">
        <f t="shared" si="34"/>
        <v>0</v>
      </c>
      <c r="AN9" s="580">
        <f t="shared" si="10"/>
        <v>67</v>
      </c>
      <c r="AO9" s="319">
        <f t="shared" si="35"/>
        <v>2010.0000000000002</v>
      </c>
      <c r="AP9" s="580">
        <f t="shared" si="11"/>
        <v>55</v>
      </c>
      <c r="AQ9" s="319">
        <f t="shared" si="36"/>
        <v>1650.0000000000002</v>
      </c>
      <c r="AR9" s="580">
        <f t="shared" si="12"/>
        <v>61</v>
      </c>
      <c r="AS9" s="319">
        <f>(AR9/100)*3000</f>
        <v>1830</v>
      </c>
      <c r="AT9" s="319">
        <f t="shared" si="44"/>
        <v>5490</v>
      </c>
      <c r="AU9" s="319">
        <f t="shared" si="45"/>
        <v>0</v>
      </c>
      <c r="AV9" s="269"/>
      <c r="AW9" s="269"/>
      <c r="AX9" s="312">
        <f t="shared" si="37"/>
        <v>0.8</v>
      </c>
    </row>
    <row r="10" spans="1:52">
      <c r="A10" s="63">
        <f>ELEC!C9</f>
        <v>44353</v>
      </c>
      <c r="B10" s="580">
        <f t="shared" si="13"/>
        <v>191</v>
      </c>
      <c r="C10" s="580">
        <f t="shared" si="14"/>
        <v>204</v>
      </c>
      <c r="D10" s="45">
        <f t="shared" si="38"/>
        <v>0</v>
      </c>
      <c r="E10" s="45">
        <f t="shared" si="15"/>
        <v>0</v>
      </c>
      <c r="F10" s="580">
        <f t="shared" si="16"/>
        <v>1841</v>
      </c>
      <c r="G10" s="52">
        <f t="shared" si="0"/>
        <v>0</v>
      </c>
      <c r="H10" s="580">
        <f t="shared" si="17"/>
        <v>13408</v>
      </c>
      <c r="I10" s="395">
        <f t="shared" si="1"/>
        <v>0</v>
      </c>
      <c r="J10" s="66">
        <f t="shared" si="18"/>
        <v>0</v>
      </c>
      <c r="K10" s="580">
        <f t="shared" si="19"/>
        <v>2331</v>
      </c>
      <c r="L10" s="52">
        <f t="shared" si="20"/>
        <v>0</v>
      </c>
      <c r="M10" s="580">
        <f t="shared" si="21"/>
        <v>171898</v>
      </c>
      <c r="N10" s="395">
        <f t="shared" si="2"/>
        <v>0</v>
      </c>
      <c r="O10" s="64">
        <f t="shared" si="3"/>
        <v>1869</v>
      </c>
      <c r="P10" s="580">
        <f t="shared" si="22"/>
        <v>2096</v>
      </c>
      <c r="Q10" s="580">
        <f t="shared" si="23"/>
        <v>176206</v>
      </c>
      <c r="R10" s="394">
        <f t="shared" si="4"/>
        <v>0</v>
      </c>
      <c r="S10" s="52">
        <f t="shared" si="5"/>
        <v>0</v>
      </c>
      <c r="T10" s="67">
        <f t="shared" si="39"/>
        <v>0</v>
      </c>
      <c r="U10" s="401">
        <f t="shared" si="24"/>
        <v>0</v>
      </c>
      <c r="V10" s="62">
        <f t="shared" si="25"/>
        <v>0</v>
      </c>
      <c r="W10" s="399" t="e">
        <f t="shared" si="26"/>
        <v>#DIV/0!</v>
      </c>
      <c r="X10" s="580">
        <f t="shared" si="27"/>
        <v>2469</v>
      </c>
      <c r="Y10" s="52">
        <f t="shared" si="28"/>
        <v>0</v>
      </c>
      <c r="Z10" s="580">
        <f t="shared" si="29"/>
        <v>138993</v>
      </c>
      <c r="AA10" s="65">
        <f t="shared" si="6"/>
        <v>0</v>
      </c>
      <c r="AB10" s="284">
        <f t="shared" si="40"/>
        <v>0</v>
      </c>
      <c r="AC10" s="580">
        <f t="shared" si="7"/>
        <v>1937</v>
      </c>
      <c r="AD10" s="45">
        <f t="shared" si="8"/>
        <v>0</v>
      </c>
      <c r="AE10" s="580">
        <f t="shared" si="30"/>
        <v>365590</v>
      </c>
      <c r="AF10" s="306">
        <f t="shared" si="31"/>
        <v>0</v>
      </c>
      <c r="AG10" s="209">
        <f t="shared" si="41"/>
        <v>0</v>
      </c>
      <c r="AH10" s="62">
        <f t="shared" si="42"/>
        <v>0</v>
      </c>
      <c r="AI10" s="317">
        <f>SUM(AH10+V10)</f>
        <v>0</v>
      </c>
      <c r="AJ10" s="317">
        <f>-tanks!AW11</f>
        <v>0</v>
      </c>
      <c r="AK10" s="317">
        <f t="shared" si="33"/>
        <v>0</v>
      </c>
      <c r="AL10" s="317">
        <f t="shared" si="9"/>
        <v>0</v>
      </c>
      <c r="AM10" s="317">
        <f t="shared" si="34"/>
        <v>0</v>
      </c>
      <c r="AN10" s="580">
        <f t="shared" si="10"/>
        <v>67</v>
      </c>
      <c r="AO10" s="319">
        <f t="shared" si="35"/>
        <v>2010.0000000000002</v>
      </c>
      <c r="AP10" s="580">
        <f t="shared" si="11"/>
        <v>55</v>
      </c>
      <c r="AQ10" s="319">
        <f t="shared" si="36"/>
        <v>1650.0000000000002</v>
      </c>
      <c r="AR10" s="580">
        <f t="shared" si="12"/>
        <v>61</v>
      </c>
      <c r="AS10" s="319">
        <f t="shared" si="43"/>
        <v>1830</v>
      </c>
      <c r="AT10" s="319">
        <f t="shared" si="44"/>
        <v>5490</v>
      </c>
      <c r="AU10" s="319">
        <f t="shared" si="45"/>
        <v>0</v>
      </c>
      <c r="AV10" s="269"/>
      <c r="AW10" s="269"/>
      <c r="AX10" s="312">
        <f t="shared" si="37"/>
        <v>0.8</v>
      </c>
    </row>
    <row r="11" spans="1:52">
      <c r="A11" s="63">
        <f>ELEC!C10</f>
        <v>44354</v>
      </c>
      <c r="B11" s="580">
        <f t="shared" si="13"/>
        <v>191</v>
      </c>
      <c r="C11" s="580">
        <f t="shared" si="14"/>
        <v>204</v>
      </c>
      <c r="D11" s="45">
        <f t="shared" si="38"/>
        <v>0</v>
      </c>
      <c r="E11" s="45">
        <f t="shared" si="15"/>
        <v>0</v>
      </c>
      <c r="F11" s="580">
        <f t="shared" si="16"/>
        <v>1841</v>
      </c>
      <c r="G11" s="52">
        <f t="shared" si="0"/>
        <v>0</v>
      </c>
      <c r="H11" s="580">
        <f t="shared" si="17"/>
        <v>13408</v>
      </c>
      <c r="I11" s="395">
        <f t="shared" si="1"/>
        <v>0</v>
      </c>
      <c r="J11" s="66">
        <f t="shared" si="18"/>
        <v>0</v>
      </c>
      <c r="K11" s="580">
        <f t="shared" si="19"/>
        <v>2331</v>
      </c>
      <c r="L11" s="52">
        <f t="shared" si="20"/>
        <v>0</v>
      </c>
      <c r="M11" s="580">
        <f t="shared" si="21"/>
        <v>171898</v>
      </c>
      <c r="N11" s="395">
        <f t="shared" si="2"/>
        <v>0</v>
      </c>
      <c r="O11" s="64">
        <f t="shared" si="3"/>
        <v>1869</v>
      </c>
      <c r="P11" s="580">
        <f t="shared" si="22"/>
        <v>2096</v>
      </c>
      <c r="Q11" s="580">
        <f t="shared" si="23"/>
        <v>176206</v>
      </c>
      <c r="R11" s="394">
        <f t="shared" ref="R11:R32" si="46">Q11-Q10</f>
        <v>0</v>
      </c>
      <c r="S11" s="52">
        <f t="shared" si="5"/>
        <v>0</v>
      </c>
      <c r="T11" s="67">
        <f t="shared" si="39"/>
        <v>0</v>
      </c>
      <c r="U11" s="401">
        <f t="shared" si="24"/>
        <v>0</v>
      </c>
      <c r="V11" s="62">
        <f t="shared" si="25"/>
        <v>0</v>
      </c>
      <c r="W11" s="399" t="e">
        <f t="shared" si="26"/>
        <v>#DIV/0!</v>
      </c>
      <c r="X11" s="580">
        <f t="shared" si="27"/>
        <v>2469</v>
      </c>
      <c r="Y11" s="52">
        <f t="shared" si="28"/>
        <v>0</v>
      </c>
      <c r="Z11" s="580">
        <f t="shared" si="29"/>
        <v>138993</v>
      </c>
      <c r="AA11" s="65">
        <f t="shared" si="6"/>
        <v>0</v>
      </c>
      <c r="AB11" s="284">
        <f t="shared" si="40"/>
        <v>0</v>
      </c>
      <c r="AC11" s="580">
        <f t="shared" si="7"/>
        <v>1937</v>
      </c>
      <c r="AD11" s="45">
        <f t="shared" si="8"/>
        <v>0</v>
      </c>
      <c r="AE11" s="580">
        <f t="shared" si="30"/>
        <v>365590</v>
      </c>
      <c r="AF11" s="306">
        <f t="shared" si="31"/>
        <v>0</v>
      </c>
      <c r="AG11" s="209">
        <f t="shared" si="41"/>
        <v>0</v>
      </c>
      <c r="AH11" s="62">
        <f>AF11+AA11</f>
        <v>0</v>
      </c>
      <c r="AI11" s="317">
        <f>SUM(AH11+V11)</f>
        <v>0</v>
      </c>
      <c r="AJ11" s="317">
        <f>-tanks!AW12</f>
        <v>0</v>
      </c>
      <c r="AK11" s="317">
        <f t="shared" si="33"/>
        <v>0</v>
      </c>
      <c r="AL11" s="317">
        <f t="shared" si="9"/>
        <v>0</v>
      </c>
      <c r="AM11" s="317">
        <f t="shared" si="34"/>
        <v>0</v>
      </c>
      <c r="AN11" s="580">
        <f t="shared" si="10"/>
        <v>67</v>
      </c>
      <c r="AO11" s="319">
        <f t="shared" si="35"/>
        <v>2010.0000000000002</v>
      </c>
      <c r="AP11" s="580">
        <f t="shared" si="11"/>
        <v>55</v>
      </c>
      <c r="AQ11" s="319">
        <f t="shared" si="36"/>
        <v>1650.0000000000002</v>
      </c>
      <c r="AR11" s="580">
        <f t="shared" si="12"/>
        <v>61</v>
      </c>
      <c r="AS11" s="319">
        <f t="shared" si="43"/>
        <v>1830</v>
      </c>
      <c r="AT11" s="319">
        <f t="shared" si="44"/>
        <v>5490</v>
      </c>
      <c r="AU11" s="319">
        <f t="shared" si="45"/>
        <v>0</v>
      </c>
      <c r="AV11" s="269"/>
      <c r="AW11" s="269"/>
      <c r="AX11" s="312">
        <f t="shared" si="37"/>
        <v>0.8</v>
      </c>
    </row>
    <row r="12" spans="1:52">
      <c r="A12" s="63">
        <f>ELEC!C11</f>
        <v>44355</v>
      </c>
      <c r="B12" s="580">
        <f t="shared" si="13"/>
        <v>191</v>
      </c>
      <c r="C12" s="580">
        <f t="shared" si="14"/>
        <v>204</v>
      </c>
      <c r="D12" s="45">
        <f t="shared" si="38"/>
        <v>0</v>
      </c>
      <c r="E12" s="45">
        <f t="shared" si="15"/>
        <v>0</v>
      </c>
      <c r="F12" s="580">
        <f t="shared" si="16"/>
        <v>1841</v>
      </c>
      <c r="G12" s="52">
        <f t="shared" si="0"/>
        <v>0</v>
      </c>
      <c r="H12" s="580">
        <f t="shared" si="17"/>
        <v>13408</v>
      </c>
      <c r="I12" s="395">
        <f t="shared" si="1"/>
        <v>0</v>
      </c>
      <c r="J12" s="66">
        <f t="shared" si="18"/>
        <v>0</v>
      </c>
      <c r="K12" s="580">
        <f t="shared" si="19"/>
        <v>2331</v>
      </c>
      <c r="L12" s="52">
        <f t="shared" si="20"/>
        <v>0</v>
      </c>
      <c r="M12" s="580">
        <f t="shared" si="21"/>
        <v>171898</v>
      </c>
      <c r="N12" s="395">
        <f t="shared" si="2"/>
        <v>0</v>
      </c>
      <c r="O12" s="64">
        <f t="shared" si="3"/>
        <v>1869</v>
      </c>
      <c r="P12" s="580">
        <f t="shared" si="22"/>
        <v>2096</v>
      </c>
      <c r="Q12" s="580">
        <f t="shared" si="23"/>
        <v>176206</v>
      </c>
      <c r="R12" s="394">
        <f t="shared" si="46"/>
        <v>0</v>
      </c>
      <c r="S12" s="52">
        <f t="shared" si="5"/>
        <v>0</v>
      </c>
      <c r="T12" s="67">
        <f t="shared" si="39"/>
        <v>0</v>
      </c>
      <c r="U12" s="401">
        <f t="shared" si="24"/>
        <v>0</v>
      </c>
      <c r="V12" s="62">
        <f t="shared" si="25"/>
        <v>0</v>
      </c>
      <c r="W12" s="399" t="e">
        <f t="shared" si="26"/>
        <v>#DIV/0!</v>
      </c>
      <c r="X12" s="580">
        <f t="shared" si="27"/>
        <v>2469</v>
      </c>
      <c r="Y12" s="52">
        <f t="shared" si="28"/>
        <v>0</v>
      </c>
      <c r="Z12" s="580">
        <f t="shared" si="29"/>
        <v>138993</v>
      </c>
      <c r="AA12" s="65">
        <f t="shared" si="6"/>
        <v>0</v>
      </c>
      <c r="AB12" s="284">
        <f t="shared" si="40"/>
        <v>0</v>
      </c>
      <c r="AC12" s="580">
        <f t="shared" si="7"/>
        <v>1937</v>
      </c>
      <c r="AD12" s="45">
        <f t="shared" si="8"/>
        <v>0</v>
      </c>
      <c r="AE12" s="580">
        <f t="shared" si="30"/>
        <v>365590</v>
      </c>
      <c r="AF12" s="306">
        <f t="shared" si="31"/>
        <v>0</v>
      </c>
      <c r="AG12" s="209">
        <f t="shared" si="41"/>
        <v>0</v>
      </c>
      <c r="AH12" s="62">
        <f t="shared" si="42"/>
        <v>0</v>
      </c>
      <c r="AI12" s="317">
        <f t="shared" si="32"/>
        <v>0</v>
      </c>
      <c r="AJ12" s="317">
        <f>-tanks!AW13</f>
        <v>0</v>
      </c>
      <c r="AK12" s="317">
        <f t="shared" si="33"/>
        <v>0</v>
      </c>
      <c r="AL12" s="317">
        <f t="shared" si="9"/>
        <v>0</v>
      </c>
      <c r="AM12" s="317">
        <f t="shared" si="34"/>
        <v>0</v>
      </c>
      <c r="AN12" s="580">
        <f t="shared" si="10"/>
        <v>67</v>
      </c>
      <c r="AO12" s="319">
        <f t="shared" si="35"/>
        <v>2010.0000000000002</v>
      </c>
      <c r="AP12" s="580">
        <f t="shared" si="11"/>
        <v>55</v>
      </c>
      <c r="AQ12" s="319">
        <f t="shared" si="36"/>
        <v>1650.0000000000002</v>
      </c>
      <c r="AR12" s="580">
        <f t="shared" si="12"/>
        <v>61</v>
      </c>
      <c r="AS12" s="319">
        <f t="shared" si="43"/>
        <v>1830</v>
      </c>
      <c r="AT12" s="319">
        <f t="shared" si="44"/>
        <v>5490</v>
      </c>
      <c r="AU12" s="319">
        <f t="shared" si="45"/>
        <v>0</v>
      </c>
      <c r="AV12" s="269"/>
      <c r="AW12" s="269"/>
      <c r="AX12" s="312">
        <f t="shared" si="37"/>
        <v>0.8</v>
      </c>
    </row>
    <row r="13" spans="1:52">
      <c r="A13" s="63">
        <f>ELEC!C12</f>
        <v>44356</v>
      </c>
      <c r="B13" s="580">
        <f t="shared" si="13"/>
        <v>191</v>
      </c>
      <c r="C13" s="580">
        <f t="shared" si="14"/>
        <v>204</v>
      </c>
      <c r="D13" s="45">
        <f t="shared" si="38"/>
        <v>0</v>
      </c>
      <c r="E13" s="45">
        <f t="shared" si="15"/>
        <v>0</v>
      </c>
      <c r="F13" s="580">
        <f t="shared" si="16"/>
        <v>1841</v>
      </c>
      <c r="G13" s="52">
        <f t="shared" si="0"/>
        <v>0</v>
      </c>
      <c r="H13" s="580">
        <f t="shared" si="17"/>
        <v>13408</v>
      </c>
      <c r="I13" s="395">
        <f t="shared" si="1"/>
        <v>0</v>
      </c>
      <c r="J13" s="66">
        <f t="shared" si="18"/>
        <v>0</v>
      </c>
      <c r="K13" s="580">
        <f t="shared" si="19"/>
        <v>2331</v>
      </c>
      <c r="L13" s="52">
        <f t="shared" si="20"/>
        <v>0</v>
      </c>
      <c r="M13" s="580">
        <f t="shared" si="21"/>
        <v>171898</v>
      </c>
      <c r="N13" s="395">
        <f t="shared" si="2"/>
        <v>0</v>
      </c>
      <c r="O13" s="64">
        <f t="shared" si="3"/>
        <v>1869</v>
      </c>
      <c r="P13" s="580">
        <f t="shared" si="22"/>
        <v>2096</v>
      </c>
      <c r="Q13" s="580">
        <f t="shared" si="23"/>
        <v>176206</v>
      </c>
      <c r="R13" s="394">
        <f t="shared" si="46"/>
        <v>0</v>
      </c>
      <c r="S13" s="52">
        <f t="shared" si="5"/>
        <v>0</v>
      </c>
      <c r="T13" s="67">
        <f t="shared" si="39"/>
        <v>0</v>
      </c>
      <c r="U13" s="401">
        <f t="shared" si="24"/>
        <v>0</v>
      </c>
      <c r="V13" s="62">
        <f>R13+N13+I13:I13</f>
        <v>0</v>
      </c>
      <c r="W13" s="399" t="e">
        <f t="shared" si="26"/>
        <v>#DIV/0!</v>
      </c>
      <c r="X13" s="580">
        <f t="shared" si="27"/>
        <v>2469</v>
      </c>
      <c r="Y13" s="52">
        <f t="shared" si="28"/>
        <v>0</v>
      </c>
      <c r="Z13" s="580">
        <f t="shared" si="29"/>
        <v>138993</v>
      </c>
      <c r="AA13" s="284">
        <f t="shared" si="6"/>
        <v>0</v>
      </c>
      <c r="AB13" s="284">
        <f t="shared" si="40"/>
        <v>0</v>
      </c>
      <c r="AC13" s="580">
        <f t="shared" si="7"/>
        <v>1937</v>
      </c>
      <c r="AD13" s="45">
        <f t="shared" si="8"/>
        <v>0</v>
      </c>
      <c r="AE13" s="580">
        <f t="shared" si="30"/>
        <v>365590</v>
      </c>
      <c r="AF13" s="306">
        <f t="shared" si="31"/>
        <v>0</v>
      </c>
      <c r="AG13" s="209">
        <f t="shared" si="41"/>
        <v>0</v>
      </c>
      <c r="AH13" s="62">
        <f t="shared" si="42"/>
        <v>0</v>
      </c>
      <c r="AI13" s="317">
        <f t="shared" si="32"/>
        <v>0</v>
      </c>
      <c r="AJ13" s="317">
        <f>-tanks!AW14</f>
        <v>0</v>
      </c>
      <c r="AK13" s="317">
        <f t="shared" si="33"/>
        <v>0</v>
      </c>
      <c r="AL13" s="317">
        <f t="shared" si="9"/>
        <v>0</v>
      </c>
      <c r="AM13" s="317">
        <f t="shared" si="34"/>
        <v>0</v>
      </c>
      <c r="AN13" s="580">
        <f t="shared" si="10"/>
        <v>67</v>
      </c>
      <c r="AO13" s="319">
        <f t="shared" si="35"/>
        <v>2010.0000000000002</v>
      </c>
      <c r="AP13" s="580">
        <f t="shared" si="11"/>
        <v>55</v>
      </c>
      <c r="AQ13" s="319">
        <f t="shared" si="36"/>
        <v>1650.0000000000002</v>
      </c>
      <c r="AR13" s="580">
        <f t="shared" si="12"/>
        <v>61</v>
      </c>
      <c r="AS13" s="319">
        <f t="shared" si="43"/>
        <v>1830</v>
      </c>
      <c r="AT13" s="319">
        <f t="shared" si="44"/>
        <v>5490</v>
      </c>
      <c r="AU13" s="319">
        <f t="shared" si="45"/>
        <v>0</v>
      </c>
      <c r="AV13" s="269"/>
      <c r="AW13" s="269"/>
      <c r="AX13" s="312">
        <f t="shared" si="37"/>
        <v>0.8</v>
      </c>
    </row>
    <row r="14" spans="1:52">
      <c r="A14" s="63">
        <f>ELEC!C13</f>
        <v>44357</v>
      </c>
      <c r="B14" s="580">
        <f t="shared" si="13"/>
        <v>191</v>
      </c>
      <c r="C14" s="580">
        <f t="shared" si="14"/>
        <v>204</v>
      </c>
      <c r="D14" s="45">
        <f t="shared" si="38"/>
        <v>0</v>
      </c>
      <c r="E14" s="45">
        <f t="shared" si="15"/>
        <v>0</v>
      </c>
      <c r="F14" s="580">
        <f t="shared" si="16"/>
        <v>1841</v>
      </c>
      <c r="G14" s="52">
        <f t="shared" si="0"/>
        <v>0</v>
      </c>
      <c r="H14" s="580">
        <f t="shared" si="17"/>
        <v>13408</v>
      </c>
      <c r="I14" s="395">
        <f t="shared" si="1"/>
        <v>0</v>
      </c>
      <c r="J14" s="66">
        <f t="shared" si="18"/>
        <v>0</v>
      </c>
      <c r="K14" s="580">
        <f t="shared" si="19"/>
        <v>2331</v>
      </c>
      <c r="L14" s="52">
        <f t="shared" si="20"/>
        <v>0</v>
      </c>
      <c r="M14" s="580">
        <f t="shared" si="21"/>
        <v>171898</v>
      </c>
      <c r="N14" s="395">
        <f t="shared" si="2"/>
        <v>0</v>
      </c>
      <c r="O14" s="64">
        <f t="shared" si="3"/>
        <v>1869</v>
      </c>
      <c r="P14" s="580">
        <f t="shared" si="22"/>
        <v>2096</v>
      </c>
      <c r="Q14" s="580">
        <f t="shared" si="23"/>
        <v>176206</v>
      </c>
      <c r="R14" s="394">
        <f t="shared" si="46"/>
        <v>0</v>
      </c>
      <c r="S14" s="52">
        <f t="shared" si="5"/>
        <v>0</v>
      </c>
      <c r="T14" s="67">
        <f t="shared" si="39"/>
        <v>0</v>
      </c>
      <c r="U14" s="401">
        <f t="shared" si="24"/>
        <v>0</v>
      </c>
      <c r="V14" s="62">
        <f t="shared" si="25"/>
        <v>0</v>
      </c>
      <c r="W14" s="399" t="e">
        <f t="shared" si="26"/>
        <v>#DIV/0!</v>
      </c>
      <c r="X14" s="580">
        <f t="shared" si="27"/>
        <v>2469</v>
      </c>
      <c r="Y14" s="52">
        <f t="shared" si="28"/>
        <v>0</v>
      </c>
      <c r="Z14" s="580">
        <f t="shared" si="29"/>
        <v>138993</v>
      </c>
      <c r="AA14" s="65">
        <f t="shared" si="6"/>
        <v>0</v>
      </c>
      <c r="AB14" s="284">
        <f t="shared" si="40"/>
        <v>0</v>
      </c>
      <c r="AC14" s="580">
        <f t="shared" si="7"/>
        <v>1937</v>
      </c>
      <c r="AD14" s="45">
        <f t="shared" si="8"/>
        <v>0</v>
      </c>
      <c r="AE14" s="580">
        <f t="shared" si="30"/>
        <v>365590</v>
      </c>
      <c r="AF14" s="306">
        <f>AE14-AE13</f>
        <v>0</v>
      </c>
      <c r="AG14" s="209">
        <f t="shared" si="41"/>
        <v>0</v>
      </c>
      <c r="AH14" s="62">
        <f>AF14+AA14</f>
        <v>0</v>
      </c>
      <c r="AI14" s="317">
        <f>SUM(AH14+V14)</f>
        <v>0</v>
      </c>
      <c r="AJ14" s="317">
        <f>-tanks!AW15</f>
        <v>0</v>
      </c>
      <c r="AK14" s="317">
        <f t="shared" si="33"/>
        <v>0</v>
      </c>
      <c r="AL14" s="317">
        <f t="shared" si="9"/>
        <v>0</v>
      </c>
      <c r="AM14" s="317">
        <f t="shared" si="34"/>
        <v>0</v>
      </c>
      <c r="AN14" s="580">
        <f t="shared" si="10"/>
        <v>67</v>
      </c>
      <c r="AO14" s="319">
        <f t="shared" si="35"/>
        <v>2010.0000000000002</v>
      </c>
      <c r="AP14" s="580">
        <f t="shared" si="11"/>
        <v>55</v>
      </c>
      <c r="AQ14" s="319">
        <f t="shared" si="36"/>
        <v>1650.0000000000002</v>
      </c>
      <c r="AR14" s="580">
        <f t="shared" si="12"/>
        <v>61</v>
      </c>
      <c r="AS14" s="319">
        <f t="shared" si="43"/>
        <v>1830</v>
      </c>
      <c r="AT14" s="319">
        <f t="shared" si="44"/>
        <v>5490</v>
      </c>
      <c r="AU14" s="319">
        <f t="shared" si="45"/>
        <v>0</v>
      </c>
      <c r="AV14" s="269"/>
      <c r="AW14" s="269"/>
      <c r="AX14" s="312">
        <f t="shared" si="37"/>
        <v>0.8</v>
      </c>
    </row>
    <row r="15" spans="1:52" ht="15" customHeight="1">
      <c r="A15" s="63">
        <f>ELEC!C14</f>
        <v>44358</v>
      </c>
      <c r="B15" s="580">
        <f t="shared" si="13"/>
        <v>191</v>
      </c>
      <c r="C15" s="580">
        <f t="shared" si="14"/>
        <v>204</v>
      </c>
      <c r="D15" s="45">
        <f t="shared" si="38"/>
        <v>0</v>
      </c>
      <c r="E15" s="45">
        <f t="shared" si="15"/>
        <v>0</v>
      </c>
      <c r="F15" s="580">
        <f t="shared" si="16"/>
        <v>1841</v>
      </c>
      <c r="G15" s="52">
        <f t="shared" si="0"/>
        <v>0</v>
      </c>
      <c r="H15" s="580">
        <f t="shared" si="17"/>
        <v>13408</v>
      </c>
      <c r="I15" s="395">
        <f t="shared" si="1"/>
        <v>0</v>
      </c>
      <c r="J15" s="66">
        <f t="shared" si="18"/>
        <v>0</v>
      </c>
      <c r="K15" s="580">
        <f t="shared" si="19"/>
        <v>2331</v>
      </c>
      <c r="L15" s="52">
        <f t="shared" si="20"/>
        <v>0</v>
      </c>
      <c r="M15" s="580">
        <f t="shared" si="21"/>
        <v>171898</v>
      </c>
      <c r="N15" s="395">
        <f t="shared" si="2"/>
        <v>0</v>
      </c>
      <c r="O15" s="64">
        <f t="shared" si="3"/>
        <v>1869</v>
      </c>
      <c r="P15" s="580">
        <f t="shared" si="22"/>
        <v>2096</v>
      </c>
      <c r="Q15" s="580">
        <f t="shared" si="23"/>
        <v>176206</v>
      </c>
      <c r="R15" s="394">
        <f t="shared" si="46"/>
        <v>0</v>
      </c>
      <c r="S15" s="52">
        <f t="shared" si="5"/>
        <v>0</v>
      </c>
      <c r="T15" s="67">
        <f t="shared" si="39"/>
        <v>0</v>
      </c>
      <c r="U15" s="401">
        <f t="shared" si="24"/>
        <v>0</v>
      </c>
      <c r="V15" s="62">
        <f t="shared" si="25"/>
        <v>0</v>
      </c>
      <c r="W15" s="399" t="e">
        <f t="shared" si="26"/>
        <v>#DIV/0!</v>
      </c>
      <c r="X15" s="580">
        <f t="shared" si="27"/>
        <v>2469</v>
      </c>
      <c r="Y15" s="52">
        <f t="shared" si="28"/>
        <v>0</v>
      </c>
      <c r="Z15" s="580">
        <f t="shared" si="29"/>
        <v>138993</v>
      </c>
      <c r="AA15" s="65">
        <f t="shared" si="6"/>
        <v>0</v>
      </c>
      <c r="AB15" s="284">
        <f t="shared" si="40"/>
        <v>0</v>
      </c>
      <c r="AC15" s="580">
        <f t="shared" si="7"/>
        <v>1937</v>
      </c>
      <c r="AD15" s="45">
        <f t="shared" si="8"/>
        <v>0</v>
      </c>
      <c r="AE15" s="580">
        <f t="shared" si="30"/>
        <v>365590</v>
      </c>
      <c r="AF15" s="306">
        <f t="shared" si="31"/>
        <v>0</v>
      </c>
      <c r="AG15" s="209">
        <f t="shared" si="41"/>
        <v>0</v>
      </c>
      <c r="AH15" s="62">
        <f t="shared" si="42"/>
        <v>0</v>
      </c>
      <c r="AI15" s="317">
        <f t="shared" si="32"/>
        <v>0</v>
      </c>
      <c r="AJ15" s="317">
        <f>-tanks!AW16</f>
        <v>0</v>
      </c>
      <c r="AK15" s="317">
        <f t="shared" si="33"/>
        <v>0</v>
      </c>
      <c r="AL15" s="317">
        <f t="shared" si="9"/>
        <v>0</v>
      </c>
      <c r="AM15" s="317">
        <f t="shared" si="34"/>
        <v>0</v>
      </c>
      <c r="AN15" s="580">
        <f t="shared" si="10"/>
        <v>67</v>
      </c>
      <c r="AO15" s="319">
        <f t="shared" si="35"/>
        <v>2010.0000000000002</v>
      </c>
      <c r="AP15" s="580">
        <f t="shared" si="11"/>
        <v>55</v>
      </c>
      <c r="AQ15" s="319">
        <f t="shared" si="36"/>
        <v>1650.0000000000002</v>
      </c>
      <c r="AR15" s="580">
        <f t="shared" si="12"/>
        <v>61</v>
      </c>
      <c r="AS15" s="319">
        <f t="shared" si="43"/>
        <v>1830</v>
      </c>
      <c r="AT15" s="319">
        <f t="shared" si="44"/>
        <v>5490</v>
      </c>
      <c r="AU15" s="319">
        <f t="shared" si="45"/>
        <v>0</v>
      </c>
      <c r="AV15" s="269"/>
      <c r="AW15" s="269"/>
      <c r="AX15" s="312">
        <f t="shared" si="37"/>
        <v>0.8</v>
      </c>
    </row>
    <row r="16" spans="1:52">
      <c r="A16" s="63">
        <f>ELEC!C15</f>
        <v>44359</v>
      </c>
      <c r="B16" s="580">
        <f t="shared" si="13"/>
        <v>191</v>
      </c>
      <c r="C16" s="580">
        <f t="shared" si="14"/>
        <v>204</v>
      </c>
      <c r="D16" s="45">
        <f t="shared" si="38"/>
        <v>0</v>
      </c>
      <c r="E16" s="45">
        <f t="shared" si="15"/>
        <v>0</v>
      </c>
      <c r="F16" s="580">
        <f t="shared" si="16"/>
        <v>1841</v>
      </c>
      <c r="G16" s="52">
        <f t="shared" si="0"/>
        <v>0</v>
      </c>
      <c r="H16" s="580">
        <f t="shared" si="17"/>
        <v>13408</v>
      </c>
      <c r="I16" s="395">
        <f t="shared" si="1"/>
        <v>0</v>
      </c>
      <c r="J16" s="66">
        <f t="shared" si="18"/>
        <v>0</v>
      </c>
      <c r="K16" s="580">
        <f t="shared" si="19"/>
        <v>2331</v>
      </c>
      <c r="L16" s="52">
        <f t="shared" si="20"/>
        <v>0</v>
      </c>
      <c r="M16" s="580">
        <f t="shared" si="21"/>
        <v>171898</v>
      </c>
      <c r="N16" s="395">
        <f t="shared" si="2"/>
        <v>0</v>
      </c>
      <c r="O16" s="64">
        <f t="shared" si="3"/>
        <v>1869</v>
      </c>
      <c r="P16" s="580">
        <f t="shared" si="22"/>
        <v>2096</v>
      </c>
      <c r="Q16" s="580">
        <f t="shared" si="23"/>
        <v>176206</v>
      </c>
      <c r="R16" s="394">
        <f t="shared" si="46"/>
        <v>0</v>
      </c>
      <c r="S16" s="52">
        <f t="shared" si="5"/>
        <v>0</v>
      </c>
      <c r="T16" s="67">
        <f t="shared" si="39"/>
        <v>0</v>
      </c>
      <c r="U16" s="401">
        <f t="shared" si="24"/>
        <v>0</v>
      </c>
      <c r="V16" s="62">
        <f t="shared" si="25"/>
        <v>0</v>
      </c>
      <c r="W16" s="399" t="e">
        <f t="shared" si="26"/>
        <v>#DIV/0!</v>
      </c>
      <c r="X16" s="580">
        <f t="shared" si="27"/>
        <v>2469</v>
      </c>
      <c r="Y16" s="52">
        <f t="shared" si="28"/>
        <v>0</v>
      </c>
      <c r="Z16" s="580">
        <f t="shared" si="29"/>
        <v>138993</v>
      </c>
      <c r="AA16" s="65">
        <f t="shared" si="6"/>
        <v>0</v>
      </c>
      <c r="AB16" s="284">
        <f t="shared" si="40"/>
        <v>0</v>
      </c>
      <c r="AC16" s="580">
        <f t="shared" si="7"/>
        <v>1937</v>
      </c>
      <c r="AD16" s="45">
        <f t="shared" si="8"/>
        <v>0</v>
      </c>
      <c r="AE16" s="580">
        <f t="shared" si="30"/>
        <v>365590</v>
      </c>
      <c r="AF16" s="306">
        <f t="shared" si="31"/>
        <v>0</v>
      </c>
      <c r="AG16" s="209">
        <f t="shared" si="41"/>
        <v>0</v>
      </c>
      <c r="AH16" s="62">
        <f t="shared" si="42"/>
        <v>0</v>
      </c>
      <c r="AI16" s="317">
        <f t="shared" si="32"/>
        <v>0</v>
      </c>
      <c r="AJ16" s="317">
        <f>-tanks!AW17</f>
        <v>0</v>
      </c>
      <c r="AK16" s="317">
        <f t="shared" si="33"/>
        <v>0</v>
      </c>
      <c r="AL16" s="317">
        <f t="shared" si="9"/>
        <v>0</v>
      </c>
      <c r="AM16" s="317">
        <f t="shared" si="34"/>
        <v>0</v>
      </c>
      <c r="AN16" s="580">
        <f t="shared" si="10"/>
        <v>67</v>
      </c>
      <c r="AO16" s="319">
        <f t="shared" si="35"/>
        <v>2010.0000000000002</v>
      </c>
      <c r="AP16" s="580">
        <f t="shared" si="11"/>
        <v>55</v>
      </c>
      <c r="AQ16" s="319">
        <f t="shared" si="36"/>
        <v>1650.0000000000002</v>
      </c>
      <c r="AR16" s="580">
        <f t="shared" si="12"/>
        <v>61</v>
      </c>
      <c r="AS16" s="319">
        <f t="shared" si="43"/>
        <v>1830</v>
      </c>
      <c r="AT16" s="319">
        <f t="shared" si="44"/>
        <v>5490</v>
      </c>
      <c r="AU16" s="319">
        <f t="shared" si="45"/>
        <v>0</v>
      </c>
      <c r="AV16" s="269"/>
      <c r="AW16" s="269"/>
      <c r="AX16" s="312">
        <f t="shared" si="37"/>
        <v>0.8</v>
      </c>
    </row>
    <row r="17" spans="1:50">
      <c r="A17" s="63">
        <f>ELEC!C16</f>
        <v>44360</v>
      </c>
      <c r="B17" s="580">
        <f t="shared" si="13"/>
        <v>191</v>
      </c>
      <c r="C17" s="580">
        <f t="shared" si="14"/>
        <v>204</v>
      </c>
      <c r="D17" s="45">
        <f t="shared" si="38"/>
        <v>0</v>
      </c>
      <c r="E17" s="45">
        <f t="shared" si="15"/>
        <v>0</v>
      </c>
      <c r="F17" s="580">
        <f t="shared" si="16"/>
        <v>1841</v>
      </c>
      <c r="G17" s="52">
        <f t="shared" si="0"/>
        <v>0</v>
      </c>
      <c r="H17" s="580">
        <f t="shared" si="17"/>
        <v>13408</v>
      </c>
      <c r="I17" s="395">
        <f t="shared" si="1"/>
        <v>0</v>
      </c>
      <c r="J17" s="66">
        <f t="shared" si="18"/>
        <v>0</v>
      </c>
      <c r="K17" s="580">
        <f t="shared" si="19"/>
        <v>2331</v>
      </c>
      <c r="L17" s="52">
        <f t="shared" si="20"/>
        <v>0</v>
      </c>
      <c r="M17" s="580">
        <f t="shared" si="21"/>
        <v>171898</v>
      </c>
      <c r="N17" s="395">
        <f t="shared" si="2"/>
        <v>0</v>
      </c>
      <c r="O17" s="64">
        <f t="shared" si="3"/>
        <v>1869</v>
      </c>
      <c r="P17" s="580">
        <f t="shared" si="22"/>
        <v>2096</v>
      </c>
      <c r="Q17" s="580">
        <f t="shared" si="23"/>
        <v>176206</v>
      </c>
      <c r="R17" s="394">
        <f t="shared" si="46"/>
        <v>0</v>
      </c>
      <c r="S17" s="52">
        <f t="shared" si="5"/>
        <v>0</v>
      </c>
      <c r="T17" s="67">
        <f t="shared" si="39"/>
        <v>0</v>
      </c>
      <c r="U17" s="401">
        <f t="shared" si="24"/>
        <v>0</v>
      </c>
      <c r="V17" s="62">
        <f t="shared" si="25"/>
        <v>0</v>
      </c>
      <c r="W17" s="399"/>
      <c r="X17" s="580">
        <f t="shared" si="27"/>
        <v>2469</v>
      </c>
      <c r="Y17" s="52">
        <f t="shared" si="28"/>
        <v>0</v>
      </c>
      <c r="Z17" s="580">
        <f t="shared" si="29"/>
        <v>138993</v>
      </c>
      <c r="AA17" s="65">
        <f t="shared" si="6"/>
        <v>0</v>
      </c>
      <c r="AB17" s="284">
        <f t="shared" si="40"/>
        <v>0</v>
      </c>
      <c r="AC17" s="580">
        <f t="shared" si="7"/>
        <v>1937</v>
      </c>
      <c r="AD17" s="45">
        <f t="shared" si="8"/>
        <v>0</v>
      </c>
      <c r="AE17" s="580">
        <f t="shared" si="30"/>
        <v>365590</v>
      </c>
      <c r="AF17" s="306">
        <f t="shared" si="31"/>
        <v>0</v>
      </c>
      <c r="AG17" s="209">
        <f t="shared" si="41"/>
        <v>0</v>
      </c>
      <c r="AH17" s="62">
        <f t="shared" si="42"/>
        <v>0</v>
      </c>
      <c r="AI17" s="317">
        <f t="shared" si="32"/>
        <v>0</v>
      </c>
      <c r="AJ17" s="317">
        <f>-tanks!AW18</f>
        <v>0</v>
      </c>
      <c r="AK17" s="317">
        <f t="shared" si="33"/>
        <v>0</v>
      </c>
      <c r="AL17" s="317">
        <f t="shared" si="9"/>
        <v>0</v>
      </c>
      <c r="AM17" s="317">
        <f t="shared" si="34"/>
        <v>0</v>
      </c>
      <c r="AN17" s="580">
        <f t="shared" si="10"/>
        <v>67</v>
      </c>
      <c r="AO17" s="319">
        <f t="shared" si="35"/>
        <v>2010.0000000000002</v>
      </c>
      <c r="AP17" s="580">
        <f t="shared" si="11"/>
        <v>55</v>
      </c>
      <c r="AQ17" s="319">
        <f t="shared" si="36"/>
        <v>1650.0000000000002</v>
      </c>
      <c r="AR17" s="580">
        <f t="shared" si="12"/>
        <v>61</v>
      </c>
      <c r="AS17" s="319">
        <f t="shared" si="43"/>
        <v>1830</v>
      </c>
      <c r="AT17" s="319">
        <f t="shared" si="44"/>
        <v>5490</v>
      </c>
      <c r="AU17" s="319">
        <f t="shared" si="45"/>
        <v>0</v>
      </c>
      <c r="AV17" s="269"/>
      <c r="AW17" s="269"/>
      <c r="AX17" s="312">
        <f t="shared" si="37"/>
        <v>0.8</v>
      </c>
    </row>
    <row r="18" spans="1:50">
      <c r="A18" s="63">
        <f>ELEC!C17</f>
        <v>44361</v>
      </c>
      <c r="B18" s="580">
        <f t="shared" si="13"/>
        <v>191</v>
      </c>
      <c r="C18" s="580">
        <f t="shared" si="14"/>
        <v>204</v>
      </c>
      <c r="D18" s="45">
        <f t="shared" si="38"/>
        <v>0</v>
      </c>
      <c r="E18" s="45">
        <f t="shared" si="15"/>
        <v>0</v>
      </c>
      <c r="F18" s="580">
        <f t="shared" si="16"/>
        <v>1841</v>
      </c>
      <c r="G18" s="52">
        <f t="shared" si="0"/>
        <v>0</v>
      </c>
      <c r="H18" s="580">
        <f t="shared" si="17"/>
        <v>13408</v>
      </c>
      <c r="I18" s="395">
        <f t="shared" si="1"/>
        <v>0</v>
      </c>
      <c r="J18" s="66">
        <f t="shared" si="18"/>
        <v>0</v>
      </c>
      <c r="K18" s="580">
        <f t="shared" si="19"/>
        <v>2331</v>
      </c>
      <c r="L18" s="52">
        <f t="shared" si="20"/>
        <v>0</v>
      </c>
      <c r="M18" s="580">
        <f t="shared" si="21"/>
        <v>171898</v>
      </c>
      <c r="N18" s="395">
        <f t="shared" si="2"/>
        <v>0</v>
      </c>
      <c r="O18" s="64">
        <v>1869</v>
      </c>
      <c r="P18" s="580">
        <f t="shared" si="22"/>
        <v>2096</v>
      </c>
      <c r="Q18" s="580">
        <f t="shared" si="23"/>
        <v>176206</v>
      </c>
      <c r="R18" s="394">
        <f t="shared" si="46"/>
        <v>0</v>
      </c>
      <c r="S18" s="52">
        <f t="shared" si="5"/>
        <v>0</v>
      </c>
      <c r="T18" s="67">
        <f t="shared" si="39"/>
        <v>0</v>
      </c>
      <c r="U18" s="401">
        <f t="shared" si="24"/>
        <v>0</v>
      </c>
      <c r="V18" s="62">
        <f t="shared" si="25"/>
        <v>0</v>
      </c>
      <c r="W18" s="399"/>
      <c r="X18" s="580">
        <f t="shared" si="27"/>
        <v>2469</v>
      </c>
      <c r="Y18" s="52">
        <f t="shared" si="28"/>
        <v>0</v>
      </c>
      <c r="Z18" s="580">
        <f t="shared" si="29"/>
        <v>138993</v>
      </c>
      <c r="AA18" s="65">
        <f t="shared" si="6"/>
        <v>0</v>
      </c>
      <c r="AB18" s="284">
        <f t="shared" ref="AB18:AB23" si="47">SUM(Y18*$AB$2)</f>
        <v>0</v>
      </c>
      <c r="AC18" s="580">
        <f t="shared" si="7"/>
        <v>1937</v>
      </c>
      <c r="AD18" s="45">
        <f t="shared" si="8"/>
        <v>0</v>
      </c>
      <c r="AE18" s="580">
        <f t="shared" si="30"/>
        <v>365590</v>
      </c>
      <c r="AF18" s="306">
        <f t="shared" si="31"/>
        <v>0</v>
      </c>
      <c r="AG18" s="209">
        <f t="shared" si="41"/>
        <v>0</v>
      </c>
      <c r="AH18" s="62">
        <f t="shared" si="42"/>
        <v>0</v>
      </c>
      <c r="AI18" s="317">
        <f t="shared" si="32"/>
        <v>0</v>
      </c>
      <c r="AJ18" s="317">
        <f>-tanks!AW19</f>
        <v>0</v>
      </c>
      <c r="AK18" s="317">
        <f t="shared" si="33"/>
        <v>0</v>
      </c>
      <c r="AL18" s="317">
        <f t="shared" si="9"/>
        <v>0</v>
      </c>
      <c r="AM18" s="317">
        <f t="shared" si="34"/>
        <v>0</v>
      </c>
      <c r="AN18" s="580">
        <f t="shared" si="10"/>
        <v>67</v>
      </c>
      <c r="AO18" s="319">
        <f t="shared" si="35"/>
        <v>2010.0000000000002</v>
      </c>
      <c r="AP18" s="580">
        <f t="shared" si="11"/>
        <v>55</v>
      </c>
      <c r="AQ18" s="319">
        <f t="shared" si="36"/>
        <v>1650.0000000000002</v>
      </c>
      <c r="AR18" s="580">
        <f t="shared" si="12"/>
        <v>61</v>
      </c>
      <c r="AS18" s="319">
        <f t="shared" si="43"/>
        <v>1830</v>
      </c>
      <c r="AT18" s="319">
        <f t="shared" si="44"/>
        <v>5490</v>
      </c>
      <c r="AU18" s="319">
        <f t="shared" si="45"/>
        <v>0</v>
      </c>
      <c r="AV18" s="269"/>
      <c r="AW18" s="269"/>
      <c r="AX18" s="312">
        <f t="shared" si="37"/>
        <v>0.8</v>
      </c>
    </row>
    <row r="19" spans="1:50">
      <c r="A19" s="63">
        <f>ELEC!C18</f>
        <v>44362</v>
      </c>
      <c r="B19" s="580">
        <f t="shared" si="13"/>
        <v>191</v>
      </c>
      <c r="C19" s="580">
        <f t="shared" si="14"/>
        <v>204</v>
      </c>
      <c r="D19" s="45">
        <f t="shared" si="38"/>
        <v>0</v>
      </c>
      <c r="E19" s="45">
        <f t="shared" si="15"/>
        <v>0</v>
      </c>
      <c r="F19" s="580">
        <f t="shared" si="16"/>
        <v>1841</v>
      </c>
      <c r="G19" s="52">
        <f t="shared" si="0"/>
        <v>0</v>
      </c>
      <c r="H19" s="580">
        <f t="shared" si="17"/>
        <v>13408</v>
      </c>
      <c r="I19" s="395">
        <f t="shared" si="1"/>
        <v>0</v>
      </c>
      <c r="J19" s="66">
        <f t="shared" si="18"/>
        <v>0</v>
      </c>
      <c r="K19" s="580">
        <f t="shared" si="19"/>
        <v>2331</v>
      </c>
      <c r="L19" s="52">
        <f t="shared" si="20"/>
        <v>0</v>
      </c>
      <c r="M19" s="580">
        <f t="shared" si="21"/>
        <v>171898</v>
      </c>
      <c r="N19" s="395">
        <f t="shared" si="2"/>
        <v>0</v>
      </c>
      <c r="O19" s="64">
        <f t="shared" ref="O19:O34" si="48">O18</f>
        <v>1869</v>
      </c>
      <c r="P19" s="580">
        <f t="shared" si="22"/>
        <v>2096</v>
      </c>
      <c r="Q19" s="580">
        <f t="shared" si="23"/>
        <v>176206</v>
      </c>
      <c r="R19" s="394">
        <f t="shared" si="46"/>
        <v>0</v>
      </c>
      <c r="S19" s="52">
        <f t="shared" si="5"/>
        <v>0</v>
      </c>
      <c r="T19" s="67">
        <f t="shared" si="39"/>
        <v>0</v>
      </c>
      <c r="U19" s="401">
        <f t="shared" si="24"/>
        <v>0</v>
      </c>
      <c r="V19" s="62">
        <f t="shared" si="25"/>
        <v>0</v>
      </c>
      <c r="W19" s="399"/>
      <c r="X19" s="580">
        <f t="shared" si="27"/>
        <v>2469</v>
      </c>
      <c r="Y19" s="52">
        <f t="shared" si="28"/>
        <v>0</v>
      </c>
      <c r="Z19" s="580">
        <f t="shared" si="29"/>
        <v>138993</v>
      </c>
      <c r="AA19" s="65">
        <f t="shared" si="6"/>
        <v>0</v>
      </c>
      <c r="AB19" s="284">
        <f t="shared" si="47"/>
        <v>0</v>
      </c>
      <c r="AC19" s="580">
        <f t="shared" si="7"/>
        <v>1937</v>
      </c>
      <c r="AD19" s="45">
        <f t="shared" si="8"/>
        <v>0</v>
      </c>
      <c r="AE19" s="580">
        <f t="shared" si="30"/>
        <v>365590</v>
      </c>
      <c r="AF19" s="306">
        <f t="shared" si="31"/>
        <v>0</v>
      </c>
      <c r="AG19" s="209">
        <f t="shared" si="41"/>
        <v>0</v>
      </c>
      <c r="AH19" s="62">
        <f t="shared" si="42"/>
        <v>0</v>
      </c>
      <c r="AI19" s="317">
        <f t="shared" si="32"/>
        <v>0</v>
      </c>
      <c r="AJ19" s="317">
        <f>-tanks!AW20</f>
        <v>0</v>
      </c>
      <c r="AK19" s="317">
        <f t="shared" si="33"/>
        <v>0</v>
      </c>
      <c r="AL19" s="317">
        <f t="shared" si="9"/>
        <v>0</v>
      </c>
      <c r="AM19" s="317">
        <f t="shared" si="34"/>
        <v>0</v>
      </c>
      <c r="AN19" s="580">
        <f t="shared" si="10"/>
        <v>67</v>
      </c>
      <c r="AO19" s="319">
        <f t="shared" si="35"/>
        <v>2010.0000000000002</v>
      </c>
      <c r="AP19" s="580">
        <f t="shared" si="11"/>
        <v>55</v>
      </c>
      <c r="AQ19" s="319">
        <f t="shared" si="36"/>
        <v>1650.0000000000002</v>
      </c>
      <c r="AR19" s="580">
        <f t="shared" si="12"/>
        <v>61</v>
      </c>
      <c r="AS19" s="319">
        <f t="shared" si="43"/>
        <v>1830</v>
      </c>
      <c r="AT19" s="319">
        <f t="shared" si="44"/>
        <v>5490</v>
      </c>
      <c r="AU19" s="319">
        <f t="shared" si="45"/>
        <v>0</v>
      </c>
      <c r="AV19" s="269"/>
      <c r="AW19" s="269"/>
      <c r="AX19" s="312">
        <f t="shared" si="37"/>
        <v>0.8</v>
      </c>
    </row>
    <row r="20" spans="1:50">
      <c r="A20" s="63">
        <f>ELEC!C19</f>
        <v>44363</v>
      </c>
      <c r="B20" s="580">
        <f t="shared" si="13"/>
        <v>191</v>
      </c>
      <c r="C20" s="580">
        <f t="shared" si="14"/>
        <v>204</v>
      </c>
      <c r="D20" s="45">
        <f>C19-C20</f>
        <v>0</v>
      </c>
      <c r="E20" s="45">
        <f t="shared" si="15"/>
        <v>0</v>
      </c>
      <c r="F20" s="580">
        <f t="shared" si="16"/>
        <v>1841</v>
      </c>
      <c r="G20" s="52">
        <f t="shared" si="0"/>
        <v>0</v>
      </c>
      <c r="H20" s="580">
        <f t="shared" si="17"/>
        <v>13408</v>
      </c>
      <c r="I20" s="395">
        <f t="shared" si="1"/>
        <v>0</v>
      </c>
      <c r="J20" s="66">
        <f t="shared" si="18"/>
        <v>0</v>
      </c>
      <c r="K20" s="580">
        <f t="shared" si="19"/>
        <v>2331</v>
      </c>
      <c r="L20" s="52">
        <f t="shared" si="20"/>
        <v>0</v>
      </c>
      <c r="M20" s="580">
        <f t="shared" si="21"/>
        <v>171898</v>
      </c>
      <c r="N20" s="395">
        <f t="shared" si="2"/>
        <v>0</v>
      </c>
      <c r="O20" s="64">
        <f t="shared" si="48"/>
        <v>1869</v>
      </c>
      <c r="P20" s="580">
        <f t="shared" si="22"/>
        <v>2096</v>
      </c>
      <c r="Q20" s="580">
        <f t="shared" si="23"/>
        <v>176206</v>
      </c>
      <c r="R20" s="394">
        <f t="shared" si="46"/>
        <v>0</v>
      </c>
      <c r="S20" s="52">
        <f t="shared" si="5"/>
        <v>0</v>
      </c>
      <c r="T20" s="67">
        <f t="shared" si="39"/>
        <v>0</v>
      </c>
      <c r="U20" s="401">
        <f t="shared" si="24"/>
        <v>0</v>
      </c>
      <c r="V20" s="62">
        <f t="shared" si="25"/>
        <v>0</v>
      </c>
      <c r="W20" s="399"/>
      <c r="X20" s="580">
        <f t="shared" si="27"/>
        <v>2469</v>
      </c>
      <c r="Y20" s="52">
        <f t="shared" si="28"/>
        <v>0</v>
      </c>
      <c r="Z20" s="580">
        <f t="shared" si="29"/>
        <v>138993</v>
      </c>
      <c r="AA20" s="65">
        <f t="shared" si="6"/>
        <v>0</v>
      </c>
      <c r="AB20" s="284">
        <f t="shared" si="47"/>
        <v>0</v>
      </c>
      <c r="AC20" s="580">
        <f t="shared" si="7"/>
        <v>1937</v>
      </c>
      <c r="AD20" s="45">
        <f t="shared" si="8"/>
        <v>0</v>
      </c>
      <c r="AE20" s="580">
        <f t="shared" si="30"/>
        <v>365590</v>
      </c>
      <c r="AF20" s="306">
        <f t="shared" si="31"/>
        <v>0</v>
      </c>
      <c r="AG20" s="209">
        <f t="shared" si="41"/>
        <v>0</v>
      </c>
      <c r="AH20" s="62">
        <f t="shared" si="42"/>
        <v>0</v>
      </c>
      <c r="AI20" s="317">
        <f t="shared" si="32"/>
        <v>0</v>
      </c>
      <c r="AJ20" s="317">
        <f>-tanks!AW21</f>
        <v>0</v>
      </c>
      <c r="AK20" s="317">
        <f t="shared" si="33"/>
        <v>0</v>
      </c>
      <c r="AL20" s="317">
        <f t="shared" si="9"/>
        <v>0</v>
      </c>
      <c r="AM20" s="317">
        <f t="shared" si="34"/>
        <v>0</v>
      </c>
      <c r="AN20" s="580">
        <f t="shared" si="10"/>
        <v>67</v>
      </c>
      <c r="AO20" s="319">
        <f t="shared" si="35"/>
        <v>2010.0000000000002</v>
      </c>
      <c r="AP20" s="580">
        <f t="shared" si="11"/>
        <v>55</v>
      </c>
      <c r="AQ20" s="319">
        <f t="shared" si="36"/>
        <v>1650.0000000000002</v>
      </c>
      <c r="AR20" s="580">
        <f t="shared" si="12"/>
        <v>61</v>
      </c>
      <c r="AS20" s="319">
        <f t="shared" si="43"/>
        <v>1830</v>
      </c>
      <c r="AT20" s="319">
        <f t="shared" si="44"/>
        <v>5490</v>
      </c>
      <c r="AU20" s="319">
        <f t="shared" si="45"/>
        <v>0</v>
      </c>
      <c r="AV20" s="269"/>
      <c r="AW20" s="269"/>
      <c r="AX20" s="312">
        <f t="shared" si="37"/>
        <v>0.8</v>
      </c>
    </row>
    <row r="21" spans="1:50">
      <c r="A21" s="63">
        <f>ELEC!C20</f>
        <v>44364</v>
      </c>
      <c r="B21" s="580">
        <f t="shared" si="13"/>
        <v>191</v>
      </c>
      <c r="C21" s="580">
        <f t="shared" si="14"/>
        <v>204</v>
      </c>
      <c r="D21" s="45">
        <f t="shared" ref="D21:D32" si="49">C20-C21</f>
        <v>0</v>
      </c>
      <c r="E21" s="45">
        <f t="shared" si="15"/>
        <v>0</v>
      </c>
      <c r="F21" s="580">
        <f t="shared" si="16"/>
        <v>1841</v>
      </c>
      <c r="G21" s="52">
        <f t="shared" si="0"/>
        <v>0</v>
      </c>
      <c r="H21" s="580">
        <f t="shared" si="17"/>
        <v>13408</v>
      </c>
      <c r="I21" s="395">
        <f t="shared" si="1"/>
        <v>0</v>
      </c>
      <c r="J21" s="66">
        <f t="shared" si="18"/>
        <v>0</v>
      </c>
      <c r="K21" s="580">
        <f t="shared" si="19"/>
        <v>2331</v>
      </c>
      <c r="L21" s="52">
        <f t="shared" si="20"/>
        <v>0</v>
      </c>
      <c r="M21" s="580">
        <f t="shared" si="21"/>
        <v>171898</v>
      </c>
      <c r="N21" s="395">
        <f t="shared" si="2"/>
        <v>0</v>
      </c>
      <c r="O21" s="64">
        <f t="shared" si="48"/>
        <v>1869</v>
      </c>
      <c r="P21" s="580">
        <f t="shared" si="22"/>
        <v>2096</v>
      </c>
      <c r="Q21" s="580">
        <f t="shared" si="23"/>
        <v>176206</v>
      </c>
      <c r="R21" s="394">
        <f t="shared" si="46"/>
        <v>0</v>
      </c>
      <c r="S21" s="52">
        <f t="shared" si="5"/>
        <v>0</v>
      </c>
      <c r="T21" s="67">
        <f t="shared" si="39"/>
        <v>0</v>
      </c>
      <c r="U21" s="401">
        <f t="shared" si="24"/>
        <v>0</v>
      </c>
      <c r="V21" s="62">
        <f t="shared" si="25"/>
        <v>0</v>
      </c>
      <c r="W21" s="399"/>
      <c r="X21" s="580">
        <f t="shared" si="27"/>
        <v>2469</v>
      </c>
      <c r="Y21" s="52">
        <f t="shared" si="28"/>
        <v>0</v>
      </c>
      <c r="Z21" s="580">
        <f t="shared" si="29"/>
        <v>138993</v>
      </c>
      <c r="AA21" s="65">
        <f t="shared" si="6"/>
        <v>0</v>
      </c>
      <c r="AB21" s="284">
        <f t="shared" si="47"/>
        <v>0</v>
      </c>
      <c r="AC21" s="580">
        <f t="shared" si="7"/>
        <v>1937</v>
      </c>
      <c r="AD21" s="45">
        <f t="shared" si="8"/>
        <v>0</v>
      </c>
      <c r="AE21" s="580">
        <f t="shared" si="30"/>
        <v>365590</v>
      </c>
      <c r="AF21" s="306">
        <f t="shared" si="31"/>
        <v>0</v>
      </c>
      <c r="AG21" s="209">
        <f t="shared" si="41"/>
        <v>0</v>
      </c>
      <c r="AH21" s="62">
        <f t="shared" si="42"/>
        <v>0</v>
      </c>
      <c r="AI21" s="317">
        <f t="shared" si="32"/>
        <v>0</v>
      </c>
      <c r="AJ21" s="317">
        <f>-tanks!AW22</f>
        <v>0</v>
      </c>
      <c r="AK21" s="317">
        <f t="shared" si="33"/>
        <v>0</v>
      </c>
      <c r="AL21" s="317">
        <f t="shared" si="9"/>
        <v>0</v>
      </c>
      <c r="AM21" s="317">
        <f t="shared" si="34"/>
        <v>0</v>
      </c>
      <c r="AN21" s="580">
        <f t="shared" si="10"/>
        <v>67</v>
      </c>
      <c r="AO21" s="319">
        <f t="shared" si="35"/>
        <v>2010.0000000000002</v>
      </c>
      <c r="AP21" s="580">
        <f t="shared" si="11"/>
        <v>55</v>
      </c>
      <c r="AQ21" s="319">
        <f t="shared" si="36"/>
        <v>1650.0000000000002</v>
      </c>
      <c r="AR21" s="580">
        <f t="shared" si="12"/>
        <v>61</v>
      </c>
      <c r="AS21" s="319">
        <f t="shared" si="43"/>
        <v>1830</v>
      </c>
      <c r="AT21" s="319">
        <f t="shared" si="44"/>
        <v>5490</v>
      </c>
      <c r="AU21" s="319">
        <f t="shared" si="45"/>
        <v>0</v>
      </c>
      <c r="AV21" s="269"/>
      <c r="AW21" s="269"/>
      <c r="AX21" s="312">
        <f t="shared" si="37"/>
        <v>0.8</v>
      </c>
    </row>
    <row r="22" spans="1:50" ht="16.5" customHeight="1">
      <c r="A22" s="63">
        <f>ELEC!C21</f>
        <v>44365</v>
      </c>
      <c r="B22" s="580">
        <f t="shared" si="13"/>
        <v>191</v>
      </c>
      <c r="C22" s="580">
        <f t="shared" si="14"/>
        <v>204</v>
      </c>
      <c r="D22" s="45">
        <f t="shared" si="49"/>
        <v>0</v>
      </c>
      <c r="E22" s="45">
        <f t="shared" si="15"/>
        <v>0</v>
      </c>
      <c r="F22" s="580">
        <f t="shared" si="16"/>
        <v>1841</v>
      </c>
      <c r="G22" s="52">
        <f t="shared" si="0"/>
        <v>0</v>
      </c>
      <c r="H22" s="580">
        <f t="shared" si="17"/>
        <v>13408</v>
      </c>
      <c r="I22" s="395">
        <f t="shared" si="1"/>
        <v>0</v>
      </c>
      <c r="J22" s="66">
        <f t="shared" si="18"/>
        <v>0</v>
      </c>
      <c r="K22" s="580">
        <f t="shared" si="19"/>
        <v>2331</v>
      </c>
      <c r="L22" s="52">
        <f t="shared" si="20"/>
        <v>0</v>
      </c>
      <c r="M22" s="580">
        <f t="shared" si="21"/>
        <v>171898</v>
      </c>
      <c r="N22" s="395">
        <f t="shared" si="2"/>
        <v>0</v>
      </c>
      <c r="O22" s="64">
        <f t="shared" si="48"/>
        <v>1869</v>
      </c>
      <c r="P22" s="580">
        <f t="shared" si="22"/>
        <v>2096</v>
      </c>
      <c r="Q22" s="580">
        <f t="shared" si="23"/>
        <v>176206</v>
      </c>
      <c r="R22" s="394">
        <f t="shared" si="46"/>
        <v>0</v>
      </c>
      <c r="S22" s="52">
        <f t="shared" si="5"/>
        <v>0</v>
      </c>
      <c r="T22" s="67">
        <f t="shared" si="39"/>
        <v>0</v>
      </c>
      <c r="U22" s="401">
        <f t="shared" si="24"/>
        <v>0</v>
      </c>
      <c r="V22" s="62">
        <f t="shared" si="25"/>
        <v>0</v>
      </c>
      <c r="W22" s="399"/>
      <c r="X22" s="580">
        <f t="shared" si="27"/>
        <v>2469</v>
      </c>
      <c r="Y22" s="52">
        <f t="shared" si="28"/>
        <v>0</v>
      </c>
      <c r="Z22" s="580">
        <f t="shared" si="29"/>
        <v>138993</v>
      </c>
      <c r="AA22" s="65">
        <f t="shared" si="6"/>
        <v>0</v>
      </c>
      <c r="AB22" s="284">
        <f t="shared" si="47"/>
        <v>0</v>
      </c>
      <c r="AC22" s="580">
        <f t="shared" si="7"/>
        <v>1937</v>
      </c>
      <c r="AD22" s="45">
        <f t="shared" si="8"/>
        <v>0</v>
      </c>
      <c r="AE22" s="580">
        <f t="shared" si="30"/>
        <v>365590</v>
      </c>
      <c r="AF22" s="306">
        <f t="shared" si="31"/>
        <v>0</v>
      </c>
      <c r="AG22" s="209">
        <f t="shared" si="41"/>
        <v>0</v>
      </c>
      <c r="AH22" s="62">
        <f t="shared" si="42"/>
        <v>0</v>
      </c>
      <c r="AI22" s="317">
        <f t="shared" si="32"/>
        <v>0</v>
      </c>
      <c r="AJ22" s="317">
        <f>-tanks!AW23</f>
        <v>0</v>
      </c>
      <c r="AK22" s="317">
        <f t="shared" si="33"/>
        <v>0</v>
      </c>
      <c r="AL22" s="317">
        <f t="shared" si="9"/>
        <v>0</v>
      </c>
      <c r="AM22" s="317">
        <f t="shared" si="34"/>
        <v>0</v>
      </c>
      <c r="AN22" s="580">
        <f t="shared" si="10"/>
        <v>67</v>
      </c>
      <c r="AO22" s="319">
        <f t="shared" si="35"/>
        <v>2010.0000000000002</v>
      </c>
      <c r="AP22" s="580">
        <f t="shared" si="11"/>
        <v>55</v>
      </c>
      <c r="AQ22" s="319">
        <f t="shared" si="36"/>
        <v>1650.0000000000002</v>
      </c>
      <c r="AR22" s="580">
        <f t="shared" si="12"/>
        <v>61</v>
      </c>
      <c r="AS22" s="319">
        <f t="shared" si="43"/>
        <v>1830</v>
      </c>
      <c r="AT22" s="319">
        <f t="shared" si="44"/>
        <v>5490</v>
      </c>
      <c r="AU22" s="319">
        <f t="shared" si="45"/>
        <v>0</v>
      </c>
      <c r="AV22" s="269"/>
      <c r="AW22" s="269"/>
      <c r="AX22" s="312">
        <f t="shared" si="37"/>
        <v>0.8</v>
      </c>
    </row>
    <row r="23" spans="1:50">
      <c r="A23" s="63">
        <f>ELEC!C22</f>
        <v>44366</v>
      </c>
      <c r="B23" s="580">
        <f t="shared" si="13"/>
        <v>191</v>
      </c>
      <c r="C23" s="580">
        <f t="shared" si="14"/>
        <v>204</v>
      </c>
      <c r="D23" s="45">
        <f t="shared" si="49"/>
        <v>0</v>
      </c>
      <c r="E23" s="45">
        <f t="shared" si="15"/>
        <v>0</v>
      </c>
      <c r="F23" s="580">
        <f t="shared" si="16"/>
        <v>1841</v>
      </c>
      <c r="G23" s="52">
        <f t="shared" si="0"/>
        <v>0</v>
      </c>
      <c r="H23" s="580">
        <f t="shared" si="17"/>
        <v>13408</v>
      </c>
      <c r="I23" s="395">
        <f t="shared" si="1"/>
        <v>0</v>
      </c>
      <c r="J23" s="66">
        <f t="shared" si="18"/>
        <v>0</v>
      </c>
      <c r="K23" s="580">
        <f t="shared" si="19"/>
        <v>2331</v>
      </c>
      <c r="L23" s="52">
        <f t="shared" si="20"/>
        <v>0</v>
      </c>
      <c r="M23" s="580">
        <f t="shared" si="21"/>
        <v>171898</v>
      </c>
      <c r="N23" s="395">
        <f t="shared" si="2"/>
        <v>0</v>
      </c>
      <c r="O23" s="64">
        <f t="shared" si="48"/>
        <v>1869</v>
      </c>
      <c r="P23" s="580">
        <f t="shared" si="22"/>
        <v>2096</v>
      </c>
      <c r="Q23" s="580">
        <f t="shared" si="23"/>
        <v>176206</v>
      </c>
      <c r="R23" s="394">
        <f t="shared" si="46"/>
        <v>0</v>
      </c>
      <c r="S23" s="52">
        <f t="shared" si="5"/>
        <v>0</v>
      </c>
      <c r="T23" s="67">
        <f t="shared" si="39"/>
        <v>0</v>
      </c>
      <c r="U23" s="401">
        <f t="shared" si="24"/>
        <v>0</v>
      </c>
      <c r="V23" s="62">
        <f t="shared" si="25"/>
        <v>0</v>
      </c>
      <c r="W23" s="399"/>
      <c r="X23" s="580">
        <f t="shared" si="27"/>
        <v>2469</v>
      </c>
      <c r="Y23" s="52">
        <f t="shared" si="28"/>
        <v>0</v>
      </c>
      <c r="Z23" s="580">
        <f t="shared" si="29"/>
        <v>138993</v>
      </c>
      <c r="AA23" s="65">
        <f t="shared" si="6"/>
        <v>0</v>
      </c>
      <c r="AB23" s="284">
        <f t="shared" si="47"/>
        <v>0</v>
      </c>
      <c r="AC23" s="580">
        <f t="shared" si="7"/>
        <v>1937</v>
      </c>
      <c r="AD23" s="45">
        <f t="shared" si="8"/>
        <v>0</v>
      </c>
      <c r="AE23" s="580">
        <f t="shared" si="30"/>
        <v>365590</v>
      </c>
      <c r="AF23" s="306">
        <f t="shared" si="31"/>
        <v>0</v>
      </c>
      <c r="AG23" s="209">
        <f t="shared" si="41"/>
        <v>0</v>
      </c>
      <c r="AH23" s="62">
        <f t="shared" si="42"/>
        <v>0</v>
      </c>
      <c r="AI23" s="317">
        <f>SUM(AH23+V23)</f>
        <v>0</v>
      </c>
      <c r="AJ23" s="317">
        <f>-tanks!AW24</f>
        <v>0</v>
      </c>
      <c r="AK23" s="317">
        <f>SUM(AJ23-AI23)</f>
        <v>0</v>
      </c>
      <c r="AL23" s="317">
        <f>S23+L23+G23</f>
        <v>0</v>
      </c>
      <c r="AM23" s="317">
        <f>Y23+AD23</f>
        <v>0</v>
      </c>
      <c r="AN23" s="580">
        <f t="shared" si="10"/>
        <v>67</v>
      </c>
      <c r="AO23" s="319">
        <f t="shared" si="35"/>
        <v>2010.0000000000002</v>
      </c>
      <c r="AP23" s="580">
        <f t="shared" si="11"/>
        <v>55</v>
      </c>
      <c r="AQ23" s="319">
        <f t="shared" si="36"/>
        <v>1650.0000000000002</v>
      </c>
      <c r="AR23" s="580">
        <f t="shared" si="12"/>
        <v>61</v>
      </c>
      <c r="AS23" s="319">
        <f t="shared" si="43"/>
        <v>1830</v>
      </c>
      <c r="AT23" s="319">
        <f t="shared" si="44"/>
        <v>5490</v>
      </c>
      <c r="AU23" s="319">
        <f t="shared" si="45"/>
        <v>0</v>
      </c>
      <c r="AV23" s="269"/>
      <c r="AW23" s="269"/>
      <c r="AX23" s="312">
        <f t="shared" si="37"/>
        <v>0.8</v>
      </c>
    </row>
    <row r="24" spans="1:50">
      <c r="A24" s="63">
        <f>ELEC!C23</f>
        <v>44367</v>
      </c>
      <c r="B24" s="580">
        <f t="shared" si="13"/>
        <v>191</v>
      </c>
      <c r="C24" s="580">
        <f t="shared" si="14"/>
        <v>204</v>
      </c>
      <c r="D24" s="45">
        <f t="shared" si="49"/>
        <v>0</v>
      </c>
      <c r="E24" s="45">
        <f t="shared" si="15"/>
        <v>0</v>
      </c>
      <c r="F24" s="580">
        <f t="shared" si="16"/>
        <v>1841</v>
      </c>
      <c r="G24" s="52">
        <f t="shared" si="0"/>
        <v>0</v>
      </c>
      <c r="H24" s="580">
        <f t="shared" si="17"/>
        <v>13408</v>
      </c>
      <c r="I24" s="395">
        <f t="shared" si="1"/>
        <v>0</v>
      </c>
      <c r="J24" s="66">
        <f t="shared" si="18"/>
        <v>0</v>
      </c>
      <c r="K24" s="580">
        <f t="shared" si="19"/>
        <v>2331</v>
      </c>
      <c r="L24" s="52">
        <f t="shared" si="20"/>
        <v>0</v>
      </c>
      <c r="M24" s="580">
        <f t="shared" si="21"/>
        <v>171898</v>
      </c>
      <c r="N24" s="395">
        <f t="shared" si="2"/>
        <v>0</v>
      </c>
      <c r="O24" s="64">
        <f t="shared" si="48"/>
        <v>1869</v>
      </c>
      <c r="P24" s="580">
        <f t="shared" si="22"/>
        <v>2096</v>
      </c>
      <c r="Q24" s="580">
        <f t="shared" si="23"/>
        <v>176206</v>
      </c>
      <c r="R24" s="394">
        <f t="shared" si="46"/>
        <v>0</v>
      </c>
      <c r="S24" s="52">
        <f t="shared" si="5"/>
        <v>0</v>
      </c>
      <c r="T24" s="67">
        <f t="shared" si="39"/>
        <v>0</v>
      </c>
      <c r="U24" s="401">
        <f t="shared" si="24"/>
        <v>0</v>
      </c>
      <c r="V24" s="62">
        <f t="shared" si="25"/>
        <v>0</v>
      </c>
      <c r="W24" s="399"/>
      <c r="X24" s="580">
        <f t="shared" si="27"/>
        <v>2469</v>
      </c>
      <c r="Y24" s="52">
        <f t="shared" si="28"/>
        <v>0</v>
      </c>
      <c r="Z24" s="580">
        <f t="shared" si="29"/>
        <v>138993</v>
      </c>
      <c r="AA24" s="65">
        <f t="shared" si="6"/>
        <v>0</v>
      </c>
      <c r="AB24" s="284">
        <f t="shared" ref="AB24:AB32" si="50">SUM(Y24*$AB$2)</f>
        <v>0</v>
      </c>
      <c r="AC24" s="580">
        <f t="shared" si="7"/>
        <v>1937</v>
      </c>
      <c r="AD24" s="45">
        <f t="shared" si="8"/>
        <v>0</v>
      </c>
      <c r="AE24" s="580">
        <f t="shared" si="30"/>
        <v>365590</v>
      </c>
      <c r="AF24" s="306">
        <f t="shared" si="31"/>
        <v>0</v>
      </c>
      <c r="AG24" s="209">
        <f t="shared" si="41"/>
        <v>0</v>
      </c>
      <c r="AH24" s="62">
        <f t="shared" si="42"/>
        <v>0</v>
      </c>
      <c r="AI24" s="317">
        <f t="shared" si="32"/>
        <v>0</v>
      </c>
      <c r="AJ24" s="317">
        <f>-tanks!AW25</f>
        <v>0</v>
      </c>
      <c r="AK24" s="317">
        <f t="shared" si="33"/>
        <v>0</v>
      </c>
      <c r="AL24" s="317">
        <f t="shared" si="9"/>
        <v>0</v>
      </c>
      <c r="AM24" s="317">
        <f t="shared" si="34"/>
        <v>0</v>
      </c>
      <c r="AN24" s="580">
        <f t="shared" si="10"/>
        <v>67</v>
      </c>
      <c r="AO24" s="319">
        <f t="shared" si="35"/>
        <v>2010.0000000000002</v>
      </c>
      <c r="AP24" s="580">
        <f t="shared" si="11"/>
        <v>55</v>
      </c>
      <c r="AQ24" s="319">
        <f t="shared" si="36"/>
        <v>1650.0000000000002</v>
      </c>
      <c r="AR24" s="580">
        <f t="shared" si="12"/>
        <v>61</v>
      </c>
      <c r="AS24" s="319">
        <f t="shared" si="43"/>
        <v>1830</v>
      </c>
      <c r="AT24" s="319">
        <f t="shared" ref="AT24:AT32" si="51">SUM(AO24+AQ24+AS24)</f>
        <v>5490</v>
      </c>
      <c r="AU24" s="319">
        <f t="shared" si="45"/>
        <v>0</v>
      </c>
      <c r="AV24" s="269"/>
      <c r="AW24" s="269"/>
      <c r="AX24" s="312">
        <f t="shared" si="37"/>
        <v>0.8</v>
      </c>
    </row>
    <row r="25" spans="1:50" ht="13.5" customHeight="1">
      <c r="A25" s="63">
        <f>ELEC!C24</f>
        <v>44368</v>
      </c>
      <c r="B25" s="580">
        <f t="shared" si="13"/>
        <v>191</v>
      </c>
      <c r="C25" s="580">
        <f t="shared" si="14"/>
        <v>204</v>
      </c>
      <c r="D25" s="45">
        <f t="shared" si="49"/>
        <v>0</v>
      </c>
      <c r="E25" s="45">
        <f t="shared" si="15"/>
        <v>0</v>
      </c>
      <c r="F25" s="580">
        <f t="shared" si="16"/>
        <v>1841</v>
      </c>
      <c r="G25" s="52">
        <f t="shared" si="0"/>
        <v>0</v>
      </c>
      <c r="H25" s="580">
        <f t="shared" si="17"/>
        <v>13408</v>
      </c>
      <c r="I25" s="395">
        <f t="shared" si="1"/>
        <v>0</v>
      </c>
      <c r="J25" s="66">
        <f t="shared" si="18"/>
        <v>0</v>
      </c>
      <c r="K25" s="580">
        <f t="shared" si="19"/>
        <v>2331</v>
      </c>
      <c r="L25" s="52">
        <f t="shared" si="20"/>
        <v>0</v>
      </c>
      <c r="M25" s="580">
        <f t="shared" si="21"/>
        <v>171898</v>
      </c>
      <c r="N25" s="395">
        <f t="shared" si="2"/>
        <v>0</v>
      </c>
      <c r="O25" s="64">
        <f t="shared" si="48"/>
        <v>1869</v>
      </c>
      <c r="P25" s="580">
        <f t="shared" si="22"/>
        <v>2096</v>
      </c>
      <c r="Q25" s="580">
        <f t="shared" si="23"/>
        <v>176206</v>
      </c>
      <c r="R25" s="394">
        <f t="shared" si="46"/>
        <v>0</v>
      </c>
      <c r="S25" s="52">
        <f t="shared" si="5"/>
        <v>0</v>
      </c>
      <c r="T25" s="67">
        <f t="shared" si="39"/>
        <v>0</v>
      </c>
      <c r="U25" s="401">
        <f t="shared" si="24"/>
        <v>0</v>
      </c>
      <c r="V25" s="62">
        <f t="shared" si="25"/>
        <v>0</v>
      </c>
      <c r="W25" s="399"/>
      <c r="X25" s="580">
        <f t="shared" si="27"/>
        <v>2469</v>
      </c>
      <c r="Y25" s="52">
        <f t="shared" si="28"/>
        <v>0</v>
      </c>
      <c r="Z25" s="580">
        <f t="shared" si="29"/>
        <v>138993</v>
      </c>
      <c r="AA25" s="65">
        <f t="shared" si="6"/>
        <v>0</v>
      </c>
      <c r="AB25" s="284">
        <f t="shared" si="50"/>
        <v>0</v>
      </c>
      <c r="AC25" s="580">
        <f t="shared" si="7"/>
        <v>1937</v>
      </c>
      <c r="AD25" s="45">
        <f t="shared" si="8"/>
        <v>0</v>
      </c>
      <c r="AE25" s="580">
        <f t="shared" si="30"/>
        <v>365590</v>
      </c>
      <c r="AF25" s="306">
        <f t="shared" si="31"/>
        <v>0</v>
      </c>
      <c r="AG25" s="209">
        <f t="shared" si="41"/>
        <v>0</v>
      </c>
      <c r="AH25" s="62">
        <f t="shared" si="42"/>
        <v>0</v>
      </c>
      <c r="AI25" s="317">
        <f t="shared" si="32"/>
        <v>0</v>
      </c>
      <c r="AJ25" s="317">
        <f>-tanks!AW26</f>
        <v>0</v>
      </c>
      <c r="AK25" s="317">
        <f t="shared" si="33"/>
        <v>0</v>
      </c>
      <c r="AL25" s="317">
        <f t="shared" si="9"/>
        <v>0</v>
      </c>
      <c r="AM25" s="317">
        <f t="shared" si="34"/>
        <v>0</v>
      </c>
      <c r="AN25" s="580">
        <f t="shared" si="10"/>
        <v>67</v>
      </c>
      <c r="AO25" s="319">
        <f t="shared" si="35"/>
        <v>2010.0000000000002</v>
      </c>
      <c r="AP25" s="580">
        <f t="shared" si="11"/>
        <v>55</v>
      </c>
      <c r="AQ25" s="319">
        <f t="shared" ref="AQ25:AQ32" si="52">(AP25/100)*3000</f>
        <v>1650.0000000000002</v>
      </c>
      <c r="AR25" s="580">
        <f t="shared" si="12"/>
        <v>61</v>
      </c>
      <c r="AS25" s="319">
        <f t="shared" si="43"/>
        <v>1830</v>
      </c>
      <c r="AT25" s="319">
        <f t="shared" si="51"/>
        <v>5490</v>
      </c>
      <c r="AU25" s="319">
        <f t="shared" si="45"/>
        <v>0</v>
      </c>
      <c r="AV25" s="269"/>
      <c r="AW25" s="269"/>
      <c r="AX25" s="312">
        <f t="shared" si="37"/>
        <v>0.8</v>
      </c>
    </row>
    <row r="26" spans="1:50" ht="14.25" customHeight="1">
      <c r="A26" s="63">
        <f>ELEC!C25</f>
        <v>44369</v>
      </c>
      <c r="B26" s="580">
        <f t="shared" si="13"/>
        <v>191</v>
      </c>
      <c r="C26" s="580">
        <f t="shared" si="14"/>
        <v>204</v>
      </c>
      <c r="D26" s="45">
        <f t="shared" si="49"/>
        <v>0</v>
      </c>
      <c r="E26" s="45">
        <f t="shared" si="15"/>
        <v>0</v>
      </c>
      <c r="F26" s="580">
        <f t="shared" si="16"/>
        <v>1841</v>
      </c>
      <c r="G26" s="52">
        <f t="shared" si="0"/>
        <v>0</v>
      </c>
      <c r="H26" s="580">
        <f t="shared" si="17"/>
        <v>13408</v>
      </c>
      <c r="I26" s="395">
        <f t="shared" si="1"/>
        <v>0</v>
      </c>
      <c r="J26" s="66">
        <f t="shared" si="18"/>
        <v>0</v>
      </c>
      <c r="K26" s="580">
        <f t="shared" si="19"/>
        <v>2331</v>
      </c>
      <c r="L26" s="52">
        <f t="shared" si="20"/>
        <v>0</v>
      </c>
      <c r="M26" s="580">
        <f t="shared" si="21"/>
        <v>171898</v>
      </c>
      <c r="N26" s="395">
        <f t="shared" si="2"/>
        <v>0</v>
      </c>
      <c r="O26" s="64">
        <f t="shared" si="48"/>
        <v>1869</v>
      </c>
      <c r="P26" s="580">
        <f t="shared" si="22"/>
        <v>2096</v>
      </c>
      <c r="Q26" s="580">
        <f t="shared" si="23"/>
        <v>176206</v>
      </c>
      <c r="R26" s="394">
        <f t="shared" si="46"/>
        <v>0</v>
      </c>
      <c r="S26" s="52">
        <f t="shared" si="5"/>
        <v>0</v>
      </c>
      <c r="T26" s="67">
        <f t="shared" si="39"/>
        <v>0</v>
      </c>
      <c r="U26" s="401">
        <f t="shared" si="24"/>
        <v>0</v>
      </c>
      <c r="V26" s="62">
        <f t="shared" si="25"/>
        <v>0</v>
      </c>
      <c r="W26" s="399"/>
      <c r="X26" s="580">
        <f t="shared" si="27"/>
        <v>2469</v>
      </c>
      <c r="Y26" s="52">
        <f t="shared" si="28"/>
        <v>0</v>
      </c>
      <c r="Z26" s="580">
        <f t="shared" si="29"/>
        <v>138993</v>
      </c>
      <c r="AA26" s="65">
        <f t="shared" si="6"/>
        <v>0</v>
      </c>
      <c r="AB26" s="284">
        <f t="shared" si="50"/>
        <v>0</v>
      </c>
      <c r="AC26" s="580">
        <f t="shared" si="7"/>
        <v>1937</v>
      </c>
      <c r="AD26" s="45">
        <f t="shared" si="8"/>
        <v>0</v>
      </c>
      <c r="AE26" s="580">
        <f t="shared" si="30"/>
        <v>365590</v>
      </c>
      <c r="AF26" s="306">
        <f t="shared" si="31"/>
        <v>0</v>
      </c>
      <c r="AG26" s="209">
        <f t="shared" si="41"/>
        <v>0</v>
      </c>
      <c r="AH26" s="62">
        <f t="shared" si="42"/>
        <v>0</v>
      </c>
      <c r="AI26" s="317">
        <f t="shared" si="32"/>
        <v>0</v>
      </c>
      <c r="AJ26" s="317">
        <f>-tanks!AW27</f>
        <v>0</v>
      </c>
      <c r="AK26" s="317">
        <f t="shared" si="33"/>
        <v>0</v>
      </c>
      <c r="AL26" s="317">
        <f t="shared" si="9"/>
        <v>0</v>
      </c>
      <c r="AM26" s="317">
        <f t="shared" si="34"/>
        <v>0</v>
      </c>
      <c r="AN26" s="580">
        <f t="shared" si="10"/>
        <v>67</v>
      </c>
      <c r="AO26" s="319">
        <f t="shared" si="35"/>
        <v>2010.0000000000002</v>
      </c>
      <c r="AP26" s="580">
        <f t="shared" si="11"/>
        <v>55</v>
      </c>
      <c r="AQ26" s="319">
        <f t="shared" si="52"/>
        <v>1650.0000000000002</v>
      </c>
      <c r="AR26" s="580">
        <f t="shared" si="12"/>
        <v>61</v>
      </c>
      <c r="AS26" s="319">
        <f t="shared" si="43"/>
        <v>1830</v>
      </c>
      <c r="AT26" s="319">
        <f t="shared" si="51"/>
        <v>5490</v>
      </c>
      <c r="AU26" s="319">
        <f t="shared" si="45"/>
        <v>0</v>
      </c>
      <c r="AV26" s="269"/>
      <c r="AW26" s="269"/>
      <c r="AX26" s="312">
        <f t="shared" si="37"/>
        <v>0.8</v>
      </c>
    </row>
    <row r="27" spans="1:50">
      <c r="A27" s="63">
        <f>ELEC!C26</f>
        <v>44370</v>
      </c>
      <c r="B27" s="580">
        <f t="shared" si="13"/>
        <v>191</v>
      </c>
      <c r="C27" s="580">
        <f t="shared" si="14"/>
        <v>204</v>
      </c>
      <c r="D27" s="45">
        <f t="shared" si="49"/>
        <v>0</v>
      </c>
      <c r="E27" s="45">
        <f t="shared" si="15"/>
        <v>0</v>
      </c>
      <c r="F27" s="580">
        <f t="shared" si="16"/>
        <v>1841</v>
      </c>
      <c r="G27" s="52">
        <f t="shared" si="0"/>
        <v>0</v>
      </c>
      <c r="H27" s="580">
        <f t="shared" si="17"/>
        <v>13408</v>
      </c>
      <c r="I27" s="395">
        <f t="shared" si="1"/>
        <v>0</v>
      </c>
      <c r="J27" s="66">
        <f t="shared" si="18"/>
        <v>0</v>
      </c>
      <c r="K27" s="580">
        <f t="shared" si="19"/>
        <v>2331</v>
      </c>
      <c r="L27" s="52">
        <f t="shared" si="20"/>
        <v>0</v>
      </c>
      <c r="M27" s="580">
        <f t="shared" si="21"/>
        <v>171898</v>
      </c>
      <c r="N27" s="395">
        <f t="shared" si="2"/>
        <v>0</v>
      </c>
      <c r="O27" s="64">
        <f t="shared" si="48"/>
        <v>1869</v>
      </c>
      <c r="P27" s="580">
        <f t="shared" si="22"/>
        <v>2096</v>
      </c>
      <c r="Q27" s="580">
        <f t="shared" si="23"/>
        <v>176206</v>
      </c>
      <c r="R27" s="394">
        <f t="shared" si="46"/>
        <v>0</v>
      </c>
      <c r="S27" s="52">
        <f t="shared" si="5"/>
        <v>0</v>
      </c>
      <c r="T27" s="67">
        <f t="shared" si="39"/>
        <v>0</v>
      </c>
      <c r="U27" s="401">
        <f t="shared" si="24"/>
        <v>0</v>
      </c>
      <c r="V27" s="62">
        <f t="shared" si="25"/>
        <v>0</v>
      </c>
      <c r="W27" s="399"/>
      <c r="X27" s="580">
        <f t="shared" si="27"/>
        <v>2469</v>
      </c>
      <c r="Y27" s="52">
        <f t="shared" si="28"/>
        <v>0</v>
      </c>
      <c r="Z27" s="580">
        <f t="shared" si="29"/>
        <v>138993</v>
      </c>
      <c r="AA27" s="65">
        <f t="shared" si="6"/>
        <v>0</v>
      </c>
      <c r="AB27" s="284">
        <f t="shared" si="50"/>
        <v>0</v>
      </c>
      <c r="AC27" s="580">
        <f t="shared" si="7"/>
        <v>1937</v>
      </c>
      <c r="AD27" s="45">
        <f t="shared" si="8"/>
        <v>0</v>
      </c>
      <c r="AE27" s="580">
        <f t="shared" si="30"/>
        <v>365590</v>
      </c>
      <c r="AF27" s="306">
        <f t="shared" si="31"/>
        <v>0</v>
      </c>
      <c r="AG27" s="209">
        <f t="shared" si="41"/>
        <v>0</v>
      </c>
      <c r="AH27" s="62">
        <f t="shared" si="42"/>
        <v>0</v>
      </c>
      <c r="AI27" s="317">
        <f t="shared" si="32"/>
        <v>0</v>
      </c>
      <c r="AJ27" s="317">
        <f>-tanks!AW28</f>
        <v>0</v>
      </c>
      <c r="AK27" s="317">
        <f t="shared" si="33"/>
        <v>0</v>
      </c>
      <c r="AL27" s="317">
        <f t="shared" si="9"/>
        <v>0</v>
      </c>
      <c r="AM27" s="317">
        <f t="shared" si="34"/>
        <v>0</v>
      </c>
      <c r="AN27" s="580">
        <f t="shared" si="10"/>
        <v>67</v>
      </c>
      <c r="AO27" s="319">
        <f t="shared" ref="AO27:AO34" si="53">(AN27/100)*3000</f>
        <v>2010.0000000000002</v>
      </c>
      <c r="AP27" s="580">
        <f t="shared" si="11"/>
        <v>55</v>
      </c>
      <c r="AQ27" s="319">
        <f t="shared" si="52"/>
        <v>1650.0000000000002</v>
      </c>
      <c r="AR27" s="580">
        <f t="shared" si="12"/>
        <v>61</v>
      </c>
      <c r="AS27" s="319">
        <f t="shared" si="43"/>
        <v>1830</v>
      </c>
      <c r="AT27" s="319">
        <f t="shared" si="51"/>
        <v>5490</v>
      </c>
      <c r="AU27" s="319">
        <f t="shared" si="45"/>
        <v>0</v>
      </c>
      <c r="AV27" s="269"/>
      <c r="AW27" s="498"/>
      <c r="AX27" s="312">
        <f t="shared" si="37"/>
        <v>0.8</v>
      </c>
    </row>
    <row r="28" spans="1:50">
      <c r="A28" s="63">
        <f>ELEC!C27</f>
        <v>44371</v>
      </c>
      <c r="B28" s="580">
        <f t="shared" si="13"/>
        <v>191</v>
      </c>
      <c r="C28" s="580">
        <f t="shared" si="14"/>
        <v>204</v>
      </c>
      <c r="D28" s="45">
        <f t="shared" si="49"/>
        <v>0</v>
      </c>
      <c r="E28" s="45">
        <f t="shared" si="15"/>
        <v>0</v>
      </c>
      <c r="F28" s="580">
        <f t="shared" si="16"/>
        <v>1841</v>
      </c>
      <c r="G28" s="52">
        <f t="shared" si="0"/>
        <v>0</v>
      </c>
      <c r="H28" s="580">
        <f t="shared" si="17"/>
        <v>13408</v>
      </c>
      <c r="I28" s="395">
        <f t="shared" si="1"/>
        <v>0</v>
      </c>
      <c r="J28" s="66">
        <f t="shared" si="18"/>
        <v>0</v>
      </c>
      <c r="K28" s="580">
        <f t="shared" si="19"/>
        <v>2331</v>
      </c>
      <c r="L28" s="52">
        <f t="shared" si="20"/>
        <v>0</v>
      </c>
      <c r="M28" s="580">
        <f t="shared" si="21"/>
        <v>171898</v>
      </c>
      <c r="N28" s="395">
        <f t="shared" si="2"/>
        <v>0</v>
      </c>
      <c r="O28" s="64">
        <f t="shared" si="48"/>
        <v>1869</v>
      </c>
      <c r="P28" s="580">
        <f t="shared" si="22"/>
        <v>2096</v>
      </c>
      <c r="Q28" s="580">
        <f t="shared" si="23"/>
        <v>176206</v>
      </c>
      <c r="R28" s="394">
        <f t="shared" si="46"/>
        <v>0</v>
      </c>
      <c r="S28" s="52">
        <f t="shared" si="5"/>
        <v>0</v>
      </c>
      <c r="T28" s="67">
        <f t="shared" si="39"/>
        <v>0</v>
      </c>
      <c r="U28" s="401">
        <f t="shared" si="24"/>
        <v>0</v>
      </c>
      <c r="V28" s="62">
        <f t="shared" si="25"/>
        <v>0</v>
      </c>
      <c r="W28" s="399"/>
      <c r="X28" s="580">
        <f t="shared" si="27"/>
        <v>2469</v>
      </c>
      <c r="Y28" s="52">
        <f t="shared" si="28"/>
        <v>0</v>
      </c>
      <c r="Z28" s="580">
        <f t="shared" si="29"/>
        <v>138993</v>
      </c>
      <c r="AA28" s="65">
        <f t="shared" si="6"/>
        <v>0</v>
      </c>
      <c r="AB28" s="284">
        <f t="shared" si="50"/>
        <v>0</v>
      </c>
      <c r="AC28" s="580">
        <f t="shared" si="7"/>
        <v>1937</v>
      </c>
      <c r="AD28" s="45">
        <f t="shared" si="8"/>
        <v>0</v>
      </c>
      <c r="AE28" s="580">
        <f t="shared" si="30"/>
        <v>365590</v>
      </c>
      <c r="AF28" s="306">
        <f t="shared" si="31"/>
        <v>0</v>
      </c>
      <c r="AG28" s="209">
        <f t="shared" si="41"/>
        <v>0</v>
      </c>
      <c r="AH28" s="62">
        <f t="shared" si="42"/>
        <v>0</v>
      </c>
      <c r="AI28" s="317">
        <f t="shared" si="32"/>
        <v>0</v>
      </c>
      <c r="AJ28" s="317">
        <f>-tanks!AW29</f>
        <v>0</v>
      </c>
      <c r="AK28" s="317">
        <f t="shared" si="33"/>
        <v>0</v>
      </c>
      <c r="AL28" s="317">
        <f t="shared" si="9"/>
        <v>0</v>
      </c>
      <c r="AM28" s="317">
        <f t="shared" si="34"/>
        <v>0</v>
      </c>
      <c r="AN28" s="580">
        <f t="shared" si="10"/>
        <v>67</v>
      </c>
      <c r="AO28" s="319">
        <f t="shared" si="53"/>
        <v>2010.0000000000002</v>
      </c>
      <c r="AP28" s="580">
        <f t="shared" si="11"/>
        <v>55</v>
      </c>
      <c r="AQ28" s="319">
        <f t="shared" si="52"/>
        <v>1650.0000000000002</v>
      </c>
      <c r="AR28" s="580">
        <f t="shared" si="12"/>
        <v>61</v>
      </c>
      <c r="AS28" s="319">
        <f t="shared" si="43"/>
        <v>1830</v>
      </c>
      <c r="AT28" s="319">
        <f t="shared" si="51"/>
        <v>5490</v>
      </c>
      <c r="AU28" s="319">
        <f t="shared" si="45"/>
        <v>0</v>
      </c>
      <c r="AV28" s="269"/>
      <c r="AW28" s="269"/>
      <c r="AX28" s="312">
        <f t="shared" si="37"/>
        <v>0.8</v>
      </c>
    </row>
    <row r="29" spans="1:50">
      <c r="A29" s="63">
        <f>ELEC!C28</f>
        <v>44372</v>
      </c>
      <c r="B29" s="580">
        <f t="shared" si="13"/>
        <v>191</v>
      </c>
      <c r="C29" s="580">
        <f t="shared" si="14"/>
        <v>204</v>
      </c>
      <c r="D29" s="45">
        <f t="shared" si="49"/>
        <v>0</v>
      </c>
      <c r="E29" s="45">
        <f t="shared" si="15"/>
        <v>0</v>
      </c>
      <c r="F29" s="580">
        <f t="shared" si="16"/>
        <v>1841</v>
      </c>
      <c r="G29" s="52">
        <f t="shared" si="0"/>
        <v>0</v>
      </c>
      <c r="H29" s="580">
        <f t="shared" si="17"/>
        <v>13408</v>
      </c>
      <c r="I29" s="395">
        <f t="shared" si="1"/>
        <v>0</v>
      </c>
      <c r="J29" s="66">
        <f t="shared" si="18"/>
        <v>0</v>
      </c>
      <c r="K29" s="580">
        <f t="shared" si="19"/>
        <v>2331</v>
      </c>
      <c r="L29" s="52">
        <f t="shared" si="20"/>
        <v>0</v>
      </c>
      <c r="M29" s="580">
        <f t="shared" si="21"/>
        <v>171898</v>
      </c>
      <c r="N29" s="395">
        <f t="shared" si="2"/>
        <v>0</v>
      </c>
      <c r="O29" s="64">
        <f t="shared" si="48"/>
        <v>1869</v>
      </c>
      <c r="P29" s="580">
        <f t="shared" si="22"/>
        <v>2096</v>
      </c>
      <c r="Q29" s="580">
        <f t="shared" si="23"/>
        <v>176206</v>
      </c>
      <c r="R29" s="394">
        <f t="shared" si="46"/>
        <v>0</v>
      </c>
      <c r="S29" s="52">
        <f t="shared" si="5"/>
        <v>0</v>
      </c>
      <c r="T29" s="67">
        <f t="shared" si="39"/>
        <v>0</v>
      </c>
      <c r="U29" s="401">
        <f t="shared" si="24"/>
        <v>0</v>
      </c>
      <c r="V29" s="62">
        <f t="shared" si="25"/>
        <v>0</v>
      </c>
      <c r="W29" s="399"/>
      <c r="X29" s="580">
        <f t="shared" si="27"/>
        <v>2469</v>
      </c>
      <c r="Y29" s="52">
        <f t="shared" si="28"/>
        <v>0</v>
      </c>
      <c r="Z29" s="580">
        <f t="shared" si="29"/>
        <v>138993</v>
      </c>
      <c r="AA29" s="65">
        <f t="shared" si="6"/>
        <v>0</v>
      </c>
      <c r="AB29" s="284">
        <f t="shared" si="50"/>
        <v>0</v>
      </c>
      <c r="AC29" s="580">
        <f t="shared" si="7"/>
        <v>1937</v>
      </c>
      <c r="AD29" s="45">
        <f t="shared" si="8"/>
        <v>0</v>
      </c>
      <c r="AE29" s="580">
        <f t="shared" si="30"/>
        <v>365590</v>
      </c>
      <c r="AF29" s="306">
        <f t="shared" si="31"/>
        <v>0</v>
      </c>
      <c r="AG29" s="209">
        <f t="shared" si="41"/>
        <v>0</v>
      </c>
      <c r="AH29" s="62">
        <f t="shared" si="42"/>
        <v>0</v>
      </c>
      <c r="AI29" s="317">
        <f t="shared" si="32"/>
        <v>0</v>
      </c>
      <c r="AJ29" s="317">
        <f>-tanks!AW30</f>
        <v>0</v>
      </c>
      <c r="AK29" s="317">
        <f t="shared" si="33"/>
        <v>0</v>
      </c>
      <c r="AL29" s="317">
        <f t="shared" si="9"/>
        <v>0</v>
      </c>
      <c r="AM29" s="317">
        <f t="shared" si="34"/>
        <v>0</v>
      </c>
      <c r="AN29" s="580">
        <f t="shared" si="10"/>
        <v>67</v>
      </c>
      <c r="AO29" s="319">
        <f t="shared" si="53"/>
        <v>2010.0000000000002</v>
      </c>
      <c r="AP29" s="580">
        <f t="shared" si="11"/>
        <v>55</v>
      </c>
      <c r="AQ29" s="319">
        <f t="shared" si="52"/>
        <v>1650.0000000000002</v>
      </c>
      <c r="AR29" s="580">
        <f t="shared" si="12"/>
        <v>61</v>
      </c>
      <c r="AS29" s="319">
        <f t="shared" si="43"/>
        <v>1830</v>
      </c>
      <c r="AT29" s="319">
        <f>SUM(AO29+AQ29+AS29)</f>
        <v>5490</v>
      </c>
      <c r="AU29" s="319">
        <f>AT28-AT29+AV29</f>
        <v>0</v>
      </c>
      <c r="AV29" s="269"/>
      <c r="AW29" s="269"/>
      <c r="AX29" s="312">
        <f t="shared" si="37"/>
        <v>0.8</v>
      </c>
    </row>
    <row r="30" spans="1:50">
      <c r="A30" s="63">
        <f>ELEC!C29</f>
        <v>44373</v>
      </c>
      <c r="B30" s="580">
        <f t="shared" si="13"/>
        <v>191</v>
      </c>
      <c r="C30" s="580">
        <f t="shared" si="14"/>
        <v>204</v>
      </c>
      <c r="D30" s="45">
        <f t="shared" si="49"/>
        <v>0</v>
      </c>
      <c r="E30" s="45">
        <f t="shared" si="15"/>
        <v>0</v>
      </c>
      <c r="F30" s="580">
        <f t="shared" si="16"/>
        <v>1841</v>
      </c>
      <c r="G30" s="52">
        <f t="shared" si="0"/>
        <v>0</v>
      </c>
      <c r="H30" s="580">
        <f t="shared" si="17"/>
        <v>13408</v>
      </c>
      <c r="I30" s="395">
        <f t="shared" si="1"/>
        <v>0</v>
      </c>
      <c r="J30" s="66">
        <f t="shared" si="18"/>
        <v>0</v>
      </c>
      <c r="K30" s="580">
        <f t="shared" si="19"/>
        <v>2331</v>
      </c>
      <c r="L30" s="52">
        <f t="shared" si="20"/>
        <v>0</v>
      </c>
      <c r="M30" s="580">
        <f t="shared" si="21"/>
        <v>171898</v>
      </c>
      <c r="N30" s="395">
        <f t="shared" si="2"/>
        <v>0</v>
      </c>
      <c r="O30" s="64">
        <f t="shared" si="48"/>
        <v>1869</v>
      </c>
      <c r="P30" s="580">
        <f t="shared" si="22"/>
        <v>2096</v>
      </c>
      <c r="Q30" s="580">
        <f t="shared" si="23"/>
        <v>176206</v>
      </c>
      <c r="R30" s="394">
        <f t="shared" si="46"/>
        <v>0</v>
      </c>
      <c r="S30" s="52">
        <f t="shared" si="5"/>
        <v>0</v>
      </c>
      <c r="T30" s="67">
        <f t="shared" si="39"/>
        <v>0</v>
      </c>
      <c r="U30" s="401">
        <f t="shared" si="24"/>
        <v>0</v>
      </c>
      <c r="V30" s="62">
        <f t="shared" si="25"/>
        <v>0</v>
      </c>
      <c r="W30" s="399"/>
      <c r="X30" s="580">
        <f t="shared" si="27"/>
        <v>2469</v>
      </c>
      <c r="Y30" s="52">
        <f t="shared" si="28"/>
        <v>0</v>
      </c>
      <c r="Z30" s="580">
        <f t="shared" si="29"/>
        <v>138993</v>
      </c>
      <c r="AA30" s="65">
        <f t="shared" si="6"/>
        <v>0</v>
      </c>
      <c r="AB30" s="284">
        <f t="shared" si="50"/>
        <v>0</v>
      </c>
      <c r="AC30" s="580">
        <f t="shared" si="7"/>
        <v>1937</v>
      </c>
      <c r="AD30" s="45">
        <f t="shared" si="8"/>
        <v>0</v>
      </c>
      <c r="AE30" s="580">
        <f t="shared" si="30"/>
        <v>365590</v>
      </c>
      <c r="AF30" s="306">
        <f t="shared" si="31"/>
        <v>0</v>
      </c>
      <c r="AG30" s="209">
        <f t="shared" si="41"/>
        <v>0</v>
      </c>
      <c r="AH30" s="62">
        <f t="shared" si="42"/>
        <v>0</v>
      </c>
      <c r="AI30" s="317">
        <f t="shared" si="32"/>
        <v>0</v>
      </c>
      <c r="AJ30" s="317">
        <f>-tanks!AW31</f>
        <v>0</v>
      </c>
      <c r="AK30" s="317">
        <f t="shared" si="33"/>
        <v>0</v>
      </c>
      <c r="AL30" s="317">
        <f t="shared" si="9"/>
        <v>0</v>
      </c>
      <c r="AM30" s="317">
        <f t="shared" si="34"/>
        <v>0</v>
      </c>
      <c r="AN30" s="580">
        <f t="shared" si="10"/>
        <v>67</v>
      </c>
      <c r="AO30" s="319">
        <f t="shared" si="53"/>
        <v>2010.0000000000002</v>
      </c>
      <c r="AP30" s="580">
        <f t="shared" si="11"/>
        <v>55</v>
      </c>
      <c r="AQ30" s="319">
        <f t="shared" si="52"/>
        <v>1650.0000000000002</v>
      </c>
      <c r="AR30" s="580">
        <f t="shared" si="12"/>
        <v>61</v>
      </c>
      <c r="AS30" s="319">
        <f t="shared" si="43"/>
        <v>1830</v>
      </c>
      <c r="AT30" s="319">
        <f t="shared" si="51"/>
        <v>5490</v>
      </c>
      <c r="AU30" s="319">
        <f t="shared" si="45"/>
        <v>0</v>
      </c>
      <c r="AV30" s="269"/>
      <c r="AW30" s="269"/>
      <c r="AX30" s="312">
        <f t="shared" si="37"/>
        <v>0.8</v>
      </c>
    </row>
    <row r="31" spans="1:50">
      <c r="A31" s="63">
        <f>ELEC!C30</f>
        <v>44374</v>
      </c>
      <c r="B31" s="580">
        <f t="shared" si="13"/>
        <v>191</v>
      </c>
      <c r="C31" s="580">
        <f t="shared" si="14"/>
        <v>204</v>
      </c>
      <c r="D31" s="45">
        <f t="shared" si="49"/>
        <v>0</v>
      </c>
      <c r="E31" s="45">
        <f t="shared" si="15"/>
        <v>0</v>
      </c>
      <c r="F31" s="580">
        <f t="shared" si="16"/>
        <v>1841</v>
      </c>
      <c r="G31" s="52">
        <f t="shared" si="0"/>
        <v>0</v>
      </c>
      <c r="H31" s="580">
        <f t="shared" si="17"/>
        <v>13408</v>
      </c>
      <c r="I31" s="395">
        <f t="shared" si="1"/>
        <v>0</v>
      </c>
      <c r="J31" s="66">
        <f t="shared" si="18"/>
        <v>0</v>
      </c>
      <c r="K31" s="580">
        <f t="shared" si="19"/>
        <v>2331</v>
      </c>
      <c r="L31" s="52">
        <f t="shared" si="20"/>
        <v>0</v>
      </c>
      <c r="M31" s="580">
        <f t="shared" si="21"/>
        <v>171898</v>
      </c>
      <c r="N31" s="395">
        <f t="shared" si="2"/>
        <v>0</v>
      </c>
      <c r="O31" s="64">
        <f t="shared" si="48"/>
        <v>1869</v>
      </c>
      <c r="P31" s="580">
        <f t="shared" si="22"/>
        <v>2096</v>
      </c>
      <c r="Q31" s="580">
        <f t="shared" si="23"/>
        <v>176206</v>
      </c>
      <c r="R31" s="394">
        <f t="shared" si="46"/>
        <v>0</v>
      </c>
      <c r="S31" s="52">
        <f t="shared" si="5"/>
        <v>0</v>
      </c>
      <c r="T31" s="67">
        <f t="shared" si="39"/>
        <v>0</v>
      </c>
      <c r="U31" s="401">
        <f t="shared" si="24"/>
        <v>0</v>
      </c>
      <c r="V31" s="62">
        <f t="shared" si="25"/>
        <v>0</v>
      </c>
      <c r="W31" s="399"/>
      <c r="X31" s="580">
        <f t="shared" si="27"/>
        <v>2469</v>
      </c>
      <c r="Y31" s="52">
        <f t="shared" si="28"/>
        <v>0</v>
      </c>
      <c r="Z31" s="580">
        <f t="shared" si="29"/>
        <v>138993</v>
      </c>
      <c r="AA31" s="65">
        <f t="shared" si="6"/>
        <v>0</v>
      </c>
      <c r="AB31" s="284">
        <f t="shared" si="50"/>
        <v>0</v>
      </c>
      <c r="AC31" s="580">
        <f t="shared" si="7"/>
        <v>1937</v>
      </c>
      <c r="AD31" s="269">
        <f t="shared" si="8"/>
        <v>0</v>
      </c>
      <c r="AE31" s="580">
        <f t="shared" si="30"/>
        <v>365590</v>
      </c>
      <c r="AF31" s="306">
        <f t="shared" si="31"/>
        <v>0</v>
      </c>
      <c r="AG31" s="209">
        <f t="shared" si="41"/>
        <v>0</v>
      </c>
      <c r="AH31" s="62">
        <f t="shared" si="42"/>
        <v>0</v>
      </c>
      <c r="AI31" s="317">
        <f t="shared" si="32"/>
        <v>0</v>
      </c>
      <c r="AJ31" s="317">
        <f>-tanks!AW32</f>
        <v>0</v>
      </c>
      <c r="AK31" s="317">
        <f t="shared" si="33"/>
        <v>0</v>
      </c>
      <c r="AL31" s="317">
        <f t="shared" si="9"/>
        <v>0</v>
      </c>
      <c r="AM31" s="317">
        <f t="shared" si="34"/>
        <v>0</v>
      </c>
      <c r="AN31" s="580">
        <f t="shared" si="10"/>
        <v>67</v>
      </c>
      <c r="AO31" s="319">
        <f t="shared" si="53"/>
        <v>2010.0000000000002</v>
      </c>
      <c r="AP31" s="580">
        <f t="shared" si="11"/>
        <v>55</v>
      </c>
      <c r="AQ31" s="319">
        <f t="shared" si="52"/>
        <v>1650.0000000000002</v>
      </c>
      <c r="AR31" s="580">
        <f t="shared" si="12"/>
        <v>61</v>
      </c>
      <c r="AS31" s="319">
        <f t="shared" si="43"/>
        <v>1830</v>
      </c>
      <c r="AT31" s="319">
        <f t="shared" si="51"/>
        <v>5490</v>
      </c>
      <c r="AU31" s="319">
        <f t="shared" si="45"/>
        <v>0</v>
      </c>
      <c r="AV31" s="269"/>
      <c r="AW31" s="269"/>
      <c r="AX31" s="312">
        <f t="shared" si="37"/>
        <v>0.8</v>
      </c>
    </row>
    <row r="32" spans="1:50">
      <c r="A32" s="63">
        <f>ELEC!C31</f>
        <v>44375</v>
      </c>
      <c r="B32" s="580">
        <f t="shared" si="13"/>
        <v>191</v>
      </c>
      <c r="C32" s="580">
        <f t="shared" si="14"/>
        <v>204</v>
      </c>
      <c r="D32" s="45">
        <f t="shared" si="49"/>
        <v>0</v>
      </c>
      <c r="E32" s="45">
        <f t="shared" si="15"/>
        <v>0</v>
      </c>
      <c r="F32" s="580">
        <f t="shared" si="16"/>
        <v>1841</v>
      </c>
      <c r="G32" s="52">
        <f t="shared" si="0"/>
        <v>0</v>
      </c>
      <c r="H32" s="580">
        <f t="shared" si="17"/>
        <v>13408</v>
      </c>
      <c r="I32" s="395">
        <f t="shared" si="1"/>
        <v>0</v>
      </c>
      <c r="J32" s="66">
        <f t="shared" si="18"/>
        <v>0</v>
      </c>
      <c r="K32" s="580">
        <f t="shared" si="19"/>
        <v>2331</v>
      </c>
      <c r="L32" s="52">
        <f t="shared" si="20"/>
        <v>0</v>
      </c>
      <c r="M32" s="580">
        <f t="shared" si="21"/>
        <v>171898</v>
      </c>
      <c r="N32" s="395">
        <f t="shared" si="2"/>
        <v>0</v>
      </c>
      <c r="O32" s="64">
        <f t="shared" si="48"/>
        <v>1869</v>
      </c>
      <c r="P32" s="580">
        <f t="shared" si="22"/>
        <v>2096</v>
      </c>
      <c r="Q32" s="580">
        <f t="shared" si="23"/>
        <v>176206</v>
      </c>
      <c r="R32" s="394">
        <f t="shared" si="46"/>
        <v>0</v>
      </c>
      <c r="S32" s="52">
        <f t="shared" si="5"/>
        <v>0</v>
      </c>
      <c r="T32" s="67">
        <f t="shared" si="39"/>
        <v>0</v>
      </c>
      <c r="U32" s="401">
        <f t="shared" si="24"/>
        <v>0</v>
      </c>
      <c r="V32" s="62">
        <f t="shared" si="25"/>
        <v>0</v>
      </c>
      <c r="W32" s="399"/>
      <c r="X32" s="580">
        <f t="shared" si="27"/>
        <v>2469</v>
      </c>
      <c r="Y32" s="52">
        <f t="shared" si="28"/>
        <v>0</v>
      </c>
      <c r="Z32" s="580">
        <f t="shared" si="29"/>
        <v>138993</v>
      </c>
      <c r="AA32" s="65">
        <f t="shared" si="6"/>
        <v>0</v>
      </c>
      <c r="AB32" s="284">
        <f t="shared" si="50"/>
        <v>0</v>
      </c>
      <c r="AC32" s="580">
        <f t="shared" si="7"/>
        <v>1937</v>
      </c>
      <c r="AD32" s="269">
        <f t="shared" si="8"/>
        <v>0</v>
      </c>
      <c r="AE32" s="580">
        <f t="shared" si="30"/>
        <v>365590</v>
      </c>
      <c r="AF32" s="306">
        <f t="shared" si="31"/>
        <v>0</v>
      </c>
      <c r="AG32" s="209">
        <f t="shared" si="41"/>
        <v>0</v>
      </c>
      <c r="AH32" s="62">
        <f t="shared" si="42"/>
        <v>0</v>
      </c>
      <c r="AI32" s="317">
        <f t="shared" si="32"/>
        <v>0</v>
      </c>
      <c r="AJ32" s="317">
        <f>-tanks!AW33</f>
        <v>0</v>
      </c>
      <c r="AK32" s="317">
        <f t="shared" si="33"/>
        <v>0</v>
      </c>
      <c r="AL32" s="317">
        <f t="shared" si="9"/>
        <v>0</v>
      </c>
      <c r="AM32" s="317">
        <f t="shared" si="34"/>
        <v>0</v>
      </c>
      <c r="AN32" s="580">
        <f t="shared" si="10"/>
        <v>67</v>
      </c>
      <c r="AO32" s="319">
        <f t="shared" si="53"/>
        <v>2010.0000000000002</v>
      </c>
      <c r="AP32" s="580">
        <f t="shared" si="11"/>
        <v>55</v>
      </c>
      <c r="AQ32" s="319">
        <f t="shared" si="52"/>
        <v>1650.0000000000002</v>
      </c>
      <c r="AR32" s="580">
        <f t="shared" si="12"/>
        <v>61</v>
      </c>
      <c r="AS32" s="319">
        <f t="shared" si="43"/>
        <v>1830</v>
      </c>
      <c r="AT32" s="319">
        <f t="shared" si="51"/>
        <v>5490</v>
      </c>
      <c r="AU32" s="319">
        <f t="shared" si="45"/>
        <v>0</v>
      </c>
      <c r="AV32" s="269"/>
      <c r="AW32" s="269"/>
      <c r="AX32" s="312">
        <f t="shared" si="37"/>
        <v>0.8</v>
      </c>
    </row>
    <row r="33" spans="1:50">
      <c r="A33" s="63">
        <f>ELEC!C32</f>
        <v>44376</v>
      </c>
      <c r="B33" s="580">
        <f t="shared" si="13"/>
        <v>191</v>
      </c>
      <c r="C33" s="580">
        <f t="shared" si="14"/>
        <v>204</v>
      </c>
      <c r="D33" s="45">
        <f>C32-C33</f>
        <v>0</v>
      </c>
      <c r="E33" s="45">
        <f>D33*8.38</f>
        <v>0</v>
      </c>
      <c r="F33" s="580">
        <f t="shared" si="16"/>
        <v>1841</v>
      </c>
      <c r="G33" s="52">
        <f>F33-F32</f>
        <v>0</v>
      </c>
      <c r="H33" s="580">
        <f t="shared" si="17"/>
        <v>13408</v>
      </c>
      <c r="I33" s="395">
        <f>SUM(H33-H32)</f>
        <v>0</v>
      </c>
      <c r="J33" s="66">
        <f>IF(G33&gt;0,I33/G33,0)</f>
        <v>0</v>
      </c>
      <c r="K33" s="580">
        <f t="shared" si="19"/>
        <v>2331</v>
      </c>
      <c r="L33" s="52">
        <f>K33-K32</f>
        <v>0</v>
      </c>
      <c r="M33" s="580">
        <f t="shared" si="21"/>
        <v>171898</v>
      </c>
      <c r="N33" s="395">
        <f>M33-M32</f>
        <v>0</v>
      </c>
      <c r="O33" s="64">
        <f t="shared" si="48"/>
        <v>1869</v>
      </c>
      <c r="P33" s="580">
        <f t="shared" si="22"/>
        <v>2096</v>
      </c>
      <c r="Q33" s="580">
        <f t="shared" si="23"/>
        <v>176206</v>
      </c>
      <c r="R33" s="394">
        <f>Q33-Q32</f>
        <v>0</v>
      </c>
      <c r="S33" s="52">
        <f>SUM(P33-P32)</f>
        <v>0</v>
      </c>
      <c r="T33" s="67">
        <f>SUM(S33*$T$2)</f>
        <v>0</v>
      </c>
      <c r="U33" s="401">
        <f>SUM(G33+L33+S33)</f>
        <v>0</v>
      </c>
      <c r="V33" s="62">
        <f>R33+N33+I33:I33</f>
        <v>0</v>
      </c>
      <c r="W33" s="399"/>
      <c r="X33" s="580">
        <f t="shared" si="27"/>
        <v>2469</v>
      </c>
      <c r="Y33" s="52">
        <f>X33-X32</f>
        <v>0</v>
      </c>
      <c r="Z33" s="580">
        <f t="shared" si="29"/>
        <v>138993</v>
      </c>
      <c r="AA33" s="65">
        <f>Z33-Z32</f>
        <v>0</v>
      </c>
      <c r="AB33" s="284">
        <f>SUM(Y33*$AB$2)</f>
        <v>0</v>
      </c>
      <c r="AC33" s="580">
        <f t="shared" si="7"/>
        <v>1937</v>
      </c>
      <c r="AD33" s="269">
        <f>AC33-AC32</f>
        <v>0</v>
      </c>
      <c r="AE33" s="580">
        <f t="shared" si="30"/>
        <v>365590</v>
      </c>
      <c r="AF33" s="306">
        <f>AE33-AE32</f>
        <v>0</v>
      </c>
      <c r="AG33" s="209">
        <f>IF(AD33&gt;0,AF33/AD33,0)</f>
        <v>0</v>
      </c>
      <c r="AH33" s="62">
        <f>AF33+AA33</f>
        <v>0</v>
      </c>
      <c r="AI33" s="317">
        <f>SUM(AH33+V33)</f>
        <v>0</v>
      </c>
      <c r="AJ33" s="317">
        <f>-tanks!AW34</f>
        <v>0</v>
      </c>
      <c r="AK33" s="317">
        <f>SUM(AJ33-AI33)</f>
        <v>0</v>
      </c>
      <c r="AL33" s="317">
        <f>S33+L33+G33</f>
        <v>0</v>
      </c>
      <c r="AM33" s="317">
        <f>Y33+AD33</f>
        <v>0</v>
      </c>
      <c r="AN33" s="580">
        <f t="shared" si="10"/>
        <v>67</v>
      </c>
      <c r="AO33" s="319">
        <f t="shared" si="53"/>
        <v>2010.0000000000002</v>
      </c>
      <c r="AP33" s="580">
        <f t="shared" si="11"/>
        <v>55</v>
      </c>
      <c r="AQ33" s="319">
        <f>(AP33/100)*3000</f>
        <v>1650.0000000000002</v>
      </c>
      <c r="AR33" s="580">
        <f t="shared" si="12"/>
        <v>61</v>
      </c>
      <c r="AS33" s="319">
        <f>(AR33/100)*3000</f>
        <v>1830</v>
      </c>
      <c r="AT33" s="319">
        <f>SUM(AO33+AQ33+AS33)</f>
        <v>5490</v>
      </c>
      <c r="AU33" s="319">
        <f>AT32-AT33+AV33</f>
        <v>0</v>
      </c>
      <c r="AV33" s="269"/>
      <c r="AW33" s="269"/>
      <c r="AX33" s="312">
        <f>IF(AV33&gt;0,AW33,AX32)</f>
        <v>0.8</v>
      </c>
    </row>
    <row r="34" spans="1:50">
      <c r="A34" s="63">
        <f>ELEC!C33</f>
        <v>44377</v>
      </c>
      <c r="B34" s="580">
        <f t="shared" si="13"/>
        <v>191</v>
      </c>
      <c r="C34" s="580">
        <f t="shared" si="14"/>
        <v>204</v>
      </c>
      <c r="D34" s="45">
        <f>C33-C34</f>
        <v>0</v>
      </c>
      <c r="E34" s="45">
        <f>D34*8.38</f>
        <v>0</v>
      </c>
      <c r="F34" s="580">
        <f t="shared" si="16"/>
        <v>1841</v>
      </c>
      <c r="G34" s="52">
        <f>F34-F33</f>
        <v>0</v>
      </c>
      <c r="H34" s="580">
        <f t="shared" si="17"/>
        <v>13408</v>
      </c>
      <c r="I34" s="395">
        <f>SUM(H34-H33)</f>
        <v>0</v>
      </c>
      <c r="J34" s="66">
        <f>IF(G34&gt;0,I34/G34,0)</f>
        <v>0</v>
      </c>
      <c r="K34" s="580">
        <f t="shared" si="19"/>
        <v>2331</v>
      </c>
      <c r="L34" s="52">
        <f>K34-K33</f>
        <v>0</v>
      </c>
      <c r="M34" s="580">
        <f t="shared" si="21"/>
        <v>171898</v>
      </c>
      <c r="N34" s="395">
        <f>M34-M33</f>
        <v>0</v>
      </c>
      <c r="O34" s="64">
        <f t="shared" si="48"/>
        <v>1869</v>
      </c>
      <c r="P34" s="580">
        <f t="shared" si="22"/>
        <v>2096</v>
      </c>
      <c r="Q34" s="580">
        <f t="shared" si="23"/>
        <v>176206</v>
      </c>
      <c r="R34" s="394">
        <f>Q34-Q33</f>
        <v>0</v>
      </c>
      <c r="S34" s="52">
        <f>SUM(P34-P33)</f>
        <v>0</v>
      </c>
      <c r="T34" s="67">
        <f>SUM(S34*$T$2)</f>
        <v>0</v>
      </c>
      <c r="U34" s="401">
        <f>SUM(G34+L34+S34)</f>
        <v>0</v>
      </c>
      <c r="V34" s="62">
        <f>R34+N34+I34:I34</f>
        <v>0</v>
      </c>
      <c r="W34" s="399"/>
      <c r="X34" s="580">
        <f t="shared" si="27"/>
        <v>2469</v>
      </c>
      <c r="Y34" s="52">
        <f>X34-X33</f>
        <v>0</v>
      </c>
      <c r="Z34" s="580">
        <f t="shared" si="29"/>
        <v>138993</v>
      </c>
      <c r="AA34" s="65">
        <f>Z34-Z33</f>
        <v>0</v>
      </c>
      <c r="AB34" s="284">
        <f>SUM(Y34*$AB$2)</f>
        <v>0</v>
      </c>
      <c r="AC34" s="580">
        <f t="shared" si="7"/>
        <v>1937</v>
      </c>
      <c r="AD34" s="269">
        <f>AC34-AC33</f>
        <v>0</v>
      </c>
      <c r="AE34" s="580">
        <f t="shared" si="30"/>
        <v>365590</v>
      </c>
      <c r="AF34" s="306">
        <f>AE34-AE33</f>
        <v>0</v>
      </c>
      <c r="AG34" s="209">
        <f>IF(AD34&gt;0,AF34/AD34,0)</f>
        <v>0</v>
      </c>
      <c r="AH34" s="62">
        <f>AF34+AA34</f>
        <v>0</v>
      </c>
      <c r="AI34" s="317">
        <f>SUM(AH34+V34)</f>
        <v>0</v>
      </c>
      <c r="AJ34" s="317">
        <f>-tanks!AW35</f>
        <v>0</v>
      </c>
      <c r="AK34" s="317">
        <f>SUM(AJ34-AI34)</f>
        <v>0</v>
      </c>
      <c r="AL34" s="317">
        <f>S34+L34+G34</f>
        <v>0</v>
      </c>
      <c r="AM34" s="317">
        <f>Y34+AD34</f>
        <v>0</v>
      </c>
      <c r="AN34" s="580">
        <f t="shared" ref="AN34:AP34" si="54">AN33</f>
        <v>67</v>
      </c>
      <c r="AO34" s="319">
        <f t="shared" si="53"/>
        <v>2010.0000000000002</v>
      </c>
      <c r="AP34" s="580">
        <f t="shared" si="54"/>
        <v>55</v>
      </c>
      <c r="AQ34" s="319">
        <f>(AP34/100)*3000</f>
        <v>1650.0000000000002</v>
      </c>
      <c r="AR34" s="580">
        <f t="shared" si="12"/>
        <v>61</v>
      </c>
      <c r="AS34" s="319">
        <f>(AR34/100)*3000</f>
        <v>1830</v>
      </c>
      <c r="AT34" s="319">
        <f>SUM(AO34+AQ34+AS34)</f>
        <v>5490</v>
      </c>
      <c r="AU34" s="319">
        <f>AT33-AT34+AV34</f>
        <v>0</v>
      </c>
      <c r="AV34" s="269"/>
      <c r="AW34" s="269"/>
      <c r="AX34" s="312">
        <f>IF(AV34&gt;0,AW34,AX33)</f>
        <v>0.8</v>
      </c>
    </row>
    <row r="35" spans="1:50">
      <c r="J35" s="283">
        <f>SUM(J5:J32)/(COUNT(J5:J32)-COUNTIF(J5:J32,0))</f>
        <v>1</v>
      </c>
      <c r="V35" s="62">
        <f>SUM(V5:V34)</f>
        <v>0</v>
      </c>
      <c r="AE35" s="71" t="s">
        <v>383</v>
      </c>
      <c r="AG35" s="343"/>
      <c r="AH35" s="62">
        <f>SUM(AH5:AH34)</f>
        <v>0</v>
      </c>
      <c r="AL35" s="62">
        <f>SUM(AL5:AL34)</f>
        <v>0</v>
      </c>
      <c r="AM35" s="62">
        <f>SUM(AM5:AM34)</f>
        <v>0</v>
      </c>
      <c r="AP35" s="312"/>
      <c r="AQ35" s="312"/>
      <c r="AR35" s="312" t="s">
        <v>224</v>
      </c>
      <c r="AS35" s="312">
        <f>COUNT(AW5:AW32)</f>
        <v>0</v>
      </c>
      <c r="AT35" s="312"/>
      <c r="AU35" s="312">
        <f>SUM(AU5:AU32)</f>
        <v>0</v>
      </c>
      <c r="AV35" s="71">
        <f>SUM(AV5:AV32)</f>
        <v>0</v>
      </c>
      <c r="AW35" s="312" t="e">
        <f>SUM(AW5:AW32)/AS35</f>
        <v>#DIV/0!</v>
      </c>
    </row>
    <row r="36" spans="1:50">
      <c r="AH36" s="62">
        <f>AF36+AA36</f>
        <v>0</v>
      </c>
      <c r="AI36" s="320">
        <f>SUM(AI5:AI34)</f>
        <v>0</v>
      </c>
      <c r="AP36" s="312"/>
      <c r="AQ36" s="312"/>
      <c r="AR36" s="312"/>
      <c r="AS36" s="312"/>
      <c r="AT36" s="312"/>
      <c r="AU36" s="312"/>
      <c r="AV36" s="312"/>
      <c r="AW36" s="312"/>
    </row>
    <row r="37" spans="1:50">
      <c r="AH37" s="62">
        <f>AF37+AA37</f>
        <v>0</v>
      </c>
      <c r="AP37" s="312"/>
      <c r="AQ37" s="312"/>
      <c r="AR37" s="312"/>
      <c r="AS37" s="312"/>
      <c r="AT37" s="312"/>
      <c r="AU37" s="312">
        <f>AU35*0.51</f>
        <v>0</v>
      </c>
      <c r="AV37" s="312">
        <f>AV35/0.51</f>
        <v>0</v>
      </c>
      <c r="AW37" s="312" t="e">
        <f>SUM(AW5:AW32)/AS35</f>
        <v>#DIV/0!</v>
      </c>
    </row>
    <row r="38" spans="1:50">
      <c r="AP38" s="312"/>
      <c r="AQ38" s="312"/>
      <c r="AR38" s="312"/>
      <c r="AS38" s="312"/>
      <c r="AT38" s="312"/>
      <c r="AU38" s="312"/>
      <c r="AV38" s="312">
        <f>AV35*0.51</f>
        <v>0</v>
      </c>
      <c r="AW38" s="312"/>
    </row>
    <row r="39" spans="1:50">
      <c r="AP39" s="312"/>
      <c r="AQ39" s="312"/>
      <c r="AR39" s="312"/>
      <c r="AS39" s="312"/>
      <c r="AT39" s="312"/>
      <c r="AU39" s="312"/>
      <c r="AV39" s="312"/>
      <c r="AW39" s="312"/>
    </row>
    <row r="40" spans="1:50">
      <c r="P40" s="69"/>
      <c r="Q40" s="69"/>
      <c r="R40" s="69"/>
      <c r="AP40" s="312"/>
      <c r="AQ40" s="312"/>
      <c r="AR40" s="312"/>
      <c r="AS40" s="312"/>
      <c r="AT40" s="312"/>
      <c r="AU40" s="312"/>
      <c r="AV40" s="312"/>
      <c r="AW40" s="312"/>
    </row>
    <row r="42" spans="1:50">
      <c r="AG42" s="356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R1" zoomScale="90" zoomScaleNormal="90" workbookViewId="0">
      <pane ySplit="3" topLeftCell="A4" activePane="bottomLeft" state="frozen"/>
      <selection pane="bottomLeft" activeCell="BH6" sqref="BH6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1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1" customWidth="1"/>
    <col min="11" max="11" width="13.54296875" style="1" customWidth="1"/>
    <col min="12" max="12" width="13.26953125" style="1" customWidth="1"/>
    <col min="13" max="13" width="10.7265625" style="488" customWidth="1"/>
    <col min="14" max="14" width="10.7265625" style="490" customWidth="1"/>
    <col min="15" max="15" width="11.1796875" style="488" customWidth="1"/>
    <col min="16" max="16" width="11.1796875" style="490" customWidth="1"/>
    <col min="17" max="17" width="17.26953125" style="488" customWidth="1"/>
    <col min="18" max="18" width="10.81640625" style="488" customWidth="1"/>
    <col min="19" max="19" width="10.7265625" style="488" customWidth="1"/>
    <col min="20" max="20" width="13.26953125" style="405" customWidth="1"/>
    <col min="21" max="21" width="8.7265625" style="408" customWidth="1"/>
    <col min="22" max="22" width="13.26953125" style="321" customWidth="1"/>
    <col min="23" max="23" width="9.7265625" style="321" bestFit="1" customWidth="1"/>
    <col min="24" max="27" width="9.7265625" style="321" customWidth="1"/>
    <col min="28" max="28" width="14.453125" style="321" customWidth="1"/>
    <col min="29" max="32" width="9.7265625" style="321" customWidth="1"/>
    <col min="33" max="33" width="11.26953125" style="321" customWidth="1"/>
    <col min="34" max="36" width="9.7265625" style="321" customWidth="1"/>
    <col min="37" max="37" width="7.453125" style="321" customWidth="1"/>
    <col min="38" max="39" width="8.7265625" style="321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8" customFormat="1" ht="15" thickBot="1">
      <c r="B1" s="359"/>
      <c r="C1" s="359"/>
      <c r="D1" s="415">
        <f>SUM(G21:G33)</f>
        <v>8065473</v>
      </c>
      <c r="E1" s="360"/>
      <c r="F1" s="360"/>
      <c r="G1" s="359"/>
      <c r="H1" s="359"/>
      <c r="I1" s="359"/>
      <c r="J1" s="360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59"/>
      <c r="AR1" s="362" t="s">
        <v>92</v>
      </c>
      <c r="AS1" s="363"/>
      <c r="AT1" s="363" t="s">
        <v>60</v>
      </c>
      <c r="AU1" s="363"/>
      <c r="AV1" s="364" t="s">
        <v>61</v>
      </c>
    </row>
    <row r="2" spans="1:65" s="358" customFormat="1" ht="15.75" customHeight="1" thickBot="1">
      <c r="B2" s="359"/>
      <c r="C2" s="359"/>
      <c r="D2" s="359"/>
      <c r="E2" s="360"/>
      <c r="F2" s="360"/>
      <c r="G2" s="359"/>
      <c r="H2" s="359"/>
      <c r="I2" s="359"/>
      <c r="J2" s="360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59"/>
      <c r="AR2" s="661" t="s">
        <v>95</v>
      </c>
      <c r="AS2" s="662"/>
      <c r="AT2" s="662"/>
      <c r="AU2" s="662"/>
      <c r="AV2" s="663"/>
      <c r="AW2" s="661" t="s">
        <v>96</v>
      </c>
      <c r="AX2" s="662"/>
      <c r="AY2" s="663"/>
      <c r="AZ2" s="661" t="s">
        <v>98</v>
      </c>
      <c r="BA2" s="662"/>
      <c r="BB2" s="663"/>
      <c r="BC2" s="365"/>
      <c r="BE2" s="366"/>
    </row>
    <row r="3" spans="1:65" s="358" customFormat="1" ht="48" customHeight="1" thickBot="1">
      <c r="A3" s="367" t="s">
        <v>51</v>
      </c>
      <c r="B3" s="368" t="s">
        <v>52</v>
      </c>
      <c r="C3" s="368" t="s">
        <v>53</v>
      </c>
      <c r="D3" s="368" t="s">
        <v>54</v>
      </c>
      <c r="E3" s="369"/>
      <c r="F3" s="370" t="s">
        <v>80</v>
      </c>
      <c r="G3" s="368" t="s">
        <v>55</v>
      </c>
      <c r="H3" s="368" t="s">
        <v>56</v>
      </c>
      <c r="I3" s="368" t="s">
        <v>100</v>
      </c>
      <c r="J3" s="369"/>
      <c r="K3" s="368" t="s">
        <v>392</v>
      </c>
      <c r="L3" s="371" t="s">
        <v>327</v>
      </c>
      <c r="M3" s="507" t="s">
        <v>399</v>
      </c>
      <c r="N3" s="508"/>
      <c r="O3" s="509" t="s">
        <v>400</v>
      </c>
      <c r="P3" s="509"/>
      <c r="Q3" s="509" t="s">
        <v>396</v>
      </c>
      <c r="R3" s="509" t="s">
        <v>398</v>
      </c>
      <c r="S3" s="509" t="s">
        <v>397</v>
      </c>
      <c r="T3" s="368" t="s">
        <v>380</v>
      </c>
      <c r="U3" s="368" t="s">
        <v>382</v>
      </c>
      <c r="V3" s="372" t="s">
        <v>331</v>
      </c>
      <c r="W3" s="373" t="s">
        <v>332</v>
      </c>
      <c r="X3" s="372" t="s">
        <v>335</v>
      </c>
      <c r="Y3" s="373" t="s">
        <v>336</v>
      </c>
      <c r="Z3" s="374" t="s">
        <v>337</v>
      </c>
      <c r="AA3" s="375" t="s">
        <v>395</v>
      </c>
      <c r="AB3" s="439" t="s">
        <v>394</v>
      </c>
      <c r="AC3" s="437" t="s">
        <v>393</v>
      </c>
      <c r="AD3" s="437"/>
      <c r="AE3" s="376" t="s">
        <v>403</v>
      </c>
      <c r="AF3" s="376" t="s">
        <v>404</v>
      </c>
      <c r="AG3" s="376" t="s">
        <v>405</v>
      </c>
      <c r="AH3" s="376" t="s">
        <v>406</v>
      </c>
      <c r="AI3" s="375" t="s">
        <v>407</v>
      </c>
      <c r="AJ3" s="375" t="s">
        <v>338</v>
      </c>
      <c r="AK3" s="376" t="s">
        <v>340</v>
      </c>
      <c r="AL3" s="376" t="s">
        <v>339</v>
      </c>
      <c r="AM3" s="377" t="s">
        <v>125</v>
      </c>
      <c r="AN3" s="658" t="s">
        <v>126</v>
      </c>
      <c r="AO3" s="659"/>
      <c r="AP3" s="660"/>
      <c r="AR3" s="378" t="s">
        <v>51</v>
      </c>
      <c r="AS3" s="379"/>
      <c r="AT3" s="378" t="s">
        <v>94</v>
      </c>
      <c r="AU3" s="379"/>
      <c r="AV3" s="380" t="s">
        <v>57</v>
      </c>
      <c r="AW3" s="381"/>
      <c r="AX3" s="379" t="s">
        <v>59</v>
      </c>
      <c r="AY3" s="382" t="s">
        <v>93</v>
      </c>
      <c r="AZ3" s="380" t="s">
        <v>57</v>
      </c>
      <c r="BA3" s="383" t="s">
        <v>59</v>
      </c>
      <c r="BB3" s="384" t="s">
        <v>57</v>
      </c>
      <c r="BC3" s="384" t="s">
        <v>58</v>
      </c>
      <c r="BD3" s="385" t="s">
        <v>59</v>
      </c>
      <c r="BE3" s="386" t="s">
        <v>99</v>
      </c>
      <c r="BF3" s="385" t="s">
        <v>97</v>
      </c>
      <c r="BG3" s="387"/>
      <c r="BI3" s="388"/>
      <c r="BJ3" s="388"/>
      <c r="BK3" s="388"/>
      <c r="BL3" s="388"/>
      <c r="BM3" s="388"/>
    </row>
    <row r="4" spans="1:65" ht="16" thickBot="1">
      <c r="A4" s="87"/>
      <c r="B4" s="5"/>
      <c r="C4" s="5"/>
      <c r="D4" s="266"/>
      <c r="E4" s="332">
        <v>1.66</v>
      </c>
      <c r="F4" s="332"/>
      <c r="G4" s="5"/>
      <c r="H4" s="5"/>
      <c r="I4" s="5"/>
      <c r="J4" s="333"/>
      <c r="K4" s="5"/>
      <c r="L4" s="83"/>
      <c r="M4" s="510"/>
      <c r="N4" s="510"/>
      <c r="O4" s="510"/>
      <c r="P4" s="510"/>
      <c r="Q4" s="510"/>
      <c r="R4" s="510"/>
      <c r="S4" s="510"/>
      <c r="T4" s="83"/>
      <c r="U4" s="83"/>
      <c r="V4" s="322"/>
      <c r="W4" s="323"/>
      <c r="X4" s="322"/>
      <c r="Y4" s="323"/>
      <c r="Z4" s="324"/>
      <c r="AA4" s="438"/>
      <c r="AB4" s="440"/>
      <c r="AC4" s="438"/>
      <c r="AD4" s="438"/>
      <c r="AE4" s="438"/>
      <c r="AF4" s="438"/>
      <c r="AG4" s="438"/>
      <c r="AH4" s="438"/>
      <c r="AI4" s="438"/>
      <c r="AJ4" s="325"/>
      <c r="AK4" s="326"/>
      <c r="AL4" s="326"/>
      <c r="AM4" s="327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9">
        <f>[2]WATER!B36</f>
        <v>109443</v>
      </c>
      <c r="C5" s="409">
        <f>[2]WATER!C36</f>
        <v>0</v>
      </c>
      <c r="D5" s="409">
        <f>[2]WATER!D36</f>
        <v>0</v>
      </c>
      <c r="E5" s="409">
        <f>[2]WATER!E36</f>
        <v>241.93548387096774</v>
      </c>
      <c r="F5" s="409">
        <f>[2]WATER!F36</f>
        <v>0</v>
      </c>
      <c r="G5" s="409">
        <f>[2]WATER!G36</f>
        <v>620421</v>
      </c>
      <c r="H5" s="409">
        <f>[2]WATER!H36</f>
        <v>148</v>
      </c>
      <c r="I5" s="409">
        <f>[2]WATER!I36</f>
        <v>148</v>
      </c>
      <c r="J5" s="409">
        <f>[2]WATER!J36</f>
        <v>1.6346992153443767</v>
      </c>
      <c r="K5" s="409">
        <f>[2]WATER!K36</f>
        <v>6775</v>
      </c>
      <c r="L5" s="409">
        <f>[2]WATER!L36</f>
        <v>0</v>
      </c>
      <c r="M5" s="409">
        <f>[2]WATER!M36</f>
        <v>457.44</v>
      </c>
      <c r="N5" s="409">
        <f>[2]WATER!N36</f>
        <v>0</v>
      </c>
      <c r="O5" s="409">
        <f>[2]WATER!O36</f>
        <v>529.52</v>
      </c>
      <c r="P5" s="409">
        <f>[2]WATER!P36</f>
        <v>0</v>
      </c>
      <c r="Q5" s="409">
        <f>[2]WATER!Q36</f>
        <v>0</v>
      </c>
      <c r="R5" s="409">
        <f>[2]WATER!R36</f>
        <v>0</v>
      </c>
      <c r="S5" s="409">
        <f>[2]WATER!S36</f>
        <v>0</v>
      </c>
      <c r="T5" s="409">
        <f>[2]WATER!T36</f>
        <v>5171</v>
      </c>
      <c r="U5" s="409">
        <f>[2]WATER!U36</f>
        <v>0</v>
      </c>
      <c r="V5" s="409">
        <f>[2]WATER!V36</f>
        <v>474</v>
      </c>
      <c r="W5" s="409">
        <f>[2]WATER!W36</f>
        <v>0</v>
      </c>
      <c r="X5" s="409">
        <f>[2]WATER!X36</f>
        <v>152036</v>
      </c>
      <c r="Y5" s="409">
        <f>[2]WATER!Y36</f>
        <v>131</v>
      </c>
      <c r="Z5" s="409">
        <f>[2]WATER!Z36</f>
        <v>98847</v>
      </c>
      <c r="AA5" s="409">
        <f>[2]WATER!AA36</f>
        <v>0</v>
      </c>
      <c r="AB5" s="409">
        <f>[2]WATER!AB36</f>
        <v>261</v>
      </c>
      <c r="AC5" s="409">
        <f>[2]WATER!AC36</f>
        <v>731</v>
      </c>
      <c r="AD5" s="409">
        <f>[2]WATER!AD36</f>
        <v>0</v>
      </c>
      <c r="AE5" s="409">
        <f>[2]WATER!AE36</f>
        <v>229.81</v>
      </c>
      <c r="AF5" s="409">
        <f>[2]WATER!AF36</f>
        <v>0</v>
      </c>
      <c r="AG5" s="409">
        <f>[2]WATER!AG36</f>
        <v>2205.98</v>
      </c>
      <c r="AH5" s="409">
        <f>[2]WATER!AH36</f>
        <v>0</v>
      </c>
      <c r="AI5" s="409">
        <f>[2]WATER!AI36</f>
        <v>0</v>
      </c>
      <c r="AJ5" s="409">
        <f>[2]WATER!AJ36</f>
        <v>0</v>
      </c>
      <c r="AK5" s="409">
        <f>[2]WATER!AK36</f>
        <v>131</v>
      </c>
      <c r="AL5" s="409">
        <f>[2]WATER!AL36</f>
        <v>0</v>
      </c>
      <c r="AM5" s="409">
        <f>[2]WATER!AM36</f>
        <v>0</v>
      </c>
      <c r="AN5" s="409">
        <f>[2]WATER!AN36</f>
        <v>0</v>
      </c>
      <c r="AO5" s="409">
        <f>[2]WATER!AO36</f>
        <v>0</v>
      </c>
      <c r="AP5" s="409">
        <f>[2]WATER!AP36</f>
        <v>0</v>
      </c>
      <c r="AR5" s="634">
        <f>[2]WATER!$AR$36</f>
        <v>44347</v>
      </c>
      <c r="AS5" s="409">
        <f>[2]WATER!AS36</f>
        <v>0.9</v>
      </c>
      <c r="AT5" s="409">
        <f>[2]WATER!AT36</f>
        <v>156</v>
      </c>
      <c r="AU5" s="409">
        <f>[2]WATER!AU36</f>
        <v>1.1000000000000001</v>
      </c>
      <c r="AV5" s="409">
        <f>[2]WATER!AV36</f>
        <v>162</v>
      </c>
      <c r="AW5" s="409">
        <f>[2]WATER!AW36</f>
        <v>2.9</v>
      </c>
      <c r="AX5" s="409">
        <f>[2]WATER!AX36</f>
        <v>106</v>
      </c>
      <c r="AY5" s="409">
        <f>[2]WATER!AY36</f>
        <v>140.4</v>
      </c>
      <c r="AZ5" s="409">
        <f>[2]WATER!AZ36</f>
        <v>178.20000000000002</v>
      </c>
      <c r="BA5" s="409">
        <f>[2]WATER!BA36</f>
        <v>307.39999999999998</v>
      </c>
      <c r="BB5" s="409">
        <f>[2]WATER!BB36</f>
        <v>0</v>
      </c>
      <c r="BC5" s="409">
        <f>[2]WATER!BC36</f>
        <v>0</v>
      </c>
      <c r="BD5" s="409">
        <f>[2]WATER!BD36</f>
        <v>0</v>
      </c>
      <c r="BE5" s="409">
        <f>[2]WATER!BE36</f>
        <v>0</v>
      </c>
      <c r="BF5" s="409">
        <f>[2]WATER!BF36</f>
        <v>0</v>
      </c>
      <c r="BG5" s="409">
        <f>[2]WATER!BG36</f>
        <v>0</v>
      </c>
    </row>
    <row r="6" spans="1:65" ht="15" thickBot="1">
      <c r="A6" s="6">
        <f>ELEC!C4</f>
        <v>44348</v>
      </c>
      <c r="B6" s="5">
        <f>B5</f>
        <v>109443</v>
      </c>
      <c r="C6" s="5">
        <f>B6-B5</f>
        <v>0</v>
      </c>
      <c r="D6" s="418">
        <f>C6/27</f>
        <v>0</v>
      </c>
      <c r="E6" s="332">
        <f>SUM((C6*$E$4)+(7500/'EDl log'!$A$37))</f>
        <v>250</v>
      </c>
      <c r="F6" s="417"/>
      <c r="G6" s="5">
        <f>G5</f>
        <v>620421</v>
      </c>
      <c r="H6" s="5">
        <f>G6-G5</f>
        <v>0</v>
      </c>
      <c r="I6" s="5">
        <f t="shared" ref="I6:I33" si="0">C6+H6</f>
        <v>0</v>
      </c>
      <c r="J6" s="333">
        <f t="shared" ref="J6:J33" si="1">IF(I6&gt;0,E6/I6,0)</f>
        <v>0</v>
      </c>
      <c r="K6" s="5">
        <f>'Swimming Pool quality check '!H6</f>
        <v>6775</v>
      </c>
      <c r="L6" s="83">
        <v>0</v>
      </c>
      <c r="M6" s="409">
        <f>M5</f>
        <v>457.44</v>
      </c>
      <c r="N6" s="510">
        <f t="shared" ref="N6:N13" si="2">SUM(M6-M5)</f>
        <v>0</v>
      </c>
      <c r="O6" s="409">
        <f>O5</f>
        <v>529.52</v>
      </c>
      <c r="P6" s="510">
        <f t="shared" ref="P6:P13" si="3">SUM(O6-O5)</f>
        <v>0</v>
      </c>
      <c r="Q6" s="511">
        <f>P6+N6</f>
        <v>0</v>
      </c>
      <c r="R6" s="510"/>
      <c r="S6" s="510"/>
      <c r="T6" s="5">
        <v>5172</v>
      </c>
      <c r="U6" s="5">
        <f t="shared" ref="U6:U33" si="4">SUM(T6-T5)</f>
        <v>1</v>
      </c>
      <c r="V6" s="5">
        <f>V5</f>
        <v>474</v>
      </c>
      <c r="W6" s="323">
        <f>+V6-V5</f>
        <v>0</v>
      </c>
      <c r="X6" s="5">
        <f>X5</f>
        <v>152036</v>
      </c>
      <c r="Y6" s="323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5">
        <f>+Z6-Z5</f>
        <v>0</v>
      </c>
      <c r="AK6" s="326">
        <f>SUM(Y6-L6)</f>
        <v>0</v>
      </c>
      <c r="AL6" s="326">
        <f>SUM(AJ6-W6)</f>
        <v>0</v>
      </c>
      <c r="AM6" s="326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44348</v>
      </c>
      <c r="AS6" s="423">
        <f t="shared" ref="AS6:AT21" si="5">AS5</f>
        <v>0.9</v>
      </c>
      <c r="AT6" s="201">
        <v>90</v>
      </c>
      <c r="AU6" s="424">
        <f>AU5</f>
        <v>1.1000000000000001</v>
      </c>
      <c r="AV6" s="201">
        <v>159</v>
      </c>
      <c r="AW6" s="5">
        <v>2.9</v>
      </c>
      <c r="AX6" s="201">
        <v>97</v>
      </c>
      <c r="AY6" s="425">
        <f t="shared" ref="AY6:AY35" si="6">AS6*AT6</f>
        <v>81</v>
      </c>
      <c r="AZ6" s="425">
        <f>AU6*AV6</f>
        <v>174.9</v>
      </c>
      <c r="BA6" s="425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7">SUM(I6-BE6)</f>
        <v>88.799999999999983</v>
      </c>
      <c r="BG6" s="82">
        <f t="shared" ref="BG6:BG33" si="8">SUM(I6-BF6)</f>
        <v>-88.799999999999983</v>
      </c>
      <c r="BI6" s="17"/>
      <c r="BJ6" s="17"/>
      <c r="BK6" s="17"/>
      <c r="BL6" s="17"/>
      <c r="BM6" s="17"/>
    </row>
    <row r="7" spans="1:65" ht="15" thickBot="1">
      <c r="A7" s="6">
        <f>ELEC!C5</f>
        <v>44349</v>
      </c>
      <c r="B7" s="5">
        <f t="shared" ref="B7:B35" si="9">B6</f>
        <v>109443</v>
      </c>
      <c r="C7" s="5">
        <f t="shared" ref="C7:C33" si="10">B7-B6</f>
        <v>0</v>
      </c>
      <c r="D7" s="418">
        <f t="shared" ref="D7:D33" si="11">C7/27</f>
        <v>0</v>
      </c>
      <c r="E7" s="332">
        <f>SUM((C7*$E$4)+(7500/'EDl log'!$A$37))</f>
        <v>250</v>
      </c>
      <c r="F7" s="417"/>
      <c r="G7" s="5">
        <f t="shared" ref="G7:G35" si="12">G6</f>
        <v>620421</v>
      </c>
      <c r="H7" s="5">
        <f t="shared" ref="H7:H33" si="13">G7-G6</f>
        <v>0</v>
      </c>
      <c r="I7" s="5">
        <f t="shared" si="0"/>
        <v>0</v>
      </c>
      <c r="J7" s="333">
        <f t="shared" si="1"/>
        <v>0</v>
      </c>
      <c r="K7" s="5">
        <f>'Swimming Pool quality check '!H7</f>
        <v>6775</v>
      </c>
      <c r="L7" s="83">
        <f>K7-K6</f>
        <v>0</v>
      </c>
      <c r="M7" s="409">
        <f t="shared" ref="M7:M35" si="14">M6</f>
        <v>457.44</v>
      </c>
      <c r="N7" s="510">
        <f t="shared" si="2"/>
        <v>0</v>
      </c>
      <c r="O7" s="409">
        <f t="shared" ref="O7:O35" si="15">O6</f>
        <v>529.52</v>
      </c>
      <c r="P7" s="510">
        <f t="shared" si="3"/>
        <v>0</v>
      </c>
      <c r="Q7" s="511">
        <f>P7+N7</f>
        <v>0</v>
      </c>
      <c r="R7" s="510"/>
      <c r="S7" s="510"/>
      <c r="T7" s="5">
        <f t="shared" ref="T7:T35" si="16">T6</f>
        <v>5172</v>
      </c>
      <c r="U7" s="5">
        <f t="shared" si="4"/>
        <v>0</v>
      </c>
      <c r="V7" s="5">
        <f t="shared" ref="V7:V35" si="17">V6</f>
        <v>474</v>
      </c>
      <c r="W7" s="323">
        <f t="shared" ref="W7:W33" si="18">+V7-V6</f>
        <v>0</v>
      </c>
      <c r="X7" s="5">
        <f t="shared" ref="X7:X35" si="19">X6</f>
        <v>152036</v>
      </c>
      <c r="Y7" s="323">
        <f>SUM(X7-X6)</f>
        <v>0</v>
      </c>
      <c r="Z7" s="5">
        <f t="shared" ref="Z7:Z35" si="20">Z6</f>
        <v>98847</v>
      </c>
      <c r="AA7" s="83">
        <f t="shared" ref="AA7:AA33" si="21">Z7-Z6</f>
        <v>0</v>
      </c>
      <c r="AB7" s="5">
        <f t="shared" ref="AB7:AB35" si="22">AB6</f>
        <v>261</v>
      </c>
      <c r="AC7" s="5">
        <f t="shared" ref="AC7:AC35" si="23">AC6</f>
        <v>731</v>
      </c>
      <c r="AD7" s="83">
        <f>AC7-AC6</f>
        <v>0</v>
      </c>
      <c r="AE7" s="5">
        <f t="shared" ref="AE7:AE35" si="24">AE6</f>
        <v>229.81</v>
      </c>
      <c r="AF7" s="83">
        <f t="shared" ref="AF7:AF32" si="25">AE7-AE6</f>
        <v>0</v>
      </c>
      <c r="AG7" s="5">
        <f t="shared" ref="AG7:AG35" si="26">AG6</f>
        <v>2205.98</v>
      </c>
      <c r="AH7" s="83">
        <f t="shared" ref="AH7:AH33" si="27">AG7-AG6</f>
        <v>0</v>
      </c>
      <c r="AI7" s="83">
        <f t="shared" ref="AI7:AI33" si="28">AF7+AH7</f>
        <v>0</v>
      </c>
      <c r="AJ7" s="325">
        <f t="shared" ref="AJ7:AJ33" si="29">+Z7-Z6</f>
        <v>0</v>
      </c>
      <c r="AK7" s="326">
        <f>SUM(Y7-L7)</f>
        <v>0</v>
      </c>
      <c r="AL7" s="326">
        <f t="shared" ref="AL7:AL33" si="30">SUM(AJ7-W7)</f>
        <v>0</v>
      </c>
      <c r="AM7" s="326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1">A7</f>
        <v>44349</v>
      </c>
      <c r="AS7" s="423">
        <f t="shared" si="5"/>
        <v>0.9</v>
      </c>
      <c r="AT7" s="201">
        <f t="shared" si="5"/>
        <v>90</v>
      </c>
      <c r="AU7" s="424">
        <f>AU6</f>
        <v>1.1000000000000001</v>
      </c>
      <c r="AV7" s="201">
        <f t="shared" ref="AV7:AV35" si="32">AV6</f>
        <v>159</v>
      </c>
      <c r="AW7" s="5">
        <v>2.9</v>
      </c>
      <c r="AX7" s="201">
        <f t="shared" ref="AX7:AX35" si="33">AX6</f>
        <v>97</v>
      </c>
      <c r="AY7" s="425">
        <f t="shared" si="6"/>
        <v>81</v>
      </c>
      <c r="AZ7" s="425">
        <f t="shared" ref="AZ7:AZ33" si="34">AU7*AV7</f>
        <v>174.9</v>
      </c>
      <c r="BA7" s="425">
        <f t="shared" ref="BA7:BA33" si="35">AW7*AX7</f>
        <v>281.3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7"/>
        <v>0</v>
      </c>
      <c r="BG7" s="82">
        <f t="shared" si="8"/>
        <v>0</v>
      </c>
      <c r="BI7" s="86"/>
      <c r="BJ7" s="17"/>
      <c r="BK7" s="17"/>
      <c r="BL7" s="17"/>
      <c r="BM7" s="17"/>
    </row>
    <row r="8" spans="1:65" ht="15" thickBot="1">
      <c r="A8" s="6">
        <f>ELEC!C6</f>
        <v>44350</v>
      </c>
      <c r="B8" s="5">
        <f t="shared" si="9"/>
        <v>109443</v>
      </c>
      <c r="C8" s="5">
        <f>B8-B7</f>
        <v>0</v>
      </c>
      <c r="D8" s="418">
        <f t="shared" si="11"/>
        <v>0</v>
      </c>
      <c r="E8" s="332">
        <f>SUM((C8*$E$4)+(7500/'EDl log'!$A$37))</f>
        <v>250</v>
      </c>
      <c r="F8" s="417"/>
      <c r="G8" s="5">
        <f t="shared" si="12"/>
        <v>620421</v>
      </c>
      <c r="H8" s="5">
        <f t="shared" si="13"/>
        <v>0</v>
      </c>
      <c r="I8" s="5">
        <f t="shared" si="0"/>
        <v>0</v>
      </c>
      <c r="J8" s="333">
        <f t="shared" si="1"/>
        <v>0</v>
      </c>
      <c r="K8" s="5">
        <f>'Swimming Pool quality check '!H8</f>
        <v>6775</v>
      </c>
      <c r="L8" s="83">
        <f>K8-K7</f>
        <v>0</v>
      </c>
      <c r="M8" s="409">
        <f t="shared" si="14"/>
        <v>457.44</v>
      </c>
      <c r="N8" s="510">
        <f t="shared" si="2"/>
        <v>0</v>
      </c>
      <c r="O8" s="409">
        <f t="shared" si="15"/>
        <v>529.52</v>
      </c>
      <c r="P8" s="510">
        <f t="shared" si="3"/>
        <v>0</v>
      </c>
      <c r="Q8" s="511">
        <f>P8+N8</f>
        <v>0</v>
      </c>
      <c r="R8" s="510"/>
      <c r="S8" s="510"/>
      <c r="T8" s="5">
        <f t="shared" si="16"/>
        <v>5172</v>
      </c>
      <c r="U8" s="5">
        <f t="shared" si="4"/>
        <v>0</v>
      </c>
      <c r="V8" s="5">
        <f t="shared" si="17"/>
        <v>474</v>
      </c>
      <c r="W8" s="323">
        <f t="shared" si="18"/>
        <v>0</v>
      </c>
      <c r="X8" s="5">
        <f t="shared" si="19"/>
        <v>152036</v>
      </c>
      <c r="Y8" s="323">
        <f>SUM(X8-X7)</f>
        <v>0</v>
      </c>
      <c r="Z8" s="5">
        <f t="shared" si="20"/>
        <v>98847</v>
      </c>
      <c r="AA8" s="83">
        <f t="shared" si="21"/>
        <v>0</v>
      </c>
      <c r="AB8" s="5">
        <f t="shared" si="22"/>
        <v>261</v>
      </c>
      <c r="AC8" s="5">
        <f t="shared" si="23"/>
        <v>731</v>
      </c>
      <c r="AD8" s="83">
        <f t="shared" ref="AD8:AD33" si="39">AC8-AC7</f>
        <v>0</v>
      </c>
      <c r="AE8" s="5">
        <f t="shared" si="24"/>
        <v>229.81</v>
      </c>
      <c r="AF8" s="83">
        <f t="shared" si="25"/>
        <v>0</v>
      </c>
      <c r="AG8" s="5">
        <f t="shared" si="26"/>
        <v>2205.98</v>
      </c>
      <c r="AH8" s="83">
        <f t="shared" si="27"/>
        <v>0</v>
      </c>
      <c r="AI8" s="83">
        <f t="shared" si="28"/>
        <v>0</v>
      </c>
      <c r="AJ8" s="325">
        <f t="shared" si="29"/>
        <v>0</v>
      </c>
      <c r="AK8" s="326">
        <f t="shared" ref="AK8:AK33" si="40">SUM(Y8-L8)</f>
        <v>0</v>
      </c>
      <c r="AL8" s="326">
        <f t="shared" si="30"/>
        <v>0</v>
      </c>
      <c r="AM8" s="326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1"/>
        <v>44350</v>
      </c>
      <c r="AS8" s="423">
        <f t="shared" si="5"/>
        <v>0.9</v>
      </c>
      <c r="AT8" s="201">
        <f t="shared" si="5"/>
        <v>90</v>
      </c>
      <c r="AU8" s="424">
        <v>1.1000000000000001</v>
      </c>
      <c r="AV8" s="201">
        <f t="shared" si="32"/>
        <v>159</v>
      </c>
      <c r="AW8" s="5">
        <v>2.9</v>
      </c>
      <c r="AX8" s="201">
        <f t="shared" si="33"/>
        <v>97</v>
      </c>
      <c r="AY8" s="425">
        <f t="shared" si="6"/>
        <v>81</v>
      </c>
      <c r="AZ8" s="425">
        <f t="shared" si="34"/>
        <v>174.9</v>
      </c>
      <c r="BA8" s="425">
        <f t="shared" si="35"/>
        <v>281.3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7"/>
        <v>0</v>
      </c>
      <c r="BG8" s="82">
        <f t="shared" si="8"/>
        <v>0</v>
      </c>
      <c r="BI8" s="86"/>
      <c r="BJ8" s="17"/>
      <c r="BK8" s="17"/>
    </row>
    <row r="9" spans="1:65" ht="15" thickBot="1">
      <c r="A9" s="6">
        <f>ELEC!C7</f>
        <v>44351</v>
      </c>
      <c r="B9" s="5">
        <f t="shared" si="9"/>
        <v>109443</v>
      </c>
      <c r="C9" s="5">
        <f t="shared" si="10"/>
        <v>0</v>
      </c>
      <c r="D9" s="418">
        <f t="shared" si="11"/>
        <v>0</v>
      </c>
      <c r="E9" s="332">
        <f>SUM((C9*$E$4)+(7500/'EDl log'!$A$37))</f>
        <v>250</v>
      </c>
      <c r="F9" s="417"/>
      <c r="G9" s="5">
        <f t="shared" si="12"/>
        <v>620421</v>
      </c>
      <c r="H9" s="5">
        <f t="shared" si="13"/>
        <v>0</v>
      </c>
      <c r="I9" s="5">
        <f t="shared" si="0"/>
        <v>0</v>
      </c>
      <c r="J9" s="333">
        <f t="shared" si="1"/>
        <v>0</v>
      </c>
      <c r="K9" s="5">
        <f>'Swimming Pool quality check '!H9</f>
        <v>6775</v>
      </c>
      <c r="L9" s="83">
        <f t="shared" ref="L9:L33" si="41">K9-K8</f>
        <v>0</v>
      </c>
      <c r="M9" s="409">
        <f t="shared" si="14"/>
        <v>457.44</v>
      </c>
      <c r="N9" s="510">
        <f t="shared" si="2"/>
        <v>0</v>
      </c>
      <c r="O9" s="409">
        <f t="shared" si="15"/>
        <v>529.52</v>
      </c>
      <c r="P9" s="510">
        <f t="shared" si="3"/>
        <v>0</v>
      </c>
      <c r="Q9" s="511">
        <f>P9+N9</f>
        <v>0</v>
      </c>
      <c r="R9" s="510"/>
      <c r="S9" s="510"/>
      <c r="T9" s="5">
        <f t="shared" si="16"/>
        <v>5172</v>
      </c>
      <c r="U9" s="5">
        <f t="shared" si="4"/>
        <v>0</v>
      </c>
      <c r="V9" s="5">
        <f t="shared" si="17"/>
        <v>474</v>
      </c>
      <c r="W9" s="323">
        <f t="shared" si="18"/>
        <v>0</v>
      </c>
      <c r="X9" s="5">
        <f t="shared" si="19"/>
        <v>152036</v>
      </c>
      <c r="Y9" s="323">
        <f t="shared" ref="Y9:Y33" si="42">SUM(X9-X8)</f>
        <v>0</v>
      </c>
      <c r="Z9" s="5">
        <f t="shared" si="20"/>
        <v>98847</v>
      </c>
      <c r="AA9" s="83">
        <f t="shared" si="21"/>
        <v>0</v>
      </c>
      <c r="AB9" s="5">
        <f t="shared" si="22"/>
        <v>261</v>
      </c>
      <c r="AC9" s="5">
        <f t="shared" si="23"/>
        <v>731</v>
      </c>
      <c r="AD9" s="83">
        <f t="shared" si="39"/>
        <v>0</v>
      </c>
      <c r="AE9" s="5">
        <f t="shared" si="24"/>
        <v>229.81</v>
      </c>
      <c r="AF9" s="83">
        <f t="shared" si="25"/>
        <v>0</v>
      </c>
      <c r="AG9" s="5">
        <f t="shared" si="26"/>
        <v>2205.98</v>
      </c>
      <c r="AH9" s="83">
        <f t="shared" si="27"/>
        <v>0</v>
      </c>
      <c r="AI9" s="83">
        <f t="shared" si="28"/>
        <v>0</v>
      </c>
      <c r="AJ9" s="325">
        <f t="shared" si="29"/>
        <v>0</v>
      </c>
      <c r="AK9" s="326">
        <f t="shared" si="40"/>
        <v>0</v>
      </c>
      <c r="AL9" s="326">
        <f t="shared" si="30"/>
        <v>0</v>
      </c>
      <c r="AM9" s="326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1"/>
        <v>44351</v>
      </c>
      <c r="AS9" s="423">
        <f t="shared" si="5"/>
        <v>0.9</v>
      </c>
      <c r="AT9" s="201">
        <f t="shared" si="5"/>
        <v>90</v>
      </c>
      <c r="AU9" s="424">
        <f t="shared" ref="AU9:AU33" si="43">AU8</f>
        <v>1.1000000000000001</v>
      </c>
      <c r="AV9" s="201">
        <f t="shared" si="32"/>
        <v>159</v>
      </c>
      <c r="AW9" s="5">
        <v>2.9</v>
      </c>
      <c r="AX9" s="201">
        <f t="shared" si="33"/>
        <v>97</v>
      </c>
      <c r="AY9" s="425">
        <f t="shared" si="6"/>
        <v>81</v>
      </c>
      <c r="AZ9" s="425">
        <f t="shared" si="34"/>
        <v>174.9</v>
      </c>
      <c r="BA9" s="425">
        <f t="shared" si="35"/>
        <v>281.3</v>
      </c>
      <c r="BB9" s="21">
        <f t="shared" si="36"/>
        <v>0</v>
      </c>
      <c r="BC9" s="21">
        <f t="shared" si="37"/>
        <v>0</v>
      </c>
      <c r="BD9" s="21">
        <f t="shared" si="37"/>
        <v>0</v>
      </c>
      <c r="BE9" s="24">
        <f t="shared" si="38"/>
        <v>0</v>
      </c>
      <c r="BF9" s="344">
        <f t="shared" si="7"/>
        <v>0</v>
      </c>
      <c r="BG9" s="82">
        <f t="shared" si="8"/>
        <v>0</v>
      </c>
    </row>
    <row r="10" spans="1:65" ht="15" thickBot="1">
      <c r="A10" s="6">
        <f>ELEC!C8</f>
        <v>44352</v>
      </c>
      <c r="B10" s="5">
        <f t="shared" si="9"/>
        <v>109443</v>
      </c>
      <c r="C10" s="5">
        <f t="shared" si="10"/>
        <v>0</v>
      </c>
      <c r="D10" s="418">
        <f t="shared" si="11"/>
        <v>0</v>
      </c>
      <c r="E10" s="332">
        <f>SUM((C10*$E$4)+(7500/'EDl log'!$A$37))</f>
        <v>250</v>
      </c>
      <c r="F10" s="417"/>
      <c r="G10" s="5">
        <f t="shared" si="12"/>
        <v>620421</v>
      </c>
      <c r="H10" s="5">
        <f t="shared" si="13"/>
        <v>0</v>
      </c>
      <c r="I10" s="5">
        <f t="shared" si="0"/>
        <v>0</v>
      </c>
      <c r="J10" s="333">
        <f t="shared" si="1"/>
        <v>0</v>
      </c>
      <c r="K10" s="5">
        <f>'Swimming Pool quality check '!H10</f>
        <v>6775</v>
      </c>
      <c r="L10" s="83">
        <f>K10-K9</f>
        <v>0</v>
      </c>
      <c r="M10" s="409">
        <f t="shared" si="14"/>
        <v>457.44</v>
      </c>
      <c r="N10" s="510">
        <f t="shared" si="2"/>
        <v>0</v>
      </c>
      <c r="O10" s="409">
        <f t="shared" si="15"/>
        <v>529.52</v>
      </c>
      <c r="P10" s="510">
        <f t="shared" si="3"/>
        <v>0</v>
      </c>
      <c r="Q10" s="511">
        <f>P10+N10</f>
        <v>0</v>
      </c>
      <c r="R10" s="510"/>
      <c r="S10" s="510"/>
      <c r="T10" s="5">
        <f t="shared" si="16"/>
        <v>5172</v>
      </c>
      <c r="U10" s="5">
        <f t="shared" si="4"/>
        <v>0</v>
      </c>
      <c r="V10" s="5">
        <f t="shared" si="17"/>
        <v>474</v>
      </c>
      <c r="W10" s="323">
        <f t="shared" si="18"/>
        <v>0</v>
      </c>
      <c r="X10" s="5">
        <f t="shared" si="19"/>
        <v>152036</v>
      </c>
      <c r="Y10" s="323">
        <f t="shared" si="42"/>
        <v>0</v>
      </c>
      <c r="Z10" s="5">
        <f t="shared" si="20"/>
        <v>98847</v>
      </c>
      <c r="AA10" s="83">
        <f t="shared" si="21"/>
        <v>0</v>
      </c>
      <c r="AB10" s="5">
        <f t="shared" si="22"/>
        <v>261</v>
      </c>
      <c r="AC10" s="5">
        <f t="shared" si="23"/>
        <v>731</v>
      </c>
      <c r="AD10" s="83">
        <f t="shared" si="39"/>
        <v>0</v>
      </c>
      <c r="AE10" s="5">
        <f t="shared" si="24"/>
        <v>229.81</v>
      </c>
      <c r="AF10" s="83">
        <f t="shared" si="25"/>
        <v>0</v>
      </c>
      <c r="AG10" s="5">
        <f t="shared" si="26"/>
        <v>2205.98</v>
      </c>
      <c r="AH10" s="83">
        <f t="shared" si="27"/>
        <v>0</v>
      </c>
      <c r="AI10" s="83">
        <f t="shared" si="28"/>
        <v>0</v>
      </c>
      <c r="AJ10" s="325">
        <f t="shared" si="29"/>
        <v>0</v>
      </c>
      <c r="AK10" s="326">
        <f t="shared" si="40"/>
        <v>0</v>
      </c>
      <c r="AL10" s="326">
        <f t="shared" si="30"/>
        <v>0</v>
      </c>
      <c r="AM10" s="326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1"/>
        <v>44352</v>
      </c>
      <c r="AS10" s="423">
        <f t="shared" si="5"/>
        <v>0.9</v>
      </c>
      <c r="AT10" s="201">
        <f t="shared" si="5"/>
        <v>90</v>
      </c>
      <c r="AU10" s="424">
        <f t="shared" si="43"/>
        <v>1.1000000000000001</v>
      </c>
      <c r="AV10" s="201">
        <f t="shared" si="32"/>
        <v>159</v>
      </c>
      <c r="AW10" s="5">
        <v>2.9</v>
      </c>
      <c r="AX10" s="201">
        <f t="shared" si="33"/>
        <v>97</v>
      </c>
      <c r="AY10" s="425">
        <f t="shared" si="6"/>
        <v>81</v>
      </c>
      <c r="AZ10" s="425">
        <f t="shared" si="34"/>
        <v>174.9</v>
      </c>
      <c r="BA10" s="425">
        <f t="shared" si="35"/>
        <v>281.3</v>
      </c>
      <c r="BB10" s="21">
        <f t="shared" si="36"/>
        <v>0</v>
      </c>
      <c r="BC10" s="21">
        <f t="shared" si="37"/>
        <v>0</v>
      </c>
      <c r="BD10" s="21">
        <f t="shared" si="37"/>
        <v>0</v>
      </c>
      <c r="BE10" s="24">
        <f t="shared" si="38"/>
        <v>0</v>
      </c>
      <c r="BF10" s="96">
        <f t="shared" si="7"/>
        <v>0</v>
      </c>
      <c r="BG10" s="82">
        <f t="shared" si="8"/>
        <v>0</v>
      </c>
    </row>
    <row r="11" spans="1:65" ht="15" thickBot="1">
      <c r="A11" s="6">
        <f>ELEC!C9</f>
        <v>44353</v>
      </c>
      <c r="B11" s="5">
        <f t="shared" si="9"/>
        <v>109443</v>
      </c>
      <c r="C11" s="5">
        <f t="shared" si="10"/>
        <v>0</v>
      </c>
      <c r="D11" s="418">
        <f t="shared" si="11"/>
        <v>0</v>
      </c>
      <c r="E11" s="332">
        <f>SUM((C11*$E$4)+(7500/'EDl log'!$A$37))</f>
        <v>250</v>
      </c>
      <c r="F11" s="417"/>
      <c r="G11" s="5">
        <f t="shared" si="12"/>
        <v>620421</v>
      </c>
      <c r="H11" s="5">
        <f t="shared" si="13"/>
        <v>0</v>
      </c>
      <c r="I11" s="5">
        <f t="shared" si="0"/>
        <v>0</v>
      </c>
      <c r="J11" s="333">
        <f t="shared" si="1"/>
        <v>0</v>
      </c>
      <c r="K11" s="5">
        <f>'Swimming Pool quality check '!H11</f>
        <v>6775</v>
      </c>
      <c r="L11" s="83">
        <f t="shared" si="41"/>
        <v>0</v>
      </c>
      <c r="M11" s="409">
        <f t="shared" si="14"/>
        <v>457.44</v>
      </c>
      <c r="N11" s="510">
        <f t="shared" si="2"/>
        <v>0</v>
      </c>
      <c r="O11" s="409">
        <f t="shared" si="15"/>
        <v>529.52</v>
      </c>
      <c r="P11" s="510">
        <f t="shared" si="3"/>
        <v>0</v>
      </c>
      <c r="Q11" s="510">
        <f>SUM(P11+N11)</f>
        <v>0</v>
      </c>
      <c r="R11" s="510"/>
      <c r="S11" s="510"/>
      <c r="T11" s="5">
        <f t="shared" si="16"/>
        <v>5172</v>
      </c>
      <c r="U11" s="5">
        <f t="shared" si="4"/>
        <v>0</v>
      </c>
      <c r="V11" s="5">
        <f t="shared" si="17"/>
        <v>474</v>
      </c>
      <c r="W11" s="323">
        <f t="shared" si="18"/>
        <v>0</v>
      </c>
      <c r="X11" s="5">
        <f t="shared" si="19"/>
        <v>152036</v>
      </c>
      <c r="Y11" s="323">
        <f t="shared" si="42"/>
        <v>0</v>
      </c>
      <c r="Z11" s="5">
        <f t="shared" si="20"/>
        <v>98847</v>
      </c>
      <c r="AA11" s="83">
        <f t="shared" si="21"/>
        <v>0</v>
      </c>
      <c r="AB11" s="5">
        <f t="shared" si="22"/>
        <v>261</v>
      </c>
      <c r="AC11" s="5">
        <f t="shared" si="23"/>
        <v>731</v>
      </c>
      <c r="AD11" s="83">
        <f t="shared" si="39"/>
        <v>0</v>
      </c>
      <c r="AE11" s="5">
        <f t="shared" si="24"/>
        <v>229.81</v>
      </c>
      <c r="AF11" s="83">
        <f t="shared" si="25"/>
        <v>0</v>
      </c>
      <c r="AG11" s="5">
        <f t="shared" si="26"/>
        <v>2205.98</v>
      </c>
      <c r="AH11" s="83">
        <f t="shared" si="27"/>
        <v>0</v>
      </c>
      <c r="AI11" s="83">
        <f t="shared" si="28"/>
        <v>0</v>
      </c>
      <c r="AJ11" s="325">
        <f t="shared" si="29"/>
        <v>0</v>
      </c>
      <c r="AK11" s="326">
        <f t="shared" si="40"/>
        <v>0</v>
      </c>
      <c r="AL11" s="326">
        <f t="shared" si="30"/>
        <v>0</v>
      </c>
      <c r="AM11" s="326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1"/>
        <v>44353</v>
      </c>
      <c r="AS11" s="423">
        <f t="shared" si="5"/>
        <v>0.9</v>
      </c>
      <c r="AT11" s="201">
        <f t="shared" si="5"/>
        <v>90</v>
      </c>
      <c r="AU11" s="424">
        <f t="shared" si="43"/>
        <v>1.1000000000000001</v>
      </c>
      <c r="AV11" s="201">
        <f t="shared" si="32"/>
        <v>159</v>
      </c>
      <c r="AW11" s="5">
        <v>2.9</v>
      </c>
      <c r="AX11" s="201">
        <f t="shared" si="33"/>
        <v>97</v>
      </c>
      <c r="AY11" s="425">
        <f t="shared" si="6"/>
        <v>81</v>
      </c>
      <c r="AZ11" s="425">
        <f t="shared" si="34"/>
        <v>174.9</v>
      </c>
      <c r="BA11" s="425">
        <f t="shared" si="35"/>
        <v>281.3</v>
      </c>
      <c r="BB11" s="21">
        <f t="shared" si="36"/>
        <v>0</v>
      </c>
      <c r="BC11" s="21">
        <f t="shared" si="37"/>
        <v>0</v>
      </c>
      <c r="BD11" s="21">
        <f t="shared" si="37"/>
        <v>0</v>
      </c>
      <c r="BE11" s="24">
        <f t="shared" si="38"/>
        <v>0</v>
      </c>
      <c r="BF11" s="96">
        <f t="shared" si="7"/>
        <v>0</v>
      </c>
      <c r="BG11" s="82">
        <f t="shared" si="8"/>
        <v>0</v>
      </c>
    </row>
    <row r="12" spans="1:65" ht="15" thickBot="1">
      <c r="A12" s="6">
        <f>ELEC!C10</f>
        <v>44354</v>
      </c>
      <c r="B12" s="5">
        <f t="shared" si="9"/>
        <v>109443</v>
      </c>
      <c r="C12" s="5">
        <f>B12-B11</f>
        <v>0</v>
      </c>
      <c r="D12" s="418">
        <f t="shared" si="11"/>
        <v>0</v>
      </c>
      <c r="E12" s="332">
        <f>SUM((C12*$E$4)+(7500/'EDl log'!$A$37))</f>
        <v>250</v>
      </c>
      <c r="F12" s="417"/>
      <c r="G12" s="5">
        <f t="shared" si="12"/>
        <v>620421</v>
      </c>
      <c r="H12" s="5">
        <f t="shared" si="13"/>
        <v>0</v>
      </c>
      <c r="I12" s="5">
        <f t="shared" si="0"/>
        <v>0</v>
      </c>
      <c r="J12" s="333">
        <f t="shared" si="1"/>
        <v>0</v>
      </c>
      <c r="K12" s="5">
        <f>'Swimming Pool quality check '!H12</f>
        <v>6775</v>
      </c>
      <c r="L12" s="83">
        <f t="shared" si="41"/>
        <v>0</v>
      </c>
      <c r="M12" s="409">
        <f t="shared" si="14"/>
        <v>457.44</v>
      </c>
      <c r="N12" s="510">
        <f t="shared" si="2"/>
        <v>0</v>
      </c>
      <c r="O12" s="409">
        <f t="shared" si="15"/>
        <v>529.52</v>
      </c>
      <c r="P12" s="510">
        <f t="shared" si="3"/>
        <v>0</v>
      </c>
      <c r="Q12" s="510">
        <f>SUM(P12+N12)</f>
        <v>0</v>
      </c>
      <c r="R12" s="510"/>
      <c r="S12" s="510"/>
      <c r="T12" s="5">
        <f t="shared" si="16"/>
        <v>5172</v>
      </c>
      <c r="U12" s="5">
        <f t="shared" si="4"/>
        <v>0</v>
      </c>
      <c r="V12" s="5">
        <f t="shared" si="17"/>
        <v>474</v>
      </c>
      <c r="W12" s="323">
        <f t="shared" si="18"/>
        <v>0</v>
      </c>
      <c r="X12" s="5">
        <f t="shared" si="19"/>
        <v>152036</v>
      </c>
      <c r="Y12" s="323">
        <f t="shared" si="42"/>
        <v>0</v>
      </c>
      <c r="Z12" s="5">
        <f t="shared" si="20"/>
        <v>98847</v>
      </c>
      <c r="AA12" s="83">
        <f t="shared" si="21"/>
        <v>0</v>
      </c>
      <c r="AB12" s="5">
        <f t="shared" si="22"/>
        <v>261</v>
      </c>
      <c r="AC12" s="5">
        <f t="shared" si="23"/>
        <v>731</v>
      </c>
      <c r="AD12" s="83">
        <f t="shared" si="39"/>
        <v>0</v>
      </c>
      <c r="AE12" s="5">
        <f t="shared" si="24"/>
        <v>229.81</v>
      </c>
      <c r="AF12" s="83">
        <f t="shared" si="25"/>
        <v>0</v>
      </c>
      <c r="AG12" s="5">
        <f t="shared" si="26"/>
        <v>2205.98</v>
      </c>
      <c r="AH12" s="83">
        <f t="shared" si="27"/>
        <v>0</v>
      </c>
      <c r="AI12" s="83">
        <f t="shared" si="28"/>
        <v>0</v>
      </c>
      <c r="AJ12" s="325">
        <f t="shared" si="29"/>
        <v>0</v>
      </c>
      <c r="AK12" s="326">
        <f t="shared" si="40"/>
        <v>0</v>
      </c>
      <c r="AL12" s="326">
        <f t="shared" si="30"/>
        <v>0</v>
      </c>
      <c r="AM12" s="326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1"/>
        <v>44354</v>
      </c>
      <c r="AS12" s="423">
        <f t="shared" si="5"/>
        <v>0.9</v>
      </c>
      <c r="AT12" s="201">
        <f t="shared" si="5"/>
        <v>90</v>
      </c>
      <c r="AU12" s="424">
        <f t="shared" si="43"/>
        <v>1.1000000000000001</v>
      </c>
      <c r="AV12" s="201">
        <f t="shared" si="32"/>
        <v>159</v>
      </c>
      <c r="AW12" s="5">
        <v>2.9</v>
      </c>
      <c r="AX12" s="201">
        <f t="shared" si="33"/>
        <v>97</v>
      </c>
      <c r="AY12" s="425">
        <f t="shared" si="6"/>
        <v>81</v>
      </c>
      <c r="AZ12" s="425">
        <f t="shared" si="34"/>
        <v>174.9</v>
      </c>
      <c r="BA12" s="425">
        <f t="shared" si="35"/>
        <v>281.3</v>
      </c>
      <c r="BB12" s="21">
        <f t="shared" si="36"/>
        <v>0</v>
      </c>
      <c r="BC12" s="21">
        <f t="shared" si="37"/>
        <v>0</v>
      </c>
      <c r="BD12" s="21">
        <f t="shared" si="37"/>
        <v>0</v>
      </c>
      <c r="BE12" s="24">
        <f t="shared" si="38"/>
        <v>0</v>
      </c>
      <c r="BF12" s="96">
        <f t="shared" si="7"/>
        <v>0</v>
      </c>
      <c r="BG12" s="82">
        <f t="shared" si="8"/>
        <v>0</v>
      </c>
    </row>
    <row r="13" spans="1:65" ht="15" thickBot="1">
      <c r="A13" s="6">
        <f>ELEC!C11</f>
        <v>44355</v>
      </c>
      <c r="B13" s="5">
        <f t="shared" si="9"/>
        <v>109443</v>
      </c>
      <c r="C13" s="5">
        <f t="shared" si="10"/>
        <v>0</v>
      </c>
      <c r="D13" s="418">
        <f t="shared" si="11"/>
        <v>0</v>
      </c>
      <c r="E13" s="332">
        <f>SUM((C13*$E$4)+(7500/'EDl log'!$A$37))</f>
        <v>250</v>
      </c>
      <c r="F13" s="417"/>
      <c r="G13" s="5">
        <f t="shared" si="12"/>
        <v>620421</v>
      </c>
      <c r="H13" s="5">
        <f t="shared" si="13"/>
        <v>0</v>
      </c>
      <c r="I13" s="5">
        <f t="shared" si="0"/>
        <v>0</v>
      </c>
      <c r="J13" s="333">
        <f t="shared" si="1"/>
        <v>0</v>
      </c>
      <c r="K13" s="5">
        <f>'Swimming Pool quality check '!H13</f>
        <v>6775</v>
      </c>
      <c r="L13" s="83">
        <f t="shared" si="41"/>
        <v>0</v>
      </c>
      <c r="M13" s="409">
        <f t="shared" si="14"/>
        <v>457.44</v>
      </c>
      <c r="N13" s="510">
        <f t="shared" si="2"/>
        <v>0</v>
      </c>
      <c r="O13" s="409">
        <f t="shared" si="15"/>
        <v>529.52</v>
      </c>
      <c r="P13" s="510">
        <f t="shared" si="3"/>
        <v>0</v>
      </c>
      <c r="Q13" s="510">
        <f>SUM(P13+N13)</f>
        <v>0</v>
      </c>
      <c r="R13" s="510"/>
      <c r="S13" s="510"/>
      <c r="T13" s="5">
        <f t="shared" si="16"/>
        <v>5172</v>
      </c>
      <c r="U13" s="5">
        <f t="shared" si="4"/>
        <v>0</v>
      </c>
      <c r="V13" s="5">
        <f t="shared" si="17"/>
        <v>474</v>
      </c>
      <c r="W13" s="323">
        <f t="shared" si="18"/>
        <v>0</v>
      </c>
      <c r="X13" s="5">
        <f t="shared" si="19"/>
        <v>152036</v>
      </c>
      <c r="Y13" s="323">
        <f t="shared" si="42"/>
        <v>0</v>
      </c>
      <c r="Z13" s="5">
        <f t="shared" si="20"/>
        <v>98847</v>
      </c>
      <c r="AA13" s="83">
        <f t="shared" si="21"/>
        <v>0</v>
      </c>
      <c r="AB13" s="5">
        <f t="shared" si="22"/>
        <v>261</v>
      </c>
      <c r="AC13" s="5">
        <f t="shared" si="23"/>
        <v>731</v>
      </c>
      <c r="AD13" s="83">
        <f t="shared" si="39"/>
        <v>0</v>
      </c>
      <c r="AE13" s="5">
        <f t="shared" si="24"/>
        <v>229.81</v>
      </c>
      <c r="AF13" s="83">
        <f t="shared" si="25"/>
        <v>0</v>
      </c>
      <c r="AG13" s="5">
        <f t="shared" si="26"/>
        <v>2205.98</v>
      </c>
      <c r="AH13" s="83">
        <f t="shared" si="27"/>
        <v>0</v>
      </c>
      <c r="AI13" s="83">
        <f t="shared" si="28"/>
        <v>0</v>
      </c>
      <c r="AJ13" s="325">
        <f t="shared" si="29"/>
        <v>0</v>
      </c>
      <c r="AK13" s="326">
        <f t="shared" si="40"/>
        <v>0</v>
      </c>
      <c r="AL13" s="326">
        <f t="shared" si="30"/>
        <v>0</v>
      </c>
      <c r="AM13" s="326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1"/>
        <v>44355</v>
      </c>
      <c r="AS13" s="423">
        <f t="shared" si="5"/>
        <v>0.9</v>
      </c>
      <c r="AT13" s="201">
        <f t="shared" si="5"/>
        <v>90</v>
      </c>
      <c r="AU13" s="424">
        <f t="shared" si="43"/>
        <v>1.1000000000000001</v>
      </c>
      <c r="AV13" s="201">
        <f t="shared" si="32"/>
        <v>159</v>
      </c>
      <c r="AW13" s="5">
        <v>2.9</v>
      </c>
      <c r="AX13" s="201">
        <f t="shared" si="33"/>
        <v>97</v>
      </c>
      <c r="AY13" s="425">
        <f t="shared" si="6"/>
        <v>81</v>
      </c>
      <c r="AZ13" s="425">
        <f t="shared" si="34"/>
        <v>174.9</v>
      </c>
      <c r="BA13" s="425">
        <f t="shared" si="35"/>
        <v>281.3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7"/>
        <v>0</v>
      </c>
      <c r="BG13" s="82">
        <f t="shared" si="8"/>
        <v>0</v>
      </c>
    </row>
    <row r="14" spans="1:65" ht="15" thickBot="1">
      <c r="A14" s="6">
        <f>ELEC!C12</f>
        <v>44356</v>
      </c>
      <c r="B14" s="5">
        <f t="shared" si="9"/>
        <v>109443</v>
      </c>
      <c r="C14" s="5">
        <f t="shared" si="10"/>
        <v>0</v>
      </c>
      <c r="D14" s="418">
        <f t="shared" si="11"/>
        <v>0</v>
      </c>
      <c r="E14" s="332">
        <f>SUM((C14*$E$4)+(7500/'EDl log'!$A$37))</f>
        <v>250</v>
      </c>
      <c r="F14" s="417"/>
      <c r="G14" s="5">
        <f t="shared" si="12"/>
        <v>620421</v>
      </c>
      <c r="H14" s="5">
        <f t="shared" si="13"/>
        <v>0</v>
      </c>
      <c r="I14" s="5">
        <f t="shared" si="0"/>
        <v>0</v>
      </c>
      <c r="J14" s="333">
        <f t="shared" si="1"/>
        <v>0</v>
      </c>
      <c r="K14" s="5">
        <f>'Swimming Pool quality check '!H14</f>
        <v>6775</v>
      </c>
      <c r="L14" s="83">
        <f t="shared" si="41"/>
        <v>0</v>
      </c>
      <c r="M14" s="409">
        <f t="shared" si="14"/>
        <v>457.44</v>
      </c>
      <c r="N14" s="510">
        <f t="shared" ref="N14:N33" si="44">SUM(M14-M13)</f>
        <v>0</v>
      </c>
      <c r="O14" s="409">
        <f t="shared" si="15"/>
        <v>529.52</v>
      </c>
      <c r="P14" s="510">
        <f t="shared" ref="P14:P33" si="45">SUM(O14-O13)</f>
        <v>0</v>
      </c>
      <c r="Q14" s="510">
        <f t="shared" ref="Q14:Q33" si="46">SUM(P14+N14)</f>
        <v>0</v>
      </c>
      <c r="R14" s="510"/>
      <c r="S14" s="510"/>
      <c r="T14" s="5">
        <f t="shared" si="16"/>
        <v>5172</v>
      </c>
      <c r="U14" s="5">
        <f t="shared" si="4"/>
        <v>0</v>
      </c>
      <c r="V14" s="5">
        <f t="shared" si="17"/>
        <v>474</v>
      </c>
      <c r="W14" s="323">
        <f t="shared" si="18"/>
        <v>0</v>
      </c>
      <c r="X14" s="5">
        <f t="shared" si="19"/>
        <v>152036</v>
      </c>
      <c r="Y14" s="323">
        <f t="shared" si="42"/>
        <v>0</v>
      </c>
      <c r="Z14" s="5">
        <f t="shared" si="20"/>
        <v>98847</v>
      </c>
      <c r="AA14" s="83">
        <f t="shared" si="21"/>
        <v>0</v>
      </c>
      <c r="AB14" s="5">
        <f t="shared" si="22"/>
        <v>261</v>
      </c>
      <c r="AC14" s="5">
        <f t="shared" si="23"/>
        <v>731</v>
      </c>
      <c r="AD14" s="83">
        <f t="shared" si="39"/>
        <v>0</v>
      </c>
      <c r="AE14" s="5">
        <f t="shared" si="24"/>
        <v>229.81</v>
      </c>
      <c r="AF14" s="83">
        <f t="shared" si="25"/>
        <v>0</v>
      </c>
      <c r="AG14" s="5">
        <f t="shared" si="26"/>
        <v>2205.98</v>
      </c>
      <c r="AH14" s="83">
        <f t="shared" si="27"/>
        <v>0</v>
      </c>
      <c r="AI14" s="83">
        <f t="shared" si="28"/>
        <v>0</v>
      </c>
      <c r="AJ14" s="325">
        <f t="shared" si="29"/>
        <v>0</v>
      </c>
      <c r="AK14" s="326">
        <f t="shared" si="40"/>
        <v>0</v>
      </c>
      <c r="AL14" s="326">
        <f t="shared" si="30"/>
        <v>0</v>
      </c>
      <c r="AM14" s="326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1"/>
        <v>44356</v>
      </c>
      <c r="AS14" s="423">
        <f t="shared" si="5"/>
        <v>0.9</v>
      </c>
      <c r="AT14" s="201">
        <f t="shared" si="5"/>
        <v>90</v>
      </c>
      <c r="AU14" s="424">
        <f t="shared" si="43"/>
        <v>1.1000000000000001</v>
      </c>
      <c r="AV14" s="201">
        <f t="shared" si="32"/>
        <v>159</v>
      </c>
      <c r="AW14" s="5">
        <v>2.9</v>
      </c>
      <c r="AX14" s="201">
        <f t="shared" si="33"/>
        <v>97</v>
      </c>
      <c r="AY14" s="425">
        <f t="shared" si="6"/>
        <v>81</v>
      </c>
      <c r="AZ14" s="425">
        <f t="shared" si="34"/>
        <v>174.9</v>
      </c>
      <c r="BA14" s="425">
        <f t="shared" si="35"/>
        <v>281.3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7"/>
        <v>0</v>
      </c>
      <c r="BG14" s="82">
        <f t="shared" si="8"/>
        <v>0</v>
      </c>
    </row>
    <row r="15" spans="1:65" ht="16.5" customHeight="1" thickBot="1">
      <c r="A15" s="6">
        <f>ELEC!C13</f>
        <v>44357</v>
      </c>
      <c r="B15" s="5">
        <f t="shared" si="9"/>
        <v>109443</v>
      </c>
      <c r="C15" s="5">
        <f t="shared" si="10"/>
        <v>0</v>
      </c>
      <c r="D15" s="418">
        <f t="shared" si="11"/>
        <v>0</v>
      </c>
      <c r="E15" s="332">
        <f>SUM((C15*$E$4)+(7500/'EDl log'!$A$37))</f>
        <v>250</v>
      </c>
      <c r="F15" s="417"/>
      <c r="G15" s="5">
        <f t="shared" si="12"/>
        <v>620421</v>
      </c>
      <c r="H15" s="5">
        <f t="shared" si="13"/>
        <v>0</v>
      </c>
      <c r="I15" s="5">
        <f t="shared" si="0"/>
        <v>0</v>
      </c>
      <c r="J15" s="333">
        <f t="shared" si="1"/>
        <v>0</v>
      </c>
      <c r="K15" s="5">
        <f>'Swimming Pool quality check '!H15</f>
        <v>6775</v>
      </c>
      <c r="L15" s="83">
        <f t="shared" si="41"/>
        <v>0</v>
      </c>
      <c r="M15" s="409">
        <f t="shared" si="14"/>
        <v>457.44</v>
      </c>
      <c r="N15" s="510">
        <f t="shared" si="44"/>
        <v>0</v>
      </c>
      <c r="O15" s="409">
        <f t="shared" si="15"/>
        <v>529.52</v>
      </c>
      <c r="P15" s="510">
        <f t="shared" si="45"/>
        <v>0</v>
      </c>
      <c r="Q15" s="510">
        <f t="shared" si="46"/>
        <v>0</v>
      </c>
      <c r="R15" s="510"/>
      <c r="S15" s="510"/>
      <c r="T15" s="5">
        <f t="shared" si="16"/>
        <v>5172</v>
      </c>
      <c r="U15" s="5">
        <f t="shared" si="4"/>
        <v>0</v>
      </c>
      <c r="V15" s="5">
        <f t="shared" si="17"/>
        <v>474</v>
      </c>
      <c r="W15" s="323">
        <f t="shared" si="18"/>
        <v>0</v>
      </c>
      <c r="X15" s="5">
        <f t="shared" si="19"/>
        <v>152036</v>
      </c>
      <c r="Y15" s="323">
        <f t="shared" si="42"/>
        <v>0</v>
      </c>
      <c r="Z15" s="5">
        <f t="shared" si="20"/>
        <v>98847</v>
      </c>
      <c r="AA15" s="83">
        <f t="shared" si="21"/>
        <v>0</v>
      </c>
      <c r="AB15" s="5">
        <f t="shared" si="22"/>
        <v>261</v>
      </c>
      <c r="AC15" s="5">
        <f t="shared" si="23"/>
        <v>731</v>
      </c>
      <c r="AD15" s="83">
        <f t="shared" si="39"/>
        <v>0</v>
      </c>
      <c r="AE15" s="5">
        <f t="shared" si="24"/>
        <v>229.81</v>
      </c>
      <c r="AF15" s="83">
        <f t="shared" si="25"/>
        <v>0</v>
      </c>
      <c r="AG15" s="5">
        <f t="shared" si="26"/>
        <v>2205.98</v>
      </c>
      <c r="AH15" s="83">
        <f t="shared" si="27"/>
        <v>0</v>
      </c>
      <c r="AI15" s="83">
        <f t="shared" si="28"/>
        <v>0</v>
      </c>
      <c r="AJ15" s="325">
        <f t="shared" si="29"/>
        <v>0</v>
      </c>
      <c r="AK15" s="326">
        <f t="shared" si="40"/>
        <v>0</v>
      </c>
      <c r="AL15" s="326">
        <f t="shared" si="30"/>
        <v>0</v>
      </c>
      <c r="AM15" s="326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1"/>
        <v>44357</v>
      </c>
      <c r="AS15" s="423">
        <f t="shared" si="5"/>
        <v>0.9</v>
      </c>
      <c r="AT15" s="201">
        <f t="shared" si="5"/>
        <v>90</v>
      </c>
      <c r="AU15" s="424">
        <f t="shared" si="43"/>
        <v>1.1000000000000001</v>
      </c>
      <c r="AV15" s="201">
        <f t="shared" si="32"/>
        <v>159</v>
      </c>
      <c r="AW15" s="5">
        <v>2.9</v>
      </c>
      <c r="AX15" s="201">
        <f t="shared" si="33"/>
        <v>97</v>
      </c>
      <c r="AY15" s="425">
        <f t="shared" si="6"/>
        <v>81</v>
      </c>
      <c r="AZ15" s="425">
        <f t="shared" si="34"/>
        <v>174.9</v>
      </c>
      <c r="BA15" s="425">
        <f t="shared" si="35"/>
        <v>281.3</v>
      </c>
      <c r="BB15" s="21">
        <f t="shared" si="36"/>
        <v>0</v>
      </c>
      <c r="BC15" s="21">
        <f t="shared" si="37"/>
        <v>0</v>
      </c>
      <c r="BD15" s="21">
        <f t="shared" si="37"/>
        <v>0</v>
      </c>
      <c r="BE15" s="24">
        <f t="shared" si="38"/>
        <v>0</v>
      </c>
      <c r="BF15" s="96">
        <f t="shared" si="7"/>
        <v>0</v>
      </c>
      <c r="BG15" s="82">
        <f t="shared" si="8"/>
        <v>0</v>
      </c>
    </row>
    <row r="16" spans="1:65" ht="15" thickBot="1">
      <c r="A16" s="6">
        <f>ELEC!C14</f>
        <v>44358</v>
      </c>
      <c r="B16" s="5">
        <f t="shared" si="9"/>
        <v>109443</v>
      </c>
      <c r="C16" s="5">
        <f t="shared" si="10"/>
        <v>0</v>
      </c>
      <c r="D16" s="418">
        <f t="shared" si="11"/>
        <v>0</v>
      </c>
      <c r="E16" s="332">
        <f>SUM((C16*$E$4)+(7500/'EDl log'!$A$37))</f>
        <v>250</v>
      </c>
      <c r="F16" s="417"/>
      <c r="G16" s="5">
        <f t="shared" si="12"/>
        <v>620421</v>
      </c>
      <c r="H16" s="5">
        <f t="shared" si="13"/>
        <v>0</v>
      </c>
      <c r="I16" s="5">
        <f t="shared" si="0"/>
        <v>0</v>
      </c>
      <c r="J16" s="333">
        <f t="shared" si="1"/>
        <v>0</v>
      </c>
      <c r="K16" s="5">
        <f>'Swimming Pool quality check '!H16</f>
        <v>6775</v>
      </c>
      <c r="L16" s="274">
        <f t="shared" si="41"/>
        <v>0</v>
      </c>
      <c r="M16" s="409">
        <f t="shared" si="14"/>
        <v>457.44</v>
      </c>
      <c r="N16" s="510">
        <f t="shared" si="44"/>
        <v>0</v>
      </c>
      <c r="O16" s="409">
        <f t="shared" si="15"/>
        <v>529.52</v>
      </c>
      <c r="P16" s="510">
        <f t="shared" si="45"/>
        <v>0</v>
      </c>
      <c r="Q16" s="510">
        <f t="shared" si="46"/>
        <v>0</v>
      </c>
      <c r="R16" s="512"/>
      <c r="S16" s="512"/>
      <c r="T16" s="5">
        <f t="shared" si="16"/>
        <v>5172</v>
      </c>
      <c r="U16" s="5">
        <f t="shared" si="4"/>
        <v>0</v>
      </c>
      <c r="V16" s="5">
        <f t="shared" si="17"/>
        <v>474</v>
      </c>
      <c r="W16" s="323">
        <f t="shared" si="18"/>
        <v>0</v>
      </c>
      <c r="X16" s="5">
        <f t="shared" si="19"/>
        <v>152036</v>
      </c>
      <c r="Y16" s="323">
        <f t="shared" si="42"/>
        <v>0</v>
      </c>
      <c r="Z16" s="5">
        <f t="shared" si="20"/>
        <v>98847</v>
      </c>
      <c r="AA16" s="83">
        <f t="shared" si="21"/>
        <v>0</v>
      </c>
      <c r="AB16" s="5">
        <f t="shared" si="22"/>
        <v>261</v>
      </c>
      <c r="AC16" s="5">
        <f t="shared" si="23"/>
        <v>731</v>
      </c>
      <c r="AD16" s="83">
        <f t="shared" si="39"/>
        <v>0</v>
      </c>
      <c r="AE16" s="5">
        <f t="shared" si="24"/>
        <v>229.81</v>
      </c>
      <c r="AF16" s="83">
        <f t="shared" si="25"/>
        <v>0</v>
      </c>
      <c r="AG16" s="5">
        <f t="shared" si="26"/>
        <v>2205.98</v>
      </c>
      <c r="AH16" s="83">
        <f t="shared" si="27"/>
        <v>0</v>
      </c>
      <c r="AI16" s="83">
        <f t="shared" si="28"/>
        <v>0</v>
      </c>
      <c r="AJ16" s="325">
        <f t="shared" si="29"/>
        <v>0</v>
      </c>
      <c r="AK16" s="326">
        <f t="shared" si="40"/>
        <v>0</v>
      </c>
      <c r="AL16" s="326">
        <f t="shared" si="30"/>
        <v>0</v>
      </c>
      <c r="AM16" s="326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1"/>
        <v>44358</v>
      </c>
      <c r="AS16" s="423">
        <f t="shared" si="5"/>
        <v>0.9</v>
      </c>
      <c r="AT16" s="201">
        <f t="shared" si="5"/>
        <v>90</v>
      </c>
      <c r="AU16" s="424">
        <f t="shared" si="43"/>
        <v>1.1000000000000001</v>
      </c>
      <c r="AV16" s="201">
        <f t="shared" si="32"/>
        <v>159</v>
      </c>
      <c r="AW16" s="5">
        <v>2.9</v>
      </c>
      <c r="AX16" s="201">
        <f t="shared" si="33"/>
        <v>97</v>
      </c>
      <c r="AY16" s="425">
        <f t="shared" si="6"/>
        <v>81</v>
      </c>
      <c r="AZ16" s="425">
        <f t="shared" si="34"/>
        <v>174.9</v>
      </c>
      <c r="BA16" s="425">
        <f t="shared" si="35"/>
        <v>281.3</v>
      </c>
      <c r="BB16" s="21">
        <f t="shared" si="36"/>
        <v>0</v>
      </c>
      <c r="BC16" s="21">
        <f t="shared" si="37"/>
        <v>0</v>
      </c>
      <c r="BD16" s="21">
        <f t="shared" si="37"/>
        <v>0</v>
      </c>
      <c r="BE16" s="24">
        <f t="shared" si="38"/>
        <v>0</v>
      </c>
      <c r="BF16" s="96">
        <f t="shared" si="7"/>
        <v>0</v>
      </c>
      <c r="BG16" s="82">
        <f t="shared" si="8"/>
        <v>0</v>
      </c>
    </row>
    <row r="17" spans="1:61" ht="15" thickBot="1">
      <c r="A17" s="6">
        <f>ELEC!C15</f>
        <v>44359</v>
      </c>
      <c r="B17" s="5">
        <f t="shared" si="9"/>
        <v>109443</v>
      </c>
      <c r="C17" s="5">
        <f t="shared" si="10"/>
        <v>0</v>
      </c>
      <c r="D17" s="418">
        <f t="shared" si="11"/>
        <v>0</v>
      </c>
      <c r="E17" s="332">
        <f>SUM((C17*$E$4)+(7500/'EDl log'!$A$37))</f>
        <v>250</v>
      </c>
      <c r="F17" s="417"/>
      <c r="G17" s="5">
        <f t="shared" si="12"/>
        <v>620421</v>
      </c>
      <c r="H17" s="5">
        <f t="shared" si="13"/>
        <v>0</v>
      </c>
      <c r="I17" s="5">
        <f t="shared" si="0"/>
        <v>0</v>
      </c>
      <c r="J17" s="333">
        <f t="shared" si="1"/>
        <v>0</v>
      </c>
      <c r="K17" s="5">
        <f>'Swimming Pool quality check '!H17</f>
        <v>6775</v>
      </c>
      <c r="L17" s="83">
        <f t="shared" si="41"/>
        <v>0</v>
      </c>
      <c r="M17" s="409">
        <f t="shared" si="14"/>
        <v>457.44</v>
      </c>
      <c r="N17" s="510">
        <f t="shared" si="44"/>
        <v>0</v>
      </c>
      <c r="O17" s="409">
        <f t="shared" si="15"/>
        <v>529.52</v>
      </c>
      <c r="P17" s="510">
        <f t="shared" si="45"/>
        <v>0</v>
      </c>
      <c r="Q17" s="510">
        <f t="shared" si="46"/>
        <v>0</v>
      </c>
      <c r="R17" s="510"/>
      <c r="S17" s="510"/>
      <c r="T17" s="5">
        <f t="shared" si="16"/>
        <v>5172</v>
      </c>
      <c r="U17" s="5">
        <f t="shared" si="4"/>
        <v>0</v>
      </c>
      <c r="V17" s="5">
        <f t="shared" si="17"/>
        <v>474</v>
      </c>
      <c r="W17" s="323">
        <f t="shared" si="18"/>
        <v>0</v>
      </c>
      <c r="X17" s="5">
        <f t="shared" si="19"/>
        <v>152036</v>
      </c>
      <c r="Y17" s="323">
        <f t="shared" si="42"/>
        <v>0</v>
      </c>
      <c r="Z17" s="5">
        <f t="shared" si="20"/>
        <v>98847</v>
      </c>
      <c r="AA17" s="83">
        <f t="shared" si="21"/>
        <v>0</v>
      </c>
      <c r="AB17" s="5">
        <f t="shared" si="22"/>
        <v>261</v>
      </c>
      <c r="AC17" s="5">
        <f t="shared" si="23"/>
        <v>731</v>
      </c>
      <c r="AD17" s="83">
        <f t="shared" si="39"/>
        <v>0</v>
      </c>
      <c r="AE17" s="5">
        <f t="shared" si="24"/>
        <v>229.81</v>
      </c>
      <c r="AF17" s="83">
        <f t="shared" si="25"/>
        <v>0</v>
      </c>
      <c r="AG17" s="5">
        <f t="shared" si="26"/>
        <v>2205.98</v>
      </c>
      <c r="AH17" s="83">
        <f t="shared" si="27"/>
        <v>0</v>
      </c>
      <c r="AI17" s="83">
        <f t="shared" si="28"/>
        <v>0</v>
      </c>
      <c r="AJ17" s="325">
        <f t="shared" si="29"/>
        <v>0</v>
      </c>
      <c r="AK17" s="326">
        <f>SUM(Y17-L17)</f>
        <v>0</v>
      </c>
      <c r="AL17" s="326">
        <f t="shared" si="30"/>
        <v>0</v>
      </c>
      <c r="AM17" s="326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1"/>
        <v>44359</v>
      </c>
      <c r="AS17" s="423">
        <f t="shared" si="5"/>
        <v>0.9</v>
      </c>
      <c r="AT17" s="201">
        <f t="shared" si="5"/>
        <v>90</v>
      </c>
      <c r="AU17" s="424">
        <f t="shared" si="43"/>
        <v>1.1000000000000001</v>
      </c>
      <c r="AV17" s="201">
        <f t="shared" si="32"/>
        <v>159</v>
      </c>
      <c r="AW17" s="5">
        <v>2.9</v>
      </c>
      <c r="AX17" s="201">
        <f t="shared" si="33"/>
        <v>97</v>
      </c>
      <c r="AY17" s="425">
        <f t="shared" si="6"/>
        <v>81</v>
      </c>
      <c r="AZ17" s="425">
        <f t="shared" si="34"/>
        <v>174.9</v>
      </c>
      <c r="BA17" s="425">
        <f t="shared" si="35"/>
        <v>281.3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7"/>
        <v>0</v>
      </c>
      <c r="BG17" s="82">
        <f t="shared" si="8"/>
        <v>0</v>
      </c>
    </row>
    <row r="18" spans="1:61" ht="15" thickBot="1">
      <c r="A18" s="6">
        <f>ELEC!C16</f>
        <v>44360</v>
      </c>
      <c r="B18" s="5">
        <f t="shared" si="9"/>
        <v>109443</v>
      </c>
      <c r="C18" s="5">
        <f t="shared" si="10"/>
        <v>0</v>
      </c>
      <c r="D18" s="418">
        <f t="shared" si="11"/>
        <v>0</v>
      </c>
      <c r="E18" s="332">
        <f>SUM((C18*$E$4)+(7500/'EDl log'!$A$37))</f>
        <v>250</v>
      </c>
      <c r="F18" s="417"/>
      <c r="G18" s="5">
        <f t="shared" si="12"/>
        <v>620421</v>
      </c>
      <c r="H18" s="5">
        <f t="shared" si="13"/>
        <v>0</v>
      </c>
      <c r="I18" s="5">
        <f t="shared" si="0"/>
        <v>0</v>
      </c>
      <c r="J18" s="333">
        <f t="shared" si="1"/>
        <v>0</v>
      </c>
      <c r="K18" s="5">
        <f>'Swimming Pool quality check '!H18</f>
        <v>6775</v>
      </c>
      <c r="L18" s="83">
        <f t="shared" si="41"/>
        <v>0</v>
      </c>
      <c r="M18" s="409">
        <f t="shared" si="14"/>
        <v>457.44</v>
      </c>
      <c r="N18" s="510">
        <f t="shared" si="44"/>
        <v>0</v>
      </c>
      <c r="O18" s="409">
        <f t="shared" si="15"/>
        <v>529.52</v>
      </c>
      <c r="P18" s="510">
        <f t="shared" si="45"/>
        <v>0</v>
      </c>
      <c r="Q18" s="510">
        <f t="shared" si="46"/>
        <v>0</v>
      </c>
      <c r="R18" s="510"/>
      <c r="S18" s="510"/>
      <c r="T18" s="5">
        <f t="shared" si="16"/>
        <v>5172</v>
      </c>
      <c r="U18" s="5">
        <f t="shared" si="4"/>
        <v>0</v>
      </c>
      <c r="V18" s="5">
        <f t="shared" si="17"/>
        <v>474</v>
      </c>
      <c r="W18" s="323">
        <f t="shared" si="18"/>
        <v>0</v>
      </c>
      <c r="X18" s="5">
        <f t="shared" si="19"/>
        <v>152036</v>
      </c>
      <c r="Y18" s="323">
        <f t="shared" si="42"/>
        <v>0</v>
      </c>
      <c r="Z18" s="5">
        <f t="shared" si="20"/>
        <v>98847</v>
      </c>
      <c r="AA18" s="83">
        <f t="shared" si="21"/>
        <v>0</v>
      </c>
      <c r="AB18" s="5">
        <f t="shared" si="22"/>
        <v>261</v>
      </c>
      <c r="AC18" s="5">
        <f t="shared" si="23"/>
        <v>731</v>
      </c>
      <c r="AD18" s="83">
        <f t="shared" si="39"/>
        <v>0</v>
      </c>
      <c r="AE18" s="5">
        <f t="shared" si="24"/>
        <v>229.81</v>
      </c>
      <c r="AF18" s="83">
        <f t="shared" si="25"/>
        <v>0</v>
      </c>
      <c r="AG18" s="5">
        <f t="shared" si="26"/>
        <v>2205.98</v>
      </c>
      <c r="AH18" s="83">
        <f t="shared" si="27"/>
        <v>0</v>
      </c>
      <c r="AI18" s="83">
        <f t="shared" si="28"/>
        <v>0</v>
      </c>
      <c r="AJ18" s="325">
        <f t="shared" si="29"/>
        <v>0</v>
      </c>
      <c r="AK18" s="326">
        <f>SUM(Y18-L18)</f>
        <v>0</v>
      </c>
      <c r="AL18" s="326">
        <f t="shared" si="30"/>
        <v>0</v>
      </c>
      <c r="AM18" s="326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1"/>
        <v>44360</v>
      </c>
      <c r="AS18" s="423">
        <f t="shared" si="5"/>
        <v>0.9</v>
      </c>
      <c r="AT18" s="201">
        <f t="shared" si="5"/>
        <v>90</v>
      </c>
      <c r="AU18" s="424">
        <f t="shared" si="43"/>
        <v>1.1000000000000001</v>
      </c>
      <c r="AV18" s="201">
        <f t="shared" si="32"/>
        <v>159</v>
      </c>
      <c r="AW18" s="5">
        <v>2.9</v>
      </c>
      <c r="AX18" s="201">
        <f t="shared" si="33"/>
        <v>97</v>
      </c>
      <c r="AY18" s="425">
        <f t="shared" si="6"/>
        <v>81</v>
      </c>
      <c r="AZ18" s="425">
        <f t="shared" si="34"/>
        <v>174.9</v>
      </c>
      <c r="BA18" s="425">
        <f t="shared" si="35"/>
        <v>281.3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7"/>
        <v>0</v>
      </c>
      <c r="BG18" s="82">
        <f t="shared" si="8"/>
        <v>0</v>
      </c>
    </row>
    <row r="19" spans="1:61" ht="15" thickBot="1">
      <c r="A19" s="6">
        <f>ELEC!C17</f>
        <v>44361</v>
      </c>
      <c r="B19" s="5">
        <f t="shared" si="9"/>
        <v>109443</v>
      </c>
      <c r="C19" s="5">
        <f t="shared" si="10"/>
        <v>0</v>
      </c>
      <c r="D19" s="418">
        <f t="shared" si="11"/>
        <v>0</v>
      </c>
      <c r="E19" s="332">
        <f>SUM((C19*$E$4)+(7500/'EDl log'!$A$37))</f>
        <v>250</v>
      </c>
      <c r="F19" s="417"/>
      <c r="G19" s="5">
        <f t="shared" si="12"/>
        <v>620421</v>
      </c>
      <c r="H19" s="5">
        <f t="shared" si="13"/>
        <v>0</v>
      </c>
      <c r="I19" s="5">
        <f t="shared" si="0"/>
        <v>0</v>
      </c>
      <c r="J19" s="333">
        <f t="shared" si="1"/>
        <v>0</v>
      </c>
      <c r="K19" s="5">
        <f>'Swimming Pool quality check '!H19</f>
        <v>6775</v>
      </c>
      <c r="L19" s="83">
        <f t="shared" si="41"/>
        <v>0</v>
      </c>
      <c r="M19" s="409">
        <f t="shared" si="14"/>
        <v>457.44</v>
      </c>
      <c r="N19" s="510">
        <f t="shared" si="44"/>
        <v>0</v>
      </c>
      <c r="O19" s="409">
        <f t="shared" si="15"/>
        <v>529.52</v>
      </c>
      <c r="P19" s="510">
        <f t="shared" si="45"/>
        <v>0</v>
      </c>
      <c r="Q19" s="510">
        <f t="shared" si="46"/>
        <v>0</v>
      </c>
      <c r="R19" s="510"/>
      <c r="S19" s="510"/>
      <c r="T19" s="5">
        <f t="shared" si="16"/>
        <v>5172</v>
      </c>
      <c r="U19" s="5">
        <f t="shared" si="4"/>
        <v>0</v>
      </c>
      <c r="V19" s="5">
        <f t="shared" si="17"/>
        <v>474</v>
      </c>
      <c r="W19" s="323">
        <f t="shared" si="18"/>
        <v>0</v>
      </c>
      <c r="X19" s="5">
        <f t="shared" si="19"/>
        <v>152036</v>
      </c>
      <c r="Y19" s="323">
        <f t="shared" si="42"/>
        <v>0</v>
      </c>
      <c r="Z19" s="5">
        <f t="shared" si="20"/>
        <v>98847</v>
      </c>
      <c r="AA19" s="83">
        <f t="shared" si="21"/>
        <v>0</v>
      </c>
      <c r="AB19" s="5">
        <f t="shared" si="22"/>
        <v>261</v>
      </c>
      <c r="AC19" s="5">
        <f t="shared" si="23"/>
        <v>731</v>
      </c>
      <c r="AD19" s="83">
        <f t="shared" si="39"/>
        <v>0</v>
      </c>
      <c r="AE19" s="5">
        <f t="shared" si="24"/>
        <v>229.81</v>
      </c>
      <c r="AF19" s="83">
        <f t="shared" si="25"/>
        <v>0</v>
      </c>
      <c r="AG19" s="5">
        <f t="shared" si="26"/>
        <v>2205.98</v>
      </c>
      <c r="AH19" s="83">
        <f t="shared" si="27"/>
        <v>0</v>
      </c>
      <c r="AI19" s="83">
        <f t="shared" si="28"/>
        <v>0</v>
      </c>
      <c r="AJ19" s="325">
        <f t="shared" si="29"/>
        <v>0</v>
      </c>
      <c r="AK19" s="326">
        <f t="shared" si="40"/>
        <v>0</v>
      </c>
      <c r="AL19" s="326">
        <f t="shared" si="30"/>
        <v>0</v>
      </c>
      <c r="AM19" s="326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1"/>
        <v>44361</v>
      </c>
      <c r="AS19" s="423">
        <f t="shared" si="5"/>
        <v>0.9</v>
      </c>
      <c r="AT19" s="201">
        <f t="shared" si="5"/>
        <v>90</v>
      </c>
      <c r="AU19" s="424">
        <f t="shared" si="43"/>
        <v>1.1000000000000001</v>
      </c>
      <c r="AV19" s="201">
        <f t="shared" si="32"/>
        <v>159</v>
      </c>
      <c r="AW19" s="5">
        <v>2.9</v>
      </c>
      <c r="AX19" s="201">
        <f t="shared" si="33"/>
        <v>97</v>
      </c>
      <c r="AY19" s="425">
        <f>AS19*AT19</f>
        <v>81</v>
      </c>
      <c r="AZ19" s="425">
        <f>AU19*AV19</f>
        <v>174.9</v>
      </c>
      <c r="BA19" s="425">
        <f>AW19*AX19</f>
        <v>281.3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7"/>
        <v>0</v>
      </c>
      <c r="BG19" s="82">
        <f t="shared" si="8"/>
        <v>0</v>
      </c>
    </row>
    <row r="20" spans="1:61" ht="15" thickBot="1">
      <c r="A20" s="6">
        <f>ELEC!C18</f>
        <v>44362</v>
      </c>
      <c r="B20" s="5">
        <f t="shared" si="9"/>
        <v>109443</v>
      </c>
      <c r="C20" s="5">
        <f t="shared" si="10"/>
        <v>0</v>
      </c>
      <c r="D20" s="418">
        <f t="shared" si="11"/>
        <v>0</v>
      </c>
      <c r="E20" s="332">
        <f>SUM((C20*$E$4)+(7500/'EDl log'!$A$37))</f>
        <v>250</v>
      </c>
      <c r="F20" s="417"/>
      <c r="G20" s="5">
        <f t="shared" si="12"/>
        <v>620421</v>
      </c>
      <c r="H20" s="5">
        <f t="shared" si="13"/>
        <v>0</v>
      </c>
      <c r="I20" s="5">
        <f t="shared" si="0"/>
        <v>0</v>
      </c>
      <c r="J20" s="333">
        <f t="shared" si="1"/>
        <v>0</v>
      </c>
      <c r="K20" s="5">
        <f>'Swimming Pool quality check '!H20</f>
        <v>6775</v>
      </c>
      <c r="L20" s="83">
        <f t="shared" si="41"/>
        <v>0</v>
      </c>
      <c r="M20" s="409">
        <f t="shared" si="14"/>
        <v>457.44</v>
      </c>
      <c r="N20" s="510">
        <f t="shared" si="44"/>
        <v>0</v>
      </c>
      <c r="O20" s="409">
        <f t="shared" si="15"/>
        <v>529.52</v>
      </c>
      <c r="P20" s="510">
        <f t="shared" si="45"/>
        <v>0</v>
      </c>
      <c r="Q20" s="510">
        <f t="shared" si="46"/>
        <v>0</v>
      </c>
      <c r="R20" s="510"/>
      <c r="S20" s="510"/>
      <c r="T20" s="5">
        <f t="shared" si="16"/>
        <v>5172</v>
      </c>
      <c r="U20" s="5">
        <f t="shared" si="4"/>
        <v>0</v>
      </c>
      <c r="V20" s="5">
        <f t="shared" si="17"/>
        <v>474</v>
      </c>
      <c r="W20" s="323">
        <f t="shared" si="18"/>
        <v>0</v>
      </c>
      <c r="X20" s="5">
        <f t="shared" si="19"/>
        <v>152036</v>
      </c>
      <c r="Y20" s="323">
        <f t="shared" si="42"/>
        <v>0</v>
      </c>
      <c r="Z20" s="5">
        <f t="shared" si="20"/>
        <v>98847</v>
      </c>
      <c r="AA20" s="83">
        <f t="shared" si="21"/>
        <v>0</v>
      </c>
      <c r="AB20" s="5">
        <f t="shared" si="22"/>
        <v>261</v>
      </c>
      <c r="AC20" s="5">
        <f t="shared" si="23"/>
        <v>731</v>
      </c>
      <c r="AD20" s="83">
        <f t="shared" si="39"/>
        <v>0</v>
      </c>
      <c r="AE20" s="5">
        <f t="shared" si="24"/>
        <v>229.81</v>
      </c>
      <c r="AF20" s="83">
        <f t="shared" si="25"/>
        <v>0</v>
      </c>
      <c r="AG20" s="5">
        <f t="shared" si="26"/>
        <v>2205.98</v>
      </c>
      <c r="AH20" s="83">
        <f t="shared" si="27"/>
        <v>0</v>
      </c>
      <c r="AI20" s="83">
        <f t="shared" si="28"/>
        <v>0</v>
      </c>
      <c r="AJ20" s="325">
        <f t="shared" si="29"/>
        <v>0</v>
      </c>
      <c r="AK20" s="326">
        <f t="shared" si="40"/>
        <v>0</v>
      </c>
      <c r="AL20" s="326">
        <f t="shared" si="30"/>
        <v>0</v>
      </c>
      <c r="AM20" s="326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1"/>
        <v>44362</v>
      </c>
      <c r="AS20" s="423">
        <f t="shared" si="5"/>
        <v>0.9</v>
      </c>
      <c r="AT20" s="201">
        <f t="shared" si="5"/>
        <v>90</v>
      </c>
      <c r="AU20" s="424">
        <f t="shared" si="43"/>
        <v>1.1000000000000001</v>
      </c>
      <c r="AV20" s="201">
        <f t="shared" si="32"/>
        <v>159</v>
      </c>
      <c r="AW20" s="5">
        <v>2.9</v>
      </c>
      <c r="AX20" s="201">
        <f t="shared" si="33"/>
        <v>97</v>
      </c>
      <c r="AY20" s="425">
        <f>AS20*AT20</f>
        <v>81</v>
      </c>
      <c r="AZ20" s="425">
        <f>AU20*AV20</f>
        <v>174.9</v>
      </c>
      <c r="BA20" s="425">
        <f>AW20*AX20</f>
        <v>281.3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7"/>
        <v>0</v>
      </c>
      <c r="BG20" s="82">
        <f t="shared" si="8"/>
        <v>0</v>
      </c>
    </row>
    <row r="21" spans="1:61" ht="15" thickBot="1">
      <c r="A21" s="6">
        <f>ELEC!C19</f>
        <v>44363</v>
      </c>
      <c r="B21" s="5">
        <f t="shared" si="9"/>
        <v>109443</v>
      </c>
      <c r="C21" s="5">
        <f t="shared" si="10"/>
        <v>0</v>
      </c>
      <c r="D21" s="418">
        <f t="shared" si="11"/>
        <v>0</v>
      </c>
      <c r="E21" s="332">
        <f>SUM((C21*$E$4)+(7500/'EDl log'!$A$37))</f>
        <v>250</v>
      </c>
      <c r="F21" s="326"/>
      <c r="G21" s="5">
        <f t="shared" si="12"/>
        <v>620421</v>
      </c>
      <c r="H21" s="5">
        <f t="shared" si="13"/>
        <v>0</v>
      </c>
      <c r="I21" s="5">
        <f t="shared" si="0"/>
        <v>0</v>
      </c>
      <c r="J21" s="333">
        <f t="shared" si="1"/>
        <v>0</v>
      </c>
      <c r="K21" s="5">
        <f>'Swimming Pool quality check '!H21</f>
        <v>6775</v>
      </c>
      <c r="L21" s="83">
        <f t="shared" si="41"/>
        <v>0</v>
      </c>
      <c r="M21" s="409">
        <f t="shared" si="14"/>
        <v>457.44</v>
      </c>
      <c r="N21" s="510">
        <f t="shared" si="44"/>
        <v>0</v>
      </c>
      <c r="O21" s="409">
        <f t="shared" si="15"/>
        <v>529.52</v>
      </c>
      <c r="P21" s="510">
        <f t="shared" si="45"/>
        <v>0</v>
      </c>
      <c r="Q21" s="510">
        <f t="shared" si="46"/>
        <v>0</v>
      </c>
      <c r="R21" s="510"/>
      <c r="S21" s="510"/>
      <c r="T21" s="5">
        <f t="shared" si="16"/>
        <v>5172</v>
      </c>
      <c r="U21" s="5">
        <f t="shared" si="4"/>
        <v>0</v>
      </c>
      <c r="V21" s="5">
        <f t="shared" si="17"/>
        <v>474</v>
      </c>
      <c r="W21" s="323">
        <f t="shared" si="18"/>
        <v>0</v>
      </c>
      <c r="X21" s="5">
        <f t="shared" si="19"/>
        <v>152036</v>
      </c>
      <c r="Y21" s="323">
        <f>SUM(X21-X20)</f>
        <v>0</v>
      </c>
      <c r="Z21" s="5">
        <f t="shared" si="20"/>
        <v>98847</v>
      </c>
      <c r="AA21" s="83">
        <f t="shared" si="21"/>
        <v>0</v>
      </c>
      <c r="AB21" s="5">
        <f t="shared" si="22"/>
        <v>261</v>
      </c>
      <c r="AC21" s="5">
        <f t="shared" si="23"/>
        <v>731</v>
      </c>
      <c r="AD21" s="83">
        <f t="shared" si="39"/>
        <v>0</v>
      </c>
      <c r="AE21" s="5">
        <f t="shared" si="24"/>
        <v>229.81</v>
      </c>
      <c r="AF21" s="83">
        <f t="shared" si="25"/>
        <v>0</v>
      </c>
      <c r="AG21" s="5">
        <f t="shared" si="26"/>
        <v>2205.98</v>
      </c>
      <c r="AH21" s="83">
        <f t="shared" si="27"/>
        <v>0</v>
      </c>
      <c r="AI21" s="83">
        <f t="shared" si="28"/>
        <v>0</v>
      </c>
      <c r="AJ21" s="325">
        <f t="shared" si="29"/>
        <v>0</v>
      </c>
      <c r="AK21" s="326">
        <f>SUM(Y21-L21)</f>
        <v>0</v>
      </c>
      <c r="AL21" s="326">
        <f t="shared" si="30"/>
        <v>0</v>
      </c>
      <c r="AM21" s="326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1"/>
        <v>44363</v>
      </c>
      <c r="AS21" s="423">
        <f t="shared" si="5"/>
        <v>0.9</v>
      </c>
      <c r="AT21" s="201">
        <f t="shared" si="5"/>
        <v>90</v>
      </c>
      <c r="AU21" s="424">
        <f t="shared" si="43"/>
        <v>1.1000000000000001</v>
      </c>
      <c r="AV21" s="201">
        <f t="shared" si="32"/>
        <v>159</v>
      </c>
      <c r="AW21" s="5">
        <v>2.9</v>
      </c>
      <c r="AX21" s="201">
        <f t="shared" si="33"/>
        <v>97</v>
      </c>
      <c r="AY21" s="425">
        <f>AS21*AT21</f>
        <v>81</v>
      </c>
      <c r="AZ21" s="425">
        <f>AU21*AV21</f>
        <v>174.9</v>
      </c>
      <c r="BA21" s="425">
        <f>AW21*AX21</f>
        <v>281.3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7"/>
        <v>0</v>
      </c>
      <c r="BG21" s="82">
        <f t="shared" si="8"/>
        <v>0</v>
      </c>
    </row>
    <row r="22" spans="1:61" ht="15" thickBot="1">
      <c r="A22" s="6">
        <f>ELEC!C20</f>
        <v>44364</v>
      </c>
      <c r="B22" s="5">
        <f t="shared" si="9"/>
        <v>109443</v>
      </c>
      <c r="C22" s="5">
        <f t="shared" si="10"/>
        <v>0</v>
      </c>
      <c r="D22" s="418">
        <f t="shared" si="11"/>
        <v>0</v>
      </c>
      <c r="E22" s="332">
        <f>SUM((C22*$E$4)+(7500/'EDl log'!$A$37))</f>
        <v>250</v>
      </c>
      <c r="F22" s="326"/>
      <c r="G22" s="5">
        <f t="shared" si="12"/>
        <v>620421</v>
      </c>
      <c r="H22" s="5">
        <f t="shared" si="13"/>
        <v>0</v>
      </c>
      <c r="I22" s="5">
        <f t="shared" si="0"/>
        <v>0</v>
      </c>
      <c r="J22" s="333">
        <f t="shared" si="1"/>
        <v>0</v>
      </c>
      <c r="K22" s="5">
        <f>'Swimming Pool quality check '!H22</f>
        <v>6775</v>
      </c>
      <c r="L22" s="83">
        <f t="shared" si="41"/>
        <v>0</v>
      </c>
      <c r="M22" s="409">
        <f t="shared" si="14"/>
        <v>457.44</v>
      </c>
      <c r="N22" s="510">
        <f t="shared" si="44"/>
        <v>0</v>
      </c>
      <c r="O22" s="409">
        <f t="shared" si="15"/>
        <v>529.52</v>
      </c>
      <c r="P22" s="510">
        <f t="shared" si="45"/>
        <v>0</v>
      </c>
      <c r="Q22" s="510">
        <f t="shared" si="46"/>
        <v>0</v>
      </c>
      <c r="R22" s="510"/>
      <c r="S22" s="510"/>
      <c r="T22" s="5">
        <f t="shared" si="16"/>
        <v>5172</v>
      </c>
      <c r="U22" s="5">
        <f t="shared" si="4"/>
        <v>0</v>
      </c>
      <c r="V22" s="5">
        <f t="shared" si="17"/>
        <v>474</v>
      </c>
      <c r="W22" s="323">
        <f t="shared" si="18"/>
        <v>0</v>
      </c>
      <c r="X22" s="5">
        <f t="shared" si="19"/>
        <v>152036</v>
      </c>
      <c r="Y22" s="323">
        <f t="shared" si="42"/>
        <v>0</v>
      </c>
      <c r="Z22" s="5">
        <f t="shared" si="20"/>
        <v>98847</v>
      </c>
      <c r="AA22" s="83">
        <f t="shared" si="21"/>
        <v>0</v>
      </c>
      <c r="AB22" s="5">
        <f t="shared" si="22"/>
        <v>261</v>
      </c>
      <c r="AC22" s="5">
        <f t="shared" si="23"/>
        <v>731</v>
      </c>
      <c r="AD22" s="83">
        <f t="shared" si="39"/>
        <v>0</v>
      </c>
      <c r="AE22" s="5">
        <f t="shared" si="24"/>
        <v>229.81</v>
      </c>
      <c r="AF22" s="83">
        <f t="shared" si="25"/>
        <v>0</v>
      </c>
      <c r="AG22" s="5">
        <f t="shared" si="26"/>
        <v>2205.98</v>
      </c>
      <c r="AH22" s="83">
        <f t="shared" si="27"/>
        <v>0</v>
      </c>
      <c r="AI22" s="83">
        <f t="shared" si="28"/>
        <v>0</v>
      </c>
      <c r="AJ22" s="325">
        <f t="shared" si="29"/>
        <v>0</v>
      </c>
      <c r="AK22" s="326">
        <f t="shared" si="40"/>
        <v>0</v>
      </c>
      <c r="AL22" s="326">
        <f t="shared" si="30"/>
        <v>0</v>
      </c>
      <c r="AM22" s="326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1"/>
        <v>44364</v>
      </c>
      <c r="AS22" s="423">
        <f t="shared" ref="AS22:AT33" si="48">AS21</f>
        <v>0.9</v>
      </c>
      <c r="AT22" s="201">
        <f t="shared" si="48"/>
        <v>90</v>
      </c>
      <c r="AU22" s="424">
        <f t="shared" si="43"/>
        <v>1.1000000000000001</v>
      </c>
      <c r="AV22" s="201">
        <f t="shared" si="32"/>
        <v>159</v>
      </c>
      <c r="AW22" s="5">
        <v>2.9</v>
      </c>
      <c r="AX22" s="201">
        <f t="shared" si="33"/>
        <v>97</v>
      </c>
      <c r="AY22" s="425">
        <f t="shared" si="6"/>
        <v>81</v>
      </c>
      <c r="AZ22" s="425">
        <f t="shared" si="34"/>
        <v>174.9</v>
      </c>
      <c r="BA22" s="425">
        <f t="shared" si="35"/>
        <v>281.3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7"/>
        <v>0</v>
      </c>
      <c r="BG22" s="82">
        <f t="shared" si="8"/>
        <v>0</v>
      </c>
    </row>
    <row r="23" spans="1:61" ht="15" thickBot="1">
      <c r="A23" s="6">
        <f>ELEC!C21</f>
        <v>44365</v>
      </c>
      <c r="B23" s="5">
        <f t="shared" si="9"/>
        <v>109443</v>
      </c>
      <c r="C23" s="5">
        <f t="shared" si="10"/>
        <v>0</v>
      </c>
      <c r="D23" s="418">
        <f t="shared" si="11"/>
        <v>0</v>
      </c>
      <c r="E23" s="332">
        <f>SUM((C23*$E$4)+(7500/'EDl log'!$A$37))</f>
        <v>250</v>
      </c>
      <c r="F23" s="326"/>
      <c r="G23" s="5">
        <f t="shared" si="12"/>
        <v>620421</v>
      </c>
      <c r="H23" s="5">
        <f t="shared" si="13"/>
        <v>0</v>
      </c>
      <c r="I23" s="5">
        <f t="shared" si="0"/>
        <v>0</v>
      </c>
      <c r="J23" s="333">
        <f t="shared" si="1"/>
        <v>0</v>
      </c>
      <c r="K23" s="5">
        <f>'Swimming Pool quality check '!H23</f>
        <v>6775</v>
      </c>
      <c r="L23" s="274">
        <f t="shared" si="41"/>
        <v>0</v>
      </c>
      <c r="M23" s="409">
        <f t="shared" si="14"/>
        <v>457.44</v>
      </c>
      <c r="N23" s="510">
        <f t="shared" si="44"/>
        <v>0</v>
      </c>
      <c r="O23" s="409">
        <f t="shared" si="15"/>
        <v>529.52</v>
      </c>
      <c r="P23" s="510">
        <f t="shared" si="45"/>
        <v>0</v>
      </c>
      <c r="Q23" s="510">
        <f t="shared" si="46"/>
        <v>0</v>
      </c>
      <c r="R23" s="512"/>
      <c r="S23" s="512"/>
      <c r="T23" s="5">
        <f t="shared" si="16"/>
        <v>5172</v>
      </c>
      <c r="U23" s="5">
        <f t="shared" si="4"/>
        <v>0</v>
      </c>
      <c r="V23" s="5">
        <f t="shared" si="17"/>
        <v>474</v>
      </c>
      <c r="W23" s="323">
        <f t="shared" si="18"/>
        <v>0</v>
      </c>
      <c r="X23" s="5">
        <f t="shared" si="19"/>
        <v>152036</v>
      </c>
      <c r="Y23" s="323">
        <f t="shared" si="42"/>
        <v>0</v>
      </c>
      <c r="Z23" s="5">
        <f t="shared" si="20"/>
        <v>98847</v>
      </c>
      <c r="AA23" s="83">
        <f t="shared" si="21"/>
        <v>0</v>
      </c>
      <c r="AB23" s="5">
        <f t="shared" si="22"/>
        <v>261</v>
      </c>
      <c r="AC23" s="5">
        <f t="shared" si="23"/>
        <v>731</v>
      </c>
      <c r="AD23" s="83">
        <f t="shared" si="39"/>
        <v>0</v>
      </c>
      <c r="AE23" s="5">
        <f t="shared" si="24"/>
        <v>229.81</v>
      </c>
      <c r="AF23" s="83">
        <f t="shared" si="25"/>
        <v>0</v>
      </c>
      <c r="AG23" s="5">
        <f t="shared" si="26"/>
        <v>2205.98</v>
      </c>
      <c r="AH23" s="83">
        <f t="shared" si="27"/>
        <v>0</v>
      </c>
      <c r="AI23" s="83">
        <f t="shared" si="28"/>
        <v>0</v>
      </c>
      <c r="AJ23" s="325">
        <f t="shared" si="29"/>
        <v>0</v>
      </c>
      <c r="AK23" s="326">
        <f t="shared" si="40"/>
        <v>0</v>
      </c>
      <c r="AL23" s="326">
        <f t="shared" si="30"/>
        <v>0</v>
      </c>
      <c r="AM23" s="326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1"/>
        <v>44365</v>
      </c>
      <c r="AS23" s="423">
        <f t="shared" si="48"/>
        <v>0.9</v>
      </c>
      <c r="AT23" s="201">
        <f t="shared" si="48"/>
        <v>90</v>
      </c>
      <c r="AU23" s="424">
        <f t="shared" si="43"/>
        <v>1.1000000000000001</v>
      </c>
      <c r="AV23" s="201">
        <f t="shared" si="32"/>
        <v>159</v>
      </c>
      <c r="AW23" s="5">
        <v>2.9</v>
      </c>
      <c r="AX23" s="201">
        <f t="shared" si="33"/>
        <v>97</v>
      </c>
      <c r="AY23" s="425">
        <f t="shared" si="6"/>
        <v>81</v>
      </c>
      <c r="AZ23" s="425">
        <f t="shared" si="34"/>
        <v>174.9</v>
      </c>
      <c r="BA23" s="425">
        <f t="shared" si="35"/>
        <v>281.3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7"/>
        <v>0</v>
      </c>
      <c r="BG23" s="82">
        <f t="shared" si="8"/>
        <v>0</v>
      </c>
    </row>
    <row r="24" spans="1:61" ht="15" thickBot="1">
      <c r="A24" s="6">
        <f>ELEC!C22</f>
        <v>44366</v>
      </c>
      <c r="B24" s="5">
        <f t="shared" si="9"/>
        <v>109443</v>
      </c>
      <c r="C24" s="5">
        <f t="shared" si="10"/>
        <v>0</v>
      </c>
      <c r="D24" s="418">
        <f t="shared" si="11"/>
        <v>0</v>
      </c>
      <c r="E24" s="332">
        <f>SUM((C24*$E$4)+(7500/'EDl log'!$A$37))</f>
        <v>250</v>
      </c>
      <c r="F24" s="326"/>
      <c r="G24" s="5">
        <f t="shared" si="12"/>
        <v>620421</v>
      </c>
      <c r="H24" s="5">
        <f t="shared" si="13"/>
        <v>0</v>
      </c>
      <c r="I24" s="5">
        <f t="shared" si="0"/>
        <v>0</v>
      </c>
      <c r="J24" s="333">
        <f t="shared" si="1"/>
        <v>0</v>
      </c>
      <c r="K24" s="5">
        <f>'Swimming Pool quality check '!H24</f>
        <v>6775</v>
      </c>
      <c r="L24" s="274">
        <f t="shared" si="41"/>
        <v>0</v>
      </c>
      <c r="M24" s="409">
        <f t="shared" si="14"/>
        <v>457.44</v>
      </c>
      <c r="N24" s="510">
        <f t="shared" si="44"/>
        <v>0</v>
      </c>
      <c r="O24" s="409">
        <f t="shared" si="15"/>
        <v>529.52</v>
      </c>
      <c r="P24" s="510">
        <f t="shared" si="45"/>
        <v>0</v>
      </c>
      <c r="Q24" s="510">
        <f t="shared" si="46"/>
        <v>0</v>
      </c>
      <c r="R24" s="512"/>
      <c r="S24" s="512"/>
      <c r="T24" s="5">
        <f t="shared" si="16"/>
        <v>5172</v>
      </c>
      <c r="U24" s="5">
        <f t="shared" si="4"/>
        <v>0</v>
      </c>
      <c r="V24" s="5">
        <f t="shared" si="17"/>
        <v>474</v>
      </c>
      <c r="W24" s="323">
        <f t="shared" si="18"/>
        <v>0</v>
      </c>
      <c r="X24" s="5">
        <f t="shared" si="19"/>
        <v>152036</v>
      </c>
      <c r="Y24" s="323">
        <f t="shared" si="42"/>
        <v>0</v>
      </c>
      <c r="Z24" s="5">
        <f t="shared" si="20"/>
        <v>98847</v>
      </c>
      <c r="AA24" s="83">
        <f t="shared" si="21"/>
        <v>0</v>
      </c>
      <c r="AB24" s="5">
        <f t="shared" si="22"/>
        <v>261</v>
      </c>
      <c r="AC24" s="5">
        <f t="shared" si="23"/>
        <v>731</v>
      </c>
      <c r="AD24" s="83">
        <f t="shared" si="39"/>
        <v>0</v>
      </c>
      <c r="AE24" s="5">
        <f t="shared" si="24"/>
        <v>229.81</v>
      </c>
      <c r="AF24" s="83">
        <f t="shared" si="25"/>
        <v>0</v>
      </c>
      <c r="AG24" s="5">
        <f t="shared" si="26"/>
        <v>2205.98</v>
      </c>
      <c r="AH24" s="83">
        <f t="shared" si="27"/>
        <v>0</v>
      </c>
      <c r="AI24" s="83">
        <f t="shared" si="28"/>
        <v>0</v>
      </c>
      <c r="AJ24" s="325">
        <f t="shared" si="29"/>
        <v>0</v>
      </c>
      <c r="AK24" s="326">
        <f t="shared" si="40"/>
        <v>0</v>
      </c>
      <c r="AL24" s="326">
        <f t="shared" si="30"/>
        <v>0</v>
      </c>
      <c r="AM24" s="326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31"/>
        <v>44366</v>
      </c>
      <c r="AS24" s="423">
        <f t="shared" si="48"/>
        <v>0.9</v>
      </c>
      <c r="AT24" s="201">
        <f t="shared" si="48"/>
        <v>90</v>
      </c>
      <c r="AU24" s="424">
        <f t="shared" si="43"/>
        <v>1.1000000000000001</v>
      </c>
      <c r="AV24" s="201">
        <f t="shared" si="32"/>
        <v>159</v>
      </c>
      <c r="AW24" s="5">
        <v>2.9</v>
      </c>
      <c r="AX24" s="201">
        <f t="shared" si="33"/>
        <v>97</v>
      </c>
      <c r="AY24" s="425">
        <f t="shared" si="6"/>
        <v>81</v>
      </c>
      <c r="AZ24" s="425">
        <f t="shared" si="34"/>
        <v>174.9</v>
      </c>
      <c r="BA24" s="425">
        <f t="shared" si="35"/>
        <v>281.3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7"/>
        <v>0</v>
      </c>
      <c r="BG24" s="82">
        <f t="shared" si="8"/>
        <v>0</v>
      </c>
      <c r="BI24" s="82"/>
    </row>
    <row r="25" spans="1:61" ht="15" thickBot="1">
      <c r="A25" s="6">
        <f>ELEC!C23</f>
        <v>44367</v>
      </c>
      <c r="B25" s="5">
        <f t="shared" si="9"/>
        <v>109443</v>
      </c>
      <c r="C25" s="5">
        <f t="shared" si="10"/>
        <v>0</v>
      </c>
      <c r="D25" s="418">
        <f t="shared" si="11"/>
        <v>0</v>
      </c>
      <c r="E25" s="332">
        <f>SUM((C25*$E$4)+(7500/'EDl log'!$A$37))</f>
        <v>250</v>
      </c>
      <c r="F25" s="326"/>
      <c r="G25" s="5">
        <f t="shared" si="12"/>
        <v>620421</v>
      </c>
      <c r="H25" s="5">
        <f t="shared" si="13"/>
        <v>0</v>
      </c>
      <c r="I25" s="5">
        <f t="shared" si="0"/>
        <v>0</v>
      </c>
      <c r="J25" s="333">
        <f t="shared" si="1"/>
        <v>0</v>
      </c>
      <c r="K25" s="5">
        <f>'Swimming Pool quality check '!H25</f>
        <v>6775</v>
      </c>
      <c r="L25" s="274">
        <f t="shared" si="41"/>
        <v>0</v>
      </c>
      <c r="M25" s="409">
        <f t="shared" si="14"/>
        <v>457.44</v>
      </c>
      <c r="N25" s="510">
        <f t="shared" si="44"/>
        <v>0</v>
      </c>
      <c r="O25" s="409">
        <f t="shared" si="15"/>
        <v>529.52</v>
      </c>
      <c r="P25" s="510">
        <f t="shared" si="45"/>
        <v>0</v>
      </c>
      <c r="Q25" s="510">
        <f t="shared" si="46"/>
        <v>0</v>
      </c>
      <c r="R25" s="512"/>
      <c r="S25" s="512"/>
      <c r="T25" s="5">
        <f t="shared" si="16"/>
        <v>5172</v>
      </c>
      <c r="U25" s="5">
        <f t="shared" si="4"/>
        <v>0</v>
      </c>
      <c r="V25" s="5">
        <f t="shared" si="17"/>
        <v>474</v>
      </c>
      <c r="W25" s="323">
        <f t="shared" si="18"/>
        <v>0</v>
      </c>
      <c r="X25" s="5">
        <f t="shared" si="19"/>
        <v>152036</v>
      </c>
      <c r="Y25" s="323">
        <f t="shared" si="42"/>
        <v>0</v>
      </c>
      <c r="Z25" s="5">
        <f t="shared" si="20"/>
        <v>98847</v>
      </c>
      <c r="AA25" s="83">
        <f t="shared" si="21"/>
        <v>0</v>
      </c>
      <c r="AB25" s="5">
        <f t="shared" si="22"/>
        <v>261</v>
      </c>
      <c r="AC25" s="5">
        <f t="shared" si="23"/>
        <v>731</v>
      </c>
      <c r="AD25" s="83">
        <f t="shared" si="39"/>
        <v>0</v>
      </c>
      <c r="AE25" s="5">
        <f t="shared" si="24"/>
        <v>229.81</v>
      </c>
      <c r="AF25" s="83">
        <f t="shared" si="25"/>
        <v>0</v>
      </c>
      <c r="AG25" s="5">
        <f t="shared" si="26"/>
        <v>2205.98</v>
      </c>
      <c r="AH25" s="83">
        <f t="shared" si="27"/>
        <v>0</v>
      </c>
      <c r="AI25" s="83">
        <f t="shared" si="28"/>
        <v>0</v>
      </c>
      <c r="AJ25" s="325">
        <f t="shared" si="29"/>
        <v>0</v>
      </c>
      <c r="AK25" s="326">
        <f t="shared" si="40"/>
        <v>0</v>
      </c>
      <c r="AL25" s="326">
        <f t="shared" si="30"/>
        <v>0</v>
      </c>
      <c r="AM25" s="326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1"/>
        <v>44367</v>
      </c>
      <c r="AS25" s="423">
        <f t="shared" si="48"/>
        <v>0.9</v>
      </c>
      <c r="AT25" s="201">
        <f t="shared" si="48"/>
        <v>90</v>
      </c>
      <c r="AU25" s="424">
        <f t="shared" si="43"/>
        <v>1.1000000000000001</v>
      </c>
      <c r="AV25" s="201">
        <f t="shared" si="32"/>
        <v>159</v>
      </c>
      <c r="AW25" s="5">
        <v>2.9</v>
      </c>
      <c r="AX25" s="201">
        <f t="shared" si="33"/>
        <v>97</v>
      </c>
      <c r="AY25" s="425">
        <f t="shared" si="6"/>
        <v>81</v>
      </c>
      <c r="AZ25" s="425">
        <f t="shared" si="34"/>
        <v>174.9</v>
      </c>
      <c r="BA25" s="425">
        <f t="shared" si="35"/>
        <v>281.3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7"/>
        <v>0</v>
      </c>
      <c r="BG25" s="82">
        <f t="shared" si="8"/>
        <v>0</v>
      </c>
    </row>
    <row r="26" spans="1:61" ht="15" thickBot="1">
      <c r="A26" s="6">
        <f>ELEC!C24</f>
        <v>44368</v>
      </c>
      <c r="B26" s="5">
        <f t="shared" si="9"/>
        <v>109443</v>
      </c>
      <c r="C26" s="5">
        <f t="shared" si="10"/>
        <v>0</v>
      </c>
      <c r="D26" s="418">
        <f t="shared" si="11"/>
        <v>0</v>
      </c>
      <c r="E26" s="332">
        <f>SUM((C26*$E$4)+(7500/'EDl log'!$A$37))</f>
        <v>250</v>
      </c>
      <c r="F26" s="326"/>
      <c r="G26" s="5">
        <f t="shared" si="12"/>
        <v>620421</v>
      </c>
      <c r="H26" s="5">
        <f>G26-G25</f>
        <v>0</v>
      </c>
      <c r="I26" s="5">
        <f t="shared" si="0"/>
        <v>0</v>
      </c>
      <c r="J26" s="333">
        <f t="shared" si="1"/>
        <v>0</v>
      </c>
      <c r="K26" s="5">
        <f>'Swimming Pool quality check '!H26</f>
        <v>6775</v>
      </c>
      <c r="L26" s="274">
        <f t="shared" si="41"/>
        <v>0</v>
      </c>
      <c r="M26" s="409">
        <f t="shared" si="14"/>
        <v>457.44</v>
      </c>
      <c r="N26" s="510">
        <f t="shared" si="44"/>
        <v>0</v>
      </c>
      <c r="O26" s="409">
        <f t="shared" si="15"/>
        <v>529.52</v>
      </c>
      <c r="P26" s="510">
        <f t="shared" si="45"/>
        <v>0</v>
      </c>
      <c r="Q26" s="510">
        <f t="shared" si="46"/>
        <v>0</v>
      </c>
      <c r="R26" s="512"/>
      <c r="S26" s="512"/>
      <c r="T26" s="5">
        <f t="shared" si="16"/>
        <v>5172</v>
      </c>
      <c r="U26" s="5">
        <f t="shared" si="4"/>
        <v>0</v>
      </c>
      <c r="V26" s="5">
        <f t="shared" si="17"/>
        <v>474</v>
      </c>
      <c r="W26" s="323">
        <f t="shared" si="18"/>
        <v>0</v>
      </c>
      <c r="X26" s="5">
        <f t="shared" si="19"/>
        <v>152036</v>
      </c>
      <c r="Y26" s="323">
        <f t="shared" si="42"/>
        <v>0</v>
      </c>
      <c r="Z26" s="5">
        <f t="shared" si="20"/>
        <v>98847</v>
      </c>
      <c r="AA26" s="83">
        <f t="shared" si="21"/>
        <v>0</v>
      </c>
      <c r="AB26" s="5">
        <f t="shared" si="22"/>
        <v>261</v>
      </c>
      <c r="AC26" s="5">
        <f t="shared" si="23"/>
        <v>731</v>
      </c>
      <c r="AD26" s="83">
        <f t="shared" si="39"/>
        <v>0</v>
      </c>
      <c r="AE26" s="5">
        <f t="shared" si="24"/>
        <v>229.81</v>
      </c>
      <c r="AF26" s="83">
        <f t="shared" si="25"/>
        <v>0</v>
      </c>
      <c r="AG26" s="5">
        <f t="shared" si="26"/>
        <v>2205.98</v>
      </c>
      <c r="AH26" s="83">
        <f t="shared" si="27"/>
        <v>0</v>
      </c>
      <c r="AI26" s="83">
        <f t="shared" si="28"/>
        <v>0</v>
      </c>
      <c r="AJ26" s="325">
        <f t="shared" si="29"/>
        <v>0</v>
      </c>
      <c r="AK26" s="326">
        <f>SUM(Y26-L26)</f>
        <v>0</v>
      </c>
      <c r="AL26" s="326">
        <f>SUM(AJ26-W26)</f>
        <v>0</v>
      </c>
      <c r="AM26" s="326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1"/>
        <v>44368</v>
      </c>
      <c r="AS26" s="423">
        <f t="shared" si="48"/>
        <v>0.9</v>
      </c>
      <c r="AT26" s="201">
        <f t="shared" si="48"/>
        <v>90</v>
      </c>
      <c r="AU26" s="424">
        <f t="shared" si="43"/>
        <v>1.1000000000000001</v>
      </c>
      <c r="AV26" s="201">
        <f t="shared" si="32"/>
        <v>159</v>
      </c>
      <c r="AW26" s="5">
        <v>2.9</v>
      </c>
      <c r="AX26" s="201">
        <f t="shared" si="33"/>
        <v>97</v>
      </c>
      <c r="AY26" s="425">
        <f t="shared" si="6"/>
        <v>81</v>
      </c>
      <c r="AZ26" s="425">
        <f t="shared" si="34"/>
        <v>174.9</v>
      </c>
      <c r="BA26" s="425">
        <f t="shared" si="35"/>
        <v>281.3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7"/>
        <v>0</v>
      </c>
      <c r="BG26" s="82">
        <f t="shared" si="8"/>
        <v>0</v>
      </c>
    </row>
    <row r="27" spans="1:61" ht="15" thickBot="1">
      <c r="A27" s="6">
        <f>ELEC!C25</f>
        <v>44369</v>
      </c>
      <c r="B27" s="5">
        <f t="shared" si="9"/>
        <v>109443</v>
      </c>
      <c r="C27" s="5">
        <f t="shared" si="10"/>
        <v>0</v>
      </c>
      <c r="D27" s="418">
        <f t="shared" si="11"/>
        <v>0</v>
      </c>
      <c r="E27" s="332">
        <f>SUM((C27*$E$4)+(7500/'EDl log'!$A$37))</f>
        <v>250</v>
      </c>
      <c r="F27" s="326"/>
      <c r="G27" s="5">
        <f t="shared" si="12"/>
        <v>620421</v>
      </c>
      <c r="H27" s="5">
        <f t="shared" si="13"/>
        <v>0</v>
      </c>
      <c r="I27" s="5">
        <f t="shared" si="0"/>
        <v>0</v>
      </c>
      <c r="J27" s="333">
        <f t="shared" si="1"/>
        <v>0</v>
      </c>
      <c r="K27" s="5">
        <f>'Swimming Pool quality check '!H27</f>
        <v>6775</v>
      </c>
      <c r="L27" s="274">
        <f t="shared" si="41"/>
        <v>0</v>
      </c>
      <c r="M27" s="409">
        <f t="shared" si="14"/>
        <v>457.44</v>
      </c>
      <c r="N27" s="510">
        <f t="shared" si="44"/>
        <v>0</v>
      </c>
      <c r="O27" s="409">
        <f t="shared" si="15"/>
        <v>529.52</v>
      </c>
      <c r="P27" s="510">
        <f t="shared" si="45"/>
        <v>0</v>
      </c>
      <c r="Q27" s="510">
        <f t="shared" si="46"/>
        <v>0</v>
      </c>
      <c r="R27" s="512"/>
      <c r="S27" s="512"/>
      <c r="T27" s="5">
        <f t="shared" si="16"/>
        <v>5172</v>
      </c>
      <c r="U27" s="5">
        <f t="shared" si="4"/>
        <v>0</v>
      </c>
      <c r="V27" s="5">
        <f t="shared" si="17"/>
        <v>474</v>
      </c>
      <c r="W27" s="323">
        <f t="shared" si="18"/>
        <v>0</v>
      </c>
      <c r="X27" s="5">
        <f t="shared" si="19"/>
        <v>152036</v>
      </c>
      <c r="Y27" s="323">
        <f>SUM(X27-X26)</f>
        <v>0</v>
      </c>
      <c r="Z27" s="5">
        <f t="shared" si="20"/>
        <v>98847</v>
      </c>
      <c r="AA27" s="83">
        <f t="shared" si="21"/>
        <v>0</v>
      </c>
      <c r="AB27" s="5">
        <f t="shared" si="22"/>
        <v>261</v>
      </c>
      <c r="AC27" s="5">
        <f t="shared" si="23"/>
        <v>731</v>
      </c>
      <c r="AD27" s="83">
        <f t="shared" si="39"/>
        <v>0</v>
      </c>
      <c r="AE27" s="5">
        <f t="shared" si="24"/>
        <v>229.81</v>
      </c>
      <c r="AF27" s="83">
        <f t="shared" si="25"/>
        <v>0</v>
      </c>
      <c r="AG27" s="5">
        <f t="shared" si="26"/>
        <v>2205.98</v>
      </c>
      <c r="AH27" s="83">
        <f t="shared" si="27"/>
        <v>0</v>
      </c>
      <c r="AI27" s="83">
        <f t="shared" si="28"/>
        <v>0</v>
      </c>
      <c r="AJ27" s="325">
        <f t="shared" si="29"/>
        <v>0</v>
      </c>
      <c r="AK27" s="326">
        <f t="shared" si="40"/>
        <v>0</v>
      </c>
      <c r="AL27" s="326">
        <f t="shared" si="30"/>
        <v>0</v>
      </c>
      <c r="AM27" s="326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1"/>
        <v>44369</v>
      </c>
      <c r="AS27" s="423">
        <f t="shared" si="48"/>
        <v>0.9</v>
      </c>
      <c r="AT27" s="201">
        <f t="shared" si="48"/>
        <v>90</v>
      </c>
      <c r="AU27" s="424">
        <f t="shared" si="43"/>
        <v>1.1000000000000001</v>
      </c>
      <c r="AV27" s="201">
        <f t="shared" si="32"/>
        <v>159</v>
      </c>
      <c r="AW27" s="5">
        <v>2.9</v>
      </c>
      <c r="AX27" s="201">
        <f t="shared" si="33"/>
        <v>97</v>
      </c>
      <c r="AY27" s="425">
        <f t="shared" si="6"/>
        <v>81</v>
      </c>
      <c r="AZ27" s="425">
        <f t="shared" si="34"/>
        <v>174.9</v>
      </c>
      <c r="BA27" s="425">
        <f t="shared" si="35"/>
        <v>281.3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7"/>
        <v>0</v>
      </c>
      <c r="BG27" s="82">
        <f t="shared" si="8"/>
        <v>0</v>
      </c>
    </row>
    <row r="28" spans="1:61" ht="15" thickBot="1">
      <c r="A28" s="6">
        <f>ELEC!C26</f>
        <v>44370</v>
      </c>
      <c r="B28" s="5">
        <f t="shared" si="9"/>
        <v>109443</v>
      </c>
      <c r="C28" s="5">
        <f t="shared" si="10"/>
        <v>0</v>
      </c>
      <c r="D28" s="418">
        <f t="shared" si="11"/>
        <v>0</v>
      </c>
      <c r="E28" s="332">
        <f>SUM((C28*$E$4)+(7500/'EDl log'!$A$37))</f>
        <v>250</v>
      </c>
      <c r="F28" s="326"/>
      <c r="G28" s="5">
        <f t="shared" si="12"/>
        <v>620421</v>
      </c>
      <c r="H28" s="5">
        <f t="shared" si="13"/>
        <v>0</v>
      </c>
      <c r="I28" s="5">
        <f t="shared" si="0"/>
        <v>0</v>
      </c>
      <c r="J28" s="333">
        <f t="shared" si="1"/>
        <v>0</v>
      </c>
      <c r="K28" s="5">
        <f>'Swimming Pool quality check '!H28</f>
        <v>6775</v>
      </c>
      <c r="L28" s="274">
        <f t="shared" si="41"/>
        <v>0</v>
      </c>
      <c r="M28" s="409">
        <f t="shared" si="14"/>
        <v>457.44</v>
      </c>
      <c r="N28" s="510">
        <f t="shared" si="44"/>
        <v>0</v>
      </c>
      <c r="O28" s="409">
        <f t="shared" si="15"/>
        <v>529.52</v>
      </c>
      <c r="P28" s="510">
        <f t="shared" si="45"/>
        <v>0</v>
      </c>
      <c r="Q28" s="510">
        <f t="shared" si="46"/>
        <v>0</v>
      </c>
      <c r="R28" s="512"/>
      <c r="S28" s="512"/>
      <c r="T28" s="5">
        <f t="shared" si="16"/>
        <v>5172</v>
      </c>
      <c r="U28" s="5">
        <f t="shared" si="4"/>
        <v>0</v>
      </c>
      <c r="V28" s="5">
        <f t="shared" si="17"/>
        <v>474</v>
      </c>
      <c r="W28" s="323">
        <f t="shared" si="18"/>
        <v>0</v>
      </c>
      <c r="X28" s="5">
        <f t="shared" si="19"/>
        <v>152036</v>
      </c>
      <c r="Y28" s="323">
        <f t="shared" si="42"/>
        <v>0</v>
      </c>
      <c r="Z28" s="5">
        <f t="shared" si="20"/>
        <v>98847</v>
      </c>
      <c r="AA28" s="83">
        <f t="shared" si="21"/>
        <v>0</v>
      </c>
      <c r="AB28" s="5">
        <f t="shared" si="22"/>
        <v>261</v>
      </c>
      <c r="AC28" s="5">
        <f t="shared" si="23"/>
        <v>731</v>
      </c>
      <c r="AD28" s="83">
        <f t="shared" si="39"/>
        <v>0</v>
      </c>
      <c r="AE28" s="5">
        <f t="shared" si="24"/>
        <v>229.81</v>
      </c>
      <c r="AF28" s="83">
        <f t="shared" si="25"/>
        <v>0</v>
      </c>
      <c r="AG28" s="5">
        <f t="shared" si="26"/>
        <v>2205.98</v>
      </c>
      <c r="AH28" s="83">
        <f t="shared" si="27"/>
        <v>0</v>
      </c>
      <c r="AI28" s="83">
        <f t="shared" si="28"/>
        <v>0</v>
      </c>
      <c r="AJ28" s="325">
        <f t="shared" si="29"/>
        <v>0</v>
      </c>
      <c r="AK28" s="326">
        <f t="shared" si="40"/>
        <v>0</v>
      </c>
      <c r="AL28" s="326">
        <f t="shared" si="30"/>
        <v>0</v>
      </c>
      <c r="AM28" s="326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1"/>
        <v>44370</v>
      </c>
      <c r="AS28" s="423">
        <f t="shared" si="48"/>
        <v>0.9</v>
      </c>
      <c r="AT28" s="201">
        <f t="shared" si="48"/>
        <v>90</v>
      </c>
      <c r="AU28" s="424">
        <f t="shared" si="43"/>
        <v>1.1000000000000001</v>
      </c>
      <c r="AV28" s="201">
        <f t="shared" si="32"/>
        <v>159</v>
      </c>
      <c r="AW28" s="5">
        <v>2.9</v>
      </c>
      <c r="AX28" s="201">
        <f t="shared" si="33"/>
        <v>97</v>
      </c>
      <c r="AY28" s="425">
        <f t="shared" si="6"/>
        <v>81</v>
      </c>
      <c r="AZ28" s="425">
        <f t="shared" si="34"/>
        <v>174.9</v>
      </c>
      <c r="BA28" s="425">
        <f t="shared" si="35"/>
        <v>281.3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7"/>
        <v>0</v>
      </c>
      <c r="BG28" s="82">
        <f t="shared" si="8"/>
        <v>0</v>
      </c>
    </row>
    <row r="29" spans="1:61" ht="15" thickBot="1">
      <c r="A29" s="6">
        <f>ELEC!C27</f>
        <v>44371</v>
      </c>
      <c r="B29" s="5">
        <f t="shared" si="9"/>
        <v>109443</v>
      </c>
      <c r="C29" s="5">
        <f t="shared" si="10"/>
        <v>0</v>
      </c>
      <c r="D29" s="418">
        <f t="shared" si="11"/>
        <v>0</v>
      </c>
      <c r="E29" s="332">
        <f>SUM((C29*$E$4)+(7500/'EDl log'!$A$37))</f>
        <v>250</v>
      </c>
      <c r="F29" s="326"/>
      <c r="G29" s="5">
        <f t="shared" si="12"/>
        <v>620421</v>
      </c>
      <c r="H29" s="5">
        <f t="shared" si="13"/>
        <v>0</v>
      </c>
      <c r="I29" s="5">
        <f t="shared" si="0"/>
        <v>0</v>
      </c>
      <c r="J29" s="333">
        <f t="shared" si="1"/>
        <v>0</v>
      </c>
      <c r="K29" s="5">
        <f>'Swimming Pool quality check '!H29</f>
        <v>6775</v>
      </c>
      <c r="L29" s="274">
        <f t="shared" si="41"/>
        <v>0</v>
      </c>
      <c r="M29" s="409">
        <f t="shared" si="14"/>
        <v>457.44</v>
      </c>
      <c r="N29" s="510">
        <f t="shared" si="44"/>
        <v>0</v>
      </c>
      <c r="O29" s="409">
        <f t="shared" si="15"/>
        <v>529.52</v>
      </c>
      <c r="P29" s="510">
        <f t="shared" si="45"/>
        <v>0</v>
      </c>
      <c r="Q29" s="510">
        <f t="shared" si="46"/>
        <v>0</v>
      </c>
      <c r="R29" s="512"/>
      <c r="S29" s="512"/>
      <c r="T29" s="5">
        <f t="shared" si="16"/>
        <v>5172</v>
      </c>
      <c r="U29" s="5">
        <f t="shared" si="4"/>
        <v>0</v>
      </c>
      <c r="V29" s="5">
        <f t="shared" si="17"/>
        <v>474</v>
      </c>
      <c r="W29" s="323">
        <f t="shared" si="18"/>
        <v>0</v>
      </c>
      <c r="X29" s="5">
        <f t="shared" si="19"/>
        <v>152036</v>
      </c>
      <c r="Y29" s="323">
        <f t="shared" si="42"/>
        <v>0</v>
      </c>
      <c r="Z29" s="5">
        <f t="shared" si="20"/>
        <v>98847</v>
      </c>
      <c r="AA29" s="83">
        <f t="shared" si="21"/>
        <v>0</v>
      </c>
      <c r="AB29" s="5">
        <f t="shared" si="22"/>
        <v>261</v>
      </c>
      <c r="AC29" s="5">
        <f t="shared" si="23"/>
        <v>731</v>
      </c>
      <c r="AD29" s="83">
        <f t="shared" si="39"/>
        <v>0</v>
      </c>
      <c r="AE29" s="5">
        <f t="shared" si="24"/>
        <v>229.81</v>
      </c>
      <c r="AF29" s="83">
        <f t="shared" si="25"/>
        <v>0</v>
      </c>
      <c r="AG29" s="5">
        <f t="shared" si="26"/>
        <v>2205.98</v>
      </c>
      <c r="AH29" s="83">
        <f t="shared" si="27"/>
        <v>0</v>
      </c>
      <c r="AI29" s="83">
        <f t="shared" si="28"/>
        <v>0</v>
      </c>
      <c r="AJ29" s="325">
        <f t="shared" si="29"/>
        <v>0</v>
      </c>
      <c r="AK29" s="326">
        <f t="shared" si="40"/>
        <v>0</v>
      </c>
      <c r="AL29" s="326">
        <f t="shared" si="30"/>
        <v>0</v>
      </c>
      <c r="AM29" s="326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1"/>
        <v>44371</v>
      </c>
      <c r="AS29" s="423">
        <f t="shared" si="48"/>
        <v>0.9</v>
      </c>
      <c r="AT29" s="201">
        <f t="shared" si="48"/>
        <v>90</v>
      </c>
      <c r="AU29" s="424">
        <f t="shared" si="43"/>
        <v>1.1000000000000001</v>
      </c>
      <c r="AV29" s="201">
        <f t="shared" si="32"/>
        <v>159</v>
      </c>
      <c r="AW29" s="5">
        <v>2.9</v>
      </c>
      <c r="AX29" s="201">
        <f t="shared" si="33"/>
        <v>97</v>
      </c>
      <c r="AY29" s="425">
        <f t="shared" si="6"/>
        <v>81</v>
      </c>
      <c r="AZ29" s="425">
        <f t="shared" si="34"/>
        <v>174.9</v>
      </c>
      <c r="BA29" s="425">
        <f t="shared" si="35"/>
        <v>281.3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7"/>
        <v>0</v>
      </c>
      <c r="BG29" s="82">
        <f t="shared" si="8"/>
        <v>0</v>
      </c>
    </row>
    <row r="30" spans="1:61" ht="15" thickBot="1">
      <c r="A30" s="6">
        <f>ELEC!C28</f>
        <v>44372</v>
      </c>
      <c r="B30" s="5">
        <f t="shared" si="9"/>
        <v>109443</v>
      </c>
      <c r="C30" s="5">
        <f t="shared" si="10"/>
        <v>0</v>
      </c>
      <c r="D30" s="418">
        <f t="shared" si="11"/>
        <v>0</v>
      </c>
      <c r="E30" s="332">
        <f>SUM((C30*$E$4)+(7500/'EDl log'!$A$37))</f>
        <v>250</v>
      </c>
      <c r="F30" s="326"/>
      <c r="G30" s="5">
        <f t="shared" si="12"/>
        <v>620421</v>
      </c>
      <c r="H30" s="5">
        <f t="shared" si="13"/>
        <v>0</v>
      </c>
      <c r="I30" s="5">
        <f t="shared" si="0"/>
        <v>0</v>
      </c>
      <c r="J30" s="333">
        <f t="shared" si="1"/>
        <v>0</v>
      </c>
      <c r="K30" s="5">
        <f>'Swimming Pool quality check '!H30</f>
        <v>6775</v>
      </c>
      <c r="L30" s="274">
        <f t="shared" si="41"/>
        <v>0</v>
      </c>
      <c r="M30" s="409">
        <f t="shared" si="14"/>
        <v>457.44</v>
      </c>
      <c r="N30" s="510">
        <f t="shared" si="44"/>
        <v>0</v>
      </c>
      <c r="O30" s="409">
        <f t="shared" si="15"/>
        <v>529.52</v>
      </c>
      <c r="P30" s="510">
        <f t="shared" si="45"/>
        <v>0</v>
      </c>
      <c r="Q30" s="510">
        <f t="shared" si="46"/>
        <v>0</v>
      </c>
      <c r="R30" s="512"/>
      <c r="S30" s="512"/>
      <c r="T30" s="5">
        <f t="shared" si="16"/>
        <v>5172</v>
      </c>
      <c r="U30" s="5">
        <f t="shared" si="4"/>
        <v>0</v>
      </c>
      <c r="V30" s="5">
        <f t="shared" si="17"/>
        <v>474</v>
      </c>
      <c r="W30" s="323">
        <f t="shared" si="18"/>
        <v>0</v>
      </c>
      <c r="X30" s="5">
        <f t="shared" si="19"/>
        <v>152036</v>
      </c>
      <c r="Y30" s="323">
        <f t="shared" si="42"/>
        <v>0</v>
      </c>
      <c r="Z30" s="5">
        <f t="shared" si="20"/>
        <v>98847</v>
      </c>
      <c r="AA30" s="83">
        <f t="shared" si="21"/>
        <v>0</v>
      </c>
      <c r="AB30" s="5">
        <f t="shared" si="22"/>
        <v>261</v>
      </c>
      <c r="AC30" s="5">
        <f t="shared" si="23"/>
        <v>731</v>
      </c>
      <c r="AD30" s="83">
        <f t="shared" si="39"/>
        <v>0</v>
      </c>
      <c r="AE30" s="5">
        <f t="shared" si="24"/>
        <v>229.81</v>
      </c>
      <c r="AF30" s="83">
        <f t="shared" si="25"/>
        <v>0</v>
      </c>
      <c r="AG30" s="5">
        <f t="shared" si="26"/>
        <v>2205.98</v>
      </c>
      <c r="AH30" s="83">
        <f t="shared" si="27"/>
        <v>0</v>
      </c>
      <c r="AI30" s="83">
        <f t="shared" si="28"/>
        <v>0</v>
      </c>
      <c r="AJ30" s="325">
        <f t="shared" si="29"/>
        <v>0</v>
      </c>
      <c r="AK30" s="326">
        <f t="shared" si="40"/>
        <v>0</v>
      </c>
      <c r="AL30" s="326">
        <f t="shared" si="30"/>
        <v>0</v>
      </c>
      <c r="AM30" s="326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1"/>
        <v>44372</v>
      </c>
      <c r="AS30" s="423">
        <f t="shared" si="48"/>
        <v>0.9</v>
      </c>
      <c r="AT30" s="201">
        <f t="shared" si="48"/>
        <v>90</v>
      </c>
      <c r="AU30" s="424">
        <f t="shared" si="43"/>
        <v>1.1000000000000001</v>
      </c>
      <c r="AV30" s="201">
        <f t="shared" si="32"/>
        <v>159</v>
      </c>
      <c r="AW30" s="5">
        <v>2.9</v>
      </c>
      <c r="AX30" s="201">
        <f t="shared" si="33"/>
        <v>97</v>
      </c>
      <c r="AY30" s="425">
        <f t="shared" si="6"/>
        <v>81</v>
      </c>
      <c r="AZ30" s="425">
        <f t="shared" si="34"/>
        <v>174.9</v>
      </c>
      <c r="BA30" s="425">
        <f t="shared" si="35"/>
        <v>281.3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7"/>
        <v>0</v>
      </c>
      <c r="BG30" s="82">
        <f t="shared" si="8"/>
        <v>0</v>
      </c>
    </row>
    <row r="31" spans="1:61" ht="15" thickBot="1">
      <c r="A31" s="6">
        <f>ELEC!C29</f>
        <v>44373</v>
      </c>
      <c r="B31" s="5">
        <f t="shared" si="9"/>
        <v>109443</v>
      </c>
      <c r="C31" s="5">
        <f t="shared" si="10"/>
        <v>0</v>
      </c>
      <c r="D31" s="418">
        <f t="shared" si="11"/>
        <v>0</v>
      </c>
      <c r="E31" s="332">
        <f>SUM((C31*$E$4)+(7500/'EDl log'!$A$37))</f>
        <v>250</v>
      </c>
      <c r="F31" s="326"/>
      <c r="G31" s="5">
        <f t="shared" si="12"/>
        <v>620421</v>
      </c>
      <c r="H31" s="5">
        <f t="shared" si="13"/>
        <v>0</v>
      </c>
      <c r="I31" s="5">
        <f t="shared" si="0"/>
        <v>0</v>
      </c>
      <c r="J31" s="333">
        <f t="shared" si="1"/>
        <v>0</v>
      </c>
      <c r="K31" s="5">
        <f>'Swimming Pool quality check '!H31</f>
        <v>6775</v>
      </c>
      <c r="L31" s="274">
        <f t="shared" si="41"/>
        <v>0</v>
      </c>
      <c r="M31" s="409">
        <f t="shared" si="14"/>
        <v>457.44</v>
      </c>
      <c r="N31" s="510">
        <f t="shared" si="44"/>
        <v>0</v>
      </c>
      <c r="O31" s="409">
        <f t="shared" si="15"/>
        <v>529.52</v>
      </c>
      <c r="P31" s="510">
        <f t="shared" si="45"/>
        <v>0</v>
      </c>
      <c r="Q31" s="510">
        <f t="shared" si="46"/>
        <v>0</v>
      </c>
      <c r="R31" s="512"/>
      <c r="S31" s="512"/>
      <c r="T31" s="5">
        <f t="shared" si="16"/>
        <v>5172</v>
      </c>
      <c r="U31" s="5">
        <f t="shared" si="4"/>
        <v>0</v>
      </c>
      <c r="V31" s="5">
        <f t="shared" si="17"/>
        <v>474</v>
      </c>
      <c r="W31" s="323">
        <f t="shared" si="18"/>
        <v>0</v>
      </c>
      <c r="X31" s="5">
        <f t="shared" si="19"/>
        <v>152036</v>
      </c>
      <c r="Y31" s="323">
        <f t="shared" si="42"/>
        <v>0</v>
      </c>
      <c r="Z31" s="5">
        <f t="shared" si="20"/>
        <v>98847</v>
      </c>
      <c r="AA31" s="83">
        <f t="shared" si="21"/>
        <v>0</v>
      </c>
      <c r="AB31" s="5">
        <f t="shared" si="22"/>
        <v>261</v>
      </c>
      <c r="AC31" s="5">
        <f t="shared" si="23"/>
        <v>731</v>
      </c>
      <c r="AD31" s="83">
        <f t="shared" si="39"/>
        <v>0</v>
      </c>
      <c r="AE31" s="5">
        <f t="shared" si="24"/>
        <v>229.81</v>
      </c>
      <c r="AF31" s="83">
        <f t="shared" si="25"/>
        <v>0</v>
      </c>
      <c r="AG31" s="5">
        <f t="shared" si="26"/>
        <v>2205.98</v>
      </c>
      <c r="AH31" s="83">
        <f>AG31-AG30</f>
        <v>0</v>
      </c>
      <c r="AI31" s="83">
        <f>AF31+AH31</f>
        <v>0</v>
      </c>
      <c r="AJ31" s="325">
        <f t="shared" si="29"/>
        <v>0</v>
      </c>
      <c r="AK31" s="326">
        <f t="shared" si="40"/>
        <v>0</v>
      </c>
      <c r="AL31" s="326">
        <f t="shared" si="30"/>
        <v>0</v>
      </c>
      <c r="AM31" s="326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1"/>
        <v>44373</v>
      </c>
      <c r="AS31" s="423">
        <f t="shared" si="48"/>
        <v>0.9</v>
      </c>
      <c r="AT31" s="201">
        <f t="shared" si="48"/>
        <v>90</v>
      </c>
      <c r="AU31" s="424">
        <f t="shared" si="43"/>
        <v>1.1000000000000001</v>
      </c>
      <c r="AV31" s="201">
        <f t="shared" si="32"/>
        <v>159</v>
      </c>
      <c r="AW31" s="5">
        <v>2.9</v>
      </c>
      <c r="AX31" s="201">
        <f t="shared" si="33"/>
        <v>97</v>
      </c>
      <c r="AY31" s="425">
        <f t="shared" si="6"/>
        <v>81</v>
      </c>
      <c r="AZ31" s="425">
        <f t="shared" si="34"/>
        <v>174.9</v>
      </c>
      <c r="BA31" s="425">
        <f t="shared" si="35"/>
        <v>281.3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7"/>
        <v>0</v>
      </c>
      <c r="BG31" s="82">
        <f t="shared" si="8"/>
        <v>0</v>
      </c>
    </row>
    <row r="32" spans="1:61" ht="15" thickBot="1">
      <c r="A32" s="6">
        <f>ELEC!C30</f>
        <v>44374</v>
      </c>
      <c r="B32" s="5">
        <f t="shared" si="9"/>
        <v>109443</v>
      </c>
      <c r="C32" s="5">
        <f t="shared" si="10"/>
        <v>0</v>
      </c>
      <c r="D32" s="418">
        <f t="shared" si="11"/>
        <v>0</v>
      </c>
      <c r="E32" s="332">
        <f>SUM((C32*$E$4)+(7500/'EDl log'!$A$37))</f>
        <v>250</v>
      </c>
      <c r="F32" s="326"/>
      <c r="G32" s="5">
        <f t="shared" si="12"/>
        <v>620421</v>
      </c>
      <c r="H32" s="5">
        <f t="shared" si="13"/>
        <v>0</v>
      </c>
      <c r="I32" s="5">
        <f t="shared" si="0"/>
        <v>0</v>
      </c>
      <c r="J32" s="333">
        <f t="shared" si="1"/>
        <v>0</v>
      </c>
      <c r="K32" s="5">
        <f>'Swimming Pool quality check '!H32</f>
        <v>6775</v>
      </c>
      <c r="L32" s="274">
        <f t="shared" si="41"/>
        <v>0</v>
      </c>
      <c r="M32" s="409">
        <f t="shared" si="14"/>
        <v>457.44</v>
      </c>
      <c r="N32" s="510">
        <f t="shared" si="44"/>
        <v>0</v>
      </c>
      <c r="O32" s="409">
        <f t="shared" si="15"/>
        <v>529.52</v>
      </c>
      <c r="P32" s="510">
        <f t="shared" si="45"/>
        <v>0</v>
      </c>
      <c r="Q32" s="510">
        <f t="shared" si="46"/>
        <v>0</v>
      </c>
      <c r="R32" s="512"/>
      <c r="S32" s="512"/>
      <c r="T32" s="5">
        <f t="shared" si="16"/>
        <v>5172</v>
      </c>
      <c r="U32" s="5">
        <f t="shared" si="4"/>
        <v>0</v>
      </c>
      <c r="V32" s="5">
        <f t="shared" si="17"/>
        <v>474</v>
      </c>
      <c r="W32" s="323">
        <f t="shared" si="18"/>
        <v>0</v>
      </c>
      <c r="X32" s="5">
        <f t="shared" si="19"/>
        <v>152036</v>
      </c>
      <c r="Y32" s="323">
        <f t="shared" si="42"/>
        <v>0</v>
      </c>
      <c r="Z32" s="5">
        <f t="shared" si="20"/>
        <v>98847</v>
      </c>
      <c r="AA32" s="83">
        <f t="shared" si="21"/>
        <v>0</v>
      </c>
      <c r="AB32" s="5">
        <f t="shared" si="22"/>
        <v>261</v>
      </c>
      <c r="AC32" s="5">
        <f t="shared" si="23"/>
        <v>731</v>
      </c>
      <c r="AD32" s="83">
        <f t="shared" si="39"/>
        <v>0</v>
      </c>
      <c r="AE32" s="5">
        <f t="shared" si="24"/>
        <v>229.81</v>
      </c>
      <c r="AF32" s="83">
        <f t="shared" si="25"/>
        <v>0</v>
      </c>
      <c r="AG32" s="5">
        <f t="shared" si="26"/>
        <v>2205.98</v>
      </c>
      <c r="AH32" s="83">
        <f t="shared" si="27"/>
        <v>0</v>
      </c>
      <c r="AI32" s="83">
        <f t="shared" si="28"/>
        <v>0</v>
      </c>
      <c r="AJ32" s="325">
        <f t="shared" si="29"/>
        <v>0</v>
      </c>
      <c r="AK32" s="326">
        <f t="shared" si="40"/>
        <v>0</v>
      </c>
      <c r="AL32" s="326">
        <f t="shared" si="30"/>
        <v>0</v>
      </c>
      <c r="AM32" s="326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1"/>
        <v>44374</v>
      </c>
      <c r="AS32" s="423">
        <f t="shared" si="48"/>
        <v>0.9</v>
      </c>
      <c r="AT32" s="201">
        <f t="shared" si="48"/>
        <v>90</v>
      </c>
      <c r="AU32" s="424">
        <f t="shared" si="43"/>
        <v>1.1000000000000001</v>
      </c>
      <c r="AV32" s="201">
        <f t="shared" si="32"/>
        <v>159</v>
      </c>
      <c r="AW32" s="5">
        <v>2.9</v>
      </c>
      <c r="AX32" s="201">
        <f t="shared" si="33"/>
        <v>97</v>
      </c>
      <c r="AY32" s="425">
        <f t="shared" si="6"/>
        <v>81</v>
      </c>
      <c r="AZ32" s="425">
        <f t="shared" si="34"/>
        <v>174.9</v>
      </c>
      <c r="BA32" s="425">
        <f t="shared" si="35"/>
        <v>281.3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7"/>
        <v>0</v>
      </c>
      <c r="BG32" s="82">
        <f t="shared" si="8"/>
        <v>0</v>
      </c>
    </row>
    <row r="33" spans="1:59" ht="15" thickBot="1">
      <c r="A33" s="6">
        <f>ELEC!C31</f>
        <v>44375</v>
      </c>
      <c r="B33" s="5">
        <f t="shared" si="9"/>
        <v>109443</v>
      </c>
      <c r="C33" s="5">
        <f t="shared" si="10"/>
        <v>0</v>
      </c>
      <c r="D33" s="418">
        <f t="shared" si="11"/>
        <v>0</v>
      </c>
      <c r="E33" s="332">
        <f>SUM((C33*$E$4)+(7500/'EDl log'!$A$37))</f>
        <v>250</v>
      </c>
      <c r="F33" s="326"/>
      <c r="G33" s="5">
        <f t="shared" si="12"/>
        <v>620421</v>
      </c>
      <c r="H33" s="5">
        <f t="shared" si="13"/>
        <v>0</v>
      </c>
      <c r="I33" s="5">
        <f t="shared" si="0"/>
        <v>0</v>
      </c>
      <c r="J33" s="333">
        <f t="shared" si="1"/>
        <v>0</v>
      </c>
      <c r="K33" s="5">
        <f>'Swimming Pool quality check '!H33</f>
        <v>6775</v>
      </c>
      <c r="L33" s="274">
        <f t="shared" si="41"/>
        <v>0</v>
      </c>
      <c r="M33" s="409">
        <f t="shared" si="14"/>
        <v>457.44</v>
      </c>
      <c r="N33" s="510">
        <f t="shared" si="44"/>
        <v>0</v>
      </c>
      <c r="O33" s="409">
        <f t="shared" si="15"/>
        <v>529.52</v>
      </c>
      <c r="P33" s="510">
        <f t="shared" si="45"/>
        <v>0</v>
      </c>
      <c r="Q33" s="510">
        <f t="shared" si="46"/>
        <v>0</v>
      </c>
      <c r="R33" s="512"/>
      <c r="S33" s="512"/>
      <c r="T33" s="5">
        <f t="shared" si="16"/>
        <v>5172</v>
      </c>
      <c r="U33" s="5">
        <f t="shared" si="4"/>
        <v>0</v>
      </c>
      <c r="V33" s="5">
        <f t="shared" si="17"/>
        <v>474</v>
      </c>
      <c r="W33" s="323">
        <f t="shared" si="18"/>
        <v>0</v>
      </c>
      <c r="X33" s="5">
        <f t="shared" si="19"/>
        <v>152036</v>
      </c>
      <c r="Y33" s="323">
        <f t="shared" si="42"/>
        <v>0</v>
      </c>
      <c r="Z33" s="5">
        <f t="shared" si="20"/>
        <v>98847</v>
      </c>
      <c r="AA33" s="83">
        <f t="shared" si="21"/>
        <v>0</v>
      </c>
      <c r="AB33" s="5">
        <f t="shared" si="22"/>
        <v>261</v>
      </c>
      <c r="AC33" s="5">
        <f t="shared" si="23"/>
        <v>731</v>
      </c>
      <c r="AD33" s="83">
        <f t="shared" si="39"/>
        <v>0</v>
      </c>
      <c r="AE33" s="5">
        <f t="shared" si="24"/>
        <v>229.81</v>
      </c>
      <c r="AF33" s="83">
        <f>AE33-AE32</f>
        <v>0</v>
      </c>
      <c r="AG33" s="5">
        <f t="shared" si="26"/>
        <v>2205.98</v>
      </c>
      <c r="AH33" s="83">
        <f t="shared" si="27"/>
        <v>0</v>
      </c>
      <c r="AI33" s="83">
        <f t="shared" si="28"/>
        <v>0</v>
      </c>
      <c r="AJ33" s="325">
        <f t="shared" si="29"/>
        <v>0</v>
      </c>
      <c r="AK33" s="326">
        <f t="shared" si="40"/>
        <v>0</v>
      </c>
      <c r="AL33" s="326">
        <f t="shared" si="30"/>
        <v>0</v>
      </c>
      <c r="AM33" s="326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1"/>
        <v>44375</v>
      </c>
      <c r="AS33" s="423">
        <f t="shared" si="48"/>
        <v>0.9</v>
      </c>
      <c r="AT33" s="201">
        <f t="shared" si="48"/>
        <v>90</v>
      </c>
      <c r="AU33" s="424">
        <f t="shared" si="43"/>
        <v>1.1000000000000001</v>
      </c>
      <c r="AV33" s="201">
        <f t="shared" si="32"/>
        <v>159</v>
      </c>
      <c r="AW33" s="5">
        <v>2.9</v>
      </c>
      <c r="AX33" s="201">
        <f t="shared" si="33"/>
        <v>97</v>
      </c>
      <c r="AY33" s="425">
        <f t="shared" si="6"/>
        <v>81</v>
      </c>
      <c r="AZ33" s="425">
        <f t="shared" si="34"/>
        <v>174.9</v>
      </c>
      <c r="BA33" s="425">
        <f t="shared" si="35"/>
        <v>281.3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7"/>
        <v>0</v>
      </c>
      <c r="BG33" s="82">
        <f t="shared" si="8"/>
        <v>0</v>
      </c>
    </row>
    <row r="34" spans="1:59" ht="15" thickBot="1">
      <c r="A34" s="6">
        <f>ELEC!C32</f>
        <v>44376</v>
      </c>
      <c r="B34" s="5">
        <f t="shared" si="9"/>
        <v>109443</v>
      </c>
      <c r="C34" s="5">
        <f>B34-B33</f>
        <v>0</v>
      </c>
      <c r="D34" s="418">
        <f>C34/27</f>
        <v>0</v>
      </c>
      <c r="E34" s="332">
        <f>SUM((C34*$E$4)+(7500/'EDl log'!$A$37))</f>
        <v>250</v>
      </c>
      <c r="F34" s="326"/>
      <c r="G34" s="5">
        <f t="shared" si="12"/>
        <v>620421</v>
      </c>
      <c r="H34" s="5">
        <f>G34-G33</f>
        <v>0</v>
      </c>
      <c r="I34" s="5">
        <f>C34+H34</f>
        <v>0</v>
      </c>
      <c r="J34" s="333">
        <f>IF(I34&gt;0,E34/I34,0)</f>
        <v>0</v>
      </c>
      <c r="K34" s="5">
        <f>'Swimming Pool quality check '!H34</f>
        <v>6775</v>
      </c>
      <c r="L34" s="274">
        <f>K34-K33</f>
        <v>0</v>
      </c>
      <c r="M34" s="409">
        <f t="shared" si="14"/>
        <v>457.44</v>
      </c>
      <c r="N34" s="510">
        <f>SUM(M34-M33)</f>
        <v>0</v>
      </c>
      <c r="O34" s="409">
        <f t="shared" si="15"/>
        <v>529.52</v>
      </c>
      <c r="P34" s="510">
        <f>SUM(O34-O33)</f>
        <v>0</v>
      </c>
      <c r="Q34" s="510">
        <f>SUM(P34+N34)</f>
        <v>0</v>
      </c>
      <c r="R34" s="512"/>
      <c r="S34" s="512"/>
      <c r="T34" s="5">
        <f t="shared" si="16"/>
        <v>5172</v>
      </c>
      <c r="U34" s="5">
        <f>SUM(T34-T33)</f>
        <v>0</v>
      </c>
      <c r="V34" s="5">
        <f t="shared" si="17"/>
        <v>474</v>
      </c>
      <c r="W34" s="323">
        <f>+V34-V33</f>
        <v>0</v>
      </c>
      <c r="X34" s="5">
        <f t="shared" si="19"/>
        <v>152036</v>
      </c>
      <c r="Y34" s="323">
        <f>SUM(X34-X33)</f>
        <v>0</v>
      </c>
      <c r="Z34" s="5">
        <f t="shared" si="20"/>
        <v>98847</v>
      </c>
      <c r="AA34" s="83">
        <f>Z34-Z33</f>
        <v>0</v>
      </c>
      <c r="AB34" s="5">
        <f t="shared" si="22"/>
        <v>261</v>
      </c>
      <c r="AC34" s="5">
        <f t="shared" si="23"/>
        <v>731</v>
      </c>
      <c r="AD34" s="83">
        <f>AC34-AC33</f>
        <v>0</v>
      </c>
      <c r="AE34" s="5">
        <f t="shared" si="24"/>
        <v>229.81</v>
      </c>
      <c r="AF34" s="83">
        <f>AE34-AE33</f>
        <v>0</v>
      </c>
      <c r="AG34" s="5">
        <f t="shared" si="26"/>
        <v>2205.98</v>
      </c>
      <c r="AH34" s="83">
        <f>AG34-AG33</f>
        <v>0</v>
      </c>
      <c r="AI34" s="83">
        <f>AF34+AH34</f>
        <v>0</v>
      </c>
      <c r="AJ34" s="325">
        <f>+Z34-Z33</f>
        <v>0</v>
      </c>
      <c r="AK34" s="326">
        <f>SUM(Y34-L34)</f>
        <v>0</v>
      </c>
      <c r="AL34" s="326">
        <f>SUM(AJ34-W34)</f>
        <v>0</v>
      </c>
      <c r="AM34" s="326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>A34</f>
        <v>44376</v>
      </c>
      <c r="AS34" s="423">
        <f>AS33</f>
        <v>0.9</v>
      </c>
      <c r="AT34" s="201">
        <f t="shared" ref="AT34:AT35" si="49">AT33</f>
        <v>90</v>
      </c>
      <c r="AU34" s="424">
        <f>AU33</f>
        <v>1.1000000000000001</v>
      </c>
      <c r="AV34" s="201">
        <f t="shared" si="32"/>
        <v>159</v>
      </c>
      <c r="AW34" s="5">
        <v>2.9</v>
      </c>
      <c r="AX34" s="201">
        <f t="shared" si="33"/>
        <v>97</v>
      </c>
      <c r="AY34" s="425">
        <f t="shared" si="6"/>
        <v>81</v>
      </c>
      <c r="AZ34" s="425">
        <f>AU34*AV34</f>
        <v>174.9</v>
      </c>
      <c r="BA34" s="425">
        <f>AW34*AX34</f>
        <v>281.3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" thickBot="1">
      <c r="A35" s="6">
        <f>ELEC!C33</f>
        <v>44377</v>
      </c>
      <c r="B35" s="5">
        <f t="shared" si="9"/>
        <v>109443</v>
      </c>
      <c r="C35" s="5">
        <f>B35-B34</f>
        <v>0</v>
      </c>
      <c r="D35" s="418">
        <f>C35/27</f>
        <v>0</v>
      </c>
      <c r="E35" s="332">
        <f>SUM((C35*$E$4)+(7500/'EDl log'!$A$37))</f>
        <v>250</v>
      </c>
      <c r="F35" s="326"/>
      <c r="G35" s="5">
        <f t="shared" si="12"/>
        <v>620421</v>
      </c>
      <c r="H35" s="5">
        <f>G35-G34</f>
        <v>0</v>
      </c>
      <c r="I35" s="5">
        <f>C35+H35</f>
        <v>0</v>
      </c>
      <c r="J35" s="333">
        <f>IF(I35&gt;0,E35/I35,0)</f>
        <v>0</v>
      </c>
      <c r="K35" s="5">
        <f>'Swimming Pool quality check '!H35</f>
        <v>6775</v>
      </c>
      <c r="L35" s="274">
        <f>K35-K34</f>
        <v>0</v>
      </c>
      <c r="M35" s="409">
        <f t="shared" si="14"/>
        <v>457.44</v>
      </c>
      <c r="N35" s="510">
        <f>SUM(M35-M34)</f>
        <v>0</v>
      </c>
      <c r="O35" s="409">
        <f t="shared" si="15"/>
        <v>529.52</v>
      </c>
      <c r="P35" s="510">
        <f>SUM(O35-O34)</f>
        <v>0</v>
      </c>
      <c r="Q35" s="510">
        <f>SUM(P35+N35)</f>
        <v>0</v>
      </c>
      <c r="R35" s="512"/>
      <c r="S35" s="512"/>
      <c r="T35" s="5">
        <f t="shared" si="16"/>
        <v>5172</v>
      </c>
      <c r="U35" s="5">
        <f>SUM(T35-T34)</f>
        <v>0</v>
      </c>
      <c r="V35" s="5">
        <f t="shared" si="17"/>
        <v>474</v>
      </c>
      <c r="W35" s="323">
        <f>+V35-V34</f>
        <v>0</v>
      </c>
      <c r="X35" s="5">
        <f t="shared" si="19"/>
        <v>152036</v>
      </c>
      <c r="Y35" s="323">
        <f>SUM(X35-X34)</f>
        <v>0</v>
      </c>
      <c r="Z35" s="5">
        <f t="shared" si="20"/>
        <v>98847</v>
      </c>
      <c r="AA35" s="83">
        <f>Z35-Z34</f>
        <v>0</v>
      </c>
      <c r="AB35" s="5">
        <f t="shared" si="22"/>
        <v>261</v>
      </c>
      <c r="AC35" s="5">
        <f t="shared" si="23"/>
        <v>731</v>
      </c>
      <c r="AD35" s="83">
        <f>AC35-AC34</f>
        <v>0</v>
      </c>
      <c r="AE35" s="5">
        <f t="shared" si="24"/>
        <v>229.81</v>
      </c>
      <c r="AF35" s="83">
        <f>AE35-AE34</f>
        <v>0</v>
      </c>
      <c r="AG35" s="5">
        <f t="shared" si="26"/>
        <v>2205.98</v>
      </c>
      <c r="AH35" s="83">
        <f>AG35-AG34</f>
        <v>0</v>
      </c>
      <c r="AI35" s="83">
        <f>AF35+AH35</f>
        <v>0</v>
      </c>
      <c r="AJ35" s="325">
        <f>+Z35-Z34</f>
        <v>0</v>
      </c>
      <c r="AK35" s="326">
        <f>SUM(Y35-L35)</f>
        <v>0</v>
      </c>
      <c r="AL35" s="326">
        <f>SUM(AJ35-W35)</f>
        <v>0</v>
      </c>
      <c r="AM35" s="326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>A35</f>
        <v>44377</v>
      </c>
      <c r="AS35" s="423">
        <f>AS34</f>
        <v>0.9</v>
      </c>
      <c r="AT35" s="201">
        <f t="shared" si="49"/>
        <v>90</v>
      </c>
      <c r="AU35" s="424">
        <f>AU34</f>
        <v>1.1000000000000001</v>
      </c>
      <c r="AV35" s="201">
        <f t="shared" si="32"/>
        <v>159</v>
      </c>
      <c r="AW35" s="5">
        <v>2.9</v>
      </c>
      <c r="AX35" s="201">
        <f t="shared" si="33"/>
        <v>97</v>
      </c>
      <c r="AY35" s="425">
        <f t="shared" si="6"/>
        <v>81</v>
      </c>
      <c r="AZ35" s="425">
        <f>AU35*AV35</f>
        <v>174.9</v>
      </c>
      <c r="BA35" s="425">
        <f>AW35*AX35</f>
        <v>281.3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1">
        <f>SUM(C6:C35)</f>
        <v>0</v>
      </c>
      <c r="D36" s="321">
        <f>SUM(D6:D35)</f>
        <v>0</v>
      </c>
      <c r="F36" s="413">
        <f>SUM(F6:F35)</f>
        <v>0</v>
      </c>
      <c r="H36" s="411">
        <f>SUM(H6:H35)</f>
        <v>0</v>
      </c>
      <c r="I36" s="411">
        <f>SUM(I6:I35)</f>
        <v>0</v>
      </c>
      <c r="L36" s="268">
        <f>SUM(L7:L35)</f>
        <v>0</v>
      </c>
      <c r="Q36" s="491">
        <f>SUM(Q5:Q35)</f>
        <v>0</v>
      </c>
      <c r="U36" s="408">
        <f>SUM(U6:U35)</f>
        <v>1</v>
      </c>
      <c r="X36" s="322"/>
      <c r="Y36" s="321" t="e">
        <f>SUM(Y6,Y33,Y31,Y29,Y27,Y25,Y23,Y21,Y19,Y17,Y15,Y13,Y11,Y9,Y7,Y34,Y35,#REF!)</f>
        <v>#REF!</v>
      </c>
      <c r="AJ36" s="321">
        <f>SUM(AJ6:AJ35)</f>
        <v>0</v>
      </c>
      <c r="AK36" s="326" t="e">
        <f>SUM(Y36-L36)</f>
        <v>#REF!</v>
      </c>
      <c r="AL36" s="321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1">
        <f>SUM(E6:E33)</f>
        <v>7000</v>
      </c>
      <c r="F37" s="416">
        <f>SUM(F6:F35)</f>
        <v>0</v>
      </c>
      <c r="H37" s="157">
        <v>7500</v>
      </c>
      <c r="I37" s="412" t="e">
        <f>SUM('General information '!G37/WATER!I36)</f>
        <v>#DIV/0!</v>
      </c>
      <c r="L37" s="157"/>
      <c r="O37" s="488">
        <f>SUM(Q36+I36)</f>
        <v>0</v>
      </c>
      <c r="Z37" s="321" t="e">
        <f>SUM(Y36:AJ36)</f>
        <v>#REF!</v>
      </c>
      <c r="AK37" s="326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3">
        <f>SUM(D6:D35)</f>
        <v>0</v>
      </c>
      <c r="F38" s="414">
        <f>SUM(F6:F35)</f>
        <v>0</v>
      </c>
      <c r="G38" s="1">
        <f>SUM(I36)</f>
        <v>0</v>
      </c>
      <c r="H38" s="1">
        <f>SUM(H37+C37)</f>
        <v>7500</v>
      </c>
      <c r="K38" s="1" t="e">
        <f>SUM(H38/G38)</f>
        <v>#DIV/0!</v>
      </c>
      <c r="AJ38" s="321">
        <f>SUM(C37-AK37)</f>
        <v>0</v>
      </c>
      <c r="AM38" s="34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opLeftCell="S1" zoomScale="110" zoomScaleNormal="110" workbookViewId="0">
      <pane ySplit="1" topLeftCell="A2" activePane="bottomLeft" state="frozen"/>
      <selection pane="bottomLeft" activeCell="AI3" sqref="AI3"/>
    </sheetView>
  </sheetViews>
  <sheetFormatPr defaultRowHeight="14.5"/>
  <cols>
    <col min="1" max="1" width="10.1796875" customWidth="1"/>
    <col min="2" max="2" width="10.54296875" bestFit="1" customWidth="1"/>
    <col min="3" max="3" width="7.7265625" bestFit="1" customWidth="1"/>
    <col min="4" max="4" width="10.726562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10.7265625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7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7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7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ELEC!C3</f>
        <v>44347</v>
      </c>
      <c r="B2" s="270">
        <f>[2]GEN!B33</f>
        <v>10123</v>
      </c>
      <c r="C2" s="270">
        <f>[2]GEN!C33</f>
        <v>4</v>
      </c>
      <c r="D2" s="270">
        <f>[2]GEN!D33</f>
        <v>417630</v>
      </c>
      <c r="E2" s="270">
        <f>[2]GEN!E33</f>
        <v>367</v>
      </c>
      <c r="F2" s="270">
        <f>[2]GEN!F33</f>
        <v>91.75</v>
      </c>
      <c r="G2" s="270">
        <f>[2]GEN!G33</f>
        <v>0</v>
      </c>
      <c r="H2" s="270">
        <f>[2]GEN!H33</f>
        <v>10105</v>
      </c>
      <c r="I2" s="270" t="str">
        <f>[2]GEN!I33</f>
        <v>oil change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12259</v>
      </c>
      <c r="S2" s="270">
        <f>[2]GEN!S33</f>
        <v>19</v>
      </c>
      <c r="T2" s="270">
        <f>[2]GEN!T33</f>
        <v>386837</v>
      </c>
      <c r="U2" s="270">
        <f>[2]GEN!U33</f>
        <v>4750</v>
      </c>
      <c r="V2" s="270">
        <f>[2]GEN!V33</f>
        <v>250</v>
      </c>
      <c r="W2" s="270">
        <f>[2]GEN!W33</f>
        <v>0</v>
      </c>
      <c r="X2" s="270">
        <f>[2]GEN!X33</f>
        <v>12342</v>
      </c>
      <c r="Y2" s="270" t="str">
        <f>[2]GEN!Y33</f>
        <v>ok</v>
      </c>
      <c r="Z2" s="270">
        <f>[2]GEN!Z33</f>
        <v>23</v>
      </c>
      <c r="AA2" s="270">
        <f>[2]GEN!AA33</f>
        <v>5117</v>
      </c>
      <c r="AB2" s="270">
        <f>[2]GEN!AB33</f>
        <v>341.75</v>
      </c>
      <c r="AC2" s="270">
        <f>[2]GEN!AC33</f>
        <v>222.47826086956522</v>
      </c>
      <c r="AD2" s="270">
        <f>[2]GEN!AD33</f>
        <v>17174.000000002707</v>
      </c>
      <c r="AE2" s="270">
        <f>[2]GEN!AE33</f>
        <v>746.69565217403067</v>
      </c>
      <c r="AF2" s="270">
        <f>[2]GEN!AF33</f>
        <v>0.46668478260876917</v>
      </c>
      <c r="AG2" s="270">
        <f>[2]GEN!AG33</f>
        <v>149.33913043480612</v>
      </c>
      <c r="AH2" s="270">
        <f>[2]GEN!AH33</f>
        <v>73.139130434759096</v>
      </c>
      <c r="AI2" s="270">
        <f>[2]GEN!AI33</f>
        <v>4420.3122362876165</v>
      </c>
      <c r="AJ2" s="270">
        <f>[2]GEN!AJ33</f>
        <v>0.25738396624472576</v>
      </c>
      <c r="AK2" s="270">
        <f>[2]GEN!AK33</f>
        <v>192.18748853424421</v>
      </c>
    </row>
    <row r="3" spans="1:37" ht="15" thickBot="1">
      <c r="A3" s="4">
        <f>ELEC!C4</f>
        <v>44348</v>
      </c>
      <c r="B3" s="533">
        <v>10129</v>
      </c>
      <c r="C3" s="287">
        <f>B3-B2</f>
        <v>6</v>
      </c>
      <c r="D3" s="534">
        <v>418031</v>
      </c>
      <c r="E3" s="287">
        <f>SUM(D3-D2)</f>
        <v>401</v>
      </c>
      <c r="F3" s="287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7" t="str">
        <f t="shared" ref="I3:I30" si="1">IF(B3-H3&lt;=0,"ok","oil change")</f>
        <v>oil change</v>
      </c>
      <c r="J3" s="534">
        <f>J2</f>
        <v>10698</v>
      </c>
      <c r="K3" s="287">
        <f t="shared" ref="K3:K30" si="2">J3-J2</f>
        <v>0</v>
      </c>
      <c r="L3" s="534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534">
        <v>12265</v>
      </c>
      <c r="S3" s="287">
        <f t="shared" ref="S3:S30" si="4">R3-R2</f>
        <v>6</v>
      </c>
      <c r="T3" s="534">
        <v>369839</v>
      </c>
      <c r="U3" s="287">
        <f>V3*S3</f>
        <v>1500</v>
      </c>
      <c r="V3" s="287">
        <v>250</v>
      </c>
      <c r="W3" s="270">
        <f>[5]GEN!W32</f>
        <v>0</v>
      </c>
      <c r="X3" s="288">
        <f>X2</f>
        <v>12342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1901</v>
      </c>
      <c r="AB3" s="287">
        <f>V3+N3+F3</f>
        <v>316.83333333333331</v>
      </c>
      <c r="AC3" s="287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2">
        <f>SUM(AE3/1600)</f>
        <v>0.49557291666663639</v>
      </c>
      <c r="AG3" s="403">
        <f>SUM(360*AF3)</f>
        <v>178.40624999998909</v>
      </c>
      <c r="AH3" s="403">
        <f>SUM(AC3-AG3)</f>
        <v>-19.989583333322429</v>
      </c>
      <c r="AI3" s="73">
        <f>AD3*AJ3</f>
        <v>2449.0084388184159</v>
      </c>
      <c r="AJ3" s="289">
        <f t="shared" ref="AJ3:AJ32" si="7">305/1185</f>
        <v>0.25738396624472576</v>
      </c>
      <c r="AK3" s="289">
        <f t="shared" ref="AK3:AK32" si="8">AI3/Z3</f>
        <v>204.08403656820133</v>
      </c>
    </row>
    <row r="4" spans="1:37" ht="15" thickBot="1">
      <c r="A4" s="4">
        <f>ELEC!C5</f>
        <v>44349</v>
      </c>
      <c r="B4" s="533">
        <f t="shared" ref="B4:B32" si="9">B3</f>
        <v>10129</v>
      </c>
      <c r="C4" s="287">
        <f t="shared" ref="C4:C30" si="10">B4-B3</f>
        <v>0</v>
      </c>
      <c r="D4" s="534">
        <f t="shared" ref="D4:D32" si="11">D3</f>
        <v>418031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2" si="13">H3</f>
        <v>10105</v>
      </c>
      <c r="I4" s="287" t="str">
        <f t="shared" si="1"/>
        <v>oil change</v>
      </c>
      <c r="J4" s="534">
        <f t="shared" ref="J4:J32" si="14">J3</f>
        <v>10698</v>
      </c>
      <c r="K4" s="287">
        <f t="shared" si="2"/>
        <v>0</v>
      </c>
      <c r="L4" s="534">
        <f t="shared" ref="L4:L32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2" si="18">P3</f>
        <v>10873</v>
      </c>
      <c r="Q4" s="287" t="str">
        <f t="shared" si="3"/>
        <v>ok</v>
      </c>
      <c r="R4" s="534">
        <f t="shared" ref="R4:R32" si="19">R3</f>
        <v>12265</v>
      </c>
      <c r="S4" s="287">
        <f t="shared" si="4"/>
        <v>0</v>
      </c>
      <c r="T4" s="534">
        <f t="shared" ref="T4:T32" si="20">T3</f>
        <v>369839</v>
      </c>
      <c r="U4" s="287">
        <f t="shared" ref="U4:U32" si="21">V4*S4</f>
        <v>0</v>
      </c>
      <c r="V4" s="287">
        <v>250</v>
      </c>
      <c r="W4" s="196"/>
      <c r="X4" s="288">
        <f t="shared" ref="X4:X32" si="22">X3</f>
        <v>12342</v>
      </c>
      <c r="Y4" s="287" t="str">
        <f t="shared" si="5"/>
        <v>ok</v>
      </c>
      <c r="Z4" s="287">
        <f t="shared" si="6"/>
        <v>0</v>
      </c>
      <c r="AA4" s="287">
        <f t="shared" ref="AA4:AA30" si="23">U4+M4+E4</f>
        <v>0</v>
      </c>
      <c r="AB4" s="287">
        <f t="shared" ref="AB4:AB30" si="24">V4+N4+F4</f>
        <v>250</v>
      </c>
      <c r="AC4" s="287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402" t="e">
        <f>SUM(AE4/1600)</f>
        <v>#DIV/0!</v>
      </c>
      <c r="AG4" s="403" t="e">
        <f>SUM(360*AF4)</f>
        <v>#DIV/0!</v>
      </c>
      <c r="AH4" s="403" t="e">
        <f t="shared" ref="AH4:AH30" si="26">SUM(AC4-AG4)</f>
        <v>#DIV/0!</v>
      </c>
      <c r="AI4" s="73">
        <f>AD4*AJ4</f>
        <v>0</v>
      </c>
      <c r="AJ4" s="289">
        <f t="shared" si="7"/>
        <v>0.25738396624472576</v>
      </c>
      <c r="AK4" s="289" t="e">
        <f t="shared" si="8"/>
        <v>#DIV/0!</v>
      </c>
    </row>
    <row r="5" spans="1:37" ht="15" thickBot="1">
      <c r="A5" s="4">
        <f>ELEC!C6</f>
        <v>44350</v>
      </c>
      <c r="B5" s="533">
        <f t="shared" si="9"/>
        <v>10129</v>
      </c>
      <c r="C5" s="287">
        <f t="shared" si="10"/>
        <v>0</v>
      </c>
      <c r="D5" s="534">
        <f t="shared" si="11"/>
        <v>418031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10105</v>
      </c>
      <c r="I5" s="287" t="str">
        <f t="shared" si="1"/>
        <v>oil change</v>
      </c>
      <c r="J5" s="534">
        <f t="shared" si="14"/>
        <v>10698</v>
      </c>
      <c r="K5" s="287">
        <f t="shared" si="2"/>
        <v>0</v>
      </c>
      <c r="L5" s="534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534">
        <f t="shared" si="19"/>
        <v>12265</v>
      </c>
      <c r="S5" s="287">
        <f t="shared" si="4"/>
        <v>0</v>
      </c>
      <c r="T5" s="534">
        <f t="shared" si="20"/>
        <v>369839</v>
      </c>
      <c r="U5" s="287">
        <f t="shared" si="21"/>
        <v>0</v>
      </c>
      <c r="V5" s="287">
        <v>250</v>
      </c>
      <c r="W5" s="196"/>
      <c r="X5" s="288">
        <f t="shared" si="22"/>
        <v>12342</v>
      </c>
      <c r="Y5" s="287" t="str">
        <f t="shared" si="5"/>
        <v>ok</v>
      </c>
      <c r="Z5" s="287">
        <f t="shared" si="6"/>
        <v>0</v>
      </c>
      <c r="AA5" s="287">
        <f t="shared" si="23"/>
        <v>0</v>
      </c>
      <c r="AB5" s="287">
        <f t="shared" si="24"/>
        <v>250</v>
      </c>
      <c r="AC5" s="287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402" t="e">
        <f t="shared" ref="AF5:AG30" si="28">SUM(AE5/1600)</f>
        <v>#DIV/0!</v>
      </c>
      <c r="AG5" s="403" t="e">
        <f t="shared" ref="AG5:AG30" si="29">SUM(320*AF5)</f>
        <v>#DIV/0!</v>
      </c>
      <c r="AH5" s="403" t="e">
        <f t="shared" si="26"/>
        <v>#DIV/0!</v>
      </c>
      <c r="AI5" s="73">
        <f t="shared" ref="AI5:AI30" si="30">AD5*AJ5</f>
        <v>0</v>
      </c>
      <c r="AJ5" s="289">
        <f t="shared" si="7"/>
        <v>0.25738396624472576</v>
      </c>
      <c r="AK5" s="289" t="e">
        <f t="shared" si="8"/>
        <v>#DIV/0!</v>
      </c>
    </row>
    <row r="6" spans="1:37" ht="15" thickBot="1">
      <c r="A6" s="4">
        <f>ELEC!C7</f>
        <v>44351</v>
      </c>
      <c r="B6" s="533">
        <f t="shared" si="9"/>
        <v>10129</v>
      </c>
      <c r="C6" s="287">
        <f t="shared" si="10"/>
        <v>0</v>
      </c>
      <c r="D6" s="534">
        <f t="shared" si="11"/>
        <v>418031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10105</v>
      </c>
      <c r="I6" s="287" t="str">
        <f t="shared" si="1"/>
        <v>oil change</v>
      </c>
      <c r="J6" s="534">
        <f t="shared" si="14"/>
        <v>10698</v>
      </c>
      <c r="K6" s="287">
        <f t="shared" si="2"/>
        <v>0</v>
      </c>
      <c r="L6" s="534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534">
        <f t="shared" si="19"/>
        <v>12265</v>
      </c>
      <c r="S6" s="287">
        <f t="shared" si="4"/>
        <v>0</v>
      </c>
      <c r="T6" s="534">
        <f t="shared" si="20"/>
        <v>369839</v>
      </c>
      <c r="U6" s="287">
        <f>V6*S6</f>
        <v>0</v>
      </c>
      <c r="V6" s="287">
        <v>250</v>
      </c>
      <c r="W6" s="307"/>
      <c r="X6" s="288">
        <f t="shared" si="22"/>
        <v>12342</v>
      </c>
      <c r="Y6" s="287" t="str">
        <f t="shared" si="5"/>
        <v>ok</v>
      </c>
      <c r="Z6" s="287">
        <f t="shared" si="6"/>
        <v>0</v>
      </c>
      <c r="AA6" s="287">
        <f t="shared" si="23"/>
        <v>0</v>
      </c>
      <c r="AB6" s="287">
        <f t="shared" si="24"/>
        <v>250</v>
      </c>
      <c r="AC6" s="287">
        <f t="shared" si="25"/>
        <v>0</v>
      </c>
      <c r="AD6" s="73">
        <f>ELEC!Q7</f>
        <v>0</v>
      </c>
      <c r="AE6" s="73" t="e">
        <f>SUM(AD6/Z6)</f>
        <v>#DIV/0!</v>
      </c>
      <c r="AF6" s="402" t="e">
        <f t="shared" si="28"/>
        <v>#DIV/0!</v>
      </c>
      <c r="AG6" s="403" t="e">
        <f>SUM(320*AF6)</f>
        <v>#DIV/0!</v>
      </c>
      <c r="AH6" s="403" t="e">
        <f t="shared" si="26"/>
        <v>#DIV/0!</v>
      </c>
      <c r="AI6" s="73">
        <f t="shared" si="30"/>
        <v>0</v>
      </c>
      <c r="AJ6" s="289">
        <f t="shared" si="7"/>
        <v>0.25738396624472576</v>
      </c>
      <c r="AK6" s="289" t="e">
        <f t="shared" si="8"/>
        <v>#DIV/0!</v>
      </c>
    </row>
    <row r="7" spans="1:37" ht="15" thickBot="1">
      <c r="A7" s="4">
        <f>ELEC!C8</f>
        <v>44352</v>
      </c>
      <c r="B7" s="533">
        <f t="shared" si="9"/>
        <v>10129</v>
      </c>
      <c r="C7" s="287">
        <f t="shared" si="10"/>
        <v>0</v>
      </c>
      <c r="D7" s="534">
        <f t="shared" si="11"/>
        <v>418031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10105</v>
      </c>
      <c r="I7" s="287" t="str">
        <f t="shared" si="1"/>
        <v>oil change</v>
      </c>
      <c r="J7" s="534">
        <f t="shared" si="14"/>
        <v>10698</v>
      </c>
      <c r="K7" s="287">
        <f t="shared" si="2"/>
        <v>0</v>
      </c>
      <c r="L7" s="534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534">
        <f t="shared" si="19"/>
        <v>12265</v>
      </c>
      <c r="S7" s="287">
        <f t="shared" si="4"/>
        <v>0</v>
      </c>
      <c r="T7" s="534">
        <f t="shared" si="20"/>
        <v>369839</v>
      </c>
      <c r="U7" s="287">
        <f>V7*S7</f>
        <v>0</v>
      </c>
      <c r="V7" s="287">
        <v>250</v>
      </c>
      <c r="W7" s="196"/>
      <c r="X7" s="288">
        <f t="shared" si="22"/>
        <v>12342</v>
      </c>
      <c r="Y7" s="287" t="str">
        <f t="shared" si="5"/>
        <v>ok</v>
      </c>
      <c r="Z7" s="287">
        <f t="shared" si="6"/>
        <v>0</v>
      </c>
      <c r="AA7" s="287">
        <f>U7+M7+E7</f>
        <v>0</v>
      </c>
      <c r="AB7" s="287">
        <f t="shared" si="24"/>
        <v>250</v>
      </c>
      <c r="AC7" s="287">
        <f t="shared" si="25"/>
        <v>0</v>
      </c>
      <c r="AD7" s="73">
        <f>ELEC!Q8</f>
        <v>0</v>
      </c>
      <c r="AE7" s="73" t="e">
        <f t="shared" si="27"/>
        <v>#DIV/0!</v>
      </c>
      <c r="AF7" s="402" t="e">
        <f t="shared" si="28"/>
        <v>#DIV/0!</v>
      </c>
      <c r="AG7" s="402" t="e">
        <f t="shared" si="28"/>
        <v>#DIV/0!</v>
      </c>
      <c r="AH7" s="403" t="e">
        <f t="shared" si="26"/>
        <v>#DIV/0!</v>
      </c>
      <c r="AI7" s="73">
        <f t="shared" si="30"/>
        <v>0</v>
      </c>
      <c r="AJ7" s="289">
        <f t="shared" si="7"/>
        <v>0.25738396624472576</v>
      </c>
      <c r="AK7" s="289" t="e">
        <f t="shared" si="8"/>
        <v>#DIV/0!</v>
      </c>
    </row>
    <row r="8" spans="1:37" ht="15" thickBot="1">
      <c r="A8" s="4">
        <f>ELEC!C9</f>
        <v>44353</v>
      </c>
      <c r="B8" s="533">
        <f t="shared" si="9"/>
        <v>10129</v>
      </c>
      <c r="C8" s="287">
        <f t="shared" si="10"/>
        <v>0</v>
      </c>
      <c r="D8" s="534">
        <f t="shared" si="11"/>
        <v>418031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10105</v>
      </c>
      <c r="I8" s="287" t="str">
        <f t="shared" si="1"/>
        <v>oil change</v>
      </c>
      <c r="J8" s="534">
        <f t="shared" si="14"/>
        <v>10698</v>
      </c>
      <c r="K8" s="287">
        <f t="shared" si="2"/>
        <v>0</v>
      </c>
      <c r="L8" s="534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34">
        <f t="shared" si="19"/>
        <v>12265</v>
      </c>
      <c r="S8" s="287">
        <f t="shared" si="4"/>
        <v>0</v>
      </c>
      <c r="T8" s="534">
        <f t="shared" si="20"/>
        <v>369839</v>
      </c>
      <c r="U8" s="287">
        <f>V8*S8</f>
        <v>0</v>
      </c>
      <c r="V8" s="287">
        <v>250</v>
      </c>
      <c r="W8" s="196"/>
      <c r="X8" s="288">
        <f t="shared" si="22"/>
        <v>12342</v>
      </c>
      <c r="Y8" s="287" t="str">
        <f t="shared" si="5"/>
        <v>ok</v>
      </c>
      <c r="Z8" s="287">
        <f t="shared" si="6"/>
        <v>0</v>
      </c>
      <c r="AA8" s="287">
        <f t="shared" si="23"/>
        <v>0</v>
      </c>
      <c r="AB8" s="287">
        <f t="shared" si="24"/>
        <v>250</v>
      </c>
      <c r="AC8" s="287">
        <f t="shared" si="25"/>
        <v>0</v>
      </c>
      <c r="AD8" s="73">
        <f>ELEC!Q9</f>
        <v>0</v>
      </c>
      <c r="AE8" s="73" t="e">
        <f t="shared" si="27"/>
        <v>#DIV/0!</v>
      </c>
      <c r="AF8" s="402" t="e">
        <f t="shared" si="28"/>
        <v>#DIV/0!</v>
      </c>
      <c r="AG8" s="403" t="e">
        <f t="shared" si="29"/>
        <v>#DIV/0!</v>
      </c>
      <c r="AH8" s="403" t="e">
        <f t="shared" si="26"/>
        <v>#DIV/0!</v>
      </c>
      <c r="AI8" s="73">
        <f t="shared" si="30"/>
        <v>0</v>
      </c>
      <c r="AJ8" s="289">
        <f t="shared" si="7"/>
        <v>0.25738396624472576</v>
      </c>
      <c r="AK8" s="289" t="e">
        <f t="shared" si="8"/>
        <v>#DIV/0!</v>
      </c>
    </row>
    <row r="9" spans="1:37" ht="15" thickBot="1">
      <c r="A9" s="4">
        <f>ELEC!C10</f>
        <v>44354</v>
      </c>
      <c r="B9" s="533">
        <f t="shared" si="9"/>
        <v>10129</v>
      </c>
      <c r="C9" s="287">
        <f t="shared" si="10"/>
        <v>0</v>
      </c>
      <c r="D9" s="534">
        <f t="shared" si="11"/>
        <v>418031</v>
      </c>
      <c r="E9" s="287">
        <f t="shared" si="12"/>
        <v>0</v>
      </c>
      <c r="F9" s="287">
        <f t="shared" si="0"/>
        <v>0</v>
      </c>
      <c r="G9" s="196"/>
      <c r="H9" s="270">
        <f t="shared" si="13"/>
        <v>10105</v>
      </c>
      <c r="I9" s="287" t="str">
        <f t="shared" si="1"/>
        <v>oil change</v>
      </c>
      <c r="J9" s="534">
        <f t="shared" si="14"/>
        <v>10698</v>
      </c>
      <c r="K9" s="287">
        <f t="shared" si="2"/>
        <v>0</v>
      </c>
      <c r="L9" s="534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34">
        <f t="shared" si="19"/>
        <v>12265</v>
      </c>
      <c r="S9" s="287">
        <f t="shared" si="4"/>
        <v>0</v>
      </c>
      <c r="T9" s="534">
        <f t="shared" si="20"/>
        <v>369839</v>
      </c>
      <c r="U9" s="287">
        <f t="shared" si="21"/>
        <v>0</v>
      </c>
      <c r="V9" s="287">
        <v>250</v>
      </c>
      <c r="W9" s="196"/>
      <c r="X9" s="288">
        <f t="shared" si="22"/>
        <v>12342</v>
      </c>
      <c r="Y9" s="287" t="str">
        <f t="shared" si="5"/>
        <v>ok</v>
      </c>
      <c r="Z9" s="287">
        <f t="shared" si="6"/>
        <v>0</v>
      </c>
      <c r="AA9" s="287">
        <f t="shared" si="23"/>
        <v>0</v>
      </c>
      <c r="AB9" s="287">
        <f t="shared" si="24"/>
        <v>250</v>
      </c>
      <c r="AC9" s="287">
        <f t="shared" si="25"/>
        <v>0</v>
      </c>
      <c r="AD9" s="73">
        <f>ELEC!Q10</f>
        <v>0</v>
      </c>
      <c r="AE9" s="73" t="e">
        <f t="shared" si="27"/>
        <v>#DIV/0!</v>
      </c>
      <c r="AF9" s="402" t="e">
        <f t="shared" si="28"/>
        <v>#DIV/0!</v>
      </c>
      <c r="AG9" s="403" t="e">
        <f t="shared" si="29"/>
        <v>#DIV/0!</v>
      </c>
      <c r="AH9" s="403" t="e">
        <f t="shared" si="26"/>
        <v>#DIV/0!</v>
      </c>
      <c r="AI9" s="73">
        <f t="shared" si="30"/>
        <v>0</v>
      </c>
      <c r="AJ9" s="289">
        <f t="shared" si="7"/>
        <v>0.25738396624472576</v>
      </c>
      <c r="AK9" s="289" t="e">
        <f t="shared" si="8"/>
        <v>#DIV/0!</v>
      </c>
    </row>
    <row r="10" spans="1:37" ht="15" thickBot="1">
      <c r="A10" s="4">
        <f>ELEC!C11</f>
        <v>44355</v>
      </c>
      <c r="B10" s="533">
        <f t="shared" si="9"/>
        <v>10129</v>
      </c>
      <c r="C10" s="287">
        <f t="shared" si="10"/>
        <v>0</v>
      </c>
      <c r="D10" s="534">
        <f t="shared" si="11"/>
        <v>418031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10105</v>
      </c>
      <c r="I10" s="287" t="str">
        <f t="shared" si="1"/>
        <v>oil change</v>
      </c>
      <c r="J10" s="534">
        <f t="shared" si="14"/>
        <v>10698</v>
      </c>
      <c r="K10" s="287">
        <f t="shared" si="2"/>
        <v>0</v>
      </c>
      <c r="L10" s="534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34">
        <f t="shared" si="19"/>
        <v>12265</v>
      </c>
      <c r="S10" s="287">
        <f t="shared" si="4"/>
        <v>0</v>
      </c>
      <c r="T10" s="534">
        <f t="shared" si="20"/>
        <v>369839</v>
      </c>
      <c r="U10" s="287">
        <f t="shared" si="21"/>
        <v>0</v>
      </c>
      <c r="V10" s="287">
        <v>250</v>
      </c>
      <c r="W10" s="337"/>
      <c r="X10" s="288">
        <f t="shared" si="22"/>
        <v>12342</v>
      </c>
      <c r="Y10" s="287" t="str">
        <f t="shared" ref="Y10:Y20" si="31">IF(R10-X10&lt;=0,"ok","oil change")</f>
        <v>ok</v>
      </c>
      <c r="Z10" s="287">
        <f t="shared" si="6"/>
        <v>0</v>
      </c>
      <c r="AA10" s="287">
        <f t="shared" si="23"/>
        <v>0</v>
      </c>
      <c r="AB10" s="287">
        <f t="shared" si="24"/>
        <v>250</v>
      </c>
      <c r="AC10" s="287">
        <f t="shared" si="25"/>
        <v>0</v>
      </c>
      <c r="AD10" s="73">
        <f>ELEC!Q11</f>
        <v>0</v>
      </c>
      <c r="AE10" s="73" t="e">
        <f t="shared" si="27"/>
        <v>#DIV/0!</v>
      </c>
      <c r="AF10" s="402" t="e">
        <f t="shared" si="28"/>
        <v>#DIV/0!</v>
      </c>
      <c r="AG10" s="403" t="e">
        <f t="shared" si="29"/>
        <v>#DIV/0!</v>
      </c>
      <c r="AH10" s="403" t="e">
        <f t="shared" si="26"/>
        <v>#DIV/0!</v>
      </c>
      <c r="AI10" s="73">
        <f t="shared" si="30"/>
        <v>0</v>
      </c>
      <c r="AJ10" s="289">
        <f t="shared" si="7"/>
        <v>0.25738396624472576</v>
      </c>
      <c r="AK10" s="289" t="e">
        <f t="shared" si="8"/>
        <v>#DIV/0!</v>
      </c>
    </row>
    <row r="11" spans="1:37" ht="15" thickBot="1">
      <c r="A11" s="4">
        <f>ELEC!C12</f>
        <v>44356</v>
      </c>
      <c r="B11" s="533">
        <f t="shared" si="9"/>
        <v>10129</v>
      </c>
      <c r="C11" s="287">
        <f t="shared" si="10"/>
        <v>0</v>
      </c>
      <c r="D11" s="534">
        <f t="shared" si="11"/>
        <v>418031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10105</v>
      </c>
      <c r="I11" s="287" t="str">
        <f t="shared" si="1"/>
        <v>oil change</v>
      </c>
      <c r="J11" s="534">
        <f t="shared" si="14"/>
        <v>10698</v>
      </c>
      <c r="K11" s="287">
        <f t="shared" si="2"/>
        <v>0</v>
      </c>
      <c r="L11" s="534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34">
        <f t="shared" si="19"/>
        <v>12265</v>
      </c>
      <c r="S11" s="287">
        <f t="shared" si="4"/>
        <v>0</v>
      </c>
      <c r="T11" s="534">
        <f t="shared" si="20"/>
        <v>369839</v>
      </c>
      <c r="U11" s="287">
        <f t="shared" si="21"/>
        <v>0</v>
      </c>
      <c r="V11" s="287">
        <v>250</v>
      </c>
      <c r="W11" s="337"/>
      <c r="X11" s="288">
        <f t="shared" si="22"/>
        <v>12342</v>
      </c>
      <c r="Y11" s="287" t="str">
        <f t="shared" si="31"/>
        <v>ok</v>
      </c>
      <c r="Z11" s="287">
        <f t="shared" si="6"/>
        <v>0</v>
      </c>
      <c r="AA11" s="287">
        <f t="shared" si="23"/>
        <v>0</v>
      </c>
      <c r="AB11" s="287">
        <f t="shared" si="24"/>
        <v>250</v>
      </c>
      <c r="AC11" s="287">
        <f t="shared" si="25"/>
        <v>0</v>
      </c>
      <c r="AD11" s="73">
        <f>ELEC!Q12</f>
        <v>0</v>
      </c>
      <c r="AE11" s="73" t="e">
        <f t="shared" si="27"/>
        <v>#DIV/0!</v>
      </c>
      <c r="AF11" s="402" t="e">
        <f t="shared" si="28"/>
        <v>#DIV/0!</v>
      </c>
      <c r="AG11" s="403" t="e">
        <f t="shared" si="29"/>
        <v>#DIV/0!</v>
      </c>
      <c r="AH11" s="403" t="e">
        <f t="shared" si="26"/>
        <v>#DIV/0!</v>
      </c>
      <c r="AI11" s="73">
        <f t="shared" si="30"/>
        <v>0</v>
      </c>
      <c r="AJ11" s="289">
        <f t="shared" si="7"/>
        <v>0.25738396624472576</v>
      </c>
      <c r="AK11" s="289" t="e">
        <f t="shared" si="8"/>
        <v>#DIV/0!</v>
      </c>
    </row>
    <row r="12" spans="1:37" ht="15" thickBot="1">
      <c r="A12" s="4">
        <f>ELEC!C13</f>
        <v>44357</v>
      </c>
      <c r="B12" s="533">
        <f t="shared" si="9"/>
        <v>10129</v>
      </c>
      <c r="C12" s="287">
        <f t="shared" si="10"/>
        <v>0</v>
      </c>
      <c r="D12" s="534">
        <f t="shared" si="11"/>
        <v>418031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10105</v>
      </c>
      <c r="I12" s="287" t="str">
        <f t="shared" si="1"/>
        <v>oil change</v>
      </c>
      <c r="J12" s="534">
        <f t="shared" si="14"/>
        <v>10698</v>
      </c>
      <c r="K12" s="287">
        <f t="shared" si="2"/>
        <v>0</v>
      </c>
      <c r="L12" s="534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34">
        <f t="shared" si="19"/>
        <v>12265</v>
      </c>
      <c r="S12" s="287">
        <f t="shared" si="4"/>
        <v>0</v>
      </c>
      <c r="T12" s="534">
        <f t="shared" si="20"/>
        <v>369839</v>
      </c>
      <c r="U12" s="287">
        <f t="shared" si="21"/>
        <v>0</v>
      </c>
      <c r="V12" s="287">
        <v>250</v>
      </c>
      <c r="W12" s="337"/>
      <c r="X12" s="288">
        <f t="shared" si="22"/>
        <v>12342</v>
      </c>
      <c r="Y12" s="287" t="str">
        <f t="shared" si="31"/>
        <v>ok</v>
      </c>
      <c r="Z12" s="287">
        <f t="shared" si="6"/>
        <v>0</v>
      </c>
      <c r="AA12" s="287">
        <f t="shared" si="23"/>
        <v>0</v>
      </c>
      <c r="AB12" s="287">
        <f t="shared" si="24"/>
        <v>250</v>
      </c>
      <c r="AC12" s="287">
        <f t="shared" si="25"/>
        <v>0</v>
      </c>
      <c r="AD12" s="73">
        <f>ELEC!Q13</f>
        <v>0</v>
      </c>
      <c r="AE12" s="73" t="e">
        <f t="shared" si="27"/>
        <v>#DIV/0!</v>
      </c>
      <c r="AF12" s="402" t="e">
        <f t="shared" si="28"/>
        <v>#DIV/0!</v>
      </c>
      <c r="AG12" s="403" t="e">
        <f t="shared" si="29"/>
        <v>#DIV/0!</v>
      </c>
      <c r="AH12" s="403" t="e">
        <f t="shared" si="26"/>
        <v>#DIV/0!</v>
      </c>
      <c r="AI12" s="73">
        <f t="shared" si="30"/>
        <v>0</v>
      </c>
      <c r="AJ12" s="289">
        <f t="shared" si="7"/>
        <v>0.25738396624472576</v>
      </c>
      <c r="AK12" s="289" t="e">
        <f t="shared" si="8"/>
        <v>#DIV/0!</v>
      </c>
    </row>
    <row r="13" spans="1:37" ht="15" thickBot="1">
      <c r="A13" s="4">
        <f>ELEC!C14</f>
        <v>44358</v>
      </c>
      <c r="B13" s="533">
        <f t="shared" si="9"/>
        <v>10129</v>
      </c>
      <c r="C13" s="287">
        <f t="shared" si="10"/>
        <v>0</v>
      </c>
      <c r="D13" s="534">
        <f t="shared" si="11"/>
        <v>418031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10105</v>
      </c>
      <c r="I13" s="287" t="str">
        <f t="shared" si="1"/>
        <v>oil change</v>
      </c>
      <c r="J13" s="534">
        <f t="shared" si="14"/>
        <v>10698</v>
      </c>
      <c r="K13" s="287">
        <f t="shared" si="2"/>
        <v>0</v>
      </c>
      <c r="L13" s="534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34">
        <f t="shared" si="19"/>
        <v>12265</v>
      </c>
      <c r="S13" s="287">
        <f t="shared" si="4"/>
        <v>0</v>
      </c>
      <c r="T13" s="534">
        <f t="shared" si="20"/>
        <v>369839</v>
      </c>
      <c r="U13" s="287">
        <f t="shared" si="21"/>
        <v>0</v>
      </c>
      <c r="V13" s="287">
        <v>250</v>
      </c>
      <c r="W13" s="337"/>
      <c r="X13" s="288">
        <f t="shared" si="22"/>
        <v>12342</v>
      </c>
      <c r="Y13" s="287" t="str">
        <f t="shared" si="31"/>
        <v>ok</v>
      </c>
      <c r="Z13" s="287">
        <f t="shared" si="6"/>
        <v>0</v>
      </c>
      <c r="AA13" s="287">
        <f t="shared" si="23"/>
        <v>0</v>
      </c>
      <c r="AB13" s="287">
        <f t="shared" si="24"/>
        <v>250</v>
      </c>
      <c r="AC13" s="287">
        <f t="shared" si="25"/>
        <v>0</v>
      </c>
      <c r="AD13" s="73">
        <f>ELEC!Q14</f>
        <v>0</v>
      </c>
      <c r="AE13" s="73" t="e">
        <f t="shared" si="27"/>
        <v>#DIV/0!</v>
      </c>
      <c r="AF13" s="402" t="e">
        <f t="shared" si="28"/>
        <v>#DIV/0!</v>
      </c>
      <c r="AG13" s="403" t="e">
        <f t="shared" si="29"/>
        <v>#DIV/0!</v>
      </c>
      <c r="AH13" s="403" t="e">
        <f t="shared" si="26"/>
        <v>#DIV/0!</v>
      </c>
      <c r="AI13" s="73">
        <f t="shared" si="30"/>
        <v>0</v>
      </c>
      <c r="AJ13" s="289">
        <f t="shared" si="7"/>
        <v>0.25738396624472576</v>
      </c>
      <c r="AK13" s="289" t="e">
        <f t="shared" si="8"/>
        <v>#DIV/0!</v>
      </c>
    </row>
    <row r="14" spans="1:37" ht="15" thickBot="1">
      <c r="A14" s="4">
        <f>ELEC!C15</f>
        <v>44359</v>
      </c>
      <c r="B14" s="533">
        <f t="shared" si="9"/>
        <v>10129</v>
      </c>
      <c r="C14" s="287">
        <f t="shared" si="10"/>
        <v>0</v>
      </c>
      <c r="D14" s="534">
        <f t="shared" si="11"/>
        <v>418031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10105</v>
      </c>
      <c r="I14" s="287" t="str">
        <f t="shared" si="1"/>
        <v>oil change</v>
      </c>
      <c r="J14" s="534">
        <f t="shared" si="14"/>
        <v>10698</v>
      </c>
      <c r="K14" s="287">
        <f t="shared" si="2"/>
        <v>0</v>
      </c>
      <c r="L14" s="534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34">
        <f t="shared" si="19"/>
        <v>12265</v>
      </c>
      <c r="S14" s="287">
        <f t="shared" si="4"/>
        <v>0</v>
      </c>
      <c r="T14" s="534">
        <f t="shared" si="20"/>
        <v>369839</v>
      </c>
      <c r="U14" s="287">
        <f t="shared" si="21"/>
        <v>0</v>
      </c>
      <c r="V14" s="287">
        <v>250</v>
      </c>
      <c r="W14" s="337"/>
      <c r="X14" s="288">
        <f t="shared" si="22"/>
        <v>12342</v>
      </c>
      <c r="Y14" s="287" t="str">
        <f t="shared" si="31"/>
        <v>ok</v>
      </c>
      <c r="Z14" s="287">
        <f t="shared" si="6"/>
        <v>0</v>
      </c>
      <c r="AA14" s="287">
        <f t="shared" si="23"/>
        <v>0</v>
      </c>
      <c r="AB14" s="287">
        <f t="shared" si="24"/>
        <v>250</v>
      </c>
      <c r="AC14" s="287">
        <f t="shared" si="25"/>
        <v>0</v>
      </c>
      <c r="AD14" s="73">
        <f>ELEC!Q15</f>
        <v>0</v>
      </c>
      <c r="AE14" s="73" t="e">
        <f t="shared" si="27"/>
        <v>#DIV/0!</v>
      </c>
      <c r="AF14" s="402" t="e">
        <f t="shared" si="28"/>
        <v>#DIV/0!</v>
      </c>
      <c r="AG14" s="403" t="e">
        <f t="shared" si="29"/>
        <v>#DIV/0!</v>
      </c>
      <c r="AH14" s="403" t="e">
        <f t="shared" si="26"/>
        <v>#DIV/0!</v>
      </c>
      <c r="AI14" s="73">
        <f t="shared" si="30"/>
        <v>0</v>
      </c>
      <c r="AJ14" s="289">
        <f t="shared" si="7"/>
        <v>0.25738396624472576</v>
      </c>
      <c r="AK14" s="289" t="e">
        <f t="shared" si="8"/>
        <v>#DIV/0!</v>
      </c>
    </row>
    <row r="15" spans="1:37" ht="15" thickBot="1">
      <c r="A15" s="4">
        <f>ELEC!C16</f>
        <v>44360</v>
      </c>
      <c r="B15" s="533">
        <f t="shared" si="9"/>
        <v>10129</v>
      </c>
      <c r="C15" s="287">
        <f t="shared" si="10"/>
        <v>0</v>
      </c>
      <c r="D15" s="534">
        <f t="shared" si="11"/>
        <v>418031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10105</v>
      </c>
      <c r="I15" s="287" t="str">
        <f t="shared" si="1"/>
        <v>oil change</v>
      </c>
      <c r="J15" s="534">
        <f t="shared" si="14"/>
        <v>10698</v>
      </c>
      <c r="K15" s="287">
        <f t="shared" si="2"/>
        <v>0</v>
      </c>
      <c r="L15" s="534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34">
        <f t="shared" si="19"/>
        <v>12265</v>
      </c>
      <c r="S15" s="287">
        <f t="shared" si="4"/>
        <v>0</v>
      </c>
      <c r="T15" s="534">
        <f t="shared" si="20"/>
        <v>369839</v>
      </c>
      <c r="U15" s="287">
        <f t="shared" si="21"/>
        <v>0</v>
      </c>
      <c r="V15" s="287">
        <v>250</v>
      </c>
      <c r="W15" s="337"/>
      <c r="X15" s="288">
        <f t="shared" si="22"/>
        <v>12342</v>
      </c>
      <c r="Y15" s="287" t="str">
        <f t="shared" si="31"/>
        <v>ok</v>
      </c>
      <c r="Z15" s="287">
        <f t="shared" si="6"/>
        <v>0</v>
      </c>
      <c r="AA15" s="287">
        <f t="shared" si="23"/>
        <v>0</v>
      </c>
      <c r="AB15" s="287">
        <f t="shared" si="24"/>
        <v>250</v>
      </c>
      <c r="AC15" s="287">
        <f t="shared" si="25"/>
        <v>0</v>
      </c>
      <c r="AD15" s="73">
        <f>ELEC!Q16</f>
        <v>0</v>
      </c>
      <c r="AE15" s="73" t="e">
        <f t="shared" si="27"/>
        <v>#DIV/0!</v>
      </c>
      <c r="AF15" s="402" t="e">
        <f t="shared" si="28"/>
        <v>#DIV/0!</v>
      </c>
      <c r="AG15" s="403" t="e">
        <f t="shared" si="29"/>
        <v>#DIV/0!</v>
      </c>
      <c r="AH15" s="403" t="e">
        <f t="shared" si="26"/>
        <v>#DIV/0!</v>
      </c>
      <c r="AI15" s="73">
        <f t="shared" si="30"/>
        <v>0</v>
      </c>
      <c r="AJ15" s="289">
        <f t="shared" si="7"/>
        <v>0.25738396624472576</v>
      </c>
      <c r="AK15" s="289" t="e">
        <f t="shared" si="8"/>
        <v>#DIV/0!</v>
      </c>
    </row>
    <row r="16" spans="1:37" ht="15" thickBot="1">
      <c r="A16" s="4">
        <f>ELEC!C17</f>
        <v>44361</v>
      </c>
      <c r="B16" s="533">
        <f t="shared" si="9"/>
        <v>10129</v>
      </c>
      <c r="C16" s="287">
        <f t="shared" si="10"/>
        <v>0</v>
      </c>
      <c r="D16" s="534">
        <f t="shared" si="11"/>
        <v>418031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10105</v>
      </c>
      <c r="I16" s="287" t="str">
        <f t="shared" si="1"/>
        <v>oil change</v>
      </c>
      <c r="J16" s="534">
        <f t="shared" si="14"/>
        <v>10698</v>
      </c>
      <c r="K16" s="287">
        <f t="shared" si="2"/>
        <v>0</v>
      </c>
      <c r="L16" s="534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34">
        <f t="shared" si="19"/>
        <v>12265</v>
      </c>
      <c r="S16" s="287">
        <f t="shared" si="4"/>
        <v>0</v>
      </c>
      <c r="T16" s="534">
        <f t="shared" si="20"/>
        <v>369839</v>
      </c>
      <c r="U16" s="287">
        <f t="shared" si="21"/>
        <v>0</v>
      </c>
      <c r="V16" s="287">
        <v>250</v>
      </c>
      <c r="W16" s="337"/>
      <c r="X16" s="288">
        <f t="shared" si="22"/>
        <v>12342</v>
      </c>
      <c r="Y16" s="287" t="str">
        <f t="shared" si="31"/>
        <v>ok</v>
      </c>
      <c r="Z16" s="287">
        <f t="shared" si="6"/>
        <v>0</v>
      </c>
      <c r="AA16" s="287">
        <f t="shared" si="23"/>
        <v>0</v>
      </c>
      <c r="AB16" s="287">
        <f t="shared" si="24"/>
        <v>250</v>
      </c>
      <c r="AC16" s="287">
        <f t="shared" si="25"/>
        <v>0</v>
      </c>
      <c r="AD16" s="73">
        <f>ELEC!Q17</f>
        <v>0</v>
      </c>
      <c r="AE16" s="73" t="e">
        <f t="shared" si="27"/>
        <v>#DIV/0!</v>
      </c>
      <c r="AF16" s="402" t="e">
        <f t="shared" si="28"/>
        <v>#DIV/0!</v>
      </c>
      <c r="AG16" s="403" t="e">
        <f t="shared" si="29"/>
        <v>#DIV/0!</v>
      </c>
      <c r="AH16" s="403" t="e">
        <f t="shared" si="26"/>
        <v>#DIV/0!</v>
      </c>
      <c r="AI16" s="73">
        <f t="shared" si="30"/>
        <v>0</v>
      </c>
      <c r="AJ16" s="289">
        <f t="shared" si="7"/>
        <v>0.25738396624472576</v>
      </c>
      <c r="AK16" s="289" t="e">
        <f t="shared" si="8"/>
        <v>#DIV/0!</v>
      </c>
    </row>
    <row r="17" spans="1:37" ht="15" thickBot="1">
      <c r="A17" s="4">
        <f>ELEC!C18</f>
        <v>44362</v>
      </c>
      <c r="B17" s="533">
        <f t="shared" si="9"/>
        <v>10129</v>
      </c>
      <c r="C17" s="287">
        <f t="shared" si="10"/>
        <v>0</v>
      </c>
      <c r="D17" s="534">
        <f t="shared" si="11"/>
        <v>418031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10105</v>
      </c>
      <c r="I17" s="287" t="str">
        <f t="shared" si="1"/>
        <v>oil change</v>
      </c>
      <c r="J17" s="534">
        <f t="shared" si="14"/>
        <v>10698</v>
      </c>
      <c r="K17" s="287">
        <f t="shared" si="2"/>
        <v>0</v>
      </c>
      <c r="L17" s="534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34">
        <f t="shared" si="19"/>
        <v>12265</v>
      </c>
      <c r="S17" s="287">
        <f t="shared" si="4"/>
        <v>0</v>
      </c>
      <c r="T17" s="534">
        <f t="shared" si="20"/>
        <v>369839</v>
      </c>
      <c r="U17" s="287">
        <f t="shared" si="21"/>
        <v>0</v>
      </c>
      <c r="V17" s="287">
        <v>250</v>
      </c>
      <c r="W17" s="337"/>
      <c r="X17" s="288">
        <f t="shared" si="22"/>
        <v>12342</v>
      </c>
      <c r="Y17" s="287" t="str">
        <f t="shared" si="31"/>
        <v>ok</v>
      </c>
      <c r="Z17" s="287">
        <f t="shared" si="6"/>
        <v>0</v>
      </c>
      <c r="AA17" s="287">
        <f t="shared" si="23"/>
        <v>0</v>
      </c>
      <c r="AB17" s="287">
        <f t="shared" si="24"/>
        <v>250</v>
      </c>
      <c r="AC17" s="287">
        <f t="shared" si="25"/>
        <v>0</v>
      </c>
      <c r="AD17" s="73">
        <f>ELEC!Q18</f>
        <v>0</v>
      </c>
      <c r="AE17" s="73" t="e">
        <f t="shared" si="27"/>
        <v>#DIV/0!</v>
      </c>
      <c r="AF17" s="402" t="e">
        <f t="shared" si="28"/>
        <v>#DIV/0!</v>
      </c>
      <c r="AG17" s="403" t="e">
        <f t="shared" si="29"/>
        <v>#DIV/0!</v>
      </c>
      <c r="AH17" s="403" t="e">
        <f t="shared" si="26"/>
        <v>#DIV/0!</v>
      </c>
      <c r="AI17" s="73">
        <f t="shared" si="30"/>
        <v>0</v>
      </c>
      <c r="AJ17" s="289">
        <f t="shared" si="7"/>
        <v>0.25738396624472576</v>
      </c>
      <c r="AK17" s="289" t="e">
        <f t="shared" si="8"/>
        <v>#DIV/0!</v>
      </c>
    </row>
    <row r="18" spans="1:37" ht="15" thickBot="1">
      <c r="A18" s="4">
        <f>ELEC!C19</f>
        <v>44363</v>
      </c>
      <c r="B18" s="533">
        <f t="shared" si="9"/>
        <v>10129</v>
      </c>
      <c r="C18" s="287">
        <f t="shared" si="10"/>
        <v>0</v>
      </c>
      <c r="D18" s="534">
        <f t="shared" si="11"/>
        <v>418031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10105</v>
      </c>
      <c r="I18" s="287" t="str">
        <f t="shared" si="1"/>
        <v>oil change</v>
      </c>
      <c r="J18" s="534">
        <f t="shared" si="14"/>
        <v>10698</v>
      </c>
      <c r="K18" s="287">
        <f t="shared" si="2"/>
        <v>0</v>
      </c>
      <c r="L18" s="534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34">
        <f t="shared" si="19"/>
        <v>12265</v>
      </c>
      <c r="S18" s="287">
        <f t="shared" si="4"/>
        <v>0</v>
      </c>
      <c r="T18" s="534">
        <f t="shared" si="20"/>
        <v>369839</v>
      </c>
      <c r="U18" s="287">
        <f t="shared" si="21"/>
        <v>0</v>
      </c>
      <c r="V18" s="287">
        <v>250</v>
      </c>
      <c r="W18" s="337"/>
      <c r="X18" s="288">
        <f t="shared" si="22"/>
        <v>12342</v>
      </c>
      <c r="Y18" s="287" t="str">
        <f t="shared" si="31"/>
        <v>ok</v>
      </c>
      <c r="Z18" s="287">
        <f t="shared" si="6"/>
        <v>0</v>
      </c>
      <c r="AA18" s="287">
        <f t="shared" si="23"/>
        <v>0</v>
      </c>
      <c r="AB18" s="287">
        <f t="shared" si="24"/>
        <v>250</v>
      </c>
      <c r="AC18" s="287">
        <f t="shared" si="25"/>
        <v>0</v>
      </c>
      <c r="AD18" s="73">
        <f>ELEC!Q19</f>
        <v>0</v>
      </c>
      <c r="AE18" s="73" t="e">
        <f t="shared" si="27"/>
        <v>#DIV/0!</v>
      </c>
      <c r="AF18" s="402" t="e">
        <f t="shared" si="28"/>
        <v>#DIV/0!</v>
      </c>
      <c r="AG18" s="403" t="e">
        <f t="shared" si="29"/>
        <v>#DIV/0!</v>
      </c>
      <c r="AH18" s="403" t="e">
        <f t="shared" si="26"/>
        <v>#DIV/0!</v>
      </c>
      <c r="AI18" s="73">
        <f t="shared" si="30"/>
        <v>0</v>
      </c>
      <c r="AJ18" s="289">
        <f t="shared" si="7"/>
        <v>0.25738396624472576</v>
      </c>
      <c r="AK18" s="289" t="e">
        <f t="shared" si="8"/>
        <v>#DIV/0!</v>
      </c>
    </row>
    <row r="19" spans="1:37" ht="15" thickBot="1">
      <c r="A19" s="4">
        <f>ELEC!C20</f>
        <v>44364</v>
      </c>
      <c r="B19" s="533">
        <f t="shared" si="9"/>
        <v>10129</v>
      </c>
      <c r="C19" s="287">
        <f t="shared" si="10"/>
        <v>0</v>
      </c>
      <c r="D19" s="534">
        <f t="shared" si="11"/>
        <v>418031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10105</v>
      </c>
      <c r="I19" s="287" t="str">
        <f t="shared" si="1"/>
        <v>oil change</v>
      </c>
      <c r="J19" s="534">
        <f t="shared" si="14"/>
        <v>10698</v>
      </c>
      <c r="K19" s="287">
        <f t="shared" si="2"/>
        <v>0</v>
      </c>
      <c r="L19" s="534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2">IF(J19-P19&lt;=0,"ok","oil change")</f>
        <v>ok</v>
      </c>
      <c r="R19" s="534">
        <f t="shared" si="19"/>
        <v>12265</v>
      </c>
      <c r="S19" s="287">
        <f t="shared" si="4"/>
        <v>0</v>
      </c>
      <c r="T19" s="534">
        <f t="shared" si="20"/>
        <v>369839</v>
      </c>
      <c r="U19" s="287">
        <f t="shared" si="21"/>
        <v>0</v>
      </c>
      <c r="V19" s="287">
        <v>250</v>
      </c>
      <c r="W19" s="337"/>
      <c r="X19" s="288">
        <f t="shared" si="22"/>
        <v>12342</v>
      </c>
      <c r="Y19" s="287" t="str">
        <f t="shared" si="31"/>
        <v>ok</v>
      </c>
      <c r="Z19" s="287">
        <f t="shared" si="6"/>
        <v>0</v>
      </c>
      <c r="AA19" s="287">
        <f t="shared" si="23"/>
        <v>0</v>
      </c>
      <c r="AB19" s="287">
        <f t="shared" si="24"/>
        <v>250</v>
      </c>
      <c r="AC19" s="287">
        <f t="shared" si="25"/>
        <v>0</v>
      </c>
      <c r="AD19" s="73">
        <f>ELEC!Q20</f>
        <v>0</v>
      </c>
      <c r="AE19" s="73" t="e">
        <f t="shared" si="27"/>
        <v>#DIV/0!</v>
      </c>
      <c r="AF19" s="402" t="e">
        <f t="shared" si="28"/>
        <v>#DIV/0!</v>
      </c>
      <c r="AG19" s="403" t="e">
        <f t="shared" si="29"/>
        <v>#DIV/0!</v>
      </c>
      <c r="AH19" s="403" t="e">
        <f t="shared" si="26"/>
        <v>#DIV/0!</v>
      </c>
      <c r="AI19" s="73">
        <f t="shared" si="30"/>
        <v>0</v>
      </c>
      <c r="AJ19" s="289">
        <f t="shared" si="7"/>
        <v>0.25738396624472576</v>
      </c>
      <c r="AK19" s="289" t="e">
        <f t="shared" si="8"/>
        <v>#DIV/0!</v>
      </c>
    </row>
    <row r="20" spans="1:37" ht="15" thickBot="1">
      <c r="A20" s="4">
        <f>ELEC!C21</f>
        <v>44365</v>
      </c>
      <c r="B20" s="533">
        <f t="shared" si="9"/>
        <v>10129</v>
      </c>
      <c r="C20" s="287">
        <f>B20-B19</f>
        <v>0</v>
      </c>
      <c r="D20" s="534">
        <f t="shared" si="11"/>
        <v>418031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10105</v>
      </c>
      <c r="I20" s="287" t="str">
        <f t="shared" si="1"/>
        <v>oil change</v>
      </c>
      <c r="J20" s="534">
        <f t="shared" si="14"/>
        <v>10698</v>
      </c>
      <c r="K20" s="287">
        <f t="shared" si="2"/>
        <v>0</v>
      </c>
      <c r="L20" s="534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2"/>
        <v>ok</v>
      </c>
      <c r="R20" s="534">
        <f t="shared" si="19"/>
        <v>12265</v>
      </c>
      <c r="S20" s="287">
        <f t="shared" si="4"/>
        <v>0</v>
      </c>
      <c r="T20" s="534">
        <f t="shared" si="20"/>
        <v>369839</v>
      </c>
      <c r="U20" s="287">
        <f t="shared" si="21"/>
        <v>0</v>
      </c>
      <c r="V20" s="287">
        <v>250</v>
      </c>
      <c r="W20" s="337"/>
      <c r="X20" s="288">
        <f t="shared" si="22"/>
        <v>12342</v>
      </c>
      <c r="Y20" s="287" t="str">
        <f t="shared" si="31"/>
        <v>ok</v>
      </c>
      <c r="Z20" s="287">
        <f t="shared" si="6"/>
        <v>0</v>
      </c>
      <c r="AA20" s="287">
        <f t="shared" si="23"/>
        <v>0</v>
      </c>
      <c r="AB20" s="287">
        <f t="shared" si="24"/>
        <v>250</v>
      </c>
      <c r="AC20" s="287">
        <f t="shared" si="25"/>
        <v>0</v>
      </c>
      <c r="AD20" s="73">
        <f>ELEC!Q21</f>
        <v>0</v>
      </c>
      <c r="AE20" s="73" t="e">
        <f t="shared" si="27"/>
        <v>#DIV/0!</v>
      </c>
      <c r="AF20" s="402" t="e">
        <f t="shared" si="28"/>
        <v>#DIV/0!</v>
      </c>
      <c r="AG20" s="403" t="e">
        <f t="shared" si="29"/>
        <v>#DIV/0!</v>
      </c>
      <c r="AH20" s="403" t="e">
        <f t="shared" si="26"/>
        <v>#DIV/0!</v>
      </c>
      <c r="AI20" s="73">
        <f>AD20*AJ20</f>
        <v>0</v>
      </c>
      <c r="AJ20" s="289">
        <f t="shared" si="7"/>
        <v>0.25738396624472576</v>
      </c>
      <c r="AK20" s="289" t="e">
        <f t="shared" si="8"/>
        <v>#DIV/0!</v>
      </c>
    </row>
    <row r="21" spans="1:37" ht="15" thickBot="1">
      <c r="A21" s="4">
        <f>ELEC!C22</f>
        <v>44366</v>
      </c>
      <c r="B21" s="533">
        <f t="shared" si="9"/>
        <v>10129</v>
      </c>
      <c r="C21" s="287">
        <f>B21-B20</f>
        <v>0</v>
      </c>
      <c r="D21" s="534">
        <f t="shared" si="11"/>
        <v>418031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10105</v>
      </c>
      <c r="I21" s="287" t="str">
        <f t="shared" si="1"/>
        <v>oil change</v>
      </c>
      <c r="J21" s="534">
        <f t="shared" si="14"/>
        <v>10698</v>
      </c>
      <c r="K21" s="287">
        <f t="shared" si="2"/>
        <v>0</v>
      </c>
      <c r="L21" s="534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2"/>
        <v>ok</v>
      </c>
      <c r="R21" s="534">
        <f t="shared" si="19"/>
        <v>12265</v>
      </c>
      <c r="S21" s="287">
        <f t="shared" si="4"/>
        <v>0</v>
      </c>
      <c r="T21" s="534">
        <f t="shared" si="20"/>
        <v>369839</v>
      </c>
      <c r="U21" s="287">
        <f t="shared" si="21"/>
        <v>0</v>
      </c>
      <c r="V21" s="287">
        <v>250</v>
      </c>
      <c r="W21" s="196"/>
      <c r="X21" s="288">
        <f t="shared" si="22"/>
        <v>12342</v>
      </c>
      <c r="Y21" s="287" t="str">
        <f>Y20</f>
        <v>ok</v>
      </c>
      <c r="Z21" s="287">
        <f t="shared" si="6"/>
        <v>0</v>
      </c>
      <c r="AA21" s="287">
        <f t="shared" si="23"/>
        <v>0</v>
      </c>
      <c r="AB21" s="287">
        <f t="shared" si="24"/>
        <v>250</v>
      </c>
      <c r="AC21" s="287">
        <f t="shared" si="25"/>
        <v>0</v>
      </c>
      <c r="AD21" s="73">
        <f>ELEC!Q22</f>
        <v>0</v>
      </c>
      <c r="AE21" s="73" t="e">
        <f t="shared" si="27"/>
        <v>#DIV/0!</v>
      </c>
      <c r="AF21" s="402" t="e">
        <f t="shared" si="28"/>
        <v>#DIV/0!</v>
      </c>
      <c r="AG21" s="403" t="e">
        <f t="shared" si="29"/>
        <v>#DIV/0!</v>
      </c>
      <c r="AH21" s="403" t="e">
        <f t="shared" si="26"/>
        <v>#DIV/0!</v>
      </c>
      <c r="AI21" s="73">
        <f t="shared" si="30"/>
        <v>0</v>
      </c>
      <c r="AJ21" s="289">
        <f t="shared" si="7"/>
        <v>0.25738396624472576</v>
      </c>
      <c r="AK21" s="289" t="e">
        <f t="shared" si="8"/>
        <v>#DIV/0!</v>
      </c>
    </row>
    <row r="22" spans="1:37" ht="15" thickBot="1">
      <c r="A22" s="4">
        <f>ELEC!C23</f>
        <v>44367</v>
      </c>
      <c r="B22" s="533">
        <f t="shared" si="9"/>
        <v>10129</v>
      </c>
      <c r="C22" s="287">
        <f t="shared" si="10"/>
        <v>0</v>
      </c>
      <c r="D22" s="534">
        <f t="shared" si="11"/>
        <v>418031</v>
      </c>
      <c r="E22" s="287">
        <f>150*C22</f>
        <v>0</v>
      </c>
      <c r="F22" s="287">
        <f t="shared" si="0"/>
        <v>0</v>
      </c>
      <c r="G22" s="196"/>
      <c r="H22" s="270">
        <f t="shared" si="13"/>
        <v>10105</v>
      </c>
      <c r="I22" s="287" t="str">
        <f t="shared" si="1"/>
        <v>oil change</v>
      </c>
      <c r="J22" s="534">
        <f t="shared" si="14"/>
        <v>10698</v>
      </c>
      <c r="K22" s="287">
        <f t="shared" si="2"/>
        <v>0</v>
      </c>
      <c r="L22" s="534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2"/>
        <v>ok</v>
      </c>
      <c r="R22" s="534">
        <f t="shared" si="19"/>
        <v>12265</v>
      </c>
      <c r="S22" s="287">
        <f t="shared" si="4"/>
        <v>0</v>
      </c>
      <c r="T22" s="534">
        <f t="shared" si="20"/>
        <v>369839</v>
      </c>
      <c r="U22" s="287">
        <f t="shared" si="21"/>
        <v>0</v>
      </c>
      <c r="V22" s="287">
        <v>250</v>
      </c>
      <c r="W22" s="196"/>
      <c r="X22" s="288">
        <f t="shared" si="22"/>
        <v>12342</v>
      </c>
      <c r="Y22" s="287" t="str">
        <f t="shared" ref="Y22:Y30" si="33">IF(R22-X22&lt;=0,"ok","oil change")</f>
        <v>ok</v>
      </c>
      <c r="Z22" s="287">
        <f t="shared" si="6"/>
        <v>0</v>
      </c>
      <c r="AA22" s="287">
        <f t="shared" si="23"/>
        <v>0</v>
      </c>
      <c r="AB22" s="287">
        <f t="shared" si="24"/>
        <v>250</v>
      </c>
      <c r="AC22" s="287">
        <f t="shared" si="25"/>
        <v>0</v>
      </c>
      <c r="AD22" s="73">
        <f>ELEC!Q23</f>
        <v>0</v>
      </c>
      <c r="AE22" s="73" t="e">
        <f t="shared" si="27"/>
        <v>#DIV/0!</v>
      </c>
      <c r="AF22" s="402" t="e">
        <f t="shared" si="28"/>
        <v>#DIV/0!</v>
      </c>
      <c r="AG22" s="403" t="e">
        <f t="shared" si="29"/>
        <v>#DIV/0!</v>
      </c>
      <c r="AH22" s="403" t="e">
        <f t="shared" si="26"/>
        <v>#DIV/0!</v>
      </c>
      <c r="AI22" s="73">
        <f t="shared" si="30"/>
        <v>0</v>
      </c>
      <c r="AJ22" s="289">
        <f t="shared" si="7"/>
        <v>0.25738396624472576</v>
      </c>
      <c r="AK22" s="289" t="e">
        <f t="shared" si="8"/>
        <v>#DIV/0!</v>
      </c>
    </row>
    <row r="23" spans="1:37" ht="15" thickBot="1">
      <c r="A23" s="4">
        <f>ELEC!C24</f>
        <v>44368</v>
      </c>
      <c r="B23" s="533">
        <f t="shared" si="9"/>
        <v>10129</v>
      </c>
      <c r="C23" s="287">
        <f t="shared" si="10"/>
        <v>0</v>
      </c>
      <c r="D23" s="534">
        <f t="shared" si="11"/>
        <v>418031</v>
      </c>
      <c r="E23" s="287">
        <f>150*C23</f>
        <v>0</v>
      </c>
      <c r="F23" s="287">
        <f t="shared" si="0"/>
        <v>0</v>
      </c>
      <c r="G23" s="196"/>
      <c r="H23" s="270">
        <f t="shared" si="13"/>
        <v>10105</v>
      </c>
      <c r="I23" s="287" t="str">
        <f t="shared" si="1"/>
        <v>oil change</v>
      </c>
      <c r="J23" s="534">
        <f t="shared" si="14"/>
        <v>10698</v>
      </c>
      <c r="K23" s="287">
        <f t="shared" si="2"/>
        <v>0</v>
      </c>
      <c r="L23" s="534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2"/>
        <v>ok</v>
      </c>
      <c r="R23" s="534">
        <f t="shared" si="19"/>
        <v>12265</v>
      </c>
      <c r="S23" s="287">
        <f>R23-R22</f>
        <v>0</v>
      </c>
      <c r="T23" s="534">
        <f t="shared" si="20"/>
        <v>369839</v>
      </c>
      <c r="U23" s="287">
        <f t="shared" si="21"/>
        <v>0</v>
      </c>
      <c r="V23" s="287">
        <v>250</v>
      </c>
      <c r="W23" s="196"/>
      <c r="X23" s="288">
        <f t="shared" si="22"/>
        <v>12342</v>
      </c>
      <c r="Y23" s="287" t="str">
        <f t="shared" si="33"/>
        <v>ok</v>
      </c>
      <c r="Z23" s="287">
        <f t="shared" si="6"/>
        <v>0</v>
      </c>
      <c r="AA23" s="287">
        <f t="shared" si="23"/>
        <v>0</v>
      </c>
      <c r="AB23" s="287">
        <f t="shared" si="24"/>
        <v>250</v>
      </c>
      <c r="AC23" s="287">
        <f t="shared" si="25"/>
        <v>0</v>
      </c>
      <c r="AD23" s="73">
        <f>ELEC!Q24</f>
        <v>0</v>
      </c>
      <c r="AE23" s="73" t="e">
        <f t="shared" si="27"/>
        <v>#DIV/0!</v>
      </c>
      <c r="AF23" s="402" t="e">
        <f t="shared" si="28"/>
        <v>#DIV/0!</v>
      </c>
      <c r="AG23" s="403" t="e">
        <f t="shared" si="29"/>
        <v>#DIV/0!</v>
      </c>
      <c r="AH23" s="403" t="e">
        <f t="shared" si="26"/>
        <v>#DIV/0!</v>
      </c>
      <c r="AI23" s="73">
        <f t="shared" si="30"/>
        <v>0</v>
      </c>
      <c r="AJ23" s="289">
        <f t="shared" si="7"/>
        <v>0.25738396624472576</v>
      </c>
      <c r="AK23" s="289" t="e">
        <f t="shared" si="8"/>
        <v>#DIV/0!</v>
      </c>
    </row>
    <row r="24" spans="1:37" ht="15" thickBot="1">
      <c r="A24" s="4">
        <f>ELEC!C25</f>
        <v>44369</v>
      </c>
      <c r="B24" s="533">
        <f t="shared" si="9"/>
        <v>10129</v>
      </c>
      <c r="C24" s="287">
        <f t="shared" si="10"/>
        <v>0</v>
      </c>
      <c r="D24" s="534">
        <f t="shared" si="11"/>
        <v>418031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10105</v>
      </c>
      <c r="I24" s="287" t="str">
        <f t="shared" si="1"/>
        <v>oil change</v>
      </c>
      <c r="J24" s="534">
        <f t="shared" si="14"/>
        <v>10698</v>
      </c>
      <c r="K24" s="287">
        <f t="shared" si="2"/>
        <v>0</v>
      </c>
      <c r="L24" s="534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2"/>
        <v>ok</v>
      </c>
      <c r="R24" s="534">
        <f t="shared" si="19"/>
        <v>12265</v>
      </c>
      <c r="S24" s="287">
        <f t="shared" si="4"/>
        <v>0</v>
      </c>
      <c r="T24" s="534">
        <f t="shared" si="20"/>
        <v>369839</v>
      </c>
      <c r="U24" s="287">
        <f t="shared" si="21"/>
        <v>0</v>
      </c>
      <c r="V24" s="287">
        <v>250</v>
      </c>
      <c r="W24" s="196"/>
      <c r="X24" s="288">
        <f t="shared" si="22"/>
        <v>12342</v>
      </c>
      <c r="Y24" s="287" t="str">
        <f t="shared" si="33"/>
        <v>ok</v>
      </c>
      <c r="Z24" s="287">
        <f t="shared" si="6"/>
        <v>0</v>
      </c>
      <c r="AA24" s="287">
        <f t="shared" si="23"/>
        <v>0</v>
      </c>
      <c r="AB24" s="287">
        <f t="shared" si="24"/>
        <v>250</v>
      </c>
      <c r="AC24" s="287">
        <f t="shared" si="25"/>
        <v>0</v>
      </c>
      <c r="AD24" s="73">
        <f>ELEC!Q25</f>
        <v>0</v>
      </c>
      <c r="AE24" s="73" t="e">
        <f t="shared" si="27"/>
        <v>#DIV/0!</v>
      </c>
      <c r="AF24" s="402" t="e">
        <f t="shared" si="28"/>
        <v>#DIV/0!</v>
      </c>
      <c r="AG24" s="403" t="e">
        <f t="shared" si="29"/>
        <v>#DIV/0!</v>
      </c>
      <c r="AH24" s="403" t="e">
        <f t="shared" si="26"/>
        <v>#DIV/0!</v>
      </c>
      <c r="AI24" s="73">
        <f t="shared" si="30"/>
        <v>0</v>
      </c>
      <c r="AJ24" s="289">
        <f t="shared" si="7"/>
        <v>0.25738396624472576</v>
      </c>
      <c r="AK24" s="289" t="e">
        <f t="shared" si="8"/>
        <v>#DIV/0!</v>
      </c>
    </row>
    <row r="25" spans="1:37" ht="15" thickBot="1">
      <c r="A25" s="4">
        <f>ELEC!C26</f>
        <v>44370</v>
      </c>
      <c r="B25" s="533">
        <f t="shared" si="9"/>
        <v>10129</v>
      </c>
      <c r="C25" s="287">
        <f t="shared" si="10"/>
        <v>0</v>
      </c>
      <c r="D25" s="534">
        <f t="shared" si="11"/>
        <v>418031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10105</v>
      </c>
      <c r="I25" s="287" t="str">
        <f t="shared" si="1"/>
        <v>oil change</v>
      </c>
      <c r="J25" s="534">
        <f t="shared" si="14"/>
        <v>10698</v>
      </c>
      <c r="K25" s="287">
        <f t="shared" si="2"/>
        <v>0</v>
      </c>
      <c r="L25" s="534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2"/>
        <v>ok</v>
      </c>
      <c r="R25" s="534">
        <f t="shared" si="19"/>
        <v>12265</v>
      </c>
      <c r="S25" s="287">
        <f t="shared" si="4"/>
        <v>0</v>
      </c>
      <c r="T25" s="534">
        <f t="shared" si="20"/>
        <v>369839</v>
      </c>
      <c r="U25" s="287">
        <f t="shared" si="21"/>
        <v>0</v>
      </c>
      <c r="V25" s="287">
        <v>250</v>
      </c>
      <c r="W25" s="196"/>
      <c r="X25" s="288">
        <f t="shared" si="22"/>
        <v>12342</v>
      </c>
      <c r="Y25" s="287" t="str">
        <f t="shared" si="33"/>
        <v>ok</v>
      </c>
      <c r="Z25" s="287">
        <f t="shared" si="6"/>
        <v>0</v>
      </c>
      <c r="AA25" s="287">
        <f t="shared" si="23"/>
        <v>0</v>
      </c>
      <c r="AB25" s="287">
        <f t="shared" si="24"/>
        <v>250</v>
      </c>
      <c r="AC25" s="287">
        <f t="shared" si="25"/>
        <v>0</v>
      </c>
      <c r="AD25" s="73">
        <f>ELEC!Q26</f>
        <v>0</v>
      </c>
      <c r="AE25" s="73" t="e">
        <f t="shared" si="27"/>
        <v>#DIV/0!</v>
      </c>
      <c r="AF25" s="402" t="e">
        <f t="shared" si="28"/>
        <v>#DIV/0!</v>
      </c>
      <c r="AG25" s="403" t="e">
        <f t="shared" si="29"/>
        <v>#DIV/0!</v>
      </c>
      <c r="AH25" s="403" t="e">
        <f t="shared" si="26"/>
        <v>#DIV/0!</v>
      </c>
      <c r="AI25" s="73">
        <f t="shared" si="30"/>
        <v>0</v>
      </c>
      <c r="AJ25" s="289">
        <f t="shared" si="7"/>
        <v>0.25738396624472576</v>
      </c>
      <c r="AK25" s="289" t="e">
        <f t="shared" si="8"/>
        <v>#DIV/0!</v>
      </c>
    </row>
    <row r="26" spans="1:37" ht="15" thickBot="1">
      <c r="A26" s="4">
        <f>ELEC!C27</f>
        <v>44371</v>
      </c>
      <c r="B26" s="533">
        <f t="shared" si="9"/>
        <v>10129</v>
      </c>
      <c r="C26" s="287">
        <f t="shared" si="10"/>
        <v>0</v>
      </c>
      <c r="D26" s="534">
        <f t="shared" si="11"/>
        <v>418031</v>
      </c>
      <c r="E26" s="287">
        <f>SUM(D26-D25)</f>
        <v>0</v>
      </c>
      <c r="F26" s="287">
        <f t="shared" si="0"/>
        <v>0</v>
      </c>
      <c r="G26" s="196"/>
      <c r="H26" s="270">
        <f t="shared" si="13"/>
        <v>10105</v>
      </c>
      <c r="I26" s="287" t="str">
        <f t="shared" si="1"/>
        <v>oil change</v>
      </c>
      <c r="J26" s="534">
        <f t="shared" si="14"/>
        <v>10698</v>
      </c>
      <c r="K26" s="287">
        <f t="shared" si="2"/>
        <v>0</v>
      </c>
      <c r="L26" s="534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2"/>
        <v>ok</v>
      </c>
      <c r="R26" s="534">
        <f t="shared" si="19"/>
        <v>12265</v>
      </c>
      <c r="S26" s="287">
        <f t="shared" si="4"/>
        <v>0</v>
      </c>
      <c r="T26" s="534">
        <f t="shared" si="20"/>
        <v>369839</v>
      </c>
      <c r="U26" s="287">
        <f t="shared" si="21"/>
        <v>0</v>
      </c>
      <c r="V26" s="287">
        <v>250</v>
      </c>
      <c r="W26" s="196"/>
      <c r="X26" s="288">
        <f t="shared" si="22"/>
        <v>12342</v>
      </c>
      <c r="Y26" s="287" t="str">
        <f t="shared" si="33"/>
        <v>ok</v>
      </c>
      <c r="Z26" s="287">
        <f t="shared" si="6"/>
        <v>0</v>
      </c>
      <c r="AA26" s="287">
        <f t="shared" si="23"/>
        <v>0</v>
      </c>
      <c r="AB26" s="287">
        <f t="shared" si="24"/>
        <v>250</v>
      </c>
      <c r="AC26" s="287">
        <f t="shared" si="25"/>
        <v>0</v>
      </c>
      <c r="AD26" s="73">
        <f>ELEC!Q27</f>
        <v>0</v>
      </c>
      <c r="AE26" s="73" t="e">
        <f t="shared" si="27"/>
        <v>#DIV/0!</v>
      </c>
      <c r="AF26" s="402" t="e">
        <f t="shared" si="28"/>
        <v>#DIV/0!</v>
      </c>
      <c r="AG26" s="403" t="e">
        <f t="shared" si="29"/>
        <v>#DIV/0!</v>
      </c>
      <c r="AH26" s="403" t="e">
        <f t="shared" si="26"/>
        <v>#DIV/0!</v>
      </c>
      <c r="AI26" s="73">
        <f t="shared" si="30"/>
        <v>0</v>
      </c>
      <c r="AJ26" s="289">
        <f t="shared" si="7"/>
        <v>0.25738396624472576</v>
      </c>
      <c r="AK26" s="289" t="e">
        <f t="shared" si="8"/>
        <v>#DIV/0!</v>
      </c>
    </row>
    <row r="27" spans="1:37" ht="15" thickBot="1">
      <c r="A27" s="4">
        <f>ELEC!C28</f>
        <v>44372</v>
      </c>
      <c r="B27" s="533">
        <f t="shared" si="9"/>
        <v>10129</v>
      </c>
      <c r="C27" s="287">
        <f t="shared" si="10"/>
        <v>0</v>
      </c>
      <c r="D27" s="534">
        <f t="shared" si="11"/>
        <v>418031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10105</v>
      </c>
      <c r="I27" s="287" t="str">
        <f>IF(B27-H27&lt;=0,"ok","oil change")</f>
        <v>oil change</v>
      </c>
      <c r="J27" s="534">
        <f t="shared" si="14"/>
        <v>10698</v>
      </c>
      <c r="K27" s="287">
        <f t="shared" si="2"/>
        <v>0</v>
      </c>
      <c r="L27" s="534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2"/>
        <v>ok</v>
      </c>
      <c r="R27" s="534">
        <f t="shared" si="19"/>
        <v>12265</v>
      </c>
      <c r="S27" s="287">
        <f t="shared" si="4"/>
        <v>0</v>
      </c>
      <c r="T27" s="534">
        <f t="shared" si="20"/>
        <v>369839</v>
      </c>
      <c r="U27" s="287">
        <f t="shared" si="21"/>
        <v>0</v>
      </c>
      <c r="V27" s="287">
        <v>250</v>
      </c>
      <c r="W27" s="196"/>
      <c r="X27" s="288">
        <f t="shared" si="22"/>
        <v>12342</v>
      </c>
      <c r="Y27" s="287" t="str">
        <f t="shared" si="33"/>
        <v>ok</v>
      </c>
      <c r="Z27" s="287">
        <f t="shared" si="6"/>
        <v>0</v>
      </c>
      <c r="AA27" s="287">
        <f t="shared" si="23"/>
        <v>0</v>
      </c>
      <c r="AB27" s="287">
        <f t="shared" si="24"/>
        <v>250</v>
      </c>
      <c r="AC27" s="287">
        <f t="shared" si="25"/>
        <v>0</v>
      </c>
      <c r="AD27" s="73">
        <f>ELEC!Q28</f>
        <v>0</v>
      </c>
      <c r="AE27" s="73" t="e">
        <f t="shared" si="27"/>
        <v>#DIV/0!</v>
      </c>
      <c r="AF27" s="402" t="e">
        <f t="shared" si="28"/>
        <v>#DIV/0!</v>
      </c>
      <c r="AG27" s="403" t="e">
        <f t="shared" si="29"/>
        <v>#DIV/0!</v>
      </c>
      <c r="AH27" s="403" t="e">
        <f t="shared" si="26"/>
        <v>#DIV/0!</v>
      </c>
      <c r="AI27" s="73">
        <f t="shared" si="30"/>
        <v>0</v>
      </c>
      <c r="AJ27" s="289">
        <f t="shared" si="7"/>
        <v>0.25738396624472576</v>
      </c>
      <c r="AK27" s="289" t="e">
        <f t="shared" si="8"/>
        <v>#DIV/0!</v>
      </c>
    </row>
    <row r="28" spans="1:37" ht="15" thickBot="1">
      <c r="A28" s="4">
        <f>ELEC!C29</f>
        <v>44373</v>
      </c>
      <c r="B28" s="533">
        <f t="shared" si="9"/>
        <v>10129</v>
      </c>
      <c r="C28" s="287">
        <f t="shared" si="10"/>
        <v>0</v>
      </c>
      <c r="D28" s="534">
        <f t="shared" si="11"/>
        <v>418031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10105</v>
      </c>
      <c r="I28" s="287" t="str">
        <f t="shared" si="1"/>
        <v>oil change</v>
      </c>
      <c r="J28" s="534">
        <f t="shared" si="14"/>
        <v>10698</v>
      </c>
      <c r="K28" s="287">
        <f t="shared" si="2"/>
        <v>0</v>
      </c>
      <c r="L28" s="534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2"/>
        <v>ok</v>
      </c>
      <c r="R28" s="534">
        <f t="shared" si="19"/>
        <v>12265</v>
      </c>
      <c r="S28" s="287">
        <f t="shared" si="4"/>
        <v>0</v>
      </c>
      <c r="T28" s="534">
        <f t="shared" si="20"/>
        <v>369839</v>
      </c>
      <c r="U28" s="287">
        <f t="shared" si="21"/>
        <v>0</v>
      </c>
      <c r="V28" s="287">
        <v>250</v>
      </c>
      <c r="W28" s="196"/>
      <c r="X28" s="288">
        <f t="shared" si="22"/>
        <v>12342</v>
      </c>
      <c r="Y28" s="287" t="str">
        <f t="shared" si="33"/>
        <v>ok</v>
      </c>
      <c r="Z28" s="287">
        <f t="shared" si="6"/>
        <v>0</v>
      </c>
      <c r="AA28" s="287">
        <f t="shared" si="23"/>
        <v>0</v>
      </c>
      <c r="AB28" s="287">
        <f t="shared" si="24"/>
        <v>250</v>
      </c>
      <c r="AC28" s="287">
        <f t="shared" si="25"/>
        <v>0</v>
      </c>
      <c r="AD28" s="73">
        <f>ELEC!Q29</f>
        <v>0</v>
      </c>
      <c r="AE28" s="73" t="e">
        <f t="shared" si="27"/>
        <v>#DIV/0!</v>
      </c>
      <c r="AF28" s="402" t="e">
        <f t="shared" si="28"/>
        <v>#DIV/0!</v>
      </c>
      <c r="AG28" s="403" t="e">
        <f t="shared" si="29"/>
        <v>#DIV/0!</v>
      </c>
      <c r="AH28" s="403" t="e">
        <f t="shared" si="26"/>
        <v>#DIV/0!</v>
      </c>
      <c r="AI28" s="73">
        <f t="shared" si="30"/>
        <v>0</v>
      </c>
      <c r="AJ28" s="289">
        <f t="shared" si="7"/>
        <v>0.25738396624472576</v>
      </c>
      <c r="AK28" s="289" t="e">
        <f t="shared" si="8"/>
        <v>#DIV/0!</v>
      </c>
    </row>
    <row r="29" spans="1:37" ht="15" thickBot="1">
      <c r="A29" s="4">
        <f>ELEC!C30</f>
        <v>44374</v>
      </c>
      <c r="B29" s="533">
        <f t="shared" si="9"/>
        <v>10129</v>
      </c>
      <c r="C29" s="287">
        <f t="shared" si="10"/>
        <v>0</v>
      </c>
      <c r="D29" s="534">
        <f t="shared" si="11"/>
        <v>418031</v>
      </c>
      <c r="E29" s="287">
        <f>SUM(D29-D28)</f>
        <v>0</v>
      </c>
      <c r="F29" s="287">
        <f t="shared" si="0"/>
        <v>0</v>
      </c>
      <c r="G29" s="196"/>
      <c r="H29" s="270">
        <f t="shared" si="13"/>
        <v>10105</v>
      </c>
      <c r="I29" s="287" t="str">
        <f t="shared" si="1"/>
        <v>oil change</v>
      </c>
      <c r="J29" s="534">
        <f t="shared" si="14"/>
        <v>10698</v>
      </c>
      <c r="K29" s="287">
        <f t="shared" si="2"/>
        <v>0</v>
      </c>
      <c r="L29" s="534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2"/>
        <v>ok</v>
      </c>
      <c r="R29" s="534">
        <f t="shared" si="19"/>
        <v>12265</v>
      </c>
      <c r="S29" s="287">
        <f t="shared" si="4"/>
        <v>0</v>
      </c>
      <c r="T29" s="534">
        <f t="shared" si="20"/>
        <v>369839</v>
      </c>
      <c r="U29" s="287">
        <f t="shared" si="21"/>
        <v>0</v>
      </c>
      <c r="V29" s="287">
        <v>250</v>
      </c>
      <c r="W29" s="196"/>
      <c r="X29" s="288">
        <f t="shared" si="22"/>
        <v>12342</v>
      </c>
      <c r="Y29" s="287" t="str">
        <f t="shared" si="33"/>
        <v>ok</v>
      </c>
      <c r="Z29" s="287">
        <f t="shared" si="6"/>
        <v>0</v>
      </c>
      <c r="AA29" s="287">
        <f t="shared" si="23"/>
        <v>0</v>
      </c>
      <c r="AB29" s="287">
        <f t="shared" si="24"/>
        <v>250</v>
      </c>
      <c r="AC29" s="287">
        <f t="shared" si="25"/>
        <v>0</v>
      </c>
      <c r="AD29" s="73">
        <f>ELEC!Q30</f>
        <v>0</v>
      </c>
      <c r="AE29" s="73" t="e">
        <f t="shared" si="27"/>
        <v>#DIV/0!</v>
      </c>
      <c r="AF29" s="402" t="e">
        <f t="shared" si="28"/>
        <v>#DIV/0!</v>
      </c>
      <c r="AG29" s="403" t="e">
        <f t="shared" si="29"/>
        <v>#DIV/0!</v>
      </c>
      <c r="AH29" s="403" t="e">
        <f t="shared" si="26"/>
        <v>#DIV/0!</v>
      </c>
      <c r="AI29" s="73">
        <f t="shared" si="30"/>
        <v>0</v>
      </c>
      <c r="AJ29" s="289">
        <f t="shared" si="7"/>
        <v>0.25738396624472576</v>
      </c>
      <c r="AK29" s="289" t="e">
        <f t="shared" si="8"/>
        <v>#DIV/0!</v>
      </c>
    </row>
    <row r="30" spans="1:37" ht="15" thickBot="1">
      <c r="A30" s="4">
        <f>ELEC!C31</f>
        <v>44375</v>
      </c>
      <c r="B30" s="533">
        <f t="shared" si="9"/>
        <v>10129</v>
      </c>
      <c r="C30" s="287">
        <f t="shared" si="10"/>
        <v>0</v>
      </c>
      <c r="D30" s="534">
        <f t="shared" si="11"/>
        <v>418031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10105</v>
      </c>
      <c r="I30" s="287" t="str">
        <f t="shared" si="1"/>
        <v>oil change</v>
      </c>
      <c r="J30" s="534">
        <f t="shared" si="14"/>
        <v>10698</v>
      </c>
      <c r="K30" s="287">
        <f t="shared" si="2"/>
        <v>0</v>
      </c>
      <c r="L30" s="534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2"/>
        <v>ok</v>
      </c>
      <c r="R30" s="534">
        <f t="shared" si="19"/>
        <v>12265</v>
      </c>
      <c r="S30" s="287">
        <f t="shared" si="4"/>
        <v>0</v>
      </c>
      <c r="T30" s="534">
        <f t="shared" si="20"/>
        <v>369839</v>
      </c>
      <c r="U30" s="287">
        <f t="shared" si="21"/>
        <v>0</v>
      </c>
      <c r="V30" s="287">
        <v>250</v>
      </c>
      <c r="W30" s="285"/>
      <c r="X30" s="288">
        <f t="shared" si="22"/>
        <v>12342</v>
      </c>
      <c r="Y30" s="287" t="str">
        <f t="shared" si="33"/>
        <v>ok</v>
      </c>
      <c r="Z30" s="287">
        <f t="shared" si="6"/>
        <v>0</v>
      </c>
      <c r="AA30" s="287">
        <f t="shared" si="23"/>
        <v>0</v>
      </c>
      <c r="AB30" s="287">
        <f t="shared" si="24"/>
        <v>250</v>
      </c>
      <c r="AC30" s="287">
        <f t="shared" si="25"/>
        <v>0</v>
      </c>
      <c r="AD30" s="73">
        <f>ELEC!Q31</f>
        <v>0</v>
      </c>
      <c r="AE30" s="73" t="e">
        <f t="shared" si="27"/>
        <v>#DIV/0!</v>
      </c>
      <c r="AF30" s="402" t="e">
        <f t="shared" si="28"/>
        <v>#DIV/0!</v>
      </c>
      <c r="AG30" s="403" t="e">
        <f t="shared" si="29"/>
        <v>#DIV/0!</v>
      </c>
      <c r="AH30" s="403" t="e">
        <f t="shared" si="26"/>
        <v>#DIV/0!</v>
      </c>
      <c r="AI30" s="73">
        <f t="shared" si="30"/>
        <v>0</v>
      </c>
      <c r="AJ30" s="289">
        <f t="shared" si="7"/>
        <v>0.25738396624472576</v>
      </c>
      <c r="AK30" s="289" t="e">
        <f t="shared" si="8"/>
        <v>#DIV/0!</v>
      </c>
    </row>
    <row r="31" spans="1:37" ht="15" thickBot="1">
      <c r="A31" s="4">
        <f>ELEC!C32</f>
        <v>44376</v>
      </c>
      <c r="B31" s="533">
        <f t="shared" si="9"/>
        <v>10129</v>
      </c>
      <c r="C31" s="287">
        <f>B31-B30</f>
        <v>0</v>
      </c>
      <c r="D31" s="534">
        <f t="shared" si="11"/>
        <v>418031</v>
      </c>
      <c r="E31" s="287">
        <f>SUM(D31-D30)</f>
        <v>0</v>
      </c>
      <c r="F31" s="287">
        <f>IF(C31&gt;0,E31/C31,0)</f>
        <v>0</v>
      </c>
      <c r="G31" s="337"/>
      <c r="H31" s="270">
        <f t="shared" si="13"/>
        <v>10105</v>
      </c>
      <c r="I31" s="287" t="str">
        <f>IF(B31-H31&lt;=0,"ok","oil change")</f>
        <v>oil change</v>
      </c>
      <c r="J31" s="534">
        <f t="shared" si="14"/>
        <v>10698</v>
      </c>
      <c r="K31" s="287">
        <f>J31-J30</f>
        <v>0</v>
      </c>
      <c r="L31" s="534">
        <f t="shared" si="15"/>
        <v>357691</v>
      </c>
      <c r="M31" s="287">
        <f>SUM(L31-L30)</f>
        <v>0</v>
      </c>
      <c r="N31" s="287">
        <f>IF(K31&gt;0,M31/K31,0)</f>
        <v>0</v>
      </c>
      <c r="O31" s="337"/>
      <c r="P31" s="288">
        <f t="shared" si="18"/>
        <v>10873</v>
      </c>
      <c r="Q31" s="287" t="str">
        <f>IF(J31-P31&lt;=0,"ok","oil change")</f>
        <v>ok</v>
      </c>
      <c r="R31" s="534">
        <f t="shared" si="19"/>
        <v>12265</v>
      </c>
      <c r="S31" s="287">
        <f>R31-R30</f>
        <v>0</v>
      </c>
      <c r="T31" s="534">
        <f t="shared" si="20"/>
        <v>369839</v>
      </c>
      <c r="U31" s="287">
        <f t="shared" si="21"/>
        <v>0</v>
      </c>
      <c r="V31" s="287">
        <v>250</v>
      </c>
      <c r="W31" s="337"/>
      <c r="X31" s="288">
        <f t="shared" si="22"/>
        <v>12342</v>
      </c>
      <c r="Y31" s="287" t="str">
        <f>IF(R31-X31&lt;=0,"ok","oil change")</f>
        <v>ok</v>
      </c>
      <c r="Z31" s="287">
        <f>C31+K31+S31</f>
        <v>0</v>
      </c>
      <c r="AA31" s="287">
        <f t="shared" ref="AA31:AB32" si="34">U31+M31+E31</f>
        <v>0</v>
      </c>
      <c r="AB31" s="287">
        <f t="shared" si="34"/>
        <v>250</v>
      </c>
      <c r="AC31" s="287">
        <f>IF(Z31&gt;0,AA31/Z31,0)</f>
        <v>0</v>
      </c>
      <c r="AD31" s="73">
        <f>ELEC!Q32</f>
        <v>0</v>
      </c>
      <c r="AE31" s="73" t="e">
        <f>SUM(AD31/Z31)</f>
        <v>#DIV/0!</v>
      </c>
      <c r="AF31" s="402" t="e">
        <f>SUM(AE31/1600)</f>
        <v>#DIV/0!</v>
      </c>
      <c r="AG31" s="500" t="e">
        <f>SUM(320*AF31)</f>
        <v>#DIV/0!</v>
      </c>
      <c r="AH31" s="500" t="e">
        <f>SUM(AC31-AG31)</f>
        <v>#DIV/0!</v>
      </c>
      <c r="AI31" s="73">
        <f>AD31*AJ31</f>
        <v>0</v>
      </c>
      <c r="AJ31" s="289">
        <f t="shared" si="7"/>
        <v>0.25738396624472576</v>
      </c>
      <c r="AK31" s="289" t="e">
        <f t="shared" si="8"/>
        <v>#DIV/0!</v>
      </c>
    </row>
    <row r="32" spans="1:37">
      <c r="A32" s="4">
        <f>ELEC!C33</f>
        <v>44377</v>
      </c>
      <c r="B32" s="533">
        <f t="shared" si="9"/>
        <v>10129</v>
      </c>
      <c r="C32" s="287">
        <f>B32-B31</f>
        <v>0</v>
      </c>
      <c r="D32" s="534">
        <f t="shared" si="11"/>
        <v>418031</v>
      </c>
      <c r="E32" s="287">
        <f>SUM(D32-D31)</f>
        <v>0</v>
      </c>
      <c r="F32" s="287">
        <f>IF(C32&gt;0,E32/C32,0)</f>
        <v>0</v>
      </c>
      <c r="G32" s="337"/>
      <c r="H32" s="270">
        <f t="shared" si="13"/>
        <v>10105</v>
      </c>
      <c r="I32" s="287" t="str">
        <f>IF(B32-H32&lt;=0,"ok","oil change")</f>
        <v>oil change</v>
      </c>
      <c r="J32" s="534">
        <f t="shared" si="14"/>
        <v>10698</v>
      </c>
      <c r="K32" s="287">
        <f>J32-J31</f>
        <v>0</v>
      </c>
      <c r="L32" s="534">
        <f t="shared" si="15"/>
        <v>357691</v>
      </c>
      <c r="M32" s="287">
        <f>SUM(L32-L31)</f>
        <v>0</v>
      </c>
      <c r="N32" s="287">
        <f>IF(K32&gt;0,M32/K32,0)</f>
        <v>0</v>
      </c>
      <c r="O32" s="337"/>
      <c r="P32" s="288">
        <f t="shared" si="18"/>
        <v>10873</v>
      </c>
      <c r="Q32" s="287" t="str">
        <f>IF(J32-P32&lt;=0,"ok","oil change")</f>
        <v>ok</v>
      </c>
      <c r="R32" s="534">
        <f t="shared" si="19"/>
        <v>12265</v>
      </c>
      <c r="S32" s="287">
        <f>R32-R31</f>
        <v>0</v>
      </c>
      <c r="T32" s="534">
        <f t="shared" si="20"/>
        <v>369839</v>
      </c>
      <c r="U32" s="287">
        <f t="shared" si="21"/>
        <v>0</v>
      </c>
      <c r="V32" s="287">
        <v>250</v>
      </c>
      <c r="W32" s="337"/>
      <c r="X32" s="288">
        <f t="shared" si="22"/>
        <v>12342</v>
      </c>
      <c r="Y32" s="287" t="str">
        <f>IF(R32-X32&lt;=0,"ok","oil change")</f>
        <v>ok</v>
      </c>
      <c r="Z32" s="287">
        <f>C32+K32+S32</f>
        <v>0</v>
      </c>
      <c r="AA32" s="287">
        <f t="shared" si="34"/>
        <v>0</v>
      </c>
      <c r="AB32" s="287">
        <f t="shared" si="34"/>
        <v>250</v>
      </c>
      <c r="AC32" s="287">
        <f>IF(Z32&gt;0,AA32/Z32,0)</f>
        <v>0</v>
      </c>
      <c r="AD32" s="73">
        <f>ELEC!Q33</f>
        <v>0</v>
      </c>
      <c r="AE32" s="73" t="e">
        <f>SUM(AD32/Z32)</f>
        <v>#DIV/0!</v>
      </c>
      <c r="AF32" s="402" t="e">
        <f>SUM(AE32/1600)</f>
        <v>#DIV/0!</v>
      </c>
      <c r="AG32" s="500" t="e">
        <f>SUM(320*AF32)</f>
        <v>#DIV/0!</v>
      </c>
      <c r="AH32" s="500" t="e">
        <f>SUM(AC32-AG32)</f>
        <v>#DIV/0!</v>
      </c>
      <c r="AI32" s="73">
        <f>AD32*AJ32</f>
        <v>0</v>
      </c>
      <c r="AJ32" s="289">
        <f t="shared" si="7"/>
        <v>0.25738396624472576</v>
      </c>
      <c r="AK32" s="289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12</v>
      </c>
      <c r="V33" s="40"/>
      <c r="X33">
        <v>341</v>
      </c>
      <c r="Z33" s="420">
        <f>SUM(Z3:Z32)</f>
        <v>12</v>
      </c>
    </row>
    <row r="34" spans="3:26">
      <c r="C34" s="40">
        <f>SUM(C3:C32)</f>
        <v>6</v>
      </c>
      <c r="K34" s="40">
        <f>SUM(K3:K32)</f>
        <v>0</v>
      </c>
      <c r="S34" s="40">
        <f>SUM(S3:S32)</f>
        <v>6</v>
      </c>
      <c r="U34" s="40"/>
      <c r="V34" s="40"/>
      <c r="X34" s="40"/>
    </row>
  </sheetData>
  <conditionalFormatting sqref="K3:K32 S3:S32 Z3:Z32 C3:C32">
    <cfRule type="cellIs" dxfId="5" priority="11" stopIfTrue="1" operator="equal">
      <formula>0</formula>
    </cfRule>
  </conditionalFormatting>
  <conditionalFormatting sqref="AA3:AB32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AO1" activePane="topRight" state="frozen"/>
      <selection pane="topRight" activeCell="AT38" sqref="AT38"/>
    </sheetView>
  </sheetViews>
  <sheetFormatPr defaultRowHeight="14.5"/>
  <cols>
    <col min="1" max="1" width="30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3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497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11.26953125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6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6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6" t="s">
        <v>108</v>
      </c>
      <c r="AS3" s="666" t="s">
        <v>233</v>
      </c>
      <c r="AT3" s="664" t="s">
        <v>301</v>
      </c>
      <c r="AU3" s="665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7"/>
      <c r="AS4" s="667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2">
        <f>ELEC!C3</f>
        <v>44347</v>
      </c>
      <c r="B5" s="528">
        <f>[2]tanks!B36</f>
        <v>207</v>
      </c>
      <c r="C5" s="528">
        <f>[2]tanks!C36</f>
        <v>4453.8387096774195</v>
      </c>
      <c r="D5" s="528">
        <f>[2]tanks!D36</f>
        <v>207</v>
      </c>
      <c r="E5" s="528">
        <f>[2]tanks!E36</f>
        <v>4453.8387096774195</v>
      </c>
      <c r="F5" s="528">
        <f>[2]tanks!F36</f>
        <v>207</v>
      </c>
      <c r="G5" s="528">
        <f>[2]tanks!G36</f>
        <v>4453.8387096774195</v>
      </c>
      <c r="H5" s="528">
        <f>[2]tanks!H36</f>
        <v>207</v>
      </c>
      <c r="I5" s="528">
        <f>[2]tanks!I36</f>
        <v>4453.8387096774195</v>
      </c>
      <c r="J5" s="528">
        <f>[2]tanks!J36</f>
        <v>207</v>
      </c>
      <c r="K5" s="528">
        <f>[2]tanks!K36</f>
        <v>4453.8387096774195</v>
      </c>
      <c r="L5" s="528">
        <f>[2]tanks!L36</f>
        <v>207</v>
      </c>
      <c r="M5" s="528">
        <f>[2]tanks!M36</f>
        <v>4453.8387096774195</v>
      </c>
      <c r="N5" s="528">
        <f>[2]tanks!N36</f>
        <v>207</v>
      </c>
      <c r="O5" s="528">
        <f>[2]tanks!O36</f>
        <v>4453.8387096774195</v>
      </c>
      <c r="P5" s="528">
        <f>[2]tanks!P36</f>
        <v>207</v>
      </c>
      <c r="Q5" s="528">
        <f>[2]tanks!Q36</f>
        <v>4453.8387096774195</v>
      </c>
      <c r="R5" s="528">
        <f>[2]tanks!R36</f>
        <v>207</v>
      </c>
      <c r="S5" s="528">
        <f>[2]tanks!S36</f>
        <v>4453.8387096774195</v>
      </c>
      <c r="T5" s="528">
        <f>[2]tanks!T36</f>
        <v>207</v>
      </c>
      <c r="U5" s="528">
        <f>[2]tanks!U36</f>
        <v>4453.8387096774195</v>
      </c>
      <c r="V5" s="528">
        <f>[2]tanks!V36</f>
        <v>207</v>
      </c>
      <c r="W5" s="528">
        <f>[2]tanks!W36</f>
        <v>4453.8387096774195</v>
      </c>
      <c r="X5" s="528">
        <f>[2]tanks!X36</f>
        <v>0.66774193548387084</v>
      </c>
      <c r="Y5" s="528">
        <f>[2]tanks!Y36</f>
        <v>48992.225806451606</v>
      </c>
      <c r="Z5" s="528">
        <f>[2]tanks!Z36</f>
        <v>214</v>
      </c>
      <c r="AA5" s="528">
        <f>[2]tanks!AA36</f>
        <v>2140</v>
      </c>
      <c r="AB5" s="528">
        <f>[2]tanks!AB36</f>
        <v>214</v>
      </c>
      <c r="AC5" s="528">
        <f>[2]tanks!AC36</f>
        <v>2140</v>
      </c>
      <c r="AD5" s="528">
        <f>[2]tanks!AD36</f>
        <v>214</v>
      </c>
      <c r="AE5" s="528">
        <f>[2]tanks!AE36</f>
        <v>2140</v>
      </c>
      <c r="AF5" s="528">
        <f>[2]tanks!AF36</f>
        <v>214</v>
      </c>
      <c r="AG5" s="528">
        <f>[2]tanks!AG36</f>
        <v>2140</v>
      </c>
      <c r="AH5" s="528">
        <f>[2]tanks!AH36</f>
        <v>214</v>
      </c>
      <c r="AI5" s="528">
        <f>[2]tanks!AI36</f>
        <v>2140</v>
      </c>
      <c r="AJ5" s="528">
        <f>[2]tanks!AJ36</f>
        <v>214</v>
      </c>
      <c r="AK5" s="528">
        <f>[2]tanks!AK36</f>
        <v>2140</v>
      </c>
      <c r="AL5" s="528">
        <f>[2]tanks!AL36</f>
        <v>214</v>
      </c>
      <c r="AM5" s="528">
        <f>[2]tanks!AM36</f>
        <v>2140</v>
      </c>
      <c r="AN5" s="501">
        <f>[2]tanks!AN36</f>
        <v>0.76428571428571423</v>
      </c>
      <c r="AO5" s="528">
        <f>[2]tanks!AO36</f>
        <v>14980</v>
      </c>
      <c r="AP5" s="528"/>
      <c r="AQ5" s="501">
        <f>[2]tanks!AQ36</f>
        <v>0.68809536201410781</v>
      </c>
      <c r="AR5" s="528">
        <f>[2]tanks!AR36</f>
        <v>63972.225806451606</v>
      </c>
      <c r="AS5" s="528">
        <f>[2]tanks!AS36</f>
        <v>-4016.3870967742041</v>
      </c>
      <c r="AT5" s="528">
        <f>[2]tanks!AT36</f>
        <v>12060</v>
      </c>
      <c r="AU5" s="528">
        <f>[2]tanks!AU36</f>
        <v>1.0029999999999999</v>
      </c>
      <c r="AV5" s="528">
        <f>[2]tanks!AV36</f>
        <v>1.0029999999999999</v>
      </c>
      <c r="AW5" s="528">
        <f>[2]tanks!AW36</f>
        <v>-306</v>
      </c>
      <c r="AX5" s="528">
        <f>[2]tanks!AX36</f>
        <v>-3710.3870967742041</v>
      </c>
      <c r="AY5" s="528">
        <f>[2]tanks!AY36</f>
        <v>-4016.3870967742041</v>
      </c>
      <c r="AZ5" s="501">
        <f>[2]tanks!AZ36</f>
        <v>0</v>
      </c>
      <c r="BA5" s="528">
        <f>[2]tanks!BA36</f>
        <v>25.5</v>
      </c>
      <c r="BB5" s="501">
        <f>[2]tanks!BB36</f>
        <v>0.75</v>
      </c>
      <c r="BC5" s="528">
        <f>[2]tanks!BC36</f>
        <v>0</v>
      </c>
      <c r="BD5" s="528">
        <f>[2]tanks!BD36</f>
        <v>0</v>
      </c>
      <c r="BE5" s="528">
        <f>[2]tanks!BE36</f>
        <v>0</v>
      </c>
      <c r="BF5" s="528">
        <f>[2]tanks!BF36</f>
        <v>0</v>
      </c>
      <c r="BG5" s="528">
        <f>[2]tanks!BG36</f>
        <v>0</v>
      </c>
      <c r="BH5" s="528">
        <f>[2]tanks!BH36</f>
        <v>0</v>
      </c>
      <c r="BI5" s="203"/>
    </row>
    <row r="6" spans="1:63">
      <c r="A6" s="442">
        <f>ELEC!C4</f>
        <v>44348</v>
      </c>
      <c r="B6" s="528">
        <f>B5</f>
        <v>207</v>
      </c>
      <c r="C6" s="203">
        <f>B6*$B$4</f>
        <v>4453.8387096774195</v>
      </c>
      <c r="D6">
        <f>SUM(B6)</f>
        <v>207</v>
      </c>
      <c r="E6" s="203">
        <f>D6*$B$4</f>
        <v>4453.8387096774195</v>
      </c>
      <c r="F6">
        <f>SUM(D6)</f>
        <v>207</v>
      </c>
      <c r="G6" s="203">
        <f t="shared" ref="G6:G33" si="1">F6*$B$4</f>
        <v>4453.8387096774195</v>
      </c>
      <c r="H6" s="203">
        <f>SUM(F6)</f>
        <v>207</v>
      </c>
      <c r="I6" s="203">
        <f t="shared" ref="I6:I33" si="2">H6*$B$4</f>
        <v>4453.8387096774195</v>
      </c>
      <c r="J6" s="203">
        <f>SUM(H6)</f>
        <v>207</v>
      </c>
      <c r="K6" s="203">
        <f t="shared" ref="K6:K33" si="3">J6*$B$4</f>
        <v>4453.8387096774195</v>
      </c>
      <c r="L6" s="203">
        <f>SUM(J6)</f>
        <v>207</v>
      </c>
      <c r="M6" s="203">
        <f t="shared" ref="M6:M33" si="4">L6*$B$4</f>
        <v>4453.8387096774195</v>
      </c>
      <c r="N6" s="203">
        <f>SUM(L6)</f>
        <v>207</v>
      </c>
      <c r="O6" s="203">
        <f t="shared" ref="O6:O33" si="5">N6*$B$4</f>
        <v>4453.8387096774195</v>
      </c>
      <c r="P6" s="203">
        <f>SUM(N6)</f>
        <v>207</v>
      </c>
      <c r="Q6" s="203">
        <f t="shared" ref="Q6:Q33" si="6">P6*$B$4</f>
        <v>4453.8387096774195</v>
      </c>
      <c r="R6" s="203">
        <f>SUM(P6)</f>
        <v>207</v>
      </c>
      <c r="S6" s="203">
        <f t="shared" ref="S6:S33" si="7">R6*$B$4</f>
        <v>4453.8387096774195</v>
      </c>
      <c r="T6" s="203">
        <f>SUM(R6)</f>
        <v>207</v>
      </c>
      <c r="U6" s="203">
        <f t="shared" ref="U6:U33" si="8">T6*$B$4</f>
        <v>4453.8387096774195</v>
      </c>
      <c r="V6" s="203">
        <f>SUM(T6)</f>
        <v>207</v>
      </c>
      <c r="W6" s="203">
        <f t="shared" ref="W6:W33" si="9">V6*$B$4</f>
        <v>4453.8387096774195</v>
      </c>
      <c r="X6" s="35">
        <f t="shared" ref="X6:X29" si="10">SUM(Y6/73370)</f>
        <v>0.66774193548387084</v>
      </c>
      <c r="Y6" s="36">
        <f>SUM(C6+E6+G6+I6+K6+M6+O6+Q6+S6+U6+W6)</f>
        <v>48992.225806451606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0.68056605148382932</v>
      </c>
      <c r="AR6" s="38">
        <f>Y6+AO6</f>
        <v>63272.225806451606</v>
      </c>
      <c r="AS6" s="197">
        <f>SUM(AR6-AR5-AT6)</f>
        <v>-700</v>
      </c>
      <c r="AT6" s="354"/>
      <c r="AU6" s="589"/>
      <c r="AV6" s="514">
        <f>IF(AT6&gt;0,AU6,AV5)</f>
        <v>1.0029999999999999</v>
      </c>
      <c r="AW6" s="290">
        <f>-SUM('B5'!AI5)</f>
        <v>0</v>
      </c>
      <c r="AX6" s="290">
        <f>-SUM(AW6-AS6)</f>
        <v>-700</v>
      </c>
      <c r="AY6" s="37">
        <f>SUM(AX6+AW6)</f>
        <v>-700</v>
      </c>
      <c r="AZ6" s="100">
        <f>ELEC!A4</f>
        <v>0</v>
      </c>
      <c r="BA6" s="118">
        <f>'General information '!D6</f>
        <v>24</v>
      </c>
      <c r="BB6" s="280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-58.333333333333336</v>
      </c>
      <c r="BK6" s="581">
        <f>GEN!AF3</f>
        <v>0.49557291666663639</v>
      </c>
    </row>
    <row r="7" spans="1:63">
      <c r="A7" s="442">
        <f>ELEC!C5</f>
        <v>44349</v>
      </c>
      <c r="B7">
        <f>'B5'!B6</f>
        <v>191</v>
      </c>
      <c r="C7" s="203">
        <f t="shared" ref="C7:E33" si="18">B7*$B$4</f>
        <v>4109.5806451612898</v>
      </c>
      <c r="D7">
        <f t="shared" ref="D7:D29" si="19">SUM(B7)</f>
        <v>191</v>
      </c>
      <c r="E7" s="203">
        <f t="shared" si="18"/>
        <v>4109.5806451612898</v>
      </c>
      <c r="F7">
        <f t="shared" ref="F7:F29" si="20">SUM(D7)</f>
        <v>191</v>
      </c>
      <c r="G7" s="203">
        <f t="shared" si="1"/>
        <v>4109.5806451612898</v>
      </c>
      <c r="H7" s="203">
        <f t="shared" ref="H7:H29" si="21">SUM(F7)</f>
        <v>191</v>
      </c>
      <c r="I7" s="203">
        <f t="shared" si="2"/>
        <v>4109.5806451612898</v>
      </c>
      <c r="J7" s="203">
        <f t="shared" ref="J7:J29" si="22">SUM(H7)</f>
        <v>191</v>
      </c>
      <c r="K7" s="203">
        <f t="shared" si="3"/>
        <v>4109.5806451612898</v>
      </c>
      <c r="L7" s="203">
        <f t="shared" ref="L7:L29" si="23">SUM(J7)</f>
        <v>191</v>
      </c>
      <c r="M7" s="203">
        <f t="shared" si="4"/>
        <v>4109.5806451612898</v>
      </c>
      <c r="N7" s="203">
        <f t="shared" ref="N7:N29" si="24">SUM(L7)</f>
        <v>191</v>
      </c>
      <c r="O7" s="203">
        <f t="shared" si="5"/>
        <v>4109.5806451612898</v>
      </c>
      <c r="P7" s="203">
        <f t="shared" ref="P7:P29" si="25">SUM(N7)</f>
        <v>191</v>
      </c>
      <c r="Q7" s="203">
        <f t="shared" si="6"/>
        <v>4109.5806451612898</v>
      </c>
      <c r="R7" s="203">
        <f t="shared" ref="R7:R29" si="26">SUM(P7)</f>
        <v>191</v>
      </c>
      <c r="S7" s="203">
        <f t="shared" si="7"/>
        <v>4109.5806451612898</v>
      </c>
      <c r="T7" s="203">
        <f t="shared" ref="T7:T29" si="27">SUM(R7)</f>
        <v>191</v>
      </c>
      <c r="U7" s="203">
        <f t="shared" si="8"/>
        <v>4109.5806451612898</v>
      </c>
      <c r="V7" s="203">
        <f t="shared" ref="V7:V29" si="28">SUM(T7)</f>
        <v>191</v>
      </c>
      <c r="W7" s="203">
        <f t="shared" si="9"/>
        <v>4109.5806451612898</v>
      </c>
      <c r="X7" s="35">
        <f t="shared" si="10"/>
        <v>0.61612903225806426</v>
      </c>
      <c r="Y7" s="36">
        <f t="shared" ref="Y7:Y29" si="29">SUM(C7+E7+G7+I7+K7+M7+O7+Q7+S7+U7+W7)</f>
        <v>45205.387096774175</v>
      </c>
      <c r="Z7" s="203">
        <f>'B5'!C6</f>
        <v>204</v>
      </c>
      <c r="AA7" s="203">
        <f t="shared" ref="AA7:AC33" si="30">SUM(Z7*$Z$4)</f>
        <v>2040</v>
      </c>
      <c r="AB7" s="203">
        <f t="shared" ref="AB7:AB29" si="31">SUM(Z7)</f>
        <v>204</v>
      </c>
      <c r="AC7" s="203">
        <f t="shared" si="30"/>
        <v>2040</v>
      </c>
      <c r="AD7" s="203">
        <f t="shared" ref="AD7:AD29" si="32">SUM(AB7)</f>
        <v>204</v>
      </c>
      <c r="AE7" s="203">
        <f t="shared" si="11"/>
        <v>2040</v>
      </c>
      <c r="AF7" s="203">
        <f t="shared" ref="AF7:AF29" si="33">SUM(AD7)</f>
        <v>204</v>
      </c>
      <c r="AG7" s="203">
        <f t="shared" si="12"/>
        <v>2040</v>
      </c>
      <c r="AH7" s="203">
        <f t="shared" ref="AH7:AH29" si="34">SUM(AF7)</f>
        <v>204</v>
      </c>
      <c r="AI7" s="203">
        <f t="shared" si="13"/>
        <v>2040</v>
      </c>
      <c r="AJ7" s="203">
        <f t="shared" ref="AJ7:AJ29" si="35">SUM(AH7)</f>
        <v>204</v>
      </c>
      <c r="AK7" s="203">
        <f t="shared" si="14"/>
        <v>2040</v>
      </c>
      <c r="AL7" s="203">
        <f t="shared" ref="AL7:AL29" si="36">SUM(AJ7)</f>
        <v>204</v>
      </c>
      <c r="AM7" s="203">
        <f t="shared" si="15"/>
        <v>2040</v>
      </c>
      <c r="AN7" s="35">
        <f t="shared" si="16"/>
        <v>0.72857142857142854</v>
      </c>
      <c r="AO7" s="36">
        <f t="shared" si="17"/>
        <v>14280</v>
      </c>
      <c r="AQ7" s="223">
        <f t="shared" ref="AQ7:AQ33" si="37">SUM(AR7/92970)</f>
        <v>0.63983421637919946</v>
      </c>
      <c r="AR7" s="38">
        <f>Y7+AO7</f>
        <v>59485.387096774175</v>
      </c>
      <c r="AS7" s="197">
        <f t="shared" ref="AS7:AS35" si="38">SUM(AR7-AR6-AT7)</f>
        <v>-3786.8387096774313</v>
      </c>
      <c r="AT7" s="354"/>
      <c r="AU7" s="589"/>
      <c r="AV7" s="514">
        <f>IF(AT7&gt;0,AU7,AV6)</f>
        <v>1.0029999999999999</v>
      </c>
      <c r="AW7" s="290">
        <f>-SUM('B5'!AI6)</f>
        <v>0</v>
      </c>
      <c r="AX7" s="290">
        <f t="shared" ref="AX7:AX33" si="39">-SUM(AW7-AS7)</f>
        <v>-3786.8387096774313</v>
      </c>
      <c r="AY7" s="37">
        <f t="shared" ref="AY7:AY33" si="40">SUM(AX7+AW7)</f>
        <v>-3786.8387096774313</v>
      </c>
      <c r="AZ7" s="100">
        <f>ELEC!A5</f>
        <v>0</v>
      </c>
      <c r="BA7" s="118">
        <f>'General information '!D7</f>
        <v>0</v>
      </c>
      <c r="BB7" s="393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-252.45591397849543</v>
      </c>
      <c r="BK7" s="581" t="e">
        <f>GEN!AF4</f>
        <v>#DIV/0!</v>
      </c>
    </row>
    <row r="8" spans="1:63">
      <c r="A8" s="442">
        <f>ELEC!C6</f>
        <v>44350</v>
      </c>
      <c r="B8">
        <f>'B5'!B7</f>
        <v>191</v>
      </c>
      <c r="C8" s="203">
        <f t="shared" si="18"/>
        <v>4109.5806451612898</v>
      </c>
      <c r="D8">
        <f t="shared" si="19"/>
        <v>191</v>
      </c>
      <c r="E8" s="203">
        <f t="shared" si="18"/>
        <v>4109.5806451612898</v>
      </c>
      <c r="F8">
        <f t="shared" si="20"/>
        <v>191</v>
      </c>
      <c r="G8" s="203">
        <f t="shared" si="1"/>
        <v>4109.5806451612898</v>
      </c>
      <c r="H8" s="203">
        <f t="shared" si="21"/>
        <v>191</v>
      </c>
      <c r="I8" s="203">
        <f t="shared" si="2"/>
        <v>4109.5806451612898</v>
      </c>
      <c r="J8" s="203">
        <f t="shared" si="22"/>
        <v>191</v>
      </c>
      <c r="K8" s="203">
        <f t="shared" si="3"/>
        <v>4109.5806451612898</v>
      </c>
      <c r="L8" s="203">
        <f t="shared" si="23"/>
        <v>191</v>
      </c>
      <c r="M8" s="203">
        <f t="shared" si="4"/>
        <v>4109.5806451612898</v>
      </c>
      <c r="N8" s="203">
        <f t="shared" si="24"/>
        <v>191</v>
      </c>
      <c r="O8" s="203">
        <f t="shared" si="5"/>
        <v>4109.5806451612898</v>
      </c>
      <c r="P8" s="203">
        <f t="shared" si="25"/>
        <v>191</v>
      </c>
      <c r="Q8" s="203">
        <f t="shared" si="6"/>
        <v>4109.5806451612898</v>
      </c>
      <c r="R8" s="203">
        <f t="shared" si="26"/>
        <v>191</v>
      </c>
      <c r="S8" s="203">
        <f t="shared" si="7"/>
        <v>4109.5806451612898</v>
      </c>
      <c r="T8" s="203">
        <f t="shared" si="27"/>
        <v>191</v>
      </c>
      <c r="U8" s="203">
        <f t="shared" si="8"/>
        <v>4109.5806451612898</v>
      </c>
      <c r="V8" s="203">
        <f t="shared" si="28"/>
        <v>191</v>
      </c>
      <c r="W8" s="203">
        <f t="shared" si="9"/>
        <v>4109.5806451612898</v>
      </c>
      <c r="X8" s="35">
        <f t="shared" si="10"/>
        <v>0.61612903225806426</v>
      </c>
      <c r="Y8" s="36">
        <f t="shared" si="29"/>
        <v>45205.387096774175</v>
      </c>
      <c r="Z8" s="203">
        <f>'B5'!C7</f>
        <v>204</v>
      </c>
      <c r="AA8" s="203">
        <f t="shared" si="30"/>
        <v>2040</v>
      </c>
      <c r="AB8" s="203">
        <f t="shared" si="31"/>
        <v>204</v>
      </c>
      <c r="AC8" s="203">
        <f t="shared" si="30"/>
        <v>2040</v>
      </c>
      <c r="AD8" s="203">
        <f t="shared" si="32"/>
        <v>204</v>
      </c>
      <c r="AE8" s="203">
        <f t="shared" si="11"/>
        <v>2040</v>
      </c>
      <c r="AF8" s="203">
        <f t="shared" si="33"/>
        <v>204</v>
      </c>
      <c r="AG8" s="203">
        <f t="shared" si="12"/>
        <v>2040</v>
      </c>
      <c r="AH8" s="203">
        <f t="shared" si="34"/>
        <v>204</v>
      </c>
      <c r="AI8" s="203">
        <f t="shared" si="13"/>
        <v>2040</v>
      </c>
      <c r="AJ8" s="203">
        <f t="shared" si="35"/>
        <v>204</v>
      </c>
      <c r="AK8" s="203">
        <f t="shared" si="14"/>
        <v>2040</v>
      </c>
      <c r="AL8" s="203">
        <f t="shared" si="36"/>
        <v>204</v>
      </c>
      <c r="AM8" s="203">
        <f t="shared" si="15"/>
        <v>2040</v>
      </c>
      <c r="AN8" s="35">
        <f t="shared" si="16"/>
        <v>0.72857142857142854</v>
      </c>
      <c r="AO8" s="36">
        <f t="shared" si="17"/>
        <v>14280</v>
      </c>
      <c r="AQ8" s="223">
        <f t="shared" si="37"/>
        <v>0.63983421637919946</v>
      </c>
      <c r="AR8" s="38">
        <f t="shared" ref="AR8:AR35" si="42">Y8+AO8</f>
        <v>59485.387096774175</v>
      </c>
      <c r="AS8" s="197">
        <f t="shared" si="38"/>
        <v>0</v>
      </c>
      <c r="AT8" s="354"/>
      <c r="AU8" s="589"/>
      <c r="AV8" s="514">
        <f t="shared" ref="AV8:AV31" si="43">IF(AT8&gt;0,AU8,AV7)</f>
        <v>1.0029999999999999</v>
      </c>
      <c r="AW8" s="290">
        <f>-SUM('B5'!AI7)</f>
        <v>0</v>
      </c>
      <c r="AX8" s="290">
        <f t="shared" si="3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93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81" t="e">
        <f>GEN!AF5</f>
        <v>#DIV/0!</v>
      </c>
    </row>
    <row r="9" spans="1:63">
      <c r="A9" s="442">
        <f>ELEC!C7</f>
        <v>44351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204</v>
      </c>
      <c r="AA9" s="203">
        <f t="shared" si="30"/>
        <v>2040</v>
      </c>
      <c r="AB9" s="203">
        <f t="shared" si="31"/>
        <v>204</v>
      </c>
      <c r="AC9" s="203">
        <f t="shared" si="30"/>
        <v>2040</v>
      </c>
      <c r="AD9" s="203">
        <f t="shared" si="32"/>
        <v>204</v>
      </c>
      <c r="AE9" s="203">
        <f t="shared" si="11"/>
        <v>2040</v>
      </c>
      <c r="AF9" s="203">
        <f t="shared" si="33"/>
        <v>204</v>
      </c>
      <c r="AG9" s="203">
        <f t="shared" si="12"/>
        <v>2040</v>
      </c>
      <c r="AH9" s="203">
        <f t="shared" si="34"/>
        <v>204</v>
      </c>
      <c r="AI9" s="203">
        <f t="shared" si="13"/>
        <v>2040</v>
      </c>
      <c r="AJ9" s="203">
        <f t="shared" si="35"/>
        <v>204</v>
      </c>
      <c r="AK9" s="203">
        <f t="shared" si="14"/>
        <v>2040</v>
      </c>
      <c r="AL9" s="203">
        <f t="shared" si="36"/>
        <v>204</v>
      </c>
      <c r="AM9" s="203">
        <f t="shared" si="15"/>
        <v>2040</v>
      </c>
      <c r="AN9" s="35">
        <f t="shared" si="16"/>
        <v>0.72857142857142854</v>
      </c>
      <c r="AO9" s="36">
        <f>SUM(AA9+AC9+AE9+AG9+AI9+AK9+AM9)</f>
        <v>14280</v>
      </c>
      <c r="AQ9" s="223">
        <f t="shared" si="37"/>
        <v>0.63983421637919946</v>
      </c>
      <c r="AR9" s="38">
        <f t="shared" si="42"/>
        <v>59485.387096774175</v>
      </c>
      <c r="AS9" s="197">
        <f t="shared" si="38"/>
        <v>0</v>
      </c>
      <c r="AT9" s="487"/>
      <c r="AU9" s="589"/>
      <c r="AV9" s="514">
        <f t="shared" si="43"/>
        <v>1.0029999999999999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93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81" t="e">
        <f>GEN!AF6</f>
        <v>#DIV/0!</v>
      </c>
    </row>
    <row r="10" spans="1:63">
      <c r="A10" s="442">
        <f>ELEC!C8</f>
        <v>44352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204</v>
      </c>
      <c r="AA10" s="203">
        <f t="shared" si="30"/>
        <v>2040</v>
      </c>
      <c r="AB10" s="203">
        <f t="shared" si="31"/>
        <v>204</v>
      </c>
      <c r="AC10" s="203">
        <f t="shared" si="30"/>
        <v>2040</v>
      </c>
      <c r="AD10" s="203">
        <f t="shared" si="32"/>
        <v>204</v>
      </c>
      <c r="AE10" s="203">
        <f t="shared" si="11"/>
        <v>2040</v>
      </c>
      <c r="AF10" s="203">
        <f t="shared" si="33"/>
        <v>204</v>
      </c>
      <c r="AG10" s="203">
        <f t="shared" si="12"/>
        <v>2040</v>
      </c>
      <c r="AH10" s="203">
        <f t="shared" si="34"/>
        <v>204</v>
      </c>
      <c r="AI10" s="203">
        <f t="shared" si="13"/>
        <v>2040</v>
      </c>
      <c r="AJ10" s="203">
        <f t="shared" si="35"/>
        <v>204</v>
      </c>
      <c r="AK10" s="203">
        <f t="shared" si="14"/>
        <v>2040</v>
      </c>
      <c r="AL10" s="203">
        <f t="shared" si="36"/>
        <v>204</v>
      </c>
      <c r="AM10" s="203">
        <f t="shared" si="15"/>
        <v>2040</v>
      </c>
      <c r="AN10" s="35">
        <f t="shared" si="16"/>
        <v>0.72857142857142854</v>
      </c>
      <c r="AO10" s="36">
        <f t="shared" si="17"/>
        <v>14280</v>
      </c>
      <c r="AQ10" s="223">
        <f t="shared" si="37"/>
        <v>0.63983421637919946</v>
      </c>
      <c r="AR10" s="38">
        <f t="shared" si="42"/>
        <v>59485.387096774175</v>
      </c>
      <c r="AS10" s="197">
        <f t="shared" si="38"/>
        <v>0</v>
      </c>
      <c r="AT10" s="354"/>
      <c r="AU10" s="589"/>
      <c r="AV10" s="514">
        <f>IF(AT10&gt;0,AU10,AV9)</f>
        <v>1.0029999999999999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ELEC!A8</f>
        <v>0</v>
      </c>
      <c r="BA10" s="118">
        <f>'General information '!D10</f>
        <v>0</v>
      </c>
      <c r="BB10" s="393">
        <f>SUM('General information '!E10)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81" t="e">
        <f>GEN!AF7</f>
        <v>#DIV/0!</v>
      </c>
    </row>
    <row r="11" spans="1:63">
      <c r="A11" s="442">
        <f>ELEC!C9</f>
        <v>44353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204</v>
      </c>
      <c r="AA11" s="203">
        <f t="shared" si="30"/>
        <v>2040</v>
      </c>
      <c r="AB11" s="203">
        <f>SUM(Z11)</f>
        <v>204</v>
      </c>
      <c r="AC11" s="203">
        <f t="shared" si="30"/>
        <v>2040</v>
      </c>
      <c r="AD11" s="203">
        <f>SUM(AB11)</f>
        <v>204</v>
      </c>
      <c r="AE11" s="203">
        <f t="shared" si="11"/>
        <v>2040</v>
      </c>
      <c r="AF11" s="203">
        <f>SUM(AD11)</f>
        <v>204</v>
      </c>
      <c r="AG11" s="203">
        <f t="shared" si="12"/>
        <v>2040</v>
      </c>
      <c r="AH11" s="203">
        <f>SUM(AF11)</f>
        <v>204</v>
      </c>
      <c r="AI11" s="203">
        <f t="shared" si="13"/>
        <v>2040</v>
      </c>
      <c r="AJ11" s="203">
        <f>SUM(AH11)</f>
        <v>204</v>
      </c>
      <c r="AK11" s="203">
        <f t="shared" si="14"/>
        <v>2040</v>
      </c>
      <c r="AL11" s="203">
        <f>SUM(AJ11)</f>
        <v>204</v>
      </c>
      <c r="AM11" s="203">
        <f t="shared" si="15"/>
        <v>2040</v>
      </c>
      <c r="AN11" s="35">
        <f>SUM(AO11/19600)</f>
        <v>0.72857142857142854</v>
      </c>
      <c r="AO11" s="36">
        <f t="shared" si="17"/>
        <v>14280</v>
      </c>
      <c r="AP11" s="556"/>
      <c r="AQ11" s="223">
        <f t="shared" si="37"/>
        <v>0.63983421637919946</v>
      </c>
      <c r="AR11" s="38">
        <f t="shared" si="42"/>
        <v>59485.387096774175</v>
      </c>
      <c r="AS11" s="197">
        <f t="shared" si="38"/>
        <v>0</v>
      </c>
      <c r="AT11" s="354"/>
      <c r="AU11" s="589"/>
      <c r="AV11" s="514">
        <f>IF(AT11&gt;0,AU11,AV10)</f>
        <v>1.0029999999999999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ELEC!A9</f>
        <v>0</v>
      </c>
      <c r="BA11" s="118">
        <f>'General information '!D11</f>
        <v>0</v>
      </c>
      <c r="BB11" s="393">
        <f>SUM('General information '!E11)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81" t="e">
        <f>GEN!AF8</f>
        <v>#DIV/0!</v>
      </c>
    </row>
    <row r="12" spans="1:63">
      <c r="A12" s="442">
        <f>ELEC!C10</f>
        <v>44354</v>
      </c>
      <c r="B12">
        <f>'B5'!B11</f>
        <v>191</v>
      </c>
      <c r="C12" s="203">
        <f t="shared" si="18"/>
        <v>4109.5806451612898</v>
      </c>
      <c r="D12">
        <f t="shared" si="19"/>
        <v>191</v>
      </c>
      <c r="E12" s="203">
        <f t="shared" si="18"/>
        <v>4109.5806451612898</v>
      </c>
      <c r="F12">
        <f t="shared" si="20"/>
        <v>191</v>
      </c>
      <c r="G12" s="203">
        <f t="shared" si="1"/>
        <v>4109.5806451612898</v>
      </c>
      <c r="H12" s="203">
        <f t="shared" si="21"/>
        <v>191</v>
      </c>
      <c r="I12" s="203">
        <f t="shared" si="2"/>
        <v>4109.5806451612898</v>
      </c>
      <c r="J12" s="203">
        <f t="shared" si="22"/>
        <v>191</v>
      </c>
      <c r="K12" s="203">
        <f t="shared" si="3"/>
        <v>4109.5806451612898</v>
      </c>
      <c r="L12" s="203">
        <f t="shared" si="23"/>
        <v>191</v>
      </c>
      <c r="M12" s="203">
        <f t="shared" si="4"/>
        <v>4109.5806451612898</v>
      </c>
      <c r="N12" s="203">
        <f t="shared" si="24"/>
        <v>191</v>
      </c>
      <c r="O12" s="203">
        <f t="shared" si="5"/>
        <v>4109.5806451612898</v>
      </c>
      <c r="P12" s="203">
        <f t="shared" si="25"/>
        <v>191</v>
      </c>
      <c r="Q12" s="203">
        <f t="shared" si="6"/>
        <v>4109.5806451612898</v>
      </c>
      <c r="R12" s="203">
        <f t="shared" si="26"/>
        <v>191</v>
      </c>
      <c r="S12" s="203">
        <f t="shared" si="7"/>
        <v>4109.5806451612898</v>
      </c>
      <c r="T12" s="203">
        <f t="shared" si="27"/>
        <v>191</v>
      </c>
      <c r="U12" s="203">
        <f t="shared" si="8"/>
        <v>4109.5806451612898</v>
      </c>
      <c r="V12" s="203">
        <f t="shared" si="28"/>
        <v>191</v>
      </c>
      <c r="W12" s="203">
        <f t="shared" si="9"/>
        <v>4109.5806451612898</v>
      </c>
      <c r="X12" s="35">
        <f t="shared" si="10"/>
        <v>0.61612903225806426</v>
      </c>
      <c r="Y12" s="36">
        <f t="shared" si="29"/>
        <v>45205.387096774175</v>
      </c>
      <c r="Z12" s="203">
        <f>'B5'!C11</f>
        <v>204</v>
      </c>
      <c r="AA12" s="203">
        <f t="shared" si="30"/>
        <v>2040</v>
      </c>
      <c r="AB12" s="203">
        <f t="shared" si="31"/>
        <v>204</v>
      </c>
      <c r="AC12" s="203">
        <f t="shared" si="30"/>
        <v>2040</v>
      </c>
      <c r="AD12" s="203">
        <f t="shared" si="32"/>
        <v>204</v>
      </c>
      <c r="AE12" s="203">
        <f t="shared" si="11"/>
        <v>2040</v>
      </c>
      <c r="AF12" s="203">
        <f t="shared" si="33"/>
        <v>204</v>
      </c>
      <c r="AG12" s="203">
        <f t="shared" si="12"/>
        <v>2040</v>
      </c>
      <c r="AH12" s="203">
        <f t="shared" si="34"/>
        <v>204</v>
      </c>
      <c r="AI12" s="203">
        <f t="shared" si="13"/>
        <v>2040</v>
      </c>
      <c r="AJ12" s="203">
        <f t="shared" si="35"/>
        <v>204</v>
      </c>
      <c r="AK12" s="203">
        <f t="shared" si="14"/>
        <v>2040</v>
      </c>
      <c r="AL12" s="203">
        <f t="shared" si="36"/>
        <v>204</v>
      </c>
      <c r="AM12" s="203">
        <f t="shared" si="15"/>
        <v>2040</v>
      </c>
      <c r="AN12" s="35">
        <f t="shared" si="16"/>
        <v>0.72857142857142854</v>
      </c>
      <c r="AO12" s="36">
        <f t="shared" si="17"/>
        <v>14280</v>
      </c>
      <c r="AP12" s="556"/>
      <c r="AQ12" s="223">
        <f t="shared" si="37"/>
        <v>0.63983421637919946</v>
      </c>
      <c r="AR12" s="38">
        <f t="shared" si="42"/>
        <v>59485.387096774175</v>
      </c>
      <c r="AS12" s="197">
        <f t="shared" si="38"/>
        <v>0</v>
      </c>
      <c r="AT12" s="271"/>
      <c r="AU12" s="589"/>
      <c r="AV12" s="514">
        <f t="shared" si="43"/>
        <v>1.0029999999999999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3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81" t="e">
        <f>GEN!AF9</f>
        <v>#DIV/0!</v>
      </c>
    </row>
    <row r="13" spans="1:63">
      <c r="A13" s="442">
        <f>ELEC!C11</f>
        <v>44355</v>
      </c>
      <c r="B13">
        <f>'B5'!B12</f>
        <v>191</v>
      </c>
      <c r="C13" s="203">
        <f t="shared" si="18"/>
        <v>4109.5806451612898</v>
      </c>
      <c r="D13">
        <f t="shared" si="19"/>
        <v>191</v>
      </c>
      <c r="E13" s="203">
        <f t="shared" si="18"/>
        <v>4109.5806451612898</v>
      </c>
      <c r="F13">
        <f t="shared" si="20"/>
        <v>191</v>
      </c>
      <c r="G13" s="203">
        <f t="shared" si="1"/>
        <v>4109.5806451612898</v>
      </c>
      <c r="H13" s="203">
        <f t="shared" si="21"/>
        <v>191</v>
      </c>
      <c r="I13" s="203">
        <f t="shared" si="2"/>
        <v>4109.5806451612898</v>
      </c>
      <c r="J13" s="203">
        <f t="shared" si="22"/>
        <v>191</v>
      </c>
      <c r="K13" s="203">
        <f t="shared" si="3"/>
        <v>4109.5806451612898</v>
      </c>
      <c r="L13" s="203">
        <f t="shared" si="23"/>
        <v>191</v>
      </c>
      <c r="M13" s="203">
        <f t="shared" si="4"/>
        <v>4109.5806451612898</v>
      </c>
      <c r="N13" s="203">
        <f t="shared" si="24"/>
        <v>191</v>
      </c>
      <c r="O13" s="203">
        <f t="shared" si="5"/>
        <v>4109.5806451612898</v>
      </c>
      <c r="P13" s="203">
        <f t="shared" si="25"/>
        <v>191</v>
      </c>
      <c r="Q13" s="203">
        <f t="shared" si="6"/>
        <v>4109.5806451612898</v>
      </c>
      <c r="R13" s="203">
        <f t="shared" si="26"/>
        <v>191</v>
      </c>
      <c r="S13" s="203">
        <f t="shared" si="7"/>
        <v>4109.5806451612898</v>
      </c>
      <c r="T13" s="203">
        <f t="shared" si="27"/>
        <v>191</v>
      </c>
      <c r="U13" s="203">
        <f t="shared" si="8"/>
        <v>4109.5806451612898</v>
      </c>
      <c r="V13" s="203">
        <f t="shared" si="28"/>
        <v>191</v>
      </c>
      <c r="W13" s="203">
        <f t="shared" si="9"/>
        <v>4109.5806451612898</v>
      </c>
      <c r="X13" s="35">
        <f t="shared" si="10"/>
        <v>0.61612903225806426</v>
      </c>
      <c r="Y13" s="36">
        <f t="shared" si="29"/>
        <v>45205.387096774175</v>
      </c>
      <c r="Z13" s="203">
        <f>'B5'!C12</f>
        <v>204</v>
      </c>
      <c r="AA13" s="203">
        <f t="shared" si="30"/>
        <v>2040</v>
      </c>
      <c r="AB13" s="203">
        <f t="shared" si="31"/>
        <v>204</v>
      </c>
      <c r="AC13" s="203">
        <f t="shared" si="30"/>
        <v>2040</v>
      </c>
      <c r="AD13" s="203">
        <f t="shared" si="32"/>
        <v>204</v>
      </c>
      <c r="AE13" s="203">
        <f t="shared" si="11"/>
        <v>2040</v>
      </c>
      <c r="AF13" s="203">
        <f t="shared" si="33"/>
        <v>204</v>
      </c>
      <c r="AG13" s="203">
        <f t="shared" si="12"/>
        <v>2040</v>
      </c>
      <c r="AH13" s="203">
        <f t="shared" si="34"/>
        <v>204</v>
      </c>
      <c r="AI13" s="203">
        <f t="shared" si="13"/>
        <v>2040</v>
      </c>
      <c r="AJ13" s="203">
        <f t="shared" si="35"/>
        <v>204</v>
      </c>
      <c r="AK13" s="203">
        <f t="shared" si="14"/>
        <v>2040</v>
      </c>
      <c r="AL13" s="203">
        <f t="shared" si="36"/>
        <v>204</v>
      </c>
      <c r="AM13" s="203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56"/>
      <c r="AQ13" s="223">
        <f t="shared" si="37"/>
        <v>0.63983421637919946</v>
      </c>
      <c r="AR13" s="38">
        <f t="shared" si="42"/>
        <v>59485.387096774175</v>
      </c>
      <c r="AS13" s="197">
        <f t="shared" si="38"/>
        <v>0</v>
      </c>
      <c r="AT13" s="271"/>
      <c r="AU13" s="589"/>
      <c r="AV13" s="514">
        <f t="shared" si="43"/>
        <v>1.0029999999999999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3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81" t="e">
        <f>GEN!AF10</f>
        <v>#DIV/0!</v>
      </c>
    </row>
    <row r="14" spans="1:63">
      <c r="A14" s="442">
        <f>ELEC!C12</f>
        <v>44356</v>
      </c>
      <c r="B14">
        <f>'B5'!B13</f>
        <v>191</v>
      </c>
      <c r="C14" s="203">
        <f t="shared" si="18"/>
        <v>4109.5806451612898</v>
      </c>
      <c r="D14">
        <f t="shared" si="19"/>
        <v>191</v>
      </c>
      <c r="E14" s="203">
        <f t="shared" si="18"/>
        <v>4109.5806451612898</v>
      </c>
      <c r="F14">
        <f t="shared" si="20"/>
        <v>191</v>
      </c>
      <c r="G14" s="203">
        <f t="shared" si="1"/>
        <v>4109.5806451612898</v>
      </c>
      <c r="H14" s="203">
        <f t="shared" si="21"/>
        <v>191</v>
      </c>
      <c r="I14" s="203">
        <f t="shared" si="2"/>
        <v>4109.5806451612898</v>
      </c>
      <c r="J14" s="203">
        <f t="shared" si="22"/>
        <v>191</v>
      </c>
      <c r="K14" s="203">
        <f t="shared" si="3"/>
        <v>4109.5806451612898</v>
      </c>
      <c r="L14" s="203">
        <f t="shared" si="23"/>
        <v>191</v>
      </c>
      <c r="M14" s="203">
        <f t="shared" si="4"/>
        <v>4109.5806451612898</v>
      </c>
      <c r="N14" s="203">
        <f t="shared" si="24"/>
        <v>191</v>
      </c>
      <c r="O14" s="203">
        <f t="shared" si="5"/>
        <v>4109.5806451612898</v>
      </c>
      <c r="P14" s="203">
        <f t="shared" si="25"/>
        <v>191</v>
      </c>
      <c r="Q14" s="203">
        <f t="shared" si="6"/>
        <v>4109.5806451612898</v>
      </c>
      <c r="R14" s="203">
        <f t="shared" si="26"/>
        <v>191</v>
      </c>
      <c r="S14" s="203">
        <f t="shared" si="7"/>
        <v>4109.5806451612898</v>
      </c>
      <c r="T14" s="203">
        <f t="shared" si="27"/>
        <v>191</v>
      </c>
      <c r="U14" s="203">
        <f t="shared" si="8"/>
        <v>4109.5806451612898</v>
      </c>
      <c r="V14" s="203">
        <f t="shared" si="28"/>
        <v>191</v>
      </c>
      <c r="W14" s="203">
        <f t="shared" si="9"/>
        <v>4109.5806451612898</v>
      </c>
      <c r="X14" s="35">
        <f t="shared" si="10"/>
        <v>0.61612903225806426</v>
      </c>
      <c r="Y14" s="36">
        <f t="shared" si="29"/>
        <v>45205.387096774175</v>
      </c>
      <c r="Z14" s="203">
        <f>'B5'!C13</f>
        <v>204</v>
      </c>
      <c r="AA14" s="203">
        <f t="shared" si="30"/>
        <v>2040</v>
      </c>
      <c r="AB14" s="203">
        <f t="shared" si="31"/>
        <v>204</v>
      </c>
      <c r="AC14" s="203">
        <f t="shared" si="30"/>
        <v>2040</v>
      </c>
      <c r="AD14" s="203">
        <f t="shared" si="32"/>
        <v>204</v>
      </c>
      <c r="AE14" s="203">
        <f t="shared" si="11"/>
        <v>2040</v>
      </c>
      <c r="AF14" s="203">
        <f t="shared" si="33"/>
        <v>204</v>
      </c>
      <c r="AG14" s="203">
        <f t="shared" si="12"/>
        <v>2040</v>
      </c>
      <c r="AH14" s="203">
        <f t="shared" si="34"/>
        <v>204</v>
      </c>
      <c r="AI14" s="203">
        <f t="shared" si="13"/>
        <v>2040</v>
      </c>
      <c r="AJ14" s="203">
        <f t="shared" si="35"/>
        <v>204</v>
      </c>
      <c r="AK14" s="203">
        <f t="shared" si="14"/>
        <v>2040</v>
      </c>
      <c r="AL14" s="203">
        <f t="shared" si="36"/>
        <v>204</v>
      </c>
      <c r="AM14" s="203">
        <f t="shared" si="15"/>
        <v>2040</v>
      </c>
      <c r="AN14" s="35">
        <f t="shared" si="16"/>
        <v>0.72857142857142854</v>
      </c>
      <c r="AO14" s="36">
        <f t="shared" si="17"/>
        <v>14280</v>
      </c>
      <c r="AQ14" s="223">
        <f t="shared" si="37"/>
        <v>0.63983421637919946</v>
      </c>
      <c r="AR14" s="38">
        <f t="shared" si="42"/>
        <v>59485.387096774175</v>
      </c>
      <c r="AS14" s="197">
        <f t="shared" si="38"/>
        <v>0</v>
      </c>
      <c r="AT14" s="271"/>
      <c r="AU14" s="589"/>
      <c r="AV14" s="514">
        <f t="shared" si="43"/>
        <v>1.0029999999999999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3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81" t="e">
        <f>GEN!AF11</f>
        <v>#DIV/0!</v>
      </c>
    </row>
    <row r="15" spans="1:63" ht="13.5" customHeight="1">
      <c r="A15" s="442">
        <f>ELEC!C13</f>
        <v>44357</v>
      </c>
      <c r="B15">
        <f>'B5'!B14</f>
        <v>191</v>
      </c>
      <c r="C15" s="203">
        <f>B15*$B$4</f>
        <v>4109.5806451612898</v>
      </c>
      <c r="D15">
        <f t="shared" si="19"/>
        <v>191</v>
      </c>
      <c r="E15" s="203">
        <f t="shared" si="18"/>
        <v>4109.5806451612898</v>
      </c>
      <c r="F15">
        <f t="shared" si="20"/>
        <v>191</v>
      </c>
      <c r="G15" s="203">
        <f t="shared" si="1"/>
        <v>4109.5806451612898</v>
      </c>
      <c r="H15" s="203">
        <f t="shared" si="21"/>
        <v>191</v>
      </c>
      <c r="I15" s="203">
        <f t="shared" si="2"/>
        <v>4109.5806451612898</v>
      </c>
      <c r="J15" s="203">
        <f t="shared" si="22"/>
        <v>191</v>
      </c>
      <c r="K15" s="203">
        <f t="shared" si="3"/>
        <v>4109.5806451612898</v>
      </c>
      <c r="L15" s="203">
        <f t="shared" si="23"/>
        <v>191</v>
      </c>
      <c r="M15" s="203">
        <f t="shared" si="4"/>
        <v>4109.5806451612898</v>
      </c>
      <c r="N15" s="203">
        <f t="shared" si="24"/>
        <v>191</v>
      </c>
      <c r="O15" s="203">
        <f t="shared" si="5"/>
        <v>4109.5806451612898</v>
      </c>
      <c r="P15" s="203">
        <f t="shared" si="25"/>
        <v>191</v>
      </c>
      <c r="Q15" s="203">
        <f t="shared" si="6"/>
        <v>4109.5806451612898</v>
      </c>
      <c r="R15" s="203">
        <f t="shared" si="26"/>
        <v>191</v>
      </c>
      <c r="S15" s="203">
        <f t="shared" si="7"/>
        <v>4109.5806451612898</v>
      </c>
      <c r="T15" s="203">
        <f t="shared" si="27"/>
        <v>191</v>
      </c>
      <c r="U15" s="203">
        <f t="shared" si="8"/>
        <v>4109.5806451612898</v>
      </c>
      <c r="V15" s="203">
        <f t="shared" si="28"/>
        <v>191</v>
      </c>
      <c r="W15" s="203">
        <f t="shared" si="9"/>
        <v>4109.5806451612898</v>
      </c>
      <c r="X15" s="35">
        <f t="shared" si="10"/>
        <v>0.61612903225806426</v>
      </c>
      <c r="Y15" s="36">
        <f t="shared" si="29"/>
        <v>45205.387096774175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17"/>
        <v>14280</v>
      </c>
      <c r="AQ15" s="223">
        <f t="shared" si="37"/>
        <v>0.63983421637919946</v>
      </c>
      <c r="AR15" s="38">
        <f t="shared" si="42"/>
        <v>59485.387096774175</v>
      </c>
      <c r="AS15" s="197">
        <f t="shared" si="38"/>
        <v>0</v>
      </c>
      <c r="AT15" s="271"/>
      <c r="AU15" s="589"/>
      <c r="AV15" s="514">
        <f>IF(AT15&gt;0,AU15,AV14)</f>
        <v>1.0029999999999999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3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81" t="e">
        <f>GEN!AF12</f>
        <v>#DIV/0!</v>
      </c>
    </row>
    <row r="16" spans="1:63">
      <c r="A16" s="442">
        <f>ELEC!C14</f>
        <v>44358</v>
      </c>
      <c r="B16">
        <f>'B5'!B15</f>
        <v>191</v>
      </c>
      <c r="C16" s="203">
        <f t="shared" si="18"/>
        <v>4109.5806451612898</v>
      </c>
      <c r="D16">
        <f t="shared" si="19"/>
        <v>191</v>
      </c>
      <c r="E16" s="203">
        <f t="shared" si="18"/>
        <v>4109.5806451612898</v>
      </c>
      <c r="F16">
        <f t="shared" si="20"/>
        <v>191</v>
      </c>
      <c r="G16" s="203">
        <f t="shared" si="1"/>
        <v>4109.5806451612898</v>
      </c>
      <c r="H16" s="203">
        <f t="shared" si="21"/>
        <v>191</v>
      </c>
      <c r="I16" s="203">
        <f t="shared" si="2"/>
        <v>4109.5806451612898</v>
      </c>
      <c r="J16" s="203">
        <f t="shared" si="22"/>
        <v>191</v>
      </c>
      <c r="K16" s="203">
        <f t="shared" si="3"/>
        <v>4109.5806451612898</v>
      </c>
      <c r="L16" s="203">
        <f t="shared" si="23"/>
        <v>191</v>
      </c>
      <c r="M16" s="203">
        <f t="shared" si="4"/>
        <v>4109.5806451612898</v>
      </c>
      <c r="N16" s="203">
        <f t="shared" si="24"/>
        <v>191</v>
      </c>
      <c r="O16" s="203">
        <f t="shared" si="5"/>
        <v>4109.5806451612898</v>
      </c>
      <c r="P16" s="203">
        <f t="shared" si="25"/>
        <v>191</v>
      </c>
      <c r="Q16" s="203">
        <f t="shared" si="6"/>
        <v>4109.5806451612898</v>
      </c>
      <c r="R16" s="203">
        <f t="shared" si="26"/>
        <v>191</v>
      </c>
      <c r="S16" s="203">
        <f t="shared" si="7"/>
        <v>4109.5806451612898</v>
      </c>
      <c r="T16" s="203">
        <f t="shared" si="27"/>
        <v>191</v>
      </c>
      <c r="U16" s="203">
        <f t="shared" si="8"/>
        <v>4109.5806451612898</v>
      </c>
      <c r="V16" s="203">
        <f t="shared" si="28"/>
        <v>191</v>
      </c>
      <c r="W16" s="203">
        <f t="shared" si="9"/>
        <v>4109.5806451612898</v>
      </c>
      <c r="X16" s="35">
        <f t="shared" si="10"/>
        <v>0.61612903225806426</v>
      </c>
      <c r="Y16" s="36">
        <f t="shared" si="29"/>
        <v>45205.387096774175</v>
      </c>
      <c r="Z16" s="203">
        <f>'B5'!C15</f>
        <v>204</v>
      </c>
      <c r="AA16" s="203">
        <f t="shared" si="30"/>
        <v>2040</v>
      </c>
      <c r="AB16" s="203">
        <f t="shared" si="31"/>
        <v>204</v>
      </c>
      <c r="AC16" s="203">
        <f t="shared" si="30"/>
        <v>2040</v>
      </c>
      <c r="AD16" s="203">
        <f t="shared" si="32"/>
        <v>204</v>
      </c>
      <c r="AE16" s="203">
        <f t="shared" si="11"/>
        <v>2040</v>
      </c>
      <c r="AF16" s="203">
        <f t="shared" si="33"/>
        <v>204</v>
      </c>
      <c r="AG16" s="203">
        <f t="shared" si="12"/>
        <v>2040</v>
      </c>
      <c r="AH16" s="203">
        <f t="shared" si="34"/>
        <v>204</v>
      </c>
      <c r="AI16" s="203">
        <f t="shared" si="13"/>
        <v>2040</v>
      </c>
      <c r="AJ16" s="203">
        <f t="shared" si="35"/>
        <v>204</v>
      </c>
      <c r="AK16" s="203">
        <f t="shared" si="14"/>
        <v>2040</v>
      </c>
      <c r="AL16" s="203">
        <f t="shared" si="36"/>
        <v>204</v>
      </c>
      <c r="AM16" s="203">
        <f t="shared" si="15"/>
        <v>2040</v>
      </c>
      <c r="AN16" s="35">
        <f t="shared" si="16"/>
        <v>0.72857142857142854</v>
      </c>
      <c r="AO16" s="36">
        <f t="shared" si="17"/>
        <v>14280</v>
      </c>
      <c r="AQ16" s="223">
        <f t="shared" si="37"/>
        <v>0.63983421637919946</v>
      </c>
      <c r="AR16" s="38">
        <f t="shared" si="42"/>
        <v>59485.387096774175</v>
      </c>
      <c r="AS16" s="197">
        <f t="shared" si="38"/>
        <v>0</v>
      </c>
      <c r="AT16" s="354"/>
      <c r="AU16" s="625"/>
      <c r="AV16" s="514">
        <f>IF(AT16&gt;0,AU16,AV15)</f>
        <v>1.0029999999999999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3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81" t="e">
        <f>GEN!AF13</f>
        <v>#DIV/0!</v>
      </c>
    </row>
    <row r="17" spans="1:64">
      <c r="A17" s="442">
        <f>ELEC!C15</f>
        <v>44359</v>
      </c>
      <c r="B17">
        <f>'B5'!B16</f>
        <v>191</v>
      </c>
      <c r="C17" s="203">
        <f t="shared" si="18"/>
        <v>4109.5806451612898</v>
      </c>
      <c r="D17">
        <f t="shared" si="19"/>
        <v>191</v>
      </c>
      <c r="E17" s="203">
        <f t="shared" si="18"/>
        <v>4109.5806451612898</v>
      </c>
      <c r="F17">
        <f t="shared" si="20"/>
        <v>191</v>
      </c>
      <c r="G17" s="203">
        <f t="shared" si="1"/>
        <v>4109.5806451612898</v>
      </c>
      <c r="H17" s="203">
        <f t="shared" si="21"/>
        <v>191</v>
      </c>
      <c r="I17" s="203">
        <f t="shared" si="2"/>
        <v>4109.5806451612898</v>
      </c>
      <c r="J17" s="203">
        <f t="shared" si="22"/>
        <v>191</v>
      </c>
      <c r="K17" s="203">
        <f t="shared" si="3"/>
        <v>4109.5806451612898</v>
      </c>
      <c r="L17" s="203">
        <f t="shared" si="23"/>
        <v>191</v>
      </c>
      <c r="M17" s="203">
        <f t="shared" si="4"/>
        <v>4109.5806451612898</v>
      </c>
      <c r="N17" s="203">
        <f t="shared" si="24"/>
        <v>191</v>
      </c>
      <c r="O17" s="203">
        <f t="shared" si="5"/>
        <v>4109.5806451612898</v>
      </c>
      <c r="P17" s="203">
        <f t="shared" si="25"/>
        <v>191</v>
      </c>
      <c r="Q17" s="203">
        <f t="shared" si="6"/>
        <v>4109.5806451612898</v>
      </c>
      <c r="R17" s="203">
        <f t="shared" si="26"/>
        <v>191</v>
      </c>
      <c r="S17" s="203">
        <f t="shared" si="7"/>
        <v>4109.5806451612898</v>
      </c>
      <c r="T17" s="203">
        <f t="shared" si="27"/>
        <v>191</v>
      </c>
      <c r="U17" s="203">
        <f t="shared" si="8"/>
        <v>4109.5806451612898</v>
      </c>
      <c r="V17" s="203">
        <f t="shared" si="28"/>
        <v>191</v>
      </c>
      <c r="W17" s="203">
        <f t="shared" si="9"/>
        <v>4109.5806451612898</v>
      </c>
      <c r="X17" s="35">
        <f t="shared" si="10"/>
        <v>0.61612903225806426</v>
      </c>
      <c r="Y17" s="36">
        <f t="shared" si="29"/>
        <v>45205.387096774175</v>
      </c>
      <c r="Z17" s="203">
        <f>'B5'!C16</f>
        <v>204</v>
      </c>
      <c r="AA17" s="203">
        <f t="shared" si="30"/>
        <v>2040</v>
      </c>
      <c r="AB17" s="203">
        <f t="shared" si="31"/>
        <v>204</v>
      </c>
      <c r="AC17" s="203">
        <f t="shared" si="30"/>
        <v>2040</v>
      </c>
      <c r="AD17" s="203">
        <f t="shared" si="32"/>
        <v>204</v>
      </c>
      <c r="AE17" s="203">
        <f t="shared" si="11"/>
        <v>2040</v>
      </c>
      <c r="AF17" s="203">
        <f t="shared" si="33"/>
        <v>204</v>
      </c>
      <c r="AG17" s="203">
        <f t="shared" si="12"/>
        <v>2040</v>
      </c>
      <c r="AH17" s="203">
        <f t="shared" si="34"/>
        <v>204</v>
      </c>
      <c r="AI17" s="203">
        <f t="shared" si="13"/>
        <v>2040</v>
      </c>
      <c r="AJ17" s="203">
        <f t="shared" si="35"/>
        <v>204</v>
      </c>
      <c r="AK17" s="203">
        <f t="shared" si="14"/>
        <v>2040</v>
      </c>
      <c r="AL17" s="203">
        <f t="shared" si="36"/>
        <v>204</v>
      </c>
      <c r="AM17" s="203">
        <f t="shared" si="15"/>
        <v>2040</v>
      </c>
      <c r="AN17" s="35">
        <f t="shared" si="16"/>
        <v>0.72857142857142854</v>
      </c>
      <c r="AO17" s="36">
        <f>SUM(AA17+AC17+AE17+AG17+AI17+AK17+AM17)</f>
        <v>14280</v>
      </c>
      <c r="AQ17" s="223">
        <f t="shared" si="37"/>
        <v>0.63983421637919946</v>
      </c>
      <c r="AR17" s="38">
        <f t="shared" si="42"/>
        <v>59485.387096774175</v>
      </c>
      <c r="AS17" s="197">
        <f t="shared" si="38"/>
        <v>0</v>
      </c>
      <c r="AT17" s="354"/>
      <c r="AU17" s="589"/>
      <c r="AV17" s="514">
        <f t="shared" si="43"/>
        <v>1.0029999999999999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3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42">
        <f>ELEC!C16</f>
        <v>44360</v>
      </c>
      <c r="B18">
        <f>'B5'!B17</f>
        <v>191</v>
      </c>
      <c r="C18" s="203">
        <f t="shared" si="18"/>
        <v>4109.5806451612898</v>
      </c>
      <c r="D18">
        <f t="shared" si="19"/>
        <v>191</v>
      </c>
      <c r="E18" s="203">
        <f t="shared" si="18"/>
        <v>4109.5806451612898</v>
      </c>
      <c r="F18">
        <f t="shared" si="20"/>
        <v>191</v>
      </c>
      <c r="G18" s="203">
        <f t="shared" si="1"/>
        <v>4109.5806451612898</v>
      </c>
      <c r="H18" s="203">
        <f t="shared" si="21"/>
        <v>191</v>
      </c>
      <c r="I18" s="203">
        <f t="shared" si="2"/>
        <v>4109.5806451612898</v>
      </c>
      <c r="J18" s="203">
        <f t="shared" si="22"/>
        <v>191</v>
      </c>
      <c r="K18" s="203">
        <f t="shared" si="3"/>
        <v>4109.5806451612898</v>
      </c>
      <c r="L18" s="203">
        <f t="shared" si="23"/>
        <v>191</v>
      </c>
      <c r="M18" s="203">
        <f t="shared" si="4"/>
        <v>4109.5806451612898</v>
      </c>
      <c r="N18" s="203">
        <f t="shared" si="24"/>
        <v>191</v>
      </c>
      <c r="O18" s="203">
        <f t="shared" si="5"/>
        <v>4109.5806451612898</v>
      </c>
      <c r="P18" s="203">
        <f t="shared" si="25"/>
        <v>191</v>
      </c>
      <c r="Q18" s="203">
        <f t="shared" si="6"/>
        <v>4109.5806451612898</v>
      </c>
      <c r="R18" s="203">
        <f t="shared" si="26"/>
        <v>191</v>
      </c>
      <c r="S18" s="203">
        <f t="shared" si="7"/>
        <v>4109.5806451612898</v>
      </c>
      <c r="T18" s="203">
        <f t="shared" si="27"/>
        <v>191</v>
      </c>
      <c r="U18" s="203">
        <f t="shared" si="8"/>
        <v>4109.5806451612898</v>
      </c>
      <c r="V18" s="203">
        <f t="shared" si="28"/>
        <v>191</v>
      </c>
      <c r="W18" s="203">
        <f t="shared" si="9"/>
        <v>4109.5806451612898</v>
      </c>
      <c r="X18" s="35">
        <f t="shared" si="10"/>
        <v>0.61612903225806426</v>
      </c>
      <c r="Y18" s="36">
        <f t="shared" si="29"/>
        <v>45205.387096774175</v>
      </c>
      <c r="Z18" s="203">
        <f>'B5'!C17</f>
        <v>204</v>
      </c>
      <c r="AA18" s="203">
        <f t="shared" si="30"/>
        <v>2040</v>
      </c>
      <c r="AB18" s="203">
        <f t="shared" si="31"/>
        <v>204</v>
      </c>
      <c r="AC18" s="203">
        <f t="shared" si="30"/>
        <v>2040</v>
      </c>
      <c r="AD18" s="203">
        <f t="shared" si="32"/>
        <v>204</v>
      </c>
      <c r="AE18" s="203">
        <f t="shared" si="11"/>
        <v>2040</v>
      </c>
      <c r="AF18" s="203">
        <f t="shared" si="33"/>
        <v>204</v>
      </c>
      <c r="AG18" s="203">
        <f t="shared" si="12"/>
        <v>2040</v>
      </c>
      <c r="AH18" s="203">
        <f t="shared" si="34"/>
        <v>204</v>
      </c>
      <c r="AI18" s="203">
        <f t="shared" si="13"/>
        <v>2040</v>
      </c>
      <c r="AJ18" s="203">
        <f t="shared" si="35"/>
        <v>204</v>
      </c>
      <c r="AK18" s="203">
        <f t="shared" si="14"/>
        <v>2040</v>
      </c>
      <c r="AL18" s="203">
        <f t="shared" si="36"/>
        <v>204</v>
      </c>
      <c r="AM18" s="203">
        <f t="shared" si="15"/>
        <v>2040</v>
      </c>
      <c r="AN18" s="35">
        <f t="shared" si="16"/>
        <v>0.72857142857142854</v>
      </c>
      <c r="AO18" s="36">
        <f t="shared" si="17"/>
        <v>14280</v>
      </c>
      <c r="AQ18" s="223">
        <f t="shared" si="37"/>
        <v>0.63983421637919946</v>
      </c>
      <c r="AR18" s="38">
        <f t="shared" si="42"/>
        <v>59485.387096774175</v>
      </c>
      <c r="AS18" s="197">
        <f t="shared" si="38"/>
        <v>0</v>
      </c>
      <c r="AT18" s="271"/>
      <c r="AU18" s="589"/>
      <c r="AV18" s="514">
        <f>IF(AT18&gt;0,AU18,AV17)</f>
        <v>1.0029999999999999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3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42">
        <f>ELEC!C17</f>
        <v>44361</v>
      </c>
      <c r="B19">
        <f>'B5'!B18</f>
        <v>191</v>
      </c>
      <c r="C19" s="203">
        <f t="shared" si="18"/>
        <v>4109.5806451612898</v>
      </c>
      <c r="D19">
        <f t="shared" si="19"/>
        <v>191</v>
      </c>
      <c r="E19" s="203">
        <f t="shared" si="18"/>
        <v>4109.5806451612898</v>
      </c>
      <c r="F19">
        <f t="shared" si="20"/>
        <v>191</v>
      </c>
      <c r="G19" s="203">
        <f t="shared" si="1"/>
        <v>4109.5806451612898</v>
      </c>
      <c r="H19" s="203">
        <f t="shared" si="21"/>
        <v>191</v>
      </c>
      <c r="I19" s="203">
        <f t="shared" si="2"/>
        <v>4109.5806451612898</v>
      </c>
      <c r="J19" s="203">
        <f t="shared" si="22"/>
        <v>191</v>
      </c>
      <c r="K19" s="203">
        <f t="shared" si="3"/>
        <v>4109.5806451612898</v>
      </c>
      <c r="L19" s="203">
        <f t="shared" si="23"/>
        <v>191</v>
      </c>
      <c r="M19" s="203">
        <f t="shared" si="4"/>
        <v>4109.5806451612898</v>
      </c>
      <c r="N19" s="203">
        <f t="shared" si="24"/>
        <v>191</v>
      </c>
      <c r="O19" s="203">
        <f t="shared" si="5"/>
        <v>4109.5806451612898</v>
      </c>
      <c r="P19" s="203">
        <f t="shared" si="25"/>
        <v>191</v>
      </c>
      <c r="Q19" s="203">
        <f t="shared" si="6"/>
        <v>4109.5806451612898</v>
      </c>
      <c r="R19" s="203">
        <f t="shared" si="26"/>
        <v>191</v>
      </c>
      <c r="S19" s="203">
        <f t="shared" si="7"/>
        <v>4109.5806451612898</v>
      </c>
      <c r="T19" s="203">
        <f t="shared" si="27"/>
        <v>191</v>
      </c>
      <c r="U19" s="203">
        <f t="shared" si="8"/>
        <v>4109.5806451612898</v>
      </c>
      <c r="V19" s="203">
        <f t="shared" si="28"/>
        <v>191</v>
      </c>
      <c r="W19" s="203">
        <f t="shared" si="9"/>
        <v>4109.5806451612898</v>
      </c>
      <c r="X19" s="35">
        <f t="shared" si="10"/>
        <v>0.61612903225806426</v>
      </c>
      <c r="Y19" s="36">
        <f t="shared" si="29"/>
        <v>45205.387096774175</v>
      </c>
      <c r="Z19" s="203">
        <f>'B5'!C18</f>
        <v>204</v>
      </c>
      <c r="AA19" s="203">
        <f t="shared" si="30"/>
        <v>2040</v>
      </c>
      <c r="AB19" s="203">
        <f t="shared" si="31"/>
        <v>204</v>
      </c>
      <c r="AC19" s="203">
        <f t="shared" si="30"/>
        <v>2040</v>
      </c>
      <c r="AD19" s="203">
        <f t="shared" si="32"/>
        <v>204</v>
      </c>
      <c r="AE19" s="203">
        <f t="shared" si="11"/>
        <v>2040</v>
      </c>
      <c r="AF19" s="203">
        <f t="shared" si="33"/>
        <v>204</v>
      </c>
      <c r="AG19" s="203">
        <f t="shared" si="12"/>
        <v>2040</v>
      </c>
      <c r="AH19" s="203">
        <f t="shared" si="34"/>
        <v>204</v>
      </c>
      <c r="AI19" s="203">
        <f t="shared" si="13"/>
        <v>2040</v>
      </c>
      <c r="AJ19" s="203">
        <f t="shared" si="35"/>
        <v>204</v>
      </c>
      <c r="AK19" s="203">
        <f t="shared" si="14"/>
        <v>2040</v>
      </c>
      <c r="AL19" s="203">
        <f t="shared" si="36"/>
        <v>204</v>
      </c>
      <c r="AM19" s="203">
        <f t="shared" si="15"/>
        <v>2040</v>
      </c>
      <c r="AN19" s="35">
        <f t="shared" si="16"/>
        <v>0.72857142857142854</v>
      </c>
      <c r="AO19" s="36">
        <f t="shared" si="17"/>
        <v>14280</v>
      </c>
      <c r="AQ19" s="223">
        <f t="shared" si="37"/>
        <v>0.63983421637919946</v>
      </c>
      <c r="AR19" s="38">
        <f t="shared" si="42"/>
        <v>59485.387096774175</v>
      </c>
      <c r="AS19" s="197">
        <f t="shared" si="38"/>
        <v>0</v>
      </c>
      <c r="AT19" s="271"/>
      <c r="AU19" s="589"/>
      <c r="AV19" s="514">
        <f t="shared" si="43"/>
        <v>1.0029999999999999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3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42">
        <f>ELEC!C18</f>
        <v>44362</v>
      </c>
      <c r="B20">
        <f>'B5'!B19</f>
        <v>191</v>
      </c>
      <c r="C20" s="203">
        <f t="shared" si="18"/>
        <v>4109.5806451612898</v>
      </c>
      <c r="D20">
        <f t="shared" si="19"/>
        <v>191</v>
      </c>
      <c r="E20" s="203">
        <f t="shared" si="18"/>
        <v>4109.5806451612898</v>
      </c>
      <c r="F20">
        <f t="shared" si="20"/>
        <v>191</v>
      </c>
      <c r="G20" s="203">
        <f t="shared" si="1"/>
        <v>4109.5806451612898</v>
      </c>
      <c r="H20" s="203">
        <f t="shared" si="21"/>
        <v>191</v>
      </c>
      <c r="I20" s="203">
        <f t="shared" si="2"/>
        <v>4109.5806451612898</v>
      </c>
      <c r="J20" s="203">
        <f t="shared" si="22"/>
        <v>191</v>
      </c>
      <c r="K20" s="203">
        <f t="shared" si="3"/>
        <v>4109.5806451612898</v>
      </c>
      <c r="L20" s="203">
        <f t="shared" si="23"/>
        <v>191</v>
      </c>
      <c r="M20" s="203">
        <f t="shared" si="4"/>
        <v>4109.5806451612898</v>
      </c>
      <c r="N20" s="203">
        <f t="shared" si="24"/>
        <v>191</v>
      </c>
      <c r="O20" s="203">
        <f t="shared" si="5"/>
        <v>4109.5806451612898</v>
      </c>
      <c r="P20" s="203">
        <f t="shared" si="25"/>
        <v>191</v>
      </c>
      <c r="Q20" s="203">
        <f t="shared" si="6"/>
        <v>4109.5806451612898</v>
      </c>
      <c r="R20" s="203">
        <f t="shared" si="26"/>
        <v>191</v>
      </c>
      <c r="S20" s="203">
        <f t="shared" si="7"/>
        <v>4109.5806451612898</v>
      </c>
      <c r="T20" s="203">
        <f t="shared" si="27"/>
        <v>191</v>
      </c>
      <c r="U20" s="203">
        <f t="shared" si="8"/>
        <v>4109.5806451612898</v>
      </c>
      <c r="V20" s="203">
        <f t="shared" si="28"/>
        <v>191</v>
      </c>
      <c r="W20" s="203">
        <f t="shared" si="9"/>
        <v>4109.5806451612898</v>
      </c>
      <c r="X20" s="35">
        <f t="shared" si="10"/>
        <v>0.61612903225806426</v>
      </c>
      <c r="Y20" s="36">
        <f t="shared" si="29"/>
        <v>45205.387096774175</v>
      </c>
      <c r="Z20" s="203">
        <f>'B5'!C19</f>
        <v>204</v>
      </c>
      <c r="AA20" s="203">
        <f t="shared" si="30"/>
        <v>2040</v>
      </c>
      <c r="AB20" s="203">
        <f t="shared" si="31"/>
        <v>204</v>
      </c>
      <c r="AC20" s="203">
        <f t="shared" si="30"/>
        <v>2040</v>
      </c>
      <c r="AD20" s="203">
        <f t="shared" si="32"/>
        <v>204</v>
      </c>
      <c r="AE20" s="203">
        <f t="shared" si="11"/>
        <v>2040</v>
      </c>
      <c r="AF20" s="203">
        <f t="shared" si="33"/>
        <v>204</v>
      </c>
      <c r="AG20" s="203">
        <f t="shared" si="12"/>
        <v>2040</v>
      </c>
      <c r="AH20" s="203">
        <f t="shared" si="34"/>
        <v>204</v>
      </c>
      <c r="AI20" s="203">
        <f t="shared" si="13"/>
        <v>2040</v>
      </c>
      <c r="AJ20" s="203">
        <f t="shared" si="35"/>
        <v>204</v>
      </c>
      <c r="AK20" s="203">
        <f t="shared" si="14"/>
        <v>2040</v>
      </c>
      <c r="AL20" s="203">
        <f t="shared" si="36"/>
        <v>204</v>
      </c>
      <c r="AM20" s="203">
        <f t="shared" si="15"/>
        <v>2040</v>
      </c>
      <c r="AN20" s="35">
        <f t="shared" si="16"/>
        <v>0.72857142857142854</v>
      </c>
      <c r="AO20" s="36">
        <f t="shared" si="17"/>
        <v>14280</v>
      </c>
      <c r="AQ20" s="223">
        <f t="shared" si="37"/>
        <v>0.63983421637919946</v>
      </c>
      <c r="AR20" s="38">
        <f t="shared" si="42"/>
        <v>59485.387096774175</v>
      </c>
      <c r="AS20" s="197">
        <f t="shared" si="38"/>
        <v>0</v>
      </c>
      <c r="AT20" s="271"/>
      <c r="AU20" s="589"/>
      <c r="AV20" s="514">
        <f t="shared" si="43"/>
        <v>1.0029999999999999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3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42">
        <f>ELEC!C19</f>
        <v>44363</v>
      </c>
      <c r="B21">
        <f>'B5'!B20</f>
        <v>191</v>
      </c>
      <c r="C21" s="203">
        <f t="shared" si="18"/>
        <v>4109.5806451612898</v>
      </c>
      <c r="D21">
        <f t="shared" si="19"/>
        <v>191</v>
      </c>
      <c r="E21" s="203">
        <f t="shared" si="18"/>
        <v>4109.5806451612898</v>
      </c>
      <c r="F21">
        <f t="shared" si="20"/>
        <v>191</v>
      </c>
      <c r="G21" s="203">
        <f t="shared" si="1"/>
        <v>4109.5806451612898</v>
      </c>
      <c r="H21" s="203">
        <f t="shared" si="21"/>
        <v>191</v>
      </c>
      <c r="I21" s="203">
        <f t="shared" si="2"/>
        <v>4109.5806451612898</v>
      </c>
      <c r="J21" s="203">
        <f t="shared" si="22"/>
        <v>191</v>
      </c>
      <c r="K21" s="203">
        <f t="shared" si="3"/>
        <v>4109.5806451612898</v>
      </c>
      <c r="L21" s="203">
        <f t="shared" si="23"/>
        <v>191</v>
      </c>
      <c r="M21" s="203">
        <f t="shared" si="4"/>
        <v>4109.5806451612898</v>
      </c>
      <c r="N21" s="203">
        <f t="shared" si="24"/>
        <v>191</v>
      </c>
      <c r="O21" s="203">
        <f t="shared" si="5"/>
        <v>4109.5806451612898</v>
      </c>
      <c r="P21" s="203">
        <f t="shared" si="25"/>
        <v>191</v>
      </c>
      <c r="Q21" s="203">
        <f t="shared" si="6"/>
        <v>4109.5806451612898</v>
      </c>
      <c r="R21" s="203">
        <f t="shared" si="26"/>
        <v>191</v>
      </c>
      <c r="S21" s="203">
        <f t="shared" si="7"/>
        <v>4109.5806451612898</v>
      </c>
      <c r="T21" s="203">
        <f t="shared" si="27"/>
        <v>191</v>
      </c>
      <c r="U21" s="203">
        <f t="shared" si="8"/>
        <v>4109.5806451612898</v>
      </c>
      <c r="V21" s="203">
        <f t="shared" si="28"/>
        <v>191</v>
      </c>
      <c r="W21" s="203">
        <f t="shared" si="9"/>
        <v>4109.5806451612898</v>
      </c>
      <c r="X21" s="35">
        <f t="shared" si="10"/>
        <v>0.61612903225806426</v>
      </c>
      <c r="Y21" s="36">
        <f t="shared" si="29"/>
        <v>45205.387096774175</v>
      </c>
      <c r="Z21" s="203">
        <f>'B5'!C20</f>
        <v>204</v>
      </c>
      <c r="AA21" s="203">
        <f t="shared" si="30"/>
        <v>2040</v>
      </c>
      <c r="AB21" s="203">
        <f t="shared" si="31"/>
        <v>204</v>
      </c>
      <c r="AC21" s="203">
        <f t="shared" si="30"/>
        <v>2040</v>
      </c>
      <c r="AD21" s="203">
        <f t="shared" si="32"/>
        <v>204</v>
      </c>
      <c r="AE21" s="203">
        <f t="shared" si="11"/>
        <v>2040</v>
      </c>
      <c r="AF21" s="203">
        <f t="shared" si="33"/>
        <v>204</v>
      </c>
      <c r="AG21" s="203">
        <f t="shared" si="12"/>
        <v>2040</v>
      </c>
      <c r="AH21" s="203">
        <f t="shared" si="34"/>
        <v>204</v>
      </c>
      <c r="AI21" s="203">
        <f t="shared" si="13"/>
        <v>2040</v>
      </c>
      <c r="AJ21" s="203">
        <f t="shared" si="35"/>
        <v>204</v>
      </c>
      <c r="AK21" s="203">
        <f t="shared" si="14"/>
        <v>2040</v>
      </c>
      <c r="AL21" s="203">
        <f t="shared" si="36"/>
        <v>204</v>
      </c>
      <c r="AM21" s="203">
        <f t="shared" si="15"/>
        <v>2040</v>
      </c>
      <c r="AN21" s="35">
        <f t="shared" si="16"/>
        <v>0.72857142857142854</v>
      </c>
      <c r="AO21" s="36">
        <f t="shared" si="17"/>
        <v>14280</v>
      </c>
      <c r="AQ21" s="223">
        <f t="shared" si="37"/>
        <v>0.63983421637919946</v>
      </c>
      <c r="AR21" s="38">
        <f t="shared" si="42"/>
        <v>59485.387096774175</v>
      </c>
      <c r="AS21" s="197">
        <f t="shared" si="38"/>
        <v>0</v>
      </c>
      <c r="AT21" s="271"/>
      <c r="AU21" s="589"/>
      <c r="AV21" s="514">
        <f t="shared" si="43"/>
        <v>1.0029999999999999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3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42">
        <f>ELEC!C20</f>
        <v>44364</v>
      </c>
      <c r="B22">
        <f>'B5'!B21</f>
        <v>191</v>
      </c>
      <c r="C22" s="203">
        <f t="shared" si="18"/>
        <v>4109.5806451612898</v>
      </c>
      <c r="D22">
        <f t="shared" si="19"/>
        <v>191</v>
      </c>
      <c r="E22" s="203">
        <f t="shared" si="18"/>
        <v>4109.5806451612898</v>
      </c>
      <c r="F22">
        <f t="shared" si="20"/>
        <v>191</v>
      </c>
      <c r="G22" s="203">
        <f t="shared" si="1"/>
        <v>4109.5806451612898</v>
      </c>
      <c r="H22" s="203">
        <f t="shared" si="21"/>
        <v>191</v>
      </c>
      <c r="I22" s="203">
        <f t="shared" si="2"/>
        <v>4109.5806451612898</v>
      </c>
      <c r="J22" s="203">
        <f t="shared" si="22"/>
        <v>191</v>
      </c>
      <c r="K22" s="203">
        <f t="shared" si="3"/>
        <v>4109.5806451612898</v>
      </c>
      <c r="L22" s="203">
        <f t="shared" si="23"/>
        <v>191</v>
      </c>
      <c r="M22" s="203">
        <f t="shared" si="4"/>
        <v>4109.5806451612898</v>
      </c>
      <c r="N22" s="203">
        <f t="shared" si="24"/>
        <v>191</v>
      </c>
      <c r="O22" s="203">
        <f t="shared" si="5"/>
        <v>4109.5806451612898</v>
      </c>
      <c r="P22" s="203">
        <f t="shared" si="25"/>
        <v>191</v>
      </c>
      <c r="Q22" s="203">
        <f t="shared" si="6"/>
        <v>4109.5806451612898</v>
      </c>
      <c r="R22" s="203">
        <f t="shared" si="26"/>
        <v>191</v>
      </c>
      <c r="S22" s="203">
        <f t="shared" si="7"/>
        <v>4109.5806451612898</v>
      </c>
      <c r="T22" s="203">
        <f t="shared" si="27"/>
        <v>191</v>
      </c>
      <c r="U22" s="203">
        <f t="shared" si="8"/>
        <v>4109.5806451612898</v>
      </c>
      <c r="V22" s="203">
        <f t="shared" si="28"/>
        <v>191</v>
      </c>
      <c r="W22" s="203">
        <f t="shared" si="9"/>
        <v>4109.5806451612898</v>
      </c>
      <c r="X22" s="35">
        <f t="shared" si="10"/>
        <v>0.61612903225806426</v>
      </c>
      <c r="Y22" s="36">
        <f t="shared" si="29"/>
        <v>45205.387096774175</v>
      </c>
      <c r="Z22" s="203">
        <f>'B5'!C21</f>
        <v>204</v>
      </c>
      <c r="AA22" s="203">
        <f t="shared" si="30"/>
        <v>2040</v>
      </c>
      <c r="AB22" s="203">
        <f t="shared" si="31"/>
        <v>204</v>
      </c>
      <c r="AC22" s="203">
        <f t="shared" si="30"/>
        <v>2040</v>
      </c>
      <c r="AD22" s="203">
        <f t="shared" si="32"/>
        <v>204</v>
      </c>
      <c r="AE22" s="203">
        <f t="shared" si="11"/>
        <v>2040</v>
      </c>
      <c r="AF22" s="203">
        <f t="shared" si="33"/>
        <v>204</v>
      </c>
      <c r="AG22" s="203">
        <f t="shared" si="12"/>
        <v>2040</v>
      </c>
      <c r="AH22" s="203">
        <f t="shared" si="34"/>
        <v>204</v>
      </c>
      <c r="AI22" s="203">
        <f t="shared" si="13"/>
        <v>2040</v>
      </c>
      <c r="AJ22" s="203">
        <f t="shared" si="35"/>
        <v>204</v>
      </c>
      <c r="AK22" s="203">
        <f t="shared" si="14"/>
        <v>2040</v>
      </c>
      <c r="AL22" s="203">
        <f t="shared" si="36"/>
        <v>204</v>
      </c>
      <c r="AM22" s="203">
        <f t="shared" si="15"/>
        <v>2040</v>
      </c>
      <c r="AN22" s="35">
        <f t="shared" si="16"/>
        <v>0.72857142857142854</v>
      </c>
      <c r="AO22" s="36">
        <f t="shared" si="17"/>
        <v>14280</v>
      </c>
      <c r="AQ22" s="223">
        <f t="shared" si="37"/>
        <v>0.63983421637919946</v>
      </c>
      <c r="AR22" s="38">
        <f t="shared" si="42"/>
        <v>59485.387096774175</v>
      </c>
      <c r="AS22" s="197">
        <f t="shared" si="38"/>
        <v>0</v>
      </c>
      <c r="AT22" s="271"/>
      <c r="AU22" s="589"/>
      <c r="AV22" s="514">
        <f t="shared" si="43"/>
        <v>1.0029999999999999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3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2">
        <f>ELEC!C21</f>
        <v>44365</v>
      </c>
      <c r="B23">
        <f>'B5'!B22</f>
        <v>191</v>
      </c>
      <c r="C23" s="203">
        <f t="shared" si="18"/>
        <v>4109.5806451612898</v>
      </c>
      <c r="D23">
        <f t="shared" si="19"/>
        <v>191</v>
      </c>
      <c r="E23" s="203">
        <f t="shared" si="18"/>
        <v>4109.5806451612898</v>
      </c>
      <c r="F23">
        <f t="shared" si="20"/>
        <v>191</v>
      </c>
      <c r="G23" s="203">
        <f t="shared" si="1"/>
        <v>4109.5806451612898</v>
      </c>
      <c r="H23" s="203">
        <f t="shared" si="21"/>
        <v>191</v>
      </c>
      <c r="I23" s="203">
        <f t="shared" si="2"/>
        <v>4109.5806451612898</v>
      </c>
      <c r="J23" s="203">
        <f t="shared" si="22"/>
        <v>191</v>
      </c>
      <c r="K23" s="203">
        <f t="shared" si="3"/>
        <v>4109.5806451612898</v>
      </c>
      <c r="L23" s="203">
        <f t="shared" si="23"/>
        <v>191</v>
      </c>
      <c r="M23" s="203">
        <f t="shared" si="4"/>
        <v>4109.5806451612898</v>
      </c>
      <c r="N23" s="203">
        <f t="shared" si="24"/>
        <v>191</v>
      </c>
      <c r="O23" s="203">
        <f t="shared" si="5"/>
        <v>4109.5806451612898</v>
      </c>
      <c r="P23" s="203">
        <f t="shared" si="25"/>
        <v>191</v>
      </c>
      <c r="Q23" s="203">
        <f t="shared" si="6"/>
        <v>4109.5806451612898</v>
      </c>
      <c r="R23" s="203">
        <f t="shared" si="26"/>
        <v>191</v>
      </c>
      <c r="S23" s="203">
        <f t="shared" si="7"/>
        <v>4109.5806451612898</v>
      </c>
      <c r="T23" s="203">
        <f t="shared" si="27"/>
        <v>191</v>
      </c>
      <c r="U23" s="203">
        <f t="shared" si="8"/>
        <v>4109.5806451612898</v>
      </c>
      <c r="V23" s="203">
        <f t="shared" si="28"/>
        <v>191</v>
      </c>
      <c r="W23" s="203">
        <f t="shared" si="9"/>
        <v>4109.5806451612898</v>
      </c>
      <c r="X23" s="35">
        <f t="shared" si="10"/>
        <v>0.61612903225806426</v>
      </c>
      <c r="Y23" s="36">
        <f t="shared" si="29"/>
        <v>45205.387096774175</v>
      </c>
      <c r="Z23" s="203">
        <f>'B5'!C22</f>
        <v>204</v>
      </c>
      <c r="AA23" s="203">
        <f t="shared" si="30"/>
        <v>2040</v>
      </c>
      <c r="AB23" s="203">
        <f t="shared" si="31"/>
        <v>204</v>
      </c>
      <c r="AC23" s="203">
        <f t="shared" si="30"/>
        <v>2040</v>
      </c>
      <c r="AD23" s="203">
        <f t="shared" si="32"/>
        <v>204</v>
      </c>
      <c r="AE23" s="203">
        <f t="shared" si="11"/>
        <v>2040</v>
      </c>
      <c r="AF23" s="203">
        <f t="shared" si="33"/>
        <v>204</v>
      </c>
      <c r="AG23" s="203">
        <f t="shared" si="12"/>
        <v>2040</v>
      </c>
      <c r="AH23" s="203">
        <f t="shared" si="34"/>
        <v>204</v>
      </c>
      <c r="AI23" s="203">
        <f t="shared" si="13"/>
        <v>2040</v>
      </c>
      <c r="AJ23" s="203">
        <f t="shared" si="35"/>
        <v>204</v>
      </c>
      <c r="AK23" s="203">
        <f t="shared" si="14"/>
        <v>2040</v>
      </c>
      <c r="AL23" s="203">
        <f t="shared" si="36"/>
        <v>204</v>
      </c>
      <c r="AM23" s="203">
        <f t="shared" si="15"/>
        <v>2040</v>
      </c>
      <c r="AN23" s="35">
        <f t="shared" si="16"/>
        <v>0.72857142857142854</v>
      </c>
      <c r="AO23" s="36">
        <f t="shared" si="17"/>
        <v>14280</v>
      </c>
      <c r="AQ23" s="223">
        <f t="shared" si="37"/>
        <v>0.63983421637919946</v>
      </c>
      <c r="AR23" s="38">
        <f t="shared" si="42"/>
        <v>59485.387096774175</v>
      </c>
      <c r="AS23" s="197">
        <f t="shared" si="38"/>
        <v>0</v>
      </c>
      <c r="AT23" s="271"/>
      <c r="AU23" s="589"/>
      <c r="AV23" s="514">
        <f t="shared" si="43"/>
        <v>1.0029999999999999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3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2">
        <f>ELEC!C22</f>
        <v>44366</v>
      </c>
      <c r="B24">
        <f>'B5'!B23</f>
        <v>191</v>
      </c>
      <c r="C24" s="203">
        <f t="shared" si="18"/>
        <v>4109.5806451612898</v>
      </c>
      <c r="D24">
        <f t="shared" si="19"/>
        <v>191</v>
      </c>
      <c r="E24" s="203">
        <f t="shared" si="18"/>
        <v>4109.5806451612898</v>
      </c>
      <c r="F24">
        <f t="shared" si="20"/>
        <v>191</v>
      </c>
      <c r="G24" s="203">
        <f t="shared" si="1"/>
        <v>4109.5806451612898</v>
      </c>
      <c r="H24" s="203">
        <f t="shared" si="21"/>
        <v>191</v>
      </c>
      <c r="I24" s="203">
        <f t="shared" si="2"/>
        <v>4109.5806451612898</v>
      </c>
      <c r="J24" s="203">
        <f t="shared" si="22"/>
        <v>191</v>
      </c>
      <c r="K24" s="203">
        <f t="shared" si="3"/>
        <v>4109.5806451612898</v>
      </c>
      <c r="L24" s="203">
        <f t="shared" si="23"/>
        <v>191</v>
      </c>
      <c r="M24" s="203">
        <f t="shared" si="4"/>
        <v>4109.5806451612898</v>
      </c>
      <c r="N24" s="203">
        <f t="shared" si="24"/>
        <v>191</v>
      </c>
      <c r="O24" s="203">
        <f t="shared" si="5"/>
        <v>4109.5806451612898</v>
      </c>
      <c r="P24" s="203">
        <f t="shared" si="25"/>
        <v>191</v>
      </c>
      <c r="Q24" s="203">
        <f t="shared" si="6"/>
        <v>4109.5806451612898</v>
      </c>
      <c r="R24" s="203">
        <f t="shared" si="26"/>
        <v>191</v>
      </c>
      <c r="S24" s="203">
        <f t="shared" si="7"/>
        <v>4109.5806451612898</v>
      </c>
      <c r="T24" s="203">
        <f t="shared" si="27"/>
        <v>191</v>
      </c>
      <c r="U24" s="203">
        <f t="shared" si="8"/>
        <v>4109.5806451612898</v>
      </c>
      <c r="V24" s="203">
        <f t="shared" si="28"/>
        <v>191</v>
      </c>
      <c r="W24" s="203">
        <f t="shared" si="9"/>
        <v>4109.5806451612898</v>
      </c>
      <c r="X24" s="35">
        <f t="shared" si="10"/>
        <v>0.61612903225806426</v>
      </c>
      <c r="Y24" s="36">
        <f t="shared" si="29"/>
        <v>45205.387096774175</v>
      </c>
      <c r="Z24" s="203">
        <f>'B5'!C23</f>
        <v>204</v>
      </c>
      <c r="AA24" s="203">
        <f t="shared" si="30"/>
        <v>2040</v>
      </c>
      <c r="AB24" s="203">
        <f t="shared" si="31"/>
        <v>204</v>
      </c>
      <c r="AC24" s="203">
        <f t="shared" si="30"/>
        <v>2040</v>
      </c>
      <c r="AD24" s="203">
        <f t="shared" si="32"/>
        <v>204</v>
      </c>
      <c r="AE24" s="203">
        <f t="shared" si="11"/>
        <v>2040</v>
      </c>
      <c r="AF24" s="203">
        <f t="shared" si="33"/>
        <v>204</v>
      </c>
      <c r="AG24" s="203">
        <f t="shared" si="12"/>
        <v>2040</v>
      </c>
      <c r="AH24" s="203">
        <f t="shared" si="34"/>
        <v>204</v>
      </c>
      <c r="AI24" s="203">
        <f t="shared" si="13"/>
        <v>2040</v>
      </c>
      <c r="AJ24" s="203">
        <f t="shared" si="35"/>
        <v>204</v>
      </c>
      <c r="AK24" s="203">
        <f t="shared" si="14"/>
        <v>2040</v>
      </c>
      <c r="AL24" s="203">
        <f t="shared" si="36"/>
        <v>204</v>
      </c>
      <c r="AM24" s="203">
        <f t="shared" si="15"/>
        <v>2040</v>
      </c>
      <c r="AN24" s="35">
        <f t="shared" si="16"/>
        <v>0.72857142857142854</v>
      </c>
      <c r="AO24" s="36">
        <f t="shared" si="17"/>
        <v>14280</v>
      </c>
      <c r="AQ24" s="223">
        <f t="shared" si="37"/>
        <v>0.63983421637919946</v>
      </c>
      <c r="AR24" s="38">
        <f t="shared" si="42"/>
        <v>59485.387096774175</v>
      </c>
      <c r="AS24" s="197">
        <f t="shared" si="38"/>
        <v>0</v>
      </c>
      <c r="AT24" s="271"/>
      <c r="AU24" s="589"/>
      <c r="AV24" s="514">
        <f t="shared" si="43"/>
        <v>1.0029999999999999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3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2">
        <f>ELEC!C23</f>
        <v>44367</v>
      </c>
      <c r="B25">
        <f>'B5'!B24</f>
        <v>191</v>
      </c>
      <c r="C25" s="203">
        <f t="shared" si="18"/>
        <v>4109.5806451612898</v>
      </c>
      <c r="D25">
        <f t="shared" si="19"/>
        <v>191</v>
      </c>
      <c r="E25" s="203">
        <f t="shared" si="18"/>
        <v>4109.5806451612898</v>
      </c>
      <c r="F25">
        <f t="shared" si="20"/>
        <v>191</v>
      </c>
      <c r="G25" s="203">
        <f t="shared" si="1"/>
        <v>4109.5806451612898</v>
      </c>
      <c r="H25" s="203">
        <f t="shared" si="21"/>
        <v>191</v>
      </c>
      <c r="I25" s="203">
        <f t="shared" si="2"/>
        <v>4109.5806451612898</v>
      </c>
      <c r="J25" s="203">
        <f t="shared" si="22"/>
        <v>191</v>
      </c>
      <c r="K25" s="203">
        <f t="shared" si="3"/>
        <v>4109.5806451612898</v>
      </c>
      <c r="L25" s="203">
        <f t="shared" si="23"/>
        <v>191</v>
      </c>
      <c r="M25" s="203">
        <f t="shared" si="4"/>
        <v>4109.5806451612898</v>
      </c>
      <c r="N25" s="203">
        <f t="shared" si="24"/>
        <v>191</v>
      </c>
      <c r="O25" s="203">
        <f t="shared" si="5"/>
        <v>4109.5806451612898</v>
      </c>
      <c r="P25" s="203">
        <f t="shared" si="25"/>
        <v>191</v>
      </c>
      <c r="Q25" s="203">
        <f t="shared" si="6"/>
        <v>4109.5806451612898</v>
      </c>
      <c r="R25" s="203">
        <f t="shared" si="26"/>
        <v>191</v>
      </c>
      <c r="S25" s="203">
        <f t="shared" si="7"/>
        <v>4109.5806451612898</v>
      </c>
      <c r="T25" s="203">
        <f t="shared" si="27"/>
        <v>191</v>
      </c>
      <c r="U25" s="203">
        <f t="shared" si="8"/>
        <v>4109.5806451612898</v>
      </c>
      <c r="V25" s="203">
        <f t="shared" si="28"/>
        <v>191</v>
      </c>
      <c r="W25" s="203">
        <f t="shared" si="9"/>
        <v>4109.5806451612898</v>
      </c>
      <c r="X25" s="35">
        <f t="shared" si="10"/>
        <v>0.61612903225806426</v>
      </c>
      <c r="Y25" s="36">
        <f t="shared" si="29"/>
        <v>45205.387096774175</v>
      </c>
      <c r="Z25" s="203">
        <f>'B5'!C24</f>
        <v>204</v>
      </c>
      <c r="AA25" s="203">
        <f t="shared" si="30"/>
        <v>2040</v>
      </c>
      <c r="AB25" s="203">
        <f t="shared" si="31"/>
        <v>204</v>
      </c>
      <c r="AC25" s="203">
        <f t="shared" si="30"/>
        <v>2040</v>
      </c>
      <c r="AD25" s="203">
        <f t="shared" si="32"/>
        <v>204</v>
      </c>
      <c r="AE25" s="203">
        <f t="shared" si="11"/>
        <v>2040</v>
      </c>
      <c r="AF25" s="203">
        <f t="shared" si="33"/>
        <v>204</v>
      </c>
      <c r="AG25" s="203">
        <f t="shared" si="12"/>
        <v>2040</v>
      </c>
      <c r="AH25" s="203">
        <f t="shared" si="34"/>
        <v>204</v>
      </c>
      <c r="AI25" s="203">
        <f t="shared" si="13"/>
        <v>2040</v>
      </c>
      <c r="AJ25" s="203">
        <f t="shared" si="35"/>
        <v>204</v>
      </c>
      <c r="AK25" s="203">
        <f t="shared" si="14"/>
        <v>2040</v>
      </c>
      <c r="AL25" s="203">
        <f t="shared" si="36"/>
        <v>204</v>
      </c>
      <c r="AM25" s="203">
        <f t="shared" si="15"/>
        <v>2040</v>
      </c>
      <c r="AN25" s="35">
        <f t="shared" si="16"/>
        <v>0.72857142857142854</v>
      </c>
      <c r="AO25" s="36">
        <f t="shared" si="17"/>
        <v>14280</v>
      </c>
      <c r="AQ25" s="223">
        <f t="shared" si="37"/>
        <v>0.63983421637919946</v>
      </c>
      <c r="AR25" s="38">
        <f t="shared" si="42"/>
        <v>59485.387096774175</v>
      </c>
      <c r="AS25" s="197">
        <f t="shared" si="38"/>
        <v>0</v>
      </c>
      <c r="AT25" s="271"/>
      <c r="AU25" s="625"/>
      <c r="AV25" s="514">
        <f t="shared" si="43"/>
        <v>1.0029999999999999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3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2">
        <f>ELEC!C24</f>
        <v>44368</v>
      </c>
      <c r="B26">
        <f>'B5'!B25</f>
        <v>191</v>
      </c>
      <c r="C26" s="203">
        <f t="shared" si="18"/>
        <v>4109.5806451612898</v>
      </c>
      <c r="D26">
        <f t="shared" si="19"/>
        <v>191</v>
      </c>
      <c r="E26" s="203">
        <f t="shared" si="18"/>
        <v>4109.5806451612898</v>
      </c>
      <c r="F26">
        <f t="shared" si="20"/>
        <v>191</v>
      </c>
      <c r="G26" s="203">
        <f t="shared" si="1"/>
        <v>4109.5806451612898</v>
      </c>
      <c r="H26" s="203">
        <f t="shared" si="21"/>
        <v>191</v>
      </c>
      <c r="I26" s="203">
        <f t="shared" si="2"/>
        <v>4109.5806451612898</v>
      </c>
      <c r="J26" s="203">
        <f t="shared" si="22"/>
        <v>191</v>
      </c>
      <c r="K26" s="203">
        <f t="shared" si="3"/>
        <v>4109.5806451612898</v>
      </c>
      <c r="L26" s="203">
        <f t="shared" si="23"/>
        <v>191</v>
      </c>
      <c r="M26" s="203">
        <f t="shared" si="4"/>
        <v>4109.5806451612898</v>
      </c>
      <c r="N26" s="203">
        <f t="shared" si="24"/>
        <v>191</v>
      </c>
      <c r="O26" s="203">
        <f t="shared" si="5"/>
        <v>4109.5806451612898</v>
      </c>
      <c r="P26" s="203">
        <f t="shared" si="25"/>
        <v>191</v>
      </c>
      <c r="Q26" s="203">
        <f t="shared" si="6"/>
        <v>4109.5806451612898</v>
      </c>
      <c r="R26" s="203">
        <f t="shared" si="26"/>
        <v>191</v>
      </c>
      <c r="S26" s="203">
        <f t="shared" si="7"/>
        <v>4109.5806451612898</v>
      </c>
      <c r="T26" s="203">
        <f t="shared" si="27"/>
        <v>191</v>
      </c>
      <c r="U26" s="203">
        <f t="shared" si="8"/>
        <v>4109.5806451612898</v>
      </c>
      <c r="V26" s="203">
        <f t="shared" si="28"/>
        <v>191</v>
      </c>
      <c r="W26" s="203">
        <f t="shared" si="9"/>
        <v>4109.5806451612898</v>
      </c>
      <c r="X26" s="35">
        <f t="shared" si="10"/>
        <v>0.61612903225806426</v>
      </c>
      <c r="Y26" s="36">
        <f t="shared" si="29"/>
        <v>45205.387096774175</v>
      </c>
      <c r="Z26" s="203">
        <f>'B5'!C25</f>
        <v>204</v>
      </c>
      <c r="AA26" s="203">
        <f t="shared" si="30"/>
        <v>2040</v>
      </c>
      <c r="AB26" s="203">
        <f t="shared" si="31"/>
        <v>204</v>
      </c>
      <c r="AC26" s="203">
        <f t="shared" si="30"/>
        <v>2040</v>
      </c>
      <c r="AD26" s="203">
        <f t="shared" si="32"/>
        <v>204</v>
      </c>
      <c r="AE26" s="203">
        <f t="shared" si="11"/>
        <v>2040</v>
      </c>
      <c r="AF26" s="203">
        <f t="shared" si="33"/>
        <v>204</v>
      </c>
      <c r="AG26" s="203">
        <f t="shared" si="12"/>
        <v>2040</v>
      </c>
      <c r="AH26" s="203">
        <f t="shared" si="34"/>
        <v>204</v>
      </c>
      <c r="AI26" s="203">
        <f t="shared" si="13"/>
        <v>2040</v>
      </c>
      <c r="AJ26" s="203">
        <f t="shared" si="35"/>
        <v>204</v>
      </c>
      <c r="AK26" s="203">
        <f t="shared" si="14"/>
        <v>2040</v>
      </c>
      <c r="AL26" s="203">
        <f t="shared" si="36"/>
        <v>204</v>
      </c>
      <c r="AM26" s="203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3">
        <f t="shared" si="37"/>
        <v>0.63983421637919946</v>
      </c>
      <c r="AR26" s="38">
        <f t="shared" si="42"/>
        <v>59485.387096774175</v>
      </c>
      <c r="AS26" s="197">
        <f t="shared" si="38"/>
        <v>0</v>
      </c>
      <c r="AT26" s="271"/>
      <c r="AU26" s="589"/>
      <c r="AV26" s="514">
        <f t="shared" si="43"/>
        <v>1.0029999999999999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3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2">
        <f>ELEC!C25</f>
        <v>44369</v>
      </c>
      <c r="B27">
        <f>'B5'!B26</f>
        <v>191</v>
      </c>
      <c r="C27" s="203">
        <f t="shared" si="18"/>
        <v>4109.5806451612898</v>
      </c>
      <c r="D27">
        <f t="shared" si="19"/>
        <v>191</v>
      </c>
      <c r="E27" s="203">
        <f t="shared" si="18"/>
        <v>4109.5806451612898</v>
      </c>
      <c r="F27">
        <f t="shared" si="20"/>
        <v>191</v>
      </c>
      <c r="G27" s="203">
        <f t="shared" si="1"/>
        <v>4109.5806451612898</v>
      </c>
      <c r="H27" s="203">
        <f t="shared" si="21"/>
        <v>191</v>
      </c>
      <c r="I27" s="203">
        <f t="shared" si="2"/>
        <v>4109.5806451612898</v>
      </c>
      <c r="J27" s="203">
        <f t="shared" si="22"/>
        <v>191</v>
      </c>
      <c r="K27" s="203">
        <f t="shared" si="3"/>
        <v>4109.5806451612898</v>
      </c>
      <c r="L27" s="203">
        <f t="shared" si="23"/>
        <v>191</v>
      </c>
      <c r="M27" s="203">
        <f t="shared" si="4"/>
        <v>4109.5806451612898</v>
      </c>
      <c r="N27" s="203">
        <f t="shared" si="24"/>
        <v>191</v>
      </c>
      <c r="O27" s="203">
        <f t="shared" si="5"/>
        <v>4109.5806451612898</v>
      </c>
      <c r="P27" s="203">
        <f t="shared" si="25"/>
        <v>191</v>
      </c>
      <c r="Q27" s="203">
        <f t="shared" si="6"/>
        <v>4109.5806451612898</v>
      </c>
      <c r="R27" s="203">
        <f t="shared" si="26"/>
        <v>191</v>
      </c>
      <c r="S27" s="203">
        <f t="shared" si="7"/>
        <v>4109.5806451612898</v>
      </c>
      <c r="T27" s="203">
        <f t="shared" si="27"/>
        <v>191</v>
      </c>
      <c r="U27" s="203">
        <f t="shared" si="8"/>
        <v>4109.5806451612898</v>
      </c>
      <c r="V27" s="203">
        <f t="shared" si="28"/>
        <v>191</v>
      </c>
      <c r="W27" s="203">
        <f t="shared" si="9"/>
        <v>4109.5806451612898</v>
      </c>
      <c r="X27" s="35">
        <f t="shared" si="10"/>
        <v>0.61612903225806426</v>
      </c>
      <c r="Y27" s="36">
        <f t="shared" si="29"/>
        <v>45205.387096774175</v>
      </c>
      <c r="Z27" s="203">
        <f>'B5'!C26</f>
        <v>204</v>
      </c>
      <c r="AA27" s="203">
        <f t="shared" si="30"/>
        <v>2040</v>
      </c>
      <c r="AB27" s="203">
        <f t="shared" si="31"/>
        <v>204</v>
      </c>
      <c r="AC27" s="203">
        <f t="shared" si="30"/>
        <v>2040</v>
      </c>
      <c r="AD27" s="203">
        <f t="shared" si="32"/>
        <v>204</v>
      </c>
      <c r="AE27" s="203">
        <f t="shared" si="11"/>
        <v>2040</v>
      </c>
      <c r="AF27" s="203">
        <f t="shared" si="33"/>
        <v>204</v>
      </c>
      <c r="AG27" s="203">
        <f t="shared" si="12"/>
        <v>2040</v>
      </c>
      <c r="AH27" s="203">
        <f t="shared" si="34"/>
        <v>204</v>
      </c>
      <c r="AI27" s="203">
        <f t="shared" si="13"/>
        <v>2040</v>
      </c>
      <c r="AJ27" s="203">
        <f t="shared" si="35"/>
        <v>204</v>
      </c>
      <c r="AK27" s="203">
        <f t="shared" si="14"/>
        <v>2040</v>
      </c>
      <c r="AL27" s="203">
        <f t="shared" si="36"/>
        <v>204</v>
      </c>
      <c r="AM27" s="203">
        <f t="shared" si="15"/>
        <v>2040</v>
      </c>
      <c r="AN27" s="35">
        <f t="shared" si="16"/>
        <v>0.72857142857142854</v>
      </c>
      <c r="AO27" s="36">
        <f t="shared" si="17"/>
        <v>14280</v>
      </c>
      <c r="AQ27" s="223">
        <f t="shared" si="37"/>
        <v>0.63983421637919946</v>
      </c>
      <c r="AR27" s="38">
        <f t="shared" si="42"/>
        <v>59485.387096774175</v>
      </c>
      <c r="AS27" s="197">
        <f t="shared" si="38"/>
        <v>0</v>
      </c>
      <c r="AT27" s="271"/>
      <c r="AU27" s="589"/>
      <c r="AV27" s="514">
        <f t="shared" si="43"/>
        <v>1.0029999999999999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3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2">
        <f>ELEC!C26</f>
        <v>44370</v>
      </c>
      <c r="B28">
        <f>'B5'!B27</f>
        <v>191</v>
      </c>
      <c r="C28" s="203">
        <f t="shared" si="18"/>
        <v>4109.5806451612898</v>
      </c>
      <c r="D28">
        <f t="shared" si="19"/>
        <v>191</v>
      </c>
      <c r="E28" s="203">
        <f t="shared" si="18"/>
        <v>4109.5806451612898</v>
      </c>
      <c r="F28">
        <f t="shared" si="20"/>
        <v>191</v>
      </c>
      <c r="G28" s="203">
        <f t="shared" si="1"/>
        <v>4109.5806451612898</v>
      </c>
      <c r="H28" s="203">
        <f t="shared" si="21"/>
        <v>191</v>
      </c>
      <c r="I28" s="203">
        <f t="shared" si="2"/>
        <v>4109.5806451612898</v>
      </c>
      <c r="J28" s="203">
        <f t="shared" si="22"/>
        <v>191</v>
      </c>
      <c r="K28" s="203">
        <f t="shared" si="3"/>
        <v>4109.5806451612898</v>
      </c>
      <c r="L28" s="203">
        <f t="shared" si="23"/>
        <v>191</v>
      </c>
      <c r="M28" s="203">
        <f t="shared" si="4"/>
        <v>4109.5806451612898</v>
      </c>
      <c r="N28" s="203">
        <f t="shared" si="24"/>
        <v>191</v>
      </c>
      <c r="O28" s="203">
        <f t="shared" si="5"/>
        <v>4109.5806451612898</v>
      </c>
      <c r="P28" s="203">
        <f t="shared" si="25"/>
        <v>191</v>
      </c>
      <c r="Q28" s="203">
        <f t="shared" si="6"/>
        <v>4109.5806451612898</v>
      </c>
      <c r="R28" s="203">
        <f t="shared" si="26"/>
        <v>191</v>
      </c>
      <c r="S28" s="203">
        <f t="shared" si="7"/>
        <v>4109.5806451612898</v>
      </c>
      <c r="T28" s="203">
        <f t="shared" si="27"/>
        <v>191</v>
      </c>
      <c r="U28" s="203">
        <f t="shared" si="8"/>
        <v>4109.5806451612898</v>
      </c>
      <c r="V28" s="203">
        <f t="shared" si="28"/>
        <v>191</v>
      </c>
      <c r="W28" s="203">
        <f t="shared" si="9"/>
        <v>4109.5806451612898</v>
      </c>
      <c r="X28" s="35">
        <f t="shared" si="10"/>
        <v>0.61612903225806426</v>
      </c>
      <c r="Y28" s="36">
        <f t="shared" si="29"/>
        <v>45205.387096774175</v>
      </c>
      <c r="Z28" s="203">
        <f>'B5'!C27</f>
        <v>204</v>
      </c>
      <c r="AA28" s="203">
        <f t="shared" si="30"/>
        <v>2040</v>
      </c>
      <c r="AB28" s="203">
        <f t="shared" si="31"/>
        <v>204</v>
      </c>
      <c r="AC28" s="203">
        <f t="shared" si="30"/>
        <v>2040</v>
      </c>
      <c r="AD28" s="203">
        <f t="shared" si="32"/>
        <v>204</v>
      </c>
      <c r="AE28" s="203">
        <f t="shared" si="11"/>
        <v>2040</v>
      </c>
      <c r="AF28" s="203">
        <f t="shared" si="33"/>
        <v>204</v>
      </c>
      <c r="AG28" s="203">
        <f t="shared" si="12"/>
        <v>2040</v>
      </c>
      <c r="AH28" s="203">
        <f t="shared" si="34"/>
        <v>204</v>
      </c>
      <c r="AI28" s="203">
        <f t="shared" si="13"/>
        <v>2040</v>
      </c>
      <c r="AJ28" s="203">
        <f t="shared" si="35"/>
        <v>204</v>
      </c>
      <c r="AK28" s="203">
        <f t="shared" si="14"/>
        <v>2040</v>
      </c>
      <c r="AL28" s="203">
        <f t="shared" si="36"/>
        <v>204</v>
      </c>
      <c r="AM28" s="203">
        <f t="shared" si="15"/>
        <v>2040</v>
      </c>
      <c r="AN28" s="35">
        <f t="shared" si="16"/>
        <v>0.72857142857142854</v>
      </c>
      <c r="AO28" s="36">
        <f t="shared" si="17"/>
        <v>14280</v>
      </c>
      <c r="AQ28" s="223">
        <f t="shared" si="37"/>
        <v>0.63983421637919946</v>
      </c>
      <c r="AR28" s="38">
        <f t="shared" si="42"/>
        <v>59485.387096774175</v>
      </c>
      <c r="AS28" s="197">
        <f t="shared" si="38"/>
        <v>0</v>
      </c>
      <c r="AT28" s="354"/>
      <c r="AU28" s="625"/>
      <c r="AV28" s="514">
        <f t="shared" si="43"/>
        <v>1.0029999999999999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3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2">
        <f>ELEC!C27</f>
        <v>44371</v>
      </c>
      <c r="B29">
        <f>'B5'!B28</f>
        <v>191</v>
      </c>
      <c r="C29" s="203">
        <f t="shared" si="18"/>
        <v>4109.5806451612898</v>
      </c>
      <c r="D29">
        <f t="shared" si="19"/>
        <v>191</v>
      </c>
      <c r="E29" s="203">
        <f t="shared" si="18"/>
        <v>4109.5806451612898</v>
      </c>
      <c r="F29">
        <f t="shared" si="20"/>
        <v>191</v>
      </c>
      <c r="G29" s="203">
        <f t="shared" si="1"/>
        <v>4109.5806451612898</v>
      </c>
      <c r="H29" s="203">
        <f t="shared" si="21"/>
        <v>191</v>
      </c>
      <c r="I29" s="203">
        <f t="shared" si="2"/>
        <v>4109.5806451612898</v>
      </c>
      <c r="J29" s="203">
        <f t="shared" si="22"/>
        <v>191</v>
      </c>
      <c r="K29" s="203">
        <f t="shared" si="3"/>
        <v>4109.5806451612898</v>
      </c>
      <c r="L29" s="203">
        <f t="shared" si="23"/>
        <v>191</v>
      </c>
      <c r="M29" s="203">
        <f t="shared" si="4"/>
        <v>4109.5806451612898</v>
      </c>
      <c r="N29" s="203">
        <f t="shared" si="24"/>
        <v>191</v>
      </c>
      <c r="O29" s="203">
        <f t="shared" si="5"/>
        <v>4109.5806451612898</v>
      </c>
      <c r="P29" s="203">
        <f t="shared" si="25"/>
        <v>191</v>
      </c>
      <c r="Q29" s="203">
        <f t="shared" si="6"/>
        <v>4109.5806451612898</v>
      </c>
      <c r="R29" s="203">
        <f t="shared" si="26"/>
        <v>191</v>
      </c>
      <c r="S29" s="203">
        <f t="shared" si="7"/>
        <v>4109.5806451612898</v>
      </c>
      <c r="T29" s="203">
        <f t="shared" si="27"/>
        <v>191</v>
      </c>
      <c r="U29" s="203">
        <f t="shared" si="8"/>
        <v>4109.5806451612898</v>
      </c>
      <c r="V29" s="203">
        <f t="shared" si="28"/>
        <v>191</v>
      </c>
      <c r="W29" s="203">
        <f t="shared" si="9"/>
        <v>4109.5806451612898</v>
      </c>
      <c r="X29" s="35">
        <f t="shared" si="10"/>
        <v>0.61612903225806426</v>
      </c>
      <c r="Y29" s="36">
        <f t="shared" si="29"/>
        <v>45205.387096774175</v>
      </c>
      <c r="Z29" s="203">
        <f>'B5'!C28</f>
        <v>204</v>
      </c>
      <c r="AA29" s="203">
        <f t="shared" si="30"/>
        <v>2040</v>
      </c>
      <c r="AB29" s="203">
        <f t="shared" si="31"/>
        <v>204</v>
      </c>
      <c r="AC29" s="203">
        <f t="shared" si="30"/>
        <v>2040</v>
      </c>
      <c r="AD29" s="203">
        <f t="shared" si="32"/>
        <v>204</v>
      </c>
      <c r="AE29" s="203">
        <f t="shared" si="11"/>
        <v>2040</v>
      </c>
      <c r="AF29" s="203">
        <f t="shared" si="33"/>
        <v>204</v>
      </c>
      <c r="AG29" s="203">
        <f t="shared" si="12"/>
        <v>2040</v>
      </c>
      <c r="AH29" s="203">
        <f t="shared" si="34"/>
        <v>204</v>
      </c>
      <c r="AI29" s="203">
        <f t="shared" si="13"/>
        <v>2040</v>
      </c>
      <c r="AJ29" s="203">
        <f t="shared" si="35"/>
        <v>204</v>
      </c>
      <c r="AK29" s="203">
        <f t="shared" si="14"/>
        <v>2040</v>
      </c>
      <c r="AL29" s="203">
        <f t="shared" si="36"/>
        <v>204</v>
      </c>
      <c r="AM29" s="203">
        <f t="shared" si="15"/>
        <v>2040</v>
      </c>
      <c r="AN29" s="35">
        <f t="shared" si="16"/>
        <v>0.72857142857142854</v>
      </c>
      <c r="AO29" s="36">
        <f t="shared" si="17"/>
        <v>14280</v>
      </c>
      <c r="AQ29" s="223">
        <f t="shared" si="37"/>
        <v>0.63983421637919946</v>
      </c>
      <c r="AR29" s="38">
        <f t="shared" si="42"/>
        <v>59485.387096774175</v>
      </c>
      <c r="AS29" s="197">
        <f t="shared" si="38"/>
        <v>0</v>
      </c>
      <c r="AT29" s="354"/>
      <c r="AU29" s="625"/>
      <c r="AV29" s="514">
        <f t="shared" si="43"/>
        <v>1.0029999999999999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3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2">
        <f>ELEC!C28</f>
        <v>44372</v>
      </c>
      <c r="B30">
        <f>'B5'!B29</f>
        <v>191</v>
      </c>
      <c r="C30" s="203">
        <f t="shared" si="18"/>
        <v>4109.5806451612898</v>
      </c>
      <c r="D30">
        <f t="shared" ref="D30:D35" si="45">SUM(B30)</f>
        <v>191</v>
      </c>
      <c r="E30" s="203">
        <f t="shared" si="18"/>
        <v>4109.5806451612898</v>
      </c>
      <c r="F30">
        <f t="shared" ref="F30:F35" si="46">SUM(D30)</f>
        <v>191</v>
      </c>
      <c r="G30" s="203">
        <f t="shared" si="1"/>
        <v>4109.5806451612898</v>
      </c>
      <c r="H30" s="203">
        <f t="shared" ref="H30:H35" si="47">SUM(F30)</f>
        <v>191</v>
      </c>
      <c r="I30" s="203">
        <f t="shared" si="2"/>
        <v>4109.5806451612898</v>
      </c>
      <c r="J30" s="203">
        <f t="shared" ref="J30:J35" si="48">SUM(H30)</f>
        <v>191</v>
      </c>
      <c r="K30" s="203">
        <f t="shared" si="3"/>
        <v>4109.5806451612898</v>
      </c>
      <c r="L30" s="203">
        <f t="shared" ref="L30:L35" si="49">SUM(J30)</f>
        <v>191</v>
      </c>
      <c r="M30" s="203">
        <f t="shared" si="4"/>
        <v>4109.5806451612898</v>
      </c>
      <c r="N30" s="203">
        <f t="shared" ref="N30:N35" si="50">SUM(L30)</f>
        <v>191</v>
      </c>
      <c r="O30" s="203">
        <f t="shared" si="5"/>
        <v>4109.5806451612898</v>
      </c>
      <c r="P30" s="203">
        <f t="shared" ref="P30:P35" si="51">SUM(N30)</f>
        <v>191</v>
      </c>
      <c r="Q30" s="203">
        <f t="shared" si="6"/>
        <v>4109.5806451612898</v>
      </c>
      <c r="R30" s="203">
        <f t="shared" ref="R30:R35" si="52">SUM(P30)</f>
        <v>191</v>
      </c>
      <c r="S30" s="203">
        <f t="shared" si="7"/>
        <v>4109.5806451612898</v>
      </c>
      <c r="T30" s="203">
        <f t="shared" ref="T30:T35" si="53">SUM(R30)</f>
        <v>191</v>
      </c>
      <c r="U30" s="203">
        <f t="shared" si="8"/>
        <v>4109.5806451612898</v>
      </c>
      <c r="V30" s="203">
        <f t="shared" ref="V30:V35" si="54">SUM(T30)</f>
        <v>191</v>
      </c>
      <c r="W30" s="203">
        <f t="shared" si="9"/>
        <v>4109.5806451612898</v>
      </c>
      <c r="X30" s="35">
        <f t="shared" ref="X30:X35" si="55">SUM(Y30/73370)</f>
        <v>0.61612903225806426</v>
      </c>
      <c r="Y30" s="36">
        <f t="shared" ref="Y30:Y35" si="56">SUM(C30+E30+G30+I30+K30+M30+O30+Q30+S30+U30+W30)</f>
        <v>45205.387096774175</v>
      </c>
      <c r="Z30" s="203">
        <f>'B5'!C29</f>
        <v>204</v>
      </c>
      <c r="AA30" s="203">
        <f t="shared" si="30"/>
        <v>2040</v>
      </c>
      <c r="AB30" s="203">
        <f t="shared" ref="AB30:AB35" si="57">SUM(Z30)</f>
        <v>204</v>
      </c>
      <c r="AC30" s="203">
        <f t="shared" si="30"/>
        <v>2040</v>
      </c>
      <c r="AD30" s="203">
        <f t="shared" ref="AD30:AD35" si="58">SUM(AB30)</f>
        <v>204</v>
      </c>
      <c r="AE30" s="203">
        <f t="shared" si="11"/>
        <v>2040</v>
      </c>
      <c r="AF30" s="203">
        <f t="shared" ref="AF30:AF35" si="59">SUM(AD30)</f>
        <v>204</v>
      </c>
      <c r="AG30" s="203">
        <f t="shared" si="12"/>
        <v>2040</v>
      </c>
      <c r="AH30" s="203">
        <f t="shared" ref="AH30:AH35" si="60">SUM(AF30)</f>
        <v>204</v>
      </c>
      <c r="AI30" s="203">
        <f t="shared" si="13"/>
        <v>2040</v>
      </c>
      <c r="AJ30" s="203">
        <f t="shared" ref="AJ30:AJ35" si="61">SUM(AH30)</f>
        <v>204</v>
      </c>
      <c r="AK30" s="203">
        <f t="shared" si="14"/>
        <v>2040</v>
      </c>
      <c r="AL30" s="203">
        <f t="shared" ref="AL30:AL35" si="62">SUM(AJ30)</f>
        <v>204</v>
      </c>
      <c r="AM30" s="203">
        <f t="shared" si="15"/>
        <v>2040</v>
      </c>
      <c r="AN30" s="35">
        <f t="shared" ref="AN30:AN35" si="63">SUM(AO30/19600)</f>
        <v>0.72857142857142854</v>
      </c>
      <c r="AO30" s="36">
        <f t="shared" ref="AO30:AO35" si="64">SUM(AA30+AC30+AE30+AG30+AI30+AK30+AM30)</f>
        <v>14280</v>
      </c>
      <c r="AQ30" s="223">
        <f t="shared" si="37"/>
        <v>0.63983421637919946</v>
      </c>
      <c r="AR30" s="38">
        <f t="shared" si="42"/>
        <v>59485.387096774175</v>
      </c>
      <c r="AS30" s="197">
        <f t="shared" si="38"/>
        <v>0</v>
      </c>
      <c r="AT30" s="354"/>
      <c r="AU30" s="589"/>
      <c r="AV30" s="514">
        <f t="shared" si="43"/>
        <v>1.0029999999999999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3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2">
        <f>ELEC!C29</f>
        <v>44373</v>
      </c>
      <c r="B31">
        <f>'B5'!B30</f>
        <v>191</v>
      </c>
      <c r="C31" s="203">
        <f t="shared" si="18"/>
        <v>4109.5806451612898</v>
      </c>
      <c r="D31">
        <f t="shared" si="45"/>
        <v>191</v>
      </c>
      <c r="E31" s="203">
        <f t="shared" si="18"/>
        <v>4109.5806451612898</v>
      </c>
      <c r="F31">
        <f t="shared" si="46"/>
        <v>191</v>
      </c>
      <c r="G31" s="203">
        <f t="shared" si="1"/>
        <v>4109.5806451612898</v>
      </c>
      <c r="H31" s="203">
        <f t="shared" si="47"/>
        <v>191</v>
      </c>
      <c r="I31" s="203">
        <f t="shared" si="2"/>
        <v>4109.5806451612898</v>
      </c>
      <c r="J31" s="203">
        <f t="shared" si="48"/>
        <v>191</v>
      </c>
      <c r="K31" s="203">
        <f t="shared" si="3"/>
        <v>4109.5806451612898</v>
      </c>
      <c r="L31" s="203">
        <f t="shared" si="49"/>
        <v>191</v>
      </c>
      <c r="M31" s="203">
        <f t="shared" si="4"/>
        <v>4109.5806451612898</v>
      </c>
      <c r="N31" s="203">
        <f t="shared" si="50"/>
        <v>191</v>
      </c>
      <c r="O31" s="203">
        <f t="shared" si="5"/>
        <v>4109.5806451612898</v>
      </c>
      <c r="P31" s="203">
        <f t="shared" si="51"/>
        <v>191</v>
      </c>
      <c r="Q31" s="203">
        <f t="shared" si="6"/>
        <v>4109.5806451612898</v>
      </c>
      <c r="R31" s="203">
        <f t="shared" si="52"/>
        <v>191</v>
      </c>
      <c r="S31" s="203">
        <f t="shared" si="7"/>
        <v>4109.5806451612898</v>
      </c>
      <c r="T31" s="203">
        <f t="shared" si="53"/>
        <v>191</v>
      </c>
      <c r="U31" s="203">
        <f t="shared" si="8"/>
        <v>4109.5806451612898</v>
      </c>
      <c r="V31" s="203">
        <f t="shared" si="54"/>
        <v>191</v>
      </c>
      <c r="W31" s="203">
        <f t="shared" si="9"/>
        <v>4109.5806451612898</v>
      </c>
      <c r="X31" s="35">
        <f t="shared" si="55"/>
        <v>0.61612903225806426</v>
      </c>
      <c r="Y31" s="36">
        <f t="shared" si="56"/>
        <v>45205.387096774175</v>
      </c>
      <c r="Z31" s="203">
        <f>'B5'!C30</f>
        <v>204</v>
      </c>
      <c r="AA31" s="203">
        <f t="shared" si="30"/>
        <v>2040</v>
      </c>
      <c r="AB31" s="203">
        <f t="shared" si="57"/>
        <v>204</v>
      </c>
      <c r="AC31" s="203">
        <f t="shared" si="30"/>
        <v>2040</v>
      </c>
      <c r="AD31" s="203">
        <f t="shared" si="58"/>
        <v>204</v>
      </c>
      <c r="AE31" s="203">
        <f t="shared" si="11"/>
        <v>2040</v>
      </c>
      <c r="AF31" s="203">
        <f t="shared" si="59"/>
        <v>204</v>
      </c>
      <c r="AG31" s="203">
        <f t="shared" si="12"/>
        <v>2040</v>
      </c>
      <c r="AH31" s="203">
        <f t="shared" si="60"/>
        <v>204</v>
      </c>
      <c r="AI31" s="203">
        <f t="shared" si="13"/>
        <v>2040</v>
      </c>
      <c r="AJ31" s="203">
        <f t="shared" si="61"/>
        <v>204</v>
      </c>
      <c r="AK31" s="203">
        <f t="shared" si="14"/>
        <v>2040</v>
      </c>
      <c r="AL31" s="203">
        <f t="shared" si="62"/>
        <v>204</v>
      </c>
      <c r="AM31" s="203">
        <f t="shared" si="15"/>
        <v>2040</v>
      </c>
      <c r="AN31" s="35">
        <f t="shared" si="63"/>
        <v>0.72857142857142854</v>
      </c>
      <c r="AO31" s="36">
        <f t="shared" si="64"/>
        <v>14280</v>
      </c>
      <c r="AQ31" s="223">
        <f t="shared" si="37"/>
        <v>0.63983421637919946</v>
      </c>
      <c r="AR31" s="38">
        <f t="shared" si="42"/>
        <v>59485.387096774175</v>
      </c>
      <c r="AS31" s="197">
        <f t="shared" si="38"/>
        <v>0</v>
      </c>
      <c r="AT31" s="354"/>
      <c r="AU31" s="589"/>
      <c r="AV31" s="514">
        <f t="shared" si="43"/>
        <v>1.0029999999999999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3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2">
        <f>ELEC!C30</f>
        <v>44374</v>
      </c>
      <c r="B32">
        <f>'B5'!B31</f>
        <v>191</v>
      </c>
      <c r="C32" s="203">
        <f t="shared" si="18"/>
        <v>4109.5806451612898</v>
      </c>
      <c r="D32">
        <f t="shared" si="45"/>
        <v>191</v>
      </c>
      <c r="E32" s="203">
        <f t="shared" si="18"/>
        <v>4109.5806451612898</v>
      </c>
      <c r="F32">
        <f t="shared" si="46"/>
        <v>191</v>
      </c>
      <c r="G32" s="203">
        <f t="shared" si="1"/>
        <v>4109.5806451612898</v>
      </c>
      <c r="H32" s="203">
        <f t="shared" si="47"/>
        <v>191</v>
      </c>
      <c r="I32" s="203">
        <f t="shared" si="2"/>
        <v>4109.5806451612898</v>
      </c>
      <c r="J32" s="203">
        <f t="shared" si="48"/>
        <v>191</v>
      </c>
      <c r="K32" s="203">
        <f t="shared" si="3"/>
        <v>4109.5806451612898</v>
      </c>
      <c r="L32" s="203">
        <f t="shared" si="49"/>
        <v>191</v>
      </c>
      <c r="M32" s="203">
        <f t="shared" si="4"/>
        <v>4109.5806451612898</v>
      </c>
      <c r="N32" s="203">
        <f t="shared" si="50"/>
        <v>191</v>
      </c>
      <c r="O32" s="203">
        <f t="shared" si="5"/>
        <v>4109.5806451612898</v>
      </c>
      <c r="P32" s="203">
        <f t="shared" si="51"/>
        <v>191</v>
      </c>
      <c r="Q32" s="203">
        <f t="shared" si="6"/>
        <v>4109.5806451612898</v>
      </c>
      <c r="R32" s="203">
        <f t="shared" si="52"/>
        <v>191</v>
      </c>
      <c r="S32" s="203">
        <f t="shared" si="7"/>
        <v>4109.5806451612898</v>
      </c>
      <c r="T32" s="203">
        <f t="shared" si="53"/>
        <v>191</v>
      </c>
      <c r="U32" s="203">
        <f t="shared" si="8"/>
        <v>4109.5806451612898</v>
      </c>
      <c r="V32" s="203">
        <f t="shared" si="54"/>
        <v>191</v>
      </c>
      <c r="W32" s="203">
        <f t="shared" si="9"/>
        <v>4109.5806451612898</v>
      </c>
      <c r="X32" s="35">
        <f t="shared" si="55"/>
        <v>0.61612903225806426</v>
      </c>
      <c r="Y32" s="36">
        <f t="shared" si="56"/>
        <v>45205.387096774175</v>
      </c>
      <c r="Z32" s="203">
        <f>'B5'!C31</f>
        <v>204</v>
      </c>
      <c r="AA32" s="203">
        <f t="shared" si="30"/>
        <v>2040</v>
      </c>
      <c r="AB32" s="203">
        <f t="shared" si="57"/>
        <v>204</v>
      </c>
      <c r="AC32" s="203">
        <f t="shared" si="30"/>
        <v>2040</v>
      </c>
      <c r="AD32" s="203">
        <f t="shared" si="58"/>
        <v>204</v>
      </c>
      <c r="AE32" s="203">
        <f t="shared" si="11"/>
        <v>2040</v>
      </c>
      <c r="AF32" s="203">
        <f t="shared" si="59"/>
        <v>204</v>
      </c>
      <c r="AG32" s="203">
        <f t="shared" si="12"/>
        <v>2040</v>
      </c>
      <c r="AH32" s="203">
        <f t="shared" si="60"/>
        <v>204</v>
      </c>
      <c r="AI32" s="203">
        <f t="shared" si="13"/>
        <v>2040</v>
      </c>
      <c r="AJ32" s="203">
        <f t="shared" si="61"/>
        <v>204</v>
      </c>
      <c r="AK32" s="203">
        <f t="shared" si="14"/>
        <v>2040</v>
      </c>
      <c r="AL32" s="203">
        <f t="shared" si="62"/>
        <v>204</v>
      </c>
      <c r="AM32" s="203">
        <f t="shared" si="15"/>
        <v>2040</v>
      </c>
      <c r="AN32" s="35">
        <f t="shared" si="63"/>
        <v>0.72857142857142854</v>
      </c>
      <c r="AO32" s="36">
        <f t="shared" si="64"/>
        <v>14280</v>
      </c>
      <c r="AQ32" s="223">
        <f t="shared" si="37"/>
        <v>0.63983421637919946</v>
      </c>
      <c r="AR32" s="38">
        <f t="shared" si="42"/>
        <v>59485.387096774175</v>
      </c>
      <c r="AS32" s="197">
        <f t="shared" si="38"/>
        <v>0</v>
      </c>
      <c r="AT32" s="354"/>
      <c r="AU32" s="589"/>
      <c r="AV32" s="514">
        <f>IF(AT32&gt;0,AU32,AV31)</f>
        <v>1.0029999999999999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3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2">
        <f>ELEC!C31</f>
        <v>44375</v>
      </c>
      <c r="B33">
        <f>'B5'!B32</f>
        <v>191</v>
      </c>
      <c r="C33" s="203">
        <f t="shared" si="18"/>
        <v>4109.5806451612898</v>
      </c>
      <c r="D33">
        <f t="shared" si="45"/>
        <v>191</v>
      </c>
      <c r="E33" s="203">
        <f t="shared" si="18"/>
        <v>4109.5806451612898</v>
      </c>
      <c r="F33">
        <f t="shared" si="46"/>
        <v>191</v>
      </c>
      <c r="G33" s="203">
        <f t="shared" si="1"/>
        <v>4109.5806451612898</v>
      </c>
      <c r="H33" s="203">
        <f t="shared" si="47"/>
        <v>191</v>
      </c>
      <c r="I33" s="203">
        <f t="shared" si="2"/>
        <v>4109.5806451612898</v>
      </c>
      <c r="J33" s="203">
        <f t="shared" si="48"/>
        <v>191</v>
      </c>
      <c r="K33" s="203">
        <f t="shared" si="3"/>
        <v>4109.5806451612898</v>
      </c>
      <c r="L33" s="203">
        <f t="shared" si="49"/>
        <v>191</v>
      </c>
      <c r="M33" s="203">
        <f t="shared" si="4"/>
        <v>4109.5806451612898</v>
      </c>
      <c r="N33" s="203">
        <f t="shared" si="50"/>
        <v>191</v>
      </c>
      <c r="O33" s="203">
        <f t="shared" si="5"/>
        <v>4109.5806451612898</v>
      </c>
      <c r="P33" s="203">
        <f t="shared" si="51"/>
        <v>191</v>
      </c>
      <c r="Q33" s="203">
        <f t="shared" si="6"/>
        <v>4109.5806451612898</v>
      </c>
      <c r="R33" s="203">
        <f t="shared" si="52"/>
        <v>191</v>
      </c>
      <c r="S33" s="203">
        <f t="shared" si="7"/>
        <v>4109.5806451612898</v>
      </c>
      <c r="T33" s="203">
        <f t="shared" si="53"/>
        <v>191</v>
      </c>
      <c r="U33" s="203">
        <f t="shared" si="8"/>
        <v>4109.5806451612898</v>
      </c>
      <c r="V33" s="203">
        <f t="shared" si="54"/>
        <v>191</v>
      </c>
      <c r="W33" s="203">
        <f t="shared" si="9"/>
        <v>4109.5806451612898</v>
      </c>
      <c r="X33" s="35">
        <f t="shared" si="55"/>
        <v>0.61612903225806426</v>
      </c>
      <c r="Y33" s="36">
        <f t="shared" si="56"/>
        <v>45205.387096774175</v>
      </c>
      <c r="Z33" s="203">
        <f>'B5'!C32</f>
        <v>204</v>
      </c>
      <c r="AA33" s="203">
        <f t="shared" si="30"/>
        <v>2040</v>
      </c>
      <c r="AB33" s="203">
        <f t="shared" si="57"/>
        <v>204</v>
      </c>
      <c r="AC33" s="203">
        <f t="shared" si="30"/>
        <v>2040</v>
      </c>
      <c r="AD33" s="203">
        <f t="shared" si="58"/>
        <v>204</v>
      </c>
      <c r="AE33" s="203">
        <f t="shared" si="11"/>
        <v>2040</v>
      </c>
      <c r="AF33" s="203">
        <f t="shared" si="59"/>
        <v>204</v>
      </c>
      <c r="AG33" s="203">
        <f t="shared" si="12"/>
        <v>2040</v>
      </c>
      <c r="AH33" s="203">
        <f t="shared" si="60"/>
        <v>204</v>
      </c>
      <c r="AI33" s="203">
        <f t="shared" si="13"/>
        <v>2040</v>
      </c>
      <c r="AJ33" s="203">
        <f t="shared" si="61"/>
        <v>204</v>
      </c>
      <c r="AK33" s="203">
        <f t="shared" si="14"/>
        <v>2040</v>
      </c>
      <c r="AL33" s="203">
        <f t="shared" si="62"/>
        <v>204</v>
      </c>
      <c r="AM33" s="203">
        <f t="shared" si="15"/>
        <v>2040</v>
      </c>
      <c r="AN33" s="35">
        <f t="shared" si="63"/>
        <v>0.72857142857142854</v>
      </c>
      <c r="AO33" s="36">
        <f t="shared" si="64"/>
        <v>14280</v>
      </c>
      <c r="AQ33" s="223">
        <f t="shared" si="37"/>
        <v>0.63983421637919946</v>
      </c>
      <c r="AR33" s="38">
        <f t="shared" si="42"/>
        <v>59485.387096774175</v>
      </c>
      <c r="AS33" s="197">
        <f t="shared" si="38"/>
        <v>0</v>
      </c>
      <c r="AT33" s="354"/>
      <c r="AU33" s="589"/>
      <c r="AV33" s="514">
        <f>IF(AT33&gt;0,AU33,AV32)</f>
        <v>1.0029999999999999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2">
        <f>ELEC!C32</f>
        <v>44376</v>
      </c>
      <c r="B34">
        <f>'B5'!B33</f>
        <v>191</v>
      </c>
      <c r="C34" s="203">
        <f>B34*$B$4</f>
        <v>4109.5806451612898</v>
      </c>
      <c r="D34">
        <f t="shared" si="45"/>
        <v>191</v>
      </c>
      <c r="E34" s="203">
        <f>D34*$B$4</f>
        <v>4109.5806451612898</v>
      </c>
      <c r="F34">
        <f t="shared" si="46"/>
        <v>191</v>
      </c>
      <c r="G34" s="203">
        <f>F34*$B$4</f>
        <v>4109.5806451612898</v>
      </c>
      <c r="H34" s="203">
        <f t="shared" si="47"/>
        <v>191</v>
      </c>
      <c r="I34" s="203">
        <f>H34*$B$4</f>
        <v>4109.5806451612898</v>
      </c>
      <c r="J34" s="203">
        <f t="shared" si="48"/>
        <v>191</v>
      </c>
      <c r="K34" s="203">
        <f>J34*$B$4</f>
        <v>4109.5806451612898</v>
      </c>
      <c r="L34" s="203">
        <f t="shared" si="49"/>
        <v>191</v>
      </c>
      <c r="M34" s="203">
        <f>L34*$B$4</f>
        <v>4109.5806451612898</v>
      </c>
      <c r="N34" s="203">
        <f t="shared" si="50"/>
        <v>191</v>
      </c>
      <c r="O34" s="203">
        <f>N34*$B$4</f>
        <v>4109.5806451612898</v>
      </c>
      <c r="P34" s="203">
        <f t="shared" si="51"/>
        <v>191</v>
      </c>
      <c r="Q34" s="203">
        <f>P34*$B$4</f>
        <v>4109.5806451612898</v>
      </c>
      <c r="R34" s="203">
        <f t="shared" si="52"/>
        <v>191</v>
      </c>
      <c r="S34" s="203">
        <f>R34*$B$4</f>
        <v>4109.5806451612898</v>
      </c>
      <c r="T34" s="203">
        <f t="shared" si="53"/>
        <v>191</v>
      </c>
      <c r="U34" s="203">
        <f>T34*$B$4</f>
        <v>4109.5806451612898</v>
      </c>
      <c r="V34" s="203">
        <f t="shared" si="54"/>
        <v>191</v>
      </c>
      <c r="W34" s="203">
        <f>V34*$B$4</f>
        <v>4109.5806451612898</v>
      </c>
      <c r="X34" s="35">
        <f t="shared" si="55"/>
        <v>0.61612903225806426</v>
      </c>
      <c r="Y34" s="36">
        <f t="shared" si="56"/>
        <v>45205.387096774175</v>
      </c>
      <c r="Z34" s="203">
        <f>'B5'!C33</f>
        <v>204</v>
      </c>
      <c r="AA34" s="203">
        <f>SUM(Z34*$Z$4)</f>
        <v>2040</v>
      </c>
      <c r="AB34" s="203">
        <f t="shared" si="57"/>
        <v>204</v>
      </c>
      <c r="AC34" s="203">
        <f>SUM(AB34*$Z$4)</f>
        <v>2040</v>
      </c>
      <c r="AD34" s="203">
        <f t="shared" si="58"/>
        <v>204</v>
      </c>
      <c r="AE34" s="203">
        <f>SUM(AD34*$Z$4)</f>
        <v>2040</v>
      </c>
      <c r="AF34" s="203">
        <f t="shared" si="59"/>
        <v>204</v>
      </c>
      <c r="AG34" s="203">
        <f>SUM(AF34*$Z$4)</f>
        <v>2040</v>
      </c>
      <c r="AH34" s="203">
        <f t="shared" si="60"/>
        <v>204</v>
      </c>
      <c r="AI34" s="203">
        <f>SUM(AH34*$Z$4)</f>
        <v>2040</v>
      </c>
      <c r="AJ34" s="203">
        <f t="shared" si="61"/>
        <v>204</v>
      </c>
      <c r="AK34" s="203">
        <f>SUM(AJ34*$Z$4)</f>
        <v>2040</v>
      </c>
      <c r="AL34" s="203">
        <f t="shared" si="62"/>
        <v>204</v>
      </c>
      <c r="AM34" s="203">
        <f>SUM(AL34*$Z$4)</f>
        <v>2040</v>
      </c>
      <c r="AN34" s="35">
        <f t="shared" si="63"/>
        <v>0.72857142857142854</v>
      </c>
      <c r="AO34" s="36">
        <f t="shared" si="64"/>
        <v>14280</v>
      </c>
      <c r="AQ34" s="223">
        <f>SUM(AR34/92970)</f>
        <v>0.63983421637919946</v>
      </c>
      <c r="AR34" s="38">
        <f t="shared" si="42"/>
        <v>59485.387096774175</v>
      </c>
      <c r="AS34" s="197">
        <f t="shared" si="38"/>
        <v>0</v>
      </c>
      <c r="AT34" s="354"/>
      <c r="AU34" s="589"/>
      <c r="AV34" s="514">
        <f>IF(AT34&gt;0,AU34,AV33)</f>
        <v>1.0029999999999999</v>
      </c>
      <c r="AW34" s="290">
        <f>-SUM('B5'!AI33)</f>
        <v>0</v>
      </c>
      <c r="AX34" s="290">
        <f>-SUM(AW34-AS34)</f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3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2">
        <f>ELEC!C33</f>
        <v>44377</v>
      </c>
      <c r="B35">
        <f>'B5'!B34</f>
        <v>191</v>
      </c>
      <c r="C35" s="203">
        <f>B35*$B$4</f>
        <v>4109.5806451612898</v>
      </c>
      <c r="D35">
        <f t="shared" si="45"/>
        <v>191</v>
      </c>
      <c r="E35" s="203">
        <f>D35*$B$4</f>
        <v>4109.5806451612898</v>
      </c>
      <c r="F35">
        <f t="shared" si="46"/>
        <v>191</v>
      </c>
      <c r="G35" s="203">
        <f>F35*$B$4</f>
        <v>4109.5806451612898</v>
      </c>
      <c r="H35" s="203">
        <f t="shared" si="47"/>
        <v>191</v>
      </c>
      <c r="I35" s="203">
        <f>H35*$B$4</f>
        <v>4109.5806451612898</v>
      </c>
      <c r="J35" s="203">
        <f t="shared" si="48"/>
        <v>191</v>
      </c>
      <c r="K35" s="203">
        <f>J35*$B$4</f>
        <v>4109.5806451612898</v>
      </c>
      <c r="L35" s="203">
        <f t="shared" si="49"/>
        <v>191</v>
      </c>
      <c r="M35" s="203">
        <f>L35*$B$4</f>
        <v>4109.5806451612898</v>
      </c>
      <c r="N35" s="203">
        <f t="shared" si="50"/>
        <v>191</v>
      </c>
      <c r="O35" s="203">
        <f>N35*$B$4</f>
        <v>4109.5806451612898</v>
      </c>
      <c r="P35" s="203">
        <f t="shared" si="51"/>
        <v>191</v>
      </c>
      <c r="Q35" s="203">
        <f>P35*$B$4</f>
        <v>4109.5806451612898</v>
      </c>
      <c r="R35" s="203">
        <f t="shared" si="52"/>
        <v>191</v>
      </c>
      <c r="S35" s="203">
        <f>R35*$B$4</f>
        <v>4109.5806451612898</v>
      </c>
      <c r="T35" s="203">
        <f t="shared" si="53"/>
        <v>191</v>
      </c>
      <c r="U35" s="203">
        <f>T35*$B$4</f>
        <v>4109.5806451612898</v>
      </c>
      <c r="V35" s="203">
        <f t="shared" si="54"/>
        <v>191</v>
      </c>
      <c r="W35" s="203">
        <f>V35*$B$4</f>
        <v>4109.5806451612898</v>
      </c>
      <c r="X35" s="35">
        <f t="shared" si="55"/>
        <v>0.61612903225806426</v>
      </c>
      <c r="Y35" s="36">
        <f t="shared" si="56"/>
        <v>45205.387096774175</v>
      </c>
      <c r="Z35" s="203">
        <f>'B5'!C34</f>
        <v>204</v>
      </c>
      <c r="AA35" s="203">
        <f>SUM(Z35*$Z$4)</f>
        <v>2040</v>
      </c>
      <c r="AB35" s="203">
        <f t="shared" si="57"/>
        <v>204</v>
      </c>
      <c r="AC35" s="203">
        <f>SUM(AB35*$Z$4)</f>
        <v>2040</v>
      </c>
      <c r="AD35" s="203">
        <f t="shared" si="58"/>
        <v>204</v>
      </c>
      <c r="AE35" s="203">
        <f>SUM(AD35*$Z$4)</f>
        <v>2040</v>
      </c>
      <c r="AF35" s="203">
        <f t="shared" si="59"/>
        <v>204</v>
      </c>
      <c r="AG35" s="203">
        <f>SUM(AF35*$Z$4)</f>
        <v>2040</v>
      </c>
      <c r="AH35" s="203">
        <f t="shared" si="60"/>
        <v>204</v>
      </c>
      <c r="AI35" s="203">
        <f>SUM(AH35*$Z$4)</f>
        <v>2040</v>
      </c>
      <c r="AJ35" s="203">
        <f t="shared" si="61"/>
        <v>204</v>
      </c>
      <c r="AK35" s="203">
        <f>SUM(AJ35*$Z$4)</f>
        <v>2040</v>
      </c>
      <c r="AL35" s="203">
        <f t="shared" si="62"/>
        <v>204</v>
      </c>
      <c r="AM35" s="203">
        <f>SUM(AL35*$Z$4)</f>
        <v>2040</v>
      </c>
      <c r="AN35" s="35">
        <f t="shared" si="63"/>
        <v>0.72857142857142854</v>
      </c>
      <c r="AO35" s="36">
        <f t="shared" si="64"/>
        <v>14280</v>
      </c>
      <c r="AQ35" s="223">
        <f>SUM(AR35/92970)</f>
        <v>0.63983421637919946</v>
      </c>
      <c r="AR35" s="38">
        <f t="shared" si="42"/>
        <v>59485.387096774175</v>
      </c>
      <c r="AS35" s="197">
        <f t="shared" si="38"/>
        <v>0</v>
      </c>
      <c r="AT35" s="354"/>
      <c r="AU35" s="589"/>
      <c r="AV35" s="583">
        <f>IF(AT35&gt;0,AU35,AV34)</f>
        <v>1.0029999999999999</v>
      </c>
      <c r="AW35" s="290">
        <f>-SUM('B5'!AI34)</f>
        <v>0</v>
      </c>
      <c r="AX35" s="290">
        <f>-SUM(AW35-AS35)</f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3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6" t="s">
        <v>225</v>
      </c>
      <c r="AS36" s="481">
        <f>COUNT(AT6:AT35)</f>
        <v>0</v>
      </c>
      <c r="AT36" s="203">
        <f>SUM(AT6:AT35)</f>
        <v>0</v>
      </c>
      <c r="AU36" s="636" t="e">
        <f>SUM(AU6:AU35)/AS36</f>
        <v>#DIV/0!</v>
      </c>
      <c r="AX36" s="203">
        <f>SUM(AX6:AX35)</f>
        <v>-4486.8387096774313</v>
      </c>
      <c r="AY36" s="203">
        <f>SUM(AY6:AY35)</f>
        <v>-4486.8387096774313</v>
      </c>
    </row>
    <row r="37" spans="1:60">
      <c r="AS37" s="206"/>
      <c r="AT37" s="82" t="e">
        <f>+AT36*AU36</f>
        <v>#DIV/0!</v>
      </c>
    </row>
    <row r="39" spans="1:60">
      <c r="AS39" s="165">
        <f>SUM(AS6:AS35)/'EDl log'!A35</f>
        <v>-4486.8387096774313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-0.10360060748752987</v>
      </c>
    </row>
  </sheetData>
  <mergeCells count="3">
    <mergeCell ref="AT3:AU3"/>
    <mergeCell ref="AS3:AS4"/>
    <mergeCell ref="AR3:AR4"/>
  </mergeCells>
  <conditionalFormatting sqref="AW6:AX35">
    <cfRule type="cellIs" dxfId="3" priority="5" stopIfTrue="1" operator="greaterThan">
      <formula>0</formula>
    </cfRule>
  </conditionalFormatting>
  <conditionalFormatting sqref="AT6:AU3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J4" sqref="J4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6" customWidth="1"/>
    <col min="22" max="22" width="23.26953125" bestFit="1" customWidth="1"/>
    <col min="23" max="23" width="14.81640625" bestFit="1" customWidth="1"/>
    <col min="24" max="24" width="17.7265625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5.453125" bestFit="1" customWidth="1"/>
    <col min="30" max="30" width="13.54296875" style="60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4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4"/>
    </row>
    <row r="3" spans="1:32" ht="20.149999999999999" customHeight="1" thickBot="1">
      <c r="A3" s="163">
        <f>ELEC!C3</f>
        <v>44347</v>
      </c>
      <c r="B3" s="264">
        <f>'[2]EDl log'!B34</f>
        <v>1057796</v>
      </c>
      <c r="C3" s="264">
        <f>'[2]EDl log'!C34</f>
        <v>1319</v>
      </c>
      <c r="D3" s="264">
        <f>'[2]EDl log'!D34</f>
        <v>1320</v>
      </c>
      <c r="E3" s="264">
        <f>'[2]EDl log'!E34</f>
        <v>1057797</v>
      </c>
      <c r="F3" s="264">
        <f>'[2]EDl log'!F34</f>
        <v>156087</v>
      </c>
      <c r="G3" s="264">
        <f>'[2]EDl log'!G34</f>
        <v>176</v>
      </c>
      <c r="H3" s="264">
        <f>'[2]EDl log'!H34</f>
        <v>515542</v>
      </c>
      <c r="I3" s="264">
        <f>'[2]EDl log'!I34</f>
        <v>551</v>
      </c>
      <c r="J3" s="264">
        <f>'[2]EDl log'!J34</f>
        <v>386167</v>
      </c>
      <c r="K3" s="264">
        <f>'[2]EDl log'!K34</f>
        <v>593</v>
      </c>
      <c r="L3" s="264">
        <f>'[2]EDl log'!L34</f>
        <v>37.359867330016584</v>
      </c>
      <c r="M3" s="264">
        <f>'[2]EDl log'!M34</f>
        <v>40.936650082918739</v>
      </c>
      <c r="N3" s="264">
        <f>'[2]EDl log'!N34</f>
        <v>31.469320066334991</v>
      </c>
      <c r="O3" s="264">
        <f>'[2]EDl log'!O34</f>
        <v>154.80303857058792</v>
      </c>
      <c r="P3" s="264">
        <f>'[2]EDl log'!P34</f>
        <v>264.5688760498582</v>
      </c>
      <c r="Q3" s="264">
        <f>'[2]EDl log'!Q34</f>
        <v>3674.7673806451717</v>
      </c>
      <c r="R3" s="264">
        <f>'[2]EDl log'!R34</f>
        <v>3939.33625669503</v>
      </c>
      <c r="S3" s="264">
        <f>'[2]EDl log'!S34</f>
        <v>19416</v>
      </c>
      <c r="T3" s="264">
        <f>'[2]EDl log'!T34</f>
        <v>0.20289123695380254</v>
      </c>
      <c r="Z3" t="s">
        <v>214</v>
      </c>
      <c r="AA3">
        <v>0.1</v>
      </c>
    </row>
    <row r="4" spans="1:32" ht="20.149999999999999" customHeight="1">
      <c r="A4" s="163">
        <f>ELEC!C4</f>
        <v>44348</v>
      </c>
      <c r="B4" s="577">
        <v>1058175</v>
      </c>
      <c r="C4" s="264">
        <f t="shared" ref="C4:C30" si="0">SUM(B4-B3)</f>
        <v>379</v>
      </c>
      <c r="D4" s="308">
        <f>SUM(G4+I4+K4)</f>
        <v>379</v>
      </c>
      <c r="E4" s="308">
        <f>B3+D4</f>
        <v>1058175</v>
      </c>
      <c r="F4" s="584">
        <v>156087</v>
      </c>
      <c r="G4" s="160">
        <f t="shared" ref="G4:G30" si="1">F4-F3</f>
        <v>0</v>
      </c>
      <c r="H4" s="584">
        <v>515845</v>
      </c>
      <c r="I4" s="161">
        <f t="shared" ref="I4:I30" si="2">H4-H3</f>
        <v>303</v>
      </c>
      <c r="J4" s="584">
        <v>386243</v>
      </c>
      <c r="K4" s="162">
        <f t="shared" ref="K4:K30" si="3">J4-J3</f>
        <v>76</v>
      </c>
      <c r="L4" s="296">
        <f t="shared" ref="L4:L13" si="4">SUM(G4*$Y$28)/1507.5</f>
        <v>0</v>
      </c>
      <c r="M4" s="296">
        <f t="shared" ref="M4:M13" si="5">SUM(I4*$Y$27)/1507.5</f>
        <v>22.511442786069651</v>
      </c>
      <c r="N4" s="296">
        <f t="shared" ref="N4:N13" si="6">SUM(K4*$Y$26)/1507.5</f>
        <v>4.0331674958540633</v>
      </c>
      <c r="O4" s="296">
        <f>($AC$29/$A$37)/1507.5</f>
        <v>159.96313985627418</v>
      </c>
      <c r="P4" s="297">
        <f>SUM(L4:O4)</f>
        <v>186.50775013819791</v>
      </c>
      <c r="Q4" s="297" t="e">
        <f>SUM(-tanks!AX6*tanks!$AU$36)</f>
        <v>#DIV/0!</v>
      </c>
      <c r="R4" s="297" t="e">
        <f>SUM(P4:Q4)</f>
        <v>#DIV/0!</v>
      </c>
      <c r="S4" s="299">
        <f>SUM(ELEC!N4)</f>
        <v>9940</v>
      </c>
      <c r="T4" s="335" t="e">
        <f>IF(S4&gt;0,R4/S4,0)</f>
        <v>#DIV/0!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78"/>
      <c r="AC4" s="679"/>
    </row>
    <row r="5" spans="1:32" ht="20.149999999999999" customHeight="1">
      <c r="A5" s="163">
        <f>ELEC!C5</f>
        <v>44349</v>
      </c>
      <c r="B5" s="633">
        <f t="shared" ref="B5:B33" si="7">B4</f>
        <v>1058175</v>
      </c>
      <c r="C5" s="264">
        <f t="shared" si="0"/>
        <v>0</v>
      </c>
      <c r="D5" s="308">
        <f t="shared" ref="D5:D33" si="8">SUM(G5+I5+K5)</f>
        <v>0</v>
      </c>
      <c r="E5" s="308">
        <f>B4+D5</f>
        <v>1058175</v>
      </c>
      <c r="F5" s="633">
        <f t="shared" ref="F5:F33" si="9">F4</f>
        <v>156087</v>
      </c>
      <c r="G5" s="160">
        <f t="shared" si="1"/>
        <v>0</v>
      </c>
      <c r="H5" s="633">
        <f t="shared" ref="H5:H33" si="10">H4</f>
        <v>515845</v>
      </c>
      <c r="I5" s="161">
        <f t="shared" si="2"/>
        <v>0</v>
      </c>
      <c r="J5" s="633">
        <f t="shared" ref="J5:J33" si="11">J4</f>
        <v>386243</v>
      </c>
      <c r="K5" s="162">
        <f t="shared" si="3"/>
        <v>0</v>
      </c>
      <c r="L5" s="296">
        <f t="shared" si="4"/>
        <v>0</v>
      </c>
      <c r="M5" s="296">
        <f t="shared" si="5"/>
        <v>0</v>
      </c>
      <c r="N5" s="296">
        <f t="shared" si="6"/>
        <v>0</v>
      </c>
      <c r="O5" s="296">
        <f t="shared" ref="O5:O33" si="12">($AC$29/$A$37)/1507.5</f>
        <v>159.96313985627418</v>
      </c>
      <c r="P5" s="297">
        <f t="shared" ref="P5:P30" si="13">SUM(L5:O5)</f>
        <v>159.96313985627418</v>
      </c>
      <c r="Q5" s="297" t="e">
        <f>SUM(-tanks!AX7*tanks!$AU$36)</f>
        <v>#DIV/0!</v>
      </c>
      <c r="R5" s="297" t="e">
        <f t="shared" ref="R5:R30" si="14">SUM(P5:Q5)</f>
        <v>#DIV/0!</v>
      </c>
      <c r="S5" s="299">
        <f>SUM(ELEC!N5)</f>
        <v>0</v>
      </c>
      <c r="T5" s="335">
        <f>IF(S5&gt;0,R5/S5,0)</f>
        <v>0</v>
      </c>
      <c r="U5" s="250"/>
      <c r="V5" s="672"/>
      <c r="W5" s="673"/>
      <c r="X5" s="673"/>
      <c r="Y5" s="674"/>
      <c r="Z5" s="26" t="s">
        <v>203</v>
      </c>
      <c r="AA5" s="264">
        <f>'[7]EDl log'!AA22</f>
        <v>5000</v>
      </c>
      <c r="AB5" s="680"/>
      <c r="AC5" s="681"/>
    </row>
    <row r="6" spans="1:32" ht="20.149999999999999" customHeight="1">
      <c r="A6" s="163">
        <f>ELEC!C6</f>
        <v>44350</v>
      </c>
      <c r="B6" s="633">
        <f t="shared" si="7"/>
        <v>1058175</v>
      </c>
      <c r="C6" s="264">
        <f t="shared" si="0"/>
        <v>0</v>
      </c>
      <c r="D6" s="308">
        <f t="shared" si="8"/>
        <v>0</v>
      </c>
      <c r="E6" s="308">
        <f t="shared" ref="E6:E30" si="15">B5+D6</f>
        <v>1058175</v>
      </c>
      <c r="F6" s="633">
        <f t="shared" si="9"/>
        <v>156087</v>
      </c>
      <c r="G6" s="160">
        <f t="shared" si="1"/>
        <v>0</v>
      </c>
      <c r="H6" s="633">
        <f t="shared" si="10"/>
        <v>515845</v>
      </c>
      <c r="I6" s="161">
        <f t="shared" si="2"/>
        <v>0</v>
      </c>
      <c r="J6" s="633">
        <f t="shared" si="11"/>
        <v>386243</v>
      </c>
      <c r="K6" s="162">
        <f t="shared" si="3"/>
        <v>0</v>
      </c>
      <c r="L6" s="296">
        <f t="shared" si="4"/>
        <v>0</v>
      </c>
      <c r="M6" s="296">
        <f t="shared" si="5"/>
        <v>0</v>
      </c>
      <c r="N6" s="296">
        <f t="shared" si="6"/>
        <v>0</v>
      </c>
      <c r="O6" s="296">
        <f t="shared" si="12"/>
        <v>159.96313985627418</v>
      </c>
      <c r="P6" s="297">
        <f t="shared" si="13"/>
        <v>159.96313985627418</v>
      </c>
      <c r="Q6" s="297" t="e">
        <f>SUM(-tanks!AX8*tanks!$AU$36)</f>
        <v>#DIV/0!</v>
      </c>
      <c r="R6" s="297" t="e">
        <f t="shared" si="14"/>
        <v>#DIV/0!</v>
      </c>
      <c r="S6" s="299">
        <f>SUM(ELEC!N6)</f>
        <v>0</v>
      </c>
      <c r="T6" s="335">
        <f t="shared" ref="T6:T30" si="16">IF(S6&gt;0,R6/S6,0)</f>
        <v>0</v>
      </c>
      <c r="V6" s="675"/>
      <c r="W6" s="676"/>
      <c r="X6" s="676"/>
      <c r="Y6" s="677"/>
      <c r="Z6" s="3"/>
      <c r="AA6" s="3"/>
      <c r="AB6" s="680"/>
      <c r="AC6" s="681"/>
    </row>
    <row r="7" spans="1:32" ht="20.149999999999999" customHeight="1">
      <c r="A7" s="163">
        <f>ELEC!C7</f>
        <v>44351</v>
      </c>
      <c r="B7" s="633">
        <f t="shared" si="7"/>
        <v>1058175</v>
      </c>
      <c r="C7" s="264">
        <f t="shared" si="0"/>
        <v>0</v>
      </c>
      <c r="D7" s="308">
        <f t="shared" si="8"/>
        <v>0</v>
      </c>
      <c r="E7" s="308">
        <f t="shared" si="15"/>
        <v>1058175</v>
      </c>
      <c r="F7" s="633">
        <f t="shared" si="9"/>
        <v>156087</v>
      </c>
      <c r="G7" s="160">
        <f t="shared" si="1"/>
        <v>0</v>
      </c>
      <c r="H7" s="633">
        <f t="shared" si="10"/>
        <v>515845</v>
      </c>
      <c r="I7" s="161">
        <f t="shared" si="2"/>
        <v>0</v>
      </c>
      <c r="J7" s="633">
        <f t="shared" si="11"/>
        <v>386243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12"/>
        <v>159.96313985627418</v>
      </c>
      <c r="P7" s="297">
        <f t="shared" si="13"/>
        <v>159.96313985627418</v>
      </c>
      <c r="Q7" s="297" t="e">
        <f>SUM(-tanks!AX9*tanks!$AU$36)</f>
        <v>#DIV/0!</v>
      </c>
      <c r="R7" s="297" t="e">
        <f t="shared" si="14"/>
        <v>#DIV/0!</v>
      </c>
      <c r="S7" s="299">
        <f>SUM(ELEC!N7)</f>
        <v>0</v>
      </c>
      <c r="T7" s="335">
        <f t="shared" si="16"/>
        <v>0</v>
      </c>
      <c r="V7" s="668" t="s">
        <v>204</v>
      </c>
      <c r="W7" s="669"/>
      <c r="X7" s="670" t="s">
        <v>205</v>
      </c>
      <c r="Y7" s="671"/>
      <c r="Z7" s="669"/>
      <c r="AA7" s="26"/>
      <c r="AB7" s="682"/>
      <c r="AC7" s="683"/>
    </row>
    <row r="8" spans="1:32" ht="20.149999999999999" customHeight="1">
      <c r="A8" s="163">
        <f>ELEC!C8</f>
        <v>44352</v>
      </c>
      <c r="B8" s="633">
        <f t="shared" si="7"/>
        <v>1058175</v>
      </c>
      <c r="C8" s="264">
        <f t="shared" si="0"/>
        <v>0</v>
      </c>
      <c r="D8" s="308">
        <f t="shared" si="8"/>
        <v>0</v>
      </c>
      <c r="E8" s="308">
        <f t="shared" si="15"/>
        <v>1058175</v>
      </c>
      <c r="F8" s="633">
        <f t="shared" si="9"/>
        <v>156087</v>
      </c>
      <c r="G8" s="160">
        <f t="shared" si="1"/>
        <v>0</v>
      </c>
      <c r="H8" s="633">
        <f t="shared" si="10"/>
        <v>515845</v>
      </c>
      <c r="I8" s="161">
        <f t="shared" si="2"/>
        <v>0</v>
      </c>
      <c r="J8" s="633">
        <f t="shared" si="11"/>
        <v>386243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12"/>
        <v>159.96313985627418</v>
      </c>
      <c r="P8" s="297">
        <f t="shared" si="13"/>
        <v>159.96313985627418</v>
      </c>
      <c r="Q8" s="297" t="e">
        <f>SUM(-tanks!AX10*tanks!$AU$36)</f>
        <v>#DIV/0!</v>
      </c>
      <c r="R8" s="297" t="e">
        <f t="shared" si="14"/>
        <v>#DIV/0!</v>
      </c>
      <c r="S8" s="299">
        <f>SUM(ELEC!N8)</f>
        <v>0</v>
      </c>
      <c r="T8" s="335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9" t="str">
        <f>'[8]EDl log'!AB25</f>
        <v>Total cost LL</v>
      </c>
      <c r="AC8" s="252" t="s">
        <v>212</v>
      </c>
    </row>
    <row r="9" spans="1:32" ht="20.149999999999999" customHeight="1">
      <c r="A9" s="163">
        <f>ELEC!C9</f>
        <v>44353</v>
      </c>
      <c r="B9" s="633">
        <f t="shared" si="7"/>
        <v>1058175</v>
      </c>
      <c r="C9" s="264">
        <f t="shared" si="0"/>
        <v>0</v>
      </c>
      <c r="D9" s="308">
        <f t="shared" si="8"/>
        <v>0</v>
      </c>
      <c r="E9" s="308">
        <f t="shared" si="15"/>
        <v>1058175</v>
      </c>
      <c r="F9" s="633">
        <f t="shared" si="9"/>
        <v>156087</v>
      </c>
      <c r="G9" s="160">
        <f t="shared" si="1"/>
        <v>0</v>
      </c>
      <c r="H9" s="633">
        <f t="shared" si="10"/>
        <v>515845</v>
      </c>
      <c r="I9" s="161">
        <f t="shared" si="2"/>
        <v>0</v>
      </c>
      <c r="J9" s="633">
        <f t="shared" si="11"/>
        <v>386243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12"/>
        <v>159.96313985627418</v>
      </c>
      <c r="P9" s="297">
        <f t="shared" si="13"/>
        <v>159.96313985627418</v>
      </c>
      <c r="Q9" s="297" t="e">
        <f>SUM(-tanks!AX11*tanks!$AU$36)</f>
        <v>#DIV/0!</v>
      </c>
      <c r="R9" s="297" t="e">
        <f>SUM(P9:Q9)</f>
        <v>#DIV/0!</v>
      </c>
      <c r="S9" s="299">
        <f>SUM(ELEC!N9)</f>
        <v>0</v>
      </c>
      <c r="T9" s="335">
        <f t="shared" si="16"/>
        <v>0</v>
      </c>
      <c r="V9" s="254">
        <f>'[2]EDl log'!V26</f>
        <v>365756</v>
      </c>
      <c r="W9" s="254">
        <f>'[2]EDl log'!W26</f>
        <v>386167</v>
      </c>
      <c r="X9" s="254" t="s">
        <v>199</v>
      </c>
      <c r="Y9" s="622">
        <f>'[2]EDl log'!Y26</f>
        <v>80</v>
      </c>
      <c r="Z9" s="254">
        <v>1</v>
      </c>
      <c r="AA9" s="605">
        <f>'[2]EDl log'!AA26</f>
        <v>20411</v>
      </c>
      <c r="AB9" s="605">
        <f>'[2]EDl log'!AB26</f>
        <v>1632880</v>
      </c>
      <c r="AC9" s="605">
        <f>'[2]EDl log'!AC26</f>
        <v>1033333</v>
      </c>
      <c r="AD9" s="603">
        <f>'[2]EDl log'!AD26</f>
        <v>0.41575933035433316</v>
      </c>
    </row>
    <row r="10" spans="1:32" ht="20.149999999999999" customHeight="1">
      <c r="A10" s="163">
        <f>ELEC!C10</f>
        <v>44354</v>
      </c>
      <c r="B10" s="633">
        <f t="shared" si="7"/>
        <v>1058175</v>
      </c>
      <c r="C10" s="264">
        <f t="shared" si="0"/>
        <v>0</v>
      </c>
      <c r="D10" s="308">
        <f t="shared" si="8"/>
        <v>0</v>
      </c>
      <c r="E10" s="308">
        <f t="shared" si="15"/>
        <v>1058175</v>
      </c>
      <c r="F10" s="633">
        <f t="shared" si="9"/>
        <v>156087</v>
      </c>
      <c r="G10" s="160">
        <f t="shared" si="1"/>
        <v>0</v>
      </c>
      <c r="H10" s="633">
        <f t="shared" si="10"/>
        <v>515845</v>
      </c>
      <c r="I10" s="161">
        <f t="shared" si="2"/>
        <v>0</v>
      </c>
      <c r="J10" s="633">
        <f t="shared" si="11"/>
        <v>386243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12"/>
        <v>159.96313985627418</v>
      </c>
      <c r="P10" s="297">
        <f t="shared" si="13"/>
        <v>159.96313985627418</v>
      </c>
      <c r="Q10" s="297" t="e">
        <f>SUM(-tanks!AX12*tanks!$AU$36)</f>
        <v>#DIV/0!</v>
      </c>
      <c r="R10" s="297" t="e">
        <f t="shared" si="14"/>
        <v>#DIV/0!</v>
      </c>
      <c r="S10" s="299">
        <f>SUM(ELEC!N10)</f>
        <v>0</v>
      </c>
      <c r="T10" s="335">
        <f t="shared" si="16"/>
        <v>0</v>
      </c>
      <c r="V10" s="254">
        <f>'[2]EDl log'!V27</f>
        <v>492400</v>
      </c>
      <c r="W10" s="254">
        <f>'[2]EDl log'!W27</f>
        <v>515542</v>
      </c>
      <c r="X10" s="254" t="s">
        <v>213</v>
      </c>
      <c r="Y10" s="622">
        <f>'[2]EDl log'!Y27</f>
        <v>112</v>
      </c>
      <c r="Z10" s="254">
        <v>1</v>
      </c>
      <c r="AA10" s="605">
        <f>'[2]EDl log'!AA27</f>
        <v>23142</v>
      </c>
      <c r="AB10" s="605">
        <f>'[2]EDl log'!AB27</f>
        <v>2591904</v>
      </c>
      <c r="AC10" s="605">
        <f>'[2]EDl log'!AC27</f>
        <v>6200000</v>
      </c>
      <c r="AD10" s="603">
        <f>'[2]EDl log'!AD27</f>
        <v>0.4739337487150439</v>
      </c>
    </row>
    <row r="11" spans="1:32" ht="20.149999999999999" customHeight="1">
      <c r="A11" s="163">
        <f>ELEC!C11</f>
        <v>44355</v>
      </c>
      <c r="B11" s="633">
        <f t="shared" si="7"/>
        <v>1058175</v>
      </c>
      <c r="C11" s="264">
        <f t="shared" si="0"/>
        <v>0</v>
      </c>
      <c r="D11" s="308">
        <f t="shared" si="8"/>
        <v>0</v>
      </c>
      <c r="E11" s="308">
        <f t="shared" si="15"/>
        <v>1058175</v>
      </c>
      <c r="F11" s="633">
        <f t="shared" si="9"/>
        <v>156087</v>
      </c>
      <c r="G11" s="160">
        <f t="shared" si="1"/>
        <v>0</v>
      </c>
      <c r="H11" s="633">
        <f t="shared" si="10"/>
        <v>515845</v>
      </c>
      <c r="I11" s="161">
        <f t="shared" si="2"/>
        <v>0</v>
      </c>
      <c r="J11" s="633">
        <f t="shared" si="11"/>
        <v>386243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12"/>
        <v>159.96313985627418</v>
      </c>
      <c r="P11" s="297">
        <f t="shared" si="13"/>
        <v>159.96313985627418</v>
      </c>
      <c r="Q11" s="297" t="e">
        <f>SUM(-tanks!AX13*tanks!$AU$36)</f>
        <v>#DIV/0!</v>
      </c>
      <c r="R11" s="297" t="e">
        <f t="shared" si="14"/>
        <v>#DIV/0!</v>
      </c>
      <c r="S11" s="299">
        <f>SUM(ELEC!N11)</f>
        <v>0</v>
      </c>
      <c r="T11" s="335">
        <f t="shared" si="16"/>
        <v>0</v>
      </c>
      <c r="V11" s="254">
        <f>'[2]EDl log'!V28</f>
        <v>150653</v>
      </c>
      <c r="W11" s="254">
        <f>'[2]EDl log'!W28</f>
        <v>156087</v>
      </c>
      <c r="X11" s="254" t="s">
        <v>197</v>
      </c>
      <c r="Y11" s="622">
        <f>'[2]EDl log'!Y28</f>
        <v>320</v>
      </c>
      <c r="Z11" s="254">
        <v>1</v>
      </c>
      <c r="AA11" s="605">
        <f>'[2]EDl log'!AA28</f>
        <v>5434</v>
      </c>
      <c r="AB11" s="605">
        <f>'[2]EDl log'!AB28</f>
        <v>1738880</v>
      </c>
      <c r="AC11" s="605">
        <f>'[2]EDl log'!AC28</f>
        <v>1000</v>
      </c>
      <c r="AD11" s="603">
        <f>'[2]EDl log'!AD28</f>
        <v>0.11030692093062286</v>
      </c>
      <c r="AE11" s="40">
        <f>'[2]EDl log'!AE28</f>
        <v>86944</v>
      </c>
      <c r="AF11" s="40">
        <f>'[2]EDl log'!AF28</f>
        <v>385037.71428571432</v>
      </c>
    </row>
    <row r="12" spans="1:32" ht="20.149999999999999" customHeight="1">
      <c r="A12" s="163">
        <f>ELEC!C12</f>
        <v>44356</v>
      </c>
      <c r="B12" s="633">
        <f t="shared" si="7"/>
        <v>1058175</v>
      </c>
      <c r="C12" s="264">
        <f t="shared" si="0"/>
        <v>0</v>
      </c>
      <c r="D12" s="308">
        <f t="shared" si="8"/>
        <v>0</v>
      </c>
      <c r="E12" s="308">
        <f t="shared" si="15"/>
        <v>1058175</v>
      </c>
      <c r="F12" s="633">
        <f t="shared" si="9"/>
        <v>156087</v>
      </c>
      <c r="G12" s="160">
        <f t="shared" si="1"/>
        <v>0</v>
      </c>
      <c r="H12" s="633">
        <f t="shared" si="10"/>
        <v>515845</v>
      </c>
      <c r="I12" s="161">
        <f t="shared" si="2"/>
        <v>0</v>
      </c>
      <c r="J12" s="633">
        <f t="shared" si="11"/>
        <v>386243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12"/>
        <v>159.96313985627418</v>
      </c>
      <c r="P12" s="297">
        <f t="shared" si="13"/>
        <v>159.96313985627418</v>
      </c>
      <c r="Q12" s="297" t="e">
        <f>SUM(-tanks!AX14*tanks!$AU$36)</f>
        <v>#DIV/0!</v>
      </c>
      <c r="R12" s="297" t="e">
        <f t="shared" si="14"/>
        <v>#DIV/0!</v>
      </c>
      <c r="S12" s="299">
        <f>SUM(ELEC!N12)</f>
        <v>0</v>
      </c>
      <c r="T12" s="335">
        <f t="shared" si="16"/>
        <v>0</v>
      </c>
      <c r="V12" s="560"/>
      <c r="W12" s="264"/>
      <c r="X12" s="3"/>
      <c r="Y12" s="264"/>
      <c r="Z12" s="558"/>
      <c r="AA12" s="605">
        <f>'[2]EDl log'!AA29</f>
        <v>48987</v>
      </c>
      <c r="AB12" s="605">
        <f>'[2]EDl log'!AB29</f>
        <v>0</v>
      </c>
      <c r="AC12" s="605">
        <f>'[2]EDl log'!AC29</f>
        <v>7234333</v>
      </c>
      <c r="AD12" s="605"/>
    </row>
    <row r="13" spans="1:32" ht="20.149999999999999" customHeight="1">
      <c r="A13" s="163">
        <f>ELEC!C13</f>
        <v>44357</v>
      </c>
      <c r="B13" s="633">
        <f t="shared" si="7"/>
        <v>1058175</v>
      </c>
      <c r="C13" s="264">
        <f t="shared" si="0"/>
        <v>0</v>
      </c>
      <c r="D13" s="308">
        <f t="shared" si="8"/>
        <v>0</v>
      </c>
      <c r="E13" s="308">
        <f t="shared" si="15"/>
        <v>1058175</v>
      </c>
      <c r="F13" s="633">
        <f t="shared" si="9"/>
        <v>156087</v>
      </c>
      <c r="G13" s="160">
        <f t="shared" si="1"/>
        <v>0</v>
      </c>
      <c r="H13" s="633">
        <f t="shared" si="10"/>
        <v>515845</v>
      </c>
      <c r="I13" s="161">
        <f t="shared" si="2"/>
        <v>0</v>
      </c>
      <c r="J13" s="633">
        <f t="shared" si="11"/>
        <v>386243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12"/>
        <v>159.96313985627418</v>
      </c>
      <c r="P13" s="297">
        <f t="shared" si="13"/>
        <v>159.96313985627418</v>
      </c>
      <c r="Q13" s="297" t="e">
        <f>SUM(-tanks!AX15*tanks!$AU$36)</f>
        <v>#DIV/0!</v>
      </c>
      <c r="R13" s="297" t="e">
        <f t="shared" si="14"/>
        <v>#DIV/0!</v>
      </c>
      <c r="S13" s="299">
        <f>SUM(ELEC!N13)</f>
        <v>0</v>
      </c>
      <c r="T13" s="335">
        <f>IF(S13&gt;0,R13/S13,0)</f>
        <v>0</v>
      </c>
      <c r="V13" s="560" t="str">
        <f>'[7]EDl log'!V30</f>
        <v>Occ %</v>
      </c>
      <c r="W13" s="585">
        <f>'[9]EDl log'!W30</f>
        <v>0</v>
      </c>
      <c r="X13" s="502"/>
      <c r="Y13" s="264" t="str">
        <f>'[10]EDl log'!Y30</f>
        <v>Per G</v>
      </c>
      <c r="Z13" s="3"/>
      <c r="AA13" s="3"/>
      <c r="AB13" s="605">
        <f>'[2]EDl log'!AB30</f>
        <v>5963664</v>
      </c>
      <c r="AC13" s="605">
        <f>'[2]EDl log'!AC30</f>
        <v>0</v>
      </c>
    </row>
    <row r="14" spans="1:32" ht="20.149999999999999" customHeight="1">
      <c r="A14" s="163">
        <f>ELEC!C14</f>
        <v>44358</v>
      </c>
      <c r="B14" s="633">
        <f t="shared" si="7"/>
        <v>1058175</v>
      </c>
      <c r="C14" s="264">
        <f t="shared" si="0"/>
        <v>0</v>
      </c>
      <c r="D14" s="308">
        <f t="shared" si="8"/>
        <v>0</v>
      </c>
      <c r="E14" s="308">
        <f t="shared" si="15"/>
        <v>1058175</v>
      </c>
      <c r="F14" s="633">
        <f t="shared" si="9"/>
        <v>156087</v>
      </c>
      <c r="G14" s="160">
        <f t="shared" si="1"/>
        <v>0</v>
      </c>
      <c r="H14" s="633">
        <f t="shared" si="10"/>
        <v>515845</v>
      </c>
      <c r="I14" s="161">
        <f t="shared" si="2"/>
        <v>0</v>
      </c>
      <c r="J14" s="633">
        <f t="shared" si="11"/>
        <v>386243</v>
      </c>
      <c r="K14" s="162">
        <f>J14-J13</f>
        <v>0</v>
      </c>
      <c r="L14" s="296">
        <f>SUM(G14*$Y$28)/1507.5</f>
        <v>0</v>
      </c>
      <c r="M14" s="296">
        <f>SUM(I14*$Y$27)/1507.5</f>
        <v>0</v>
      </c>
      <c r="N14" s="296">
        <f>SUM(K14*$Y$26)/1507.5</f>
        <v>0</v>
      </c>
      <c r="O14" s="296">
        <f t="shared" si="12"/>
        <v>159.96313985627418</v>
      </c>
      <c r="P14" s="297">
        <f>SUM(L14:O14)</f>
        <v>159.96313985627418</v>
      </c>
      <c r="Q14" s="297" t="e">
        <f>SUM(-tanks!AX16*tanks!$AU$36)</f>
        <v>#DIV/0!</v>
      </c>
      <c r="R14" s="297" t="e">
        <f>SUM(P14:Q14)</f>
        <v>#DIV/0!</v>
      </c>
      <c r="S14" s="299">
        <f>SUM(ELEC!N14)</f>
        <v>0</v>
      </c>
      <c r="T14" s="335">
        <f>IF(S14&gt;0,R14/S14,0)</f>
        <v>0</v>
      </c>
      <c r="V14" s="560" t="str">
        <f>'[7]EDl log'!V31</f>
        <v>Gen RH</v>
      </c>
      <c r="W14" s="586">
        <f>'[2]EDl log'!$W$33</f>
        <v>339</v>
      </c>
      <c r="X14" s="637">
        <f>'[2]EDl log'!$X$33</f>
        <v>10.935483870967742</v>
      </c>
      <c r="Y14" s="623">
        <f>'[2]EDl log'!$Y$33</f>
        <v>10.935483870967742</v>
      </c>
      <c r="Z14" s="264"/>
      <c r="AA14" s="3"/>
      <c r="AB14" s="605">
        <f>'[2]EDl log'!AB31</f>
        <v>0</v>
      </c>
      <c r="AC14" s="605">
        <f>'[2]EDl log'!AC31</f>
        <v>0</v>
      </c>
    </row>
    <row r="15" spans="1:32" ht="20.149999999999999" customHeight="1">
      <c r="A15" s="163">
        <f>ELEC!C15</f>
        <v>44359</v>
      </c>
      <c r="B15" s="633">
        <f t="shared" si="7"/>
        <v>1058175</v>
      </c>
      <c r="C15" s="264">
        <f t="shared" si="0"/>
        <v>0</v>
      </c>
      <c r="D15" s="308">
        <f t="shared" si="8"/>
        <v>0</v>
      </c>
      <c r="E15" s="308">
        <f t="shared" si="15"/>
        <v>1058175</v>
      </c>
      <c r="F15" s="633">
        <f t="shared" si="9"/>
        <v>156087</v>
      </c>
      <c r="G15" s="160">
        <f t="shared" si="1"/>
        <v>0</v>
      </c>
      <c r="H15" s="633">
        <f t="shared" si="10"/>
        <v>515845</v>
      </c>
      <c r="I15" s="161">
        <f t="shared" si="2"/>
        <v>0</v>
      </c>
      <c r="J15" s="633">
        <f t="shared" si="11"/>
        <v>386243</v>
      </c>
      <c r="K15" s="162">
        <f>J15-J14</f>
        <v>0</v>
      </c>
      <c r="L15" s="296">
        <f>SUM(G15*$Y$28)/1507.5</f>
        <v>0</v>
      </c>
      <c r="M15" s="296">
        <f>SUM(I15*$Y$27)/1507.5</f>
        <v>0</v>
      </c>
      <c r="N15" s="296">
        <f>SUM(K15*$Y$26)/1507.5</f>
        <v>0</v>
      </c>
      <c r="O15" s="296">
        <f t="shared" si="12"/>
        <v>159.96313985627418</v>
      </c>
      <c r="P15" s="297">
        <f>SUM(L15:O15)</f>
        <v>159.96313985627418</v>
      </c>
      <c r="Q15" s="297" t="e">
        <f>SUM(-tanks!AX17*tanks!$AU$36)</f>
        <v>#DIV/0!</v>
      </c>
      <c r="R15" s="297" t="e">
        <f>SUM(P15:Q15)</f>
        <v>#DIV/0!</v>
      </c>
      <c r="S15" s="299">
        <f>SUM(ELEC!N15)</f>
        <v>0</v>
      </c>
      <c r="T15" s="335">
        <f>IF(S15&gt;0,R15/S15,0)</f>
        <v>0</v>
      </c>
      <c r="V15" s="560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5">
        <f>'[2]EDl log'!AB32</f>
        <v>0</v>
      </c>
      <c r="AC15" s="605">
        <f>'[2]EDl log'!AC32</f>
        <v>0</v>
      </c>
    </row>
    <row r="16" spans="1:32" ht="20.149999999999999" customHeight="1">
      <c r="A16" s="163">
        <f>ELEC!C16</f>
        <v>44360</v>
      </c>
      <c r="B16" s="633">
        <f t="shared" si="7"/>
        <v>1058175</v>
      </c>
      <c r="C16" s="264">
        <f t="shared" si="0"/>
        <v>0</v>
      </c>
      <c r="D16" s="308">
        <f t="shared" si="8"/>
        <v>0</v>
      </c>
      <c r="E16" s="308">
        <f t="shared" si="15"/>
        <v>1058175</v>
      </c>
      <c r="F16" s="633">
        <f t="shared" si="9"/>
        <v>156087</v>
      </c>
      <c r="G16" s="160">
        <f t="shared" si="1"/>
        <v>0</v>
      </c>
      <c r="H16" s="633">
        <f t="shared" si="10"/>
        <v>515845</v>
      </c>
      <c r="I16" s="161">
        <f t="shared" si="2"/>
        <v>0</v>
      </c>
      <c r="J16" s="633">
        <f t="shared" si="11"/>
        <v>386243</v>
      </c>
      <c r="K16" s="162">
        <f>J16-J15</f>
        <v>0</v>
      </c>
      <c r="L16" s="296">
        <f>SUM(G16*$Y$28)/1507.5</f>
        <v>0</v>
      </c>
      <c r="M16" s="296">
        <f>SUM(I16*$Y$27)/1507.5</f>
        <v>0</v>
      </c>
      <c r="N16" s="296">
        <f>SUM(K16*$Y$26)/1507.5</f>
        <v>0</v>
      </c>
      <c r="O16" s="296">
        <f t="shared" si="12"/>
        <v>159.96313985627418</v>
      </c>
      <c r="P16" s="297">
        <f>SUM(L16:O16)</f>
        <v>159.96313985627418</v>
      </c>
      <c r="Q16" s="297" t="e">
        <f>SUM(-tanks!AX18*tanks!$AU$36)</f>
        <v>#DIV/0!</v>
      </c>
      <c r="R16" s="297" t="e">
        <f>SUM(P16:Q16)</f>
        <v>#DIV/0!</v>
      </c>
      <c r="S16" s="299">
        <f>SUM(ELEC!N16)</f>
        <v>0</v>
      </c>
      <c r="T16" s="335">
        <f>IF(S16&gt;0,R16/S16,0)</f>
        <v>0</v>
      </c>
      <c r="V16" s="560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5">
        <f>'[2]EDl log'!AB33</f>
        <v>13197997</v>
      </c>
      <c r="AC16" s="605">
        <f>'[2]EDl log'!AC33</f>
        <v>7234333</v>
      </c>
    </row>
    <row r="17" spans="1:32" ht="20.149999999999999" customHeight="1">
      <c r="A17" s="163">
        <f>ELEC!C17</f>
        <v>44361</v>
      </c>
      <c r="B17" s="633">
        <f t="shared" si="7"/>
        <v>1058175</v>
      </c>
      <c r="C17" s="264">
        <f t="shared" si="0"/>
        <v>0</v>
      </c>
      <c r="D17" s="308">
        <f t="shared" si="8"/>
        <v>0</v>
      </c>
      <c r="E17" s="308">
        <f t="shared" si="15"/>
        <v>1058175</v>
      </c>
      <c r="F17" s="633">
        <f t="shared" si="9"/>
        <v>156087</v>
      </c>
      <c r="G17" s="160">
        <f t="shared" si="1"/>
        <v>0</v>
      </c>
      <c r="H17" s="633">
        <f t="shared" si="10"/>
        <v>515845</v>
      </c>
      <c r="I17" s="161">
        <f t="shared" si="2"/>
        <v>0</v>
      </c>
      <c r="J17" s="633">
        <f t="shared" si="11"/>
        <v>386243</v>
      </c>
      <c r="K17" s="162">
        <f>J17-J16</f>
        <v>0</v>
      </c>
      <c r="L17" s="296">
        <f>SUM(G17*$Y$28)/1507.5</f>
        <v>0</v>
      </c>
      <c r="M17" s="296">
        <f>SUM(I17*$Y$27)/1507.5</f>
        <v>0</v>
      </c>
      <c r="N17" s="296">
        <f>SUM(K17*$Y$26)/1507.5</f>
        <v>0</v>
      </c>
      <c r="O17" s="296">
        <f t="shared" si="12"/>
        <v>159.96313985627418</v>
      </c>
      <c r="P17" s="297">
        <f>SUM(L17:O17)</f>
        <v>159.96313985627418</v>
      </c>
      <c r="Q17" s="297" t="e">
        <f>SUM(-tanks!AX19*tanks!$AU$36)</f>
        <v>#DIV/0!</v>
      </c>
      <c r="R17" s="297" t="e">
        <f>SUM(P17:Q17)</f>
        <v>#DIV/0!</v>
      </c>
      <c r="S17" s="299">
        <f>SUM(ELEC!N17)</f>
        <v>0</v>
      </c>
      <c r="T17" s="335">
        <f>IF(S17&gt;0,R17/S17,0)</f>
        <v>0</v>
      </c>
      <c r="V17" s="253"/>
      <c r="W17" s="502"/>
      <c r="X17" s="17"/>
      <c r="Y17" s="429"/>
      <c r="Z17" s="502" t="s">
        <v>415</v>
      </c>
      <c r="AA17" s="576">
        <f>'[12]EDl log'!AA34</f>
        <v>0.11</v>
      </c>
      <c r="AB17" s="605">
        <f>'[2]EDl log'!AB34</f>
        <v>0</v>
      </c>
      <c r="AC17" s="558">
        <f>'[13]EDl log'!AC34</f>
        <v>0</v>
      </c>
    </row>
    <row r="18" spans="1:32" ht="20.149999999999999" customHeight="1" thickBot="1">
      <c r="A18" s="163">
        <f>ELEC!C18</f>
        <v>44362</v>
      </c>
      <c r="B18" s="633">
        <f t="shared" si="7"/>
        <v>1058175</v>
      </c>
      <c r="C18" s="264">
        <f t="shared" si="0"/>
        <v>0</v>
      </c>
      <c r="D18" s="308">
        <f t="shared" si="8"/>
        <v>0</v>
      </c>
      <c r="E18" s="308">
        <f t="shared" si="15"/>
        <v>1058175</v>
      </c>
      <c r="F18" s="633">
        <f t="shared" si="9"/>
        <v>156087</v>
      </c>
      <c r="G18" s="160">
        <f t="shared" si="1"/>
        <v>0</v>
      </c>
      <c r="H18" s="633">
        <f t="shared" si="10"/>
        <v>515845</v>
      </c>
      <c r="I18" s="161">
        <f t="shared" si="2"/>
        <v>0</v>
      </c>
      <c r="J18" s="633">
        <f t="shared" si="11"/>
        <v>386243</v>
      </c>
      <c r="K18" s="162">
        <f t="shared" si="3"/>
        <v>0</v>
      </c>
      <c r="L18" s="296">
        <f t="shared" ref="L18:L30" si="17">SUM(G18*$Y$28)/1507.5</f>
        <v>0</v>
      </c>
      <c r="M18" s="296">
        <f t="shared" ref="M18:M30" si="18">SUM(I18*$Y$27)/1507.5</f>
        <v>0</v>
      </c>
      <c r="N18" s="296">
        <f t="shared" ref="N18:N30" si="19">SUM(K18*$Y$26)/1507.5</f>
        <v>0</v>
      </c>
      <c r="O18" s="296">
        <f t="shared" si="12"/>
        <v>159.96313985627418</v>
      </c>
      <c r="P18" s="297">
        <f t="shared" si="13"/>
        <v>159.96313985627418</v>
      </c>
      <c r="Q18" s="297" t="e">
        <f>SUM(-tanks!AX20*tanks!$AU$36)</f>
        <v>#DIV/0!</v>
      </c>
      <c r="R18" s="297" t="e">
        <f t="shared" si="14"/>
        <v>#DIV/0!</v>
      </c>
      <c r="S18" s="299">
        <f>SUM(ELEC!N18)</f>
        <v>0</v>
      </c>
      <c r="T18" s="335">
        <f t="shared" si="16"/>
        <v>0</v>
      </c>
      <c r="V18" s="228"/>
      <c r="W18" s="229"/>
      <c r="X18" s="229"/>
      <c r="Y18" s="429"/>
      <c r="Z18" s="502"/>
      <c r="AA18" s="576"/>
      <c r="AB18" s="605">
        <f>'[2]EDl log'!AB35</f>
        <v>0</v>
      </c>
      <c r="AC18" s="558">
        <f>'[13]EDl log'!AC35</f>
        <v>0</v>
      </c>
    </row>
    <row r="19" spans="1:32" ht="20.149999999999999" customHeight="1" thickBot="1">
      <c r="A19" s="163">
        <f>ELEC!C19</f>
        <v>44363</v>
      </c>
      <c r="B19" s="633">
        <f t="shared" si="7"/>
        <v>1058175</v>
      </c>
      <c r="C19" s="264">
        <f t="shared" si="0"/>
        <v>0</v>
      </c>
      <c r="D19" s="308">
        <f t="shared" si="8"/>
        <v>0</v>
      </c>
      <c r="E19" s="308">
        <f t="shared" si="15"/>
        <v>1058175</v>
      </c>
      <c r="F19" s="633">
        <f t="shared" si="9"/>
        <v>156087</v>
      </c>
      <c r="G19" s="160">
        <f t="shared" si="1"/>
        <v>0</v>
      </c>
      <c r="H19" s="633">
        <f t="shared" si="10"/>
        <v>515845</v>
      </c>
      <c r="I19" s="161">
        <f t="shared" si="2"/>
        <v>0</v>
      </c>
      <c r="J19" s="633">
        <f t="shared" si="11"/>
        <v>386243</v>
      </c>
      <c r="K19" s="162">
        <f t="shared" si="3"/>
        <v>0</v>
      </c>
      <c r="L19" s="296">
        <f t="shared" si="17"/>
        <v>0</v>
      </c>
      <c r="M19" s="296">
        <f t="shared" si="18"/>
        <v>0</v>
      </c>
      <c r="N19" s="296">
        <f t="shared" si="19"/>
        <v>0</v>
      </c>
      <c r="O19" s="296">
        <f t="shared" si="12"/>
        <v>159.96313985627418</v>
      </c>
      <c r="P19" s="297">
        <f t="shared" si="13"/>
        <v>159.96313985627418</v>
      </c>
      <c r="Q19" s="297" t="e">
        <f>SUM(-tanks!AX21*tanks!$AU$36)</f>
        <v>#DIV/0!</v>
      </c>
      <c r="R19" s="297" t="e">
        <f t="shared" si="14"/>
        <v>#DIV/0!</v>
      </c>
      <c r="S19" s="299">
        <f>SUM(ELEC!N19)</f>
        <v>0</v>
      </c>
      <c r="T19" s="335">
        <f t="shared" si="16"/>
        <v>0</v>
      </c>
      <c r="V19" s="228"/>
      <c r="W19" s="229"/>
      <c r="X19" s="229"/>
      <c r="Y19" s="561"/>
      <c r="Z19" s="561"/>
      <c r="AA19" s="576"/>
      <c r="AB19" s="638">
        <f>'[2]EDl log'!AB36</f>
        <v>8754.8902155887226</v>
      </c>
      <c r="AC19" s="558">
        <f>'[13]EDl log'!AC36</f>
        <v>0</v>
      </c>
    </row>
    <row r="20" spans="1:32" ht="20.149999999999999" customHeight="1" thickBot="1">
      <c r="A20" s="163">
        <f>ELEC!C20</f>
        <v>44364</v>
      </c>
      <c r="B20" s="633">
        <f t="shared" si="7"/>
        <v>1058175</v>
      </c>
      <c r="C20" s="264">
        <f t="shared" si="0"/>
        <v>0</v>
      </c>
      <c r="D20" s="308">
        <f t="shared" si="8"/>
        <v>0</v>
      </c>
      <c r="E20" s="308">
        <f t="shared" si="15"/>
        <v>1058175</v>
      </c>
      <c r="F20" s="633">
        <f t="shared" si="9"/>
        <v>156087</v>
      </c>
      <c r="G20" s="160">
        <f t="shared" si="1"/>
        <v>0</v>
      </c>
      <c r="H20" s="633">
        <f t="shared" si="10"/>
        <v>515845</v>
      </c>
      <c r="I20" s="161">
        <f t="shared" si="2"/>
        <v>0</v>
      </c>
      <c r="J20" s="633">
        <f t="shared" si="11"/>
        <v>386243</v>
      </c>
      <c r="K20" s="162">
        <f t="shared" si="3"/>
        <v>0</v>
      </c>
      <c r="L20" s="296">
        <f t="shared" si="17"/>
        <v>0</v>
      </c>
      <c r="M20" s="296">
        <f t="shared" si="18"/>
        <v>0</v>
      </c>
      <c r="N20" s="296">
        <f t="shared" si="19"/>
        <v>0</v>
      </c>
      <c r="O20" s="296">
        <f t="shared" si="12"/>
        <v>159.96313985627418</v>
      </c>
      <c r="P20" s="297">
        <f t="shared" si="13"/>
        <v>159.96313985627418</v>
      </c>
      <c r="Q20" s="297" t="e">
        <f>SUM(-tanks!AX22*tanks!$AU$36)</f>
        <v>#DIV/0!</v>
      </c>
      <c r="R20" s="297" t="e">
        <f t="shared" si="14"/>
        <v>#DIV/0!</v>
      </c>
      <c r="S20" s="299">
        <f>SUM(ELEC!N20)</f>
        <v>0</v>
      </c>
      <c r="T20" s="335">
        <f t="shared" si="16"/>
        <v>0</v>
      </c>
      <c r="V20" t="s">
        <v>411</v>
      </c>
      <c r="AB20" s="559"/>
    </row>
    <row r="21" spans="1:32" ht="20.149999999999999" customHeight="1">
      <c r="A21" s="163">
        <f>ELEC!C21</f>
        <v>44365</v>
      </c>
      <c r="B21" s="633">
        <f t="shared" si="7"/>
        <v>1058175</v>
      </c>
      <c r="C21" s="264">
        <f t="shared" si="0"/>
        <v>0</v>
      </c>
      <c r="D21" s="308">
        <f t="shared" si="8"/>
        <v>0</v>
      </c>
      <c r="E21" s="308">
        <f t="shared" si="15"/>
        <v>1058175</v>
      </c>
      <c r="F21" s="633">
        <f t="shared" si="9"/>
        <v>156087</v>
      </c>
      <c r="G21" s="160">
        <f t="shared" si="1"/>
        <v>0</v>
      </c>
      <c r="H21" s="633">
        <f t="shared" si="10"/>
        <v>515845</v>
      </c>
      <c r="I21" s="161">
        <f t="shared" si="2"/>
        <v>0</v>
      </c>
      <c r="J21" s="633">
        <f t="shared" si="11"/>
        <v>386243</v>
      </c>
      <c r="K21" s="162">
        <f t="shared" si="3"/>
        <v>0</v>
      </c>
      <c r="L21" s="296">
        <f t="shared" si="17"/>
        <v>0</v>
      </c>
      <c r="M21" s="296">
        <f t="shared" si="18"/>
        <v>0</v>
      </c>
      <c r="N21" s="296">
        <f t="shared" si="19"/>
        <v>0</v>
      </c>
      <c r="O21" s="296">
        <f t="shared" si="12"/>
        <v>159.96313985627418</v>
      </c>
      <c r="P21" s="297">
        <f t="shared" si="13"/>
        <v>159.96313985627418</v>
      </c>
      <c r="Q21" s="297" t="e">
        <f>SUM(-tanks!AX23*tanks!$AU$36)</f>
        <v>#DIV/0!</v>
      </c>
      <c r="R21" s="297" t="e">
        <f t="shared" si="14"/>
        <v>#DIV/0!</v>
      </c>
      <c r="S21" s="299">
        <f>SUM(ELEC!N21)</f>
        <v>0</v>
      </c>
      <c r="T21" s="335">
        <f t="shared" si="16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78"/>
      <c r="AC21" s="679"/>
    </row>
    <row r="22" spans="1:32" ht="20.149999999999999" customHeight="1">
      <c r="A22" s="163">
        <f>ELEC!C22</f>
        <v>44366</v>
      </c>
      <c r="B22" s="633">
        <f t="shared" si="7"/>
        <v>1058175</v>
      </c>
      <c r="C22" s="264">
        <f t="shared" si="0"/>
        <v>0</v>
      </c>
      <c r="D22" s="308">
        <f t="shared" si="8"/>
        <v>0</v>
      </c>
      <c r="E22" s="308">
        <f t="shared" si="15"/>
        <v>1058175</v>
      </c>
      <c r="F22" s="633">
        <f t="shared" si="9"/>
        <v>156087</v>
      </c>
      <c r="G22" s="160">
        <f t="shared" si="1"/>
        <v>0</v>
      </c>
      <c r="H22" s="633">
        <f t="shared" si="10"/>
        <v>515845</v>
      </c>
      <c r="I22" s="161">
        <f t="shared" si="2"/>
        <v>0</v>
      </c>
      <c r="J22" s="633">
        <f t="shared" si="11"/>
        <v>386243</v>
      </c>
      <c r="K22" s="162">
        <f t="shared" si="3"/>
        <v>0</v>
      </c>
      <c r="L22" s="296">
        <f t="shared" si="17"/>
        <v>0</v>
      </c>
      <c r="M22" s="296">
        <f t="shared" si="18"/>
        <v>0</v>
      </c>
      <c r="N22" s="296">
        <f t="shared" si="19"/>
        <v>0</v>
      </c>
      <c r="O22" s="296">
        <f t="shared" si="12"/>
        <v>159.96313985627418</v>
      </c>
      <c r="P22" s="297">
        <f t="shared" si="13"/>
        <v>159.96313985627418</v>
      </c>
      <c r="Q22" s="297" t="e">
        <f>SUM(-tanks!AX24*tanks!$AU$36)</f>
        <v>#DIV/0!</v>
      </c>
      <c r="R22" s="297" t="e">
        <f t="shared" si="14"/>
        <v>#DIV/0!</v>
      </c>
      <c r="S22" s="299">
        <f>SUM(ELEC!N22)</f>
        <v>0</v>
      </c>
      <c r="T22" s="335">
        <f t="shared" si="16"/>
        <v>0</v>
      </c>
      <c r="V22" s="684"/>
      <c r="W22" s="685"/>
      <c r="X22" s="685"/>
      <c r="Y22" s="686"/>
      <c r="Z22" s="26" t="s">
        <v>203</v>
      </c>
      <c r="AA22" s="26">
        <v>5000</v>
      </c>
      <c r="AB22" s="680"/>
      <c r="AC22" s="681"/>
    </row>
    <row r="23" spans="1:32" ht="20.149999999999999" customHeight="1">
      <c r="A23" s="163">
        <f>ELEC!C23</f>
        <v>44367</v>
      </c>
      <c r="B23" s="633">
        <f t="shared" si="7"/>
        <v>1058175</v>
      </c>
      <c r="C23" s="264">
        <f t="shared" si="0"/>
        <v>0</v>
      </c>
      <c r="D23" s="308">
        <f t="shared" si="8"/>
        <v>0</v>
      </c>
      <c r="E23" s="308">
        <f t="shared" si="15"/>
        <v>1058175</v>
      </c>
      <c r="F23" s="633">
        <f t="shared" si="9"/>
        <v>156087</v>
      </c>
      <c r="G23" s="160">
        <f t="shared" si="1"/>
        <v>0</v>
      </c>
      <c r="H23" s="633">
        <f t="shared" si="10"/>
        <v>515845</v>
      </c>
      <c r="I23" s="161">
        <f t="shared" si="2"/>
        <v>0</v>
      </c>
      <c r="J23" s="633">
        <f t="shared" si="11"/>
        <v>386243</v>
      </c>
      <c r="K23" s="162">
        <f t="shared" si="3"/>
        <v>0</v>
      </c>
      <c r="L23" s="296">
        <f t="shared" si="17"/>
        <v>0</v>
      </c>
      <c r="M23" s="296">
        <f t="shared" si="18"/>
        <v>0</v>
      </c>
      <c r="N23" s="296">
        <f t="shared" si="19"/>
        <v>0</v>
      </c>
      <c r="O23" s="296">
        <f t="shared" si="12"/>
        <v>159.96313985627418</v>
      </c>
      <c r="P23" s="297">
        <f t="shared" si="13"/>
        <v>159.96313985627418</v>
      </c>
      <c r="Q23" s="297" t="e">
        <f>SUM(-tanks!AX25*tanks!$AU$36)</f>
        <v>#DIV/0!</v>
      </c>
      <c r="R23" s="297" t="e">
        <f t="shared" si="14"/>
        <v>#DIV/0!</v>
      </c>
      <c r="S23" s="299">
        <f>SUM(ELEC!N23)</f>
        <v>0</v>
      </c>
      <c r="T23" s="335">
        <f t="shared" si="16"/>
        <v>0</v>
      </c>
      <c r="V23" s="687"/>
      <c r="W23" s="688"/>
      <c r="X23" s="688"/>
      <c r="Y23" s="689"/>
      <c r="Z23" s="690"/>
      <c r="AA23" s="691"/>
      <c r="AB23" s="680"/>
      <c r="AC23" s="681"/>
    </row>
    <row r="24" spans="1:32" ht="20.149999999999999" customHeight="1">
      <c r="A24" s="163">
        <f>ELEC!C24</f>
        <v>44368</v>
      </c>
      <c r="B24" s="633">
        <f t="shared" si="7"/>
        <v>1058175</v>
      </c>
      <c r="C24" s="264">
        <f t="shared" si="0"/>
        <v>0</v>
      </c>
      <c r="D24" s="308">
        <f t="shared" si="8"/>
        <v>0</v>
      </c>
      <c r="E24" s="308">
        <f t="shared" si="15"/>
        <v>1058175</v>
      </c>
      <c r="F24" s="633">
        <f t="shared" si="9"/>
        <v>156087</v>
      </c>
      <c r="G24" s="160">
        <f t="shared" si="1"/>
        <v>0</v>
      </c>
      <c r="H24" s="633">
        <f t="shared" si="10"/>
        <v>515845</v>
      </c>
      <c r="I24" s="161">
        <f t="shared" si="2"/>
        <v>0</v>
      </c>
      <c r="J24" s="633">
        <f t="shared" si="11"/>
        <v>386243</v>
      </c>
      <c r="K24" s="162">
        <f t="shared" si="3"/>
        <v>0</v>
      </c>
      <c r="L24" s="296">
        <f t="shared" si="17"/>
        <v>0</v>
      </c>
      <c r="M24" s="296">
        <f t="shared" si="18"/>
        <v>0</v>
      </c>
      <c r="N24" s="296">
        <f t="shared" si="19"/>
        <v>0</v>
      </c>
      <c r="O24" s="296">
        <f t="shared" si="12"/>
        <v>159.96313985627418</v>
      </c>
      <c r="P24" s="297">
        <f t="shared" si="13"/>
        <v>159.96313985627418</v>
      </c>
      <c r="Q24" s="297" t="e">
        <f>SUM(-tanks!AX26*tanks!$AU$36)</f>
        <v>#DIV/0!</v>
      </c>
      <c r="R24" s="297" t="e">
        <f t="shared" si="14"/>
        <v>#DIV/0!</v>
      </c>
      <c r="S24" s="299">
        <f>SUM(ELEC!N24)</f>
        <v>0</v>
      </c>
      <c r="T24" s="335">
        <f t="shared" si="16"/>
        <v>0</v>
      </c>
      <c r="V24" s="692" t="s">
        <v>204</v>
      </c>
      <c r="W24" s="693"/>
      <c r="X24" s="694" t="s">
        <v>205</v>
      </c>
      <c r="Y24" s="695"/>
      <c r="Z24" s="696"/>
      <c r="AA24" s="170"/>
      <c r="AB24" s="682"/>
      <c r="AC24" s="683"/>
    </row>
    <row r="25" spans="1:32" ht="20.149999999999999" customHeight="1">
      <c r="A25" s="163">
        <f>ELEC!C25</f>
        <v>44369</v>
      </c>
      <c r="B25" s="633">
        <f t="shared" si="7"/>
        <v>1058175</v>
      </c>
      <c r="C25" s="264">
        <f t="shared" si="0"/>
        <v>0</v>
      </c>
      <c r="D25" s="308">
        <f t="shared" si="8"/>
        <v>0</v>
      </c>
      <c r="E25" s="308">
        <f t="shared" si="15"/>
        <v>1058175</v>
      </c>
      <c r="F25" s="633">
        <f t="shared" si="9"/>
        <v>156087</v>
      </c>
      <c r="G25" s="160">
        <f t="shared" si="1"/>
        <v>0</v>
      </c>
      <c r="H25" s="633">
        <f t="shared" si="10"/>
        <v>515845</v>
      </c>
      <c r="I25" s="161">
        <f t="shared" si="2"/>
        <v>0</v>
      </c>
      <c r="J25" s="633">
        <f t="shared" si="11"/>
        <v>386243</v>
      </c>
      <c r="K25" s="162">
        <f t="shared" si="3"/>
        <v>0</v>
      </c>
      <c r="L25" s="296">
        <f t="shared" si="17"/>
        <v>0</v>
      </c>
      <c r="M25" s="296">
        <f t="shared" si="18"/>
        <v>0</v>
      </c>
      <c r="N25" s="296">
        <f t="shared" si="19"/>
        <v>0</v>
      </c>
      <c r="O25" s="296">
        <f t="shared" si="12"/>
        <v>159.96313985627418</v>
      </c>
      <c r="P25" s="297">
        <f t="shared" si="13"/>
        <v>159.96313985627418</v>
      </c>
      <c r="Q25" s="297" t="e">
        <f>SUM(-tanks!AX27*tanks!$AU$36)</f>
        <v>#DIV/0!</v>
      </c>
      <c r="R25" s="297" t="e">
        <f t="shared" si="14"/>
        <v>#DIV/0!</v>
      </c>
      <c r="S25" s="299">
        <f>SUM(ELEC!N25)</f>
        <v>0</v>
      </c>
      <c r="T25" s="335">
        <f t="shared" si="16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49999999999999" customHeight="1">
      <c r="A26" s="163">
        <f>ELEC!C26</f>
        <v>44370</v>
      </c>
      <c r="B26" s="633">
        <f t="shared" si="7"/>
        <v>1058175</v>
      </c>
      <c r="C26" s="264">
        <f t="shared" si="0"/>
        <v>0</v>
      </c>
      <c r="D26" s="308">
        <f t="shared" si="8"/>
        <v>0</v>
      </c>
      <c r="E26" s="308">
        <f t="shared" si="15"/>
        <v>1058175</v>
      </c>
      <c r="F26" s="633">
        <f t="shared" si="9"/>
        <v>156087</v>
      </c>
      <c r="G26" s="160">
        <f t="shared" si="1"/>
        <v>0</v>
      </c>
      <c r="H26" s="633">
        <f t="shared" si="10"/>
        <v>515845</v>
      </c>
      <c r="I26" s="161">
        <f t="shared" si="2"/>
        <v>0</v>
      </c>
      <c r="J26" s="633">
        <f t="shared" si="11"/>
        <v>386243</v>
      </c>
      <c r="K26" s="162">
        <f t="shared" si="3"/>
        <v>0</v>
      </c>
      <c r="L26" s="296">
        <f t="shared" si="17"/>
        <v>0</v>
      </c>
      <c r="M26" s="296">
        <f t="shared" si="18"/>
        <v>0</v>
      </c>
      <c r="N26" s="296">
        <f t="shared" si="19"/>
        <v>0</v>
      </c>
      <c r="O26" s="296">
        <f t="shared" si="12"/>
        <v>159.96313985627418</v>
      </c>
      <c r="P26" s="297">
        <f t="shared" si="13"/>
        <v>159.96313985627418</v>
      </c>
      <c r="Q26" s="297" t="e">
        <f>SUM(-tanks!AX28*tanks!$AU$36)</f>
        <v>#DIV/0!</v>
      </c>
      <c r="R26" s="297" t="e">
        <f t="shared" si="14"/>
        <v>#DIV/0!</v>
      </c>
      <c r="S26" s="299">
        <f>SUM(ELEC!N26)</f>
        <v>0</v>
      </c>
      <c r="T26" s="335">
        <f t="shared" si="16"/>
        <v>0</v>
      </c>
      <c r="V26" s="254">
        <f>W9</f>
        <v>386167</v>
      </c>
      <c r="W26" s="170">
        <f>J33</f>
        <v>386243</v>
      </c>
      <c r="X26" s="172" t="s">
        <v>199</v>
      </c>
      <c r="Y26" s="172">
        <v>80</v>
      </c>
      <c r="Z26" s="172">
        <v>1</v>
      </c>
      <c r="AA26" s="337">
        <f>(W26-V26)*Z26</f>
        <v>76</v>
      </c>
      <c r="AB26" s="337">
        <f>AA26*Y26</f>
        <v>6080</v>
      </c>
      <c r="AC26" s="249">
        <f>AC9</f>
        <v>1033333</v>
      </c>
      <c r="AD26" s="501">
        <f>SUM(K36)</f>
        <v>0.20052770448548812</v>
      </c>
    </row>
    <row r="27" spans="1:32" ht="20.149999999999999" customHeight="1">
      <c r="A27" s="163">
        <f>ELEC!C27</f>
        <v>44371</v>
      </c>
      <c r="B27" s="633">
        <f t="shared" si="7"/>
        <v>1058175</v>
      </c>
      <c r="C27" s="264">
        <f t="shared" si="0"/>
        <v>0</v>
      </c>
      <c r="D27" s="308">
        <f t="shared" si="8"/>
        <v>0</v>
      </c>
      <c r="E27" s="308">
        <f t="shared" si="15"/>
        <v>1058175</v>
      </c>
      <c r="F27" s="633">
        <f t="shared" si="9"/>
        <v>156087</v>
      </c>
      <c r="G27" s="160">
        <f t="shared" si="1"/>
        <v>0</v>
      </c>
      <c r="H27" s="633">
        <f t="shared" si="10"/>
        <v>515845</v>
      </c>
      <c r="I27" s="161">
        <f t="shared" si="2"/>
        <v>0</v>
      </c>
      <c r="J27" s="633">
        <f t="shared" si="11"/>
        <v>386243</v>
      </c>
      <c r="K27" s="162">
        <f t="shared" si="3"/>
        <v>0</v>
      </c>
      <c r="L27" s="296">
        <f t="shared" si="17"/>
        <v>0</v>
      </c>
      <c r="M27" s="296">
        <f t="shared" si="18"/>
        <v>0</v>
      </c>
      <c r="N27" s="296">
        <f t="shared" si="19"/>
        <v>0</v>
      </c>
      <c r="O27" s="296">
        <f t="shared" si="12"/>
        <v>159.96313985627418</v>
      </c>
      <c r="P27" s="297">
        <f t="shared" si="13"/>
        <v>159.96313985627418</v>
      </c>
      <c r="Q27" s="297" t="e">
        <f>SUM(-tanks!AX29*tanks!$AU$36)</f>
        <v>#DIV/0!</v>
      </c>
      <c r="R27" s="297" t="e">
        <f t="shared" si="14"/>
        <v>#DIV/0!</v>
      </c>
      <c r="S27" s="299">
        <f>SUM(ELEC!N27)</f>
        <v>0</v>
      </c>
      <c r="T27" s="335">
        <f t="shared" si="16"/>
        <v>0</v>
      </c>
      <c r="V27" s="254">
        <f>W10</f>
        <v>515542</v>
      </c>
      <c r="W27" s="170">
        <f>H33</f>
        <v>515845</v>
      </c>
      <c r="X27" s="172" t="s">
        <v>213</v>
      </c>
      <c r="Y27" s="172">
        <v>112</v>
      </c>
      <c r="Z27" s="172">
        <v>1</v>
      </c>
      <c r="AA27" s="337">
        <f>(W27-V27)*Z27</f>
        <v>303</v>
      </c>
      <c r="AB27" s="337">
        <f>SUM(AA27*Y27)</f>
        <v>33936</v>
      </c>
      <c r="AC27" s="249">
        <f>AC10</f>
        <v>6200000</v>
      </c>
      <c r="AD27" s="501">
        <f>SUM(I36)</f>
        <v>0.79947229551451182</v>
      </c>
    </row>
    <row r="28" spans="1:32" ht="20.149999999999999" customHeight="1">
      <c r="A28" s="163">
        <f>ELEC!C28</f>
        <v>44372</v>
      </c>
      <c r="B28" s="633">
        <f t="shared" si="7"/>
        <v>1058175</v>
      </c>
      <c r="C28" s="264">
        <f t="shared" si="0"/>
        <v>0</v>
      </c>
      <c r="D28" s="308">
        <f t="shared" si="8"/>
        <v>0</v>
      </c>
      <c r="E28" s="308">
        <f t="shared" si="15"/>
        <v>1058175</v>
      </c>
      <c r="F28" s="633">
        <f t="shared" si="9"/>
        <v>156087</v>
      </c>
      <c r="G28" s="160">
        <f t="shared" si="1"/>
        <v>0</v>
      </c>
      <c r="H28" s="633">
        <f t="shared" si="10"/>
        <v>515845</v>
      </c>
      <c r="I28" s="161">
        <f t="shared" si="2"/>
        <v>0</v>
      </c>
      <c r="J28" s="633">
        <f t="shared" si="11"/>
        <v>386243</v>
      </c>
      <c r="K28" s="162">
        <f t="shared" si="3"/>
        <v>0</v>
      </c>
      <c r="L28" s="296">
        <f t="shared" si="17"/>
        <v>0</v>
      </c>
      <c r="M28" s="296">
        <f t="shared" si="18"/>
        <v>0</v>
      </c>
      <c r="N28" s="296">
        <f t="shared" si="19"/>
        <v>0</v>
      </c>
      <c r="O28" s="296">
        <f t="shared" si="12"/>
        <v>159.96313985627418</v>
      </c>
      <c r="P28" s="297">
        <f t="shared" si="13"/>
        <v>159.96313985627418</v>
      </c>
      <c r="Q28" s="297" t="e">
        <f>SUM(-tanks!AX30*tanks!$AU$36)</f>
        <v>#DIV/0!</v>
      </c>
      <c r="R28" s="297" t="e">
        <f t="shared" si="14"/>
        <v>#DIV/0!</v>
      </c>
      <c r="S28" s="299">
        <f>SUM(ELEC!N28)</f>
        <v>0</v>
      </c>
      <c r="T28" s="335">
        <f t="shared" si="16"/>
        <v>0</v>
      </c>
      <c r="V28" s="254">
        <f>W11</f>
        <v>156087</v>
      </c>
      <c r="W28" s="170">
        <f>F33</f>
        <v>156087</v>
      </c>
      <c r="X28" s="172" t="s">
        <v>197</v>
      </c>
      <c r="Y28" s="172">
        <v>320</v>
      </c>
      <c r="Z28" s="172">
        <v>1</v>
      </c>
      <c r="AA28" s="337">
        <f>(W28-V28)*Z28</f>
        <v>0</v>
      </c>
      <c r="AB28" s="337">
        <f>SUM(AA28*Y28)</f>
        <v>0</v>
      </c>
      <c r="AC28" s="249">
        <f>AC11</f>
        <v>1000</v>
      </c>
      <c r="AD28" s="501">
        <f>SUM(G36)</f>
        <v>0</v>
      </c>
      <c r="AE28" s="40">
        <f>SUM(AB28*5%)</f>
        <v>0</v>
      </c>
      <c r="AF28" s="82">
        <f>SUM(AE28/7)*31</f>
        <v>0</v>
      </c>
    </row>
    <row r="29" spans="1:32" ht="20.149999999999999" customHeight="1">
      <c r="A29" s="163">
        <f>ELEC!C29</f>
        <v>44373</v>
      </c>
      <c r="B29" s="633">
        <f t="shared" si="7"/>
        <v>1058175</v>
      </c>
      <c r="C29" s="264">
        <f t="shared" si="0"/>
        <v>0</v>
      </c>
      <c r="D29" s="308">
        <f t="shared" si="8"/>
        <v>0</v>
      </c>
      <c r="E29" s="308">
        <f t="shared" si="15"/>
        <v>1058175</v>
      </c>
      <c r="F29" s="633">
        <f t="shared" si="9"/>
        <v>156087</v>
      </c>
      <c r="G29" s="160">
        <f t="shared" si="1"/>
        <v>0</v>
      </c>
      <c r="H29" s="633">
        <f t="shared" si="10"/>
        <v>515845</v>
      </c>
      <c r="I29" s="161">
        <f t="shared" si="2"/>
        <v>0</v>
      </c>
      <c r="J29" s="633">
        <f t="shared" si="11"/>
        <v>386243</v>
      </c>
      <c r="K29" s="162">
        <f t="shared" si="3"/>
        <v>0</v>
      </c>
      <c r="L29" s="296">
        <f t="shared" si="17"/>
        <v>0</v>
      </c>
      <c r="M29" s="296">
        <f t="shared" si="18"/>
        <v>0</v>
      </c>
      <c r="N29" s="296">
        <f t="shared" si="19"/>
        <v>0</v>
      </c>
      <c r="O29" s="296">
        <f t="shared" si="12"/>
        <v>159.96313985627418</v>
      </c>
      <c r="P29" s="297">
        <f t="shared" si="13"/>
        <v>159.96313985627418</v>
      </c>
      <c r="Q29" s="297" t="e">
        <f>SUM(-tanks!AX31*tanks!$AU$36)</f>
        <v>#DIV/0!</v>
      </c>
      <c r="R29" s="297" t="e">
        <f t="shared" si="14"/>
        <v>#DIV/0!</v>
      </c>
      <c r="S29" s="299">
        <f>SUM(ELEC!N29)</f>
        <v>0</v>
      </c>
      <c r="T29" s="335">
        <f t="shared" si="16"/>
        <v>0</v>
      </c>
      <c r="V29" s="213"/>
      <c r="W29" s="214"/>
      <c r="X29" s="214"/>
      <c r="Y29" s="215"/>
      <c r="Z29" s="3"/>
      <c r="AA29" s="337">
        <f>SUM(AA26:AA28)</f>
        <v>379</v>
      </c>
      <c r="AB29" s="337"/>
      <c r="AC29" s="249">
        <f>SUM(AC26:AC28)</f>
        <v>7234333</v>
      </c>
    </row>
    <row r="30" spans="1:32" ht="20.149999999999999" customHeight="1">
      <c r="A30" s="163">
        <f>ELEC!C30</f>
        <v>44374</v>
      </c>
      <c r="B30" s="633">
        <f t="shared" si="7"/>
        <v>1058175</v>
      </c>
      <c r="C30" s="264">
        <f t="shared" si="0"/>
        <v>0</v>
      </c>
      <c r="D30" s="308">
        <f t="shared" si="8"/>
        <v>0</v>
      </c>
      <c r="E30" s="308">
        <f t="shared" si="15"/>
        <v>1058175</v>
      </c>
      <c r="F30" s="633">
        <f t="shared" si="9"/>
        <v>156087</v>
      </c>
      <c r="G30" s="160">
        <f t="shared" si="1"/>
        <v>0</v>
      </c>
      <c r="H30" s="633">
        <f t="shared" si="10"/>
        <v>515845</v>
      </c>
      <c r="I30" s="161">
        <f t="shared" si="2"/>
        <v>0</v>
      </c>
      <c r="J30" s="633">
        <f t="shared" si="11"/>
        <v>386243</v>
      </c>
      <c r="K30" s="162">
        <f t="shared" si="3"/>
        <v>0</v>
      </c>
      <c r="L30" s="296">
        <f t="shared" si="17"/>
        <v>0</v>
      </c>
      <c r="M30" s="296">
        <f t="shared" si="18"/>
        <v>0</v>
      </c>
      <c r="N30" s="296">
        <f t="shared" si="19"/>
        <v>0</v>
      </c>
      <c r="O30" s="296">
        <f t="shared" si="12"/>
        <v>159.96313985627418</v>
      </c>
      <c r="P30" s="297">
        <f t="shared" si="13"/>
        <v>159.96313985627418</v>
      </c>
      <c r="Q30" s="297" t="e">
        <f>SUM(-tanks!AX32*tanks!$AU$36)</f>
        <v>#DIV/0!</v>
      </c>
      <c r="R30" s="297" t="e">
        <f t="shared" si="14"/>
        <v>#DIV/0!</v>
      </c>
      <c r="S30" s="299">
        <f>SUM(ELEC!N30)</f>
        <v>0</v>
      </c>
      <c r="T30" s="335">
        <f t="shared" si="16"/>
        <v>0</v>
      </c>
      <c r="V30" s="216" t="s">
        <v>316</v>
      </c>
      <c r="W30" s="441">
        <f>'General information '!F37</f>
        <v>0</v>
      </c>
      <c r="X30" s="217"/>
      <c r="Y30" s="218" t="s">
        <v>330</v>
      </c>
      <c r="Z30" s="3"/>
      <c r="AA30" s="337"/>
      <c r="AB30" s="337">
        <f>SUM(AB26:AB29)</f>
        <v>40016</v>
      </c>
      <c r="AC30" s="249"/>
    </row>
    <row r="31" spans="1:32" ht="20.149999999999999" customHeight="1">
      <c r="A31" s="163">
        <f>ELEC!C31</f>
        <v>44375</v>
      </c>
      <c r="B31" s="633">
        <f t="shared" si="7"/>
        <v>1058175</v>
      </c>
      <c r="C31" s="264">
        <f>SUM(B31-B30)</f>
        <v>0</v>
      </c>
      <c r="D31" s="308">
        <f t="shared" si="8"/>
        <v>0</v>
      </c>
      <c r="E31" s="308">
        <f>B30+D31</f>
        <v>1058175</v>
      </c>
      <c r="F31" s="633">
        <f t="shared" si="9"/>
        <v>156087</v>
      </c>
      <c r="G31" s="160">
        <f>F31-F30</f>
        <v>0</v>
      </c>
      <c r="H31" s="633">
        <f t="shared" si="10"/>
        <v>515845</v>
      </c>
      <c r="I31" s="161">
        <f>H31-H30</f>
        <v>0</v>
      </c>
      <c r="J31" s="633">
        <f t="shared" si="11"/>
        <v>386243</v>
      </c>
      <c r="K31" s="162">
        <f>J31-J30</f>
        <v>0</v>
      </c>
      <c r="L31" s="296">
        <f>SUM(G31*$Y$28)/1507.5</f>
        <v>0</v>
      </c>
      <c r="M31" s="296">
        <f>SUM(I31*$Y$27)/1507.5</f>
        <v>0</v>
      </c>
      <c r="N31" s="296">
        <f>SUM(K31*$Y$26)/1507.5</f>
        <v>0</v>
      </c>
      <c r="O31" s="296">
        <f t="shared" si="12"/>
        <v>159.96313985627418</v>
      </c>
      <c r="P31" s="297">
        <f>SUM(L31:O31)</f>
        <v>159.96313985627418</v>
      </c>
      <c r="Q31" s="297" t="e">
        <f>SUM(-tanks!AX33*tanks!$AU$36)</f>
        <v>#DIV/0!</v>
      </c>
      <c r="R31" s="297" t="e">
        <f>SUM(P31:Q31)</f>
        <v>#DIV/0!</v>
      </c>
      <c r="S31" s="299">
        <f>SUM(ELEC!N31)</f>
        <v>0</v>
      </c>
      <c r="T31" s="335">
        <f>IF(S31&gt;0,R31/S31,0)</f>
        <v>0</v>
      </c>
      <c r="V31" s="216"/>
      <c r="W31" s="545"/>
      <c r="X31" s="217"/>
      <c r="Y31" s="218"/>
      <c r="Z31" s="3"/>
      <c r="AA31" s="337"/>
      <c r="AB31" s="337"/>
      <c r="AC31" s="249"/>
    </row>
    <row r="32" spans="1:32" ht="20.149999999999999" customHeight="1">
      <c r="A32" s="163">
        <f>ELEC!C32</f>
        <v>44376</v>
      </c>
      <c r="B32" s="633">
        <f t="shared" si="7"/>
        <v>1058175</v>
      </c>
      <c r="C32" s="264">
        <f>SUM(B32-B31)</f>
        <v>0</v>
      </c>
      <c r="D32" s="308">
        <f t="shared" si="8"/>
        <v>0</v>
      </c>
      <c r="E32" s="308">
        <f>B31+D32</f>
        <v>1058175</v>
      </c>
      <c r="F32" s="633">
        <f t="shared" si="9"/>
        <v>156087</v>
      </c>
      <c r="G32" s="160">
        <f>F32-F31</f>
        <v>0</v>
      </c>
      <c r="H32" s="633">
        <f t="shared" si="10"/>
        <v>515845</v>
      </c>
      <c r="I32" s="161">
        <f>H32-H31</f>
        <v>0</v>
      </c>
      <c r="J32" s="633">
        <f t="shared" si="11"/>
        <v>386243</v>
      </c>
      <c r="K32" s="162">
        <f>J32-J31</f>
        <v>0</v>
      </c>
      <c r="L32" s="296">
        <f>SUM(G32*$Y$28)/1507.5</f>
        <v>0</v>
      </c>
      <c r="M32" s="296">
        <f>SUM(I32*$Y$27)/1507.5</f>
        <v>0</v>
      </c>
      <c r="N32" s="296">
        <f>SUM(K32*$Y$26)/1507.5</f>
        <v>0</v>
      </c>
      <c r="O32" s="296">
        <f t="shared" si="12"/>
        <v>159.96313985627418</v>
      </c>
      <c r="P32" s="297">
        <f>SUM(L32:O32)</f>
        <v>159.96313985627418</v>
      </c>
      <c r="Q32" s="297" t="e">
        <f>SUM(-tanks!AX34*tanks!$AU$36)</f>
        <v>#DIV/0!</v>
      </c>
      <c r="R32" s="297" t="e">
        <f>SUM(P32:Q32)</f>
        <v>#DIV/0!</v>
      </c>
      <c r="S32" s="299">
        <f>SUM(ELEC!N32)</f>
        <v>0</v>
      </c>
      <c r="T32" s="335">
        <f>IF(S32&gt;0,R32/S32,0)</f>
        <v>0</v>
      </c>
      <c r="V32" s="216"/>
      <c r="W32" s="545"/>
      <c r="X32" s="217"/>
      <c r="Y32" s="218"/>
      <c r="Z32" s="3"/>
      <c r="AA32" s="337"/>
      <c r="AB32" s="337"/>
      <c r="AC32" s="249"/>
    </row>
    <row r="33" spans="1:32" ht="20.149999999999999" customHeight="1">
      <c r="A33" s="163">
        <f>ELEC!C33</f>
        <v>44377</v>
      </c>
      <c r="B33" s="633">
        <f t="shared" si="7"/>
        <v>1058175</v>
      </c>
      <c r="C33" s="264">
        <f>SUM(B33-B32)</f>
        <v>0</v>
      </c>
      <c r="D33" s="308">
        <f t="shared" si="8"/>
        <v>0</v>
      </c>
      <c r="E33" s="308">
        <f>B32+D33</f>
        <v>1058175</v>
      </c>
      <c r="F33" s="633">
        <f t="shared" si="9"/>
        <v>156087</v>
      </c>
      <c r="G33" s="160">
        <f>F33-F32</f>
        <v>0</v>
      </c>
      <c r="H33" s="633">
        <f t="shared" si="10"/>
        <v>515845</v>
      </c>
      <c r="I33" s="161">
        <f>H33-H32</f>
        <v>0</v>
      </c>
      <c r="J33" s="633">
        <f t="shared" si="11"/>
        <v>386243</v>
      </c>
      <c r="K33" s="162">
        <f>J33-J32</f>
        <v>0</v>
      </c>
      <c r="L33" s="296">
        <f>SUM(G33*$Y$28)/1507.5</f>
        <v>0</v>
      </c>
      <c r="M33" s="296">
        <f>SUM(I33*$Y$27)/1507.5</f>
        <v>0</v>
      </c>
      <c r="N33" s="296">
        <f>SUM(K33*$Y$26)/1507.5</f>
        <v>0</v>
      </c>
      <c r="O33" s="296">
        <f t="shared" si="12"/>
        <v>159.96313985627418</v>
      </c>
      <c r="P33" s="297">
        <f>SUM(L33:O33)</f>
        <v>159.96313985627418</v>
      </c>
      <c r="Q33" s="297" t="e">
        <f>SUM(-tanks!AX35*tanks!$AU$36)</f>
        <v>#DIV/0!</v>
      </c>
      <c r="R33" s="297" t="e">
        <f>SUM(P33:Q33)</f>
        <v>#DIV/0!</v>
      </c>
      <c r="S33" s="299">
        <f>SUM(ELEC!N33)</f>
        <v>0</v>
      </c>
      <c r="T33" s="335">
        <f>IF(S33&gt;0,R33/S33,0)</f>
        <v>0</v>
      </c>
      <c r="V33" s="216" t="s">
        <v>317</v>
      </c>
      <c r="W33" s="586">
        <f>'Utility Cost '!B18</f>
        <v>12</v>
      </c>
      <c r="X33" s="222">
        <f>SUM(W33/A35)</f>
        <v>12</v>
      </c>
      <c r="Y33" s="260">
        <f>SUM(X33/1)</f>
        <v>12</v>
      </c>
      <c r="Z33" s="3"/>
      <c r="AA33" s="3"/>
      <c r="AB33" s="535">
        <f>SUM(AB30+AC33)</f>
        <v>7274349</v>
      </c>
      <c r="AC33" s="249">
        <f>SUM(AC29)</f>
        <v>7234333</v>
      </c>
    </row>
    <row r="34" spans="1:32" ht="20.149999999999999" customHeight="1">
      <c r="A34" s="163"/>
      <c r="B34" s="633"/>
      <c r="C34" s="264"/>
      <c r="D34" s="308"/>
      <c r="E34" s="308"/>
      <c r="F34" s="633"/>
      <c r="G34" s="160"/>
      <c r="H34" s="633"/>
      <c r="I34" s="161"/>
      <c r="J34" s="633"/>
      <c r="K34" s="162"/>
      <c r="L34" s="296"/>
      <c r="M34" s="296"/>
      <c r="N34" s="296"/>
      <c r="O34" s="296"/>
      <c r="P34" s="297"/>
      <c r="Q34" s="297"/>
      <c r="R34" s="297"/>
      <c r="S34" s="299"/>
      <c r="T34" s="335"/>
      <c r="V34" s="216" t="s">
        <v>317</v>
      </c>
      <c r="W34" s="586"/>
      <c r="X34" s="222"/>
      <c r="Y34" s="260"/>
      <c r="Z34" s="3"/>
      <c r="AA34" s="3"/>
      <c r="AB34" s="535">
        <f>SUM(AB31+AC34)</f>
        <v>0</v>
      </c>
      <c r="AC34" s="249">
        <f>SUM(AC30)</f>
        <v>0</v>
      </c>
    </row>
    <row r="35" spans="1:32" ht="15" thickBot="1">
      <c r="A35" s="532">
        <f>A37-COUNTIF(C4:C33,0)</f>
        <v>1</v>
      </c>
      <c r="C35" s="173">
        <f>SUM(C4:C33)/A35</f>
        <v>379</v>
      </c>
      <c r="D35" s="173"/>
      <c r="E35" s="173"/>
      <c r="G35" s="173">
        <f>SUM(G4:G33)/A35</f>
        <v>0</v>
      </c>
      <c r="I35" s="173">
        <f>SUM(I4:I33)/A35</f>
        <v>303</v>
      </c>
      <c r="K35" s="173">
        <f>SUM(K4:K33)/A35</f>
        <v>76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5"/>
      <c r="AD35" s="602">
        <f>AC33/1507</f>
        <v>4800.4863968148638</v>
      </c>
    </row>
    <row r="36" spans="1:32" ht="1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0.79947229551451182</v>
      </c>
      <c r="J36" s="212"/>
      <c r="K36" s="225">
        <f>SUM(K35/C35)</f>
        <v>0.20052770448548812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6">
        <f>SUM(AB33/1507.5)</f>
        <v>4825.4388059701496</v>
      </c>
      <c r="AC36" s="567"/>
    </row>
    <row r="37" spans="1:32" ht="1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2"/>
      <c r="AA37" s="562"/>
      <c r="AB37" s="563"/>
      <c r="AC37" s="564"/>
    </row>
    <row r="38" spans="1:32">
      <c r="V38" s="217"/>
      <c r="W38" s="82"/>
      <c r="Z38" s="40"/>
      <c r="AA38" s="292"/>
      <c r="AB38" s="294">
        <f>SUM(AB36)</f>
        <v>4825.4388059701496</v>
      </c>
    </row>
    <row r="39" spans="1:32">
      <c r="V39" s="217"/>
      <c r="W39" s="82"/>
      <c r="X39" s="536"/>
      <c r="Z39" s="294"/>
      <c r="AA39" s="293"/>
      <c r="AB39" s="293"/>
    </row>
    <row r="40" spans="1:32">
      <c r="V40" s="17"/>
      <c r="W40" s="82"/>
      <c r="X40" s="536"/>
      <c r="Y40" s="82"/>
      <c r="Z40" s="294"/>
      <c r="AA40" s="101"/>
      <c r="AB40" s="347"/>
    </row>
    <row r="41" spans="1:32" ht="18.5">
      <c r="W41" s="82"/>
      <c r="Z41" s="276"/>
      <c r="AA41" s="293"/>
      <c r="AB41" s="346"/>
    </row>
    <row r="42" spans="1:32">
      <c r="D42" s="515"/>
      <c r="E42" s="515"/>
      <c r="F42" s="515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04"/>
      <c r="AE44" s="17"/>
      <c r="AF44" s="17"/>
    </row>
    <row r="45" spans="1:32">
      <c r="V45" s="537"/>
      <c r="W45" s="538"/>
      <c r="X45" s="17"/>
      <c r="Y45" s="17"/>
      <c r="Z45" s="539"/>
      <c r="AA45" s="17"/>
      <c r="AB45" s="697"/>
      <c r="AC45" s="697"/>
      <c r="AD45" s="604"/>
      <c r="AE45" s="17"/>
      <c r="AF45" s="17"/>
    </row>
    <row r="46" spans="1:32">
      <c r="V46" s="697"/>
      <c r="W46" s="697"/>
      <c r="X46" s="697"/>
      <c r="Y46" s="697"/>
      <c r="Z46" s="539"/>
      <c r="AA46" s="539"/>
      <c r="AB46" s="697"/>
      <c r="AC46" s="697"/>
      <c r="AD46" s="604"/>
      <c r="AE46" s="17"/>
      <c r="AF46" s="17"/>
    </row>
    <row r="47" spans="1:32">
      <c r="V47" s="697"/>
      <c r="W47" s="697"/>
      <c r="X47" s="697"/>
      <c r="Y47" s="697"/>
      <c r="Z47" s="697"/>
      <c r="AA47" s="697"/>
      <c r="AB47" s="697"/>
      <c r="AC47" s="697"/>
      <c r="AD47" s="604"/>
      <c r="AE47" s="17"/>
      <c r="AF47" s="17"/>
    </row>
    <row r="48" spans="1:32">
      <c r="V48" s="698"/>
      <c r="W48" s="698"/>
      <c r="X48" s="699"/>
      <c r="Y48" s="699"/>
      <c r="Z48" s="699"/>
      <c r="AA48" s="540"/>
      <c r="AB48" s="697"/>
      <c r="AC48" s="697"/>
      <c r="AD48" s="604"/>
      <c r="AE48" s="17"/>
      <c r="AF48" s="17"/>
    </row>
    <row r="49" spans="22:32">
      <c r="V49" s="537"/>
      <c r="W49" s="537"/>
      <c r="X49" s="537"/>
      <c r="Y49" s="537"/>
      <c r="Z49" s="537"/>
      <c r="AA49" s="537"/>
      <c r="AB49" s="537"/>
      <c r="AC49" s="541"/>
      <c r="AD49" s="604"/>
      <c r="AE49" s="17"/>
      <c r="AF49" s="17"/>
    </row>
    <row r="50" spans="22:32">
      <c r="V50" s="540"/>
      <c r="W50" s="540"/>
      <c r="X50" s="542"/>
      <c r="Y50" s="542"/>
      <c r="Z50" s="542"/>
      <c r="AA50" s="73"/>
      <c r="AB50" s="73"/>
      <c r="AC50" s="73"/>
      <c r="AD50" s="604"/>
      <c r="AE50" s="17"/>
      <c r="AF50" s="17"/>
    </row>
    <row r="51" spans="22:32">
      <c r="V51" s="540"/>
      <c r="W51" s="540"/>
      <c r="X51" s="542"/>
      <c r="Y51" s="542"/>
      <c r="Z51" s="542"/>
      <c r="AA51" s="73"/>
      <c r="AB51" s="73"/>
      <c r="AC51" s="73"/>
      <c r="AD51" s="604"/>
      <c r="AE51" s="17"/>
      <c r="AF51" s="17"/>
    </row>
    <row r="52" spans="22:32">
      <c r="V52" s="540"/>
      <c r="W52" s="540"/>
      <c r="X52" s="542"/>
      <c r="Y52" s="542"/>
      <c r="Z52" s="542"/>
      <c r="AA52" s="73"/>
      <c r="AB52" s="73"/>
      <c r="AC52" s="73"/>
      <c r="AD52" s="604"/>
      <c r="AE52" s="543"/>
      <c r="AF52" s="544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04"/>
      <c r="AE53" s="17"/>
      <c r="AF53" s="17"/>
    </row>
    <row r="54" spans="22:32">
      <c r="V54" s="217"/>
      <c r="W54" s="545"/>
      <c r="X54" s="217"/>
      <c r="Y54" s="217"/>
      <c r="Z54" s="17"/>
      <c r="AA54" s="73"/>
      <c r="AB54" s="267"/>
      <c r="AC54" s="73"/>
      <c r="AD54" s="604"/>
      <c r="AE54" s="17"/>
      <c r="AF54" s="17"/>
    </row>
    <row r="55" spans="22:32">
      <c r="V55" s="217"/>
      <c r="W55" s="217"/>
      <c r="X55" s="222"/>
      <c r="Y55" s="546"/>
      <c r="Z55" s="17"/>
      <c r="AA55" s="17"/>
      <c r="AB55" s="73"/>
      <c r="AC55" s="73"/>
      <c r="AD55" s="60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0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0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04"/>
      <c r="AE58" s="17"/>
      <c r="AF58" s="17"/>
    </row>
    <row r="59" spans="22:32">
      <c r="V59" s="17"/>
      <c r="W59" s="17"/>
      <c r="X59" s="17"/>
      <c r="Y59" s="17"/>
      <c r="Z59" s="17"/>
      <c r="AA59" s="547"/>
      <c r="AB59" s="548"/>
      <c r="AC59" s="549"/>
      <c r="AD59" s="604"/>
      <c r="AE59" s="17"/>
      <c r="AF59" s="17"/>
    </row>
    <row r="60" spans="22:32">
      <c r="V60" s="17"/>
      <c r="W60" s="17"/>
      <c r="X60" s="17"/>
      <c r="Y60" s="17"/>
      <c r="Z60" s="17"/>
      <c r="AA60" s="550"/>
      <c r="AB60" s="548"/>
      <c r="AC60" s="549"/>
      <c r="AD60" s="60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8"/>
      <c r="AC61" s="549"/>
      <c r="AD61" s="60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1"/>
      <c r="AC62" s="17"/>
      <c r="AD62" s="604"/>
      <c r="AE62" s="17"/>
      <c r="AF62" s="17"/>
    </row>
    <row r="63" spans="22:32">
      <c r="V63" s="217"/>
      <c r="W63" s="544"/>
      <c r="X63" s="17"/>
      <c r="Y63" s="17"/>
      <c r="Z63" s="543"/>
      <c r="AA63" s="552"/>
      <c r="AB63" s="542"/>
      <c r="AC63" s="17"/>
      <c r="AD63" s="604"/>
      <c r="AE63" s="17"/>
      <c r="AF63" s="17"/>
    </row>
    <row r="64" spans="22:32">
      <c r="V64" s="217"/>
      <c r="W64" s="544"/>
      <c r="X64" s="17"/>
      <c r="Y64" s="17"/>
      <c r="Z64" s="421"/>
      <c r="AA64" s="542"/>
      <c r="AB64" s="542"/>
      <c r="AC64" s="17"/>
      <c r="AD64" s="604"/>
      <c r="AE64" s="17"/>
      <c r="AF64" s="17"/>
    </row>
    <row r="65" spans="22:32">
      <c r="V65" s="17"/>
      <c r="W65" s="544"/>
      <c r="X65" s="17"/>
      <c r="Y65" s="544"/>
      <c r="Z65" s="421"/>
      <c r="AA65" s="542"/>
      <c r="AB65" s="553"/>
      <c r="AC65" s="17"/>
      <c r="AD65" s="604"/>
      <c r="AE65" s="17"/>
      <c r="AF65" s="17"/>
    </row>
    <row r="66" spans="22:32" ht="18.5">
      <c r="V66" s="17"/>
      <c r="W66" s="544"/>
      <c r="X66" s="17"/>
      <c r="Y66" s="17"/>
      <c r="Z66" s="554"/>
      <c r="AA66" s="542"/>
      <c r="AB66" s="555"/>
      <c r="AC66" s="17"/>
      <c r="AD66" s="604"/>
      <c r="AE66" s="17"/>
      <c r="AF66" s="17"/>
    </row>
    <row r="67" spans="22:32">
      <c r="V67" s="17"/>
      <c r="W67" s="544"/>
      <c r="X67" s="17"/>
      <c r="Y67" s="17"/>
      <c r="Z67" s="73"/>
      <c r="AA67" s="17"/>
      <c r="AB67" s="17"/>
      <c r="AC67" s="17"/>
      <c r="AD67" s="604"/>
      <c r="AE67" s="17"/>
      <c r="AF67" s="17"/>
    </row>
    <row r="68" spans="22:32">
      <c r="V68" s="17"/>
      <c r="W68" s="17"/>
      <c r="X68" s="17"/>
      <c r="Y68" s="17"/>
      <c r="Z68" s="542"/>
      <c r="AA68" s="17"/>
      <c r="AB68" s="17"/>
      <c r="AC68" s="17"/>
      <c r="AD68" s="60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0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0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0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0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0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0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0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0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0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0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0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04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P1" zoomScale="70" zoomScaleNormal="70" workbookViewId="0">
      <selection activeCell="N48" sqref="N48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6" sqref="F6"/>
    </sheetView>
  </sheetViews>
  <sheetFormatPr defaultRowHeight="14.5"/>
  <cols>
    <col min="1" max="1" width="11.81640625" style="480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700" t="s">
        <v>193</v>
      </c>
      <c r="B1" s="701"/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2"/>
    </row>
    <row r="2" spans="1:15" ht="15.75" customHeight="1" thickBot="1">
      <c r="A2" s="703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5"/>
    </row>
    <row r="3" spans="1:15" ht="9" customHeight="1" thickBot="1">
      <c r="A3" s="47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78"/>
      <c r="B4" s="149" t="s">
        <v>387</v>
      </c>
      <c r="C4" s="150" t="s">
        <v>158</v>
      </c>
      <c r="D4" s="147" t="s">
        <v>160</v>
      </c>
      <c r="E4" s="151" t="s">
        <v>159</v>
      </c>
      <c r="F4" s="499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79">
        <f>ELEC!C3</f>
        <v>44347</v>
      </c>
      <c r="B5" s="355">
        <v>25</v>
      </c>
      <c r="C5" s="355">
        <v>21</v>
      </c>
      <c r="D5" s="606">
        <f>(C5+B5)/2</f>
        <v>23</v>
      </c>
      <c r="E5" s="607">
        <v>0.56000000000000005</v>
      </c>
      <c r="F5" s="608">
        <v>0</v>
      </c>
      <c r="G5" s="609">
        <f>F5*230</f>
        <v>0</v>
      </c>
      <c r="H5" s="610">
        <v>0</v>
      </c>
      <c r="I5" s="610">
        <v>0</v>
      </c>
      <c r="J5" s="355">
        <v>0</v>
      </c>
      <c r="K5" s="611">
        <f>+J5+H5+I5</f>
        <v>0</v>
      </c>
      <c r="L5" s="610"/>
      <c r="M5" s="610"/>
      <c r="N5" s="612"/>
      <c r="O5" s="610"/>
    </row>
    <row r="6" spans="1:15">
      <c r="A6" s="479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9">
        <v>0.46</v>
      </c>
      <c r="F6" s="342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9">
        <f>ELEC!C5</f>
        <v>44349</v>
      </c>
      <c r="B7" s="37"/>
      <c r="C7" s="37"/>
      <c r="D7" s="26">
        <f t="shared" si="0"/>
        <v>0</v>
      </c>
      <c r="E7" s="339"/>
      <c r="F7" s="342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9">
        <f>ELEC!C6</f>
        <v>44350</v>
      </c>
      <c r="B8" s="37"/>
      <c r="C8" s="37"/>
      <c r="D8" s="26">
        <f t="shared" si="0"/>
        <v>0</v>
      </c>
      <c r="E8" s="339"/>
      <c r="F8" s="339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9">
        <f>ELEC!C7</f>
        <v>44351</v>
      </c>
      <c r="B9" s="37"/>
      <c r="C9" s="37"/>
      <c r="D9" s="26">
        <f>(C9+B9)/2</f>
        <v>0</v>
      </c>
      <c r="E9" s="393"/>
      <c r="F9" s="393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9">
        <f>ELEC!C8</f>
        <v>44352</v>
      </c>
      <c r="B10" s="37"/>
      <c r="C10" s="37"/>
      <c r="D10" s="26">
        <f t="shared" si="0"/>
        <v>0</v>
      </c>
      <c r="E10" s="353"/>
      <c r="F10" s="339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9">
        <f>ELEC!C9</f>
        <v>44353</v>
      </c>
      <c r="B11" s="37"/>
      <c r="C11" s="37"/>
      <c r="D11" s="26">
        <f t="shared" si="0"/>
        <v>0</v>
      </c>
      <c r="E11" s="393"/>
      <c r="F11" s="393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9">
        <f>ELEC!C10</f>
        <v>44354</v>
      </c>
      <c r="B12" s="37"/>
      <c r="C12" s="37"/>
      <c r="D12" s="26">
        <f t="shared" si="0"/>
        <v>0</v>
      </c>
      <c r="E12" s="393"/>
      <c r="F12" s="393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9">
        <f>ELEC!C11</f>
        <v>44355</v>
      </c>
      <c r="B13" s="37"/>
      <c r="C13" s="37"/>
      <c r="D13" s="26">
        <f>(C13+B13)/2</f>
        <v>0</v>
      </c>
      <c r="E13" s="353"/>
      <c r="F13" s="393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9">
        <f>ELEC!C12</f>
        <v>44356</v>
      </c>
      <c r="B14" s="37"/>
      <c r="C14" s="37"/>
      <c r="D14" s="26">
        <f t="shared" ref="D14:D33" si="3">(C14+B14)/2</f>
        <v>0</v>
      </c>
      <c r="E14" s="339"/>
      <c r="F14" s="393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9">
        <f>ELEC!C13</f>
        <v>44357</v>
      </c>
      <c r="B15" s="37"/>
      <c r="C15" s="37"/>
      <c r="D15" s="26">
        <f t="shared" si="3"/>
        <v>0</v>
      </c>
      <c r="E15" s="339"/>
      <c r="F15" s="339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9">
        <f>ELEC!C14</f>
        <v>44358</v>
      </c>
      <c r="B16" s="37"/>
      <c r="C16" s="37"/>
      <c r="D16" s="26">
        <f t="shared" si="3"/>
        <v>0</v>
      </c>
      <c r="E16" s="339"/>
      <c r="F16" s="339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9">
        <f>ELEC!C15</f>
        <v>44359</v>
      </c>
      <c r="B17" s="37"/>
      <c r="C17" s="37"/>
      <c r="D17" s="26">
        <f t="shared" si="3"/>
        <v>0</v>
      </c>
      <c r="E17" s="339"/>
      <c r="F17" s="339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9">
        <f>ELEC!C16</f>
        <v>44360</v>
      </c>
      <c r="B18" s="37"/>
      <c r="C18" s="37"/>
      <c r="D18" s="26">
        <f t="shared" si="3"/>
        <v>0</v>
      </c>
      <c r="E18" s="426"/>
      <c r="F18" s="339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9">
        <f>ELEC!C17</f>
        <v>44361</v>
      </c>
      <c r="B19" s="37"/>
      <c r="C19" s="37"/>
      <c r="D19" s="26">
        <f t="shared" si="3"/>
        <v>0</v>
      </c>
      <c r="E19" s="339"/>
      <c r="F19" s="339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9">
        <f>ELEC!C18</f>
        <v>44362</v>
      </c>
      <c r="B20" s="37"/>
      <c r="C20" s="37"/>
      <c r="D20" s="26">
        <f t="shared" si="3"/>
        <v>0</v>
      </c>
      <c r="E20" s="339"/>
      <c r="F20" s="339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9">
        <f>ELEC!C19</f>
        <v>44363</v>
      </c>
      <c r="B21" s="37"/>
      <c r="C21" s="37"/>
      <c r="D21" s="26">
        <f>(C21+B21)/2</f>
        <v>0</v>
      </c>
      <c r="E21" s="339"/>
      <c r="F21" s="393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9">
        <f>ELEC!C20</f>
        <v>44364</v>
      </c>
      <c r="B22" s="37"/>
      <c r="C22" s="37"/>
      <c r="D22" s="26">
        <f t="shared" si="3"/>
        <v>0</v>
      </c>
      <c r="E22" s="339"/>
      <c r="F22" s="393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9">
        <f>ELEC!C21</f>
        <v>44365</v>
      </c>
      <c r="B23" s="37"/>
      <c r="C23" s="37"/>
      <c r="D23" s="26">
        <f>(C23+B23)/2</f>
        <v>0</v>
      </c>
      <c r="E23" s="339"/>
      <c r="F23" s="393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9">
        <f>ELEC!C22</f>
        <v>44366</v>
      </c>
      <c r="B24" s="37"/>
      <c r="C24" s="37"/>
      <c r="D24" s="26">
        <f>(C24+B24)/2</f>
        <v>0</v>
      </c>
      <c r="E24" s="393"/>
      <c r="F24" s="339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9">
        <f>ELEC!C23</f>
        <v>44367</v>
      </c>
      <c r="B25" s="37"/>
      <c r="C25" s="37"/>
      <c r="D25" s="26">
        <f t="shared" si="3"/>
        <v>0</v>
      </c>
      <c r="E25" s="339"/>
      <c r="F25" s="339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9">
        <f>ELEC!C24</f>
        <v>44368</v>
      </c>
      <c r="B26" s="37"/>
      <c r="C26" s="37"/>
      <c r="D26" s="26">
        <f>(C26+B26)/2</f>
        <v>0</v>
      </c>
      <c r="E26" s="339"/>
      <c r="F26" s="339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9">
        <f>ELEC!C25</f>
        <v>44369</v>
      </c>
      <c r="B27" s="37"/>
      <c r="C27" s="37"/>
      <c r="D27" s="26">
        <f t="shared" si="3"/>
        <v>0</v>
      </c>
      <c r="E27" s="339"/>
      <c r="F27" s="339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9">
        <f>ELEC!C26</f>
        <v>44370</v>
      </c>
      <c r="B28" s="37"/>
      <c r="C28" s="37"/>
      <c r="D28" s="26">
        <f t="shared" si="3"/>
        <v>0</v>
      </c>
      <c r="E28" s="393"/>
      <c r="F28" s="339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9">
        <f>ELEC!C27</f>
        <v>44371</v>
      </c>
      <c r="B29" s="37"/>
      <c r="C29" s="37"/>
      <c r="D29" s="26">
        <f t="shared" si="3"/>
        <v>0</v>
      </c>
      <c r="E29" s="339"/>
      <c r="F29" s="339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9">
        <f>ELEC!C28</f>
        <v>44372</v>
      </c>
      <c r="B30" s="37"/>
      <c r="C30" s="37"/>
      <c r="D30" s="26">
        <f t="shared" si="3"/>
        <v>0</v>
      </c>
      <c r="E30" s="339"/>
      <c r="F30" s="393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9">
        <f>ELEC!C29</f>
        <v>44373</v>
      </c>
      <c r="B31" s="37"/>
      <c r="C31" s="37"/>
      <c r="D31" s="26">
        <f t="shared" si="3"/>
        <v>0</v>
      </c>
      <c r="E31" s="340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9">
        <f>ELEC!C30</f>
        <v>44374</v>
      </c>
      <c r="B32" s="37"/>
      <c r="C32" s="37"/>
      <c r="D32" s="279">
        <f>(C32+B32)/2</f>
        <v>0</v>
      </c>
      <c r="E32" s="340"/>
      <c r="F32" s="341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9">
        <f>ELEC!C31</f>
        <v>44375</v>
      </c>
      <c r="B33" s="37"/>
      <c r="C33" s="37"/>
      <c r="D33" s="26">
        <f t="shared" si="3"/>
        <v>0</v>
      </c>
      <c r="E33" s="339"/>
      <c r="F33" s="341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9">
        <f>ELEC!C32</f>
        <v>44376</v>
      </c>
      <c r="B34" s="37"/>
      <c r="C34" s="37"/>
      <c r="D34" s="26">
        <f>(C34+B34)/2</f>
        <v>0</v>
      </c>
      <c r="E34" s="393"/>
      <c r="F34" s="341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9">
        <f>ELEC!C33</f>
        <v>44377</v>
      </c>
      <c r="B35" s="37"/>
      <c r="C35" s="37"/>
      <c r="D35" s="26">
        <f>(C35+B35)/2</f>
        <v>0</v>
      </c>
      <c r="E35" s="393"/>
      <c r="F35" s="341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9"/>
      <c r="B36" s="37"/>
      <c r="C36" s="37"/>
      <c r="D36" s="26"/>
      <c r="E36" s="393"/>
      <c r="F36" s="341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6">
        <f>AVERAGE(F6:F35)</f>
        <v>0</v>
      </c>
      <c r="G37" s="203">
        <f>SUM(G6:G33)</f>
        <v>0</v>
      </c>
    </row>
    <row r="38" spans="1:15">
      <c r="D38" s="261">
        <f>SUM(D6:D33)/'EDl log'!A35</f>
        <v>24</v>
      </c>
      <c r="F38" s="211"/>
    </row>
    <row r="41" spans="1:15">
      <c r="I41" s="410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9940</v>
      </c>
      <c r="D2" s="3">
        <f>C2-E2</f>
        <v>425.00000000058208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-29.399999999999977</v>
      </c>
      <c r="J3" s="9">
        <f>'B5'!A5</f>
        <v>44348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44349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44350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44351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44352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44353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44354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44355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44356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44357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44358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44359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44360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44361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44362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712"/>
      <c r="B1" s="710" t="s">
        <v>119</v>
      </c>
      <c r="C1" s="710" t="s">
        <v>118</v>
      </c>
      <c r="D1" s="714" t="s">
        <v>113</v>
      </c>
      <c r="E1" s="714" t="s">
        <v>114</v>
      </c>
      <c r="F1" s="715" t="s">
        <v>120</v>
      </c>
      <c r="G1" s="716" t="s">
        <v>75</v>
      </c>
      <c r="H1" s="707" t="s">
        <v>115</v>
      </c>
      <c r="I1" s="708" t="s">
        <v>116</v>
      </c>
      <c r="J1" s="707" t="s">
        <v>117</v>
      </c>
      <c r="K1" s="706" t="s">
        <v>121</v>
      </c>
      <c r="L1" s="706" t="s">
        <v>122</v>
      </c>
      <c r="M1" s="706" t="s">
        <v>123</v>
      </c>
      <c r="N1" s="706" t="s">
        <v>124</v>
      </c>
    </row>
    <row r="2" spans="1:14">
      <c r="A2" s="713"/>
      <c r="B2" s="711"/>
      <c r="C2" s="711"/>
      <c r="D2" s="714"/>
      <c r="E2" s="714"/>
      <c r="F2" s="715"/>
      <c r="G2" s="716"/>
      <c r="H2" s="707"/>
      <c r="I2" s="709"/>
      <c r="J2" s="707"/>
      <c r="K2" s="706"/>
      <c r="L2" s="706"/>
      <c r="M2" s="706"/>
      <c r="N2" s="70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0</v>
      </c>
      <c r="C5" s="76">
        <f>'B5'!AH5</f>
        <v>0</v>
      </c>
      <c r="D5" s="76">
        <f>GEN!AI3</f>
        <v>2449.0084388184159</v>
      </c>
      <c r="E5" s="242">
        <f t="shared" ref="E5:E33" si="0">B5+C5+D5</f>
        <v>2449.0084388184159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425.00000000058208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0</v>
      </c>
      <c r="C6" s="76">
        <f>'B5'!AH6</f>
        <v>0</v>
      </c>
      <c r="D6" s="76">
        <f>GEN!AI4</f>
        <v>0</v>
      </c>
      <c r="E6" s="242">
        <f t="shared" si="0"/>
        <v>0</v>
      </c>
      <c r="F6" s="75">
        <f>WATER!L6</f>
        <v>0</v>
      </c>
      <c r="G6" s="78">
        <f>WATER!BG6</f>
        <v>-88.799999999999983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0</v>
      </c>
      <c r="C7" s="76">
        <f>'B5'!AH7</f>
        <v>0</v>
      </c>
      <c r="D7" s="76">
        <f>GEN!AI5</f>
        <v>0</v>
      </c>
      <c r="E7" s="242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717" t="s">
        <v>151</v>
      </c>
      <c r="U3" s="717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H6" sqref="H6"/>
    </sheetView>
  </sheetViews>
  <sheetFormatPr defaultRowHeight="14.5"/>
  <cols>
    <col min="1" max="1" width="14.26953125" bestFit="1" customWidth="1"/>
    <col min="2" max="2" width="6.7265625" customWidth="1"/>
    <col min="3" max="7" width="6.7265625" bestFit="1" customWidth="1"/>
    <col min="8" max="8" width="11.54296875" style="74" customWidth="1"/>
    <col min="9" max="9" width="25.7265625" customWidth="1"/>
    <col min="10" max="10" width="25.453125" style="486" customWidth="1"/>
    <col min="12" max="12" width="26.453125" bestFit="1" customWidth="1"/>
    <col min="14" max="14" width="14.26953125" customWidth="1"/>
  </cols>
  <sheetData>
    <row r="1" spans="1:18" ht="39.75" customHeight="1" thickBot="1">
      <c r="A1" s="718" t="s">
        <v>51</v>
      </c>
      <c r="B1" s="730" t="s">
        <v>318</v>
      </c>
      <c r="C1" s="731"/>
      <c r="D1" s="733"/>
      <c r="E1" s="730" t="s">
        <v>319</v>
      </c>
      <c r="F1" s="731"/>
      <c r="G1" s="732"/>
      <c r="H1" s="727" t="s">
        <v>324</v>
      </c>
      <c r="I1" s="724" t="s">
        <v>325</v>
      </c>
      <c r="J1" s="721" t="s">
        <v>43</v>
      </c>
    </row>
    <row r="2" spans="1:18" ht="37.5" thickBot="1">
      <c r="A2" s="71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28"/>
      <c r="I2" s="725"/>
      <c r="J2" s="722"/>
    </row>
    <row r="3" spans="1:18" ht="24" customHeight="1" thickBot="1">
      <c r="A3" s="72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29"/>
      <c r="I3" s="726"/>
      <c r="J3" s="723"/>
    </row>
    <row r="4" spans="1:18" ht="19" thickBot="1">
      <c r="A4" s="243"/>
      <c r="B4" s="504"/>
      <c r="C4" s="504"/>
      <c r="D4" s="504"/>
      <c r="E4" s="504"/>
      <c r="F4" s="504"/>
      <c r="G4" s="504"/>
      <c r="H4" s="572">
        <v>0</v>
      </c>
      <c r="I4" s="244"/>
      <c r="J4" s="482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3">
        <f>ELEC!C3</f>
        <v>44347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1</v>
      </c>
      <c r="F5" s="170">
        <f>'[2]Swimming Pool quality check '!F36</f>
        <v>8</v>
      </c>
      <c r="G5" s="170">
        <f>'[2]Swimming Pool quality check '!G36</f>
        <v>0</v>
      </c>
      <c r="H5" s="170">
        <f>'[2]Swimming Pool quality check '!H36</f>
        <v>6775</v>
      </c>
      <c r="I5" s="45">
        <f>'[12]Swimming Pool quality check '!I36</f>
        <v>0</v>
      </c>
      <c r="J5" s="513">
        <f>'[14]Swimming Pool quality check '!J36</f>
        <v>0.33333333333333398</v>
      </c>
      <c r="K5" s="406">
        <v>0</v>
      </c>
      <c r="L5" s="530">
        <f>A5</f>
        <v>44347</v>
      </c>
      <c r="M5" s="505">
        <v>6541</v>
      </c>
      <c r="N5" s="505">
        <f>'[7]Swimming Pool quality check '!N36</f>
        <v>642</v>
      </c>
      <c r="O5" s="505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8">
        <v>7.8</v>
      </c>
      <c r="D6" s="170">
        <v>0</v>
      </c>
      <c r="E6" s="170">
        <v>1</v>
      </c>
      <c r="F6" s="170">
        <v>8</v>
      </c>
      <c r="G6" s="574">
        <v>0</v>
      </c>
      <c r="H6" s="575">
        <f>H5</f>
        <v>6775</v>
      </c>
      <c r="I6" s="505">
        <f>H6-H5</f>
        <v>0</v>
      </c>
      <c r="J6" s="483">
        <v>0.29166666666666669</v>
      </c>
      <c r="L6" s="99">
        <f t="shared" ref="L6:L33" si="0">A6</f>
        <v>44348</v>
      </c>
      <c r="M6" s="3">
        <v>6543</v>
      </c>
      <c r="N6" s="505">
        <v>487</v>
      </c>
      <c r="O6" s="505">
        <f t="shared" ref="O6:O33" si="1">M6+N6</f>
        <v>7030</v>
      </c>
    </row>
    <row r="7" spans="1:18" ht="15" thickBot="1">
      <c r="A7" s="240">
        <f>ELEC!C5</f>
        <v>44349</v>
      </c>
      <c r="B7" s="254"/>
      <c r="C7" s="578"/>
      <c r="D7" s="170"/>
      <c r="E7" s="170"/>
      <c r="F7" s="170"/>
      <c r="G7" s="170"/>
      <c r="H7" s="575">
        <f t="shared" ref="H7:H35" si="2">H6</f>
        <v>6775</v>
      </c>
      <c r="I7" s="505">
        <f>H7-H6</f>
        <v>0</v>
      </c>
      <c r="J7" s="484">
        <v>0.29166666666666669</v>
      </c>
      <c r="L7" s="99">
        <f t="shared" si="0"/>
        <v>44349</v>
      </c>
      <c r="M7" s="3">
        <v>6550</v>
      </c>
      <c r="N7" s="505">
        <v>487</v>
      </c>
      <c r="O7" s="505">
        <f t="shared" si="1"/>
        <v>7037</v>
      </c>
    </row>
    <row r="8" spans="1:18" ht="15" thickBot="1">
      <c r="A8" s="240">
        <f>ELEC!C6</f>
        <v>44350</v>
      </c>
      <c r="B8" s="531"/>
      <c r="C8" s="578"/>
      <c r="D8" s="578"/>
      <c r="E8" s="578"/>
      <c r="F8" s="578"/>
      <c r="G8" s="575"/>
      <c r="H8" s="575">
        <f t="shared" si="2"/>
        <v>6775</v>
      </c>
      <c r="I8" s="505">
        <f t="shared" ref="I8:I33" si="3">H8-H7</f>
        <v>0</v>
      </c>
      <c r="J8" s="484">
        <v>0.29166666666666669</v>
      </c>
      <c r="L8" s="99">
        <f t="shared" si="0"/>
        <v>44350</v>
      </c>
      <c r="M8" s="3">
        <v>6555</v>
      </c>
      <c r="N8" s="505">
        <v>487</v>
      </c>
      <c r="O8" s="505">
        <f t="shared" si="1"/>
        <v>7042</v>
      </c>
    </row>
    <row r="9" spans="1:18" ht="15" thickBot="1">
      <c r="A9" s="240">
        <f>ELEC!C7</f>
        <v>44351</v>
      </c>
      <c r="B9" s="531"/>
      <c r="C9" s="613"/>
      <c r="D9" s="170"/>
      <c r="E9" s="613"/>
      <c r="F9" s="613"/>
      <c r="G9" s="45"/>
      <c r="H9" s="575">
        <f t="shared" si="2"/>
        <v>6775</v>
      </c>
      <c r="I9" s="505">
        <f t="shared" si="3"/>
        <v>0</v>
      </c>
      <c r="J9" s="484">
        <v>0.25</v>
      </c>
      <c r="L9" s="99">
        <f t="shared" si="0"/>
        <v>44351</v>
      </c>
      <c r="M9" s="3">
        <f t="shared" ref="M9:M35" si="4">M8</f>
        <v>6555</v>
      </c>
      <c r="N9" s="505">
        <v>487</v>
      </c>
      <c r="O9" s="505">
        <f t="shared" si="1"/>
        <v>7042</v>
      </c>
    </row>
    <row r="10" spans="1:18" ht="15" thickBot="1">
      <c r="A10" s="240">
        <f>ELEC!C8</f>
        <v>44352</v>
      </c>
      <c r="B10" s="254"/>
      <c r="C10" s="579"/>
      <c r="D10" s="170"/>
      <c r="E10" s="170"/>
      <c r="F10" s="170"/>
      <c r="G10" s="571"/>
      <c r="H10" s="575">
        <f t="shared" si="2"/>
        <v>6775</v>
      </c>
      <c r="I10" s="505">
        <f t="shared" si="3"/>
        <v>0</v>
      </c>
      <c r="J10" s="484">
        <v>0.29166666666666669</v>
      </c>
      <c r="L10" s="99">
        <f t="shared" si="0"/>
        <v>44352</v>
      </c>
      <c r="M10" s="3">
        <f t="shared" si="4"/>
        <v>6555</v>
      </c>
      <c r="N10" s="505">
        <v>487</v>
      </c>
      <c r="O10" s="505">
        <f t="shared" si="1"/>
        <v>7042</v>
      </c>
    </row>
    <row r="11" spans="1:18" ht="15" thickBot="1">
      <c r="A11" s="240">
        <f>ELEC!C9</f>
        <v>44353</v>
      </c>
      <c r="B11" s="254"/>
      <c r="C11" s="621"/>
      <c r="D11" s="170"/>
      <c r="E11" s="170"/>
      <c r="F11" s="170"/>
      <c r="G11" s="170"/>
      <c r="H11" s="575">
        <f t="shared" si="2"/>
        <v>6775</v>
      </c>
      <c r="I11" s="505">
        <f t="shared" si="3"/>
        <v>0</v>
      </c>
      <c r="J11" s="484">
        <v>0.29166666666666669</v>
      </c>
      <c r="L11" s="99">
        <f t="shared" si="0"/>
        <v>44353</v>
      </c>
      <c r="M11" s="3">
        <f t="shared" si="4"/>
        <v>6555</v>
      </c>
      <c r="N11" s="505">
        <v>487</v>
      </c>
      <c r="O11" s="505">
        <f t="shared" si="1"/>
        <v>7042</v>
      </c>
    </row>
    <row r="12" spans="1:18" ht="16" thickBot="1">
      <c r="A12" s="240">
        <f>ELEC!C10</f>
        <v>44354</v>
      </c>
      <c r="B12" s="254"/>
      <c r="C12" s="588"/>
      <c r="D12" s="170"/>
      <c r="E12" s="170"/>
      <c r="F12" s="170"/>
      <c r="G12" s="531"/>
      <c r="H12" s="575">
        <f t="shared" si="2"/>
        <v>6775</v>
      </c>
      <c r="I12" s="505">
        <f t="shared" si="3"/>
        <v>0</v>
      </c>
      <c r="J12" s="484">
        <v>0.29166666666666669</v>
      </c>
      <c r="L12" s="99">
        <f t="shared" si="0"/>
        <v>44354</v>
      </c>
      <c r="M12" s="3">
        <f t="shared" si="4"/>
        <v>6555</v>
      </c>
      <c r="N12" s="505">
        <v>487</v>
      </c>
      <c r="O12" s="505">
        <f t="shared" si="1"/>
        <v>7042</v>
      </c>
      <c r="P12" s="435"/>
      <c r="Q12" s="357"/>
      <c r="R12" s="357"/>
    </row>
    <row r="13" spans="1:18" ht="15" thickBot="1">
      <c r="A13" s="240">
        <f>ELEC!C11</f>
        <v>44355</v>
      </c>
      <c r="B13" s="531"/>
      <c r="C13" s="531"/>
      <c r="D13" s="531"/>
      <c r="E13" s="531"/>
      <c r="F13" s="531"/>
      <c r="G13" s="531"/>
      <c r="H13" s="575">
        <f t="shared" si="2"/>
        <v>6775</v>
      </c>
      <c r="I13" s="505">
        <f t="shared" si="3"/>
        <v>0</v>
      </c>
      <c r="J13" s="484">
        <v>0.29166666666666669</v>
      </c>
      <c r="L13" s="99">
        <f t="shared" si="0"/>
        <v>44355</v>
      </c>
      <c r="M13" s="3">
        <f t="shared" si="4"/>
        <v>6555</v>
      </c>
      <c r="N13" s="505">
        <v>487</v>
      </c>
      <c r="O13" s="505">
        <f t="shared" si="1"/>
        <v>7042</v>
      </c>
    </row>
    <row r="14" spans="1:18" ht="15" thickBot="1">
      <c r="A14" s="240">
        <f>ELEC!C12</f>
        <v>44356</v>
      </c>
      <c r="B14" s="254"/>
      <c r="C14" s="624"/>
      <c r="D14" s="170"/>
      <c r="E14" s="170"/>
      <c r="F14" s="170"/>
      <c r="G14" s="170"/>
      <c r="H14" s="575">
        <f t="shared" si="2"/>
        <v>6775</v>
      </c>
      <c r="I14" s="505">
        <f t="shared" si="3"/>
        <v>0</v>
      </c>
      <c r="J14" s="484">
        <v>0.29166666666666669</v>
      </c>
      <c r="L14" s="99">
        <f t="shared" si="0"/>
        <v>44356</v>
      </c>
      <c r="M14" s="3">
        <f t="shared" si="4"/>
        <v>6555</v>
      </c>
      <c r="N14" s="505">
        <v>487</v>
      </c>
      <c r="O14" s="505">
        <f t="shared" si="1"/>
        <v>7042</v>
      </c>
    </row>
    <row r="15" spans="1:18" ht="15" thickBot="1">
      <c r="A15" s="240">
        <f>ELEC!C13</f>
        <v>44357</v>
      </c>
      <c r="B15" s="531"/>
      <c r="C15" s="578"/>
      <c r="D15" s="578"/>
      <c r="E15" s="578"/>
      <c r="F15" s="578"/>
      <c r="G15" s="573"/>
      <c r="H15" s="575">
        <f t="shared" si="2"/>
        <v>6775</v>
      </c>
      <c r="I15" s="505">
        <f t="shared" si="3"/>
        <v>0</v>
      </c>
      <c r="J15" s="484">
        <v>0.29166666666666669</v>
      </c>
      <c r="L15" s="99">
        <f t="shared" si="0"/>
        <v>44357</v>
      </c>
      <c r="M15" s="3">
        <f t="shared" si="4"/>
        <v>6555</v>
      </c>
      <c r="N15" s="505">
        <v>487</v>
      </c>
      <c r="O15" s="505">
        <f t="shared" si="1"/>
        <v>7042</v>
      </c>
    </row>
    <row r="16" spans="1:18" ht="15" thickBot="1">
      <c r="A16" s="240">
        <f>ELEC!C14</f>
        <v>44358</v>
      </c>
      <c r="B16" s="531"/>
      <c r="C16" s="578"/>
      <c r="D16" s="578"/>
      <c r="E16" s="578"/>
      <c r="F16" s="578"/>
      <c r="G16" s="573"/>
      <c r="H16" s="575">
        <f t="shared" si="2"/>
        <v>6775</v>
      </c>
      <c r="I16" s="505">
        <f t="shared" si="3"/>
        <v>0</v>
      </c>
      <c r="J16" s="484">
        <v>0.29166666666666669</v>
      </c>
      <c r="L16" s="99">
        <f t="shared" si="0"/>
        <v>44358</v>
      </c>
      <c r="M16" s="3">
        <f t="shared" si="4"/>
        <v>6555</v>
      </c>
      <c r="N16" s="505">
        <v>487</v>
      </c>
      <c r="O16" s="505">
        <f t="shared" si="1"/>
        <v>7042</v>
      </c>
    </row>
    <row r="17" spans="1:15" ht="15" thickBot="1">
      <c r="A17" s="240">
        <f>ELEC!C15</f>
        <v>44359</v>
      </c>
      <c r="B17" s="254"/>
      <c r="C17" s="590"/>
      <c r="D17" s="170"/>
      <c r="E17" s="170"/>
      <c r="F17" s="630"/>
      <c r="G17" s="629"/>
      <c r="H17" s="575">
        <f t="shared" si="2"/>
        <v>6775</v>
      </c>
      <c r="I17" s="505">
        <f t="shared" si="3"/>
        <v>0</v>
      </c>
      <c r="J17" s="484">
        <v>0.29166666666666669</v>
      </c>
      <c r="L17" s="99">
        <f t="shared" si="0"/>
        <v>44359</v>
      </c>
      <c r="M17" s="3">
        <f t="shared" si="4"/>
        <v>6555</v>
      </c>
      <c r="N17" s="505">
        <v>487</v>
      </c>
      <c r="O17" s="505">
        <f t="shared" si="1"/>
        <v>7042</v>
      </c>
    </row>
    <row r="18" spans="1:15" ht="15" thickBot="1">
      <c r="A18" s="240">
        <f>ELEC!C16</f>
        <v>44360</v>
      </c>
      <c r="B18" s="254"/>
      <c r="C18" s="591"/>
      <c r="D18" s="170"/>
      <c r="E18" s="170"/>
      <c r="F18" s="630"/>
      <c r="G18" s="632"/>
      <c r="H18" s="575">
        <f t="shared" si="2"/>
        <v>6775</v>
      </c>
      <c r="I18" s="505">
        <f t="shared" si="3"/>
        <v>0</v>
      </c>
      <c r="J18" s="484">
        <v>0.29166666666666669</v>
      </c>
      <c r="L18" s="99">
        <f t="shared" si="0"/>
        <v>44360</v>
      </c>
      <c r="M18" s="3">
        <f t="shared" si="4"/>
        <v>6555</v>
      </c>
      <c r="N18" s="505">
        <v>487</v>
      </c>
      <c r="O18" s="505">
        <f t="shared" si="1"/>
        <v>7042</v>
      </c>
    </row>
    <row r="19" spans="1:15" ht="15" thickBot="1">
      <c r="A19" s="240">
        <f>ELEC!C17</f>
        <v>44361</v>
      </c>
      <c r="B19" s="254"/>
      <c r="C19" s="592"/>
      <c r="D19" s="170"/>
      <c r="E19" s="170"/>
      <c r="F19" s="630"/>
      <c r="G19" s="629"/>
      <c r="H19" s="575">
        <f t="shared" si="2"/>
        <v>6775</v>
      </c>
      <c r="I19" s="505">
        <f t="shared" si="3"/>
        <v>0</v>
      </c>
      <c r="J19" s="484">
        <v>0.29166666666666669</v>
      </c>
      <c r="L19" s="99">
        <f t="shared" si="0"/>
        <v>44361</v>
      </c>
      <c r="M19" s="3">
        <f t="shared" si="4"/>
        <v>6555</v>
      </c>
      <c r="N19" s="505">
        <v>487</v>
      </c>
      <c r="O19" s="505">
        <f t="shared" si="1"/>
        <v>7042</v>
      </c>
    </row>
    <row r="20" spans="1:15" ht="15" thickBot="1">
      <c r="A20" s="240">
        <f>ELEC!C18</f>
        <v>44362</v>
      </c>
      <c r="B20" s="254"/>
      <c r="C20" s="593"/>
      <c r="D20" s="170"/>
      <c r="E20" s="170"/>
      <c r="F20" s="630"/>
      <c r="G20" s="629"/>
      <c r="H20" s="575">
        <f t="shared" si="2"/>
        <v>6775</v>
      </c>
      <c r="I20" s="505">
        <f t="shared" si="3"/>
        <v>0</v>
      </c>
      <c r="J20" s="484">
        <v>0.29166666666666669</v>
      </c>
      <c r="L20" s="99">
        <f t="shared" si="0"/>
        <v>44362</v>
      </c>
      <c r="M20" s="3">
        <f t="shared" si="4"/>
        <v>6555</v>
      </c>
      <c r="N20" s="505">
        <v>645</v>
      </c>
      <c r="O20" s="505">
        <f t="shared" si="1"/>
        <v>7200</v>
      </c>
    </row>
    <row r="21" spans="1:15" ht="15" thickBot="1">
      <c r="A21" s="240">
        <f>ELEC!C19</f>
        <v>44363</v>
      </c>
      <c r="B21" s="254"/>
      <c r="C21" s="626"/>
      <c r="D21" s="170"/>
      <c r="E21" s="170"/>
      <c r="F21" s="630"/>
      <c r="G21" s="632"/>
      <c r="H21" s="575">
        <f t="shared" si="2"/>
        <v>6775</v>
      </c>
      <c r="I21" s="505">
        <f t="shared" si="3"/>
        <v>0</v>
      </c>
      <c r="J21" s="569" t="s">
        <v>414</v>
      </c>
      <c r="L21" s="99">
        <f t="shared" si="0"/>
        <v>44363</v>
      </c>
      <c r="M21" s="3">
        <f t="shared" si="4"/>
        <v>6555</v>
      </c>
      <c r="N21" s="505">
        <v>645</v>
      </c>
      <c r="O21" s="505">
        <f t="shared" si="1"/>
        <v>7200</v>
      </c>
    </row>
    <row r="22" spans="1:15" ht="15" thickBot="1">
      <c r="A22" s="240">
        <f>ELEC!C20</f>
        <v>44364</v>
      </c>
      <c r="B22" s="254"/>
      <c r="C22" s="594"/>
      <c r="D22" s="595"/>
      <c r="E22" s="594"/>
      <c r="F22" s="630"/>
      <c r="G22" s="629"/>
      <c r="H22" s="575">
        <f t="shared" si="2"/>
        <v>6775</v>
      </c>
      <c r="I22" s="505">
        <f t="shared" si="3"/>
        <v>0</v>
      </c>
      <c r="J22" s="484">
        <v>0.29166666666666669</v>
      </c>
      <c r="L22" s="99">
        <f t="shared" si="0"/>
        <v>44364</v>
      </c>
      <c r="M22" s="3">
        <f t="shared" si="4"/>
        <v>6555</v>
      </c>
      <c r="N22" s="505">
        <v>645</v>
      </c>
      <c r="O22" s="505">
        <f t="shared" si="1"/>
        <v>7200</v>
      </c>
    </row>
    <row r="23" spans="1:15" ht="15" thickBot="1">
      <c r="A23" s="240">
        <f>ELEC!C21</f>
        <v>44365</v>
      </c>
      <c r="B23" s="254"/>
      <c r="C23" s="627"/>
      <c r="D23" s="628"/>
      <c r="E23" s="627"/>
      <c r="F23" s="630"/>
      <c r="G23" s="629"/>
      <c r="H23" s="575">
        <f t="shared" si="2"/>
        <v>6775</v>
      </c>
      <c r="I23" s="505">
        <f t="shared" si="3"/>
        <v>0</v>
      </c>
      <c r="J23" s="484">
        <v>0.29166666666666669</v>
      </c>
      <c r="L23" s="99">
        <f t="shared" si="0"/>
        <v>44365</v>
      </c>
      <c r="M23" s="3">
        <f t="shared" si="4"/>
        <v>6555</v>
      </c>
      <c r="N23" s="505">
        <v>645</v>
      </c>
      <c r="O23" s="505">
        <f t="shared" si="1"/>
        <v>7200</v>
      </c>
    </row>
    <row r="24" spans="1:15" ht="15" thickBot="1">
      <c r="A24" s="240">
        <f>ELEC!C22</f>
        <v>44366</v>
      </c>
      <c r="B24" s="254"/>
      <c r="C24" s="630"/>
      <c r="D24" s="631"/>
      <c r="E24" s="630"/>
      <c r="F24" s="630"/>
      <c r="G24" s="632"/>
      <c r="H24" s="575">
        <f t="shared" si="2"/>
        <v>6775</v>
      </c>
      <c r="I24" s="505">
        <f t="shared" si="3"/>
        <v>0</v>
      </c>
      <c r="J24" s="484">
        <v>0.29166666666666702</v>
      </c>
      <c r="L24" s="99">
        <f t="shared" si="0"/>
        <v>44366</v>
      </c>
      <c r="M24" s="3">
        <f t="shared" si="4"/>
        <v>6555</v>
      </c>
      <c r="N24" s="505">
        <v>645</v>
      </c>
      <c r="O24" s="505">
        <f t="shared" si="1"/>
        <v>7200</v>
      </c>
    </row>
    <row r="25" spans="1:15" ht="15" thickBot="1">
      <c r="A25" s="240">
        <f>ELEC!C23</f>
        <v>44367</v>
      </c>
      <c r="B25" s="570"/>
      <c r="C25" s="578"/>
      <c r="D25" s="170"/>
      <c r="E25" s="170"/>
      <c r="F25" s="170"/>
      <c r="G25" s="170"/>
      <c r="H25" s="575">
        <f t="shared" si="2"/>
        <v>6775</v>
      </c>
      <c r="I25" s="505">
        <f t="shared" si="3"/>
        <v>0</v>
      </c>
      <c r="J25" s="484">
        <v>0.29166666666666702</v>
      </c>
      <c r="L25" s="99">
        <f t="shared" si="0"/>
        <v>44367</v>
      </c>
      <c r="M25" s="3">
        <f t="shared" si="4"/>
        <v>6555</v>
      </c>
      <c r="N25" s="505">
        <v>645</v>
      </c>
      <c r="O25" s="505">
        <f t="shared" si="1"/>
        <v>7200</v>
      </c>
    </row>
    <row r="26" spans="1:15" ht="15" thickBot="1">
      <c r="A26" s="240">
        <f>ELEC!C24</f>
        <v>44368</v>
      </c>
      <c r="B26" s="254"/>
      <c r="C26" s="596"/>
      <c r="D26" s="597"/>
      <c r="E26" s="596"/>
      <c r="F26" s="596"/>
      <c r="G26" s="170"/>
      <c r="H26" s="575">
        <f t="shared" si="2"/>
        <v>6775</v>
      </c>
      <c r="I26" s="505">
        <f t="shared" si="3"/>
        <v>0</v>
      </c>
      <c r="J26" s="484">
        <v>0.29166666666666702</v>
      </c>
      <c r="L26" s="99">
        <f t="shared" si="0"/>
        <v>44368</v>
      </c>
      <c r="M26" s="3">
        <f t="shared" si="4"/>
        <v>6555</v>
      </c>
      <c r="N26" s="505">
        <v>645</v>
      </c>
      <c r="O26" s="505">
        <f t="shared" si="1"/>
        <v>7200</v>
      </c>
    </row>
    <row r="27" spans="1:15" ht="1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5">
        <f t="shared" si="2"/>
        <v>6775</v>
      </c>
      <c r="I27" s="505">
        <f t="shared" si="3"/>
        <v>0</v>
      </c>
      <c r="J27" s="484">
        <v>0.29166666666666702</v>
      </c>
      <c r="L27" s="99">
        <f t="shared" si="0"/>
        <v>44369</v>
      </c>
      <c r="M27" s="3">
        <f t="shared" si="4"/>
        <v>6555</v>
      </c>
      <c r="N27" s="505">
        <v>645</v>
      </c>
      <c r="O27" s="505">
        <f t="shared" si="1"/>
        <v>7200</v>
      </c>
    </row>
    <row r="28" spans="1:15" ht="15" thickBot="1">
      <c r="A28" s="240">
        <f>ELEC!C26</f>
        <v>44370</v>
      </c>
      <c r="B28" s="254"/>
      <c r="C28" s="582"/>
      <c r="D28" s="631"/>
      <c r="E28" s="630"/>
      <c r="F28" s="630"/>
      <c r="G28" s="632"/>
      <c r="H28" s="575">
        <f t="shared" si="2"/>
        <v>6775</v>
      </c>
      <c r="I28" s="505">
        <f t="shared" si="3"/>
        <v>0</v>
      </c>
      <c r="J28" s="485">
        <v>0.29166666666666702</v>
      </c>
      <c r="L28" s="99">
        <f t="shared" si="0"/>
        <v>44370</v>
      </c>
      <c r="M28" s="3">
        <f t="shared" si="4"/>
        <v>6555</v>
      </c>
      <c r="N28" s="505">
        <v>645</v>
      </c>
      <c r="O28" s="505">
        <f t="shared" si="1"/>
        <v>7200</v>
      </c>
    </row>
    <row r="29" spans="1:15" ht="15" thickBot="1">
      <c r="A29" s="240">
        <f>ELEC!C27</f>
        <v>44371</v>
      </c>
      <c r="B29" s="254"/>
      <c r="C29" s="598"/>
      <c r="D29" s="599"/>
      <c r="E29" s="630"/>
      <c r="F29" s="630"/>
      <c r="G29" s="629"/>
      <c r="H29" s="575">
        <f t="shared" si="2"/>
        <v>6775</v>
      </c>
      <c r="I29" s="505">
        <f t="shared" si="3"/>
        <v>0</v>
      </c>
      <c r="J29" s="484">
        <v>0.29166666666666702</v>
      </c>
      <c r="L29" s="99">
        <f t="shared" si="0"/>
        <v>44371</v>
      </c>
      <c r="M29" s="3">
        <f t="shared" si="4"/>
        <v>6555</v>
      </c>
      <c r="N29" s="505">
        <v>645</v>
      </c>
      <c r="O29" s="505">
        <f t="shared" si="1"/>
        <v>7200</v>
      </c>
    </row>
    <row r="30" spans="1:15" ht="15" thickBot="1">
      <c r="A30" s="240">
        <f>ELEC!C28</f>
        <v>44372</v>
      </c>
      <c r="B30" s="254"/>
      <c r="C30" s="600"/>
      <c r="D30" s="601"/>
      <c r="E30" s="600"/>
      <c r="F30" s="600"/>
      <c r="G30" s="170"/>
      <c r="H30" s="575">
        <f t="shared" si="2"/>
        <v>6775</v>
      </c>
      <c r="I30" s="505">
        <f t="shared" si="3"/>
        <v>0</v>
      </c>
      <c r="J30" s="484">
        <v>0.29166666666666702</v>
      </c>
      <c r="L30" s="99">
        <f t="shared" si="0"/>
        <v>44372</v>
      </c>
      <c r="M30" s="3">
        <f t="shared" si="4"/>
        <v>6555</v>
      </c>
      <c r="N30" s="505">
        <v>645</v>
      </c>
      <c r="O30" s="505">
        <f t="shared" si="1"/>
        <v>7200</v>
      </c>
    </row>
    <row r="31" spans="1:15" ht="15" thickBot="1">
      <c r="A31" s="240">
        <f>ELEC!C29</f>
        <v>44373</v>
      </c>
      <c r="B31" s="254"/>
      <c r="C31" s="578"/>
      <c r="D31" s="170"/>
      <c r="E31" s="170"/>
      <c r="F31" s="170"/>
      <c r="G31" s="170"/>
      <c r="H31" s="575">
        <f t="shared" si="2"/>
        <v>6775</v>
      </c>
      <c r="I31" s="505">
        <f t="shared" si="3"/>
        <v>0</v>
      </c>
      <c r="J31" s="484">
        <v>0.29166666666666702</v>
      </c>
      <c r="L31" s="99">
        <f t="shared" si="0"/>
        <v>44373</v>
      </c>
      <c r="M31" s="3">
        <f t="shared" si="4"/>
        <v>6555</v>
      </c>
      <c r="N31" s="505">
        <v>645</v>
      </c>
      <c r="O31" s="505">
        <f t="shared" si="1"/>
        <v>7200</v>
      </c>
    </row>
    <row r="32" spans="1:15" ht="15" thickBot="1">
      <c r="A32" s="240">
        <f>ELEC!C30</f>
        <v>44374</v>
      </c>
      <c r="B32" s="170"/>
      <c r="C32" s="170"/>
      <c r="D32" s="170"/>
      <c r="E32" s="170"/>
      <c r="F32" s="170"/>
      <c r="G32" s="505"/>
      <c r="H32" s="575">
        <f t="shared" si="2"/>
        <v>6775</v>
      </c>
      <c r="I32" s="505">
        <f t="shared" si="3"/>
        <v>0</v>
      </c>
      <c r="J32" s="484">
        <v>0.29166666666666702</v>
      </c>
      <c r="L32" s="99">
        <f t="shared" si="0"/>
        <v>44374</v>
      </c>
      <c r="M32" s="3">
        <f t="shared" si="4"/>
        <v>6555</v>
      </c>
      <c r="N32" s="505">
        <v>645</v>
      </c>
      <c r="O32" s="505">
        <f t="shared" si="1"/>
        <v>7200</v>
      </c>
    </row>
    <row r="33" spans="1:15" ht="15" thickBot="1">
      <c r="A33" s="240">
        <f>ELEC!C31</f>
        <v>44375</v>
      </c>
      <c r="B33" s="170"/>
      <c r="C33" s="170"/>
      <c r="D33" s="170"/>
      <c r="E33" s="170"/>
      <c r="F33" s="170"/>
      <c r="G33" s="505"/>
      <c r="H33" s="575">
        <f t="shared" si="2"/>
        <v>6775</v>
      </c>
      <c r="I33" s="505">
        <f t="shared" si="3"/>
        <v>0</v>
      </c>
      <c r="J33" s="484">
        <v>0.29166666666666702</v>
      </c>
      <c r="L33" s="99">
        <f t="shared" si="0"/>
        <v>44375</v>
      </c>
      <c r="M33" s="3">
        <f t="shared" si="4"/>
        <v>6555</v>
      </c>
      <c r="N33" s="505">
        <v>645</v>
      </c>
      <c r="O33" s="505">
        <f t="shared" si="1"/>
        <v>7200</v>
      </c>
    </row>
    <row r="34" spans="1:15" ht="15" thickBot="1">
      <c r="A34" s="240">
        <f>ELEC!C32</f>
        <v>44376</v>
      </c>
      <c r="B34" s="170"/>
      <c r="C34" s="170"/>
      <c r="D34" s="170"/>
      <c r="E34" s="170"/>
      <c r="F34" s="170"/>
      <c r="G34" s="505"/>
      <c r="H34" s="575">
        <f t="shared" si="2"/>
        <v>6775</v>
      </c>
      <c r="I34" s="505">
        <f>H34-H33</f>
        <v>0</v>
      </c>
      <c r="J34" s="484">
        <v>0.33333333333333398</v>
      </c>
      <c r="L34" s="99">
        <f>A34</f>
        <v>44376</v>
      </c>
      <c r="M34" s="3">
        <f t="shared" si="4"/>
        <v>6555</v>
      </c>
      <c r="N34" s="505">
        <v>646</v>
      </c>
      <c r="O34" s="505">
        <f>M34+N34</f>
        <v>7201</v>
      </c>
    </row>
    <row r="35" spans="1:15" ht="15" thickBot="1">
      <c r="A35" s="240">
        <f>ELEC!C33</f>
        <v>44377</v>
      </c>
      <c r="B35" s="170"/>
      <c r="C35" s="170"/>
      <c r="D35" s="170"/>
      <c r="E35" s="170"/>
      <c r="F35" s="170"/>
      <c r="G35" s="505"/>
      <c r="H35" s="575">
        <f t="shared" si="2"/>
        <v>6775</v>
      </c>
      <c r="I35" s="505">
        <f>H35-H34</f>
        <v>0</v>
      </c>
      <c r="J35" s="484">
        <v>0.375000000000001</v>
      </c>
      <c r="L35" s="99">
        <f>A35</f>
        <v>44377</v>
      </c>
      <c r="M35" s="3">
        <f t="shared" si="4"/>
        <v>6555</v>
      </c>
      <c r="N35" s="505">
        <v>647</v>
      </c>
      <c r="O35" s="505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5"/>
      <c r="H36" s="575"/>
      <c r="I36" s="505"/>
      <c r="J36" s="484"/>
      <c r="L36" s="99"/>
      <c r="M36" s="3"/>
      <c r="N36" s="505"/>
      <c r="O36" s="505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W44" sqref="W44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45" t="s">
        <v>161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</row>
    <row r="2" spans="1:28" ht="19.5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6"/>
      <c r="U2" s="746"/>
      <c r="V2" s="746"/>
      <c r="W2" s="746"/>
      <c r="X2" s="746"/>
    </row>
    <row r="3" spans="1:28" ht="19.5">
      <c r="A3" s="746" t="s">
        <v>162</v>
      </c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6"/>
      <c r="U3" s="746"/>
      <c r="V3" s="746"/>
      <c r="W3" s="746"/>
      <c r="X3" s="74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6" t="s">
        <v>408</v>
      </c>
      <c r="B5" s="746"/>
      <c r="C5" s="746"/>
      <c r="D5" s="746"/>
      <c r="E5" s="746"/>
      <c r="F5" s="746"/>
      <c r="G5" s="746"/>
      <c r="H5" s="746"/>
      <c r="I5" s="746"/>
      <c r="J5" s="746"/>
      <c r="K5" s="746"/>
      <c r="L5" s="746"/>
      <c r="M5" s="746"/>
      <c r="N5" s="746"/>
      <c r="O5" s="746"/>
      <c r="P5" s="746"/>
      <c r="Q5" s="746"/>
      <c r="R5" s="746"/>
      <c r="S5" s="746"/>
      <c r="T5" s="746"/>
      <c r="U5" s="746"/>
      <c r="V5" s="746"/>
      <c r="W5" s="746"/>
      <c r="X5" s="746"/>
    </row>
    <row r="6" spans="1:28" ht="15" thickBot="1">
      <c r="A6" s="747"/>
      <c r="B6" s="747"/>
      <c r="C6" s="747"/>
      <c r="D6" s="747"/>
      <c r="E6" s="747"/>
      <c r="F6" s="747"/>
      <c r="G6" s="747"/>
      <c r="H6" s="747"/>
      <c r="I6" s="747"/>
      <c r="J6" s="747"/>
      <c r="K6" s="747"/>
      <c r="L6" s="747"/>
      <c r="M6" s="747"/>
      <c r="N6" s="747"/>
      <c r="O6" s="747"/>
      <c r="P6" s="747"/>
      <c r="Q6" s="747"/>
      <c r="R6" s="747"/>
      <c r="S6" s="747"/>
      <c r="T6" s="747"/>
      <c r="U6" s="747"/>
      <c r="V6" s="747"/>
      <c r="W6" s="747"/>
      <c r="X6" s="747"/>
    </row>
    <row r="7" spans="1:28" ht="15" thickBot="1">
      <c r="A7" s="735" t="s">
        <v>163</v>
      </c>
      <c r="B7" s="736"/>
      <c r="C7" s="737" t="s">
        <v>164</v>
      </c>
      <c r="D7" s="738"/>
      <c r="E7" s="738"/>
      <c r="F7" s="738"/>
      <c r="G7" s="738"/>
      <c r="H7" s="738"/>
      <c r="I7" s="738"/>
      <c r="J7" s="738"/>
      <c r="K7" s="739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'[9]Degree Days 2020'!B10</f>
        <v>20</v>
      </c>
      <c r="C10" s="272">
        <f>'[9]Degree Days 2020'!C10</f>
        <v>15</v>
      </c>
      <c r="D10" s="272">
        <f>'[9]Degree Days 2020'!D10</f>
        <v>-0.80000000000000071</v>
      </c>
      <c r="E10" s="272">
        <f>'[9]Degree Days 2020'!E10</f>
        <v>1</v>
      </c>
      <c r="F10" s="272">
        <f>'[9]Degree Days 2020'!F10</f>
        <v>21</v>
      </c>
      <c r="G10" s="272">
        <f>'[9]Degree Days 2020'!G10</f>
        <v>16</v>
      </c>
      <c r="H10" s="272">
        <f>'[9]Degree Days 2020'!H10</f>
        <v>0.19999999999999929</v>
      </c>
      <c r="I10" s="272">
        <f>'[9]Degree Days 2020'!I10</f>
        <v>1</v>
      </c>
      <c r="J10" s="272">
        <f>'[9]Degree Days 2020'!J10</f>
        <v>18</v>
      </c>
      <c r="K10" s="272">
        <f>'[9]Degree Days 2020'!K10</f>
        <v>14</v>
      </c>
      <c r="L10" s="272">
        <f>'[9]Degree Days 2020'!L10</f>
        <v>-2.3000000000000007</v>
      </c>
      <c r="M10" s="272">
        <f>'[15]Degree Days 2020'!M10</f>
        <v>1</v>
      </c>
      <c r="N10" s="272">
        <f>'[11]General information '!B6</f>
        <v>17</v>
      </c>
      <c r="O10" s="272">
        <f>'[11]General information '!C6</f>
        <v>12</v>
      </c>
      <c r="P10" s="272">
        <f>(N10+O10)/2-18.3</f>
        <v>-3.8000000000000007</v>
      </c>
      <c r="Q10" s="527">
        <v>1</v>
      </c>
      <c r="R10" s="272">
        <f>'[2]Degree Days 2020'!R10</f>
        <v>26</v>
      </c>
      <c r="S10" s="272">
        <f>'[2]Degree Days 2020'!S10</f>
        <v>21</v>
      </c>
      <c r="T10" s="272">
        <f>(R10+S10)/2-18.3</f>
        <v>5.1999999999999993</v>
      </c>
      <c r="U10" s="527">
        <v>1</v>
      </c>
      <c r="V10" s="272">
        <f>'General information '!B6</f>
        <v>27</v>
      </c>
      <c r="W10" s="272">
        <f>'General information '!C6</f>
        <v>21</v>
      </c>
      <c r="X10" s="272">
        <f>(V10+W10)/2-18.3</f>
        <v>5.6999999999999993</v>
      </c>
      <c r="Z10" t="s">
        <v>165</v>
      </c>
      <c r="AA10" s="272">
        <f>'[9]Degree Days 2020'!AA10</f>
        <v>-92.59999999999998</v>
      </c>
      <c r="AB10" s="272">
        <f>'[9]Degree Days 2020'!AB10</f>
        <v>2.7999999999999936</v>
      </c>
    </row>
    <row r="11" spans="1:28">
      <c r="A11" s="117">
        <v>2</v>
      </c>
      <c r="B11" s="272">
        <f>'[9]Degree Days 2020'!B11</f>
        <v>21</v>
      </c>
      <c r="C11" s="272">
        <f>'[9]Degree Days 2020'!C11</f>
        <v>15</v>
      </c>
      <c r="D11" s="272">
        <f>'[9]Degree Days 2020'!D11</f>
        <v>-0.30000000000000071</v>
      </c>
      <c r="E11" s="272">
        <f>'[9]Degree Days 2020'!E11</f>
        <v>2</v>
      </c>
      <c r="F11" s="272">
        <f>'[9]Degree Days 2020'!F11</f>
        <v>23</v>
      </c>
      <c r="G11" s="272">
        <f>'[9]Degree Days 2020'!G11</f>
        <v>17</v>
      </c>
      <c r="H11" s="272">
        <f>'[9]Degree Days 2020'!H11</f>
        <v>1.6999999999999993</v>
      </c>
      <c r="I11" s="272">
        <f>'[9]Degree Days 2020'!I11</f>
        <v>2</v>
      </c>
      <c r="J11" s="272">
        <f>'[9]Degree Days 2020'!J11</f>
        <v>18</v>
      </c>
      <c r="K11" s="272">
        <f>'[9]Degree Days 2020'!K11</f>
        <v>13</v>
      </c>
      <c r="L11" s="272">
        <f>'[9]Degree Days 2020'!L11</f>
        <v>-2.8000000000000007</v>
      </c>
      <c r="M11" s="272">
        <f>'[15]Degree Days 2020'!M11</f>
        <v>2</v>
      </c>
      <c r="N11" s="272">
        <f>'[11]General information '!B7</f>
        <v>15</v>
      </c>
      <c r="O11" s="272">
        <f>'[11]General information '!C7</f>
        <v>12</v>
      </c>
      <c r="P11" s="272">
        <f t="shared" ref="P11:P39" si="0">(N11+O11)/2-18.3</f>
        <v>-4.8000000000000007</v>
      </c>
      <c r="Q11" s="527">
        <v>2</v>
      </c>
      <c r="R11" s="272">
        <f>'[2]Degree Days 2020'!R11</f>
        <v>25</v>
      </c>
      <c r="S11" s="272">
        <f>'[2]Degree Days 2020'!S11</f>
        <v>21</v>
      </c>
      <c r="T11" s="272">
        <f t="shared" ref="T11:T40" si="1">(R11+S11)/2-18.3</f>
        <v>4.6999999999999993</v>
      </c>
      <c r="U11" s="527">
        <v>2</v>
      </c>
      <c r="V11" s="272">
        <f>'General information '!B7</f>
        <v>0</v>
      </c>
      <c r="W11" s="272">
        <f>'General information '!C7</f>
        <v>0</v>
      </c>
      <c r="X11" s="272">
        <f t="shared" ref="X11:X39" si="2">(V11+W11)/2-18.3</f>
        <v>-18.3</v>
      </c>
      <c r="Z11" t="s">
        <v>169</v>
      </c>
      <c r="AA11" s="272">
        <f>'[9]Degree Days 2020'!AA11</f>
        <v>-75.899999999999977</v>
      </c>
      <c r="AB11" s="272">
        <f>'[9]Degree Days 2020'!AB11</f>
        <v>6.4999999999999964</v>
      </c>
    </row>
    <row r="12" spans="1:28">
      <c r="A12" s="117">
        <v>3</v>
      </c>
      <c r="B12" s="272">
        <f>'[9]Degree Days 2020'!B12</f>
        <v>21</v>
      </c>
      <c r="C12" s="272">
        <f>'[9]Degree Days 2020'!C12</f>
        <v>16</v>
      </c>
      <c r="D12" s="272">
        <f>'[9]Degree Days 2020'!D12</f>
        <v>0.19999999999999929</v>
      </c>
      <c r="E12" s="272">
        <f>'[9]Degree Days 2020'!E12</f>
        <v>3</v>
      </c>
      <c r="F12" s="272">
        <f>'[9]Degree Days 2020'!F12</f>
        <v>20</v>
      </c>
      <c r="G12" s="272">
        <f>'[9]Degree Days 2020'!G12</f>
        <v>15</v>
      </c>
      <c r="H12" s="272">
        <f>'[9]Degree Days 2020'!H12</f>
        <v>-0.80000000000000071</v>
      </c>
      <c r="I12" s="272">
        <f>'[9]Degree Days 2020'!I12</f>
        <v>3</v>
      </c>
      <c r="J12" s="272">
        <f>'[9]Degree Days 2020'!J12</f>
        <v>18</v>
      </c>
      <c r="K12" s="272">
        <f>'[9]Degree Days 2020'!K12</f>
        <v>13</v>
      </c>
      <c r="L12" s="272">
        <f>'[9]Degree Days 2020'!L12</f>
        <v>-2.8000000000000007</v>
      </c>
      <c r="M12" s="272">
        <f>'[15]Degree Days 2020'!M12</f>
        <v>3</v>
      </c>
      <c r="N12" s="272">
        <f>'[11]General information '!B8</f>
        <v>19</v>
      </c>
      <c r="O12" s="272">
        <f>'[11]General information '!C8</f>
        <v>15</v>
      </c>
      <c r="P12" s="272">
        <f t="shared" si="0"/>
        <v>-1.3000000000000007</v>
      </c>
      <c r="Q12" s="527">
        <v>3</v>
      </c>
      <c r="R12" s="272">
        <f>'[2]Degree Days 2020'!R12</f>
        <v>26</v>
      </c>
      <c r="S12" s="272">
        <f>'[2]Degree Days 2020'!S12</f>
        <v>22</v>
      </c>
      <c r="T12" s="272">
        <f t="shared" si="1"/>
        <v>5.6999999999999993</v>
      </c>
      <c r="U12" s="527">
        <v>3</v>
      </c>
      <c r="V12" s="272">
        <f>'General information '!B8</f>
        <v>0</v>
      </c>
      <c r="W12" s="272">
        <f>'General information '!C8</f>
        <v>0</v>
      </c>
      <c r="X12" s="272">
        <f t="shared" si="2"/>
        <v>-18.3</v>
      </c>
      <c r="Z12" t="s">
        <v>170</v>
      </c>
      <c r="AA12" s="272">
        <f>'[9]Degree Days 2020'!AA12</f>
        <v>-56.899999999999991</v>
      </c>
      <c r="AB12" s="272">
        <f>'[9]Degree Days 2020'!AB12</f>
        <v>11.499999999999996</v>
      </c>
    </row>
    <row r="13" spans="1:28">
      <c r="A13" s="117">
        <v>4</v>
      </c>
      <c r="B13" s="272">
        <f>'[9]Degree Days 2020'!B13</f>
        <v>22</v>
      </c>
      <c r="C13" s="272">
        <f>'[9]Degree Days 2020'!C13</f>
        <v>15</v>
      </c>
      <c r="D13" s="272">
        <f>'[9]Degree Days 2020'!D13</f>
        <v>0.19999999999999929</v>
      </c>
      <c r="E13" s="272">
        <f>'[9]Degree Days 2020'!E13</f>
        <v>4</v>
      </c>
      <c r="F13" s="272">
        <f>'[9]Degree Days 2020'!F13</f>
        <v>20</v>
      </c>
      <c r="G13" s="272">
        <f>'[9]Degree Days 2020'!G13</f>
        <v>15</v>
      </c>
      <c r="H13" s="272">
        <f>'[9]Degree Days 2020'!H13</f>
        <v>-0.80000000000000071</v>
      </c>
      <c r="I13" s="272">
        <f>'[9]Degree Days 2020'!I13</f>
        <v>4</v>
      </c>
      <c r="J13" s="272">
        <f>'[9]Degree Days 2020'!J13</f>
        <v>18</v>
      </c>
      <c r="K13" s="272">
        <f>'[9]Degree Days 2020'!K13</f>
        <v>13</v>
      </c>
      <c r="L13" s="272">
        <f>'[9]Degree Days 2020'!L13</f>
        <v>-2.8000000000000007</v>
      </c>
      <c r="M13" s="272">
        <f>'[15]Degree Days 2020'!M13</f>
        <v>4</v>
      </c>
      <c r="N13" s="272">
        <f>'[11]General information '!B9</f>
        <v>18</v>
      </c>
      <c r="O13" s="272">
        <f>'[11]General information '!C9</f>
        <v>15</v>
      </c>
      <c r="P13" s="272">
        <f t="shared" si="0"/>
        <v>-1.8000000000000007</v>
      </c>
      <c r="Q13" s="527">
        <v>4</v>
      </c>
      <c r="R13" s="272">
        <f>'[2]Degree Days 2020'!R13</f>
        <v>26</v>
      </c>
      <c r="S13" s="272">
        <f>'[2]Degree Days 2020'!S13</f>
        <v>19</v>
      </c>
      <c r="T13" s="272">
        <f t="shared" si="1"/>
        <v>4.1999999999999993</v>
      </c>
      <c r="U13" s="527">
        <v>4</v>
      </c>
      <c r="V13" s="272">
        <f>'General information '!B9</f>
        <v>0</v>
      </c>
      <c r="W13" s="272">
        <f>'General information '!C9</f>
        <v>0</v>
      </c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'[9]Degree Days 2020'!B14</f>
        <v>22</v>
      </c>
      <c r="C14" s="272">
        <f>'[9]Degree Days 2020'!C14</f>
        <v>16</v>
      </c>
      <c r="D14" s="272">
        <f>'[9]Degree Days 2020'!D14</f>
        <v>0.69999999999999929</v>
      </c>
      <c r="E14" s="272">
        <f>'[9]Degree Days 2020'!E14</f>
        <v>5</v>
      </c>
      <c r="F14" s="272">
        <f>'[9]Degree Days 2020'!F14</f>
        <v>20</v>
      </c>
      <c r="G14" s="272">
        <f>'[9]Degree Days 2020'!G14</f>
        <v>15</v>
      </c>
      <c r="H14" s="272">
        <f>'[9]Degree Days 2020'!H14</f>
        <v>-0.80000000000000071</v>
      </c>
      <c r="I14" s="272">
        <f>'[9]Degree Days 2020'!I14</f>
        <v>5</v>
      </c>
      <c r="J14" s="272">
        <f>'[9]Degree Days 2020'!J14</f>
        <v>19</v>
      </c>
      <c r="K14" s="272">
        <f>'[9]Degree Days 2020'!K14</f>
        <v>12</v>
      </c>
      <c r="L14" s="272">
        <f>'[9]Degree Days 2020'!L14</f>
        <v>-2.8000000000000007</v>
      </c>
      <c r="M14" s="272">
        <f>'[15]Degree Days 2020'!M14</f>
        <v>5</v>
      </c>
      <c r="N14" s="272">
        <f>'[11]General information '!B10</f>
        <v>19</v>
      </c>
      <c r="O14" s="272">
        <f>'[11]General information '!C10</f>
        <v>15</v>
      </c>
      <c r="P14" s="272">
        <f t="shared" si="0"/>
        <v>-1.3000000000000007</v>
      </c>
      <c r="Q14" s="527">
        <v>5</v>
      </c>
      <c r="R14" s="272">
        <f>'[2]Degree Days 2020'!R14</f>
        <v>24</v>
      </c>
      <c r="S14" s="272">
        <f>'[2]Degree Days 2020'!S14</f>
        <v>22</v>
      </c>
      <c r="T14" s="272">
        <f t="shared" si="1"/>
        <v>4.6999999999999993</v>
      </c>
      <c r="U14" s="527">
        <v>5</v>
      </c>
      <c r="V14" s="272">
        <f>'General information '!B10</f>
        <v>0</v>
      </c>
      <c r="W14" s="272">
        <f>'General information '!C10</f>
        <v>0</v>
      </c>
      <c r="X14" s="272">
        <f t="shared" si="2"/>
        <v>-18.3</v>
      </c>
      <c r="Z14" t="s">
        <v>172</v>
      </c>
      <c r="AA14" s="272">
        <f>R43</f>
        <v>0</v>
      </c>
      <c r="AB14" s="272">
        <f>S43</f>
        <v>157.19999999999999</v>
      </c>
    </row>
    <row r="15" spans="1:28">
      <c r="A15" s="117">
        <v>6</v>
      </c>
      <c r="B15" s="272">
        <f>'[9]Degree Days 2020'!B15</f>
        <v>22</v>
      </c>
      <c r="C15" s="272">
        <f>'[9]Degree Days 2020'!C15</f>
        <v>15</v>
      </c>
      <c r="D15" s="272">
        <f>'[9]Degree Days 2020'!D15</f>
        <v>0.19999999999999929</v>
      </c>
      <c r="E15" s="272">
        <f>'[9]Degree Days 2020'!E15</f>
        <v>6</v>
      </c>
      <c r="F15" s="272">
        <f>'[9]Degree Days 2020'!F15</f>
        <v>19</v>
      </c>
      <c r="G15" s="272">
        <f>'[9]Degree Days 2020'!G15</f>
        <v>15</v>
      </c>
      <c r="H15" s="272">
        <f>'[9]Degree Days 2020'!H15</f>
        <v>-1.3000000000000007</v>
      </c>
      <c r="I15" s="272">
        <f>'[9]Degree Days 2020'!I15</f>
        <v>6</v>
      </c>
      <c r="J15" s="272">
        <f>'[9]Degree Days 2020'!J15</f>
        <v>18</v>
      </c>
      <c r="K15" s="272">
        <f>'[9]Degree Days 2020'!K15</f>
        <v>14</v>
      </c>
      <c r="L15" s="272">
        <f>'[9]Degree Days 2020'!L15</f>
        <v>-2.3000000000000007</v>
      </c>
      <c r="M15" s="272">
        <f>'[15]Degree Days 2020'!M15</f>
        <v>6</v>
      </c>
      <c r="N15" s="272">
        <f>'[11]General information '!B11</f>
        <v>30</v>
      </c>
      <c r="O15" s="272">
        <f>'[11]General information '!C11</f>
        <v>15</v>
      </c>
      <c r="P15" s="272">
        <f t="shared" si="0"/>
        <v>4.1999999999999993</v>
      </c>
      <c r="Q15" s="527">
        <v>6</v>
      </c>
      <c r="R15" s="272">
        <f>'[2]Degree Days 2020'!R15</f>
        <v>24</v>
      </c>
      <c r="S15" s="272">
        <f>'[2]Degree Days 2020'!S15</f>
        <v>20</v>
      </c>
      <c r="T15" s="272">
        <f t="shared" si="1"/>
        <v>3.6999999999999993</v>
      </c>
      <c r="U15" s="527">
        <v>6</v>
      </c>
      <c r="V15" s="272">
        <f>'General information '!B11</f>
        <v>0</v>
      </c>
      <c r="W15" s="272">
        <f>'General information '!C11</f>
        <v>0</v>
      </c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'[9]Degree Days 2020'!B16</f>
        <v>20</v>
      </c>
      <c r="C16" s="272">
        <f>'[9]Degree Days 2020'!C16</f>
        <v>14</v>
      </c>
      <c r="D16" s="272">
        <f>'[9]Degree Days 2020'!D16</f>
        <v>-1.3000000000000007</v>
      </c>
      <c r="E16" s="272">
        <f>'[9]Degree Days 2020'!E16</f>
        <v>7</v>
      </c>
      <c r="F16" s="272">
        <f>'[9]Degree Days 2020'!F16</f>
        <v>21</v>
      </c>
      <c r="G16" s="272">
        <f>'[9]Degree Days 2020'!G16</f>
        <v>17</v>
      </c>
      <c r="H16" s="272">
        <f>'[9]Degree Days 2020'!H16</f>
        <v>0.69999999999999929</v>
      </c>
      <c r="I16" s="272">
        <f>'[9]Degree Days 2020'!I16</f>
        <v>7</v>
      </c>
      <c r="J16" s="272">
        <f>'[9]Degree Days 2020'!J16</f>
        <v>19</v>
      </c>
      <c r="K16" s="272">
        <f>'[9]Degree Days 2020'!K16</f>
        <v>14</v>
      </c>
      <c r="L16" s="272">
        <f>'[9]Degree Days 2020'!L16</f>
        <v>-1.8000000000000007</v>
      </c>
      <c r="M16" s="272">
        <f>'[15]Degree Days 2020'!M16</f>
        <v>7</v>
      </c>
      <c r="N16" s="272">
        <f>'[11]General information '!B12</f>
        <v>24</v>
      </c>
      <c r="O16" s="272">
        <f>'[11]General information '!C12</f>
        <v>19</v>
      </c>
      <c r="P16" s="272">
        <f t="shared" si="0"/>
        <v>3.1999999999999993</v>
      </c>
      <c r="Q16" s="527">
        <v>7</v>
      </c>
      <c r="R16" s="272">
        <f>'[2]Degree Days 2020'!R16</f>
        <v>25</v>
      </c>
      <c r="S16" s="272">
        <f>'[2]Degree Days 2020'!S16</f>
        <v>21</v>
      </c>
      <c r="T16" s="272">
        <f t="shared" si="1"/>
        <v>4.6999999999999993</v>
      </c>
      <c r="U16" s="527">
        <v>7</v>
      </c>
      <c r="V16" s="272">
        <f>'General information '!B12</f>
        <v>0</v>
      </c>
      <c r="W16" s="272">
        <f>'General information '!C12</f>
        <v>0</v>
      </c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'[9]Degree Days 2020'!B17</f>
        <v>21</v>
      </c>
      <c r="C17" s="272">
        <f>'[9]Degree Days 2020'!C17</f>
        <v>14</v>
      </c>
      <c r="D17" s="272">
        <f>'[9]Degree Days 2020'!D17</f>
        <v>-0.80000000000000071</v>
      </c>
      <c r="E17" s="272">
        <f>'[9]Degree Days 2020'!E17</f>
        <v>8</v>
      </c>
      <c r="F17" s="272">
        <f>'[9]Degree Days 2020'!F17</f>
        <v>23</v>
      </c>
      <c r="G17" s="272">
        <f>'[9]Degree Days 2020'!G17</f>
        <v>19</v>
      </c>
      <c r="H17" s="272">
        <f>'[9]Degree Days 2020'!H17</f>
        <v>2.6999999999999993</v>
      </c>
      <c r="I17" s="272">
        <f>'[9]Degree Days 2020'!I17</f>
        <v>8</v>
      </c>
      <c r="J17" s="272">
        <f>'[9]Degree Days 2020'!J17</f>
        <v>20</v>
      </c>
      <c r="K17" s="272">
        <f>'[9]Degree Days 2020'!K17</f>
        <v>16</v>
      </c>
      <c r="L17" s="272">
        <f>'[9]Degree Days 2020'!L17</f>
        <v>-0.30000000000000071</v>
      </c>
      <c r="M17" s="272">
        <f>'[15]Degree Days 2020'!M17</f>
        <v>8</v>
      </c>
      <c r="N17" s="272">
        <f>'[11]General information '!B13</f>
        <v>20</v>
      </c>
      <c r="O17" s="272">
        <f>'[11]General information '!C13</f>
        <v>17</v>
      </c>
      <c r="P17" s="272">
        <f t="shared" si="0"/>
        <v>0.19999999999999929</v>
      </c>
      <c r="Q17" s="527">
        <v>8</v>
      </c>
      <c r="R17" s="272">
        <f>'[2]Degree Days 2020'!R17</f>
        <v>29</v>
      </c>
      <c r="S17" s="272">
        <f>'[2]Degree Days 2020'!S17</f>
        <v>20</v>
      </c>
      <c r="T17" s="272">
        <f t="shared" si="1"/>
        <v>6.1999999999999993</v>
      </c>
      <c r="U17" s="527">
        <v>8</v>
      </c>
      <c r="V17" s="272">
        <f>'General information '!B13</f>
        <v>0</v>
      </c>
      <c r="W17" s="272">
        <f>'General information '!C13</f>
        <v>0</v>
      </c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'[9]Degree Days 2020'!B18</f>
        <v>22</v>
      </c>
      <c r="C18" s="272">
        <f>'[9]Degree Days 2020'!C18</f>
        <v>15</v>
      </c>
      <c r="D18" s="272">
        <f>'[9]Degree Days 2020'!D18</f>
        <v>0.19999999999999929</v>
      </c>
      <c r="E18" s="272">
        <f>'[9]Degree Days 2020'!E18</f>
        <v>9</v>
      </c>
      <c r="F18" s="272">
        <f>'[9]Degree Days 2020'!F18</f>
        <v>21</v>
      </c>
      <c r="G18" s="272">
        <f>'[9]Degree Days 2020'!G18</f>
        <v>18</v>
      </c>
      <c r="H18" s="272">
        <f>'[9]Degree Days 2020'!H18</f>
        <v>1.1999999999999993</v>
      </c>
      <c r="I18" s="272">
        <f>'[9]Degree Days 2020'!I18</f>
        <v>9</v>
      </c>
      <c r="J18" s="272">
        <f>'[9]Degree Days 2020'!J18</f>
        <v>23</v>
      </c>
      <c r="K18" s="272">
        <f>'[9]Degree Days 2020'!K18</f>
        <v>17</v>
      </c>
      <c r="L18" s="272">
        <f>'[9]Degree Days 2020'!L18</f>
        <v>1.6999999999999993</v>
      </c>
      <c r="M18" s="272">
        <f>'[15]Degree Days 2020'!M18</f>
        <v>9</v>
      </c>
      <c r="N18" s="272">
        <f>'[11]General information '!B14</f>
        <v>20</v>
      </c>
      <c r="O18" s="272">
        <f>'[11]General information '!C14</f>
        <v>16</v>
      </c>
      <c r="P18" s="272">
        <f t="shared" si="0"/>
        <v>-0.30000000000000071</v>
      </c>
      <c r="Q18" s="527">
        <v>9</v>
      </c>
      <c r="R18" s="272">
        <f>'[2]Degree Days 2020'!R18</f>
        <v>28</v>
      </c>
      <c r="S18" s="272">
        <f>'[2]Degree Days 2020'!S18</f>
        <v>21</v>
      </c>
      <c r="T18" s="272">
        <f t="shared" si="1"/>
        <v>6.1999999999999993</v>
      </c>
      <c r="U18" s="527">
        <v>9</v>
      </c>
      <c r="V18" s="272">
        <f>'General information '!B14</f>
        <v>0</v>
      </c>
      <c r="W18" s="272">
        <f>'General information '!C14</f>
        <v>0</v>
      </c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'[9]Degree Days 2020'!B19</f>
        <v>22</v>
      </c>
      <c r="C19" s="272">
        <f>'[9]Degree Days 2020'!C19</f>
        <v>15</v>
      </c>
      <c r="D19" s="272">
        <f>'[9]Degree Days 2020'!D19</f>
        <v>0.19999999999999929</v>
      </c>
      <c r="E19" s="272">
        <f>'[9]Degree Days 2020'!E19</f>
        <v>10</v>
      </c>
      <c r="F19" s="272">
        <f>'[9]Degree Days 2020'!F19</f>
        <v>19</v>
      </c>
      <c r="G19" s="272">
        <f>'[9]Degree Days 2020'!G19</f>
        <v>14</v>
      </c>
      <c r="H19" s="272">
        <f>'[9]Degree Days 2020'!H19</f>
        <v>-1.8000000000000007</v>
      </c>
      <c r="I19" s="272">
        <f>'[9]Degree Days 2020'!I19</f>
        <v>10</v>
      </c>
      <c r="J19" s="272">
        <f>'[9]Degree Days 2020'!J19</f>
        <v>19</v>
      </c>
      <c r="K19" s="272">
        <f>'[9]Degree Days 2020'!K19</f>
        <v>13</v>
      </c>
      <c r="L19" s="272">
        <f>'[9]Degree Days 2020'!L19</f>
        <v>-2.3000000000000007</v>
      </c>
      <c r="M19" s="272">
        <f>'[15]Degree Days 2020'!M19</f>
        <v>10</v>
      </c>
      <c r="N19" s="272">
        <f>'[11]General information '!B15</f>
        <v>16</v>
      </c>
      <c r="O19" s="272">
        <f>'[11]General information '!C15</f>
        <v>14</v>
      </c>
      <c r="P19" s="272">
        <f t="shared" si="0"/>
        <v>-3.3000000000000007</v>
      </c>
      <c r="Q19" s="527">
        <v>10</v>
      </c>
      <c r="R19" s="272">
        <f>'[2]Degree Days 2020'!R19</f>
        <v>24</v>
      </c>
      <c r="S19" s="272">
        <f>'[2]Degree Days 2020'!S19</f>
        <v>20</v>
      </c>
      <c r="T19" s="272">
        <f t="shared" si="1"/>
        <v>3.6999999999999993</v>
      </c>
      <c r="U19" s="527">
        <v>10</v>
      </c>
      <c r="V19" s="272">
        <f>'General information '!B15</f>
        <v>0</v>
      </c>
      <c r="W19" s="272">
        <f>'General information '!C15</f>
        <v>0</v>
      </c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'[9]Degree Days 2020'!B20</f>
        <v>22</v>
      </c>
      <c r="C20" s="272">
        <f>'[9]Degree Days 2020'!C20</f>
        <v>16</v>
      </c>
      <c r="D20" s="272">
        <f>'[9]Degree Days 2020'!D20</f>
        <v>0.69999999999999929</v>
      </c>
      <c r="E20" s="272">
        <f>'[9]Degree Days 2020'!E20</f>
        <v>11</v>
      </c>
      <c r="F20" s="272">
        <f>'[9]Degree Days 2020'!F20</f>
        <v>18</v>
      </c>
      <c r="G20" s="272">
        <f>'[9]Degree Days 2020'!G20</f>
        <v>13</v>
      </c>
      <c r="H20" s="272">
        <f>'[9]Degree Days 2020'!H20</f>
        <v>-2.8000000000000007</v>
      </c>
      <c r="I20" s="272">
        <f>'[9]Degree Days 2020'!I20</f>
        <v>11</v>
      </c>
      <c r="J20" s="272">
        <f>'[9]Degree Days 2020'!J20</f>
        <v>17</v>
      </c>
      <c r="K20" s="272">
        <f>'[9]Degree Days 2020'!K20</f>
        <v>12</v>
      </c>
      <c r="L20" s="272">
        <f>'[9]Degree Days 2020'!L20</f>
        <v>-3.8000000000000007</v>
      </c>
      <c r="M20" s="272">
        <f>'[15]Degree Days 2020'!M20</f>
        <v>11</v>
      </c>
      <c r="N20" s="272">
        <f>'[11]General information '!B16</f>
        <v>17</v>
      </c>
      <c r="O20" s="272">
        <f>'[11]General information '!C16</f>
        <v>12</v>
      </c>
      <c r="P20" s="272">
        <f t="shared" si="0"/>
        <v>-3.8000000000000007</v>
      </c>
      <c r="Q20" s="527">
        <v>11</v>
      </c>
      <c r="R20" s="272">
        <f>'[2]Degree Days 2020'!R20</f>
        <v>24</v>
      </c>
      <c r="S20" s="272">
        <f>'[2]Degree Days 2020'!S20</f>
        <v>18</v>
      </c>
      <c r="T20" s="272">
        <f t="shared" si="1"/>
        <v>2.6999999999999993</v>
      </c>
      <c r="U20" s="527">
        <v>11</v>
      </c>
      <c r="V20" s="272">
        <f>'General information '!B16</f>
        <v>0</v>
      </c>
      <c r="W20" s="272">
        <f>'General information '!C16</f>
        <v>0</v>
      </c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'[9]Degree Days 2020'!B21</f>
        <v>24</v>
      </c>
      <c r="C21" s="272">
        <f>'[9]Degree Days 2020'!C21</f>
        <v>13</v>
      </c>
      <c r="D21" s="272">
        <f>'[9]Degree Days 2020'!D21</f>
        <v>0.19999999999999929</v>
      </c>
      <c r="E21" s="272">
        <f>'[9]Degree Days 2020'!E21</f>
        <v>12</v>
      </c>
      <c r="F21" s="272">
        <f>'[9]Degree Days 2020'!F21</f>
        <v>18</v>
      </c>
      <c r="G21" s="272">
        <f>'[9]Degree Days 2020'!G21</f>
        <v>13</v>
      </c>
      <c r="H21" s="272">
        <f>'[9]Degree Days 2020'!H21</f>
        <v>-2.8000000000000007</v>
      </c>
      <c r="I21" s="272">
        <f>'[9]Degree Days 2020'!I21</f>
        <v>12</v>
      </c>
      <c r="J21" s="272">
        <f>'[9]Degree Days 2020'!J21</f>
        <v>18</v>
      </c>
      <c r="K21" s="272">
        <f>'[9]Degree Days 2020'!K21</f>
        <v>13</v>
      </c>
      <c r="L21" s="272">
        <f>'[9]Degree Days 2020'!L21</f>
        <v>-2.8000000000000007</v>
      </c>
      <c r="M21" s="272">
        <f>'[15]Degree Days 2020'!M21</f>
        <v>12</v>
      </c>
      <c r="N21" s="272">
        <f>'[11]General information '!B17</f>
        <v>16</v>
      </c>
      <c r="O21" s="272">
        <f>'[11]General information '!C17</f>
        <v>13</v>
      </c>
      <c r="P21" s="272">
        <f t="shared" si="0"/>
        <v>-3.8000000000000007</v>
      </c>
      <c r="Q21" s="527">
        <v>12</v>
      </c>
      <c r="R21" s="272">
        <f>'[2]Degree Days 2020'!R21</f>
        <v>25</v>
      </c>
      <c r="S21" s="272">
        <f>'[2]Degree Days 2020'!S21</f>
        <v>19</v>
      </c>
      <c r="T21" s="272">
        <f t="shared" si="1"/>
        <v>3.6999999999999993</v>
      </c>
      <c r="U21" s="527">
        <v>12</v>
      </c>
      <c r="V21" s="272">
        <f>'General information '!B17</f>
        <v>0</v>
      </c>
      <c r="W21" s="272">
        <f>'General information '!C17</f>
        <v>0</v>
      </c>
      <c r="X21" s="272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2">
        <f>'[9]Degree Days 2020'!B22</f>
        <v>18</v>
      </c>
      <c r="C22" s="272">
        <f>'[9]Degree Days 2020'!C22</f>
        <v>12</v>
      </c>
      <c r="D22" s="272">
        <f>'[9]Degree Days 2020'!D22</f>
        <v>-3.3000000000000007</v>
      </c>
      <c r="E22" s="272">
        <f>'[9]Degree Days 2020'!E22</f>
        <v>13</v>
      </c>
      <c r="F22" s="272">
        <f>'[9]Degree Days 2020'!F22</f>
        <v>19</v>
      </c>
      <c r="G22" s="272">
        <f>'[9]Degree Days 2020'!G22</f>
        <v>14</v>
      </c>
      <c r="H22" s="272">
        <f>'[9]Degree Days 2020'!H22</f>
        <v>-1.8000000000000007</v>
      </c>
      <c r="I22" s="272">
        <f>'[9]Degree Days 2020'!I22</f>
        <v>13</v>
      </c>
      <c r="J22" s="272">
        <f>'[9]Degree Days 2020'!J22</f>
        <v>18</v>
      </c>
      <c r="K22" s="272">
        <f>'[9]Degree Days 2020'!K22</f>
        <v>16</v>
      </c>
      <c r="L22" s="272">
        <f>'[9]Degree Days 2020'!L22</f>
        <v>-1.3000000000000007</v>
      </c>
      <c r="M22" s="272">
        <f>'[15]Degree Days 2020'!M22</f>
        <v>13</v>
      </c>
      <c r="N22" s="272">
        <f>'[11]General information '!B18</f>
        <v>18</v>
      </c>
      <c r="O22" s="272">
        <f>'[11]General information '!C18</f>
        <v>11</v>
      </c>
      <c r="P22" s="272">
        <f t="shared" si="0"/>
        <v>-3.8000000000000007</v>
      </c>
      <c r="Q22" s="527">
        <v>13</v>
      </c>
      <c r="R22" s="272">
        <f>'[2]Degree Days 2020'!R22</f>
        <v>24</v>
      </c>
      <c r="S22" s="272">
        <f>'[2]Degree Days 2020'!S22</f>
        <v>18</v>
      </c>
      <c r="T22" s="272">
        <f t="shared" si="1"/>
        <v>2.6999999999999993</v>
      </c>
      <c r="U22" s="527">
        <v>13</v>
      </c>
      <c r="V22" s="272">
        <f>'General information '!B18</f>
        <v>0</v>
      </c>
      <c r="W22" s="272">
        <f>'General information '!C18</f>
        <v>0</v>
      </c>
      <c r="X22" s="272">
        <f t="shared" si="2"/>
        <v>-18.3</v>
      </c>
    </row>
    <row r="23" spans="1:28">
      <c r="A23" s="117">
        <v>14</v>
      </c>
      <c r="B23" s="272">
        <f>'[9]Degree Days 2020'!B23</f>
        <v>17</v>
      </c>
      <c r="C23" s="272">
        <f>'[9]Degree Days 2020'!C23</f>
        <v>12</v>
      </c>
      <c r="D23" s="272">
        <f>'[9]Degree Days 2020'!D23</f>
        <v>-3.8000000000000007</v>
      </c>
      <c r="E23" s="272">
        <f>'[9]Degree Days 2020'!E23</f>
        <v>14</v>
      </c>
      <c r="F23" s="272">
        <f>'[9]Degree Days 2020'!F23</f>
        <v>18</v>
      </c>
      <c r="G23" s="272">
        <f>'[9]Degree Days 2020'!G23</f>
        <v>13</v>
      </c>
      <c r="H23" s="272">
        <f>'[9]Degree Days 2020'!H23</f>
        <v>-2.8000000000000007</v>
      </c>
      <c r="I23" s="272">
        <f>'[9]Degree Days 2020'!I23</f>
        <v>14</v>
      </c>
      <c r="J23" s="272">
        <f>'[9]Degree Days 2020'!J23</f>
        <v>19</v>
      </c>
      <c r="K23" s="272">
        <f>'[9]Degree Days 2020'!K23</f>
        <v>15</v>
      </c>
      <c r="L23" s="272">
        <f>'[9]Degree Days 2020'!L23</f>
        <v>-1.3000000000000007</v>
      </c>
      <c r="M23" s="272">
        <f>'[15]Degree Days 2020'!M23</f>
        <v>14</v>
      </c>
      <c r="N23" s="272">
        <f>'[11]General information '!B19</f>
        <v>20</v>
      </c>
      <c r="O23" s="272">
        <f>'[11]General information '!C19</f>
        <v>12</v>
      </c>
      <c r="P23" s="272">
        <f t="shared" si="0"/>
        <v>-2.3000000000000007</v>
      </c>
      <c r="Q23" s="527">
        <v>14</v>
      </c>
      <c r="R23" s="272">
        <f>'[2]Degree Days 2020'!R23</f>
        <v>24</v>
      </c>
      <c r="S23" s="272">
        <f>'[2]Degree Days 2020'!S23</f>
        <v>21</v>
      </c>
      <c r="T23" s="272">
        <f t="shared" si="1"/>
        <v>4.1999999999999993</v>
      </c>
      <c r="U23" s="527">
        <v>14</v>
      </c>
      <c r="V23" s="272">
        <f>'General information '!B19</f>
        <v>0</v>
      </c>
      <c r="W23" s="272">
        <f>'General information '!C19</f>
        <v>0</v>
      </c>
      <c r="X23" s="272">
        <f t="shared" si="2"/>
        <v>-18.3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2">
        <f>'[9]Degree Days 2020'!B24</f>
        <v>19</v>
      </c>
      <c r="C24" s="272">
        <f>'[9]Degree Days 2020'!C24</f>
        <v>13</v>
      </c>
      <c r="D24" s="272">
        <f>'[9]Degree Days 2020'!D24</f>
        <v>-2.3000000000000007</v>
      </c>
      <c r="E24" s="272">
        <f>'[9]Degree Days 2020'!E24</f>
        <v>15</v>
      </c>
      <c r="F24" s="272">
        <f>'[9]Degree Days 2020'!F24</f>
        <v>18</v>
      </c>
      <c r="G24" s="272">
        <f>'[9]Degree Days 2020'!G24</f>
        <v>12</v>
      </c>
      <c r="H24" s="272">
        <f>'[9]Degree Days 2020'!H24</f>
        <v>-3.3000000000000007</v>
      </c>
      <c r="I24" s="272">
        <f>'[9]Degree Days 2020'!I24</f>
        <v>15</v>
      </c>
      <c r="J24" s="272">
        <f>'[9]Degree Days 2020'!J24</f>
        <v>19</v>
      </c>
      <c r="K24" s="272">
        <f>'[9]Degree Days 2020'!K24</f>
        <v>15</v>
      </c>
      <c r="L24" s="272">
        <f>'[9]Degree Days 2020'!L24</f>
        <v>-1.3000000000000007</v>
      </c>
      <c r="M24" s="272">
        <f>'[15]Degree Days 2020'!M24</f>
        <v>15</v>
      </c>
      <c r="N24" s="272">
        <f>'[11]General information '!B20</f>
        <v>24</v>
      </c>
      <c r="O24" s="272">
        <f>'[11]General information '!C20</f>
        <v>14</v>
      </c>
      <c r="P24" s="272">
        <f t="shared" si="0"/>
        <v>0.69999999999999929</v>
      </c>
      <c r="Q24" s="527">
        <v>15</v>
      </c>
      <c r="R24" s="272">
        <f>'[2]Degree Days 2020'!R24</f>
        <v>25</v>
      </c>
      <c r="S24" s="272">
        <f>'[2]Degree Days 2020'!S24</f>
        <v>22</v>
      </c>
      <c r="T24" s="272">
        <f t="shared" si="1"/>
        <v>5.1999999999999993</v>
      </c>
      <c r="U24" s="527">
        <v>15</v>
      </c>
      <c r="V24" s="272">
        <f>'General information '!B20</f>
        <v>0</v>
      </c>
      <c r="W24" s="272">
        <f>'General information '!C20</f>
        <v>0</v>
      </c>
      <c r="X24" s="272">
        <f t="shared" si="2"/>
        <v>-18.3</v>
      </c>
    </row>
    <row r="25" spans="1:28">
      <c r="A25" s="117">
        <v>16</v>
      </c>
      <c r="B25" s="272">
        <f>'[9]Degree Days 2020'!B25</f>
        <v>15</v>
      </c>
      <c r="C25" s="272">
        <f>'[9]Degree Days 2020'!C25</f>
        <v>9</v>
      </c>
      <c r="D25" s="272">
        <f>'[9]Degree Days 2020'!D25</f>
        <v>-6.3000000000000007</v>
      </c>
      <c r="E25" s="272">
        <f>'[9]Degree Days 2020'!E25</f>
        <v>16</v>
      </c>
      <c r="F25" s="272">
        <f>'[9]Degree Days 2020'!F25</f>
        <v>11</v>
      </c>
      <c r="G25" s="272">
        <f>'[9]Degree Days 2020'!G25</f>
        <v>7</v>
      </c>
      <c r="H25" s="272">
        <f>'[9]Degree Days 2020'!H25</f>
        <v>-9.3000000000000007</v>
      </c>
      <c r="I25" s="272">
        <f>'[9]Degree Days 2020'!I25</f>
        <v>16</v>
      </c>
      <c r="J25" s="272">
        <f>'[9]Degree Days 2020'!J25</f>
        <v>19</v>
      </c>
      <c r="K25" s="272">
        <f>'[9]Degree Days 2020'!K25</f>
        <v>14</v>
      </c>
      <c r="L25" s="272">
        <f>'[9]Degree Days 2020'!L25</f>
        <v>-1.8000000000000007</v>
      </c>
      <c r="M25" s="272">
        <f>'[15]Degree Days 2020'!M25</f>
        <v>16</v>
      </c>
      <c r="N25" s="272">
        <f>'[11]General information '!B21</f>
        <v>26</v>
      </c>
      <c r="O25" s="272">
        <f>'[11]General information '!C21</f>
        <v>17</v>
      </c>
      <c r="P25" s="272">
        <f t="shared" si="0"/>
        <v>3.1999999999999993</v>
      </c>
      <c r="Q25" s="527">
        <v>16</v>
      </c>
      <c r="R25" s="272">
        <f>'[2]Degree Days 2020'!R25</f>
        <v>24</v>
      </c>
      <c r="S25" s="272">
        <f>'[2]Degree Days 2020'!S25</f>
        <v>19</v>
      </c>
      <c r="T25" s="272">
        <f t="shared" si="1"/>
        <v>3.1999999999999993</v>
      </c>
      <c r="U25" s="527">
        <v>16</v>
      </c>
      <c r="V25" s="272">
        <f>'General information '!B21</f>
        <v>0</v>
      </c>
      <c r="W25" s="272">
        <f>'General information '!C21</f>
        <v>0</v>
      </c>
      <c r="X25" s="272">
        <f t="shared" si="2"/>
        <v>-18.3</v>
      </c>
    </row>
    <row r="26" spans="1:28">
      <c r="A26" s="117">
        <v>17</v>
      </c>
      <c r="B26" s="272">
        <f>'[9]Degree Days 2020'!B26</f>
        <v>15</v>
      </c>
      <c r="C26" s="272">
        <f>'[9]Degree Days 2020'!C26</f>
        <v>12</v>
      </c>
      <c r="D26" s="272">
        <f>'[9]Degree Days 2020'!D26</f>
        <v>-4.8000000000000007</v>
      </c>
      <c r="E26" s="272">
        <f>'[9]Degree Days 2020'!E26</f>
        <v>17</v>
      </c>
      <c r="F26" s="272">
        <f>'[9]Degree Days 2020'!F26</f>
        <v>13</v>
      </c>
      <c r="G26" s="272">
        <f>'[9]Degree Days 2020'!G26</f>
        <v>7</v>
      </c>
      <c r="H26" s="272">
        <f>'[9]Degree Days 2020'!H26</f>
        <v>-8.3000000000000007</v>
      </c>
      <c r="I26" s="272">
        <f>'[9]Degree Days 2020'!I26</f>
        <v>17</v>
      </c>
      <c r="J26" s="272">
        <f>'[9]Degree Days 2020'!J26</f>
        <v>20</v>
      </c>
      <c r="K26" s="272">
        <f>'[9]Degree Days 2020'!K26</f>
        <v>15</v>
      </c>
      <c r="L26" s="272">
        <f>'[9]Degree Days 2020'!L26</f>
        <v>-0.80000000000000071</v>
      </c>
      <c r="M26" s="272">
        <f>'[15]Degree Days 2020'!M26</f>
        <v>17</v>
      </c>
      <c r="N26" s="272">
        <f>'[11]General information '!B22</f>
        <v>27</v>
      </c>
      <c r="O26" s="272">
        <f>'[11]General information '!C22</f>
        <v>17</v>
      </c>
      <c r="P26" s="272">
        <f t="shared" si="0"/>
        <v>3.6999999999999993</v>
      </c>
      <c r="Q26" s="527">
        <v>17</v>
      </c>
      <c r="R26" s="272">
        <f>'[2]Degree Days 2020'!R26</f>
        <v>25</v>
      </c>
      <c r="S26" s="272">
        <f>'[2]Degree Days 2020'!S26</f>
        <v>20</v>
      </c>
      <c r="T26" s="272">
        <f t="shared" si="1"/>
        <v>4.1999999999999993</v>
      </c>
      <c r="U26" s="527">
        <v>17</v>
      </c>
      <c r="V26" s="272">
        <f>'General information '!B22</f>
        <v>0</v>
      </c>
      <c r="W26" s="272">
        <f>'General information '!C22</f>
        <v>0</v>
      </c>
      <c r="X26" s="272">
        <f t="shared" si="2"/>
        <v>-18.3</v>
      </c>
    </row>
    <row r="27" spans="1:28">
      <c r="A27" s="117">
        <v>18</v>
      </c>
      <c r="B27" s="272">
        <f>'[9]Degree Days 2020'!B27</f>
        <v>14</v>
      </c>
      <c r="C27" s="272">
        <f>'[9]Degree Days 2020'!C27</f>
        <v>8</v>
      </c>
      <c r="D27" s="272">
        <f>'[9]Degree Days 2020'!D27</f>
        <v>-7.3000000000000007</v>
      </c>
      <c r="E27" s="272">
        <f>'[9]Degree Days 2020'!E27</f>
        <v>18</v>
      </c>
      <c r="F27" s="272">
        <f>'[9]Degree Days 2020'!F27</f>
        <v>13</v>
      </c>
      <c r="G27" s="272">
        <f>'[9]Degree Days 2020'!G27</f>
        <v>7</v>
      </c>
      <c r="H27" s="272">
        <f>'[9]Degree Days 2020'!H27</f>
        <v>-8.3000000000000007</v>
      </c>
      <c r="I27" s="272">
        <f>'[9]Degree Days 2020'!I27</f>
        <v>18</v>
      </c>
      <c r="J27" s="272">
        <f>'[9]Degree Days 2020'!J27</f>
        <v>20</v>
      </c>
      <c r="K27" s="272">
        <f>'[9]Degree Days 2020'!K27</f>
        <v>15</v>
      </c>
      <c r="L27" s="272">
        <f>'[9]Degree Days 2020'!L27</f>
        <v>-0.80000000000000071</v>
      </c>
      <c r="M27" s="272">
        <f>'[15]Degree Days 2020'!M27</f>
        <v>18</v>
      </c>
      <c r="N27" s="272">
        <f>'[11]General information '!B23</f>
        <v>32</v>
      </c>
      <c r="O27" s="272">
        <f>'[11]General information '!C23</f>
        <v>19</v>
      </c>
      <c r="P27" s="272">
        <f t="shared" si="0"/>
        <v>7.1999999999999993</v>
      </c>
      <c r="Q27" s="527">
        <v>18</v>
      </c>
      <c r="R27" s="272">
        <f>'[2]Degree Days 2020'!R27</f>
        <v>32</v>
      </c>
      <c r="S27" s="272">
        <f>'[2]Degree Days 2020'!S27</f>
        <v>14</v>
      </c>
      <c r="T27" s="272">
        <f t="shared" si="1"/>
        <v>4.6999999999999993</v>
      </c>
      <c r="U27" s="527">
        <v>18</v>
      </c>
      <c r="V27" s="272">
        <f>'General information '!B23</f>
        <v>0</v>
      </c>
      <c r="W27" s="272">
        <f>'General information '!C23</f>
        <v>0</v>
      </c>
      <c r="X27" s="272">
        <f t="shared" si="2"/>
        <v>-18.3</v>
      </c>
    </row>
    <row r="28" spans="1:28">
      <c r="A28" s="117">
        <v>19</v>
      </c>
      <c r="B28" s="272">
        <f>'[9]Degree Days 2020'!B28</f>
        <v>17</v>
      </c>
      <c r="C28" s="272">
        <f>'[9]Degree Days 2020'!C28</f>
        <v>10</v>
      </c>
      <c r="D28" s="272">
        <f>'[9]Degree Days 2020'!D28</f>
        <v>-4.8000000000000007</v>
      </c>
      <c r="E28" s="272">
        <f>'[9]Degree Days 2020'!E28</f>
        <v>19</v>
      </c>
      <c r="F28" s="272">
        <f>'[9]Degree Days 2020'!F28</f>
        <v>14</v>
      </c>
      <c r="G28" s="272">
        <f>'[9]Degree Days 2020'!G28</f>
        <v>7</v>
      </c>
      <c r="H28" s="272">
        <f>'[9]Degree Days 2020'!H28</f>
        <v>-7.8000000000000007</v>
      </c>
      <c r="I28" s="272">
        <f>'[9]Degree Days 2020'!I28</f>
        <v>19</v>
      </c>
      <c r="J28" s="272">
        <f>'[9]Degree Days 2020'!J28</f>
        <v>19</v>
      </c>
      <c r="K28" s="272">
        <f>'[9]Degree Days 2020'!K28</f>
        <v>17</v>
      </c>
      <c r="L28" s="272">
        <f>'[9]Degree Days 2020'!L28</f>
        <v>-0.30000000000000071</v>
      </c>
      <c r="M28" s="272">
        <f>'[15]Degree Days 2020'!M28</f>
        <v>19</v>
      </c>
      <c r="N28" s="272">
        <f>'[11]General information '!B24</f>
        <v>33</v>
      </c>
      <c r="O28" s="272">
        <f>'[11]General information '!C24</f>
        <v>24</v>
      </c>
      <c r="P28" s="272">
        <f t="shared" si="0"/>
        <v>10.199999999999999</v>
      </c>
      <c r="Q28" s="527">
        <v>19</v>
      </c>
      <c r="R28" s="272">
        <f>'[2]Degree Days 2020'!R28</f>
        <v>26</v>
      </c>
      <c r="S28" s="272">
        <f>'[2]Degree Days 2020'!S28</f>
        <v>20</v>
      </c>
      <c r="T28" s="272">
        <f t="shared" si="1"/>
        <v>4.6999999999999993</v>
      </c>
      <c r="U28" s="527">
        <v>19</v>
      </c>
      <c r="V28" s="272">
        <f>'General information '!B24</f>
        <v>0</v>
      </c>
      <c r="W28" s="272">
        <f>'General information '!C24</f>
        <v>0</v>
      </c>
      <c r="X28" s="272">
        <f t="shared" si="2"/>
        <v>-18.3</v>
      </c>
    </row>
    <row r="29" spans="1:28">
      <c r="A29" s="117">
        <v>20</v>
      </c>
      <c r="B29" s="272">
        <f>'[9]Degree Days 2020'!B29</f>
        <v>17</v>
      </c>
      <c r="C29" s="272">
        <f>'[9]Degree Days 2020'!C29</f>
        <v>10</v>
      </c>
      <c r="D29" s="272">
        <f>'[9]Degree Days 2020'!D29</f>
        <v>-4.8000000000000007</v>
      </c>
      <c r="E29" s="272">
        <f>'[9]Degree Days 2020'!E29</f>
        <v>20</v>
      </c>
      <c r="F29" s="272">
        <f>'[9]Degree Days 2020'!F29</f>
        <v>19</v>
      </c>
      <c r="G29" s="272">
        <f>'[9]Degree Days 2020'!G29</f>
        <v>14</v>
      </c>
      <c r="H29" s="272">
        <f>'[9]Degree Days 2020'!H29</f>
        <v>-1.8000000000000007</v>
      </c>
      <c r="I29" s="272">
        <f>'[9]Degree Days 2020'!I29</f>
        <v>20</v>
      </c>
      <c r="J29" s="272">
        <f>'[9]Degree Days 2020'!J29</f>
        <v>21</v>
      </c>
      <c r="K29" s="272">
        <f>'[9]Degree Days 2020'!K29</f>
        <v>18</v>
      </c>
      <c r="L29" s="272">
        <f>'[9]Degree Days 2020'!L29</f>
        <v>1.1999999999999993</v>
      </c>
      <c r="M29" s="272">
        <f>'[15]Degree Days 2020'!M29</f>
        <v>20</v>
      </c>
      <c r="N29" s="272">
        <f>'[11]General information '!B25</f>
        <v>22</v>
      </c>
      <c r="O29" s="272">
        <f>'[11]General information '!C25</f>
        <v>15</v>
      </c>
      <c r="P29" s="272">
        <f t="shared" si="0"/>
        <v>0.19999999999999929</v>
      </c>
      <c r="Q29" s="527">
        <v>20</v>
      </c>
      <c r="R29" s="272">
        <f>'[2]Degree Days 2020'!R29</f>
        <v>26</v>
      </c>
      <c r="S29" s="272">
        <f>'[2]Degree Days 2020'!S29</f>
        <v>21</v>
      </c>
      <c r="T29" s="272">
        <f t="shared" si="1"/>
        <v>5.1999999999999993</v>
      </c>
      <c r="U29" s="527">
        <v>20</v>
      </c>
      <c r="V29" s="272">
        <f>'General information '!B25</f>
        <v>0</v>
      </c>
      <c r="W29" s="272">
        <f>'General information '!C25</f>
        <v>0</v>
      </c>
      <c r="X29" s="272">
        <f t="shared" si="2"/>
        <v>-18.3</v>
      </c>
    </row>
    <row r="30" spans="1:28">
      <c r="A30" s="117">
        <v>21</v>
      </c>
      <c r="B30" s="272">
        <f>'[9]Degree Days 2020'!B30</f>
        <v>16</v>
      </c>
      <c r="C30" s="272">
        <f>'[9]Degree Days 2020'!C30</f>
        <v>9</v>
      </c>
      <c r="D30" s="272">
        <f>'[9]Degree Days 2020'!D30</f>
        <v>-5.8000000000000007</v>
      </c>
      <c r="E30" s="272">
        <f>'[9]Degree Days 2020'!E30</f>
        <v>21</v>
      </c>
      <c r="F30" s="272">
        <f>'[9]Degree Days 2020'!F30</f>
        <v>18</v>
      </c>
      <c r="G30" s="272">
        <f>'[9]Degree Days 2020'!G30</f>
        <v>13</v>
      </c>
      <c r="H30" s="272">
        <f>'[9]Degree Days 2020'!H30</f>
        <v>-2.8000000000000007</v>
      </c>
      <c r="I30" s="272">
        <f>'[9]Degree Days 2020'!I30</f>
        <v>21</v>
      </c>
      <c r="J30" s="272">
        <f>'[9]Degree Days 2020'!J30</f>
        <v>23</v>
      </c>
      <c r="K30" s="272">
        <f>'[9]Degree Days 2020'!K30</f>
        <v>14</v>
      </c>
      <c r="L30" s="272">
        <f>'[9]Degree Days 2020'!L30</f>
        <v>0.19999999999999929</v>
      </c>
      <c r="M30" s="272">
        <f>'[15]Degree Days 2020'!M30</f>
        <v>21</v>
      </c>
      <c r="N30" s="272">
        <f>'[11]General information '!B26</f>
        <v>21</v>
      </c>
      <c r="O30" s="272">
        <f>'[11]General information '!C26</f>
        <v>17</v>
      </c>
      <c r="P30" s="272">
        <f t="shared" si="0"/>
        <v>0.69999999999999929</v>
      </c>
      <c r="Q30" s="527">
        <v>21</v>
      </c>
      <c r="R30" s="272">
        <f>'[2]Degree Days 2020'!R30</f>
        <v>25</v>
      </c>
      <c r="S30" s="272">
        <f>'[2]Degree Days 2020'!S30</f>
        <v>24</v>
      </c>
      <c r="T30" s="272">
        <f t="shared" si="1"/>
        <v>6.1999999999999993</v>
      </c>
      <c r="U30" s="527">
        <v>21</v>
      </c>
      <c r="V30" s="272">
        <f>'General information '!B26</f>
        <v>0</v>
      </c>
      <c r="W30" s="272">
        <f>'General information '!C26</f>
        <v>0</v>
      </c>
      <c r="X30" s="272">
        <f t="shared" si="2"/>
        <v>-18.3</v>
      </c>
    </row>
    <row r="31" spans="1:28">
      <c r="A31" s="117">
        <v>22</v>
      </c>
      <c r="B31" s="272">
        <f>'[9]Degree Days 2020'!B31</f>
        <v>17</v>
      </c>
      <c r="C31" s="272">
        <f>'[9]Degree Days 2020'!C31</f>
        <v>10</v>
      </c>
      <c r="D31" s="272">
        <f>'[9]Degree Days 2020'!D31</f>
        <v>-4.8000000000000007</v>
      </c>
      <c r="E31" s="272">
        <f>'[9]Degree Days 2020'!E31</f>
        <v>22</v>
      </c>
      <c r="F31" s="272">
        <f>'[9]Degree Days 2020'!F31</f>
        <v>21</v>
      </c>
      <c r="G31" s="272">
        <f>'[9]Degree Days 2020'!G31</f>
        <v>12</v>
      </c>
      <c r="H31" s="272">
        <f>'[9]Degree Days 2020'!H31</f>
        <v>-1.8000000000000007</v>
      </c>
      <c r="I31" s="272">
        <f>'[9]Degree Days 2020'!I31</f>
        <v>22</v>
      </c>
      <c r="J31" s="272">
        <f>'[9]Degree Days 2020'!J31</f>
        <v>26</v>
      </c>
      <c r="K31" s="272">
        <f>'[9]Degree Days 2020'!K31</f>
        <v>14</v>
      </c>
      <c r="L31" s="272">
        <f>'[9]Degree Days 2020'!L31</f>
        <v>1.6999999999999993</v>
      </c>
      <c r="M31" s="272">
        <f>'[15]Degree Days 2020'!M31</f>
        <v>22</v>
      </c>
      <c r="N31" s="272">
        <f>'[11]General information '!B27</f>
        <v>21</v>
      </c>
      <c r="O31" s="272">
        <f>'[11]General information '!C27</f>
        <v>18</v>
      </c>
      <c r="P31" s="272">
        <f t="shared" si="0"/>
        <v>1.1999999999999993</v>
      </c>
      <c r="Q31" s="527">
        <v>22</v>
      </c>
      <c r="R31" s="272">
        <f>'[2]Degree Days 2020'!R31</f>
        <v>26</v>
      </c>
      <c r="S31" s="272">
        <f>'[2]Degree Days 2020'!S31</f>
        <v>23</v>
      </c>
      <c r="T31" s="272">
        <f t="shared" si="1"/>
        <v>6.1999999999999993</v>
      </c>
      <c r="U31" s="527">
        <v>22</v>
      </c>
      <c r="V31" s="272">
        <f>'General information '!B27</f>
        <v>0</v>
      </c>
      <c r="W31" s="272">
        <f>'General information '!C27</f>
        <v>0</v>
      </c>
      <c r="X31" s="272">
        <f t="shared" si="2"/>
        <v>-18.3</v>
      </c>
    </row>
    <row r="32" spans="1:28">
      <c r="A32" s="117">
        <v>23</v>
      </c>
      <c r="B32" s="272">
        <f>'[9]Degree Days 2020'!B32</f>
        <v>18</v>
      </c>
      <c r="C32" s="272">
        <f>'[9]Degree Days 2020'!C32</f>
        <v>12</v>
      </c>
      <c r="D32" s="272">
        <f>'[9]Degree Days 2020'!D32</f>
        <v>-3.3000000000000007</v>
      </c>
      <c r="E32" s="272">
        <f>'[9]Degree Days 2020'!E32</f>
        <v>23</v>
      </c>
      <c r="F32" s="272">
        <f>'[9]Degree Days 2020'!F32</f>
        <v>19</v>
      </c>
      <c r="G32" s="272">
        <f>'[9]Degree Days 2020'!G32</f>
        <v>13</v>
      </c>
      <c r="H32" s="272">
        <f>'[9]Degree Days 2020'!H32</f>
        <v>-2.3000000000000007</v>
      </c>
      <c r="I32" s="272">
        <f>'[9]Degree Days 2020'!I32</f>
        <v>23</v>
      </c>
      <c r="J32" s="272">
        <f>'[9]Degree Days 2020'!J32</f>
        <v>33</v>
      </c>
      <c r="K32" s="272">
        <f>'[9]Degree Days 2020'!K32</f>
        <v>17</v>
      </c>
      <c r="L32" s="272">
        <f>'[9]Degree Days 2020'!L32</f>
        <v>6.6999999999999993</v>
      </c>
      <c r="M32" s="272">
        <f>'[15]Degree Days 2020'!M32</f>
        <v>23</v>
      </c>
      <c r="N32" s="272">
        <f>'[11]General information '!B28</f>
        <v>20</v>
      </c>
      <c r="O32" s="272">
        <f>'[11]General information '!C28</f>
        <v>18</v>
      </c>
      <c r="P32" s="272">
        <f t="shared" si="0"/>
        <v>0.69999999999999929</v>
      </c>
      <c r="Q32" s="527">
        <v>23</v>
      </c>
      <c r="R32" s="272">
        <f>'[2]Degree Days 2020'!R32</f>
        <v>25</v>
      </c>
      <c r="S32" s="272">
        <f>'[2]Degree Days 2020'!S32</f>
        <v>22</v>
      </c>
      <c r="T32" s="272">
        <f t="shared" si="1"/>
        <v>5.1999999999999993</v>
      </c>
      <c r="U32" s="527">
        <v>23</v>
      </c>
      <c r="V32" s="272">
        <f>'General information '!B28</f>
        <v>0</v>
      </c>
      <c r="W32" s="272">
        <f>'General information '!C28</f>
        <v>0</v>
      </c>
      <c r="X32" s="272">
        <f t="shared" si="2"/>
        <v>-18.3</v>
      </c>
    </row>
    <row r="33" spans="1:24">
      <c r="A33" s="117">
        <v>24</v>
      </c>
      <c r="B33" s="272">
        <f>'[9]Degree Days 2020'!B33</f>
        <v>17</v>
      </c>
      <c r="C33" s="272">
        <f>'[9]Degree Days 2020'!C33</f>
        <v>11</v>
      </c>
      <c r="D33" s="272">
        <f>'[9]Degree Days 2020'!D33</f>
        <v>-4.3000000000000007</v>
      </c>
      <c r="E33" s="272">
        <f>'[9]Degree Days 2020'!E33</f>
        <v>24</v>
      </c>
      <c r="F33" s="272">
        <f>'[9]Degree Days 2020'!F33</f>
        <v>19</v>
      </c>
      <c r="G33" s="272">
        <f>'[9]Degree Days 2020'!G33</f>
        <v>12</v>
      </c>
      <c r="H33" s="272">
        <f>'[9]Degree Days 2020'!H33</f>
        <v>-2.8000000000000007</v>
      </c>
      <c r="I33" s="272">
        <f>'[9]Degree Days 2020'!I33</f>
        <v>24</v>
      </c>
      <c r="J33" s="272">
        <f>'[9]Degree Days 2020'!J33</f>
        <v>15</v>
      </c>
      <c r="K33" s="272">
        <f>'[9]Degree Days 2020'!K33</f>
        <v>12</v>
      </c>
      <c r="L33" s="272">
        <f>'[9]Degree Days 2020'!L33</f>
        <v>-4.8000000000000007</v>
      </c>
      <c r="M33" s="272">
        <f>'[15]Degree Days 2020'!M33</f>
        <v>24</v>
      </c>
      <c r="N33" s="272">
        <f>'[11]General information '!B29</f>
        <v>24</v>
      </c>
      <c r="O33" s="272">
        <f>'[11]General information '!C29</f>
        <v>18</v>
      </c>
      <c r="P33" s="272">
        <f t="shared" si="0"/>
        <v>2.6999999999999993</v>
      </c>
      <c r="Q33" s="527">
        <v>24</v>
      </c>
      <c r="R33" s="272">
        <f>'[2]Degree Days 2020'!R33</f>
        <v>26</v>
      </c>
      <c r="S33" s="272">
        <f>'[2]Degree Days 2020'!S33</f>
        <v>23</v>
      </c>
      <c r="T33" s="272">
        <f t="shared" si="1"/>
        <v>6.1999999999999993</v>
      </c>
      <c r="U33" s="527">
        <v>24</v>
      </c>
      <c r="V33" s="272">
        <f>'General information '!B29</f>
        <v>0</v>
      </c>
      <c r="W33" s="272">
        <f>'General information '!C29</f>
        <v>0</v>
      </c>
      <c r="X33" s="272">
        <f t="shared" si="2"/>
        <v>-18.3</v>
      </c>
    </row>
    <row r="34" spans="1:24">
      <c r="A34" s="117">
        <v>25</v>
      </c>
      <c r="B34" s="272">
        <f>'[9]Degree Days 2020'!B34</f>
        <v>21</v>
      </c>
      <c r="C34" s="272">
        <f>'[9]Degree Days 2020'!C34</f>
        <v>12</v>
      </c>
      <c r="D34" s="272">
        <f>'[9]Degree Days 2020'!D34</f>
        <v>-1.8000000000000007</v>
      </c>
      <c r="E34" s="272">
        <f>'[9]Degree Days 2020'!E34</f>
        <v>25</v>
      </c>
      <c r="F34" s="272">
        <f>'[9]Degree Days 2020'!F34</f>
        <v>18</v>
      </c>
      <c r="G34" s="272">
        <f>'[9]Degree Days 2020'!G34</f>
        <v>13</v>
      </c>
      <c r="H34" s="272">
        <f>'[9]Degree Days 2020'!H34</f>
        <v>-2.8000000000000007</v>
      </c>
      <c r="I34" s="272">
        <f>'[9]Degree Days 2020'!I34</f>
        <v>25</v>
      </c>
      <c r="J34" s="272">
        <f>'[9]Degree Days 2020'!J34</f>
        <v>15</v>
      </c>
      <c r="K34" s="272">
        <f>'[9]Degree Days 2020'!K34</f>
        <v>12</v>
      </c>
      <c r="L34" s="272">
        <f>'[9]Degree Days 2020'!L34</f>
        <v>-4.8000000000000007</v>
      </c>
      <c r="M34" s="272">
        <f>'[15]Degree Days 2020'!M34</f>
        <v>25</v>
      </c>
      <c r="N34" s="272">
        <f>'[11]General information '!B30</f>
        <v>23</v>
      </c>
      <c r="O34" s="272">
        <f>'[11]General information '!C30</f>
        <v>18</v>
      </c>
      <c r="P34" s="272">
        <f t="shared" si="0"/>
        <v>2.1999999999999993</v>
      </c>
      <c r="Q34" s="527">
        <v>25</v>
      </c>
      <c r="R34" s="272">
        <f>'[2]Degree Days 2020'!R34</f>
        <v>27</v>
      </c>
      <c r="S34" s="272">
        <f>'[2]Degree Days 2020'!S34</f>
        <v>22</v>
      </c>
      <c r="T34" s="272">
        <f t="shared" si="1"/>
        <v>6.1999999999999993</v>
      </c>
      <c r="U34" s="527">
        <v>25</v>
      </c>
      <c r="V34" s="272">
        <f>'General information '!B30</f>
        <v>0</v>
      </c>
      <c r="W34" s="272">
        <f>'General information '!C30</f>
        <v>0</v>
      </c>
      <c r="X34" s="272">
        <f t="shared" si="2"/>
        <v>-18.3</v>
      </c>
    </row>
    <row r="35" spans="1:24">
      <c r="A35" s="117">
        <v>26</v>
      </c>
      <c r="B35" s="272">
        <f>'[9]Degree Days 2020'!B35</f>
        <v>18</v>
      </c>
      <c r="C35" s="272">
        <f>'[9]Degree Days 2020'!C35</f>
        <v>11</v>
      </c>
      <c r="D35" s="272">
        <f>'[9]Degree Days 2020'!D35</f>
        <v>-3.8000000000000007</v>
      </c>
      <c r="E35" s="272">
        <f>'[9]Degree Days 2020'!E35</f>
        <v>26</v>
      </c>
      <c r="F35" s="272">
        <f>'[9]Degree Days 2020'!F35</f>
        <v>18</v>
      </c>
      <c r="G35" s="272">
        <f>'[9]Degree Days 2020'!G35</f>
        <v>13</v>
      </c>
      <c r="H35" s="272">
        <f>'[9]Degree Days 2020'!H35</f>
        <v>-2.8000000000000007</v>
      </c>
      <c r="I35" s="272">
        <f>'[9]Degree Days 2020'!I35</f>
        <v>26</v>
      </c>
      <c r="J35" s="272">
        <f>'[9]Degree Days 2020'!J35</f>
        <v>16</v>
      </c>
      <c r="K35" s="272">
        <f>'[9]Degree Days 2020'!K35</f>
        <v>10</v>
      </c>
      <c r="L35" s="272">
        <f>'[9]Degree Days 2020'!L35</f>
        <v>-5.3000000000000007</v>
      </c>
      <c r="M35" s="272">
        <f>'[15]Degree Days 2020'!M35</f>
        <v>26</v>
      </c>
      <c r="N35" s="272">
        <f>'[11]General information '!B31</f>
        <v>22</v>
      </c>
      <c r="O35" s="272">
        <f>'[11]General information '!C31</f>
        <v>16</v>
      </c>
      <c r="P35" s="272">
        <f t="shared" si="0"/>
        <v>0.69999999999999929</v>
      </c>
      <c r="Q35" s="527">
        <v>26</v>
      </c>
      <c r="R35" s="272">
        <f>'[2]Degree Days 2020'!R35</f>
        <v>26</v>
      </c>
      <c r="S35" s="272">
        <f>'[2]Degree Days 2020'!S35</f>
        <v>23</v>
      </c>
      <c r="T35" s="272">
        <f t="shared" si="1"/>
        <v>6.1999999999999993</v>
      </c>
      <c r="U35" s="527">
        <v>26</v>
      </c>
      <c r="V35" s="272">
        <f>'General information '!B31</f>
        <v>0</v>
      </c>
      <c r="W35" s="272">
        <f>'General information '!C31</f>
        <v>0</v>
      </c>
      <c r="X35" s="272">
        <f t="shared" si="2"/>
        <v>-18.3</v>
      </c>
    </row>
    <row r="36" spans="1:24">
      <c r="A36" s="117">
        <v>27</v>
      </c>
      <c r="B36" s="272">
        <f>'[9]Degree Days 2020'!B36</f>
        <v>14</v>
      </c>
      <c r="C36" s="272">
        <f>'[9]Degree Days 2020'!C36</f>
        <v>10</v>
      </c>
      <c r="D36" s="272">
        <f>'[9]Degree Days 2020'!D36</f>
        <v>-6.3000000000000007</v>
      </c>
      <c r="E36" s="272">
        <f>'[9]Degree Days 2020'!E36</f>
        <v>27</v>
      </c>
      <c r="F36" s="272">
        <f>'[9]Degree Days 2020'!F36</f>
        <v>18</v>
      </c>
      <c r="G36" s="272">
        <f>'[9]Degree Days 2020'!G36</f>
        <v>13</v>
      </c>
      <c r="H36" s="272">
        <f>'[9]Degree Days 2020'!H36</f>
        <v>-2.8000000000000007</v>
      </c>
      <c r="I36" s="272">
        <f>'[9]Degree Days 2020'!I36</f>
        <v>27</v>
      </c>
      <c r="J36" s="272">
        <f>'[9]Degree Days 2020'!J36</f>
        <v>17</v>
      </c>
      <c r="K36" s="272">
        <f>'[9]Degree Days 2020'!K36</f>
        <v>11</v>
      </c>
      <c r="L36" s="272">
        <f>'[9]Degree Days 2020'!L36</f>
        <v>-4.3000000000000007</v>
      </c>
      <c r="M36" s="272">
        <f>'[15]Degree Days 2020'!M36</f>
        <v>27</v>
      </c>
      <c r="N36" s="272">
        <f>'[11]General information '!B32</f>
        <v>22</v>
      </c>
      <c r="O36" s="272">
        <f>'[11]General information '!C32</f>
        <v>18</v>
      </c>
      <c r="P36" s="272">
        <f t="shared" si="0"/>
        <v>1.6999999999999993</v>
      </c>
      <c r="Q36" s="527">
        <v>27</v>
      </c>
      <c r="R36" s="272">
        <f>'[2]Degree Days 2020'!R36</f>
        <v>25</v>
      </c>
      <c r="S36" s="272">
        <f>'[2]Degree Days 2020'!S36</f>
        <v>22</v>
      </c>
      <c r="T36" s="272">
        <f t="shared" si="1"/>
        <v>5.1999999999999993</v>
      </c>
      <c r="U36" s="527">
        <v>27</v>
      </c>
      <c r="V36" s="272">
        <f>'General information '!B32</f>
        <v>0</v>
      </c>
      <c r="W36" s="272">
        <f>'General information '!C32</f>
        <v>0</v>
      </c>
      <c r="X36" s="272">
        <f t="shared" si="2"/>
        <v>-18.3</v>
      </c>
    </row>
    <row r="37" spans="1:24">
      <c r="A37" s="117">
        <v>28</v>
      </c>
      <c r="B37" s="272">
        <f>'[9]Degree Days 2020'!B37</f>
        <v>14</v>
      </c>
      <c r="C37" s="272">
        <f>'[9]Degree Days 2020'!C37</f>
        <v>10</v>
      </c>
      <c r="D37" s="272">
        <f>'[9]Degree Days 2020'!D37</f>
        <v>-6.3000000000000007</v>
      </c>
      <c r="E37" s="272">
        <f>'[9]Degree Days 2020'!E37</f>
        <v>28</v>
      </c>
      <c r="F37" s="272">
        <f>'[9]Degree Days 2020'!F37</f>
        <v>17</v>
      </c>
      <c r="G37" s="272">
        <f>'[9]Degree Days 2020'!G37</f>
        <v>13</v>
      </c>
      <c r="H37" s="272">
        <f>'[9]Degree Days 2020'!H37</f>
        <v>-3.3000000000000007</v>
      </c>
      <c r="I37" s="272">
        <f>'[9]Degree Days 2020'!I37</f>
        <v>28</v>
      </c>
      <c r="J37" s="272">
        <f>'[9]Degree Days 2020'!J37</f>
        <v>17</v>
      </c>
      <c r="K37" s="272">
        <f>'[9]Degree Days 2020'!K37</f>
        <v>13</v>
      </c>
      <c r="L37" s="272">
        <f>'[9]Degree Days 2020'!L37</f>
        <v>-3.3000000000000007</v>
      </c>
      <c r="M37" s="272">
        <f>'[15]Degree Days 2020'!M37</f>
        <v>28</v>
      </c>
      <c r="N37" s="272">
        <f>'[11]General information '!B33</f>
        <v>26</v>
      </c>
      <c r="O37" s="272">
        <f>'[11]General information '!C33</f>
        <v>16</v>
      </c>
      <c r="P37" s="272">
        <f t="shared" si="0"/>
        <v>2.6999999999999993</v>
      </c>
      <c r="Q37" s="527">
        <v>28</v>
      </c>
      <c r="R37" s="272">
        <f>'[2]Degree Days 2020'!R37</f>
        <v>26</v>
      </c>
      <c r="S37" s="272">
        <f>'[2]Degree Days 2020'!S37</f>
        <v>23</v>
      </c>
      <c r="T37" s="272">
        <f t="shared" si="1"/>
        <v>6.1999999999999993</v>
      </c>
      <c r="U37" s="527">
        <v>28</v>
      </c>
      <c r="V37" s="272">
        <f>'General information '!B33</f>
        <v>0</v>
      </c>
      <c r="W37" s="272">
        <f>'General information '!C33</f>
        <v>0</v>
      </c>
      <c r="X37" s="272">
        <f t="shared" si="2"/>
        <v>-18.3</v>
      </c>
    </row>
    <row r="38" spans="1:24">
      <c r="A38" s="117">
        <v>29</v>
      </c>
      <c r="B38" s="272">
        <f>'[9]Degree Days 2020'!B38</f>
        <v>16</v>
      </c>
      <c r="C38" s="272">
        <f>'[9]Degree Days 2020'!C38</f>
        <v>12</v>
      </c>
      <c r="D38" s="272">
        <f>'[9]Degree Days 2020'!D38</f>
        <v>-4.3000000000000007</v>
      </c>
      <c r="E38" s="272"/>
      <c r="F38" s="272"/>
      <c r="G38" s="272"/>
      <c r="H38" s="272"/>
      <c r="I38" s="272">
        <f>'[9]Degree Days 2020'!I38</f>
        <v>29</v>
      </c>
      <c r="J38" s="272">
        <f>'[9]Degree Days 2020'!J38</f>
        <v>17</v>
      </c>
      <c r="K38" s="272">
        <f>'[9]Degree Days 2020'!K38</f>
        <v>14</v>
      </c>
      <c r="L38" s="272">
        <f>'[9]Degree Days 2020'!L38</f>
        <v>-2.8000000000000007</v>
      </c>
      <c r="M38" s="272">
        <f>'[15]Degree Days 2020'!M38</f>
        <v>29</v>
      </c>
      <c r="N38" s="272">
        <f>'[11]General information '!B34</f>
        <v>29</v>
      </c>
      <c r="O38" s="272">
        <f>'[11]General information '!C34</f>
        <v>18</v>
      </c>
      <c r="P38" s="272">
        <f t="shared" si="0"/>
        <v>5.1999999999999993</v>
      </c>
      <c r="Q38" s="527">
        <v>29</v>
      </c>
      <c r="R38" s="272">
        <f>'[2]Degree Days 2020'!R38</f>
        <v>27</v>
      </c>
      <c r="S38" s="272">
        <f>'[2]Degree Days 2020'!S38</f>
        <v>22</v>
      </c>
      <c r="T38" s="272">
        <f t="shared" si="1"/>
        <v>6.1999999999999993</v>
      </c>
      <c r="U38" s="527">
        <v>29</v>
      </c>
      <c r="V38" s="272">
        <f>'General information '!B34</f>
        <v>0</v>
      </c>
      <c r="W38" s="272">
        <f>'General information '!C34</f>
        <v>0</v>
      </c>
      <c r="X38" s="272">
        <f t="shared" si="2"/>
        <v>-18.3</v>
      </c>
    </row>
    <row r="39" spans="1:24">
      <c r="A39" s="117">
        <v>30</v>
      </c>
      <c r="B39" s="272">
        <f>'[9]Degree Days 2020'!B39</f>
        <v>10</v>
      </c>
      <c r="C39" s="272">
        <f>'[9]Degree Days 2020'!C39</f>
        <v>4</v>
      </c>
      <c r="D39" s="272">
        <f>'[9]Degree Days 2020'!D39</f>
        <v>-11.3</v>
      </c>
      <c r="E39" s="272"/>
      <c r="F39" s="272"/>
      <c r="G39" s="272"/>
      <c r="H39" s="272"/>
      <c r="I39" s="272">
        <f>'[9]Degree Days 2020'!I39</f>
        <v>30</v>
      </c>
      <c r="J39" s="272">
        <f>'[9]Degree Days 2020'!J39</f>
        <v>19</v>
      </c>
      <c r="K39" s="272">
        <f>'[9]Degree Days 2020'!K39</f>
        <v>13</v>
      </c>
      <c r="L39" s="272">
        <f>'[9]Degree Days 2020'!L39</f>
        <v>-2.3000000000000007</v>
      </c>
      <c r="M39" s="272">
        <f>'[15]Degree Days 2020'!M39</f>
        <v>30</v>
      </c>
      <c r="N39" s="272">
        <f>'[11]General information '!B35</f>
        <v>25</v>
      </c>
      <c r="O39" s="272">
        <f>'[11]General information '!C35</f>
        <v>21</v>
      </c>
      <c r="P39" s="272">
        <f t="shared" si="0"/>
        <v>4.6999999999999993</v>
      </c>
      <c r="Q39" s="527">
        <v>30</v>
      </c>
      <c r="R39" s="272">
        <f>'[2]Degree Days 2020'!R39</f>
        <v>27</v>
      </c>
      <c r="S39" s="272">
        <f>'[2]Degree Days 2020'!S39</f>
        <v>23</v>
      </c>
      <c r="T39" s="272">
        <f t="shared" si="1"/>
        <v>6.6999999999999993</v>
      </c>
      <c r="U39" s="527">
        <v>30</v>
      </c>
      <c r="V39" s="272">
        <f>'General information '!B35</f>
        <v>0</v>
      </c>
      <c r="W39" s="272">
        <f>'General information '!C35</f>
        <v>0</v>
      </c>
      <c r="X39" s="272">
        <f t="shared" si="2"/>
        <v>-18.3</v>
      </c>
    </row>
    <row r="40" spans="1:24">
      <c r="A40" s="117">
        <v>31</v>
      </c>
      <c r="B40" s="272">
        <f>'[9]Degree Days 2020'!B40</f>
        <v>21</v>
      </c>
      <c r="C40" s="272">
        <f>'[9]Degree Days 2020'!C40</f>
        <v>16</v>
      </c>
      <c r="D40" s="272">
        <f>'[9]Degree Days 2020'!D40</f>
        <v>0.19999999999999929</v>
      </c>
      <c r="E40" s="272"/>
      <c r="F40" s="272"/>
      <c r="G40" s="272"/>
      <c r="H40" s="272"/>
      <c r="I40" s="272">
        <f>'[9]Degree Days 2020'!I40</f>
        <v>31</v>
      </c>
      <c r="J40" s="272">
        <f>'[9]Degree Days 2020'!J40</f>
        <v>18</v>
      </c>
      <c r="K40" s="272">
        <f>'[9]Degree Days 2020'!K40</f>
        <v>13</v>
      </c>
      <c r="L40" s="272">
        <f>'[9]Degree Days 2020'!L40</f>
        <v>-2.8000000000000007</v>
      </c>
      <c r="M40" s="272"/>
      <c r="N40" s="272"/>
      <c r="O40" s="272"/>
      <c r="P40" s="272"/>
      <c r="Q40" s="527">
        <v>31</v>
      </c>
      <c r="R40" s="272">
        <f>'[2]Degree Days 2020'!R40</f>
        <v>27</v>
      </c>
      <c r="S40" s="272">
        <f>'[2]Degree Days 2020'!S40</f>
        <v>24</v>
      </c>
      <c r="T40" s="272">
        <f t="shared" si="1"/>
        <v>7.1999999999999993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-530.70000000000016</v>
      </c>
      <c r="W43" s="119">
        <f>SUMIF(X10:X39,"&gt;0")</f>
        <v>5.6999999999999993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3">(B48+C48)/2-18.3</f>
        <v>-18.3</v>
      </c>
      <c r="E48" s="117">
        <v>1</v>
      </c>
      <c r="F48" s="272"/>
      <c r="G48" s="272"/>
      <c r="H48" s="119">
        <f t="shared" ref="H48:H78" si="4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5">(V48+W48)/2-18.3</f>
        <v>-18.3</v>
      </c>
    </row>
    <row r="49" spans="1:24">
      <c r="A49" s="117">
        <v>2</v>
      </c>
      <c r="B49" s="272"/>
      <c r="C49" s="272"/>
      <c r="D49" s="119">
        <f t="shared" si="3"/>
        <v>-18.3</v>
      </c>
      <c r="E49" s="117">
        <v>2</v>
      </c>
      <c r="F49" s="272"/>
      <c r="G49" s="272"/>
      <c r="H49" s="119">
        <f t="shared" si="4"/>
        <v>-18.3</v>
      </c>
      <c r="I49" s="117">
        <v>2</v>
      </c>
      <c r="J49" s="272"/>
      <c r="K49" s="272"/>
      <c r="L49" s="119">
        <f t="shared" ref="L49:L77" si="6">(J49+K49)/2-18.3</f>
        <v>-18.3</v>
      </c>
      <c r="M49" s="117">
        <v>2</v>
      </c>
      <c r="N49" s="272"/>
      <c r="O49" s="272"/>
      <c r="P49" s="119">
        <f t="shared" ref="P49:P78" si="7">(N49+O49)/2-18.3</f>
        <v>-18.3</v>
      </c>
      <c r="Q49" s="117">
        <v>2</v>
      </c>
      <c r="R49" s="272"/>
      <c r="S49" s="272"/>
      <c r="T49" s="119">
        <f t="shared" ref="T49:T77" si="8">(R49+S49)/2-18.3</f>
        <v>-18.3</v>
      </c>
      <c r="U49" s="117">
        <v>2</v>
      </c>
      <c r="V49" s="272"/>
      <c r="W49" s="272"/>
      <c r="X49" s="119">
        <f t="shared" si="5"/>
        <v>-18.3</v>
      </c>
    </row>
    <row r="50" spans="1:24">
      <c r="A50" s="117">
        <v>3</v>
      </c>
      <c r="B50" s="272"/>
      <c r="C50" s="272"/>
      <c r="D50" s="119">
        <f t="shared" si="3"/>
        <v>-18.3</v>
      </c>
      <c r="E50" s="117">
        <v>3</v>
      </c>
      <c r="F50" s="272"/>
      <c r="G50" s="272"/>
      <c r="H50" s="119">
        <f t="shared" si="4"/>
        <v>-18.3</v>
      </c>
      <c r="I50" s="117">
        <v>3</v>
      </c>
      <c r="J50" s="272"/>
      <c r="K50" s="272"/>
      <c r="L50" s="119">
        <f t="shared" si="6"/>
        <v>-18.3</v>
      </c>
      <c r="M50" s="117">
        <v>3</v>
      </c>
      <c r="N50" s="272"/>
      <c r="O50" s="272"/>
      <c r="P50" s="119">
        <f t="shared" si="7"/>
        <v>-18.3</v>
      </c>
      <c r="Q50" s="117">
        <v>3</v>
      </c>
      <c r="R50" s="272"/>
      <c r="S50" s="272"/>
      <c r="T50" s="119">
        <f t="shared" si="8"/>
        <v>-18.3</v>
      </c>
      <c r="U50" s="117">
        <v>3</v>
      </c>
      <c r="V50" s="272"/>
      <c r="W50" s="272"/>
      <c r="X50" s="119">
        <f t="shared" si="5"/>
        <v>-18.3</v>
      </c>
    </row>
    <row r="51" spans="1:24">
      <c r="A51" s="117">
        <v>4</v>
      </c>
      <c r="B51" s="272"/>
      <c r="C51" s="272"/>
      <c r="D51" s="119">
        <f t="shared" si="3"/>
        <v>-18.3</v>
      </c>
      <c r="E51" s="117">
        <v>4</v>
      </c>
      <c r="F51" s="272"/>
      <c r="G51" s="272"/>
      <c r="H51" s="119">
        <f t="shared" si="4"/>
        <v>-18.3</v>
      </c>
      <c r="I51" s="117">
        <v>4</v>
      </c>
      <c r="J51" s="272"/>
      <c r="K51" s="272"/>
      <c r="L51" s="119">
        <f t="shared" si="6"/>
        <v>-18.3</v>
      </c>
      <c r="M51" s="117">
        <v>4</v>
      </c>
      <c r="N51" s="272"/>
      <c r="O51" s="272"/>
      <c r="P51" s="119">
        <f t="shared" si="7"/>
        <v>-18.3</v>
      </c>
      <c r="Q51" s="117">
        <v>4</v>
      </c>
      <c r="R51" s="272"/>
      <c r="S51" s="272"/>
      <c r="T51" s="119">
        <f t="shared" si="8"/>
        <v>-18.3</v>
      </c>
      <c r="U51" s="117">
        <v>4</v>
      </c>
      <c r="V51" s="272"/>
      <c r="W51" s="272"/>
      <c r="X51" s="119">
        <f t="shared" si="5"/>
        <v>-18.3</v>
      </c>
    </row>
    <row r="52" spans="1:24">
      <c r="A52" s="117">
        <v>5</v>
      </c>
      <c r="B52" s="272"/>
      <c r="C52" s="272"/>
      <c r="D52" s="119">
        <f t="shared" si="3"/>
        <v>-18.3</v>
      </c>
      <c r="E52" s="117">
        <v>5</v>
      </c>
      <c r="F52" s="272"/>
      <c r="G52" s="272"/>
      <c r="H52" s="119">
        <f t="shared" si="4"/>
        <v>-18.3</v>
      </c>
      <c r="I52" s="117">
        <v>5</v>
      </c>
      <c r="J52" s="272"/>
      <c r="K52" s="272"/>
      <c r="L52" s="119">
        <f t="shared" si="6"/>
        <v>-18.3</v>
      </c>
      <c r="M52" s="117">
        <v>5</v>
      </c>
      <c r="N52" s="272"/>
      <c r="O52" s="272"/>
      <c r="P52" s="119">
        <f t="shared" si="7"/>
        <v>-18.3</v>
      </c>
      <c r="Q52" s="117">
        <v>5</v>
      </c>
      <c r="R52" s="272"/>
      <c r="S52" s="272"/>
      <c r="T52" s="119">
        <f t="shared" si="8"/>
        <v>-18.3</v>
      </c>
      <c r="U52" s="117">
        <v>5</v>
      </c>
      <c r="V52" s="272"/>
      <c r="W52" s="272"/>
      <c r="X52" s="119">
        <f t="shared" si="5"/>
        <v>-18.3</v>
      </c>
    </row>
    <row r="53" spans="1:24">
      <c r="A53" s="117">
        <v>6</v>
      </c>
      <c r="B53" s="272"/>
      <c r="C53" s="272"/>
      <c r="D53" s="119">
        <f t="shared" si="3"/>
        <v>-18.3</v>
      </c>
      <c r="E53" s="117">
        <v>6</v>
      </c>
      <c r="F53" s="272"/>
      <c r="G53" s="272"/>
      <c r="H53" s="119">
        <f t="shared" si="4"/>
        <v>-18.3</v>
      </c>
      <c r="I53" s="117">
        <v>6</v>
      </c>
      <c r="J53" s="272"/>
      <c r="K53" s="272"/>
      <c r="L53" s="119">
        <f t="shared" si="6"/>
        <v>-18.3</v>
      </c>
      <c r="M53" s="117">
        <v>6</v>
      </c>
      <c r="N53" s="272"/>
      <c r="O53" s="272"/>
      <c r="P53" s="119">
        <f t="shared" si="7"/>
        <v>-18.3</v>
      </c>
      <c r="Q53" s="117">
        <v>6</v>
      </c>
      <c r="R53" s="272"/>
      <c r="S53" s="272"/>
      <c r="T53" s="119">
        <f t="shared" si="8"/>
        <v>-18.3</v>
      </c>
      <c r="U53" s="117">
        <v>6</v>
      </c>
      <c r="V53" s="272"/>
      <c r="W53" s="272"/>
      <c r="X53" s="119">
        <f t="shared" si="5"/>
        <v>-18.3</v>
      </c>
    </row>
    <row r="54" spans="1:24">
      <c r="A54" s="117">
        <v>7</v>
      </c>
      <c r="B54" s="272"/>
      <c r="C54" s="272"/>
      <c r="D54" s="119">
        <f t="shared" si="3"/>
        <v>-18.3</v>
      </c>
      <c r="E54" s="117">
        <v>7</v>
      </c>
      <c r="F54" s="272"/>
      <c r="G54" s="272"/>
      <c r="H54" s="119">
        <f t="shared" si="4"/>
        <v>-18.3</v>
      </c>
      <c r="I54" s="117">
        <v>7</v>
      </c>
      <c r="J54" s="272"/>
      <c r="K54" s="272"/>
      <c r="L54" s="119">
        <f t="shared" si="6"/>
        <v>-18.3</v>
      </c>
      <c r="M54" s="117">
        <v>7</v>
      </c>
      <c r="N54" s="272"/>
      <c r="O54" s="272"/>
      <c r="P54" s="119">
        <f t="shared" si="7"/>
        <v>-18.3</v>
      </c>
      <c r="Q54" s="117">
        <v>7</v>
      </c>
      <c r="R54" s="272"/>
      <c r="S54" s="272"/>
      <c r="T54" s="119">
        <f t="shared" si="8"/>
        <v>-18.3</v>
      </c>
      <c r="U54" s="117">
        <v>7</v>
      </c>
      <c r="V54" s="272"/>
      <c r="W54" s="272"/>
      <c r="X54" s="119">
        <f t="shared" si="5"/>
        <v>-18.3</v>
      </c>
    </row>
    <row r="55" spans="1:24">
      <c r="A55" s="117">
        <v>8</v>
      </c>
      <c r="B55" s="272"/>
      <c r="C55" s="272"/>
      <c r="D55" s="119">
        <f t="shared" si="3"/>
        <v>-18.3</v>
      </c>
      <c r="E55" s="117">
        <v>8</v>
      </c>
      <c r="F55" s="272"/>
      <c r="G55" s="272"/>
      <c r="H55" s="119">
        <f t="shared" si="4"/>
        <v>-18.3</v>
      </c>
      <c r="I55" s="117">
        <v>8</v>
      </c>
      <c r="J55" s="272"/>
      <c r="K55" s="272"/>
      <c r="L55" s="119">
        <f t="shared" si="6"/>
        <v>-18.3</v>
      </c>
      <c r="M55" s="117">
        <v>8</v>
      </c>
      <c r="N55" s="272"/>
      <c r="O55" s="272"/>
      <c r="P55" s="119">
        <f t="shared" si="7"/>
        <v>-18.3</v>
      </c>
      <c r="Q55" s="117">
        <v>8</v>
      </c>
      <c r="R55" s="272"/>
      <c r="S55" s="272"/>
      <c r="T55" s="119">
        <f t="shared" si="8"/>
        <v>-18.3</v>
      </c>
      <c r="U55" s="117">
        <v>8</v>
      </c>
      <c r="V55" s="272"/>
      <c r="W55" s="272"/>
      <c r="X55" s="119">
        <f t="shared" si="5"/>
        <v>-18.3</v>
      </c>
    </row>
    <row r="56" spans="1:24">
      <c r="A56" s="117">
        <v>9</v>
      </c>
      <c r="B56" s="272"/>
      <c r="C56" s="272"/>
      <c r="D56" s="119">
        <f t="shared" si="3"/>
        <v>-18.3</v>
      </c>
      <c r="E56" s="117">
        <v>9</v>
      </c>
      <c r="F56" s="272"/>
      <c r="G56" s="272"/>
      <c r="H56" s="119">
        <f t="shared" si="4"/>
        <v>-18.3</v>
      </c>
      <c r="I56" s="117">
        <v>9</v>
      </c>
      <c r="J56" s="272"/>
      <c r="K56" s="272"/>
      <c r="L56" s="119">
        <f t="shared" si="6"/>
        <v>-18.3</v>
      </c>
      <c r="M56" s="117">
        <v>9</v>
      </c>
      <c r="N56" s="272"/>
      <c r="O56" s="272"/>
      <c r="P56" s="119">
        <f t="shared" si="7"/>
        <v>-18.3</v>
      </c>
      <c r="Q56" s="117">
        <v>9</v>
      </c>
      <c r="R56" s="272"/>
      <c r="S56" s="272"/>
      <c r="T56" s="119">
        <f t="shared" si="8"/>
        <v>-18.3</v>
      </c>
      <c r="U56" s="117">
        <v>9</v>
      </c>
      <c r="V56" s="272"/>
      <c r="W56" s="272"/>
      <c r="X56" s="119">
        <f t="shared" si="5"/>
        <v>-18.3</v>
      </c>
    </row>
    <row r="57" spans="1:24">
      <c r="A57" s="117">
        <v>10</v>
      </c>
      <c r="B57" s="272"/>
      <c r="C57" s="272"/>
      <c r="D57" s="119">
        <f t="shared" ref="D57:D78" si="9">(B57+C57)/2-18.3</f>
        <v>-18.3</v>
      </c>
      <c r="E57" s="117">
        <v>10</v>
      </c>
      <c r="F57" s="272"/>
      <c r="G57" s="272"/>
      <c r="H57" s="119">
        <f t="shared" si="4"/>
        <v>-18.3</v>
      </c>
      <c r="I57" s="117">
        <v>10</v>
      </c>
      <c r="J57" s="272"/>
      <c r="K57" s="272"/>
      <c r="L57" s="119">
        <f t="shared" si="6"/>
        <v>-18.3</v>
      </c>
      <c r="M57" s="117">
        <v>10</v>
      </c>
      <c r="N57" s="272"/>
      <c r="O57" s="272"/>
      <c r="P57" s="119">
        <f t="shared" si="7"/>
        <v>-18.3</v>
      </c>
      <c r="Q57" s="117">
        <v>10</v>
      </c>
      <c r="R57" s="272"/>
      <c r="S57" s="272"/>
      <c r="T57" s="119">
        <f t="shared" si="8"/>
        <v>-18.3</v>
      </c>
      <c r="U57" s="117">
        <v>10</v>
      </c>
      <c r="V57" s="272"/>
      <c r="W57" s="272"/>
      <c r="X57" s="119">
        <f t="shared" si="5"/>
        <v>-18.3</v>
      </c>
    </row>
    <row r="58" spans="1:24">
      <c r="A58" s="117">
        <v>11</v>
      </c>
      <c r="B58" s="272"/>
      <c r="C58" s="272"/>
      <c r="D58" s="119">
        <f t="shared" si="9"/>
        <v>-18.3</v>
      </c>
      <c r="E58" s="117">
        <v>11</v>
      </c>
      <c r="F58" s="272"/>
      <c r="G58" s="272"/>
      <c r="H58" s="119">
        <f t="shared" si="4"/>
        <v>-18.3</v>
      </c>
      <c r="I58" s="117">
        <v>11</v>
      </c>
      <c r="J58" s="272"/>
      <c r="K58" s="272"/>
      <c r="L58" s="119">
        <f t="shared" si="6"/>
        <v>-18.3</v>
      </c>
      <c r="M58" s="117">
        <v>11</v>
      </c>
      <c r="N58" s="272"/>
      <c r="O58" s="272"/>
      <c r="P58" s="119">
        <f t="shared" si="7"/>
        <v>-18.3</v>
      </c>
      <c r="Q58" s="117">
        <v>11</v>
      </c>
      <c r="R58" s="272"/>
      <c r="S58" s="272"/>
      <c r="T58" s="119">
        <f t="shared" si="8"/>
        <v>-18.3</v>
      </c>
      <c r="U58" s="117">
        <v>11</v>
      </c>
      <c r="V58" s="272"/>
      <c r="W58" s="272"/>
      <c r="X58" s="119">
        <f t="shared" si="5"/>
        <v>-18.3</v>
      </c>
    </row>
    <row r="59" spans="1:24">
      <c r="A59" s="117">
        <v>12</v>
      </c>
      <c r="B59" s="272"/>
      <c r="C59" s="272"/>
      <c r="D59" s="119">
        <f t="shared" si="9"/>
        <v>-18.3</v>
      </c>
      <c r="E59" s="117">
        <v>12</v>
      </c>
      <c r="F59" s="272"/>
      <c r="G59" s="272"/>
      <c r="H59" s="119">
        <f t="shared" si="4"/>
        <v>-18.3</v>
      </c>
      <c r="I59" s="117">
        <v>12</v>
      </c>
      <c r="J59" s="272"/>
      <c r="K59" s="272"/>
      <c r="L59" s="119">
        <f t="shared" si="6"/>
        <v>-18.3</v>
      </c>
      <c r="M59" s="117">
        <v>12</v>
      </c>
      <c r="N59" s="272"/>
      <c r="O59" s="272"/>
      <c r="P59" s="119">
        <f t="shared" si="7"/>
        <v>-18.3</v>
      </c>
      <c r="Q59" s="117">
        <v>12</v>
      </c>
      <c r="R59" s="272"/>
      <c r="S59" s="272"/>
      <c r="T59" s="119">
        <f t="shared" si="8"/>
        <v>-18.3</v>
      </c>
      <c r="U59" s="117">
        <v>12</v>
      </c>
      <c r="V59" s="272"/>
      <c r="W59" s="272"/>
      <c r="X59" s="119">
        <f t="shared" si="5"/>
        <v>-18.3</v>
      </c>
    </row>
    <row r="60" spans="1:24">
      <c r="A60" s="117">
        <v>13</v>
      </c>
      <c r="B60" s="272"/>
      <c r="C60" s="272"/>
      <c r="D60" s="119">
        <f t="shared" si="9"/>
        <v>-18.3</v>
      </c>
      <c r="E60" s="117">
        <v>13</v>
      </c>
      <c r="F60" s="272"/>
      <c r="G60" s="272"/>
      <c r="H60" s="119">
        <f t="shared" si="4"/>
        <v>-18.3</v>
      </c>
      <c r="I60" s="117">
        <v>13</v>
      </c>
      <c r="J60" s="272"/>
      <c r="K60" s="272"/>
      <c r="L60" s="119">
        <f t="shared" si="6"/>
        <v>-18.3</v>
      </c>
      <c r="M60" s="117">
        <v>13</v>
      </c>
      <c r="N60" s="272"/>
      <c r="O60" s="272"/>
      <c r="P60" s="119">
        <f t="shared" si="7"/>
        <v>-18.3</v>
      </c>
      <c r="Q60" s="117">
        <v>13</v>
      </c>
      <c r="R60" s="272"/>
      <c r="S60" s="272"/>
      <c r="T60" s="119">
        <f t="shared" si="8"/>
        <v>-18.3</v>
      </c>
      <c r="U60" s="117">
        <v>13</v>
      </c>
      <c r="V60" s="272"/>
      <c r="W60" s="272"/>
      <c r="X60" s="119">
        <f t="shared" si="5"/>
        <v>-18.3</v>
      </c>
    </row>
    <row r="61" spans="1:24">
      <c r="A61" s="117">
        <v>14</v>
      </c>
      <c r="B61" s="272"/>
      <c r="C61" s="272"/>
      <c r="D61" s="119">
        <f t="shared" si="9"/>
        <v>-18.3</v>
      </c>
      <c r="E61" s="117">
        <v>14</v>
      </c>
      <c r="F61" s="272"/>
      <c r="G61" s="272"/>
      <c r="H61" s="119">
        <f t="shared" si="4"/>
        <v>-18.3</v>
      </c>
      <c r="I61" s="117">
        <v>14</v>
      </c>
      <c r="J61" s="272"/>
      <c r="K61" s="272"/>
      <c r="L61" s="119">
        <f t="shared" si="6"/>
        <v>-18.3</v>
      </c>
      <c r="M61" s="117">
        <v>14</v>
      </c>
      <c r="N61" s="272"/>
      <c r="O61" s="272"/>
      <c r="P61" s="119">
        <f t="shared" si="7"/>
        <v>-18.3</v>
      </c>
      <c r="Q61" s="117">
        <v>14</v>
      </c>
      <c r="R61" s="272"/>
      <c r="S61" s="272"/>
      <c r="T61" s="119">
        <f t="shared" si="8"/>
        <v>-18.3</v>
      </c>
      <c r="U61" s="117">
        <v>14</v>
      </c>
      <c r="V61" s="272"/>
      <c r="W61" s="272"/>
      <c r="X61" s="119">
        <f t="shared" si="5"/>
        <v>-18.3</v>
      </c>
    </row>
    <row r="62" spans="1:24">
      <c r="A62" s="117">
        <v>15</v>
      </c>
      <c r="B62" s="272"/>
      <c r="C62" s="272"/>
      <c r="D62" s="119">
        <f t="shared" si="9"/>
        <v>-18.3</v>
      </c>
      <c r="E62" s="117">
        <v>15</v>
      </c>
      <c r="F62" s="272"/>
      <c r="G62" s="272"/>
      <c r="H62" s="119">
        <f t="shared" si="4"/>
        <v>-18.3</v>
      </c>
      <c r="I62" s="117">
        <v>15</v>
      </c>
      <c r="J62" s="272"/>
      <c r="K62" s="272"/>
      <c r="L62" s="119">
        <f t="shared" si="6"/>
        <v>-18.3</v>
      </c>
      <c r="M62" s="117">
        <v>15</v>
      </c>
      <c r="N62" s="272"/>
      <c r="O62" s="272"/>
      <c r="P62" s="119">
        <f t="shared" si="7"/>
        <v>-18.3</v>
      </c>
      <c r="Q62" s="117">
        <v>15</v>
      </c>
      <c r="R62" s="272"/>
      <c r="S62" s="272"/>
      <c r="T62" s="119">
        <f t="shared" si="8"/>
        <v>-18.3</v>
      </c>
      <c r="U62" s="117">
        <v>15</v>
      </c>
      <c r="V62" s="272"/>
      <c r="W62" s="272"/>
      <c r="X62" s="119">
        <f t="shared" si="5"/>
        <v>-18.3</v>
      </c>
    </row>
    <row r="63" spans="1:24">
      <c r="A63" s="117">
        <v>16</v>
      </c>
      <c r="B63" s="272"/>
      <c r="C63" s="272"/>
      <c r="D63" s="119">
        <f t="shared" si="9"/>
        <v>-18.3</v>
      </c>
      <c r="E63" s="117">
        <v>16</v>
      </c>
      <c r="F63" s="272"/>
      <c r="G63" s="272"/>
      <c r="H63" s="119">
        <f t="shared" si="4"/>
        <v>-18.3</v>
      </c>
      <c r="I63" s="117">
        <v>16</v>
      </c>
      <c r="J63" s="272"/>
      <c r="K63" s="272"/>
      <c r="L63" s="119">
        <f t="shared" si="6"/>
        <v>-18.3</v>
      </c>
      <c r="M63" s="117">
        <v>16</v>
      </c>
      <c r="N63" s="272"/>
      <c r="O63" s="272"/>
      <c r="P63" s="119">
        <f t="shared" si="7"/>
        <v>-18.3</v>
      </c>
      <c r="Q63" s="117">
        <v>16</v>
      </c>
      <c r="R63" s="272"/>
      <c r="S63" s="272"/>
      <c r="T63" s="119">
        <f t="shared" si="8"/>
        <v>-18.3</v>
      </c>
      <c r="U63" s="117">
        <v>16</v>
      </c>
      <c r="V63" s="272"/>
      <c r="W63" s="272"/>
      <c r="X63" s="119">
        <f t="shared" si="5"/>
        <v>-18.3</v>
      </c>
    </row>
    <row r="64" spans="1:24">
      <c r="A64" s="117">
        <v>17</v>
      </c>
      <c r="B64" s="272"/>
      <c r="C64" s="272"/>
      <c r="D64" s="119">
        <f t="shared" si="9"/>
        <v>-18.3</v>
      </c>
      <c r="E64" s="117">
        <v>17</v>
      </c>
      <c r="F64" s="272"/>
      <c r="G64" s="272"/>
      <c r="H64" s="119">
        <f t="shared" si="4"/>
        <v>-18.3</v>
      </c>
      <c r="I64" s="117">
        <v>17</v>
      </c>
      <c r="J64" s="272"/>
      <c r="K64" s="272"/>
      <c r="L64" s="119">
        <f t="shared" si="6"/>
        <v>-18.3</v>
      </c>
      <c r="M64" s="117">
        <v>17</v>
      </c>
      <c r="N64" s="272"/>
      <c r="O64" s="272"/>
      <c r="P64" s="119">
        <f t="shared" si="7"/>
        <v>-18.3</v>
      </c>
      <c r="Q64" s="117">
        <v>17</v>
      </c>
      <c r="R64" s="272"/>
      <c r="S64" s="272"/>
      <c r="T64" s="119">
        <f t="shared" si="8"/>
        <v>-18.3</v>
      </c>
      <c r="U64" s="117">
        <v>17</v>
      </c>
      <c r="V64" s="272"/>
      <c r="W64" s="272"/>
      <c r="X64" s="119">
        <f t="shared" si="5"/>
        <v>-18.3</v>
      </c>
    </row>
    <row r="65" spans="1:24">
      <c r="A65" s="117">
        <v>18</v>
      </c>
      <c r="B65" s="272"/>
      <c r="C65" s="272"/>
      <c r="D65" s="119">
        <f t="shared" si="9"/>
        <v>-18.3</v>
      </c>
      <c r="E65" s="117">
        <v>18</v>
      </c>
      <c r="F65" s="272"/>
      <c r="G65" s="272"/>
      <c r="H65" s="119">
        <f t="shared" si="4"/>
        <v>-18.3</v>
      </c>
      <c r="I65" s="117">
        <v>18</v>
      </c>
      <c r="J65" s="272"/>
      <c r="K65" s="272"/>
      <c r="L65" s="119">
        <f t="shared" si="6"/>
        <v>-18.3</v>
      </c>
      <c r="M65" s="117">
        <v>18</v>
      </c>
      <c r="N65" s="272"/>
      <c r="O65" s="272"/>
      <c r="P65" s="119">
        <f t="shared" si="7"/>
        <v>-18.3</v>
      </c>
      <c r="Q65" s="117">
        <v>18</v>
      </c>
      <c r="R65" s="272"/>
      <c r="S65" s="272"/>
      <c r="T65" s="119">
        <f t="shared" si="8"/>
        <v>-18.3</v>
      </c>
      <c r="U65" s="117">
        <v>18</v>
      </c>
      <c r="V65" s="272"/>
      <c r="W65" s="272"/>
      <c r="X65" s="119">
        <f t="shared" si="5"/>
        <v>-18.3</v>
      </c>
    </row>
    <row r="66" spans="1:24">
      <c r="A66" s="117">
        <v>19</v>
      </c>
      <c r="B66" s="272"/>
      <c r="C66" s="272"/>
      <c r="D66" s="119">
        <f t="shared" si="9"/>
        <v>-18.3</v>
      </c>
      <c r="E66" s="117">
        <v>19</v>
      </c>
      <c r="F66" s="272"/>
      <c r="G66" s="272"/>
      <c r="H66" s="119">
        <f t="shared" si="4"/>
        <v>-18.3</v>
      </c>
      <c r="I66" s="117">
        <v>19</v>
      </c>
      <c r="J66" s="272"/>
      <c r="K66" s="272"/>
      <c r="L66" s="119">
        <f t="shared" si="6"/>
        <v>-18.3</v>
      </c>
      <c r="M66" s="117">
        <v>19</v>
      </c>
      <c r="N66" s="272"/>
      <c r="O66" s="272"/>
      <c r="P66" s="119">
        <f t="shared" si="7"/>
        <v>-18.3</v>
      </c>
      <c r="Q66" s="117">
        <v>19</v>
      </c>
      <c r="R66" s="272"/>
      <c r="S66" s="272"/>
      <c r="T66" s="119">
        <f t="shared" si="8"/>
        <v>-18.3</v>
      </c>
      <c r="U66" s="117">
        <v>19</v>
      </c>
      <c r="V66" s="272"/>
      <c r="W66" s="272"/>
      <c r="X66" s="119">
        <f t="shared" si="5"/>
        <v>-18.3</v>
      </c>
    </row>
    <row r="67" spans="1:24">
      <c r="A67" s="117">
        <v>20</v>
      </c>
      <c r="B67" s="272"/>
      <c r="C67" s="272"/>
      <c r="D67" s="119">
        <f t="shared" si="9"/>
        <v>-18.3</v>
      </c>
      <c r="E67" s="117">
        <v>20</v>
      </c>
      <c r="F67" s="272"/>
      <c r="G67" s="272"/>
      <c r="H67" s="119">
        <f t="shared" si="4"/>
        <v>-18.3</v>
      </c>
      <c r="I67" s="117">
        <v>20</v>
      </c>
      <c r="J67" s="272"/>
      <c r="K67" s="272"/>
      <c r="L67" s="119">
        <f t="shared" si="6"/>
        <v>-18.3</v>
      </c>
      <c r="M67" s="117">
        <v>20</v>
      </c>
      <c r="N67" s="272"/>
      <c r="O67" s="272"/>
      <c r="P67" s="119">
        <f t="shared" si="7"/>
        <v>-18.3</v>
      </c>
      <c r="Q67" s="117">
        <v>20</v>
      </c>
      <c r="R67" s="272"/>
      <c r="S67" s="272"/>
      <c r="T67" s="119">
        <f t="shared" si="8"/>
        <v>-18.3</v>
      </c>
      <c r="U67" s="117">
        <v>20</v>
      </c>
      <c r="V67" s="272"/>
      <c r="W67" s="272"/>
      <c r="X67" s="119">
        <f t="shared" si="5"/>
        <v>-18.3</v>
      </c>
    </row>
    <row r="68" spans="1:24">
      <c r="A68" s="117">
        <v>21</v>
      </c>
      <c r="B68" s="272"/>
      <c r="C68" s="272"/>
      <c r="D68" s="119">
        <f t="shared" si="9"/>
        <v>-18.3</v>
      </c>
      <c r="E68" s="117">
        <v>21</v>
      </c>
      <c r="F68" s="272"/>
      <c r="G68" s="272"/>
      <c r="H68" s="119">
        <f t="shared" si="4"/>
        <v>-18.3</v>
      </c>
      <c r="I68" s="117">
        <v>21</v>
      </c>
      <c r="J68" s="272"/>
      <c r="K68" s="272"/>
      <c r="L68" s="119">
        <f t="shared" si="6"/>
        <v>-18.3</v>
      </c>
      <c r="M68" s="117">
        <v>21</v>
      </c>
      <c r="N68" s="272"/>
      <c r="O68" s="272"/>
      <c r="P68" s="119">
        <f t="shared" si="7"/>
        <v>-18.3</v>
      </c>
      <c r="Q68" s="117">
        <v>21</v>
      </c>
      <c r="R68" s="272"/>
      <c r="S68" s="272"/>
      <c r="T68" s="119">
        <f t="shared" si="8"/>
        <v>-18.3</v>
      </c>
      <c r="U68" s="117">
        <v>21</v>
      </c>
      <c r="V68" s="272"/>
      <c r="W68" s="272"/>
      <c r="X68" s="119">
        <f t="shared" si="5"/>
        <v>-18.3</v>
      </c>
    </row>
    <row r="69" spans="1:24">
      <c r="A69" s="117">
        <v>22</v>
      </c>
      <c r="B69" s="272"/>
      <c r="C69" s="272"/>
      <c r="D69" s="119">
        <f t="shared" si="9"/>
        <v>-18.3</v>
      </c>
      <c r="E69" s="117">
        <v>22</v>
      </c>
      <c r="F69" s="272"/>
      <c r="G69" s="272"/>
      <c r="H69" s="119">
        <f t="shared" si="4"/>
        <v>-18.3</v>
      </c>
      <c r="I69" s="117">
        <v>22</v>
      </c>
      <c r="J69" s="272"/>
      <c r="K69" s="272"/>
      <c r="L69" s="119">
        <f t="shared" si="6"/>
        <v>-18.3</v>
      </c>
      <c r="M69" s="117">
        <v>22</v>
      </c>
      <c r="N69" s="272"/>
      <c r="O69" s="272"/>
      <c r="P69" s="119">
        <f t="shared" si="7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5"/>
        <v>-18.3</v>
      </c>
    </row>
    <row r="70" spans="1:24">
      <c r="A70" s="117">
        <v>23</v>
      </c>
      <c r="B70" s="272"/>
      <c r="C70" s="272"/>
      <c r="D70" s="119">
        <f t="shared" si="9"/>
        <v>-18.3</v>
      </c>
      <c r="E70" s="117">
        <v>23</v>
      </c>
      <c r="F70" s="272"/>
      <c r="G70" s="272"/>
      <c r="H70" s="119">
        <f t="shared" si="4"/>
        <v>-18.3</v>
      </c>
      <c r="I70" s="117">
        <v>23</v>
      </c>
      <c r="J70" s="272"/>
      <c r="K70" s="272"/>
      <c r="L70" s="119">
        <f t="shared" si="6"/>
        <v>-18.3</v>
      </c>
      <c r="M70" s="117">
        <v>23</v>
      </c>
      <c r="N70" s="272"/>
      <c r="O70" s="272"/>
      <c r="P70" s="119">
        <f t="shared" si="7"/>
        <v>-18.3</v>
      </c>
      <c r="Q70" s="117">
        <v>23</v>
      </c>
      <c r="R70" s="272"/>
      <c r="S70" s="272"/>
      <c r="T70" s="119">
        <f t="shared" si="8"/>
        <v>-18.3</v>
      </c>
      <c r="U70" s="117">
        <v>23</v>
      </c>
      <c r="V70" s="272"/>
      <c r="W70" s="272"/>
      <c r="X70" s="119">
        <f t="shared" si="5"/>
        <v>-18.3</v>
      </c>
    </row>
    <row r="71" spans="1:24">
      <c r="A71" s="117">
        <v>24</v>
      </c>
      <c r="B71" s="272"/>
      <c r="C71" s="272"/>
      <c r="D71" s="119">
        <f t="shared" si="9"/>
        <v>-18.3</v>
      </c>
      <c r="E71" s="117">
        <v>24</v>
      </c>
      <c r="F71" s="272"/>
      <c r="G71" s="272"/>
      <c r="H71" s="119">
        <f t="shared" si="4"/>
        <v>-18.3</v>
      </c>
      <c r="I71" s="117">
        <v>24</v>
      </c>
      <c r="J71" s="272"/>
      <c r="K71" s="272"/>
      <c r="L71" s="119">
        <f t="shared" si="6"/>
        <v>-18.3</v>
      </c>
      <c r="M71" s="117">
        <v>24</v>
      </c>
      <c r="N71" s="272"/>
      <c r="O71" s="272"/>
      <c r="P71" s="119">
        <f t="shared" si="7"/>
        <v>-18.3</v>
      </c>
      <c r="Q71" s="117">
        <v>24</v>
      </c>
      <c r="R71" s="272"/>
      <c r="S71" s="272"/>
      <c r="T71" s="119">
        <f t="shared" si="8"/>
        <v>-18.3</v>
      </c>
      <c r="U71" s="117">
        <v>24</v>
      </c>
      <c r="V71" s="272"/>
      <c r="W71" s="272"/>
      <c r="X71" s="119">
        <f t="shared" si="5"/>
        <v>-18.3</v>
      </c>
    </row>
    <row r="72" spans="1:24">
      <c r="A72" s="117">
        <v>25</v>
      </c>
      <c r="B72" s="272"/>
      <c r="C72" s="272"/>
      <c r="D72" s="119">
        <f t="shared" si="9"/>
        <v>-18.3</v>
      </c>
      <c r="E72" s="117">
        <v>25</v>
      </c>
      <c r="F72" s="272"/>
      <c r="G72" s="272"/>
      <c r="H72" s="119">
        <f t="shared" si="4"/>
        <v>-18.3</v>
      </c>
      <c r="I72" s="117">
        <v>25</v>
      </c>
      <c r="J72" s="272"/>
      <c r="K72" s="272"/>
      <c r="L72" s="119">
        <f t="shared" si="6"/>
        <v>-18.3</v>
      </c>
      <c r="M72" s="117">
        <v>25</v>
      </c>
      <c r="N72" s="272"/>
      <c r="O72" s="272"/>
      <c r="P72" s="119">
        <f t="shared" si="7"/>
        <v>-18.3</v>
      </c>
      <c r="Q72" s="117">
        <v>25</v>
      </c>
      <c r="R72" s="272"/>
      <c r="S72" s="272"/>
      <c r="T72" s="119">
        <f t="shared" si="8"/>
        <v>-18.3</v>
      </c>
      <c r="U72" s="117">
        <v>25</v>
      </c>
      <c r="V72" s="272"/>
      <c r="W72" s="272"/>
      <c r="X72" s="119">
        <f t="shared" si="5"/>
        <v>-18.3</v>
      </c>
    </row>
    <row r="73" spans="1:24">
      <c r="A73" s="117">
        <v>26</v>
      </c>
      <c r="B73" s="272"/>
      <c r="C73" s="272"/>
      <c r="D73" s="119">
        <f t="shared" si="9"/>
        <v>-18.3</v>
      </c>
      <c r="E73" s="117">
        <v>26</v>
      </c>
      <c r="F73" s="272"/>
      <c r="G73" s="272"/>
      <c r="H73" s="119">
        <f t="shared" si="4"/>
        <v>-18.3</v>
      </c>
      <c r="I73" s="117">
        <v>26</v>
      </c>
      <c r="J73" s="272"/>
      <c r="K73" s="272"/>
      <c r="L73" s="119">
        <f t="shared" si="6"/>
        <v>-18.3</v>
      </c>
      <c r="M73" s="117">
        <v>26</v>
      </c>
      <c r="N73" s="272"/>
      <c r="O73" s="272"/>
      <c r="P73" s="119">
        <f t="shared" si="7"/>
        <v>-18.3</v>
      </c>
      <c r="Q73" s="117">
        <v>26</v>
      </c>
      <c r="R73" s="272"/>
      <c r="S73" s="272"/>
      <c r="T73" s="119">
        <f t="shared" si="8"/>
        <v>-18.3</v>
      </c>
      <c r="U73" s="117">
        <v>26</v>
      </c>
      <c r="V73" s="272"/>
      <c r="W73" s="272"/>
      <c r="X73" s="119">
        <f t="shared" si="5"/>
        <v>-18.3</v>
      </c>
    </row>
    <row r="74" spans="1:24">
      <c r="A74" s="117">
        <v>27</v>
      </c>
      <c r="B74" s="272"/>
      <c r="C74" s="272"/>
      <c r="D74" s="119">
        <f t="shared" si="9"/>
        <v>-18.3</v>
      </c>
      <c r="E74" s="117">
        <v>27</v>
      </c>
      <c r="F74" s="272"/>
      <c r="G74" s="272"/>
      <c r="H74" s="119">
        <f t="shared" si="4"/>
        <v>-18.3</v>
      </c>
      <c r="I74" s="117">
        <v>27</v>
      </c>
      <c r="J74" s="272"/>
      <c r="K74" s="272"/>
      <c r="L74" s="119">
        <f t="shared" si="6"/>
        <v>-18.3</v>
      </c>
      <c r="M74" s="117">
        <v>27</v>
      </c>
      <c r="N74" s="272"/>
      <c r="O74" s="272"/>
      <c r="P74" s="119">
        <f t="shared" si="7"/>
        <v>-18.3</v>
      </c>
      <c r="Q74" s="117">
        <v>27</v>
      </c>
      <c r="R74" s="272"/>
      <c r="S74" s="272"/>
      <c r="T74" s="119">
        <f t="shared" si="8"/>
        <v>-18.3</v>
      </c>
      <c r="U74" s="117">
        <v>27</v>
      </c>
      <c r="V74" s="272"/>
      <c r="W74" s="272"/>
      <c r="X74" s="119">
        <f t="shared" si="5"/>
        <v>-18.3</v>
      </c>
    </row>
    <row r="75" spans="1:24">
      <c r="A75" s="117">
        <v>28</v>
      </c>
      <c r="B75" s="272"/>
      <c r="C75" s="272"/>
      <c r="D75" s="119">
        <f t="shared" si="9"/>
        <v>-18.3</v>
      </c>
      <c r="E75" s="117">
        <v>28</v>
      </c>
      <c r="F75" s="272"/>
      <c r="G75" s="272"/>
      <c r="H75" s="119">
        <f t="shared" si="4"/>
        <v>-18.3</v>
      </c>
      <c r="I75" s="117">
        <v>28</v>
      </c>
      <c r="J75" s="272"/>
      <c r="K75" s="272"/>
      <c r="L75" s="119">
        <f t="shared" si="6"/>
        <v>-18.3</v>
      </c>
      <c r="M75" s="117">
        <v>28</v>
      </c>
      <c r="N75" s="272"/>
      <c r="O75" s="272"/>
      <c r="P75" s="119">
        <f t="shared" si="7"/>
        <v>-18.3</v>
      </c>
      <c r="Q75" s="117">
        <v>28</v>
      </c>
      <c r="R75" s="272"/>
      <c r="S75" s="272"/>
      <c r="T75" s="119">
        <f t="shared" si="8"/>
        <v>-18.3</v>
      </c>
      <c r="U75" s="117">
        <v>28</v>
      </c>
      <c r="V75" s="272"/>
      <c r="W75" s="272"/>
      <c r="X75" s="119">
        <f t="shared" si="5"/>
        <v>-18.3</v>
      </c>
    </row>
    <row r="76" spans="1:24">
      <c r="A76" s="117">
        <v>29</v>
      </c>
      <c r="B76" s="272"/>
      <c r="C76" s="272"/>
      <c r="D76" s="119">
        <f t="shared" si="9"/>
        <v>-18.3</v>
      </c>
      <c r="E76" s="117">
        <v>29</v>
      </c>
      <c r="F76" s="272"/>
      <c r="G76" s="272"/>
      <c r="H76" s="119">
        <f t="shared" si="4"/>
        <v>-18.3</v>
      </c>
      <c r="I76" s="117">
        <v>29</v>
      </c>
      <c r="J76" s="272"/>
      <c r="K76" s="272"/>
      <c r="L76" s="119">
        <f t="shared" si="6"/>
        <v>-18.3</v>
      </c>
      <c r="M76" s="117">
        <v>29</v>
      </c>
      <c r="N76" s="272"/>
      <c r="O76" s="272"/>
      <c r="P76" s="119">
        <f t="shared" si="7"/>
        <v>-18.3</v>
      </c>
      <c r="Q76" s="117">
        <v>29</v>
      </c>
      <c r="R76" s="272"/>
      <c r="S76" s="272"/>
      <c r="T76" s="119">
        <f t="shared" si="8"/>
        <v>-18.3</v>
      </c>
      <c r="U76" s="117">
        <v>29</v>
      </c>
      <c r="V76" s="272"/>
      <c r="W76" s="272"/>
      <c r="X76" s="119">
        <f t="shared" si="5"/>
        <v>-18.3</v>
      </c>
    </row>
    <row r="77" spans="1:24">
      <c r="A77" s="117">
        <v>30</v>
      </c>
      <c r="B77" s="272"/>
      <c r="C77" s="272"/>
      <c r="D77" s="119">
        <f t="shared" si="9"/>
        <v>-18.3</v>
      </c>
      <c r="E77" s="117">
        <v>30</v>
      </c>
      <c r="F77" s="272"/>
      <c r="G77" s="272"/>
      <c r="H77" s="119">
        <f t="shared" si="4"/>
        <v>-18.3</v>
      </c>
      <c r="I77" s="117">
        <v>30</v>
      </c>
      <c r="J77" s="272"/>
      <c r="K77" s="272"/>
      <c r="L77" s="119">
        <f t="shared" si="6"/>
        <v>-18.3</v>
      </c>
      <c r="M77" s="117">
        <v>30</v>
      </c>
      <c r="N77" s="272"/>
      <c r="O77" s="272"/>
      <c r="P77" s="119">
        <f t="shared" si="7"/>
        <v>-18.3</v>
      </c>
      <c r="Q77" s="117">
        <v>30</v>
      </c>
      <c r="R77" s="272"/>
      <c r="S77" s="272"/>
      <c r="T77" s="119">
        <f t="shared" si="8"/>
        <v>-18.3</v>
      </c>
      <c r="U77" s="117">
        <v>30</v>
      </c>
      <c r="V77" s="272"/>
      <c r="W77" s="272"/>
      <c r="X77" s="119">
        <f t="shared" si="5"/>
        <v>-18.3</v>
      </c>
    </row>
    <row r="78" spans="1:24">
      <c r="A78" s="120">
        <v>31</v>
      </c>
      <c r="B78" s="272"/>
      <c r="C78" s="272"/>
      <c r="D78" s="119">
        <f t="shared" si="9"/>
        <v>-18.3</v>
      </c>
      <c r="E78" s="120">
        <v>31</v>
      </c>
      <c r="F78" s="272"/>
      <c r="G78" s="272"/>
      <c r="H78" s="119">
        <f t="shared" si="4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7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40" t="s">
        <v>174</v>
      </c>
      <c r="O84" s="740" t="s">
        <v>175</v>
      </c>
      <c r="P84" s="134"/>
      <c r="T84" s="134"/>
      <c r="X84" s="134"/>
    </row>
    <row r="85" spans="1:24" ht="20" thickBot="1">
      <c r="D85" s="134"/>
      <c r="I85" s="742" t="s">
        <v>182</v>
      </c>
      <c r="J85" s="743"/>
      <c r="K85" s="743"/>
      <c r="L85" s="743"/>
      <c r="N85" s="741"/>
      <c r="O85" s="741"/>
      <c r="P85" s="134"/>
      <c r="R85" s="17"/>
      <c r="S85" s="17"/>
      <c r="T85" s="140"/>
      <c r="U85" s="141"/>
      <c r="X85" s="134"/>
    </row>
    <row r="86" spans="1:24" ht="18" thickBot="1">
      <c r="D86" s="134"/>
      <c r="I86" s="744" t="s">
        <v>183</v>
      </c>
      <c r="J86" s="744"/>
      <c r="K86" s="744"/>
      <c r="L86" s="744"/>
      <c r="N86" s="142">
        <f>B43+F43+J43+N43+R43+V43+B81+F81+J81+N81+R81+V81</f>
        <v>-4161.5</v>
      </c>
      <c r="O86" s="142">
        <f>C43+G43+K43+O43+S43+W43+C81+G81+K81+O81+S81+W81</f>
        <v>239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734"/>
      <c r="C88" s="734"/>
      <c r="D88" s="734"/>
      <c r="E88" s="734"/>
      <c r="F88" s="734"/>
      <c r="G88" s="734"/>
      <c r="H88" s="734"/>
      <c r="I88" s="734"/>
      <c r="J88" s="734"/>
      <c r="K88" s="734"/>
      <c r="L88" s="734"/>
      <c r="M88" s="734"/>
      <c r="N88" s="734"/>
      <c r="O88" s="734"/>
      <c r="P88" s="734"/>
      <c r="Q88" s="734"/>
      <c r="R88" s="734"/>
      <c r="S88" s="734"/>
      <c r="T88" s="734"/>
      <c r="U88" s="734"/>
      <c r="V88" s="734"/>
      <c r="W88" s="73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3" sqref="D13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48" t="s">
        <v>216</v>
      </c>
      <c r="B2" s="748"/>
      <c r="C2" s="748"/>
      <c r="D2" s="748"/>
      <c r="E2" s="748"/>
      <c r="F2" s="748"/>
      <c r="G2" s="748"/>
      <c r="H2" s="748"/>
      <c r="I2" s="748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8"/>
    </row>
    <row r="6" spans="1:11">
      <c r="A6" s="184" t="s">
        <v>217</v>
      </c>
      <c r="B6" s="349">
        <f>WATER!C36</f>
        <v>0</v>
      </c>
      <c r="C6" s="328">
        <v>1.66</v>
      </c>
      <c r="D6" s="184">
        <f>SUM(C6*B6)*D4</f>
        <v>0</v>
      </c>
      <c r="E6" s="434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8">
        <v>0</v>
      </c>
      <c r="J6" s="276"/>
    </row>
    <row r="7" spans="1:11">
      <c r="A7" s="184" t="s">
        <v>218</v>
      </c>
      <c r="B7" s="349">
        <f>WATER!H36</f>
        <v>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264.51612903225805</v>
      </c>
      <c r="G7" s="506">
        <v>8200</v>
      </c>
      <c r="H7" s="189">
        <f>'[16]Budget 2021'!$C$15</f>
        <v>8200</v>
      </c>
      <c r="I7" s="185">
        <f>'[16]Budget 2021'!$C$15</f>
        <v>8200</v>
      </c>
      <c r="J7" s="276"/>
    </row>
    <row r="8" spans="1:11">
      <c r="A8" s="190" t="s">
        <v>219</v>
      </c>
      <c r="B8" s="350">
        <f>tanks!AT36</f>
        <v>0</v>
      </c>
      <c r="C8" s="489" t="e">
        <f>SUM(tanks!AU36)</f>
        <v>#DIV/0!</v>
      </c>
      <c r="D8" s="191" t="e">
        <f>SUM(B8*C8)*D4</f>
        <v>#DIV/0!</v>
      </c>
      <c r="E8" s="192" t="e">
        <f>SUM(D8/D4/F4)</f>
        <v>#DIV/0!</v>
      </c>
      <c r="F8" s="192" t="e">
        <f>SUM(E8*F4)</f>
        <v>#DIV/0!</v>
      </c>
      <c r="G8" s="506" t="e">
        <f>E8*$F$4</f>
        <v>#DIV/0!</v>
      </c>
      <c r="H8" s="189">
        <v>18139</v>
      </c>
      <c r="I8" s="192">
        <v>18139</v>
      </c>
      <c r="J8" s="276"/>
    </row>
    <row r="9" spans="1:11">
      <c r="A9" s="2" t="s">
        <v>413</v>
      </c>
      <c r="B9" s="351">
        <f>'B5'!AV35</f>
        <v>0</v>
      </c>
      <c r="C9" s="348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6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2">
        <f>'EDl log'!AA29</f>
        <v>379</v>
      </c>
      <c r="C10" s="181"/>
      <c r="D10" s="183">
        <f>'EDl log'!AB33</f>
        <v>7274349</v>
      </c>
      <c r="E10" s="182">
        <f>SUM(D10/D4/F4)</f>
        <v>4825.4388059701496</v>
      </c>
      <c r="F10" s="182">
        <f>SUM(E10*F4)</f>
        <v>4825.4388059701496</v>
      </c>
      <c r="G10" s="506">
        <f>E10*$G$4</f>
        <v>149588.60298507463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7" t="e">
        <f>SUM(E6:E11)</f>
        <v>#DIV/0!</v>
      </c>
      <c r="F12" s="180" t="e">
        <f>SUM(F6:F10)</f>
        <v>#DIV/0!</v>
      </c>
      <c r="G12" s="179" t="e">
        <f>SUM(G6:G10)</f>
        <v>#DIV/0!</v>
      </c>
      <c r="H12" s="179">
        <f>SUM(H6:H11)</f>
        <v>45339</v>
      </c>
      <c r="I12" s="221">
        <f>SUM(I6:I11)</f>
        <v>45339</v>
      </c>
      <c r="J12" s="276"/>
    </row>
    <row r="13" spans="1:11" ht="29">
      <c r="A13" s="3"/>
      <c r="B13" s="175" t="s">
        <v>226</v>
      </c>
      <c r="C13" s="419" t="s">
        <v>384</v>
      </c>
      <c r="D13" s="419" t="s">
        <v>388</v>
      </c>
      <c r="E13" s="419" t="s">
        <v>385</v>
      </c>
      <c r="F13" s="419" t="s">
        <v>409</v>
      </c>
      <c r="G13" s="421"/>
      <c r="H13" s="17"/>
      <c r="I13" s="17"/>
      <c r="J13" s="17"/>
    </row>
    <row r="14" spans="1:11">
      <c r="A14" s="447" t="s">
        <v>302</v>
      </c>
      <c r="B14" s="97">
        <f>'Degree Days 2020'!W43</f>
        <v>5.6999999999999993</v>
      </c>
      <c r="C14" s="432">
        <f>'[17]Utility Cost '!C14</f>
        <v>151</v>
      </c>
      <c r="D14" s="170"/>
      <c r="E14" s="170">
        <f>B14-C14</f>
        <v>-145.30000000000001</v>
      </c>
      <c r="F14" s="505">
        <v>0</v>
      </c>
      <c r="G14" s="421"/>
      <c r="H14" s="422" t="e">
        <f>SUM(G12-H12)</f>
        <v>#DIV/0!</v>
      </c>
      <c r="I14" s="422" t="e">
        <f>SUM(G12-I12)</f>
        <v>#DIV/0!</v>
      </c>
    </row>
    <row r="15" spans="1:11">
      <c r="A15" s="447" t="s">
        <v>303</v>
      </c>
      <c r="B15" s="97">
        <f>'Degree Days 2020'!V43</f>
        <v>-530.70000000000016</v>
      </c>
      <c r="C15" s="432">
        <f>'[17]Utility Cost '!C15</f>
        <v>-18.3</v>
      </c>
      <c r="D15" s="170"/>
      <c r="E15" s="170">
        <f>B15-C15</f>
        <v>-512.4000000000002</v>
      </c>
      <c r="F15" s="505">
        <v>0</v>
      </c>
      <c r="G15" s="421"/>
      <c r="H15" s="17"/>
      <c r="I15" s="17"/>
      <c r="J15" s="17"/>
    </row>
    <row r="16" spans="1:11">
      <c r="A16" s="447" t="s">
        <v>304</v>
      </c>
      <c r="B16" s="557">
        <f>'General information '!D38</f>
        <v>24</v>
      </c>
      <c r="C16" s="432">
        <f>'[17]Utility Cost '!C16</f>
        <v>26.483333333333334</v>
      </c>
      <c r="D16" s="431"/>
      <c r="E16" s="432">
        <f>B16-C16</f>
        <v>-2.4833333333333343</v>
      </c>
      <c r="F16" s="525">
        <v>0</v>
      </c>
      <c r="G16" s="421"/>
      <c r="H16" s="17"/>
      <c r="I16" s="17"/>
      <c r="J16" s="17"/>
    </row>
    <row r="17" spans="1:10">
      <c r="A17" s="517" t="s">
        <v>316</v>
      </c>
      <c r="B17" s="520">
        <f>'General information '!F37</f>
        <v>0</v>
      </c>
      <c r="C17" s="519">
        <f>'[17]Utility Cost '!C17</f>
        <v>0.78620999999999996</v>
      </c>
      <c r="D17" s="475">
        <v>0</v>
      </c>
      <c r="E17" s="519">
        <f>B17-C17</f>
        <v>-0.78620999999999996</v>
      </c>
      <c r="F17" s="523">
        <f>B17-D17</f>
        <v>0</v>
      </c>
      <c r="G17" s="17"/>
      <c r="H17" s="17"/>
      <c r="I17" s="17"/>
      <c r="J17" s="17"/>
    </row>
    <row r="18" spans="1:10">
      <c r="A18" s="518" t="s">
        <v>386</v>
      </c>
      <c r="B18" s="522">
        <f>GEN!Z33</f>
        <v>12</v>
      </c>
      <c r="C18" s="432">
        <f>'[17]Utility Cost '!C18</f>
        <v>225</v>
      </c>
      <c r="D18" s="429">
        <f>'[16]Other Fuel Calculation 2021'!$C$117</f>
        <v>172.73885330486587</v>
      </c>
      <c r="E18" s="521">
        <f>B18-C18</f>
        <v>-213</v>
      </c>
      <c r="F18" s="524">
        <f>B18-D18</f>
        <v>-160.73885330486587</v>
      </c>
    </row>
    <row r="19" spans="1:10">
      <c r="A19" s="518" t="s">
        <v>410</v>
      </c>
      <c r="B19" s="516">
        <f>SUM(B18/$F$4)</f>
        <v>12</v>
      </c>
      <c r="C19" s="432">
        <f>'[17]Utility Cost '!C19</f>
        <v>7.5</v>
      </c>
      <c r="D19" s="430"/>
      <c r="E19" s="430"/>
      <c r="F19" s="505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4.5"/>
  <cols>
    <col min="2" max="2" width="12" bestFit="1" customWidth="1"/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4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2021-06-02T14:18:30Z</dcterms:modified>
</cp:coreProperties>
</file>