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7 - 2020" sheetId="1" r:id="rId3"/>
  </sheets>
  <definedNames>
    <definedName name="_xlnm.Print_Area" localSheetId="2">'07 - 2020'!$A$1:$J$36</definedName>
  </definedNames>
  <calcPr calcId="162913" calcMode="manual"/>
</workbook>
</file>

<file path=xl/calcChain.xml><?xml version="1.0" encoding="utf-8"?>
<calcChain xmlns="http://schemas.openxmlformats.org/spreadsheetml/2006/main">
  <c r="L26" i="3" l="1"/>
  <c r="K26" i="3"/>
  <c r="I26" i="3"/>
  <c r="G26" i="3"/>
  <c r="E26" i="3"/>
  <c r="J26" i="2"/>
  <c r="I26" i="2"/>
  <c r="H26" i="2"/>
  <c r="F26" i="2"/>
  <c r="E26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L20" i="3"/>
  <c r="K20" i="3"/>
  <c r="I20" i="3"/>
  <c r="G20" i="3"/>
  <c r="E20" i="3"/>
  <c r="J21" i="2"/>
  <c r="I21" i="2"/>
  <c r="H21" i="2"/>
  <c r="F21" i="2"/>
  <c r="E21" i="2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L17" i="3"/>
  <c r="K17" i="3"/>
  <c r="I17" i="3"/>
  <c r="G17" i="3"/>
  <c r="E17" i="3"/>
  <c r="J18" i="2"/>
  <c r="I18" i="2"/>
  <c r="H18" i="2"/>
  <c r="F18" i="2"/>
  <c r="E18" i="2"/>
  <c r="J17" i="2"/>
  <c r="I17" i="2"/>
  <c r="H17" i="2"/>
  <c r="F17" i="2"/>
  <c r="E17" i="2"/>
  <c r="L12" i="3" l="1"/>
  <c r="K12" i="3"/>
  <c r="I12" i="3"/>
  <c r="G12" i="3"/>
  <c r="E12" i="3"/>
  <c r="J12" i="2"/>
  <c r="I12" i="2"/>
  <c r="H12" i="2"/>
  <c r="F12" i="2"/>
  <c r="E12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7" i="2"/>
  <c r="I7" i="2"/>
  <c r="H7" i="2"/>
  <c r="F7" i="2"/>
  <c r="E7" i="2"/>
  <c r="B32" i="3" l="1"/>
  <c r="L29" i="3" l="1"/>
  <c r="K29" i="3"/>
  <c r="I29" i="3"/>
  <c r="G29" i="3"/>
  <c r="E29" i="3"/>
  <c r="J29" i="2"/>
  <c r="I29" i="2"/>
  <c r="H29" i="2"/>
  <c r="F29" i="2"/>
  <c r="E29" i="2"/>
  <c r="L13" i="3" l="1"/>
  <c r="K13" i="3"/>
  <c r="I13" i="3"/>
  <c r="G13" i="3"/>
  <c r="E13" i="3"/>
  <c r="J13" i="2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16" i="3" l="1"/>
  <c r="K16" i="3"/>
  <c r="I16" i="3"/>
  <c r="G16" i="3"/>
  <c r="E16" i="3"/>
  <c r="J16" i="2"/>
  <c r="I16" i="2"/>
  <c r="H16" i="2"/>
  <c r="F16" i="2"/>
  <c r="E16" i="2"/>
  <c r="J14" i="2" l="1"/>
  <c r="I14" i="2"/>
  <c r="H14" i="2"/>
  <c r="F14" i="2"/>
  <c r="E14" i="2"/>
  <c r="L10" i="3" l="1"/>
  <c r="K10" i="3"/>
  <c r="I10" i="3"/>
  <c r="G10" i="3"/>
  <c r="E10" i="3"/>
  <c r="J10" i="2"/>
  <c r="I10" i="2"/>
  <c r="H10" i="2"/>
  <c r="F10" i="2"/>
  <c r="E10" i="2"/>
  <c r="L8" i="3" l="1"/>
  <c r="K8" i="3"/>
  <c r="I8" i="3"/>
  <c r="G8" i="3"/>
  <c r="E8" i="3"/>
  <c r="J8" i="2"/>
  <c r="I8" i="2"/>
  <c r="H8" i="2"/>
  <c r="F8" i="2"/>
  <c r="E8" i="2"/>
  <c r="L6" i="3" l="1"/>
  <c r="K6" i="3"/>
  <c r="I6" i="3"/>
  <c r="G6" i="3"/>
  <c r="E6" i="3"/>
  <c r="J6" i="2"/>
  <c r="I6" i="2"/>
  <c r="H6" i="2"/>
  <c r="F6" i="2"/>
  <c r="E6" i="2"/>
  <c r="L3" i="3" l="1"/>
  <c r="L14" i="3"/>
  <c r="L15" i="3"/>
  <c r="L23" i="3"/>
  <c r="L24" i="3"/>
  <c r="L25" i="3"/>
  <c r="L28" i="3"/>
  <c r="L30" i="3"/>
  <c r="L31" i="3"/>
  <c r="L2" i="3"/>
  <c r="K3" i="3"/>
  <c r="K14" i="3"/>
  <c r="K15" i="3"/>
  <c r="K23" i="3"/>
  <c r="K24" i="3"/>
  <c r="K25" i="3"/>
  <c r="K28" i="3"/>
  <c r="K30" i="3"/>
  <c r="K31" i="3"/>
  <c r="K2" i="3"/>
  <c r="I3" i="3"/>
  <c r="I14" i="3"/>
  <c r="I15" i="3"/>
  <c r="I23" i="3"/>
  <c r="I24" i="3"/>
  <c r="I25" i="3"/>
  <c r="I28" i="3"/>
  <c r="I30" i="3"/>
  <c r="I31" i="3"/>
  <c r="I2" i="3"/>
  <c r="G3" i="3"/>
  <c r="G14" i="3"/>
  <c r="G15" i="3"/>
  <c r="G23" i="3"/>
  <c r="G24" i="3"/>
  <c r="G25" i="3"/>
  <c r="G28" i="3"/>
  <c r="G30" i="3"/>
  <c r="G31" i="3"/>
  <c r="G2" i="3"/>
  <c r="E3" i="3" l="1"/>
  <c r="E14" i="3"/>
  <c r="E15" i="3"/>
  <c r="E23" i="3"/>
  <c r="E24" i="3"/>
  <c r="E25" i="3"/>
  <c r="E28" i="3"/>
  <c r="E30" i="3"/>
  <c r="E31" i="3"/>
  <c r="E2" i="3"/>
  <c r="J3" i="2" l="1"/>
  <c r="J15" i="2"/>
  <c r="J23" i="2"/>
  <c r="J24" i="2"/>
  <c r="J25" i="2"/>
  <c r="J28" i="2"/>
  <c r="J30" i="2"/>
  <c r="J31" i="2"/>
  <c r="I3" i="2"/>
  <c r="I15" i="2"/>
  <c r="I23" i="2"/>
  <c r="I24" i="2"/>
  <c r="I25" i="2"/>
  <c r="I28" i="2"/>
  <c r="I30" i="2"/>
  <c r="I31" i="2"/>
  <c r="H3" i="2"/>
  <c r="H15" i="2"/>
  <c r="H23" i="2"/>
  <c r="H24" i="2"/>
  <c r="H25" i="2"/>
  <c r="H28" i="2"/>
  <c r="H30" i="2"/>
  <c r="H31" i="2"/>
  <c r="J2" i="2"/>
  <c r="I2" i="2"/>
  <c r="H2" i="2" l="1"/>
  <c r="F31" i="2"/>
  <c r="F30" i="2"/>
  <c r="F28" i="2"/>
  <c r="F25" i="2"/>
  <c r="F24" i="2"/>
  <c r="F23" i="2"/>
  <c r="F15" i="2"/>
  <c r="F3" i="2"/>
  <c r="F2" i="2" l="1"/>
  <c r="E3" i="2"/>
  <c r="E15" i="2"/>
  <c r="E23" i="2"/>
  <c r="E24" i="2"/>
  <c r="E25" i="2"/>
  <c r="E28" i="2"/>
  <c r="E30" i="2"/>
  <c r="E31" i="2"/>
  <c r="E2" i="2" l="1"/>
  <c r="J38" i="1" l="1"/>
  <c r="I38" i="1"/>
  <c r="I39" i="1" s="1"/>
  <c r="H38" i="1"/>
  <c r="H39" i="1" s="1"/>
  <c r="G38" i="1"/>
  <c r="F38" i="1"/>
  <c r="E38" i="1"/>
  <c r="D38" i="1"/>
  <c r="C38" i="1"/>
  <c r="B38" i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<sst xmlns="http://schemas.openxmlformats.org/spreadsheetml/2006/main" count="106" uniqueCount="37">
  <si>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</si>
  <si>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</si>
  <si>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</si>
  <si>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</si>
  <si>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</si>
  <si>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</si>
  <si>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</si>
  <si>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</si>
  <si>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</si>
  <si>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</si>
  <si>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</si>
  <si>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</si>
  <si>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</si>
  <si>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</si>
  <si>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</si>
  <si>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</si>
  <si>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</si>
  <si>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</si>
  <si>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</si>
  <si>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</si>
  <si>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</si>
  <si>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</si>
  <si>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</si>
  <si>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</si>
  <si>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</si>
  <si>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</si>
  <si>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</si>
  <si>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</si>
  <si>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</si>
  <si>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</si>
  <si>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</si>
  <si>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</si>
  <si>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</si>
  <si>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</si>
  <si>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</si>
  <si>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</si>
  <si>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July'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</si>
</sst>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64" fontId="5" fillId="0" borderId="15" xfId="0" applyNumberFormat="1" applyFont="1" applyBorder="1" applyAlignment="1">
      <alignment horizontal="center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" xfId="0" applyNumberFormat="1" applyFont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1" fontId="5" fillId="0" borderId="16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opLeftCell="A4" workbookViewId="0">
      <selection activeCell="L29" sqref="L2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7</v>
      </c>
      <c r="D2">
        <v>2020</v>
      </c>
      <c r="E2" s="24">
        <f>'07 - 2020'!B8-'07 - 2020'!B7+'07 - 2020'!C8-'07 - 2020'!C7</f>
        <v>5021</v>
      </c>
      <c r="F2" s="22">
        <v>0.11799999999999999</v>
      </c>
      <c r="G2" s="24">
        <f>(('07 - 2020'!E8-'07 - 2020'!E7)+('07 - 2020'!F8-'07 - 2020'!F7)+('07 - 2020'!G8-'07 - 2020'!G7))*1.81</f>
        <v>51.621199999997501</v>
      </c>
      <c r="H2" s="22">
        <v>0.99</v>
      </c>
      <c r="I2" s="24">
        <f>'07 - 2020'!J8-'07 - 2020'!J7</f>
        <v>20149</v>
      </c>
      <c r="J2" s="22">
        <v>8.1000000000000003E-2</v>
      </c>
      <c r="K2" s="56">
        <f>'07 - 2020'!H8-'07 - 2020'!H7</f>
        <v>0</v>
      </c>
      <c r="L2" s="24">
        <f>'07 - 2020'!I8-'07 - 2020'!I7</f>
        <v>31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7</v>
      </c>
      <c r="D3" s="22">
        <v>2020</v>
      </c>
      <c r="E3" s="24">
        <f>'07 - 2020'!B9-'07 - 2020'!B8+'07 - 2020'!C9-'07 - 2020'!C8</f>
        <v>5050</v>
      </c>
      <c r="F3" s="22">
        <v>0.11799999999999999</v>
      </c>
      <c r="G3" s="24">
        <f>(('07 - 2020'!E9-'07 - 2020'!E8)+('07 - 2020'!F9-'07 - 2020'!F8)+('07 - 2020'!G9-'07 - 2020'!G8))*1.81</f>
        <v>45.539600000003027</v>
      </c>
      <c r="H3" s="22">
        <v>0.99</v>
      </c>
      <c r="I3" s="24">
        <f>'07 - 2020'!J9-'07 - 2020'!J8</f>
        <v>22822</v>
      </c>
      <c r="J3" s="22">
        <v>8.1000000000000003E-2</v>
      </c>
      <c r="K3" s="56">
        <f>'07 - 2020'!H9-'07 - 2020'!H8</f>
        <v>0</v>
      </c>
      <c r="L3" s="24">
        <f>'07 - 2020'!I9-'07 - 2020'!I8</f>
        <v>29</v>
      </c>
      <c r="M3" s="23">
        <v>4.393629424766913</v>
      </c>
      <c r="N3" s="48">
        <v>0</v>
      </c>
    </row>
    <row r="4" spans="1:15" x14ac:dyDescent="0.25">
      <c r="A4" t="s">
        <v>27</v>
      </c>
      <c r="B4">
        <f t="shared" ref="B4:B31" si="0">B3+1</f>
        <v>3</v>
      </c>
      <c r="C4" s="22">
        <v>7</v>
      </c>
      <c r="D4" s="22">
        <v>2020</v>
      </c>
      <c r="E4" s="24">
        <f>'07 - 2020'!B10-'07 - 2020'!B9+'07 - 2020'!C10-'07 - 2020'!C9</f>
        <v>5017</v>
      </c>
      <c r="F4" s="22">
        <v>0.11799999999999999</v>
      </c>
      <c r="G4" s="24">
        <f>(('07 - 2020'!E10-'07 - 2020'!E9)+('07 - 2020'!F10-'07 - 2020'!F9)+('07 - 2020'!G10-'07 - 2020'!G9))*1.81</f>
        <v>50.408499999997368</v>
      </c>
      <c r="H4" s="22">
        <v>0.99</v>
      </c>
      <c r="I4" s="24">
        <f>'07 - 2020'!J10-'07 - 2020'!J9</f>
        <v>20085</v>
      </c>
      <c r="J4" s="22">
        <v>8.1000000000000003E-2</v>
      </c>
      <c r="K4" s="56">
        <f>'07 - 2020'!H10-'07 - 2020'!H9</f>
        <v>0</v>
      </c>
      <c r="L4" s="24">
        <f>'07 - 2020'!I10-'07 - 2020'!I9</f>
        <v>39</v>
      </c>
      <c r="M4" s="23">
        <v>4.393629424766913</v>
      </c>
      <c r="N4" s="48">
        <v>0</v>
      </c>
    </row>
    <row r="5" spans="1:15" x14ac:dyDescent="0.25">
      <c r="A5" t="s">
        <v>27</v>
      </c>
      <c r="B5">
        <f t="shared" si="0"/>
        <v>4</v>
      </c>
      <c r="C5" s="22">
        <v>7</v>
      </c>
      <c r="D5" s="22">
        <v>2020</v>
      </c>
      <c r="E5" s="24">
        <f>'07 - 2020'!B11-'07 - 2020'!B10+'07 - 2020'!C11-'07 - 2020'!C10</f>
        <v>4952</v>
      </c>
      <c r="F5" s="22">
        <v>0.11799999999999999</v>
      </c>
      <c r="G5" s="24">
        <f>(('07 - 2020'!E11-'07 - 2020'!E10)+('07 - 2020'!F11-'07 - 2020'!F10)+('07 - 2020'!G11-'07 - 2020'!G10))*1.81</f>
        <v>47.367700000000134</v>
      </c>
      <c r="H5" s="22">
        <v>0.99</v>
      </c>
      <c r="I5" s="24">
        <f>'07 - 2020'!J11-'07 - 2020'!J10</f>
        <v>20848</v>
      </c>
      <c r="J5" s="22">
        <v>8.1000000000000003E-2</v>
      </c>
      <c r="K5" s="56">
        <f>'07 - 2020'!H11-'07 - 2020'!H10</f>
        <v>0</v>
      </c>
      <c r="L5" s="24">
        <f>'07 - 2020'!I11-'07 - 2020'!I10</f>
        <v>22</v>
      </c>
      <c r="M5" s="23">
        <v>4.393629424766913</v>
      </c>
      <c r="N5" s="48">
        <v>0</v>
      </c>
    </row>
    <row r="6" spans="1:15" x14ac:dyDescent="0.25">
      <c r="A6" t="s">
        <v>27</v>
      </c>
      <c r="B6">
        <f t="shared" si="0"/>
        <v>5</v>
      </c>
      <c r="C6" s="22">
        <v>7</v>
      </c>
      <c r="D6" s="22">
        <v>2020</v>
      </c>
      <c r="E6" s="24">
        <f>'07 - 2020'!B12-'07 - 2020'!B11+'07 - 2020'!C12-'07 - 2020'!C11</f>
        <v>5276.1300000000047</v>
      </c>
      <c r="F6" s="22">
        <v>0.11799999999999999</v>
      </c>
      <c r="G6" s="24">
        <f>(('07 - 2020'!E12-'07 - 2020'!E11)+('07 - 2020'!F12-'07 - 2020'!F11)+('07 - 2020'!G12-'07 - 2020'!G11))*1.81</f>
        <v>48.091700000002767</v>
      </c>
      <c r="H6" s="22">
        <v>0.99</v>
      </c>
      <c r="I6" s="24">
        <f>'07 - 2020'!J12-'07 - 2020'!J11</f>
        <v>26147</v>
      </c>
      <c r="J6" s="22">
        <v>8.1000000000000003E-2</v>
      </c>
      <c r="K6" s="56">
        <f>'07 - 2020'!H12-'07 - 2020'!H11</f>
        <v>0</v>
      </c>
      <c r="L6" s="24">
        <f>'07 - 2020'!I12-'07 - 2020'!I11</f>
        <v>35</v>
      </c>
      <c r="M6" s="23">
        <v>4.3936294247669103</v>
      </c>
      <c r="N6" s="48">
        <v>0</v>
      </c>
    </row>
    <row r="7" spans="1:15" x14ac:dyDescent="0.25">
      <c r="A7" t="s">
        <v>27</v>
      </c>
      <c r="B7">
        <f t="shared" si="0"/>
        <v>6</v>
      </c>
      <c r="C7" s="22">
        <v>7</v>
      </c>
      <c r="D7" s="22">
        <v>2020</v>
      </c>
      <c r="E7" s="24">
        <f>'07 - 2020'!B13-'07 - 2020'!B12+'07 - 2020'!C13-'07 - 2020'!C12</f>
        <v>5387.4000000000233</v>
      </c>
      <c r="F7" s="22">
        <v>0.11799999999999999</v>
      </c>
      <c r="G7" s="24">
        <f>(('07 - 2020'!E13-'07 - 2020'!E12)+('07 - 2020'!F13-'07 - 2020'!F12)+('07 - 2020'!G13-'07 - 2020'!G12))*1.81</f>
        <v>72.870599999996287</v>
      </c>
      <c r="H7" s="22">
        <v>0.99</v>
      </c>
      <c r="I7" s="24">
        <f>'07 - 2020'!J13-'07 - 2020'!J12</f>
        <v>28114</v>
      </c>
      <c r="J7" s="22">
        <v>8.1000000000000003E-2</v>
      </c>
      <c r="K7" s="56">
        <f>'07 - 2020'!H13-'07 - 2020'!H12</f>
        <v>0</v>
      </c>
      <c r="L7" s="24">
        <f>'07 - 2020'!I13-'07 - 2020'!I12</f>
        <v>37</v>
      </c>
      <c r="M7" s="23">
        <v>4.3936294247669103</v>
      </c>
      <c r="N7" s="48">
        <v>0</v>
      </c>
    </row>
    <row r="8" spans="1:15" x14ac:dyDescent="0.25">
      <c r="A8" t="s">
        <v>27</v>
      </c>
      <c r="B8">
        <f t="shared" si="0"/>
        <v>7</v>
      </c>
      <c r="C8" s="22">
        <v>7</v>
      </c>
      <c r="D8" s="22">
        <v>2020</v>
      </c>
      <c r="E8" s="24">
        <f>'07 - 2020'!B14-'07 - 2020'!B13+'07 - 2020'!C14-'07 - 2020'!C13</f>
        <v>5251.7700000000186</v>
      </c>
      <c r="F8" s="22">
        <v>0.11799999999999999</v>
      </c>
      <c r="G8" s="24">
        <f>(('07 - 2020'!E14-'07 - 2020'!E13)+('07 - 2020'!F14-'07 - 2020'!F13)+('07 - 2020'!G14-'07 - 2020'!G13))*1.81</f>
        <v>61.250399999999445</v>
      </c>
      <c r="H8" s="22">
        <v>0.99</v>
      </c>
      <c r="I8" s="24">
        <f>'07 - 2020'!J14-'07 - 2020'!J13</f>
        <v>22291</v>
      </c>
      <c r="J8" s="22">
        <v>8.1000000000000003E-2</v>
      </c>
      <c r="K8" s="56">
        <f>'07 - 2020'!H14-'07 - 2020'!H13</f>
        <v>0</v>
      </c>
      <c r="L8" s="24">
        <f>'07 - 2020'!I14-'07 - 2020'!I13</f>
        <v>31</v>
      </c>
      <c r="M8" s="23">
        <v>4.3936294247669103</v>
      </c>
      <c r="N8" s="48">
        <v>0</v>
      </c>
      <c r="O8" s="24"/>
    </row>
    <row r="9" spans="1:15" x14ac:dyDescent="0.25">
      <c r="A9" t="s">
        <v>27</v>
      </c>
      <c r="B9">
        <f t="shared" si="0"/>
        <v>8</v>
      </c>
      <c r="C9" s="22">
        <v>7</v>
      </c>
      <c r="D9" s="22">
        <v>2020</v>
      </c>
      <c r="E9" s="24">
        <f>'07 - 2020'!B15-'07 - 2020'!B14+'07 - 2020'!C15-'07 - 2020'!C14</f>
        <v>5227.6999999999534</v>
      </c>
      <c r="F9" s="22">
        <v>0.11799999999999999</v>
      </c>
      <c r="G9" s="24">
        <f>(('07 - 2020'!E15-'07 - 2020'!E14)+('07 - 2020'!F15-'07 - 2020'!F14)+('07 - 2020'!G15-'07 - 2020'!G14))*1.81</f>
        <v>57.775199999998485</v>
      </c>
      <c r="H9" s="22">
        <v>0.99</v>
      </c>
      <c r="I9" s="24">
        <f>'07 - 2020'!J15-'07 - 2020'!J14</f>
        <v>23681</v>
      </c>
      <c r="J9" s="22">
        <v>8.1000000000000003E-2</v>
      </c>
      <c r="K9" s="56">
        <f>'07 - 2020'!H15-'07 - 2020'!H14</f>
        <v>0</v>
      </c>
      <c r="L9" s="24">
        <f>'07 - 2020'!I15-'07 - 2020'!I14</f>
        <v>23</v>
      </c>
      <c r="M9" s="23">
        <v>4.3936294247669103</v>
      </c>
      <c r="N9" s="48">
        <v>0</v>
      </c>
    </row>
    <row r="10" spans="1:15" x14ac:dyDescent="0.25">
      <c r="A10" t="s">
        <v>27</v>
      </c>
      <c r="B10">
        <f t="shared" si="0"/>
        <v>9</v>
      </c>
      <c r="C10" s="22">
        <v>7</v>
      </c>
      <c r="D10" s="22">
        <v>2020</v>
      </c>
      <c r="E10" s="24">
        <f>'07 - 2020'!B16-'07 - 2020'!B15+'07 - 2020'!C16-'07 - 2020'!C15</f>
        <v>5366.0999999999767</v>
      </c>
      <c r="F10" s="22">
        <v>0.11799999999999999</v>
      </c>
      <c r="G10" s="24">
        <f>(('07 - 2020'!E16-'07 - 2020'!E15)+('07 - 2020'!F16-'07 - 2020'!F15)+('07 - 2020'!G16-'07 - 2020'!G15))*1.81</f>
        <v>62.91560000000122</v>
      </c>
      <c r="H10" s="22">
        <v>0.99</v>
      </c>
      <c r="I10" s="24">
        <f>'07 - 2020'!J16-'07 - 2020'!J15</f>
        <v>24411</v>
      </c>
      <c r="J10" s="22">
        <v>8.1000000000000003E-2</v>
      </c>
      <c r="K10" s="56">
        <f>'07 - 2020'!H16-'07 - 2020'!H15</f>
        <v>0</v>
      </c>
      <c r="L10" s="24">
        <f>'07 - 2020'!I16-'07 - 2020'!I15</f>
        <v>24</v>
      </c>
      <c r="M10" s="23">
        <v>4.3936294247669103</v>
      </c>
      <c r="N10" s="48">
        <v>0</v>
      </c>
    </row>
    <row r="11" spans="1:15" x14ac:dyDescent="0.25">
      <c r="A11" t="s">
        <v>27</v>
      </c>
      <c r="B11">
        <f t="shared" si="0"/>
        <v>10</v>
      </c>
      <c r="C11" s="22">
        <v>7</v>
      </c>
      <c r="D11" s="22">
        <v>2020</v>
      </c>
      <c r="E11" s="24">
        <f>'07 - 2020'!B17-'07 - 2020'!B16+'07 - 2020'!C17-'07 - 2020'!C16</f>
        <v>5358.3000000000466</v>
      </c>
      <c r="F11" s="22">
        <v>0.11799999999999999</v>
      </c>
      <c r="G11" s="24">
        <f>(('07 - 2020'!E17-'07 - 2020'!E16)+('07 - 2020'!F17-'07 - 2020'!F16)+('07 - 2020'!G17-'07 - 2020'!G16))*1.81</f>
        <v>62.93370000000079</v>
      </c>
      <c r="H11" s="22">
        <v>0.99</v>
      </c>
      <c r="I11" s="24">
        <f>'07 - 2020'!J17-'07 - 2020'!J16</f>
        <v>23953</v>
      </c>
      <c r="J11" s="22">
        <v>8.1000000000000003E-2</v>
      </c>
      <c r="K11" s="56">
        <f>'07 - 2020'!H17-'07 - 2020'!H16</f>
        <v>0</v>
      </c>
      <c r="L11" s="24">
        <f>'07 - 2020'!I17-'07 - 2020'!I16</f>
        <v>65</v>
      </c>
      <c r="M11" s="23">
        <v>4.3936294247669103</v>
      </c>
      <c r="N11" s="48">
        <v>0</v>
      </c>
    </row>
    <row r="12" spans="1:15" x14ac:dyDescent="0.25">
      <c r="A12" t="s">
        <v>27</v>
      </c>
      <c r="B12">
        <f t="shared" si="0"/>
        <v>11</v>
      </c>
      <c r="C12" s="22">
        <v>7</v>
      </c>
      <c r="D12" s="22">
        <v>2020</v>
      </c>
      <c r="E12" s="24">
        <f>'07 - 2020'!B18-'07 - 2020'!B17+'07 - 2020'!C18-'07 - 2020'!C17</f>
        <v>5508.1999999999534</v>
      </c>
      <c r="F12" s="22">
        <v>0.11799999999999999</v>
      </c>
      <c r="G12" s="24">
        <f>(('07 - 2020'!E18-'07 - 2020'!E17)+('07 - 2020'!F18-'07 - 2020'!F17)+('07 - 2020'!G18-'07 - 2020'!G17))*1.81</f>
        <v>60.598800000004147</v>
      </c>
      <c r="H12" s="22">
        <v>0.99</v>
      </c>
      <c r="I12" s="24">
        <f>'07 - 2020'!J18-'07 - 2020'!J17</f>
        <v>22539</v>
      </c>
      <c r="J12" s="22">
        <v>8.1000000000000003E-2</v>
      </c>
      <c r="K12" s="56">
        <f>'07 - 2020'!H18-'07 - 2020'!H17</f>
        <v>0</v>
      </c>
      <c r="L12" s="24">
        <f>'07 - 2020'!I18-'07 - 2020'!I17</f>
        <v>40</v>
      </c>
      <c r="M12" s="23">
        <v>4.3936294247669103</v>
      </c>
      <c r="N12" s="24">
        <v>0</v>
      </c>
    </row>
    <row r="13" spans="1:15" x14ac:dyDescent="0.25">
      <c r="A13" t="s">
        <v>27</v>
      </c>
      <c r="B13">
        <f t="shared" si="0"/>
        <v>12</v>
      </c>
      <c r="C13" s="22">
        <v>7</v>
      </c>
      <c r="D13" s="22">
        <v>2020</v>
      </c>
      <c r="E13" s="24">
        <f>'07 - 2020'!B19-'07 - 2020'!B18+'07 - 2020'!C19-'07 - 2020'!C18</f>
        <v>4948.9000000000233</v>
      </c>
      <c r="F13" s="22">
        <v>0.11799999999999999</v>
      </c>
      <c r="G13" s="24">
        <f>(('07 - 2020'!E19-'07 - 2020'!E18)+('07 - 2020'!F19-'07 - 2020'!F18)+('07 - 2020'!G19-'07 - 2020'!G18))*1.81</f>
        <v>46.26359999999579</v>
      </c>
      <c r="H13" s="22">
        <v>0.99</v>
      </c>
      <c r="I13" s="24">
        <f>'07 - 2020'!J19-'07 - 2020'!J18</f>
        <v>22630</v>
      </c>
      <c r="J13" s="22">
        <v>8.1000000000000003E-2</v>
      </c>
      <c r="K13" s="56">
        <f>'07 - 2020'!H19-'07 - 2020'!H18</f>
        <v>0</v>
      </c>
      <c r="L13" s="24">
        <f>'07 - 2020'!I19-'07 - 2020'!I18</f>
        <v>42</v>
      </c>
      <c r="M13" s="23">
        <v>4.3936294247669103</v>
      </c>
      <c r="N13" s="24">
        <v>0</v>
      </c>
    </row>
    <row r="14" spans="1:15" x14ac:dyDescent="0.25">
      <c r="A14" t="s">
        <v>27</v>
      </c>
      <c r="B14">
        <f t="shared" si="0"/>
        <v>13</v>
      </c>
      <c r="C14" s="22">
        <v>7</v>
      </c>
      <c r="D14" s="22">
        <v>2020</v>
      </c>
      <c r="E14" s="24">
        <f>'07 - 2020'!B20-'07 - 2020'!B19+'07 - 2020'!C20-'07 - 2020'!C19</f>
        <v>5366.1999999999534</v>
      </c>
      <c r="F14" s="22">
        <v>0.11799999999999999</v>
      </c>
      <c r="G14" s="24">
        <f>(('07 - 2020'!E20-'07 - 2020'!E19)+('07 - 2020'!F20-'07 - 2020'!F19)+('07 - 2020'!G20-'07 - 2020'!G19))*1.81</f>
        <v>58.408699999999143</v>
      </c>
      <c r="H14" s="22">
        <v>0.99</v>
      </c>
      <c r="I14" s="24">
        <f>'07 - 2020'!J20-'07 - 2020'!J19</f>
        <v>23434</v>
      </c>
      <c r="J14" s="22">
        <v>8.1000000000000003E-2</v>
      </c>
      <c r="K14" s="56">
        <f>'07 - 2020'!H20-'07 - 2020'!H19</f>
        <v>0</v>
      </c>
      <c r="L14" s="24">
        <f>'07 - 2020'!I20-'07 - 2020'!I19</f>
        <v>45</v>
      </c>
      <c r="M14" s="23">
        <v>4.3936294247669103</v>
      </c>
      <c r="N14" s="24">
        <v>0</v>
      </c>
      <c r="O14" s="24"/>
    </row>
    <row r="15" spans="1:15" x14ac:dyDescent="0.25">
      <c r="A15" t="s">
        <v>27</v>
      </c>
      <c r="B15">
        <f t="shared" si="0"/>
        <v>14</v>
      </c>
      <c r="C15" s="22">
        <v>7</v>
      </c>
      <c r="D15" s="22">
        <v>2020</v>
      </c>
      <c r="E15" s="24">
        <f>'07 - 2020'!B21-'07 - 2020'!B20+'07 - 2020'!C21-'07 - 2020'!C20</f>
        <v>5225.3000000000466</v>
      </c>
      <c r="F15" s="22">
        <v>0.11799999999999999</v>
      </c>
      <c r="G15" s="24">
        <f>(('07 - 2020'!E21-'07 - 2020'!E20)+('07 - 2020'!F21-'07 - 2020'!F20)+('07 - 2020'!G21-'07 - 2020'!G20))*1.81</f>
        <v>59.657600000003363</v>
      </c>
      <c r="H15" s="22">
        <v>0.99</v>
      </c>
      <c r="I15" s="24">
        <f>'07 - 2020'!J21-'07 - 2020'!J20</f>
        <v>25705</v>
      </c>
      <c r="J15" s="22">
        <v>8.1000000000000003E-2</v>
      </c>
      <c r="K15" s="56">
        <f>'07 - 2020'!H21-'07 - 2020'!H20</f>
        <v>0</v>
      </c>
      <c r="L15" s="24">
        <f>'07 - 2020'!I21-'07 - 2020'!I20</f>
        <v>39</v>
      </c>
      <c r="M15" s="23">
        <v>4.3936294247669103</v>
      </c>
      <c r="N15" s="24">
        <v>0</v>
      </c>
    </row>
    <row r="16" spans="1:15" x14ac:dyDescent="0.25">
      <c r="A16" t="s">
        <v>27</v>
      </c>
      <c r="B16">
        <f t="shared" si="0"/>
        <v>15</v>
      </c>
      <c r="C16" s="22">
        <v>7</v>
      </c>
      <c r="D16" s="22">
        <v>2020</v>
      </c>
      <c r="E16" s="24">
        <f>'07 - 2020'!B22-'07 - 2020'!B21+'07 - 2020'!C22-'07 - 2020'!C21</f>
        <v>5484.9000000000233</v>
      </c>
      <c r="F16" s="22">
        <v>0.11799999999999999</v>
      </c>
      <c r="G16" s="24">
        <f>(('07 - 2020'!E22-'07 - 2020'!E21)+('07 - 2020'!F22-'07 - 2020'!F21)+('07 - 2020'!G22-'07 - 2020'!G21))*1.81</f>
        <v>65.413399999997296</v>
      </c>
      <c r="H16" s="22">
        <v>0.99</v>
      </c>
      <c r="I16" s="24">
        <f>'07 - 2020'!J22-'07 - 2020'!J21</f>
        <v>24718</v>
      </c>
      <c r="J16" s="22">
        <v>8.1000000000000003E-2</v>
      </c>
      <c r="K16" s="56">
        <f>'07 - 2020'!H22-'07 - 2020'!H21</f>
        <v>0</v>
      </c>
      <c r="L16" s="24">
        <f>'07 - 2020'!I22-'07 - 2020'!I21</f>
        <v>41</v>
      </c>
      <c r="M16" s="23">
        <v>4.3936294247669103</v>
      </c>
      <c r="N16" s="24">
        <v>0</v>
      </c>
    </row>
    <row r="17" spans="1:16" x14ac:dyDescent="0.25">
      <c r="A17" t="s">
        <v>27</v>
      </c>
      <c r="B17">
        <f t="shared" si="0"/>
        <v>16</v>
      </c>
      <c r="C17" s="22">
        <v>7</v>
      </c>
      <c r="D17" s="22">
        <v>2020</v>
      </c>
      <c r="E17" s="24">
        <f>'07 - 2020'!B23-'07 - 2020'!B22+'07 - 2020'!C23-'07 - 2020'!C22</f>
        <v>5642.7000000000698</v>
      </c>
      <c r="F17" s="22">
        <v>0.11799999999999999</v>
      </c>
      <c r="G17" s="24">
        <f>(('07 - 2020'!E23-'07 - 2020'!E22)+('07 - 2020'!F23-'07 - 2020'!F22)+('07 - 2020'!G23-'07 - 2020'!G22))*1.81</f>
        <v>63.440500000003624</v>
      </c>
      <c r="H17" s="22">
        <v>0.99</v>
      </c>
      <c r="I17" s="24">
        <f>'07 - 2020'!J23-'07 - 2020'!J22</f>
        <v>26411</v>
      </c>
      <c r="J17" s="22">
        <v>8.1000000000000003E-2</v>
      </c>
      <c r="K17" s="56">
        <f>'07 - 2020'!H23-'07 - 2020'!H22</f>
        <v>0</v>
      </c>
      <c r="L17" s="24">
        <f>'07 - 2020'!I23-'07 - 2020'!I22</f>
        <v>46</v>
      </c>
      <c r="M17" s="23">
        <v>4.3936294247669103</v>
      </c>
      <c r="N17" s="24">
        <v>0</v>
      </c>
    </row>
    <row r="18" spans="1:16" x14ac:dyDescent="0.25">
      <c r="A18" t="s">
        <v>27</v>
      </c>
      <c r="B18">
        <f t="shared" si="0"/>
        <v>17</v>
      </c>
      <c r="C18" s="22">
        <v>7</v>
      </c>
      <c r="D18" s="22">
        <v>2020</v>
      </c>
      <c r="E18" s="24">
        <f>'07 - 2020'!B24-'07 - 2020'!B23+'07 - 2020'!C24-'07 - 2020'!C23</f>
        <v>6152.0999999998603</v>
      </c>
      <c r="F18" s="22">
        <v>0.11799999999999999</v>
      </c>
      <c r="G18" s="24">
        <f>(('07 - 2020'!E24-'07 - 2020'!E23)+('07 - 2020'!F24-'07 - 2020'!F23)+('07 - 2020'!G24-'07 - 2020'!G23))*1.81</f>
        <v>85.069999999995062</v>
      </c>
      <c r="H18" s="22">
        <v>0.99</v>
      </c>
      <c r="I18" s="24">
        <f>'07 - 2020'!J24-'07 - 2020'!J23</f>
        <v>27949</v>
      </c>
      <c r="J18" s="22">
        <v>8.1000000000000003E-2</v>
      </c>
      <c r="K18" s="56">
        <f>'07 - 2020'!H24-'07 - 2020'!H23</f>
        <v>0</v>
      </c>
      <c r="L18" s="24">
        <f>'07 - 2020'!I24-'07 - 2020'!I23</f>
        <v>45</v>
      </c>
      <c r="M18" s="23">
        <v>4.3936294247669103</v>
      </c>
      <c r="N18" s="24">
        <v>0</v>
      </c>
    </row>
    <row r="19" spans="1:16" x14ac:dyDescent="0.25">
      <c r="A19" t="s">
        <v>27</v>
      </c>
      <c r="B19">
        <f>B18+1</f>
        <v>18</v>
      </c>
      <c r="C19" s="22">
        <v>7</v>
      </c>
      <c r="D19" s="22">
        <v>2020</v>
      </c>
      <c r="E19" s="24">
        <f>'07 - 2020'!B25-'07 - 2020'!B24+'07 - 2020'!C25-'07 - 2020'!C24</f>
        <v>5465.6000000000931</v>
      </c>
      <c r="F19" s="22">
        <v>0.11799999999999999</v>
      </c>
      <c r="G19" s="24">
        <f>(('07 - 2020'!E25-'07 - 2020'!E24)+('07 - 2020'!F25-'07 - 2020'!F24)+('07 - 2020'!G25-'07 - 2020'!G24))*1.81</f>
        <v>72.979200000002763</v>
      </c>
      <c r="H19" s="22">
        <v>0.99</v>
      </c>
      <c r="I19" s="24">
        <f>'07 - 2020'!J25-'07 - 2020'!J24</f>
        <v>24096</v>
      </c>
      <c r="J19" s="22">
        <v>8.1000000000000003E-2</v>
      </c>
      <c r="K19" s="56">
        <f>'07 - 2020'!H25-'07 - 2020'!H24</f>
        <v>0</v>
      </c>
      <c r="L19" s="24">
        <f>'07 - 2020'!I25-'07 - 2020'!I24</f>
        <v>45</v>
      </c>
      <c r="M19" s="23">
        <v>4.3936294247669103</v>
      </c>
      <c r="N19" s="49">
        <v>0</v>
      </c>
    </row>
    <row r="20" spans="1:16" x14ac:dyDescent="0.25">
      <c r="A20" t="s">
        <v>27</v>
      </c>
      <c r="B20">
        <f t="shared" si="0"/>
        <v>19</v>
      </c>
      <c r="C20" s="22">
        <v>7</v>
      </c>
      <c r="D20" s="22">
        <v>2020</v>
      </c>
      <c r="E20" s="24">
        <f>'07 - 2020'!B26-'07 - 2020'!B25+'07 - 2020'!C26-'07 - 2020'!C25</f>
        <v>5694.1999999999534</v>
      </c>
      <c r="F20" s="22">
        <v>0.11799999999999999</v>
      </c>
      <c r="G20" s="24">
        <f>(('07 - 2020'!E26-'07 - 2020'!E25)+('07 - 2020'!F26-'07 - 2020'!F25)+('07 - 2020'!G26-'07 - 2020'!G25))*1.81</f>
        <v>48.996699999999471</v>
      </c>
      <c r="H20" s="22">
        <v>0.99</v>
      </c>
      <c r="I20" s="24">
        <f>'07 - 2020'!J26-'07 - 2020'!J25</f>
        <v>28737</v>
      </c>
      <c r="J20" s="22">
        <v>8.1000000000000003E-2</v>
      </c>
      <c r="K20" s="56">
        <f>'07 - 2020'!H26-'07 - 2020'!H25</f>
        <v>0</v>
      </c>
      <c r="L20" s="24">
        <f>'07 - 2020'!I26-'07 - 2020'!I25</f>
        <v>26</v>
      </c>
      <c r="M20" s="23">
        <v>4.3936294247669103</v>
      </c>
      <c r="N20" s="49">
        <v>0</v>
      </c>
    </row>
    <row r="21" spans="1:16" x14ac:dyDescent="0.25">
      <c r="A21" t="s">
        <v>27</v>
      </c>
      <c r="B21">
        <f t="shared" si="0"/>
        <v>20</v>
      </c>
      <c r="C21" s="22">
        <v>7</v>
      </c>
      <c r="D21" s="22">
        <v>2020</v>
      </c>
      <c r="E21" s="24">
        <f>'07 - 2020'!B27-'07 - 2020'!B26+'07 - 2020'!C27-'07 - 2020'!C26</f>
        <v>5658.8999999999069</v>
      </c>
      <c r="F21" s="22">
        <v>0.11799999999999999</v>
      </c>
      <c r="G21" s="24">
        <f>(('07 - 2020'!E27-'07 - 2020'!E26)+('07 - 2020'!F27-'07 - 2020'!F26)+('07 - 2020'!G27-'07 - 2020'!G26))*1.81</f>
        <v>74.879699999998152</v>
      </c>
      <c r="H21" s="22">
        <v>0.99</v>
      </c>
      <c r="I21" s="24">
        <f>'07 - 2020'!J27-'07 - 2020'!J26</f>
        <v>25868</v>
      </c>
      <c r="J21" s="22">
        <v>8.1000000000000003E-2</v>
      </c>
      <c r="K21" s="56">
        <f>'07 - 2020'!H27-'07 - 2020'!H26</f>
        <v>0</v>
      </c>
      <c r="L21" s="24">
        <f>'07 - 2020'!I27-'07 - 2020'!I26</f>
        <v>37</v>
      </c>
      <c r="M21" s="23">
        <v>4.3936294247669103</v>
      </c>
      <c r="N21" s="49">
        <v>0</v>
      </c>
    </row>
    <row r="22" spans="1:16" x14ac:dyDescent="0.25">
      <c r="A22" t="s">
        <v>27</v>
      </c>
      <c r="B22">
        <f t="shared" si="0"/>
        <v>21</v>
      </c>
      <c r="C22" s="22">
        <v>7</v>
      </c>
      <c r="D22" s="22">
        <v>2020</v>
      </c>
      <c r="E22" s="24">
        <f>'07 - 2020'!B28-'07 - 2020'!B27+'07 - 2020'!C28-'07 - 2020'!C27</f>
        <v>5960.6000000000931</v>
      </c>
      <c r="F22" s="22">
        <v>0.11799999999999999</v>
      </c>
      <c r="G22" s="24">
        <f>(('07 - 2020'!E28-'07 - 2020'!E27)+('07 - 2020'!F28-'07 - 2020'!F27)+('07 - 2020'!G28-'07 - 2020'!G27))*1.81</f>
        <v>66.879500000001315</v>
      </c>
      <c r="H22" s="22">
        <v>0.99</v>
      </c>
      <c r="I22" s="24">
        <f>'07 - 2020'!J28-'07 - 2020'!J27</f>
        <v>28958</v>
      </c>
      <c r="J22" s="22">
        <v>8.1000000000000003E-2</v>
      </c>
      <c r="K22" s="56">
        <f>'07 - 2020'!H28-'07 - 2020'!H27</f>
        <v>0</v>
      </c>
      <c r="L22" s="24">
        <f>'07 - 2020'!I28-'07 - 2020'!I27</f>
        <v>49</v>
      </c>
      <c r="M22" s="23">
        <v>4.3936294247669103</v>
      </c>
      <c r="N22" s="49">
        <v>0</v>
      </c>
    </row>
    <row r="23" spans="1:16" x14ac:dyDescent="0.25">
      <c r="A23" t="s">
        <v>27</v>
      </c>
      <c r="B23">
        <f t="shared" si="0"/>
        <v>22</v>
      </c>
      <c r="C23" s="22">
        <v>7</v>
      </c>
      <c r="D23" s="22">
        <v>2020</v>
      </c>
      <c r="E23" s="24">
        <f>'07 - 2020'!B29-'07 - 2020'!B28+'07 - 2020'!C29-'07 - 2020'!C28</f>
        <v>5527.6000000000931</v>
      </c>
      <c r="F23" s="22">
        <v>0.11799999999999999</v>
      </c>
      <c r="G23" s="24">
        <f>(('07 - 2020'!E29-'07 - 2020'!E28)+('07 - 2020'!F29-'07 - 2020'!F28)+('07 - 2020'!G29-'07 - 2020'!G28))*1.81</f>
        <v>68.70760000000007</v>
      </c>
      <c r="H23" s="22">
        <v>0.99</v>
      </c>
      <c r="I23" s="24">
        <f>'07 - 2020'!J29-'07 - 2020'!J28</f>
        <v>28260</v>
      </c>
      <c r="J23" s="22">
        <v>8.1000000000000003E-2</v>
      </c>
      <c r="K23" s="56">
        <f>'07 - 2020'!H29-'07 - 2020'!H28</f>
        <v>0</v>
      </c>
      <c r="L23" s="24">
        <f>'07 - 2020'!I29-'07 - 2020'!I28</f>
        <v>36</v>
      </c>
      <c r="M23" s="23">
        <v>4.3936294247669103</v>
      </c>
      <c r="N23" s="49">
        <v>0</v>
      </c>
    </row>
    <row r="24" spans="1:16" x14ac:dyDescent="0.25">
      <c r="A24" t="s">
        <v>27</v>
      </c>
      <c r="B24">
        <f t="shared" si="0"/>
        <v>23</v>
      </c>
      <c r="C24" s="22">
        <v>7</v>
      </c>
      <c r="D24" s="22">
        <v>2020</v>
      </c>
      <c r="E24" s="24">
        <f>'07 - 2020'!B30-'07 - 2020'!B29+'07 - 2020'!C30-'07 - 2020'!C29</f>
        <v>5928.3999999999069</v>
      </c>
      <c r="F24" s="22">
        <v>0.11799999999999999</v>
      </c>
      <c r="G24" s="24">
        <f>(('07 - 2020'!E30-'07 - 2020'!E29)+('07 - 2020'!F30-'07 - 2020'!F29)+('07 - 2020'!G30-'07 - 2020'!G29))*1.81</f>
        <v>70.698600000002372</v>
      </c>
      <c r="H24" s="22">
        <v>0.99</v>
      </c>
      <c r="I24" s="24">
        <f>'07 - 2020'!J30-'07 - 2020'!J29</f>
        <v>29435</v>
      </c>
      <c r="J24" s="22">
        <v>8.1000000000000003E-2</v>
      </c>
      <c r="K24" s="56">
        <f>'07 - 2020'!H30-'07 - 2020'!H29</f>
        <v>0</v>
      </c>
      <c r="L24" s="24">
        <f>'07 - 2020'!I30-'07 - 2020'!I29</f>
        <v>48</v>
      </c>
      <c r="M24" s="23">
        <v>4.3936294247669103</v>
      </c>
      <c r="N24" s="49">
        <v>0</v>
      </c>
    </row>
    <row r="25" spans="1:16" x14ac:dyDescent="0.25">
      <c r="A25" t="s">
        <v>27</v>
      </c>
      <c r="B25">
        <f t="shared" si="0"/>
        <v>24</v>
      </c>
      <c r="C25" s="22">
        <v>7</v>
      </c>
      <c r="D25" s="22">
        <v>2020</v>
      </c>
      <c r="E25" s="24">
        <f>'07 - 2020'!B31-'07 - 2020'!B30+'07 - 2020'!C31-'07 - 2020'!C30</f>
        <v>6466.5</v>
      </c>
      <c r="F25" s="22">
        <v>0.11799999999999999</v>
      </c>
      <c r="G25" s="24">
        <f>(('07 - 2020'!E31-'07 - 2020'!E30)+('07 - 2020'!F31-'07 - 2020'!F30)+('07 - 2020'!G31-'07 - 2020'!G30))*1.81</f>
        <v>79.820999999996545</v>
      </c>
      <c r="H25" s="22">
        <v>0.99</v>
      </c>
      <c r="I25" s="24">
        <f>'07 - 2020'!J31-'07 - 2020'!J30</f>
        <v>30926</v>
      </c>
      <c r="J25" s="22">
        <v>8.1000000000000003E-2</v>
      </c>
      <c r="K25" s="56">
        <f>'07 - 2020'!H31-'07 - 2020'!H30</f>
        <v>0</v>
      </c>
      <c r="L25" s="24">
        <f>'07 - 2020'!I31-'07 - 2020'!I30</f>
        <v>57</v>
      </c>
      <c r="M25" s="23">
        <v>4.3936294247669103</v>
      </c>
      <c r="N25" s="49">
        <v>0</v>
      </c>
      <c r="P25" s="14"/>
    </row>
    <row r="26" spans="1:16" x14ac:dyDescent="0.25">
      <c r="A26" t="s">
        <v>27</v>
      </c>
      <c r="B26">
        <f>B25+1</f>
        <v>25</v>
      </c>
      <c r="C26" s="22">
        <v>7</v>
      </c>
      <c r="D26" s="22">
        <v>2020</v>
      </c>
      <c r="E26" s="24">
        <f>'07 - 2020'!B32-'07 - 2020'!B31+'07 - 2020'!C32-'07 - 2020'!C31</f>
        <v>6311</v>
      </c>
      <c r="F26" s="22">
        <v>0.11799999999999999</v>
      </c>
      <c r="G26" s="24">
        <f>(('07 - 2020'!E32-'07 - 2020'!E31)+('07 - 2020'!F32-'07 - 2020'!F31)+('07 - 2020'!G32-'07 - 2020'!G31))*1.81</f>
        <v>88.979600000000559</v>
      </c>
      <c r="H26" s="22">
        <v>0.99</v>
      </c>
      <c r="I26" s="24">
        <f>'07 - 2020'!J32-'07 - 2020'!J31</f>
        <v>29050</v>
      </c>
      <c r="J26" s="22">
        <v>8.1000000000000003E-2</v>
      </c>
      <c r="K26" s="56">
        <f>'07 - 2020'!H32-'07 - 2020'!H31</f>
        <v>0</v>
      </c>
      <c r="L26" s="24">
        <f>'07 - 2020'!I32-'07 - 2020'!I31</f>
        <v>45</v>
      </c>
      <c r="M26" s="23">
        <v>4.3936294247669103</v>
      </c>
      <c r="N26" s="49">
        <v>0</v>
      </c>
    </row>
    <row r="27" spans="1:16" x14ac:dyDescent="0.25">
      <c r="A27" t="s">
        <v>27</v>
      </c>
      <c r="B27">
        <f t="shared" si="0"/>
        <v>26</v>
      </c>
      <c r="C27" s="22">
        <v>7</v>
      </c>
      <c r="D27" s="22">
        <v>2020</v>
      </c>
      <c r="E27" s="24">
        <v>0</v>
      </c>
      <c r="F27" s="22">
        <v>0.11799999999999999</v>
      </c>
      <c r="G27" s="24">
        <v>0</v>
      </c>
      <c r="H27" s="22">
        <v>0.99</v>
      </c>
      <c r="I27" s="24">
        <v>0</v>
      </c>
      <c r="J27" s="22">
        <v>8.1000000000000003E-2</v>
      </c>
      <c r="K27" s="56">
        <v>0</v>
      </c>
      <c r="L27" s="24">
        <v>0</v>
      </c>
      <c r="M27" s="23">
        <v>4.3936294247669103</v>
      </c>
      <c r="N27" s="49"/>
    </row>
    <row r="28" spans="1:16" x14ac:dyDescent="0.25">
      <c r="A28" t="s">
        <v>27</v>
      </c>
      <c r="B28">
        <f t="shared" si="0"/>
        <v>27</v>
      </c>
      <c r="C28" s="22">
        <v>7</v>
      </c>
      <c r="D28" s="22">
        <v>2020</v>
      </c>
      <c r="E28" s="24">
        <f>'07 - 2020'!B34-'07 - 2020'!B33+'07 - 2020'!C34-'07 - 2020'!C33</f>
        <v>0</v>
      </c>
      <c r="F28" s="22">
        <v>0.11799999999999999</v>
      </c>
      <c r="G28" s="24">
        <f>(('07 - 2020'!E34-'07 - 2020'!E33)+('07 - 2020'!F34-'07 - 2020'!F33)+('07 - 2020'!G34-'07 - 2020'!G33))*1.81</f>
        <v>0</v>
      </c>
      <c r="H28" s="22">
        <v>0.99</v>
      </c>
      <c r="I28" s="24">
        <f>'07 - 2020'!J34-'07 - 2020'!J33</f>
        <v>0</v>
      </c>
      <c r="J28" s="22">
        <v>8.1000000000000003E-2</v>
      </c>
      <c r="K28" s="56">
        <f>'07 - 2020'!H34-'07 - 2020'!H33</f>
        <v>0</v>
      </c>
      <c r="L28" s="24">
        <f>'07 - 2020'!I34-'07 - 2020'!I33</f>
        <v>0</v>
      </c>
      <c r="M28" s="23">
        <v>4.3936294247669103</v>
      </c>
      <c r="N28" s="49"/>
    </row>
    <row r="29" spans="1:16" x14ac:dyDescent="0.25">
      <c r="A29" t="s">
        <v>27</v>
      </c>
      <c r="B29">
        <f t="shared" si="0"/>
        <v>28</v>
      </c>
      <c r="C29" s="22">
        <v>7</v>
      </c>
      <c r="D29" s="22">
        <v>2020</v>
      </c>
      <c r="E29" s="24">
        <f>'07 - 2020'!B35-'07 - 2020'!B34+'07 - 2020'!C35-'07 - 2020'!C34</f>
        <v>0</v>
      </c>
      <c r="F29" s="22">
        <v>0.11799999999999999</v>
      </c>
      <c r="G29" s="24">
        <f>(('07 - 2020'!E35-'07 - 2020'!E34)+('07 - 2020'!F35-'07 - 2020'!F34)+('07 - 2020'!G35-'07 - 2020'!G34))*1.81</f>
        <v>0</v>
      </c>
      <c r="H29" s="22">
        <v>0.99</v>
      </c>
      <c r="I29" s="24">
        <f>'07 - 2020'!J35-'07 - 2020'!J34</f>
        <v>0</v>
      </c>
      <c r="J29" s="22">
        <v>8.1000000000000003E-2</v>
      </c>
      <c r="K29" s="56">
        <f>'07 - 2020'!H35-'07 - 2020'!H34</f>
        <v>0</v>
      </c>
      <c r="L29" s="24">
        <f>'07 - 2020'!I35-'07 - 2020'!I34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7</v>
      </c>
      <c r="D30" s="22">
        <v>2020</v>
      </c>
      <c r="E30" s="24">
        <f>'07 - 2020'!B36-'07 - 2020'!B35+'07 - 2020'!C36-'07 - 2020'!C35</f>
        <v>0</v>
      </c>
      <c r="F30" s="22">
        <v>0.11799999999999999</v>
      </c>
      <c r="G30" s="24">
        <f>(('07 - 2020'!E36-'07 - 2020'!E35)+('07 - 2020'!F36-'07 - 2020'!F35)+('07 - 2020'!G36-'07 - 2020'!G35))*1.81</f>
        <v>0</v>
      </c>
      <c r="H30" s="22">
        <v>0.99</v>
      </c>
      <c r="I30" s="24">
        <f>'07 - 2020'!J36-'07 - 2020'!J35</f>
        <v>0</v>
      </c>
      <c r="J30" s="22">
        <v>8.1000000000000003E-2</v>
      </c>
      <c r="K30" s="56">
        <f>'07 - 2020'!H36-'07 - 2020'!H35</f>
        <v>0</v>
      </c>
      <c r="L30" s="24">
        <f>'07 - 2020'!I36-'07 - 2020'!I35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 s="22">
        <f t="shared" si="0"/>
        <v>30</v>
      </c>
      <c r="C31" s="22">
        <v>7</v>
      </c>
      <c r="D31" s="22">
        <v>2020</v>
      </c>
      <c r="E31" s="24">
        <f>'07 - 2020'!B37-'07 - 2020'!B36+'07 - 2020'!C37-'07 - 2020'!C36</f>
        <v>0</v>
      </c>
      <c r="F31" s="22">
        <v>0.11799999999999999</v>
      </c>
      <c r="G31" s="24">
        <f>(('07 - 2020'!E37-'07 - 2020'!E36)+('07 - 2020'!F37-'07 - 2020'!F36)+('07 - 2020'!G37-'07 - 2020'!G36))*1.81</f>
        <v>0</v>
      </c>
      <c r="H31" s="22">
        <v>0.99</v>
      </c>
      <c r="I31" s="24">
        <f>'07 - 2020'!J37-'07 - 2020'!J36</f>
        <v>0</v>
      </c>
      <c r="J31" s="22">
        <v>8.1000000000000003E-2</v>
      </c>
      <c r="K31" s="56">
        <f>'07 - 2020'!H37-'07 - 2020'!H36</f>
        <v>0</v>
      </c>
      <c r="L31" s="24">
        <f>'07 - 2020'!I37-'07 - 2020'!I36</f>
        <v>0</v>
      </c>
      <c r="M31" s="23">
        <v>4.3936294247669103</v>
      </c>
    </row>
    <row r="32" spans="1:16" x14ac:dyDescent="0.25">
      <c r="A32" s="22" t="s">
        <v>27</v>
      </c>
      <c r="B32" s="22">
        <f>B31+1</f>
        <v>31</v>
      </c>
      <c r="C32" s="22">
        <v>7</v>
      </c>
      <c r="D32" s="22">
        <v>2020</v>
      </c>
      <c r="E32" s="24">
        <v>0</v>
      </c>
      <c r="F32" s="22">
        <v>0.11799999999999999</v>
      </c>
      <c r="G32" s="24">
        <v>0</v>
      </c>
      <c r="H32" s="22">
        <v>0.99</v>
      </c>
      <c r="I32" s="24">
        <v>0</v>
      </c>
      <c r="J32" s="22">
        <v>8.1000000000000003E-2</v>
      </c>
      <c r="K32" s="56">
        <v>0</v>
      </c>
      <c r="L32" s="24"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29" sqref="J2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7</v>
      </c>
      <c r="D2">
        <v>2020</v>
      </c>
      <c r="E2" s="24">
        <f>'07 - 2020'!B8-'07 - 2020'!B7</f>
        <v>842</v>
      </c>
      <c r="F2" s="24">
        <f>'07 - 2020'!C8-'07 - 2020'!C7</f>
        <v>4179</v>
      </c>
      <c r="G2" s="22">
        <v>0.11799999999999999</v>
      </c>
      <c r="H2" s="24">
        <f>'07 - 2020'!E8-'07 - 2020'!E7</f>
        <v>10.059999999999491</v>
      </c>
      <c r="I2" s="24">
        <f>'07 - 2020'!F8-'07 - 2020'!F7</f>
        <v>0</v>
      </c>
      <c r="J2" s="24">
        <f>'07 - 2020'!G8-'07 - 2020'!G7</f>
        <v>18.459999999999127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7</v>
      </c>
      <c r="D3" s="22">
        <v>2020</v>
      </c>
      <c r="E3" s="24">
        <f>'07 - 2020'!B9-'07 - 2020'!B8</f>
        <v>835</v>
      </c>
      <c r="F3" s="24">
        <f>'07 - 2020'!C9-'07 - 2020'!C8</f>
        <v>4215</v>
      </c>
      <c r="G3" s="22">
        <v>0.11799999999999999</v>
      </c>
      <c r="H3" s="24">
        <f>'07 - 2020'!E9-'07 - 2020'!E8</f>
        <v>9.7399999999997817</v>
      </c>
      <c r="I3" s="24">
        <f>'07 - 2020'!F9-'07 - 2020'!F8</f>
        <v>0</v>
      </c>
      <c r="J3" s="24">
        <f>'07 - 2020'!G9-'07 - 2020'!G8</f>
        <v>15.420000000001892</v>
      </c>
      <c r="K3" s="22">
        <v>0.74</v>
      </c>
      <c r="L3" s="48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7</v>
      </c>
      <c r="D4" s="22">
        <v>2020</v>
      </c>
      <c r="E4" s="24">
        <f>'07 - 2020'!B10-'07 - 2020'!B9</f>
        <v>784</v>
      </c>
      <c r="F4" s="24">
        <f>'07 - 2020'!C10-'07 - 2020'!C9</f>
        <v>4233</v>
      </c>
      <c r="G4" s="22">
        <v>0.11799999999999999</v>
      </c>
      <c r="H4" s="24">
        <f>'07 - 2020'!E10-'07 - 2020'!E9</f>
        <v>11.290000000000873</v>
      </c>
      <c r="I4" s="24">
        <f>'07 - 2020'!F10-'07 - 2020'!F9</f>
        <v>0</v>
      </c>
      <c r="J4" s="24">
        <f>'07 - 2020'!G10-'07 - 2020'!G9</f>
        <v>16.559999999997672</v>
      </c>
      <c r="K4" s="22">
        <v>0.74</v>
      </c>
      <c r="L4" s="48">
        <v>0</v>
      </c>
      <c r="M4" s="12"/>
    </row>
    <row r="5" spans="1:13" x14ac:dyDescent="0.25">
      <c r="A5" t="s">
        <v>27</v>
      </c>
      <c r="B5">
        <f t="shared" si="0"/>
        <v>4</v>
      </c>
      <c r="C5" s="22">
        <v>7</v>
      </c>
      <c r="D5" s="22">
        <v>2020</v>
      </c>
      <c r="E5" s="24">
        <f>'07 - 2020'!B11-'07 - 2020'!B10</f>
        <v>720</v>
      </c>
      <c r="F5" s="24">
        <f>'07 - 2020'!C11-'07 - 2020'!C10</f>
        <v>4232</v>
      </c>
      <c r="G5" s="22">
        <v>0.11799999999999999</v>
      </c>
      <c r="H5" s="24">
        <f>'07 - 2020'!E11-'07 - 2020'!E10</f>
        <v>10.539999999999054</v>
      </c>
      <c r="I5" s="24">
        <f>'07 - 2020'!F11-'07 - 2020'!F10</f>
        <v>0</v>
      </c>
      <c r="J5" s="24">
        <f>'07 - 2020'!G11-'07 - 2020'!G10</f>
        <v>15.630000000001019</v>
      </c>
      <c r="K5" s="22">
        <v>0.74</v>
      </c>
      <c r="L5" s="48">
        <v>0</v>
      </c>
      <c r="M5" s="12"/>
    </row>
    <row r="6" spans="1:13" x14ac:dyDescent="0.25">
      <c r="A6" t="s">
        <v>27</v>
      </c>
      <c r="B6">
        <f t="shared" si="0"/>
        <v>5</v>
      </c>
      <c r="C6" s="22">
        <v>7</v>
      </c>
      <c r="D6" s="22">
        <v>2020</v>
      </c>
      <c r="E6" s="24">
        <f>'07 - 2020'!B12-'07 - 2020'!B11</f>
        <v>942</v>
      </c>
      <c r="F6" s="24">
        <f>'07 - 2020'!C12-'07 - 2020'!C11</f>
        <v>4334.1300000000047</v>
      </c>
      <c r="G6" s="22">
        <v>0.11799999999999999</v>
      </c>
      <c r="H6" s="24">
        <f>'07 - 2020'!E12-'07 - 2020'!E11</f>
        <v>9.4600000000009459</v>
      </c>
      <c r="I6" s="24">
        <f>'07 - 2020'!F12-'07 - 2020'!F11</f>
        <v>0</v>
      </c>
      <c r="J6" s="24">
        <f>'07 - 2020'!G12-'07 - 2020'!G11</f>
        <v>17.110000000000582</v>
      </c>
      <c r="K6" s="22">
        <v>0.74</v>
      </c>
      <c r="L6" s="48">
        <v>0</v>
      </c>
      <c r="M6" s="13"/>
    </row>
    <row r="7" spans="1:13" x14ac:dyDescent="0.25">
      <c r="A7" t="s">
        <v>27</v>
      </c>
      <c r="B7">
        <f t="shared" si="0"/>
        <v>6</v>
      </c>
      <c r="C7" s="22">
        <v>7</v>
      </c>
      <c r="D7" s="22">
        <v>2020</v>
      </c>
      <c r="E7" s="24">
        <f>'07 - 2020'!B13-'07 - 2020'!B12</f>
        <v>1060</v>
      </c>
      <c r="F7" s="24">
        <f>'07 - 2020'!C13-'07 - 2020'!C12</f>
        <v>4327.4000000000233</v>
      </c>
      <c r="G7" s="22">
        <v>0.11799999999999999</v>
      </c>
      <c r="H7" s="24">
        <f>'07 - 2020'!E13-'07 - 2020'!E12</f>
        <v>11.529999999998836</v>
      </c>
      <c r="I7" s="24">
        <f>'07 - 2020'!F13-'07 - 2020'!F12</f>
        <v>8.3600000000001273</v>
      </c>
      <c r="J7" s="24">
        <f>'07 - 2020'!G13-'07 - 2020'!G12</f>
        <v>20.369999999998981</v>
      </c>
      <c r="K7" s="22">
        <v>0.74</v>
      </c>
      <c r="L7" s="48">
        <v>0</v>
      </c>
      <c r="M7" s="13"/>
    </row>
    <row r="8" spans="1:13" x14ac:dyDescent="0.25">
      <c r="A8" t="s">
        <v>27</v>
      </c>
      <c r="B8">
        <f t="shared" si="0"/>
        <v>7</v>
      </c>
      <c r="C8" s="22">
        <v>7</v>
      </c>
      <c r="D8" s="22">
        <v>2020</v>
      </c>
      <c r="E8" s="24">
        <f>'07 - 2020'!B14-'07 - 2020'!B13</f>
        <v>966</v>
      </c>
      <c r="F8" s="24">
        <f>'07 - 2020'!C14-'07 - 2020'!C13</f>
        <v>4285.7700000000186</v>
      </c>
      <c r="G8" s="22">
        <v>0.11799999999999999</v>
      </c>
      <c r="H8" s="24">
        <f>'07 - 2020'!E14-'07 - 2020'!E13</f>
        <v>11.5</v>
      </c>
      <c r="I8" s="24">
        <f>'07 - 2020'!F14-'07 - 2020'!F13</f>
        <v>5.5199999999999818</v>
      </c>
      <c r="J8" s="24">
        <f>'07 - 2020'!G14-'07 - 2020'!G13</f>
        <v>16.819999999999709</v>
      </c>
      <c r="K8" s="22">
        <v>0.74</v>
      </c>
      <c r="L8" s="48">
        <v>0</v>
      </c>
      <c r="M8" s="13"/>
    </row>
    <row r="9" spans="1:13" x14ac:dyDescent="0.25">
      <c r="A9" t="s">
        <v>27</v>
      </c>
      <c r="B9">
        <f t="shared" si="0"/>
        <v>8</v>
      </c>
      <c r="C9" s="22">
        <v>7</v>
      </c>
      <c r="D9" s="22">
        <v>2020</v>
      </c>
      <c r="E9" s="24">
        <f>'07 - 2020'!B15-'07 - 2020'!B14</f>
        <v>963</v>
      </c>
      <c r="F9" s="24">
        <f>'07 - 2020'!C15-'07 - 2020'!C14</f>
        <v>4264.6999999999534</v>
      </c>
      <c r="G9" s="22">
        <v>0.11799999999999999</v>
      </c>
      <c r="H9" s="24">
        <f>'07 - 2020'!E15-'07 - 2020'!E14</f>
        <v>13.649999999999636</v>
      </c>
      <c r="I9" s="24">
        <f>'07 - 2020'!F15-'07 - 2020'!F14</f>
        <v>4.1999999999998181</v>
      </c>
      <c r="J9" s="24">
        <f>'07 - 2020'!G15-'07 - 2020'!G14</f>
        <v>14.069999999999709</v>
      </c>
      <c r="K9" s="22">
        <v>0.74</v>
      </c>
      <c r="L9" s="48">
        <v>0</v>
      </c>
      <c r="M9" s="13"/>
    </row>
    <row r="10" spans="1:13" x14ac:dyDescent="0.25">
      <c r="A10" t="s">
        <v>27</v>
      </c>
      <c r="B10">
        <f t="shared" si="0"/>
        <v>9</v>
      </c>
      <c r="C10" s="22">
        <v>7</v>
      </c>
      <c r="D10" s="22">
        <v>2020</v>
      </c>
      <c r="E10" s="24">
        <f>'07 - 2020'!B16-'07 - 2020'!B15</f>
        <v>974</v>
      </c>
      <c r="F10" s="24">
        <f>'07 - 2020'!C16-'07 - 2020'!C15</f>
        <v>4392.0999999999767</v>
      </c>
      <c r="G10" s="22">
        <v>0.11799999999999999</v>
      </c>
      <c r="H10" s="24">
        <f>'07 - 2020'!E16-'07 - 2020'!E15</f>
        <v>12.930000000000291</v>
      </c>
      <c r="I10" s="24">
        <f>'07 - 2020'!F16-'07 - 2020'!F15</f>
        <v>5.4000000000000909</v>
      </c>
      <c r="J10" s="24">
        <f>'07 - 2020'!G16-'07 - 2020'!G15</f>
        <v>16.430000000000291</v>
      </c>
      <c r="K10" s="22">
        <v>0.74</v>
      </c>
      <c r="L10" s="48">
        <v>0</v>
      </c>
      <c r="M10" s="13"/>
    </row>
    <row r="11" spans="1:13" x14ac:dyDescent="0.25">
      <c r="A11" t="s">
        <v>27</v>
      </c>
      <c r="B11">
        <f t="shared" si="0"/>
        <v>10</v>
      </c>
      <c r="C11" s="22">
        <v>7</v>
      </c>
      <c r="D11" s="22">
        <v>2020</v>
      </c>
      <c r="E11" s="24">
        <f>'07 - 2020'!B17-'07 - 2020'!B16</f>
        <v>1002</v>
      </c>
      <c r="F11" s="24">
        <f>'07 - 2020'!C17-'07 - 2020'!C16</f>
        <v>4356.3000000000466</v>
      </c>
      <c r="G11" s="22">
        <v>0.11799999999999999</v>
      </c>
      <c r="H11" s="24">
        <f>'07 - 2020'!E17-'07 - 2020'!E16</f>
        <v>12.480000000001382</v>
      </c>
      <c r="I11" s="24">
        <f>'07 - 2020'!F17-'07 - 2020'!F16</f>
        <v>6.0799999999999272</v>
      </c>
      <c r="J11" s="24">
        <f>'07 - 2020'!G17-'07 - 2020'!G16</f>
        <v>16.209999999999127</v>
      </c>
      <c r="K11" s="22">
        <v>0.74</v>
      </c>
      <c r="L11" s="48">
        <v>0</v>
      </c>
      <c r="M11" s="13"/>
    </row>
    <row r="12" spans="1:13" x14ac:dyDescent="0.25">
      <c r="A12" t="s">
        <v>27</v>
      </c>
      <c r="B12">
        <f t="shared" si="0"/>
        <v>11</v>
      </c>
      <c r="C12" s="22">
        <v>7</v>
      </c>
      <c r="D12" s="22">
        <v>2020</v>
      </c>
      <c r="E12" s="24">
        <f>'07 - 2020'!B18-'07 - 2020'!B17</f>
        <v>997</v>
      </c>
      <c r="F12" s="24">
        <f>'07 - 2020'!C18-'07 - 2020'!C17</f>
        <v>4511.1999999999534</v>
      </c>
      <c r="G12" s="22">
        <v>0.11799999999999999</v>
      </c>
      <c r="H12" s="24">
        <f>'07 - 2020'!E18-'07 - 2020'!E17</f>
        <v>12.159999999999854</v>
      </c>
      <c r="I12" s="24">
        <f>'07 - 2020'!F18-'07 - 2020'!F17</f>
        <v>2.5399999999999636</v>
      </c>
      <c r="J12" s="24">
        <f>'07 - 2020'!G18-'07 - 2020'!G17</f>
        <v>18.780000000002474</v>
      </c>
      <c r="K12" s="22">
        <v>0.74</v>
      </c>
      <c r="L12" s="24">
        <v>0</v>
      </c>
      <c r="M12" s="13"/>
    </row>
    <row r="13" spans="1:13" x14ac:dyDescent="0.25">
      <c r="A13" t="s">
        <v>27</v>
      </c>
      <c r="B13">
        <f t="shared" si="0"/>
        <v>12</v>
      </c>
      <c r="C13" s="22">
        <v>7</v>
      </c>
      <c r="D13" s="22">
        <v>2020</v>
      </c>
      <c r="E13" s="24">
        <f>'07 - 2020'!B19-'07 - 2020'!B18</f>
        <v>921</v>
      </c>
      <c r="F13" s="24">
        <f>'07 - 2020'!C19-'07 - 2020'!C18</f>
        <v>4027.9000000000233</v>
      </c>
      <c r="G13" s="22">
        <v>0.11799999999999999</v>
      </c>
      <c r="H13" s="24">
        <f>'07 - 2020'!E19-'07 - 2020'!E18</f>
        <v>10.929999999998472</v>
      </c>
      <c r="I13" s="24">
        <f>'07 - 2020'!F19-'07 - 2020'!F18</f>
        <v>0.17000000000007276</v>
      </c>
      <c r="J13" s="24">
        <f>'07 - 2020'!G19-'07 - 2020'!G18</f>
        <v>14.459999999999127</v>
      </c>
      <c r="K13" s="22">
        <v>0.74</v>
      </c>
      <c r="L13" s="24">
        <v>0</v>
      </c>
      <c r="M13" s="13"/>
    </row>
    <row r="14" spans="1:13" x14ac:dyDescent="0.25">
      <c r="A14" t="s">
        <v>27</v>
      </c>
      <c r="B14">
        <f t="shared" si="0"/>
        <v>13</v>
      </c>
      <c r="C14" s="22">
        <v>7</v>
      </c>
      <c r="D14" s="22">
        <v>2020</v>
      </c>
      <c r="E14" s="24">
        <f>'07 - 2020'!B20-'07 - 2020'!B19</f>
        <v>1040</v>
      </c>
      <c r="F14" s="24">
        <f>'07 - 2020'!C20-'07 - 2020'!C19</f>
        <v>4326.1999999999534</v>
      </c>
      <c r="G14" s="22">
        <v>0.11799999999999999</v>
      </c>
      <c r="H14" s="24">
        <f>'07 - 2020'!E20-'07 - 2020'!E19</f>
        <v>11.360000000000582</v>
      </c>
      <c r="I14" s="24">
        <f>'07 - 2020'!F20-'07 - 2020'!F19</f>
        <v>5.0399999999999636</v>
      </c>
      <c r="J14" s="24">
        <f>'07 - 2020'!G20-'07 - 2020'!G19</f>
        <v>15.869999999998981</v>
      </c>
      <c r="K14" s="22">
        <v>0.74</v>
      </c>
      <c r="L14" s="24">
        <v>0</v>
      </c>
      <c r="M14" s="13"/>
    </row>
    <row r="15" spans="1:13" x14ac:dyDescent="0.25">
      <c r="A15" t="s">
        <v>27</v>
      </c>
      <c r="B15">
        <f t="shared" si="0"/>
        <v>14</v>
      </c>
      <c r="C15" s="22">
        <v>7</v>
      </c>
      <c r="D15" s="22">
        <v>2020</v>
      </c>
      <c r="E15" s="24">
        <f>'07 - 2020'!B21-'07 - 2020'!B20</f>
        <v>1010</v>
      </c>
      <c r="F15" s="24">
        <f>'07 - 2020'!C21-'07 - 2020'!C20</f>
        <v>4215.3000000000466</v>
      </c>
      <c r="G15" s="22">
        <v>0.11799999999999999</v>
      </c>
      <c r="H15" s="24">
        <f>'07 - 2020'!E21-'07 - 2020'!E20</f>
        <v>11.489999999999782</v>
      </c>
      <c r="I15" s="24">
        <f>'07 - 2020'!F21-'07 - 2020'!F20</f>
        <v>5.8000000000001819</v>
      </c>
      <c r="J15" s="24">
        <f>'07 - 2020'!G21-'07 - 2020'!G20</f>
        <v>15.670000000001892</v>
      </c>
      <c r="K15" s="22">
        <v>0.74</v>
      </c>
      <c r="L15" s="24">
        <v>0</v>
      </c>
      <c r="M15" s="13"/>
    </row>
    <row r="16" spans="1:13" x14ac:dyDescent="0.25">
      <c r="A16" t="s">
        <v>27</v>
      </c>
      <c r="B16">
        <f t="shared" si="0"/>
        <v>15</v>
      </c>
      <c r="C16" s="22">
        <v>7</v>
      </c>
      <c r="D16" s="22">
        <v>2020</v>
      </c>
      <c r="E16" s="24">
        <f>'07 - 2020'!B22-'07 - 2020'!B21</f>
        <v>1037</v>
      </c>
      <c r="F16" s="24">
        <f>'07 - 2020'!C22-'07 - 2020'!C21</f>
        <v>4447.9000000000233</v>
      </c>
      <c r="G16" s="22">
        <v>0.11799999999999999</v>
      </c>
      <c r="H16" s="24">
        <f>'07 - 2020'!E22-'07 - 2020'!E21</f>
        <v>11.899999999999636</v>
      </c>
      <c r="I16" s="24">
        <f>'07 - 2020'!F22-'07 - 2020'!F21</f>
        <v>6.1199999999998909</v>
      </c>
      <c r="J16" s="24">
        <f>'07 - 2020'!G22-'07 - 2020'!G21</f>
        <v>18.119999999998981</v>
      </c>
      <c r="K16" s="22">
        <v>0.74</v>
      </c>
      <c r="L16" s="24">
        <v>0</v>
      </c>
      <c r="M16" s="13"/>
    </row>
    <row r="17" spans="1:13" x14ac:dyDescent="0.25">
      <c r="A17" t="s">
        <v>27</v>
      </c>
      <c r="B17">
        <f t="shared" si="0"/>
        <v>16</v>
      </c>
      <c r="C17" s="22">
        <v>7</v>
      </c>
      <c r="D17" s="22">
        <v>2020</v>
      </c>
      <c r="E17" s="24">
        <f>'07 - 2020'!B23-'07 - 2020'!B22</f>
        <v>967</v>
      </c>
      <c r="F17" s="24">
        <f>'07 - 2020'!C23-'07 - 2020'!C22</f>
        <v>4675.7000000000698</v>
      </c>
      <c r="G17" s="22">
        <v>0.11799999999999999</v>
      </c>
      <c r="H17" s="24">
        <f>'07 - 2020'!E23-'07 - 2020'!E22</f>
        <v>11.720000000001164</v>
      </c>
      <c r="I17" s="24">
        <f>'07 - 2020'!F23-'07 - 2020'!F22</f>
        <v>4.1999999999998181</v>
      </c>
      <c r="J17" s="24">
        <f>'07 - 2020'!G23-'07 - 2020'!G22</f>
        <v>19.130000000001019</v>
      </c>
      <c r="K17" s="22">
        <v>0.74</v>
      </c>
      <c r="L17" s="24">
        <v>0</v>
      </c>
      <c r="M17" s="13"/>
    </row>
    <row r="18" spans="1:13" x14ac:dyDescent="0.25">
      <c r="A18" t="s">
        <v>27</v>
      </c>
      <c r="B18">
        <f t="shared" si="0"/>
        <v>17</v>
      </c>
      <c r="C18" s="22">
        <v>7</v>
      </c>
      <c r="D18" s="22">
        <v>2020</v>
      </c>
      <c r="E18" s="24">
        <f>'07 - 2020'!B24-'07 - 2020'!B23</f>
        <v>1072</v>
      </c>
      <c r="F18" s="24">
        <f>'07 - 2020'!C24-'07 - 2020'!C23</f>
        <v>5080.0999999998603</v>
      </c>
      <c r="G18" s="22">
        <v>0.11799999999999999</v>
      </c>
      <c r="H18" s="24">
        <f>'07 - 2020'!E24-'07 - 2020'!E23</f>
        <v>15.899999999999636</v>
      </c>
      <c r="I18" s="24">
        <f>'07 - 2020'!F24-'07 - 2020'!F23</f>
        <v>6.6300000000001091</v>
      </c>
      <c r="J18" s="24">
        <f>'07 - 2020'!G24-'07 - 2020'!G23</f>
        <v>24.469999999997526</v>
      </c>
      <c r="K18" s="22">
        <v>0.74</v>
      </c>
      <c r="L18" s="24">
        <v>0</v>
      </c>
      <c r="M18" s="13"/>
    </row>
    <row r="19" spans="1:13" x14ac:dyDescent="0.25">
      <c r="A19" t="s">
        <v>27</v>
      </c>
      <c r="B19">
        <f>B18+1</f>
        <v>18</v>
      </c>
      <c r="C19" s="22">
        <v>7</v>
      </c>
      <c r="D19" s="22">
        <v>2020</v>
      </c>
      <c r="E19" s="24">
        <f>'07 - 2020'!B25-'07 - 2020'!B24</f>
        <v>909</v>
      </c>
      <c r="F19" s="24">
        <f>'07 - 2020'!C25-'07 - 2020'!C24</f>
        <v>4556.6000000000931</v>
      </c>
      <c r="G19" s="22">
        <v>0.11799999999999999</v>
      </c>
      <c r="H19" s="24">
        <f>'07 - 2020'!E25-'07 - 2020'!E24</f>
        <v>12.319999999999709</v>
      </c>
      <c r="I19" s="24">
        <f>'07 - 2020'!F25-'07 - 2020'!F24</f>
        <v>6.4200000000000728</v>
      </c>
      <c r="J19" s="24">
        <f>'07 - 2020'!G25-'07 - 2020'!G24</f>
        <v>21.580000000001746</v>
      </c>
      <c r="K19" s="22">
        <v>0.74</v>
      </c>
      <c r="L19" s="24">
        <v>0</v>
      </c>
      <c r="M19" s="13"/>
    </row>
    <row r="20" spans="1:13" x14ac:dyDescent="0.25">
      <c r="A20" t="s">
        <v>27</v>
      </c>
      <c r="B20">
        <f t="shared" si="0"/>
        <v>19</v>
      </c>
      <c r="C20" s="22">
        <v>7</v>
      </c>
      <c r="D20" s="22">
        <v>2020</v>
      </c>
      <c r="E20" s="24">
        <f>'07 - 2020'!B26-'07 - 2020'!B25</f>
        <v>951</v>
      </c>
      <c r="F20" s="24">
        <f>'07 - 2020'!C26-'07 - 2020'!C25</f>
        <v>4743.1999999999534</v>
      </c>
      <c r="G20" s="22">
        <v>0.11799999999999999</v>
      </c>
      <c r="H20" s="24">
        <f>'07 - 2020'!E26-'07 - 2020'!E25</f>
        <v>9.7200000000011642</v>
      </c>
      <c r="I20" s="24">
        <f>'07 - 2020'!F26-'07 - 2020'!F25</f>
        <v>0</v>
      </c>
      <c r="J20" s="24">
        <f>'07 - 2020'!G26-'07 - 2020'!G25</f>
        <v>17.349999999998545</v>
      </c>
      <c r="K20" s="22">
        <v>0.74</v>
      </c>
      <c r="L20" s="6">
        <v>0</v>
      </c>
      <c r="M20" s="13"/>
    </row>
    <row r="21" spans="1:13" x14ac:dyDescent="0.25">
      <c r="A21" t="s">
        <v>27</v>
      </c>
      <c r="B21">
        <f t="shared" si="0"/>
        <v>20</v>
      </c>
      <c r="C21" s="22">
        <v>7</v>
      </c>
      <c r="D21" s="22">
        <v>2020</v>
      </c>
      <c r="E21" s="24">
        <f>'07 - 2020'!B27-'07 - 2020'!B26</f>
        <v>1047</v>
      </c>
      <c r="F21" s="24">
        <f>'07 - 2020'!C27-'07 - 2020'!C26</f>
        <v>4611.8999999999069</v>
      </c>
      <c r="G21" s="22">
        <v>0.11799999999999999</v>
      </c>
      <c r="H21" s="24">
        <f>'07 - 2020'!E27-'07 - 2020'!E26</f>
        <v>16.309999999999491</v>
      </c>
      <c r="I21" s="24">
        <f>'07 - 2020'!F27-'07 - 2020'!F26</f>
        <v>5.4200000000000728</v>
      </c>
      <c r="J21" s="24">
        <f>'07 - 2020'!G27-'07 - 2020'!G26</f>
        <v>19.639999999999418</v>
      </c>
      <c r="K21" s="22">
        <v>0.74</v>
      </c>
      <c r="L21" s="6">
        <v>0</v>
      </c>
      <c r="M21" s="13"/>
    </row>
    <row r="22" spans="1:13" x14ac:dyDescent="0.25">
      <c r="A22" t="s">
        <v>27</v>
      </c>
      <c r="B22">
        <f t="shared" si="0"/>
        <v>21</v>
      </c>
      <c r="C22" s="22">
        <v>7</v>
      </c>
      <c r="D22" s="22">
        <v>2020</v>
      </c>
      <c r="E22" s="24">
        <f>'07 - 2020'!B28-'07 - 2020'!B27</f>
        <v>1299</v>
      </c>
      <c r="F22" s="24">
        <f>'07 - 2020'!C28-'07 - 2020'!C27</f>
        <v>4661.6000000000931</v>
      </c>
      <c r="G22" s="22">
        <v>0.11799999999999999</v>
      </c>
      <c r="H22" s="24">
        <f>'07 - 2020'!E28-'07 - 2020'!E27</f>
        <v>11.469999999999345</v>
      </c>
      <c r="I22" s="24">
        <f>'07 - 2020'!F28-'07 - 2020'!F27</f>
        <v>4.6700000000000728</v>
      </c>
      <c r="J22" s="24">
        <f>'07 - 2020'!G28-'07 - 2020'!G27</f>
        <v>20.81000000000131</v>
      </c>
      <c r="K22" s="22">
        <v>0.74</v>
      </c>
      <c r="L22" s="24">
        <v>0</v>
      </c>
      <c r="M22" s="13"/>
    </row>
    <row r="23" spans="1:13" x14ac:dyDescent="0.25">
      <c r="A23" t="s">
        <v>27</v>
      </c>
      <c r="B23">
        <f t="shared" si="0"/>
        <v>22</v>
      </c>
      <c r="C23" s="22">
        <v>7</v>
      </c>
      <c r="D23" s="22">
        <v>2020</v>
      </c>
      <c r="E23" s="24">
        <f>'07 - 2020'!B29-'07 - 2020'!B28</f>
        <v>1732</v>
      </c>
      <c r="F23" s="24">
        <f>'07 - 2020'!C29-'07 - 2020'!C28</f>
        <v>3795.6000000000931</v>
      </c>
      <c r="G23" s="22">
        <v>0.11799999999999999</v>
      </c>
      <c r="H23" s="24">
        <f>'07 - 2020'!E29-'07 - 2020'!E28</f>
        <v>12.550000000001091</v>
      </c>
      <c r="I23" s="24">
        <f>'07 - 2020'!F29-'07 - 2020'!F28</f>
        <v>5.6099999999996726</v>
      </c>
      <c r="J23" s="24">
        <f>'07 - 2020'!G29-'07 - 2020'!G28</f>
        <v>19.799999999999272</v>
      </c>
      <c r="K23" s="22">
        <v>0.74</v>
      </c>
      <c r="L23" s="24">
        <v>0</v>
      </c>
      <c r="M23" s="13"/>
    </row>
    <row r="24" spans="1:13" x14ac:dyDescent="0.25">
      <c r="A24" t="s">
        <v>27</v>
      </c>
      <c r="B24">
        <f t="shared" si="0"/>
        <v>23</v>
      </c>
      <c r="C24" s="22">
        <v>7</v>
      </c>
      <c r="D24" s="22">
        <v>2020</v>
      </c>
      <c r="E24" s="24">
        <f>'07 - 2020'!B30-'07 - 2020'!B29</f>
        <v>1835</v>
      </c>
      <c r="F24" s="24">
        <f>'07 - 2020'!C30-'07 - 2020'!C29</f>
        <v>4093.3999999999069</v>
      </c>
      <c r="G24" s="22">
        <v>0.11799999999999999</v>
      </c>
      <c r="H24" s="24">
        <f>'07 - 2020'!E30-'07 - 2020'!E29</f>
        <v>13.1299999999992</v>
      </c>
      <c r="I24" s="24">
        <f>'07 - 2020'!F30-'07 - 2020'!F29</f>
        <v>4.1700000000000728</v>
      </c>
      <c r="J24" s="24">
        <f>'07 - 2020'!G30-'07 - 2020'!G29</f>
        <v>21.760000000002037</v>
      </c>
      <c r="K24" s="22">
        <v>0.74</v>
      </c>
      <c r="L24" s="24">
        <v>0</v>
      </c>
      <c r="M24" s="13"/>
    </row>
    <row r="25" spans="1:13" x14ac:dyDescent="0.25">
      <c r="A25" t="s">
        <v>27</v>
      </c>
      <c r="B25">
        <f t="shared" si="0"/>
        <v>24</v>
      </c>
      <c r="C25" s="22">
        <v>7</v>
      </c>
      <c r="D25" s="22">
        <v>2020</v>
      </c>
      <c r="E25" s="24">
        <f>'07 - 2020'!B31-'07 - 2020'!B30</f>
        <v>1966</v>
      </c>
      <c r="F25" s="24">
        <f>'07 - 2020'!C31-'07 - 2020'!C30</f>
        <v>4500.5</v>
      </c>
      <c r="G25" s="22">
        <v>0.11799999999999999</v>
      </c>
      <c r="H25" s="24">
        <f>'07 - 2020'!E31-'07 - 2020'!E30</f>
        <v>13.020000000000437</v>
      </c>
      <c r="I25" s="24">
        <f>'07 - 2020'!F31-'07 - 2020'!F30</f>
        <v>5.7000000000002728</v>
      </c>
      <c r="J25" s="24">
        <f>'07 - 2020'!G31-'07 - 2020'!G30</f>
        <v>25.379999999997381</v>
      </c>
      <c r="K25" s="22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2">
        <v>7</v>
      </c>
      <c r="D26" s="22">
        <v>2020</v>
      </c>
      <c r="E26" s="24">
        <f>'07 - 2020'!B32-'07 - 2020'!B31</f>
        <v>1935</v>
      </c>
      <c r="F26" s="24">
        <f>'07 - 2020'!C32-'07 - 2020'!C31</f>
        <v>4376</v>
      </c>
      <c r="G26" s="22">
        <v>0.11799999999999999</v>
      </c>
      <c r="H26" s="24">
        <f>'07 - 2020'!E32-'07 - 2020'!E31</f>
        <v>17.709999999999127</v>
      </c>
      <c r="I26" s="24">
        <f>'07 - 2020'!F32-'07 - 2020'!F31</f>
        <v>5.6399999999998727</v>
      </c>
      <c r="J26" s="24">
        <f>'07 - 2020'!G32-'07 - 2020'!G31</f>
        <v>25.81000000000131</v>
      </c>
      <c r="K26" s="22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2">
        <v>7</v>
      </c>
      <c r="D27" s="22">
        <v>2020</v>
      </c>
      <c r="E27" s="24">
        <v>0</v>
      </c>
      <c r="F27" s="24">
        <v>0</v>
      </c>
      <c r="G27" s="22">
        <v>0.11799999999999999</v>
      </c>
      <c r="H27" s="24">
        <v>0</v>
      </c>
      <c r="I27" s="24">
        <v>0</v>
      </c>
      <c r="J27" s="24">
        <v>0</v>
      </c>
      <c r="K27" s="22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2">
        <v>7</v>
      </c>
      <c r="D28" s="22">
        <v>2020</v>
      </c>
      <c r="E28" s="24">
        <f>'07 - 2020'!B34-'07 - 2020'!B33</f>
        <v>0</v>
      </c>
      <c r="F28" s="24">
        <f>'07 - 2020'!C34-'07 - 2020'!C33</f>
        <v>0</v>
      </c>
      <c r="G28" s="22">
        <v>0.11799999999999999</v>
      </c>
      <c r="H28" s="24">
        <f>'07 - 2020'!E34-'07 - 2020'!E33</f>
        <v>0</v>
      </c>
      <c r="I28" s="24">
        <f>'07 - 2020'!F34-'07 - 2020'!F33</f>
        <v>0</v>
      </c>
      <c r="J28" s="24">
        <f>'07 - 2020'!G34-'07 - 2020'!G33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7</v>
      </c>
      <c r="D29" s="22">
        <v>2020</v>
      </c>
      <c r="E29" s="24">
        <f>'07 - 2020'!B35-'07 - 2020'!B34</f>
        <v>0</v>
      </c>
      <c r="F29" s="24">
        <f>'07 - 2020'!C35-'07 - 2020'!C34</f>
        <v>0</v>
      </c>
      <c r="G29" s="22">
        <v>0.11799999999999999</v>
      </c>
      <c r="H29" s="24">
        <f>'07 - 2020'!E35-'07 - 2020'!E34</f>
        <v>0</v>
      </c>
      <c r="I29" s="24">
        <f>'07 - 2020'!F35-'07 - 2020'!F34</f>
        <v>0</v>
      </c>
      <c r="J29" s="24">
        <f>'07 - 2020'!G35-'07 - 2020'!G34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7</v>
      </c>
      <c r="D30" s="22">
        <v>2020</v>
      </c>
      <c r="E30" s="24">
        <f>'07 - 2020'!B36-'07 - 2020'!B35</f>
        <v>0</v>
      </c>
      <c r="F30" s="24">
        <f>'07 - 2020'!C36-'07 - 2020'!C35</f>
        <v>0</v>
      </c>
      <c r="G30" s="22">
        <v>0.11799999999999999</v>
      </c>
      <c r="H30" s="24">
        <f>'07 - 2020'!E36-'07 - 2020'!E35</f>
        <v>0</v>
      </c>
      <c r="I30" s="24">
        <f>'07 - 2020'!F36-'07 - 2020'!F35</f>
        <v>0</v>
      </c>
      <c r="J30" s="24">
        <f>'07 - 2020'!G36-'07 - 2020'!G35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7</v>
      </c>
      <c r="D31" s="22">
        <v>2020</v>
      </c>
      <c r="E31" s="24">
        <f>'07 - 2020'!B37-'07 - 2020'!B36</f>
        <v>0</v>
      </c>
      <c r="F31" s="24">
        <f>'07 - 2020'!C37-'07 - 2020'!C36</f>
        <v>0</v>
      </c>
      <c r="G31" s="22">
        <v>0.11799999999999999</v>
      </c>
      <c r="H31" s="24">
        <f>'07 - 2020'!E37-'07 - 2020'!E36</f>
        <v>0</v>
      </c>
      <c r="I31" s="24">
        <f>'07 - 2020'!F37-'07 - 2020'!F36</f>
        <v>0</v>
      </c>
      <c r="J31" s="24">
        <f>'07 - 2020'!G37-'07 - 2020'!G36</f>
        <v>0</v>
      </c>
      <c r="K31" s="22">
        <v>0.74</v>
      </c>
      <c r="L31" s="24"/>
    </row>
    <row r="32" spans="1:13" x14ac:dyDescent="0.25">
      <c r="A32" s="22" t="s">
        <v>27</v>
      </c>
      <c r="B32" s="22">
        <v>31</v>
      </c>
      <c r="C32" s="22">
        <v>7</v>
      </c>
      <c r="D32" s="22">
        <v>2020</v>
      </c>
      <c r="E32" s="24">
        <v>0</v>
      </c>
      <c r="F32" s="24">
        <v>0</v>
      </c>
      <c r="G32" s="22">
        <v>0.11799999999999999</v>
      </c>
      <c r="H32" s="24">
        <v>0</v>
      </c>
      <c r="I32" s="24">
        <v>0</v>
      </c>
      <c r="J32" s="24">
        <v>0</v>
      </c>
      <c r="K32" s="22">
        <v>0.74</v>
      </c>
      <c r="L32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zoomScaleNormal="100" workbookViewId="0">
      <selection activeCell="B32" sqref="B32:J32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  <c r="K3" s="22"/>
      <c r="L3" s="22"/>
      <c r="M3" s="22"/>
    </row>
    <row r="4" spans="1:15" ht="16.5" thickBot="1" x14ac:dyDescent="0.3">
      <c r="A4" s="65" t="s">
        <v>36</v>
      </c>
      <c r="B4" s="65"/>
      <c r="C4" s="65"/>
      <c r="D4" s="65"/>
      <c r="E4" s="65"/>
      <c r="F4" s="65"/>
      <c r="G4" s="65"/>
      <c r="H4" s="65"/>
      <c r="I4" s="65"/>
      <c r="J4" s="65"/>
      <c r="K4" s="22"/>
      <c r="L4" s="22"/>
      <c r="M4" s="22"/>
    </row>
    <row r="5" spans="1:15" ht="16.5" thickBot="1" x14ac:dyDescent="0.3">
      <c r="A5" s="2"/>
      <c r="B5" s="66">
        <v>19</v>
      </c>
      <c r="C5" s="67"/>
      <c r="D5" s="66" t="s">
        <v>0</v>
      </c>
      <c r="E5" s="68"/>
      <c r="F5" s="68"/>
      <c r="G5" s="69"/>
      <c r="H5" s="70" t="s">
        <v>1</v>
      </c>
      <c r="I5" s="71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59">
        <v>44012</v>
      </c>
      <c r="B7" s="62">
        <v>708624</v>
      </c>
      <c r="C7" s="62">
        <v>981020</v>
      </c>
      <c r="D7" s="16">
        <v>0.61</v>
      </c>
      <c r="E7" s="62">
        <v>10963.86</v>
      </c>
      <c r="F7" s="21">
        <v>2069</v>
      </c>
      <c r="G7" s="62">
        <v>19607.02</v>
      </c>
      <c r="H7" s="15">
        <v>14528</v>
      </c>
      <c r="I7" s="62">
        <v>94480</v>
      </c>
      <c r="J7" s="62">
        <v>39160979</v>
      </c>
      <c r="K7" s="52"/>
      <c r="L7" s="53"/>
      <c r="M7" s="46"/>
    </row>
    <row r="8" spans="1:15" ht="12.75" customHeight="1" x14ac:dyDescent="0.25">
      <c r="A8" s="45">
        <v>44013</v>
      </c>
      <c r="B8" s="34">
        <v>709466</v>
      </c>
      <c r="C8" s="35">
        <v>985199</v>
      </c>
      <c r="D8" s="36">
        <v>0.57999999999999996</v>
      </c>
      <c r="E8" s="37">
        <v>10973.92</v>
      </c>
      <c r="F8" s="37">
        <v>2069</v>
      </c>
      <c r="G8" s="37">
        <v>19625.48</v>
      </c>
      <c r="H8" s="38">
        <v>14528</v>
      </c>
      <c r="I8" s="38">
        <v>94511</v>
      </c>
      <c r="J8" s="38">
        <v>39181128</v>
      </c>
      <c r="K8" s="39"/>
      <c r="L8" s="40"/>
      <c r="M8" s="46"/>
    </row>
    <row r="9" spans="1:15" ht="12.75" customHeight="1" x14ac:dyDescent="0.25">
      <c r="A9" s="45">
        <v>44014</v>
      </c>
      <c r="B9" s="25">
        <v>710301</v>
      </c>
      <c r="C9" s="19">
        <v>989414</v>
      </c>
      <c r="D9" s="36">
        <v>0.55000000000000004</v>
      </c>
      <c r="E9" s="21">
        <v>10983.66</v>
      </c>
      <c r="F9" s="21">
        <v>2069</v>
      </c>
      <c r="G9" s="21">
        <v>19640.900000000001</v>
      </c>
      <c r="H9" s="19">
        <v>14528</v>
      </c>
      <c r="I9" s="15">
        <v>94540</v>
      </c>
      <c r="J9" s="15">
        <v>39203950</v>
      </c>
      <c r="K9" s="18"/>
      <c r="L9" s="30"/>
      <c r="M9" s="46"/>
    </row>
    <row r="10" spans="1:15" ht="12.75" customHeight="1" x14ac:dyDescent="0.25">
      <c r="A10" s="45">
        <v>44015</v>
      </c>
      <c r="B10" s="15">
        <v>711085</v>
      </c>
      <c r="C10" s="15">
        <v>993647</v>
      </c>
      <c r="D10" s="16">
        <v>0.5</v>
      </c>
      <c r="E10" s="21">
        <v>10994.95</v>
      </c>
      <c r="F10" s="21">
        <v>2069</v>
      </c>
      <c r="G10" s="21">
        <v>19657.46</v>
      </c>
      <c r="H10" s="19">
        <v>14528</v>
      </c>
      <c r="I10" s="15">
        <v>94579</v>
      </c>
      <c r="J10" s="64">
        <v>39224035</v>
      </c>
      <c r="K10" s="18"/>
      <c r="L10" s="30"/>
      <c r="M10" s="46"/>
    </row>
    <row r="11" spans="1:15" ht="12.75" customHeight="1" x14ac:dyDescent="0.25">
      <c r="A11" s="45">
        <v>44016</v>
      </c>
      <c r="B11" s="15">
        <v>711805</v>
      </c>
      <c r="C11" s="15">
        <v>997879</v>
      </c>
      <c r="D11" s="16">
        <v>0.46</v>
      </c>
      <c r="E11" s="21">
        <v>11005.49</v>
      </c>
      <c r="F11" s="21">
        <v>2069</v>
      </c>
      <c r="G11" s="21">
        <v>19673.09</v>
      </c>
      <c r="H11" s="19">
        <v>14528</v>
      </c>
      <c r="I11" s="15">
        <v>94601</v>
      </c>
      <c r="J11" s="15">
        <v>39244883</v>
      </c>
      <c r="K11" s="18"/>
      <c r="L11" s="30"/>
      <c r="M11" s="46"/>
    </row>
    <row r="12" spans="1:15" ht="12.75" customHeight="1" x14ac:dyDescent="0.25">
      <c r="A12" s="45">
        <v>44017</v>
      </c>
      <c r="B12" s="15">
        <v>712747</v>
      </c>
      <c r="C12" s="15">
        <v>1002213.13</v>
      </c>
      <c r="D12" s="16">
        <v>0.43</v>
      </c>
      <c r="E12" s="21">
        <v>11014.95</v>
      </c>
      <c r="F12" s="21">
        <v>2069</v>
      </c>
      <c r="G12" s="21">
        <v>19690.2</v>
      </c>
      <c r="H12" s="15">
        <v>14528</v>
      </c>
      <c r="I12" s="15">
        <v>94636</v>
      </c>
      <c r="J12" s="15">
        <v>39271030</v>
      </c>
      <c r="K12" s="18"/>
      <c r="L12" s="30"/>
      <c r="M12" s="46"/>
    </row>
    <row r="13" spans="1:15" ht="12.75" customHeight="1" x14ac:dyDescent="0.25">
      <c r="A13" s="45">
        <v>44018</v>
      </c>
      <c r="B13" s="15">
        <v>713807</v>
      </c>
      <c r="C13" s="15">
        <v>1006540.53</v>
      </c>
      <c r="D13" s="16">
        <v>0.39</v>
      </c>
      <c r="E13" s="21">
        <v>11026.48</v>
      </c>
      <c r="F13" s="21">
        <v>2077.36</v>
      </c>
      <c r="G13" s="21">
        <v>19710.57</v>
      </c>
      <c r="H13" s="15">
        <v>14528</v>
      </c>
      <c r="I13" s="17">
        <v>94673</v>
      </c>
      <c r="J13" s="17">
        <v>39299144</v>
      </c>
      <c r="K13" s="18"/>
      <c r="L13" s="30"/>
      <c r="M13" s="46"/>
    </row>
    <row r="14" spans="1:15" ht="12.75" customHeight="1" x14ac:dyDescent="0.25">
      <c r="A14" s="45">
        <v>44019</v>
      </c>
      <c r="B14" s="15">
        <v>714773</v>
      </c>
      <c r="C14" s="15">
        <v>1010826.3</v>
      </c>
      <c r="D14" s="16">
        <v>0.81</v>
      </c>
      <c r="E14" s="21">
        <v>11037.98</v>
      </c>
      <c r="F14" s="21">
        <v>2082.88</v>
      </c>
      <c r="G14" s="17">
        <v>19727.39</v>
      </c>
      <c r="H14" s="15">
        <v>14528</v>
      </c>
      <c r="I14" s="15">
        <v>94704</v>
      </c>
      <c r="J14" s="15">
        <v>39321435</v>
      </c>
      <c r="K14" s="25"/>
      <c r="L14" s="30"/>
      <c r="M14" s="46"/>
      <c r="O14" s="24"/>
    </row>
    <row r="15" spans="1:15" ht="12.75" customHeight="1" x14ac:dyDescent="0.25">
      <c r="A15" s="45">
        <v>44020</v>
      </c>
      <c r="B15" s="19">
        <v>715736</v>
      </c>
      <c r="C15" s="15">
        <v>1015091</v>
      </c>
      <c r="D15" s="16">
        <v>0.77</v>
      </c>
      <c r="E15" s="21">
        <v>11051.63</v>
      </c>
      <c r="F15" s="21">
        <v>2087.08</v>
      </c>
      <c r="G15" s="17">
        <v>19741.46</v>
      </c>
      <c r="H15" s="15">
        <v>14528</v>
      </c>
      <c r="I15" s="15">
        <v>94727</v>
      </c>
      <c r="J15" s="15">
        <v>39345116</v>
      </c>
      <c r="K15" s="18"/>
      <c r="L15" s="30"/>
      <c r="M15" s="46"/>
      <c r="O15" s="24"/>
    </row>
    <row r="16" spans="1:15" ht="12.75" customHeight="1" x14ac:dyDescent="0.25">
      <c r="A16" s="45">
        <v>44021</v>
      </c>
      <c r="B16" s="46">
        <v>716710</v>
      </c>
      <c r="C16" s="15">
        <v>1019483.1</v>
      </c>
      <c r="D16" s="16">
        <v>0.73</v>
      </c>
      <c r="E16" s="21">
        <v>11064.56</v>
      </c>
      <c r="F16" s="21">
        <v>2092.48</v>
      </c>
      <c r="G16" s="17">
        <v>19757.89</v>
      </c>
      <c r="H16" s="15">
        <v>14528</v>
      </c>
      <c r="I16" s="15">
        <v>94751</v>
      </c>
      <c r="J16" s="15">
        <v>39369527</v>
      </c>
      <c r="K16" s="18"/>
      <c r="L16" s="30"/>
      <c r="M16" s="46"/>
    </row>
    <row r="17" spans="1:16" ht="12.75" customHeight="1" x14ac:dyDescent="0.25">
      <c r="A17" s="45">
        <v>44022</v>
      </c>
      <c r="B17" s="17">
        <v>717712</v>
      </c>
      <c r="C17" s="17">
        <v>1023839.4</v>
      </c>
      <c r="D17" s="26">
        <v>0.69</v>
      </c>
      <c r="E17" s="21">
        <v>11077.04</v>
      </c>
      <c r="F17" s="21">
        <v>2098.56</v>
      </c>
      <c r="G17" s="17">
        <v>19774.099999999999</v>
      </c>
      <c r="H17" s="15">
        <v>14528</v>
      </c>
      <c r="I17" s="17">
        <v>94816</v>
      </c>
      <c r="J17" s="17">
        <v>39393480</v>
      </c>
      <c r="K17" s="18"/>
      <c r="L17" s="30"/>
      <c r="M17" s="46"/>
    </row>
    <row r="18" spans="1:16" ht="12.75" customHeight="1" x14ac:dyDescent="0.25">
      <c r="A18" s="45">
        <v>44023</v>
      </c>
      <c r="B18" s="15">
        <v>718709</v>
      </c>
      <c r="C18" s="15">
        <v>1028350.6</v>
      </c>
      <c r="D18" s="16">
        <v>0.65</v>
      </c>
      <c r="E18" s="21">
        <v>11089.2</v>
      </c>
      <c r="F18" s="21">
        <v>2101.1</v>
      </c>
      <c r="G18" s="17">
        <v>19792.88</v>
      </c>
      <c r="H18" s="15">
        <v>14528</v>
      </c>
      <c r="I18" s="15">
        <v>94856</v>
      </c>
      <c r="J18" s="15">
        <v>39416019</v>
      </c>
      <c r="K18" s="18"/>
      <c r="L18" s="30"/>
      <c r="M18" s="46"/>
      <c r="P18" s="24"/>
    </row>
    <row r="19" spans="1:16" ht="12.75" customHeight="1" x14ac:dyDescent="0.25">
      <c r="A19" s="45">
        <v>44024</v>
      </c>
      <c r="B19" s="57">
        <v>719630</v>
      </c>
      <c r="C19" s="57">
        <v>1032378.5</v>
      </c>
      <c r="D19" s="16">
        <v>0.62</v>
      </c>
      <c r="E19" s="58">
        <v>11100.13</v>
      </c>
      <c r="F19" s="21">
        <v>2101.27</v>
      </c>
      <c r="G19" s="58">
        <v>19807.34</v>
      </c>
      <c r="H19" s="15">
        <v>14528</v>
      </c>
      <c r="I19" s="57">
        <v>94898</v>
      </c>
      <c r="J19" s="57">
        <v>39438649</v>
      </c>
      <c r="K19" s="18"/>
      <c r="L19" s="30"/>
      <c r="M19" s="46"/>
      <c r="P19" s="24"/>
    </row>
    <row r="20" spans="1:16" ht="12.75" customHeight="1" x14ac:dyDescent="0.25">
      <c r="A20" s="45">
        <v>44025</v>
      </c>
      <c r="B20" s="57">
        <v>720670</v>
      </c>
      <c r="C20" s="57">
        <v>1036704.7</v>
      </c>
      <c r="D20" s="16">
        <v>0.59</v>
      </c>
      <c r="E20" s="58">
        <v>11111.49</v>
      </c>
      <c r="F20" s="21">
        <v>2106.31</v>
      </c>
      <c r="G20" s="58">
        <v>19823.21</v>
      </c>
      <c r="H20" s="15">
        <v>14528</v>
      </c>
      <c r="I20" s="57">
        <v>94943</v>
      </c>
      <c r="J20" s="57">
        <v>39462083</v>
      </c>
      <c r="K20" s="18"/>
      <c r="L20" s="30"/>
      <c r="M20" s="46"/>
    </row>
    <row r="21" spans="1:16" ht="12.75" customHeight="1" x14ac:dyDescent="0.25">
      <c r="A21" s="45">
        <v>44026</v>
      </c>
      <c r="B21" s="57">
        <v>721680</v>
      </c>
      <c r="C21" s="57">
        <v>1040920</v>
      </c>
      <c r="D21" s="16">
        <v>0.54</v>
      </c>
      <c r="E21" s="58">
        <v>11122.98</v>
      </c>
      <c r="F21" s="21">
        <v>2112.11</v>
      </c>
      <c r="G21" s="58">
        <v>19838.88</v>
      </c>
      <c r="H21" s="15">
        <v>14528</v>
      </c>
      <c r="I21" s="57">
        <v>94982</v>
      </c>
      <c r="J21" s="57">
        <v>39487788</v>
      </c>
      <c r="K21" s="18"/>
      <c r="L21" s="30"/>
      <c r="M21" s="46"/>
    </row>
    <row r="22" spans="1:16" ht="12.75" customHeight="1" x14ac:dyDescent="0.25">
      <c r="A22" s="45">
        <v>44027</v>
      </c>
      <c r="B22" s="57">
        <v>722717</v>
      </c>
      <c r="C22" s="57">
        <v>1045367.9</v>
      </c>
      <c r="D22" s="16">
        <v>0.5</v>
      </c>
      <c r="E22" s="58">
        <v>11134.88</v>
      </c>
      <c r="F22" s="21">
        <v>2118.23</v>
      </c>
      <c r="G22" s="58">
        <v>19857</v>
      </c>
      <c r="H22" s="15">
        <v>14528</v>
      </c>
      <c r="I22" s="58">
        <v>95023</v>
      </c>
      <c r="J22" s="57">
        <v>39512506</v>
      </c>
      <c r="K22" s="25"/>
      <c r="L22" s="30"/>
      <c r="M22" s="46"/>
    </row>
    <row r="23" spans="1:16" ht="12.75" customHeight="1" x14ac:dyDescent="0.25">
      <c r="A23" s="45">
        <v>44028</v>
      </c>
      <c r="B23" s="57">
        <v>723684</v>
      </c>
      <c r="C23" s="57">
        <v>1050043.6000000001</v>
      </c>
      <c r="D23" s="16">
        <v>0.43</v>
      </c>
      <c r="E23" s="58">
        <v>11146.6</v>
      </c>
      <c r="F23" s="21">
        <v>2122.4299999999998</v>
      </c>
      <c r="G23" s="58">
        <v>19876.13</v>
      </c>
      <c r="H23" s="15">
        <v>14528</v>
      </c>
      <c r="I23" s="57">
        <v>95069</v>
      </c>
      <c r="J23" s="57">
        <v>39538917</v>
      </c>
      <c r="K23" s="25"/>
      <c r="L23" s="30"/>
      <c r="M23" s="46"/>
    </row>
    <row r="24" spans="1:16" ht="12.75" customHeight="1" x14ac:dyDescent="0.25">
      <c r="A24" s="45">
        <v>44029</v>
      </c>
      <c r="B24" s="57">
        <v>724756</v>
      </c>
      <c r="C24" s="57">
        <v>1055123.7</v>
      </c>
      <c r="D24" s="16">
        <v>0.38</v>
      </c>
      <c r="E24" s="58">
        <v>11162.5</v>
      </c>
      <c r="F24" s="21">
        <v>2129.06</v>
      </c>
      <c r="G24" s="58">
        <v>19900.599999999999</v>
      </c>
      <c r="H24" s="15">
        <v>14528</v>
      </c>
      <c r="I24" s="57">
        <v>95114</v>
      </c>
      <c r="J24" s="57">
        <v>39566866</v>
      </c>
      <c r="K24" s="18"/>
      <c r="L24" s="31"/>
      <c r="M24" s="46"/>
    </row>
    <row r="25" spans="1:16" ht="12.75" customHeight="1" x14ac:dyDescent="0.25">
      <c r="A25" s="45">
        <v>44030</v>
      </c>
      <c r="B25" s="58">
        <v>725665</v>
      </c>
      <c r="C25" s="58">
        <v>1059680.3</v>
      </c>
      <c r="D25" s="26">
        <v>0.33</v>
      </c>
      <c r="E25" s="58">
        <v>11174.82</v>
      </c>
      <c r="F25" s="21">
        <v>2135.48</v>
      </c>
      <c r="G25" s="58">
        <v>19922.18</v>
      </c>
      <c r="H25" s="15">
        <v>14528</v>
      </c>
      <c r="I25" s="57">
        <v>95159</v>
      </c>
      <c r="J25" s="57">
        <v>39590962</v>
      </c>
      <c r="K25" s="25"/>
      <c r="L25" s="31"/>
      <c r="M25" s="46"/>
    </row>
    <row r="26" spans="1:16" ht="12.75" customHeight="1" x14ac:dyDescent="0.25">
      <c r="A26" s="45">
        <v>44031</v>
      </c>
      <c r="B26" s="58">
        <v>726616</v>
      </c>
      <c r="C26" s="58">
        <v>1064423.5</v>
      </c>
      <c r="D26" s="26">
        <v>0.28999999999999998</v>
      </c>
      <c r="E26" s="58">
        <v>11184.54</v>
      </c>
      <c r="F26" s="21">
        <v>2135.48</v>
      </c>
      <c r="G26" s="58">
        <v>19939.53</v>
      </c>
      <c r="H26" s="15">
        <v>14528</v>
      </c>
      <c r="I26" s="57">
        <v>95185</v>
      </c>
      <c r="J26" s="57">
        <v>39619699</v>
      </c>
      <c r="K26" s="25"/>
      <c r="L26" s="31"/>
      <c r="M26" s="46"/>
    </row>
    <row r="27" spans="1:16" ht="12.75" customHeight="1" x14ac:dyDescent="0.25">
      <c r="A27" s="45">
        <v>44032</v>
      </c>
      <c r="B27" s="57">
        <v>727663</v>
      </c>
      <c r="C27" s="57">
        <v>1069035.3999999999</v>
      </c>
      <c r="D27" s="16">
        <v>0.76</v>
      </c>
      <c r="E27" s="58">
        <v>11200.85</v>
      </c>
      <c r="F27" s="21">
        <v>2140.9</v>
      </c>
      <c r="G27" s="58">
        <v>19959.169999999998</v>
      </c>
      <c r="H27" s="15">
        <v>14528</v>
      </c>
      <c r="I27" s="57">
        <v>95222</v>
      </c>
      <c r="J27" s="57">
        <v>39645567</v>
      </c>
      <c r="K27" s="18"/>
      <c r="L27" s="30"/>
      <c r="M27" s="46"/>
    </row>
    <row r="28" spans="1:16" ht="12.75" customHeight="1" x14ac:dyDescent="0.25">
      <c r="A28" s="45">
        <v>44033</v>
      </c>
      <c r="B28" s="60">
        <v>728962</v>
      </c>
      <c r="C28" s="57">
        <v>1073697</v>
      </c>
      <c r="D28" s="16">
        <v>0.72</v>
      </c>
      <c r="E28" s="58">
        <v>11212.32</v>
      </c>
      <c r="F28" s="21">
        <v>2145.5700000000002</v>
      </c>
      <c r="G28" s="58">
        <v>19979.98</v>
      </c>
      <c r="H28" s="15">
        <v>14528</v>
      </c>
      <c r="I28" s="57">
        <v>95271</v>
      </c>
      <c r="J28" s="57">
        <v>39674525</v>
      </c>
      <c r="K28" s="18"/>
      <c r="L28" s="30"/>
      <c r="M28" s="46"/>
    </row>
    <row r="29" spans="1:16" ht="12.75" customHeight="1" x14ac:dyDescent="0.25">
      <c r="A29" s="45">
        <v>44034</v>
      </c>
      <c r="B29" s="57">
        <v>730694</v>
      </c>
      <c r="C29" s="57">
        <v>1077492.6000000001</v>
      </c>
      <c r="D29" s="16">
        <v>0.68</v>
      </c>
      <c r="E29" s="58">
        <v>11224.87</v>
      </c>
      <c r="F29" s="21">
        <v>2151.1799999999998</v>
      </c>
      <c r="G29" s="58">
        <v>19999.78</v>
      </c>
      <c r="H29" s="15">
        <v>14528</v>
      </c>
      <c r="I29" s="57">
        <v>95307</v>
      </c>
      <c r="J29" s="57">
        <v>39702785</v>
      </c>
      <c r="K29" s="18"/>
      <c r="L29" s="30"/>
      <c r="M29" s="46"/>
      <c r="P29" s="6"/>
    </row>
    <row r="30" spans="1:16" ht="12.75" customHeight="1" x14ac:dyDescent="0.25">
      <c r="A30" s="45">
        <v>44035</v>
      </c>
      <c r="B30" s="57">
        <v>732529</v>
      </c>
      <c r="C30" s="57">
        <v>1081586</v>
      </c>
      <c r="D30" s="16">
        <v>0.63</v>
      </c>
      <c r="E30" s="58">
        <v>11238</v>
      </c>
      <c r="F30" s="21">
        <v>2155.35</v>
      </c>
      <c r="G30" s="58">
        <v>20021.54</v>
      </c>
      <c r="H30" s="15">
        <v>14528</v>
      </c>
      <c r="I30" s="57">
        <v>95355</v>
      </c>
      <c r="J30" s="57">
        <v>39732220</v>
      </c>
      <c r="K30" s="18"/>
      <c r="L30" s="30"/>
      <c r="M30" s="46"/>
      <c r="P30" s="6"/>
    </row>
    <row r="31" spans="1:16" ht="12.75" customHeight="1" x14ac:dyDescent="0.25">
      <c r="A31" s="45">
        <v>44036</v>
      </c>
      <c r="B31" s="57">
        <v>734495</v>
      </c>
      <c r="C31" s="57">
        <v>1086086.5</v>
      </c>
      <c r="D31" s="16">
        <v>0.56999999999999995</v>
      </c>
      <c r="E31" s="58">
        <v>11251.02</v>
      </c>
      <c r="F31" s="21">
        <v>2161.0500000000002</v>
      </c>
      <c r="G31" s="58">
        <v>20046.919999999998</v>
      </c>
      <c r="H31" s="15">
        <v>14528</v>
      </c>
      <c r="I31" s="57">
        <v>95412</v>
      </c>
      <c r="J31" s="57">
        <v>39763146</v>
      </c>
      <c r="K31" s="18"/>
      <c r="L31" s="32"/>
      <c r="M31" s="46"/>
      <c r="P31" s="6"/>
    </row>
    <row r="32" spans="1:16" ht="12.75" customHeight="1" x14ac:dyDescent="0.25">
      <c r="A32" s="45">
        <v>44037</v>
      </c>
      <c r="B32" s="57">
        <v>736430</v>
      </c>
      <c r="C32" s="57">
        <v>1090462.5</v>
      </c>
      <c r="D32" s="16">
        <v>0.51</v>
      </c>
      <c r="E32" s="58">
        <v>11268.73</v>
      </c>
      <c r="F32" s="21">
        <v>2166.69</v>
      </c>
      <c r="G32" s="58">
        <v>20072.73</v>
      </c>
      <c r="H32" s="15">
        <v>14528</v>
      </c>
      <c r="I32" s="57">
        <v>95457</v>
      </c>
      <c r="J32" s="57">
        <v>39792196</v>
      </c>
      <c r="K32" s="18"/>
      <c r="L32" s="32"/>
      <c r="M32" s="46"/>
      <c r="P32" s="6"/>
    </row>
    <row r="33" spans="1:16" ht="12.75" customHeight="1" x14ac:dyDescent="0.25">
      <c r="A33" s="45">
        <v>44038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44039</v>
      </c>
      <c r="B34" s="58"/>
      <c r="C34" s="61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44040</v>
      </c>
      <c r="B35" s="62"/>
      <c r="C35" s="63"/>
      <c r="D35" s="16"/>
      <c r="E35" s="62"/>
      <c r="F35" s="21"/>
      <c r="G35" s="62"/>
      <c r="H35" s="15"/>
      <c r="I35" s="62"/>
      <c r="J35" s="62"/>
      <c r="K35" s="18"/>
      <c r="L35" s="30"/>
      <c r="M35" s="46"/>
    </row>
    <row r="36" spans="1:16" ht="12.75" customHeight="1" x14ac:dyDescent="0.25">
      <c r="A36" s="45">
        <v>44041</v>
      </c>
      <c r="B36" s="62"/>
      <c r="C36" s="63"/>
      <c r="D36" s="16"/>
      <c r="E36" s="62"/>
      <c r="F36" s="21"/>
      <c r="G36" s="62"/>
      <c r="H36" s="15"/>
      <c r="I36" s="62"/>
      <c r="J36" s="62"/>
      <c r="K36" s="18"/>
      <c r="L36" s="30"/>
      <c r="M36" s="46"/>
    </row>
    <row r="37" spans="1:16" s="22" customFormat="1" x14ac:dyDescent="0.25">
      <c r="A37" s="45">
        <v>44042</v>
      </c>
      <c r="B37" s="62"/>
      <c r="C37" s="62"/>
      <c r="D37" s="16"/>
      <c r="E37" s="62"/>
      <c r="F37" s="21"/>
      <c r="G37" s="62"/>
      <c r="H37" s="15"/>
      <c r="I37" s="62"/>
      <c r="J37" s="62"/>
      <c r="K37" s="18"/>
      <c r="L37" s="30"/>
      <c r="M37" s="46"/>
    </row>
    <row r="38" spans="1:16" x14ac:dyDescent="0.25">
      <c r="A38" s="47" t="s">
        <v>35</v>
      </c>
      <c r="B38" s="33">
        <f t="shared" ref="B38:J38" si="0">B37-B7</f>
        <v>-708624</v>
      </c>
      <c r="C38" s="33">
        <f t="shared" si="0"/>
        <v>-981020</v>
      </c>
      <c r="D38" s="33">
        <f t="shared" si="0"/>
        <v>-0.61</v>
      </c>
      <c r="E38" s="33">
        <f t="shared" si="0"/>
        <v>-10963.86</v>
      </c>
      <c r="F38" s="33">
        <f t="shared" si="0"/>
        <v>-2069</v>
      </c>
      <c r="G38" s="33">
        <f t="shared" si="0"/>
        <v>-19607.02</v>
      </c>
      <c r="H38" s="33">
        <f t="shared" si="0"/>
        <v>-14528</v>
      </c>
      <c r="I38" s="33">
        <f t="shared" si="0"/>
        <v>-94480</v>
      </c>
      <c r="J38" s="33">
        <f t="shared" si="0"/>
        <v>-39160979</v>
      </c>
      <c r="K38" s="22"/>
      <c r="L38" s="22"/>
      <c r="M38" s="22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-20782671.120000001</v>
      </c>
      <c r="J39" s="24"/>
    </row>
    <row r="40" spans="1:16" x14ac:dyDescent="0.25">
      <c r="F40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07 - 2020</vt:lpstr>
      <vt:lpstr>'07 - 2020'!Print_Area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cp:lastPrinted>2020-05-02T15:33:01Z</cp:lastPrinted>
  <dcterms:created xsi:type="dcterms:W3CDTF">2017-04-26T09:20:12Z</dcterms:created>
  <dcterms:modified xsi:type="dcterms:W3CDTF">2020-07-25T05:24:24Z</dcterms:modified>
</cp:coreProperties>
</file>