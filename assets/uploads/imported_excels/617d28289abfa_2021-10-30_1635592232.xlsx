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 filterPrivacy="1" defaultThemeVersion="124226"/>
  <xr:revisionPtr revIDLastSave="0" documentId="13_ncr:1_{D042C82A-DB97-4429-94F9-B1639DD2992F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7" i="2" l="1"/>
  <c r="B8" i="2"/>
  <c r="B9" i="2"/>
  <c r="B10" i="2"/>
  <c r="B11" i="2"/>
  <c r="B12" i="2"/>
  <c r="G5" i="8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K9" i="8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O17" i="8"/>
  <c r="C17" i="2"/>
  <c r="C16" i="4" s="1"/>
  <c r="C18" i="2"/>
  <c r="C17" i="4" s="1"/>
  <c r="C19" i="2"/>
  <c r="G17" i="8"/>
  <c r="B8" i="8"/>
  <c r="B10" i="8"/>
  <c r="S27" i="2"/>
  <c r="B20" i="4"/>
  <c r="B3" i="4"/>
  <c r="H21" i="2"/>
  <c r="C21" i="2"/>
  <c r="C20" i="4" s="1"/>
  <c r="C22" i="2"/>
  <c r="C24" i="2"/>
  <c r="C23" i="4" s="1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/>
  <c r="D16" i="3" l="1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D24" i="8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<sst xmlns="http://schemas.openxmlformats.org/spreadsheetml/2006/main" count="203" uniqueCount="130">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</sst>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9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-463120</c:v>
                </c:pt>
                <c:pt idx="1">
                  <c:v>-2601400</c:v>
                </c:pt>
                <c:pt idx="2">
                  <c:v>-251990</c:v>
                </c:pt>
                <c:pt idx="3">
                  <c:v>-959370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-56358</c:v>
                </c:pt>
                <c:pt idx="1">
                  <c:v>0.16839872112827561</c:v>
                </c:pt>
                <c:pt idx="2" formatCode="_(* #,##0.00_);_(* \(#,##0.00\);_(* &quot;-&quot;??_);_(@_)">
                  <c:v>-215355</c:v>
                </c:pt>
                <c:pt idx="3">
                  <c:v>0.6434846266471449</c:v>
                </c:pt>
                <c:pt idx="4" formatCode="0.00">
                  <c:v>-28036</c:v>
                </c:pt>
                <c:pt idx="5">
                  <c:v>8.3772073983326853E-2</c:v>
                </c:pt>
                <c:pt idx="6" formatCode="0.00">
                  <c:v>-38335</c:v>
                </c:pt>
                <c:pt idx="7">
                  <c:v>0.11454567185585801</c:v>
                </c:pt>
                <c:pt idx="8" formatCode="0.00">
                  <c:v>-6759</c:v>
                </c:pt>
                <c:pt idx="9">
                  <c:v>2.0196013983924462E-2</c:v>
                </c:pt>
                <c:pt idx="10" formatCode="0.00">
                  <c:v>-1011</c:v>
                </c:pt>
                <c:pt idx="11">
                  <c:v>3.0208862461529266E-3</c:v>
                </c:pt>
                <c:pt idx="12" formatCode="0.00">
                  <c:v>-66997</c:v>
                </c:pt>
                <c:pt idx="13">
                  <c:v>0.20018824513700062</c:v>
                </c:pt>
                <c:pt idx="14" formatCode="_(* #,##0.00_);_(* \(#,##0.00\);_(* &quot;-&quot;??_);_(@_)">
                  <c:v>-253147</c:v>
                </c:pt>
                <c:pt idx="15">
                  <c:v>0.7564078047031404</c:v>
                </c:pt>
                <c:pt idx="16" formatCode="0.00">
                  <c:v>-113275</c:v>
                </c:pt>
                <c:pt idx="17">
                  <c:v>0.33846774434517585</c:v>
                </c:pt>
                <c:pt idx="18" formatCode="0.00">
                  <c:v>-21313</c:v>
                </c:pt>
                <c:pt idx="19">
                  <c:v>6.3683628649117044E-2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-334670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-800586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995456"/>
        <c:axId val="148997248"/>
      </c:barChart>
      <c:catAx>
        <c:axId val="1489954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997248"/>
        <c:crosses val="autoZero"/>
        <c:auto val="1"/>
        <c:lblAlgn val="ctr"/>
        <c:lblOffset val="100"/>
        <c:noMultiLvlLbl val="0"/>
      </c:catAx>
      <c:valAx>
        <c:axId val="14899724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99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30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40" t="s">
        <v>4</v>
      </c>
      <c r="F1" s="41" t="s">
        <v>5</v>
      </c>
      <c r="G1" s="40" t="s">
        <v>123</v>
      </c>
      <c r="H1" s="41" t="s">
        <v>124</v>
      </c>
      <c r="I1" s="40" t="s">
        <v>125</v>
      </c>
      <c r="J1" s="41" t="s">
        <v>126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10</v>
      </c>
      <c r="D2" s="45">
        <v>2021</v>
      </c>
      <c r="E2" s="111">
        <v>19540</v>
      </c>
      <c r="F2" s="47">
        <v>0.15</v>
      </c>
      <c r="G2" s="111">
        <v>5180</v>
      </c>
      <c r="H2" s="47">
        <v>0.5927</v>
      </c>
      <c r="I2" s="64">
        <v>207</v>
      </c>
      <c r="J2" s="74">
        <v>1.133</v>
      </c>
      <c r="K2" s="106"/>
      <c r="L2" s="74"/>
      <c r="M2" s="70">
        <v>13</v>
      </c>
      <c r="N2" s="70">
        <v>33</v>
      </c>
      <c r="O2" s="70">
        <v>94</v>
      </c>
    </row>
    <row r="3" spans="1:15" ht="15" x14ac:dyDescent="0.25">
      <c r="A3" s="44" t="s">
        <v>9</v>
      </c>
      <c r="B3" s="45">
        <f>B2+1</f>
        <v>2</v>
      </c>
      <c r="C3" s="46">
        <v>10</v>
      </c>
      <c r="D3" s="45">
        <v>2021</v>
      </c>
      <c r="E3" s="111">
        <v>19840</v>
      </c>
      <c r="F3" s="47">
        <v>0.15</v>
      </c>
      <c r="G3" s="111">
        <v>5506</v>
      </c>
      <c r="H3" s="47">
        <v>0.5927</v>
      </c>
      <c r="I3" s="64">
        <v>175</v>
      </c>
      <c r="J3" s="74">
        <v>1.133</v>
      </c>
      <c r="K3" s="106"/>
      <c r="L3" s="74"/>
      <c r="M3" s="70">
        <v>12</v>
      </c>
      <c r="N3" s="70">
        <v>31</v>
      </c>
      <c r="O3" s="70">
        <v>84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10</v>
      </c>
      <c r="D4" s="45">
        <v>2021</v>
      </c>
      <c r="E4" s="111">
        <v>21430</v>
      </c>
      <c r="F4" s="47">
        <v>0.15</v>
      </c>
      <c r="G4" s="111">
        <v>5712</v>
      </c>
      <c r="H4" s="47">
        <v>0.5927</v>
      </c>
      <c r="I4" s="64">
        <v>189</v>
      </c>
      <c r="J4" s="74">
        <v>1.133</v>
      </c>
      <c r="K4" s="106"/>
      <c r="L4" s="74"/>
      <c r="M4" s="70">
        <v>10</v>
      </c>
      <c r="N4" s="70">
        <v>22</v>
      </c>
      <c r="O4" s="70">
        <v>65</v>
      </c>
    </row>
    <row r="5" spans="1:15" ht="15" x14ac:dyDescent="0.25">
      <c r="A5" s="44" t="s">
        <v>9</v>
      </c>
      <c r="B5" s="45">
        <f t="shared" si="0"/>
        <v>4</v>
      </c>
      <c r="C5" s="46">
        <v>10</v>
      </c>
      <c r="D5" s="45">
        <v>2021</v>
      </c>
      <c r="E5" s="111">
        <v>20760</v>
      </c>
      <c r="F5" s="47">
        <v>0.15</v>
      </c>
      <c r="G5" s="111">
        <v>5686</v>
      </c>
      <c r="H5" s="47">
        <v>0.5927</v>
      </c>
      <c r="I5" s="64">
        <v>183</v>
      </c>
      <c r="J5" s="74">
        <v>1.133</v>
      </c>
      <c r="K5" s="106"/>
      <c r="L5" s="74"/>
      <c r="M5" s="70">
        <v>9</v>
      </c>
      <c r="N5" s="70">
        <v>24</v>
      </c>
      <c r="O5" s="70">
        <v>59</v>
      </c>
    </row>
    <row r="6" spans="1:15" ht="15" x14ac:dyDescent="0.25">
      <c r="A6" s="44" t="s">
        <v>9</v>
      </c>
      <c r="B6" s="45">
        <f t="shared" si="0"/>
        <v>5</v>
      </c>
      <c r="C6" s="46">
        <v>10</v>
      </c>
      <c r="D6" s="45">
        <v>2021</v>
      </c>
      <c r="E6" s="111">
        <v>21430</v>
      </c>
      <c r="F6" s="47">
        <v>0.15</v>
      </c>
      <c r="G6" s="111">
        <v>5656</v>
      </c>
      <c r="H6" s="47">
        <v>0.5927</v>
      </c>
      <c r="I6" s="64">
        <v>254</v>
      </c>
      <c r="J6" s="74">
        <v>1.133</v>
      </c>
      <c r="K6" s="106"/>
      <c r="L6" s="74"/>
      <c r="M6" s="70">
        <v>9</v>
      </c>
      <c r="N6" s="70">
        <v>25</v>
      </c>
      <c r="O6" s="70">
        <v>61</v>
      </c>
    </row>
    <row r="7" spans="1:15" ht="15" x14ac:dyDescent="0.25">
      <c r="A7" s="44" t="s">
        <v>9</v>
      </c>
      <c r="B7" s="45">
        <f t="shared" si="0"/>
        <v>6</v>
      </c>
      <c r="C7" s="46">
        <v>10</v>
      </c>
      <c r="D7" s="45">
        <v>2021</v>
      </c>
      <c r="E7" s="111">
        <v>21870</v>
      </c>
      <c r="F7" s="47">
        <v>0.15</v>
      </c>
      <c r="G7" s="111">
        <v>5908</v>
      </c>
      <c r="H7" s="47">
        <v>0.5927</v>
      </c>
      <c r="I7" s="64">
        <v>237</v>
      </c>
      <c r="J7" s="74">
        <v>1.133</v>
      </c>
      <c r="K7" s="106"/>
      <c r="L7" s="74"/>
      <c r="M7" s="70">
        <v>10</v>
      </c>
      <c r="N7" s="70">
        <v>35</v>
      </c>
      <c r="O7" s="70">
        <v>77</v>
      </c>
    </row>
    <row r="8" spans="1:15" ht="15" x14ac:dyDescent="0.25">
      <c r="A8" s="44" t="s">
        <v>9</v>
      </c>
      <c r="B8" s="45">
        <f t="shared" si="0"/>
        <v>7</v>
      </c>
      <c r="C8" s="46">
        <v>10</v>
      </c>
      <c r="D8" s="45">
        <v>2021</v>
      </c>
      <c r="E8" s="111">
        <v>20700</v>
      </c>
      <c r="F8" s="47">
        <v>0.15</v>
      </c>
      <c r="G8" s="111">
        <v>5756</v>
      </c>
      <c r="H8" s="47">
        <v>0.5927</v>
      </c>
      <c r="I8" s="64">
        <v>246</v>
      </c>
      <c r="J8" s="74">
        <v>1.133</v>
      </c>
      <c r="K8" s="106"/>
      <c r="L8" s="74"/>
      <c r="M8" s="70">
        <v>12</v>
      </c>
      <c r="N8" s="70">
        <v>38</v>
      </c>
      <c r="O8" s="70">
        <v>80</v>
      </c>
    </row>
    <row r="9" spans="1:15" ht="15" x14ac:dyDescent="0.25">
      <c r="A9" s="44" t="s">
        <v>9</v>
      </c>
      <c r="B9" s="45">
        <f t="shared" si="0"/>
        <v>8</v>
      </c>
      <c r="C9" s="46">
        <v>10</v>
      </c>
      <c r="D9" s="45">
        <v>2021</v>
      </c>
      <c r="E9" s="111">
        <v>21320</v>
      </c>
      <c r="F9" s="47">
        <v>0.15</v>
      </c>
      <c r="G9" s="111">
        <v>5920</v>
      </c>
      <c r="H9" s="47">
        <v>0.5927</v>
      </c>
      <c r="I9" s="64">
        <v>265</v>
      </c>
      <c r="J9" s="74">
        <v>1.133</v>
      </c>
      <c r="K9" s="106"/>
      <c r="L9" s="74"/>
      <c r="M9" s="70">
        <v>12</v>
      </c>
      <c r="N9" s="70">
        <v>38</v>
      </c>
      <c r="O9" s="70">
        <v>80</v>
      </c>
    </row>
    <row r="10" spans="1:15" ht="15" x14ac:dyDescent="0.25">
      <c r="A10" s="44" t="s">
        <v>9</v>
      </c>
      <c r="B10" s="45">
        <f t="shared" si="0"/>
        <v>9</v>
      </c>
      <c r="C10" s="46">
        <v>10</v>
      </c>
      <c r="D10" s="45">
        <v>2021</v>
      </c>
      <c r="E10" s="111">
        <v>23230</v>
      </c>
      <c r="F10" s="47">
        <v>0.15</v>
      </c>
      <c r="G10" s="111">
        <v>6302</v>
      </c>
      <c r="H10" s="47">
        <v>0.5927</v>
      </c>
      <c r="I10" s="64">
        <v>272</v>
      </c>
      <c r="J10" s="74">
        <v>1.133</v>
      </c>
      <c r="K10" s="106"/>
      <c r="L10" s="74"/>
      <c r="M10" s="70">
        <v>16</v>
      </c>
      <c r="N10" s="70">
        <v>42</v>
      </c>
      <c r="O10" s="70">
        <v>103</v>
      </c>
    </row>
    <row r="11" spans="1:15" ht="15" x14ac:dyDescent="0.25">
      <c r="A11" s="44" t="s">
        <v>9</v>
      </c>
      <c r="B11" s="45">
        <f t="shared" si="0"/>
        <v>10</v>
      </c>
      <c r="C11" s="46">
        <v>10</v>
      </c>
      <c r="D11" s="45">
        <v>2021</v>
      </c>
      <c r="E11" s="111">
        <v>20830</v>
      </c>
      <c r="F11" s="47">
        <v>0.15</v>
      </c>
      <c r="G11" s="111">
        <v>5410</v>
      </c>
      <c r="H11" s="47">
        <v>0.5927</v>
      </c>
      <c r="I11" s="64">
        <v>223</v>
      </c>
      <c r="J11" s="74">
        <v>1.133</v>
      </c>
      <c r="K11" s="106"/>
      <c r="L11" s="74"/>
      <c r="M11" s="70">
        <v>20</v>
      </c>
      <c r="N11" s="70">
        <v>53</v>
      </c>
      <c r="O11" s="70">
        <v>119</v>
      </c>
    </row>
    <row r="12" spans="1:15" ht="15" x14ac:dyDescent="0.25">
      <c r="A12" s="44" t="s">
        <v>9</v>
      </c>
      <c r="B12" s="45">
        <f t="shared" si="0"/>
        <v>11</v>
      </c>
      <c r="C12" s="46">
        <v>10</v>
      </c>
      <c r="D12" s="45">
        <v>2021</v>
      </c>
      <c r="E12" s="111">
        <v>22890</v>
      </c>
      <c r="F12" s="47">
        <v>0.15</v>
      </c>
      <c r="G12" s="111">
        <v>6155</v>
      </c>
      <c r="H12" s="47">
        <v>0.5927</v>
      </c>
      <c r="I12" s="64">
        <v>324</v>
      </c>
      <c r="J12" s="74">
        <v>1.133</v>
      </c>
      <c r="K12" s="106"/>
      <c r="L12" s="74"/>
      <c r="M12" s="70">
        <v>19</v>
      </c>
      <c r="N12" s="70">
        <v>48</v>
      </c>
      <c r="O12" s="70">
        <v>122</v>
      </c>
    </row>
    <row r="13" spans="1:15" ht="15" x14ac:dyDescent="0.25">
      <c r="A13" s="44" t="s">
        <v>9</v>
      </c>
      <c r="B13" s="45">
        <f t="shared" si="0"/>
        <v>12</v>
      </c>
      <c r="C13" s="46">
        <v>10</v>
      </c>
      <c r="D13" s="45">
        <v>2021</v>
      </c>
      <c r="E13" s="111">
        <v>22970</v>
      </c>
      <c r="F13" s="47">
        <v>0.15</v>
      </c>
      <c r="G13" s="111">
        <v>6394</v>
      </c>
      <c r="H13" s="47">
        <v>0.5927</v>
      </c>
      <c r="I13" s="64">
        <v>249</v>
      </c>
      <c r="J13" s="74">
        <v>1.133</v>
      </c>
      <c r="K13" s="106"/>
      <c r="L13" s="74"/>
      <c r="M13" s="70">
        <v>14</v>
      </c>
      <c r="N13" s="70">
        <v>39</v>
      </c>
      <c r="O13" s="70">
        <v>96</v>
      </c>
    </row>
    <row r="14" spans="1:15" ht="15" x14ac:dyDescent="0.25">
      <c r="A14" s="44" t="s">
        <v>9</v>
      </c>
      <c r="B14" s="45">
        <f t="shared" si="0"/>
        <v>13</v>
      </c>
      <c r="C14" s="46">
        <v>10</v>
      </c>
      <c r="D14" s="45">
        <v>2021</v>
      </c>
      <c r="E14" s="111">
        <v>22000</v>
      </c>
      <c r="F14" s="47">
        <v>0.15</v>
      </c>
      <c r="G14" s="111">
        <v>5992</v>
      </c>
      <c r="H14" s="47">
        <v>0.5927</v>
      </c>
      <c r="I14" s="64">
        <v>265</v>
      </c>
      <c r="J14" s="74">
        <v>1.133</v>
      </c>
      <c r="K14" s="106"/>
      <c r="L14" s="74"/>
      <c r="M14" s="70">
        <v>18</v>
      </c>
      <c r="N14" s="70">
        <v>47</v>
      </c>
      <c r="O14" s="70">
        <v>112</v>
      </c>
    </row>
    <row r="15" spans="1:15" ht="15" x14ac:dyDescent="0.25">
      <c r="A15" s="44" t="s">
        <v>9</v>
      </c>
      <c r="B15" s="45">
        <f t="shared" si="0"/>
        <v>14</v>
      </c>
      <c r="C15" s="46">
        <v>10</v>
      </c>
      <c r="D15" s="45">
        <v>2021</v>
      </c>
      <c r="E15" s="111">
        <v>24320</v>
      </c>
      <c r="F15" s="47">
        <v>0.15</v>
      </c>
      <c r="G15" s="111">
        <v>6571</v>
      </c>
      <c r="H15" s="47">
        <v>0.5927</v>
      </c>
      <c r="I15" s="64">
        <v>304</v>
      </c>
      <c r="J15" s="74">
        <v>1.133</v>
      </c>
      <c r="K15" s="106"/>
      <c r="L15" s="74"/>
      <c r="M15" s="70">
        <v>25</v>
      </c>
      <c r="N15" s="70">
        <v>73</v>
      </c>
      <c r="O15" s="70">
        <v>203</v>
      </c>
    </row>
    <row r="16" spans="1:15" ht="15" x14ac:dyDescent="0.25">
      <c r="A16" s="44" t="s">
        <v>9</v>
      </c>
      <c r="B16" s="45">
        <f t="shared" si="0"/>
        <v>15</v>
      </c>
      <c r="C16" s="46">
        <v>10</v>
      </c>
      <c r="D16" s="45">
        <v>2021</v>
      </c>
      <c r="E16" s="111">
        <v>24410</v>
      </c>
      <c r="F16" s="47">
        <v>0.15</v>
      </c>
      <c r="G16" s="111">
        <v>6627</v>
      </c>
      <c r="H16" s="47">
        <v>0.5927</v>
      </c>
      <c r="I16" s="64">
        <v>254</v>
      </c>
      <c r="J16" s="74">
        <v>1.133</v>
      </c>
      <c r="K16" s="106"/>
      <c r="L16" s="74"/>
      <c r="M16" s="70">
        <v>29</v>
      </c>
      <c r="N16" s="70">
        <v>86</v>
      </c>
      <c r="O16" s="70">
        <v>228</v>
      </c>
    </row>
    <row r="17" spans="1:15" ht="15" x14ac:dyDescent="0.25">
      <c r="A17" s="44" t="s">
        <v>9</v>
      </c>
      <c r="B17" s="45">
        <f t="shared" si="0"/>
        <v>16</v>
      </c>
      <c r="C17" s="46">
        <v>10</v>
      </c>
      <c r="D17" s="45">
        <v>2021</v>
      </c>
      <c r="E17" s="111">
        <v>23420</v>
      </c>
      <c r="F17" s="47">
        <v>0.15</v>
      </c>
      <c r="G17" s="111">
        <v>6369</v>
      </c>
      <c r="H17" s="47">
        <v>0.5927</v>
      </c>
      <c r="I17" s="64">
        <v>314</v>
      </c>
      <c r="J17" s="74">
        <v>1.133</v>
      </c>
      <c r="K17" s="106"/>
      <c r="L17" s="74"/>
      <c r="M17" s="70">
        <v>40</v>
      </c>
      <c r="N17" s="70">
        <v>118</v>
      </c>
      <c r="O17" s="70">
        <v>261</v>
      </c>
    </row>
    <row r="18" spans="1:15" ht="15" x14ac:dyDescent="0.25">
      <c r="A18" s="44" t="s">
        <v>9</v>
      </c>
      <c r="B18" s="45">
        <f t="shared" si="0"/>
        <v>17</v>
      </c>
      <c r="C18" s="46">
        <v>10</v>
      </c>
      <c r="D18" s="45">
        <v>2021</v>
      </c>
      <c r="E18" s="111">
        <v>19680</v>
      </c>
      <c r="F18" s="47">
        <v>0.15</v>
      </c>
      <c r="G18" s="111">
        <v>5511</v>
      </c>
      <c r="H18" s="47">
        <v>0.5927</v>
      </c>
      <c r="I18" s="64">
        <v>241</v>
      </c>
      <c r="J18" s="74">
        <v>1.133</v>
      </c>
      <c r="K18" s="106"/>
      <c r="L18" s="74"/>
      <c r="M18" s="70">
        <v>39</v>
      </c>
      <c r="N18" s="70">
        <v>123</v>
      </c>
      <c r="O18" s="70">
        <v>318</v>
      </c>
    </row>
    <row r="19" spans="1:15" ht="15" x14ac:dyDescent="0.25">
      <c r="A19" s="44" t="s">
        <v>9</v>
      </c>
      <c r="B19" s="45">
        <f t="shared" si="0"/>
        <v>18</v>
      </c>
      <c r="C19" s="46">
        <v>10</v>
      </c>
      <c r="D19" s="45">
        <v>2021</v>
      </c>
      <c r="E19" s="111">
        <v>19530</v>
      </c>
      <c r="F19" s="47">
        <v>0.15</v>
      </c>
      <c r="G19" s="111">
        <v>5348</v>
      </c>
      <c r="H19" s="47">
        <v>0.5927</v>
      </c>
      <c r="I19" s="64">
        <v>263</v>
      </c>
      <c r="J19" s="74">
        <v>1.133</v>
      </c>
      <c r="K19" s="106"/>
      <c r="L19" s="74"/>
      <c r="M19" s="70">
        <v>42</v>
      </c>
      <c r="N19" s="70">
        <v>128</v>
      </c>
      <c r="O19" s="70">
        <v>319</v>
      </c>
    </row>
    <row r="20" spans="1:15" ht="15" x14ac:dyDescent="0.25">
      <c r="A20" s="44" t="s">
        <v>9</v>
      </c>
      <c r="B20" s="45">
        <f t="shared" si="0"/>
        <v>19</v>
      </c>
      <c r="C20" s="46">
        <v>10</v>
      </c>
      <c r="D20" s="45">
        <v>2021</v>
      </c>
      <c r="E20" s="111">
        <v>22290</v>
      </c>
      <c r="F20" s="47">
        <v>0.15</v>
      </c>
      <c r="G20" s="111">
        <v>5936</v>
      </c>
      <c r="H20" s="47">
        <v>0.5927</v>
      </c>
      <c r="I20" s="64">
        <v>396</v>
      </c>
      <c r="J20" s="74">
        <v>1.133</v>
      </c>
      <c r="K20" s="106"/>
      <c r="L20" s="74"/>
      <c r="M20" s="70">
        <v>46</v>
      </c>
      <c r="N20" s="70">
        <v>135</v>
      </c>
      <c r="O20" s="70">
        <v>343</v>
      </c>
    </row>
    <row r="21" spans="1:15" ht="15" x14ac:dyDescent="0.25">
      <c r="A21" s="44" t="s">
        <v>9</v>
      </c>
      <c r="B21" s="45">
        <f t="shared" si="0"/>
        <v>20</v>
      </c>
      <c r="C21" s="46">
        <v>10</v>
      </c>
      <c r="D21" s="45">
        <v>2021</v>
      </c>
      <c r="E21" s="111">
        <v>24240</v>
      </c>
      <c r="F21" s="47">
        <v>0.15</v>
      </c>
      <c r="G21" s="111">
        <v>6717</v>
      </c>
      <c r="H21" s="47">
        <v>0.5927</v>
      </c>
      <c r="I21" s="64">
        <v>204</v>
      </c>
      <c r="J21" s="74">
        <v>1.133</v>
      </c>
      <c r="K21" s="106"/>
      <c r="L21" s="74"/>
      <c r="M21" s="70">
        <v>45</v>
      </c>
      <c r="N21" s="70">
        <v>130</v>
      </c>
      <c r="O21" s="70">
        <v>326</v>
      </c>
    </row>
    <row r="22" spans="1:15" ht="15" x14ac:dyDescent="0.25">
      <c r="A22" s="44" t="s">
        <v>9</v>
      </c>
      <c r="B22" s="45">
        <f t="shared" si="0"/>
        <v>21</v>
      </c>
      <c r="C22" s="46">
        <v>10</v>
      </c>
      <c r="D22" s="45">
        <v>2021</v>
      </c>
      <c r="E22" s="111">
        <v>22790</v>
      </c>
      <c r="F22" s="47">
        <v>0.15</v>
      </c>
      <c r="G22" s="112">
        <v>6422</v>
      </c>
      <c r="H22" s="47">
        <v>0.5927</v>
      </c>
      <c r="I22" s="64">
        <v>309</v>
      </c>
      <c r="J22" s="74">
        <v>1.133</v>
      </c>
      <c r="K22" s="106"/>
      <c r="L22" s="74"/>
      <c r="M22" s="70">
        <v>47</v>
      </c>
      <c r="N22" s="70">
        <v>130</v>
      </c>
      <c r="O22" s="70">
        <v>370</v>
      </c>
    </row>
    <row r="23" spans="1:15" ht="15" x14ac:dyDescent="0.25">
      <c r="A23" s="44" t="s">
        <v>9</v>
      </c>
      <c r="B23" s="45">
        <f t="shared" si="0"/>
        <v>22</v>
      </c>
      <c r="C23" s="46">
        <v>10</v>
      </c>
      <c r="D23" s="45">
        <v>2021</v>
      </c>
      <c r="E23" s="111">
        <v>22510</v>
      </c>
      <c r="F23" s="47">
        <v>0.15</v>
      </c>
      <c r="G23" s="112">
        <v>6153</v>
      </c>
      <c r="H23" s="47">
        <v>0.5927</v>
      </c>
      <c r="I23" s="64">
        <v>310</v>
      </c>
      <c r="J23" s="74">
        <v>1.133</v>
      </c>
      <c r="K23" s="106"/>
      <c r="L23" s="74"/>
      <c r="M23" s="70">
        <v>49</v>
      </c>
      <c r="N23" s="70">
        <v>136</v>
      </c>
      <c r="O23" s="70">
        <v>376</v>
      </c>
    </row>
    <row r="24" spans="1:15" ht="15" x14ac:dyDescent="0.25">
      <c r="A24" s="44" t="s">
        <v>9</v>
      </c>
      <c r="B24" s="45">
        <f t="shared" si="0"/>
        <v>23</v>
      </c>
      <c r="C24" s="46">
        <v>10</v>
      </c>
      <c r="D24" s="45">
        <v>2021</v>
      </c>
      <c r="E24" s="111">
        <v>23430</v>
      </c>
      <c r="F24" s="47">
        <v>0.15</v>
      </c>
      <c r="G24" s="112">
        <v>6074</v>
      </c>
      <c r="H24" s="47">
        <v>0.5927</v>
      </c>
      <c r="I24" s="64">
        <v>319</v>
      </c>
      <c r="J24" s="74">
        <v>1.133</v>
      </c>
      <c r="K24" s="106"/>
      <c r="L24" s="74"/>
      <c r="M24" s="70">
        <v>42</v>
      </c>
      <c r="N24" s="70">
        <v>117</v>
      </c>
      <c r="O24" s="70">
        <v>334</v>
      </c>
    </row>
    <row r="25" spans="1:15" ht="15" x14ac:dyDescent="0.25">
      <c r="A25" s="44" t="s">
        <v>9</v>
      </c>
      <c r="B25" s="45">
        <f t="shared" si="0"/>
        <v>24</v>
      </c>
      <c r="C25" s="46">
        <v>10</v>
      </c>
      <c r="D25" s="45">
        <v>2021</v>
      </c>
      <c r="E25" s="111">
        <v>23450</v>
      </c>
      <c r="F25" s="47">
        <v>0.15</v>
      </c>
      <c r="G25" s="112">
        <v>6676</v>
      </c>
      <c r="H25" s="47">
        <v>0.5927</v>
      </c>
      <c r="I25" s="64">
        <v>351</v>
      </c>
      <c r="J25" s="74">
        <v>1.133</v>
      </c>
      <c r="K25" s="106"/>
      <c r="L25" s="74"/>
      <c r="M25" s="70">
        <v>46</v>
      </c>
      <c r="N25" s="70">
        <v>127</v>
      </c>
      <c r="O25" s="70">
        <v>346</v>
      </c>
    </row>
    <row r="26" spans="1:15" ht="15" x14ac:dyDescent="0.25">
      <c r="A26" s="44" t="s">
        <v>9</v>
      </c>
      <c r="B26" s="45">
        <f>B25+1</f>
        <v>25</v>
      </c>
      <c r="C26" s="46">
        <v>10</v>
      </c>
      <c r="D26" s="45">
        <v>2021</v>
      </c>
      <c r="E26" s="111">
        <v>23060</v>
      </c>
      <c r="F26" s="47">
        <v>0.15</v>
      </c>
      <c r="G26" s="112">
        <v>6389</v>
      </c>
      <c r="H26" s="47">
        <v>0.5927</v>
      </c>
      <c r="I26" s="64">
        <v>383</v>
      </c>
      <c r="J26" s="74">
        <v>1.133</v>
      </c>
      <c r="K26" s="106"/>
      <c r="L26" s="74"/>
      <c r="M26" s="70">
        <v>43</v>
      </c>
      <c r="N26" s="70">
        <v>109</v>
      </c>
      <c r="O26" s="70">
        <v>293</v>
      </c>
    </row>
    <row r="27" spans="1:15" ht="15" x14ac:dyDescent="0.25">
      <c r="A27" s="44" t="s">
        <v>9</v>
      </c>
      <c r="B27" s="45">
        <f t="shared" si="0"/>
        <v>26</v>
      </c>
      <c r="C27" s="46">
        <v>10</v>
      </c>
      <c r="D27" s="45">
        <v>2021</v>
      </c>
      <c r="E27" s="111">
        <v>22580</v>
      </c>
      <c r="F27" s="47">
        <v>0.15</v>
      </c>
      <c r="G27" s="112">
        <v>5977</v>
      </c>
      <c r="H27" s="47">
        <v>0.5927</v>
      </c>
      <c r="I27" s="64">
        <v>257</v>
      </c>
      <c r="J27" s="74">
        <v>1.133</v>
      </c>
      <c r="K27" s="106"/>
      <c r="L27" s="74"/>
      <c r="M27" s="70">
        <v>50</v>
      </c>
      <c r="N27" s="70">
        <v>128</v>
      </c>
      <c r="O27" s="70">
        <v>316</v>
      </c>
    </row>
    <row r="28" spans="1:15" ht="15" x14ac:dyDescent="0.25">
      <c r="A28" s="44" t="s">
        <v>9</v>
      </c>
      <c r="B28" s="45">
        <f t="shared" si="0"/>
        <v>27</v>
      </c>
      <c r="C28" s="46">
        <v>10</v>
      </c>
      <c r="D28" s="45">
        <v>2021</v>
      </c>
      <c r="E28" s="111">
        <v>22250</v>
      </c>
      <c r="F28" s="47">
        <v>0.15</v>
      </c>
      <c r="G28" s="112">
        <v>6103</v>
      </c>
      <c r="H28" s="47">
        <v>0.5927</v>
      </c>
      <c r="I28" s="64">
        <v>285</v>
      </c>
      <c r="J28" s="74">
        <v>1.133</v>
      </c>
      <c r="K28" s="106"/>
      <c r="L28" s="74"/>
      <c r="M28" s="70">
        <v>48</v>
      </c>
      <c r="N28" s="70">
        <v>125</v>
      </c>
      <c r="O28" s="70">
        <v>348</v>
      </c>
    </row>
    <row r="29" spans="1:15" ht="15" x14ac:dyDescent="0.25">
      <c r="A29" s="44" t="s">
        <v>9</v>
      </c>
      <c r="B29" s="45">
        <f t="shared" si="0"/>
        <v>28</v>
      </c>
      <c r="C29" s="46">
        <v>10</v>
      </c>
      <c r="D29" s="45">
        <v>2021</v>
      </c>
      <c r="E29" s="111">
        <v>23330</v>
      </c>
      <c r="F29" s="47">
        <v>0.15</v>
      </c>
      <c r="G29" s="112">
        <v>6251</v>
      </c>
      <c r="H29" s="47">
        <v>0.5927</v>
      </c>
      <c r="I29" s="64">
        <v>336</v>
      </c>
      <c r="J29" s="74">
        <v>1.133</v>
      </c>
      <c r="K29" s="106"/>
      <c r="L29" s="74"/>
      <c r="M29" s="70">
        <v>39</v>
      </c>
      <c r="N29" s="70">
        <v>108</v>
      </c>
      <c r="O29" s="70">
        <v>348</v>
      </c>
    </row>
    <row r="30" spans="1:15" ht="15" x14ac:dyDescent="0.25">
      <c r="A30" s="44" t="s">
        <v>9</v>
      </c>
      <c r="B30" s="45">
        <f t="shared" si="0"/>
        <v>29</v>
      </c>
      <c r="C30" s="46">
        <v>10</v>
      </c>
      <c r="D30" s="45">
        <v>2021</v>
      </c>
      <c r="E30" s="111">
        <v>23740</v>
      </c>
      <c r="F30" s="47">
        <v>0.15</v>
      </c>
      <c r="G30" s="112">
        <v>6041</v>
      </c>
      <c r="H30" s="47">
        <v>0.5927</v>
      </c>
      <c r="I30" s="64">
        <v>315</v>
      </c>
      <c r="J30" s="74">
        <v>1.133</v>
      </c>
      <c r="K30" s="106"/>
      <c r="L30" s="74"/>
      <c r="M30" s="70">
        <v>42</v>
      </c>
      <c r="N30" s="70">
        <v>115</v>
      </c>
      <c r="O30" s="70">
        <v>316</v>
      </c>
    </row>
    <row r="31" spans="1:15" ht="15" x14ac:dyDescent="0.25">
      <c r="A31" s="44" t="s">
        <v>9</v>
      </c>
      <c r="B31" s="45">
        <f t="shared" si="0"/>
        <v>30</v>
      </c>
      <c r="C31" s="46">
        <v>10</v>
      </c>
      <c r="D31" s="45">
        <v>2021</v>
      </c>
      <c r="E31" s="105"/>
      <c r="F31" s="47">
        <v>0.15</v>
      </c>
      <c r="G31" s="105"/>
      <c r="H31" s="47">
        <v>0.5927</v>
      </c>
      <c r="I31" s="64"/>
      <c r="J31" s="74">
        <v>1.133</v>
      </c>
      <c r="K31" s="106"/>
      <c r="L31" s="74"/>
      <c r="M31" s="70"/>
      <c r="N31" s="70"/>
      <c r="O31" s="70"/>
    </row>
    <row r="32" spans="1:15" ht="15" x14ac:dyDescent="0.25">
      <c r="A32" s="44" t="s">
        <v>9</v>
      </c>
      <c r="B32" s="45">
        <f t="shared" si="0"/>
        <v>31</v>
      </c>
      <c r="C32" s="46">
        <v>10</v>
      </c>
      <c r="D32" s="45">
        <v>2021</v>
      </c>
      <c r="E32" s="105"/>
      <c r="F32" s="47">
        <v>0.15</v>
      </c>
      <c r="G32" s="105"/>
      <c r="H32" s="47">
        <v>0.5927</v>
      </c>
      <c r="I32" s="64"/>
      <c r="J32" s="74">
        <v>1.133</v>
      </c>
      <c r="K32" s="106"/>
      <c r="L32" s="74"/>
      <c r="M32" s="70"/>
      <c r="N32" s="70"/>
      <c r="O32" s="70"/>
    </row>
    <row r="33" spans="1:15" ht="18.75" customHeight="1" x14ac:dyDescent="0.2">
      <c r="A33" s="122" t="s">
        <v>52</v>
      </c>
      <c r="B33" s="122"/>
      <c r="C33" s="122"/>
      <c r="D33" s="122"/>
      <c r="E33" s="99">
        <f>SUM(E2:E32)</f>
        <v>643840</v>
      </c>
      <c r="F33" s="102">
        <v>0</v>
      </c>
      <c r="G33" s="99">
        <f>SUM(G2:G32)</f>
        <v>174742</v>
      </c>
      <c r="H33" s="100">
        <v>0</v>
      </c>
      <c r="I33" s="101">
        <f>SUM(I2:I32)</f>
        <v>7930</v>
      </c>
      <c r="J33" s="102">
        <v>0</v>
      </c>
      <c r="K33" s="103">
        <v>0</v>
      </c>
      <c r="L33" s="100">
        <v>0</v>
      </c>
      <c r="M33" s="104">
        <f t="shared" ref="M33:O33" si="1">SUM(M2:M32)</f>
        <v>846</v>
      </c>
      <c r="N33" s="104">
        <f t="shared" si="1"/>
        <v>2363</v>
      </c>
      <c r="O33" s="104">
        <f t="shared" si="1"/>
        <v>6197</v>
      </c>
    </row>
    <row r="40" spans="1:15" x14ac:dyDescent="0.2">
      <c r="C40" s="43" t="s">
        <v>129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7" zoomScale="78" zoomScaleNormal="78" workbookViewId="0">
      <selection activeCell="V4" sqref="V4:X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6" t="s">
        <v>10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75"/>
      <c r="V1" s="75"/>
    </row>
    <row r="2" spans="1:25" s="17" customFormat="1" ht="33" customHeight="1" x14ac:dyDescent="0.25">
      <c r="A2" s="28" t="s">
        <v>2</v>
      </c>
      <c r="B2" s="123" t="s">
        <v>127</v>
      </c>
      <c r="C2" s="123" t="s">
        <v>11</v>
      </c>
      <c r="D2" s="123" t="s">
        <v>12</v>
      </c>
      <c r="E2" s="123" t="s">
        <v>13</v>
      </c>
      <c r="F2" s="123" t="s">
        <v>14</v>
      </c>
      <c r="G2" s="128" t="s">
        <v>15</v>
      </c>
      <c r="H2" s="130" t="s">
        <v>16</v>
      </c>
      <c r="I2" s="123" t="s">
        <v>17</v>
      </c>
      <c r="J2" s="133" t="s">
        <v>18</v>
      </c>
      <c r="K2" s="134"/>
      <c r="L2" s="135"/>
      <c r="M2" s="128" t="s">
        <v>19</v>
      </c>
      <c r="N2" s="130" t="s">
        <v>20</v>
      </c>
      <c r="O2" s="131" t="s">
        <v>21</v>
      </c>
      <c r="P2" s="130" t="s">
        <v>22</v>
      </c>
      <c r="Q2" s="136" t="s">
        <v>23</v>
      </c>
      <c r="R2" s="123" t="s">
        <v>24</v>
      </c>
      <c r="S2" s="123" t="s">
        <v>25</v>
      </c>
      <c r="T2" s="123" t="s">
        <v>26</v>
      </c>
      <c r="V2" s="125" t="s">
        <v>6</v>
      </c>
      <c r="W2" s="125" t="s">
        <v>7</v>
      </c>
      <c r="X2" s="125" t="s">
        <v>8</v>
      </c>
    </row>
    <row r="3" spans="1:25" s="17" customFormat="1" ht="45" customHeight="1" x14ac:dyDescent="0.25">
      <c r="A3" s="29"/>
      <c r="B3" s="124"/>
      <c r="C3" s="124"/>
      <c r="D3" s="124"/>
      <c r="E3" s="124"/>
      <c r="F3" s="124"/>
      <c r="G3" s="129"/>
      <c r="H3" s="130"/>
      <c r="I3" s="124"/>
      <c r="J3" s="18" t="s">
        <v>27</v>
      </c>
      <c r="K3" s="18" t="s">
        <v>28</v>
      </c>
      <c r="L3" s="18" t="s">
        <v>29</v>
      </c>
      <c r="M3" s="129"/>
      <c r="N3" s="130"/>
      <c r="O3" s="132"/>
      <c r="P3" s="130"/>
      <c r="Q3" s="137"/>
      <c r="R3" s="124"/>
      <c r="S3" s="124"/>
      <c r="T3" s="124"/>
      <c r="V3" s="125"/>
      <c r="W3" s="125"/>
      <c r="X3" s="125"/>
    </row>
    <row r="4" spans="1:25" ht="21" customHeight="1" x14ac:dyDescent="0.25">
      <c r="A4" s="8">
        <v>44470</v>
      </c>
      <c r="B4" s="113">
        <v>1.1052999999999999</v>
      </c>
      <c r="C4" s="114">
        <v>251.99</v>
      </c>
      <c r="D4" s="114">
        <v>7695259.3700000001</v>
      </c>
      <c r="E4" s="114">
        <v>8463720.8399999999</v>
      </c>
      <c r="F4" s="114">
        <v>2.6013999999999999</v>
      </c>
      <c r="G4" s="114">
        <v>822.81</v>
      </c>
      <c r="H4" s="114">
        <v>673.55</v>
      </c>
      <c r="I4" s="114">
        <v>264.14999999999998</v>
      </c>
      <c r="J4" s="114">
        <v>340.26</v>
      </c>
      <c r="K4" s="114">
        <v>366.68</v>
      </c>
      <c r="L4" s="114">
        <v>252.43</v>
      </c>
      <c r="M4" s="114">
        <v>589.02</v>
      </c>
      <c r="N4" s="114">
        <v>539.5</v>
      </c>
      <c r="O4" s="114">
        <v>171.7</v>
      </c>
      <c r="P4" s="114">
        <v>708.43</v>
      </c>
      <c r="Q4" s="114">
        <v>523.95000000000005</v>
      </c>
      <c r="R4" s="114">
        <v>181.76</v>
      </c>
      <c r="S4" s="114">
        <v>126.27</v>
      </c>
      <c r="T4" s="114">
        <v>463.12</v>
      </c>
      <c r="V4" s="108">
        <v>13</v>
      </c>
      <c r="W4" s="108">
        <v>33</v>
      </c>
      <c r="X4" s="108">
        <v>94</v>
      </c>
      <c r="Y4" s="17"/>
    </row>
    <row r="5" spans="1:25" ht="21" customHeight="1" x14ac:dyDescent="0.25">
      <c r="A5" s="8">
        <v>44471</v>
      </c>
      <c r="B5" s="115">
        <v>1.1065</v>
      </c>
      <c r="C5" s="116">
        <v>252.23</v>
      </c>
      <c r="D5" s="116">
        <v>7697169.8899999997</v>
      </c>
      <c r="E5" s="116">
        <v>8465922.1899999995</v>
      </c>
      <c r="F5" s="116">
        <v>2.6036999999999999</v>
      </c>
      <c r="G5" s="116">
        <v>823.6</v>
      </c>
      <c r="H5" s="116">
        <v>674.1</v>
      </c>
      <c r="I5" s="116">
        <v>264.38</v>
      </c>
      <c r="J5" s="116">
        <v>340.48</v>
      </c>
      <c r="K5" s="116">
        <v>366.91</v>
      </c>
      <c r="L5" s="116">
        <v>252.61</v>
      </c>
      <c r="M5" s="116">
        <v>589.76</v>
      </c>
      <c r="N5" s="116">
        <v>540.19000000000005</v>
      </c>
      <c r="O5" s="116">
        <v>171.91</v>
      </c>
      <c r="P5" s="116">
        <v>709.24</v>
      </c>
      <c r="Q5" s="116">
        <v>524.5</v>
      </c>
      <c r="R5" s="116">
        <v>182</v>
      </c>
      <c r="S5" s="116">
        <v>126.39</v>
      </c>
      <c r="T5" s="116">
        <v>463.38</v>
      </c>
      <c r="V5" s="108">
        <v>12</v>
      </c>
      <c r="W5" s="108">
        <v>31</v>
      </c>
      <c r="X5" s="108">
        <v>84</v>
      </c>
      <c r="Y5" s="17"/>
    </row>
    <row r="6" spans="1:25" ht="21" customHeight="1" x14ac:dyDescent="0.25">
      <c r="A6" s="8">
        <v>44472</v>
      </c>
      <c r="B6" s="115">
        <v>1.1075999999999999</v>
      </c>
      <c r="C6" s="116">
        <v>252.46</v>
      </c>
      <c r="D6" s="116">
        <v>7699233.7199999997</v>
      </c>
      <c r="E6" s="116">
        <v>8468540.9600000009</v>
      </c>
      <c r="F6" s="116">
        <v>2.6059000000000001</v>
      </c>
      <c r="G6" s="116">
        <v>824.45</v>
      </c>
      <c r="H6" s="116">
        <v>674.7</v>
      </c>
      <c r="I6" s="116">
        <v>264.63</v>
      </c>
      <c r="J6" s="116">
        <v>340.67</v>
      </c>
      <c r="K6" s="116">
        <v>367.14</v>
      </c>
      <c r="L6" s="116">
        <v>252.78</v>
      </c>
      <c r="M6" s="116">
        <v>590.53</v>
      </c>
      <c r="N6" s="116">
        <v>540.95000000000005</v>
      </c>
      <c r="O6" s="116">
        <v>172.11</v>
      </c>
      <c r="P6" s="116">
        <v>710.13</v>
      </c>
      <c r="Q6" s="116">
        <v>525.04</v>
      </c>
      <c r="R6" s="116">
        <v>182.23</v>
      </c>
      <c r="S6" s="116">
        <v>126.5</v>
      </c>
      <c r="T6" s="116">
        <v>463.86</v>
      </c>
      <c r="V6" s="108">
        <v>10</v>
      </c>
      <c r="W6" s="108">
        <v>22</v>
      </c>
      <c r="X6" s="108">
        <v>65</v>
      </c>
      <c r="Y6" s="17"/>
    </row>
    <row r="7" spans="1:25" ht="21" customHeight="1" x14ac:dyDescent="0.25">
      <c r="A7" s="8">
        <v>44473</v>
      </c>
      <c r="B7" s="115">
        <v>1.1089</v>
      </c>
      <c r="C7" s="116">
        <v>252.73</v>
      </c>
      <c r="D7" s="116">
        <v>7701405.2999999998</v>
      </c>
      <c r="E7" s="116">
        <v>8471445.9000000004</v>
      </c>
      <c r="F7" s="116">
        <v>2.6084000000000001</v>
      </c>
      <c r="G7" s="116">
        <v>825.35</v>
      </c>
      <c r="H7" s="116">
        <v>675.39</v>
      </c>
      <c r="I7" s="116">
        <v>264.89</v>
      </c>
      <c r="J7" s="116">
        <v>340.91</v>
      </c>
      <c r="K7" s="116">
        <v>367.36</v>
      </c>
      <c r="L7" s="116">
        <v>252.95</v>
      </c>
      <c r="M7" s="116">
        <v>591.34</v>
      </c>
      <c r="N7" s="116">
        <v>541.76</v>
      </c>
      <c r="O7" s="116">
        <v>172.3</v>
      </c>
      <c r="P7" s="116">
        <v>711.09</v>
      </c>
      <c r="Q7" s="116">
        <v>525.64</v>
      </c>
      <c r="R7" s="116">
        <v>182.46</v>
      </c>
      <c r="S7" s="116">
        <v>126.62</v>
      </c>
      <c r="T7" s="116">
        <v>464.33</v>
      </c>
      <c r="V7" s="108">
        <v>9</v>
      </c>
      <c r="W7" s="108">
        <v>24</v>
      </c>
      <c r="X7" s="108">
        <v>59</v>
      </c>
      <c r="Y7" s="17"/>
    </row>
    <row r="8" spans="1:25" ht="21" customHeight="1" x14ac:dyDescent="0.25">
      <c r="A8" s="8">
        <v>44474</v>
      </c>
      <c r="B8" s="115">
        <v>1.1101000000000001</v>
      </c>
      <c r="C8" s="116">
        <v>252.95</v>
      </c>
      <c r="D8" s="116">
        <v>7703570.7000000002</v>
      </c>
      <c r="E8" s="116">
        <v>8474312.6199999992</v>
      </c>
      <c r="F8" s="116">
        <v>2.6107999999999998</v>
      </c>
      <c r="G8" s="116">
        <v>826.2</v>
      </c>
      <c r="H8" s="116">
        <v>676.12</v>
      </c>
      <c r="I8" s="116">
        <v>265.16000000000003</v>
      </c>
      <c r="J8" s="116">
        <v>341.09</v>
      </c>
      <c r="K8" s="116">
        <v>367.59</v>
      </c>
      <c r="L8" s="116">
        <v>253.11</v>
      </c>
      <c r="M8" s="116">
        <v>592.01</v>
      </c>
      <c r="N8" s="116">
        <v>542.72</v>
      </c>
      <c r="O8" s="116">
        <v>172.49</v>
      </c>
      <c r="P8" s="116">
        <v>712.07</v>
      </c>
      <c r="Q8" s="116">
        <v>526.24</v>
      </c>
      <c r="R8" s="116">
        <v>182.7</v>
      </c>
      <c r="S8" s="116">
        <v>126.74</v>
      </c>
      <c r="T8" s="116">
        <v>464.81</v>
      </c>
      <c r="V8" s="108">
        <v>9</v>
      </c>
      <c r="W8" s="108">
        <v>25</v>
      </c>
      <c r="X8" s="108">
        <v>61</v>
      </c>
      <c r="Y8" s="17"/>
    </row>
    <row r="9" spans="1:25" ht="21" customHeight="1" x14ac:dyDescent="0.25">
      <c r="A9" s="8">
        <v>44475</v>
      </c>
      <c r="B9" s="117">
        <v>1.1113</v>
      </c>
      <c r="C9" s="118">
        <v>253.2</v>
      </c>
      <c r="D9" s="117">
        <v>7705739.96</v>
      </c>
      <c r="E9" s="119">
        <v>8477206.0800000001</v>
      </c>
      <c r="F9" s="118">
        <v>2.6132</v>
      </c>
      <c r="G9" s="117">
        <v>827.05</v>
      </c>
      <c r="H9" s="119">
        <v>676.83</v>
      </c>
      <c r="I9" s="119">
        <v>265.43</v>
      </c>
      <c r="J9" s="116">
        <v>341.31</v>
      </c>
      <c r="K9" s="116">
        <v>367.82</v>
      </c>
      <c r="L9" s="116">
        <v>253.27</v>
      </c>
      <c r="M9" s="116">
        <v>592.67999999999995</v>
      </c>
      <c r="N9" s="116">
        <v>543.25</v>
      </c>
      <c r="O9" s="116">
        <v>172.67</v>
      </c>
      <c r="P9" s="116">
        <v>713.07</v>
      </c>
      <c r="Q9" s="116">
        <v>526.84</v>
      </c>
      <c r="R9" s="116">
        <v>182.95</v>
      </c>
      <c r="S9" s="116">
        <v>126.86</v>
      </c>
      <c r="T9" s="116">
        <v>465.26</v>
      </c>
      <c r="V9" s="108">
        <v>10</v>
      </c>
      <c r="W9" s="108">
        <v>35</v>
      </c>
      <c r="X9" s="108">
        <v>77</v>
      </c>
      <c r="Y9" s="17"/>
    </row>
    <row r="10" spans="1:25" ht="21" customHeight="1" x14ac:dyDescent="0.25">
      <c r="A10" s="8">
        <v>44476</v>
      </c>
      <c r="B10" s="113">
        <v>1.1125</v>
      </c>
      <c r="C10" s="114">
        <v>253.44</v>
      </c>
      <c r="D10" s="114">
        <v>7707965.0899999999</v>
      </c>
      <c r="E10" s="114">
        <v>8480021.1099999994</v>
      </c>
      <c r="F10" s="114">
        <v>2.6156999999999999</v>
      </c>
      <c r="G10" s="114">
        <v>827.89</v>
      </c>
      <c r="H10" s="114">
        <v>677.56</v>
      </c>
      <c r="I10" s="114">
        <v>265.7</v>
      </c>
      <c r="J10" s="116">
        <v>341.53</v>
      </c>
      <c r="K10" s="116">
        <v>368.07</v>
      </c>
      <c r="L10" s="116">
        <v>253.44</v>
      </c>
      <c r="M10" s="116">
        <v>593.39</v>
      </c>
      <c r="N10" s="116">
        <v>544.1</v>
      </c>
      <c r="O10" s="116">
        <v>172.85</v>
      </c>
      <c r="P10" s="116">
        <v>714.05</v>
      </c>
      <c r="Q10" s="116">
        <v>527.49</v>
      </c>
      <c r="R10" s="116">
        <v>183.21</v>
      </c>
      <c r="S10" s="116">
        <v>126.98</v>
      </c>
      <c r="T10" s="116">
        <v>465.73</v>
      </c>
      <c r="V10" s="108">
        <v>12</v>
      </c>
      <c r="W10" s="108">
        <v>38</v>
      </c>
      <c r="X10" s="108">
        <v>80</v>
      </c>
      <c r="Y10" s="17"/>
    </row>
    <row r="11" spans="1:25" ht="21" customHeight="1" x14ac:dyDescent="0.25">
      <c r="A11" s="8">
        <v>44477</v>
      </c>
      <c r="B11" s="115">
        <v>1.1137999999999999</v>
      </c>
      <c r="C11" s="116">
        <v>253.68</v>
      </c>
      <c r="D11" s="116">
        <v>7710052.5099999998</v>
      </c>
      <c r="E11" s="116">
        <v>8482644.2699999996</v>
      </c>
      <c r="F11" s="116">
        <v>2.6181000000000001</v>
      </c>
      <c r="G11" s="116">
        <v>828.74</v>
      </c>
      <c r="H11" s="116">
        <v>678.3</v>
      </c>
      <c r="I11" s="116">
        <v>265.95999999999998</v>
      </c>
      <c r="J11" s="116">
        <v>341.73</v>
      </c>
      <c r="K11" s="116">
        <v>368.26</v>
      </c>
      <c r="L11" s="116">
        <v>253.65</v>
      </c>
      <c r="M11" s="116">
        <v>594.14</v>
      </c>
      <c r="N11" s="116">
        <v>544.97</v>
      </c>
      <c r="O11" s="116">
        <v>173.06</v>
      </c>
      <c r="P11" s="116">
        <v>714.95</v>
      </c>
      <c r="Q11" s="116">
        <v>528.14</v>
      </c>
      <c r="R11" s="116">
        <v>183.41</v>
      </c>
      <c r="S11" s="116">
        <v>127.09</v>
      </c>
      <c r="T11" s="116">
        <v>466.16</v>
      </c>
      <c r="V11" s="108">
        <v>12</v>
      </c>
      <c r="W11" s="108">
        <v>38</v>
      </c>
      <c r="X11" s="108">
        <v>80</v>
      </c>
      <c r="Y11" s="17"/>
    </row>
    <row r="12" spans="1:25" ht="21" customHeight="1" x14ac:dyDescent="0.25">
      <c r="A12" s="8">
        <v>44478</v>
      </c>
      <c r="B12" s="115">
        <v>1.1152</v>
      </c>
      <c r="C12" s="116">
        <v>253.98</v>
      </c>
      <c r="D12" s="116">
        <v>7712122.6600000001</v>
      </c>
      <c r="E12" s="116">
        <v>8485039.9600000009</v>
      </c>
      <c r="F12" s="116">
        <v>2.6206999999999998</v>
      </c>
      <c r="G12" s="116">
        <v>829.6</v>
      </c>
      <c r="H12" s="116">
        <v>679.01</v>
      </c>
      <c r="I12" s="116">
        <v>266.23</v>
      </c>
      <c r="J12" s="116">
        <v>341.87</v>
      </c>
      <c r="K12" s="116">
        <v>368.51</v>
      </c>
      <c r="L12" s="116">
        <v>253.77</v>
      </c>
      <c r="M12" s="116">
        <v>594.88</v>
      </c>
      <c r="N12" s="116">
        <v>545.85</v>
      </c>
      <c r="O12" s="116">
        <v>173.26</v>
      </c>
      <c r="P12" s="116">
        <v>715.86</v>
      </c>
      <c r="Q12" s="116">
        <v>528.77</v>
      </c>
      <c r="R12" s="116">
        <v>183.66</v>
      </c>
      <c r="S12" s="116">
        <v>127.21</v>
      </c>
      <c r="T12" s="116">
        <v>466.44</v>
      </c>
      <c r="V12" s="108">
        <v>16</v>
      </c>
      <c r="W12" s="108">
        <v>42</v>
      </c>
      <c r="X12" s="108">
        <v>103</v>
      </c>
      <c r="Y12" s="17"/>
    </row>
    <row r="13" spans="1:25" ht="21" customHeight="1" x14ac:dyDescent="0.25">
      <c r="A13" s="8">
        <v>44479</v>
      </c>
      <c r="B13" s="115">
        <v>1.1166</v>
      </c>
      <c r="C13" s="116">
        <v>254.23</v>
      </c>
      <c r="D13" s="116">
        <v>7714308.46</v>
      </c>
      <c r="E13" s="116">
        <v>8487989.5199999996</v>
      </c>
      <c r="F13" s="116">
        <v>2.6234999999999999</v>
      </c>
      <c r="G13" s="116">
        <v>830.56</v>
      </c>
      <c r="H13" s="116">
        <v>679.94</v>
      </c>
      <c r="I13" s="116">
        <v>266.51</v>
      </c>
      <c r="J13" s="116">
        <v>342.2</v>
      </c>
      <c r="K13" s="116">
        <v>368.85</v>
      </c>
      <c r="L13" s="116">
        <v>254.01</v>
      </c>
      <c r="M13" s="116">
        <v>595.71</v>
      </c>
      <c r="N13" s="116">
        <v>546.77</v>
      </c>
      <c r="O13" s="116">
        <v>173.48</v>
      </c>
      <c r="P13" s="116">
        <v>716.9</v>
      </c>
      <c r="Q13" s="116">
        <v>529.54</v>
      </c>
      <c r="R13" s="116">
        <v>183.91</v>
      </c>
      <c r="S13" s="116">
        <v>127.33</v>
      </c>
      <c r="T13" s="116">
        <v>466.91</v>
      </c>
      <c r="V13" s="108">
        <v>20</v>
      </c>
      <c r="W13" s="108">
        <v>53</v>
      </c>
      <c r="X13" s="108">
        <v>119</v>
      </c>
      <c r="Y13" s="17"/>
    </row>
    <row r="14" spans="1:25" ht="21" customHeight="1" x14ac:dyDescent="0.25">
      <c r="A14" s="8">
        <v>44480</v>
      </c>
      <c r="B14" s="115">
        <v>1.1177999999999999</v>
      </c>
      <c r="C14" s="116">
        <v>254.43</v>
      </c>
      <c r="D14" s="116">
        <v>7716267.4500000002</v>
      </c>
      <c r="E14" s="116">
        <v>8490741.4900000002</v>
      </c>
      <c r="F14" s="116">
        <v>2.6257000000000001</v>
      </c>
      <c r="G14" s="116">
        <v>831.45</v>
      </c>
      <c r="H14" s="116">
        <v>680.73</v>
      </c>
      <c r="I14" s="116">
        <v>266.77</v>
      </c>
      <c r="J14" s="116">
        <v>342.27</v>
      </c>
      <c r="K14" s="116">
        <v>369.01</v>
      </c>
      <c r="L14" s="116">
        <v>254.16</v>
      </c>
      <c r="M14" s="116">
        <v>596.51</v>
      </c>
      <c r="N14" s="116">
        <v>547.58000000000004</v>
      </c>
      <c r="O14" s="116">
        <v>173.68</v>
      </c>
      <c r="P14" s="116">
        <v>717.8</v>
      </c>
      <c r="Q14" s="116">
        <v>530.05999999999995</v>
      </c>
      <c r="R14" s="116">
        <v>184.13</v>
      </c>
      <c r="S14" s="116">
        <v>127.44</v>
      </c>
      <c r="T14" s="116">
        <v>467.4</v>
      </c>
      <c r="V14" s="108">
        <v>19</v>
      </c>
      <c r="W14" s="108">
        <v>48</v>
      </c>
      <c r="X14" s="108">
        <v>122</v>
      </c>
      <c r="Y14" s="17"/>
    </row>
    <row r="15" spans="1:25" ht="21" customHeight="1" x14ac:dyDescent="0.25">
      <c r="A15" s="8">
        <v>44481</v>
      </c>
      <c r="B15" s="115">
        <v>1.1191</v>
      </c>
      <c r="C15" s="116">
        <v>254.66</v>
      </c>
      <c r="D15" s="116">
        <v>7718414.7199999997</v>
      </c>
      <c r="E15" s="116">
        <v>8493784.1999999993</v>
      </c>
      <c r="F15" s="116">
        <v>2.6284000000000001</v>
      </c>
      <c r="G15" s="116">
        <v>832.31</v>
      </c>
      <c r="H15" s="116">
        <v>681.54</v>
      </c>
      <c r="I15" s="116">
        <v>267.02999999999997</v>
      </c>
      <c r="J15" s="116">
        <v>342.48</v>
      </c>
      <c r="K15" s="116">
        <v>369.26</v>
      </c>
      <c r="L15" s="116">
        <v>254.35</v>
      </c>
      <c r="M15" s="116">
        <v>597.42999999999995</v>
      </c>
      <c r="N15" s="116">
        <v>548.45000000000005</v>
      </c>
      <c r="O15" s="116">
        <v>173.94</v>
      </c>
      <c r="P15" s="116">
        <v>718.81</v>
      </c>
      <c r="Q15" s="116">
        <v>530.6</v>
      </c>
      <c r="R15" s="116">
        <v>184.37</v>
      </c>
      <c r="S15" s="116">
        <v>127.56</v>
      </c>
      <c r="T15" s="116">
        <v>467.89</v>
      </c>
      <c r="V15" s="108">
        <v>14</v>
      </c>
      <c r="W15" s="108">
        <v>39</v>
      </c>
      <c r="X15" s="108">
        <v>96</v>
      </c>
      <c r="Y15" s="17"/>
    </row>
    <row r="16" spans="1:25" ht="21" customHeight="1" x14ac:dyDescent="0.25">
      <c r="A16" s="8">
        <v>44482</v>
      </c>
      <c r="B16" s="115">
        <v>1.1204000000000001</v>
      </c>
      <c r="C16" s="116">
        <v>254.92</v>
      </c>
      <c r="D16" s="116">
        <v>7720650.3899999997</v>
      </c>
      <c r="E16" s="116">
        <v>8496799.0099999998</v>
      </c>
      <c r="F16" s="116">
        <v>2.6309</v>
      </c>
      <c r="G16" s="116">
        <v>833.15</v>
      </c>
      <c r="H16" s="116">
        <v>682.36</v>
      </c>
      <c r="I16" s="116">
        <v>267.31</v>
      </c>
      <c r="J16" s="116">
        <v>342.76</v>
      </c>
      <c r="K16" s="116">
        <v>369.51</v>
      </c>
      <c r="L16" s="116">
        <v>254.53</v>
      </c>
      <c r="M16" s="116">
        <v>598.29999999999995</v>
      </c>
      <c r="N16" s="116">
        <v>549.36</v>
      </c>
      <c r="O16" s="116">
        <v>174.21</v>
      </c>
      <c r="P16" s="116">
        <v>719.88</v>
      </c>
      <c r="Q16" s="116">
        <v>531.21</v>
      </c>
      <c r="R16" s="116">
        <v>184.55</v>
      </c>
      <c r="S16" s="116">
        <v>127.67</v>
      </c>
      <c r="T16" s="116">
        <v>468.4</v>
      </c>
      <c r="V16" s="108">
        <v>18</v>
      </c>
      <c r="W16" s="108">
        <v>47</v>
      </c>
      <c r="X16" s="108">
        <v>112</v>
      </c>
      <c r="Y16" s="17"/>
    </row>
    <row r="17" spans="1:25" ht="21" customHeight="1" x14ac:dyDescent="0.25">
      <c r="A17" s="8">
        <v>44483</v>
      </c>
      <c r="B17" s="115">
        <v>1.1215999999999999</v>
      </c>
      <c r="C17" s="116">
        <v>255.16</v>
      </c>
      <c r="D17" s="116">
        <v>7722753.4800000004</v>
      </c>
      <c r="E17" s="116">
        <v>8499812.7300000004</v>
      </c>
      <c r="F17" s="116">
        <v>2.6335000000000002</v>
      </c>
      <c r="G17" s="116">
        <v>833.93</v>
      </c>
      <c r="H17" s="116">
        <v>683.16</v>
      </c>
      <c r="I17" s="116">
        <v>267.58999999999997</v>
      </c>
      <c r="J17" s="116">
        <v>342.99</v>
      </c>
      <c r="K17" s="116">
        <v>369.78</v>
      </c>
      <c r="L17" s="116">
        <v>254.7</v>
      </c>
      <c r="M17" s="116">
        <v>599.16999999999996</v>
      </c>
      <c r="N17" s="116">
        <v>550.16</v>
      </c>
      <c r="O17" s="116">
        <v>174.51</v>
      </c>
      <c r="P17" s="116">
        <v>720.93</v>
      </c>
      <c r="Q17" s="116">
        <v>531.82000000000005</v>
      </c>
      <c r="R17" s="116">
        <v>184.79</v>
      </c>
      <c r="S17" s="116">
        <v>127.79</v>
      </c>
      <c r="T17" s="116">
        <v>468.9</v>
      </c>
      <c r="V17" s="108">
        <v>25</v>
      </c>
      <c r="W17" s="108">
        <v>73</v>
      </c>
      <c r="X17" s="108">
        <v>203</v>
      </c>
      <c r="Y17" s="17"/>
    </row>
    <row r="18" spans="1:25" ht="21" customHeight="1" x14ac:dyDescent="0.25">
      <c r="A18" s="8">
        <v>44484</v>
      </c>
      <c r="B18" s="115">
        <v>1.1229</v>
      </c>
      <c r="C18" s="116">
        <v>255.4</v>
      </c>
      <c r="D18" s="116">
        <v>7725067.8499999996</v>
      </c>
      <c r="E18" s="116">
        <v>8503335.9000000004</v>
      </c>
      <c r="F18" s="116">
        <v>2.6360999999999999</v>
      </c>
      <c r="G18" s="116">
        <v>834.84</v>
      </c>
      <c r="H18" s="116">
        <v>684</v>
      </c>
      <c r="I18" s="116">
        <v>267.89</v>
      </c>
      <c r="J18" s="116">
        <v>343.29</v>
      </c>
      <c r="K18" s="116">
        <v>370.05</v>
      </c>
      <c r="L18" s="116">
        <v>254.91</v>
      </c>
      <c r="M18" s="116">
        <v>600.12</v>
      </c>
      <c r="N18" s="116">
        <v>551.15</v>
      </c>
      <c r="O18" s="116">
        <v>174.79</v>
      </c>
      <c r="P18" s="116">
        <v>722.08</v>
      </c>
      <c r="Q18" s="116">
        <v>532.6</v>
      </c>
      <c r="R18" s="116">
        <v>185.04</v>
      </c>
      <c r="S18" s="116">
        <v>127.9</v>
      </c>
      <c r="T18" s="116">
        <v>469.37</v>
      </c>
      <c r="V18" s="108">
        <v>29</v>
      </c>
      <c r="W18" s="108">
        <v>86</v>
      </c>
      <c r="X18" s="108">
        <v>228</v>
      </c>
      <c r="Y18" s="17"/>
    </row>
    <row r="19" spans="1:25" ht="21" customHeight="1" x14ac:dyDescent="0.25">
      <c r="A19" s="8">
        <v>44485</v>
      </c>
      <c r="B19" s="115">
        <v>1.1249</v>
      </c>
      <c r="C19" s="116">
        <v>255.69</v>
      </c>
      <c r="D19" s="116">
        <v>7727456.1100000003</v>
      </c>
      <c r="E19" s="116">
        <v>8506580.3100000005</v>
      </c>
      <c r="F19" s="116">
        <v>2.6387999999999998</v>
      </c>
      <c r="G19" s="116">
        <v>835.79</v>
      </c>
      <c r="H19" s="116">
        <v>684.87</v>
      </c>
      <c r="I19" s="116">
        <v>268.2</v>
      </c>
      <c r="J19" s="116">
        <v>343.51</v>
      </c>
      <c r="K19" s="116">
        <v>370.28</v>
      </c>
      <c r="L19" s="116">
        <v>255.1</v>
      </c>
      <c r="M19" s="116">
        <v>601.04999999999995</v>
      </c>
      <c r="N19" s="116">
        <v>552.17999999999995</v>
      </c>
      <c r="O19" s="116">
        <v>175.09</v>
      </c>
      <c r="P19" s="116">
        <v>723.33</v>
      </c>
      <c r="Q19" s="116">
        <v>533.45000000000005</v>
      </c>
      <c r="R19" s="116">
        <v>185.27</v>
      </c>
      <c r="S19" s="116">
        <v>128.01</v>
      </c>
      <c r="T19" s="116">
        <v>469.66</v>
      </c>
      <c r="V19" s="108">
        <v>40</v>
      </c>
      <c r="W19" s="108">
        <v>118</v>
      </c>
      <c r="X19" s="108">
        <v>261</v>
      </c>
      <c r="Y19" s="17"/>
    </row>
    <row r="20" spans="1:25" ht="21" customHeight="1" x14ac:dyDescent="0.25">
      <c r="A20" s="8">
        <v>44486</v>
      </c>
      <c r="B20" s="115">
        <v>1.1253</v>
      </c>
      <c r="C20" s="116">
        <v>255.98</v>
      </c>
      <c r="D20" s="116">
        <v>7729856.3200000003</v>
      </c>
      <c r="E20" s="116">
        <v>8510058.8599999994</v>
      </c>
      <c r="F20" s="116">
        <v>2.6417000000000002</v>
      </c>
      <c r="G20" s="116">
        <v>836.77</v>
      </c>
      <c r="H20" s="116">
        <v>685.75</v>
      </c>
      <c r="I20" s="116">
        <v>268.45</v>
      </c>
      <c r="J20" s="116">
        <v>343.95</v>
      </c>
      <c r="K20" s="116">
        <v>370.67</v>
      </c>
      <c r="L20" s="116">
        <v>255.35</v>
      </c>
      <c r="M20" s="116">
        <v>601.96</v>
      </c>
      <c r="N20" s="116">
        <v>553</v>
      </c>
      <c r="O20" s="116">
        <v>175.39</v>
      </c>
      <c r="P20" s="116">
        <v>724.52</v>
      </c>
      <c r="Q20" s="116">
        <v>534.28</v>
      </c>
      <c r="R20" s="116">
        <v>185.52</v>
      </c>
      <c r="S20" s="116">
        <v>128.13</v>
      </c>
      <c r="T20" s="116">
        <v>470.15</v>
      </c>
      <c r="V20" s="108">
        <v>39</v>
      </c>
      <c r="W20" s="108">
        <v>123</v>
      </c>
      <c r="X20" s="108">
        <v>318</v>
      </c>
      <c r="Y20" s="17"/>
    </row>
    <row r="21" spans="1:25" ht="21" customHeight="1" x14ac:dyDescent="0.25">
      <c r="A21" s="8">
        <v>44487</v>
      </c>
      <c r="B21" s="115">
        <v>1.1262000000000001</v>
      </c>
      <c r="C21" s="116">
        <v>256.22000000000003</v>
      </c>
      <c r="D21" s="116">
        <v>7731473.9299999997</v>
      </c>
      <c r="E21" s="116">
        <v>8512461.5600000005</v>
      </c>
      <c r="F21" s="116">
        <v>2.6442000000000001</v>
      </c>
      <c r="G21" s="116">
        <v>837.43</v>
      </c>
      <c r="H21" s="116">
        <v>686.47</v>
      </c>
      <c r="I21" s="116">
        <v>268.69</v>
      </c>
      <c r="J21" s="116">
        <v>344.26</v>
      </c>
      <c r="K21" s="116">
        <v>370.88</v>
      </c>
      <c r="L21" s="116">
        <v>255.53</v>
      </c>
      <c r="M21" s="116">
        <v>602.62</v>
      </c>
      <c r="N21" s="116">
        <v>553.61</v>
      </c>
      <c r="O21" s="116">
        <v>175.65</v>
      </c>
      <c r="P21" s="116">
        <v>725.41</v>
      </c>
      <c r="Q21" s="116">
        <v>534.91</v>
      </c>
      <c r="R21" s="116">
        <v>185.76</v>
      </c>
      <c r="S21" s="116">
        <v>128.25</v>
      </c>
      <c r="T21" s="116">
        <v>470.64</v>
      </c>
      <c r="V21" s="108">
        <v>42</v>
      </c>
      <c r="W21" s="108">
        <v>128</v>
      </c>
      <c r="X21" s="108">
        <v>319</v>
      </c>
      <c r="Y21" s="17"/>
    </row>
    <row r="22" spans="1:25" ht="21" customHeight="1" x14ac:dyDescent="0.25">
      <c r="A22" s="8">
        <v>44488</v>
      </c>
      <c r="B22" s="115">
        <v>1.1271</v>
      </c>
      <c r="C22" s="116">
        <v>256.49</v>
      </c>
      <c r="D22" s="116">
        <v>7733158.3200000003</v>
      </c>
      <c r="E22" s="116">
        <v>8514811.0999999996</v>
      </c>
      <c r="F22" s="116">
        <v>2.6467999999999998</v>
      </c>
      <c r="G22" s="116">
        <v>838.16</v>
      </c>
      <c r="H22" s="116">
        <v>687.02</v>
      </c>
      <c r="I22" s="116">
        <v>268.89</v>
      </c>
      <c r="J22" s="116">
        <v>344.63</v>
      </c>
      <c r="K22" s="116">
        <v>371.19</v>
      </c>
      <c r="L22" s="116">
        <v>255.73</v>
      </c>
      <c r="M22" s="116">
        <v>603.19000000000005</v>
      </c>
      <c r="N22" s="116">
        <v>554.24</v>
      </c>
      <c r="O22" s="116">
        <v>175.91</v>
      </c>
      <c r="P22" s="116">
        <v>726.15</v>
      </c>
      <c r="Q22" s="116">
        <v>535.54</v>
      </c>
      <c r="R22" s="120">
        <v>186</v>
      </c>
      <c r="S22" s="116">
        <v>128.38</v>
      </c>
      <c r="T22" s="116">
        <v>471.09</v>
      </c>
      <c r="V22" s="108">
        <v>46</v>
      </c>
      <c r="W22" s="108">
        <v>135</v>
      </c>
      <c r="X22" s="108">
        <v>343</v>
      </c>
      <c r="Y22" s="17"/>
    </row>
    <row r="23" spans="1:25" ht="21" customHeight="1" x14ac:dyDescent="0.25">
      <c r="A23" s="8">
        <v>44489</v>
      </c>
      <c r="B23" s="115">
        <v>1.1283000000000001</v>
      </c>
      <c r="C23" s="116">
        <v>256.76</v>
      </c>
      <c r="D23" s="116">
        <v>7735619.25</v>
      </c>
      <c r="E23" s="116">
        <v>8517866.7400000002</v>
      </c>
      <c r="F23" s="116">
        <v>2.6495000000000002</v>
      </c>
      <c r="G23" s="116">
        <v>839.05</v>
      </c>
      <c r="H23" s="116">
        <v>687.81</v>
      </c>
      <c r="I23" s="116">
        <v>269.14</v>
      </c>
      <c r="J23" s="116">
        <v>345.1</v>
      </c>
      <c r="K23" s="116">
        <v>371.59</v>
      </c>
      <c r="L23" s="116">
        <v>255.95</v>
      </c>
      <c r="M23" s="116">
        <v>603.91999999999996</v>
      </c>
      <c r="N23" s="116">
        <v>555.02</v>
      </c>
      <c r="O23" s="116">
        <v>176.16</v>
      </c>
      <c r="P23" s="116">
        <v>727.15</v>
      </c>
      <c r="Q23" s="116">
        <v>536.28</v>
      </c>
      <c r="R23" s="116">
        <v>186.26</v>
      </c>
      <c r="S23" s="116">
        <v>128.52000000000001</v>
      </c>
      <c r="T23" s="116">
        <v>471.6</v>
      </c>
      <c r="V23" s="108">
        <v>45</v>
      </c>
      <c r="W23" s="108">
        <v>130</v>
      </c>
      <c r="X23" s="108">
        <v>326</v>
      </c>
      <c r="Y23" s="17"/>
    </row>
    <row r="24" spans="1:25" ht="21" customHeight="1" x14ac:dyDescent="0.25">
      <c r="A24" s="8">
        <v>44490</v>
      </c>
      <c r="B24" s="115">
        <v>1.1294</v>
      </c>
      <c r="C24" s="116">
        <v>257.02</v>
      </c>
      <c r="D24" s="116">
        <v>7738047.4100000001</v>
      </c>
      <c r="E24" s="116">
        <v>8520905.6699999999</v>
      </c>
      <c r="F24" s="116">
        <v>2.6522999999999999</v>
      </c>
      <c r="G24" s="116">
        <v>839.87</v>
      </c>
      <c r="H24" s="116">
        <v>688.51</v>
      </c>
      <c r="I24" s="116">
        <v>269.38</v>
      </c>
      <c r="J24" s="116">
        <v>345.56</v>
      </c>
      <c r="K24" s="116">
        <v>371.98</v>
      </c>
      <c r="L24" s="116">
        <v>256.17</v>
      </c>
      <c r="M24" s="116">
        <v>604.72</v>
      </c>
      <c r="N24" s="116">
        <v>555.78</v>
      </c>
      <c r="O24" s="116">
        <v>176.41</v>
      </c>
      <c r="P24" s="116">
        <v>728.19</v>
      </c>
      <c r="Q24" s="116">
        <v>537.02</v>
      </c>
      <c r="R24" s="116">
        <v>186.52</v>
      </c>
      <c r="S24" s="116">
        <v>128.65</v>
      </c>
      <c r="T24" s="116">
        <v>472.12</v>
      </c>
      <c r="V24" s="108">
        <v>47</v>
      </c>
      <c r="W24" s="108">
        <v>130</v>
      </c>
      <c r="X24" s="108">
        <v>370</v>
      </c>
      <c r="Y24" s="17"/>
    </row>
    <row r="25" spans="1:25" ht="21" customHeight="1" x14ac:dyDescent="0.25">
      <c r="A25" s="8">
        <v>44491</v>
      </c>
      <c r="B25" s="115">
        <v>1.1307</v>
      </c>
      <c r="C25" s="116">
        <v>257.29000000000002</v>
      </c>
      <c r="D25" s="116">
        <v>7740239.9400000004</v>
      </c>
      <c r="E25" s="116">
        <v>8523766.6099999994</v>
      </c>
      <c r="F25" s="116">
        <v>2.6549999999999998</v>
      </c>
      <c r="G25" s="116">
        <v>840.76</v>
      </c>
      <c r="H25" s="116">
        <v>689.4</v>
      </c>
      <c r="I25" s="116">
        <v>269.60000000000002</v>
      </c>
      <c r="J25" s="116">
        <v>346.04</v>
      </c>
      <c r="K25" s="116">
        <v>372.32</v>
      </c>
      <c r="L25" s="116">
        <v>256.41000000000003</v>
      </c>
      <c r="M25" s="116">
        <v>605.44000000000005</v>
      </c>
      <c r="N25" s="116">
        <v>556.54</v>
      </c>
      <c r="O25" s="116">
        <v>176.62</v>
      </c>
      <c r="P25" s="116">
        <v>729.14</v>
      </c>
      <c r="Q25" s="116">
        <v>537.74</v>
      </c>
      <c r="R25" s="116">
        <v>186.75</v>
      </c>
      <c r="S25" s="116">
        <v>128.77000000000001</v>
      </c>
      <c r="T25" s="116">
        <v>472.62</v>
      </c>
      <c r="V25" s="108">
        <v>49</v>
      </c>
      <c r="W25" s="108">
        <v>136</v>
      </c>
      <c r="X25" s="108">
        <v>376</v>
      </c>
      <c r="Y25" s="17"/>
    </row>
    <row r="26" spans="1:25" ht="21" customHeight="1" x14ac:dyDescent="0.25">
      <c r="A26" s="8">
        <v>44492</v>
      </c>
      <c r="B26" s="115">
        <v>1.1318999999999999</v>
      </c>
      <c r="C26" s="116">
        <v>257.55</v>
      </c>
      <c r="D26" s="116">
        <v>7742258.9299999997</v>
      </c>
      <c r="E26" s="116">
        <v>8526107.7200000007</v>
      </c>
      <c r="F26" s="116">
        <v>2.6577000000000002</v>
      </c>
      <c r="G26" s="116">
        <v>841.63</v>
      </c>
      <c r="H26" s="116">
        <v>690.25</v>
      </c>
      <c r="I26" s="116">
        <v>269.81</v>
      </c>
      <c r="J26" s="116">
        <v>346.46</v>
      </c>
      <c r="K26" s="116">
        <v>372.72</v>
      </c>
      <c r="L26" s="116">
        <v>256.64</v>
      </c>
      <c r="M26" s="116">
        <v>606.13</v>
      </c>
      <c r="N26" s="116">
        <v>557.29</v>
      </c>
      <c r="O26" s="116">
        <v>176.85</v>
      </c>
      <c r="P26" s="116">
        <v>729.96</v>
      </c>
      <c r="Q26" s="116">
        <v>538.54999999999995</v>
      </c>
      <c r="R26" s="116">
        <v>186.99</v>
      </c>
      <c r="S26" s="116">
        <v>128.88999999999999</v>
      </c>
      <c r="T26" s="116">
        <v>472.92</v>
      </c>
      <c r="V26" s="108">
        <v>42</v>
      </c>
      <c r="W26" s="108">
        <v>117</v>
      </c>
      <c r="X26" s="108">
        <v>334</v>
      </c>
      <c r="Y26" s="17"/>
    </row>
    <row r="27" spans="1:25" ht="21" customHeight="1" x14ac:dyDescent="0.25">
      <c r="A27" s="8">
        <v>44493</v>
      </c>
      <c r="B27" s="115">
        <v>1.1332</v>
      </c>
      <c r="C27" s="116">
        <v>257.82</v>
      </c>
      <c r="D27" s="116">
        <v>774440.76</v>
      </c>
      <c r="E27" s="116">
        <v>8529082.8399999999</v>
      </c>
      <c r="F27" s="116">
        <v>2.6604000000000001</v>
      </c>
      <c r="G27" s="116">
        <v>842.55</v>
      </c>
      <c r="H27" s="116">
        <v>691.11</v>
      </c>
      <c r="I27" s="116">
        <v>270.02</v>
      </c>
      <c r="J27" s="116">
        <v>346.83</v>
      </c>
      <c r="K27" s="116">
        <v>373.06</v>
      </c>
      <c r="L27" s="116">
        <v>256.85000000000002</v>
      </c>
      <c r="M27" s="116">
        <v>606.86</v>
      </c>
      <c r="N27" s="116">
        <v>558.04</v>
      </c>
      <c r="O27" s="116">
        <v>177.05</v>
      </c>
      <c r="P27" s="116">
        <v>730.84</v>
      </c>
      <c r="Q27" s="116">
        <v>539.33000000000004</v>
      </c>
      <c r="R27" s="116">
        <v>187.23</v>
      </c>
      <c r="S27" s="116">
        <v>129.01</v>
      </c>
      <c r="T27" s="116">
        <v>473.39</v>
      </c>
      <c r="V27" s="108">
        <v>46</v>
      </c>
      <c r="W27" s="108">
        <v>127</v>
      </c>
      <c r="X27" s="108">
        <v>346</v>
      </c>
      <c r="Y27" s="17"/>
    </row>
    <row r="28" spans="1:25" ht="21" customHeight="1" x14ac:dyDescent="0.25">
      <c r="A28" s="8">
        <v>44494</v>
      </c>
      <c r="B28" s="115">
        <v>1.1344000000000001</v>
      </c>
      <c r="C28" s="116">
        <v>258.08999999999997</v>
      </c>
      <c r="D28" s="116">
        <v>7746609.21</v>
      </c>
      <c r="E28" s="116">
        <v>8532293.1300000008</v>
      </c>
      <c r="F28" s="116">
        <v>2.6631999999999998</v>
      </c>
      <c r="G28" s="116">
        <v>843.6</v>
      </c>
      <c r="H28" s="116">
        <v>692.11</v>
      </c>
      <c r="I28" s="116">
        <v>270.27999999999997</v>
      </c>
      <c r="J28" s="116">
        <v>347.24</v>
      </c>
      <c r="K28" s="116">
        <v>373.42</v>
      </c>
      <c r="L28" s="116">
        <v>257.07</v>
      </c>
      <c r="M28" s="116">
        <v>607.64</v>
      </c>
      <c r="N28" s="116">
        <v>558.9</v>
      </c>
      <c r="O28" s="116">
        <v>177.3</v>
      </c>
      <c r="P28" s="116">
        <v>731.82</v>
      </c>
      <c r="Q28" s="116">
        <v>540.19000000000005</v>
      </c>
      <c r="R28" s="116">
        <v>187.47</v>
      </c>
      <c r="S28" s="116">
        <v>129.13</v>
      </c>
      <c r="T28" s="116">
        <v>473.94</v>
      </c>
      <c r="V28" s="108">
        <v>43</v>
      </c>
      <c r="W28" s="108">
        <v>109</v>
      </c>
      <c r="X28" s="108">
        <v>293</v>
      </c>
      <c r="Y28" s="17"/>
    </row>
    <row r="29" spans="1:25" ht="21" customHeight="1" x14ac:dyDescent="0.25">
      <c r="A29" s="8">
        <v>44495</v>
      </c>
      <c r="B29" s="115">
        <v>1.1355</v>
      </c>
      <c r="C29" s="116">
        <v>258.35000000000002</v>
      </c>
      <c r="D29" s="116">
        <v>7748635.21</v>
      </c>
      <c r="E29" s="116">
        <v>8535013.9299999997</v>
      </c>
      <c r="F29" s="116">
        <v>2.6659000000000002</v>
      </c>
      <c r="G29" s="116">
        <v>844.53</v>
      </c>
      <c r="H29" s="116">
        <v>692.99</v>
      </c>
      <c r="I29" s="116">
        <v>270.51</v>
      </c>
      <c r="J29" s="116">
        <v>347.72</v>
      </c>
      <c r="K29" s="116">
        <v>373.8</v>
      </c>
      <c r="L29" s="116">
        <v>257.32</v>
      </c>
      <c r="M29" s="116">
        <v>608.37</v>
      </c>
      <c r="N29" s="116">
        <v>559.84</v>
      </c>
      <c r="O29" s="116">
        <v>177.55</v>
      </c>
      <c r="P29" s="116">
        <v>732.16</v>
      </c>
      <c r="Q29" s="116">
        <v>541.08000000000004</v>
      </c>
      <c r="R29" s="116">
        <v>187.72</v>
      </c>
      <c r="S29" s="116">
        <v>129.25</v>
      </c>
      <c r="T29" s="116">
        <v>474.48</v>
      </c>
      <c r="V29" s="108">
        <v>50</v>
      </c>
      <c r="W29" s="108">
        <v>128</v>
      </c>
      <c r="X29" s="108">
        <v>316</v>
      </c>
      <c r="Y29" s="17"/>
    </row>
    <row r="30" spans="1:25" ht="21" customHeight="1" x14ac:dyDescent="0.25">
      <c r="A30" s="8">
        <v>44496</v>
      </c>
      <c r="B30" s="115">
        <v>1.1367</v>
      </c>
      <c r="C30" s="116">
        <v>258.60000000000002</v>
      </c>
      <c r="D30" s="116">
        <v>7750876.0599999996</v>
      </c>
      <c r="E30" s="116">
        <v>8537829.5099999998</v>
      </c>
      <c r="F30" s="116">
        <v>2.6686000000000001</v>
      </c>
      <c r="G30" s="116">
        <v>845.44</v>
      </c>
      <c r="H30" s="116">
        <v>693.79</v>
      </c>
      <c r="I30" s="116">
        <v>270.74</v>
      </c>
      <c r="J30" s="116">
        <v>348.17</v>
      </c>
      <c r="K30" s="116">
        <v>374.21</v>
      </c>
      <c r="L30" s="116">
        <v>257.52999999999997</v>
      </c>
      <c r="M30" s="116">
        <v>609</v>
      </c>
      <c r="N30" s="116">
        <v>560.66999999999996</v>
      </c>
      <c r="O30" s="116">
        <v>177.79</v>
      </c>
      <c r="P30" s="116">
        <v>733.56</v>
      </c>
      <c r="Q30" s="116">
        <v>541.86</v>
      </c>
      <c r="R30" s="116">
        <v>187.99</v>
      </c>
      <c r="S30" s="116">
        <v>129.37</v>
      </c>
      <c r="T30" s="116">
        <v>474.97</v>
      </c>
      <c r="V30" s="108">
        <v>48</v>
      </c>
      <c r="W30" s="108">
        <v>125</v>
      </c>
      <c r="X30" s="108">
        <v>348</v>
      </c>
      <c r="Y30" s="17"/>
    </row>
    <row r="31" spans="1:25" ht="21" customHeight="1" x14ac:dyDescent="0.25">
      <c r="A31" s="8">
        <v>44497</v>
      </c>
      <c r="B31" s="115">
        <v>1.1378999999999999</v>
      </c>
      <c r="C31" s="116">
        <v>258.87</v>
      </c>
      <c r="D31" s="116">
        <v>7753094.7199999997</v>
      </c>
      <c r="E31" s="116">
        <v>8540464.8100000005</v>
      </c>
      <c r="F31" s="116">
        <v>2.6713</v>
      </c>
      <c r="G31" s="116">
        <v>846.32</v>
      </c>
      <c r="H31" s="116">
        <v>694.51</v>
      </c>
      <c r="I31" s="116">
        <v>270.95999999999998</v>
      </c>
      <c r="J31" s="116">
        <v>348.67</v>
      </c>
      <c r="K31" s="116">
        <v>374.56</v>
      </c>
      <c r="L31" s="116">
        <v>257.76</v>
      </c>
      <c r="M31" s="116">
        <v>609.65</v>
      </c>
      <c r="N31" s="116">
        <v>561.49</v>
      </c>
      <c r="O31" s="116">
        <v>178.02</v>
      </c>
      <c r="P31" s="116">
        <v>734.41</v>
      </c>
      <c r="Q31" s="116">
        <v>542.55999999999995</v>
      </c>
      <c r="R31" s="116">
        <v>188.24</v>
      </c>
      <c r="S31" s="116">
        <v>129.49</v>
      </c>
      <c r="T31" s="116">
        <v>475.5</v>
      </c>
      <c r="V31" s="108">
        <v>39</v>
      </c>
      <c r="W31" s="108">
        <v>108</v>
      </c>
      <c r="X31" s="108">
        <v>348</v>
      </c>
      <c r="Y31" s="17"/>
    </row>
    <row r="32" spans="1:25" ht="21" customHeight="1" x14ac:dyDescent="0.25">
      <c r="A32" s="8">
        <v>44498</v>
      </c>
      <c r="B32" s="113">
        <v>1.1391</v>
      </c>
      <c r="C32" s="113">
        <v>259.13</v>
      </c>
      <c r="D32" s="113">
        <v>7755306.2800000003</v>
      </c>
      <c r="E32" s="121">
        <v>8543051.8100000005</v>
      </c>
      <c r="F32" s="113">
        <v>2.6739999999999999</v>
      </c>
      <c r="G32" s="113">
        <v>847.27</v>
      </c>
      <c r="H32" s="113">
        <v>695.16</v>
      </c>
      <c r="I32" s="113">
        <v>271.19</v>
      </c>
      <c r="J32" s="113">
        <v>349.16</v>
      </c>
      <c r="K32" s="113">
        <v>374.93</v>
      </c>
      <c r="L32" s="113">
        <v>258</v>
      </c>
      <c r="M32" s="113">
        <v>610.25</v>
      </c>
      <c r="N32" s="113">
        <v>562.39</v>
      </c>
      <c r="O32" s="113">
        <v>178.24</v>
      </c>
      <c r="P32" s="113">
        <v>735.27</v>
      </c>
      <c r="Q32" s="113">
        <v>543.39</v>
      </c>
      <c r="R32" s="113">
        <v>188.47</v>
      </c>
      <c r="S32" s="121">
        <v>129.6</v>
      </c>
      <c r="T32" s="113">
        <v>475.95</v>
      </c>
      <c r="V32" s="108">
        <v>42</v>
      </c>
      <c r="W32" s="108">
        <v>115</v>
      </c>
      <c r="X32" s="108">
        <v>316</v>
      </c>
      <c r="Y32" s="17"/>
    </row>
    <row r="33" spans="1:25" ht="19.5" customHeight="1" x14ac:dyDescent="0.25">
      <c r="A33" s="8">
        <v>44499</v>
      </c>
      <c r="B33" s="113">
        <v>1.1404000000000001</v>
      </c>
      <c r="C33" s="121">
        <v>259.39999999999998</v>
      </c>
      <c r="D33" s="113">
        <v>7757378.4000000004</v>
      </c>
      <c r="E33" s="121">
        <v>8545411.1199999992</v>
      </c>
      <c r="F33" s="113">
        <v>2.6766999999999999</v>
      </c>
      <c r="G33" s="113">
        <v>848.3</v>
      </c>
      <c r="H33" s="113">
        <v>695.85</v>
      </c>
      <c r="I33" s="113">
        <v>271.43</v>
      </c>
      <c r="J33" s="113">
        <v>349.62</v>
      </c>
      <c r="K33" s="113">
        <v>375.29</v>
      </c>
      <c r="L33" s="113">
        <v>258.20999999999998</v>
      </c>
      <c r="M33" s="113">
        <v>610.9</v>
      </c>
      <c r="N33" s="113">
        <v>563.32000000000005</v>
      </c>
      <c r="O33" s="113">
        <v>178.46</v>
      </c>
      <c r="P33" s="113">
        <v>736.12</v>
      </c>
      <c r="Q33" s="113">
        <v>544.23</v>
      </c>
      <c r="R33" s="113">
        <v>188.74</v>
      </c>
      <c r="S33" s="121">
        <v>129.72</v>
      </c>
      <c r="T33" s="113">
        <v>476.22</v>
      </c>
      <c r="V33" s="108"/>
      <c r="W33" s="108"/>
      <c r="X33" s="108"/>
      <c r="Y33" s="17"/>
    </row>
    <row r="34" spans="1:25" ht="19.5" customHeight="1" x14ac:dyDescent="0.25">
      <c r="A34" s="8">
        <v>44500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8"/>
      <c r="W34" s="108"/>
      <c r="X34" s="108"/>
    </row>
    <row r="35" spans="1:25" ht="21" customHeight="1" x14ac:dyDescent="0.25">
      <c r="A35" s="8">
        <v>44501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6">
        <f>SUM(V4:V34)</f>
        <v>846</v>
      </c>
      <c r="W35" s="76">
        <f>SUM(W4:W34)</f>
        <v>2363</v>
      </c>
      <c r="X35" s="76">
        <f>SUM(X4:X34)</f>
        <v>6197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1" t="s">
        <v>31</v>
      </c>
      <c r="B2" s="123" t="s">
        <v>32</v>
      </c>
      <c r="C2" s="123" t="s">
        <v>33</v>
      </c>
      <c r="D2" s="123" t="s">
        <v>119</v>
      </c>
      <c r="E2" s="131" t="s">
        <v>34</v>
      </c>
      <c r="F2" s="138" t="s">
        <v>35</v>
      </c>
      <c r="G2" s="139"/>
      <c r="H2" s="140"/>
      <c r="I2" s="141" t="s">
        <v>36</v>
      </c>
      <c r="J2" s="141" t="s">
        <v>37</v>
      </c>
      <c r="K2" s="141" t="s">
        <v>38</v>
      </c>
      <c r="L2" s="141" t="s">
        <v>39</v>
      </c>
      <c r="M2" s="142" t="s">
        <v>40</v>
      </c>
      <c r="N2" s="142"/>
      <c r="O2" s="142"/>
      <c r="P2" s="142"/>
      <c r="Q2" s="142"/>
      <c r="R2" s="142"/>
      <c r="S2" s="141" t="s">
        <v>41</v>
      </c>
      <c r="T2" s="141"/>
      <c r="U2" s="143" t="s">
        <v>42</v>
      </c>
      <c r="V2" s="141" t="s">
        <v>43</v>
      </c>
    </row>
    <row r="3" spans="1:22" x14ac:dyDescent="0.25">
      <c r="A3" s="132"/>
      <c r="B3" s="124"/>
      <c r="C3" s="124"/>
      <c r="D3" s="124"/>
      <c r="E3" s="132"/>
      <c r="F3" s="6" t="s">
        <v>27</v>
      </c>
      <c r="G3" s="6" t="s">
        <v>28</v>
      </c>
      <c r="H3" s="6" t="s">
        <v>29</v>
      </c>
      <c r="I3" s="141"/>
      <c r="J3" s="141"/>
      <c r="K3" s="141"/>
      <c r="L3" s="14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3"/>
      <c r="V3" s="141"/>
    </row>
    <row r="4" spans="1:22" x14ac:dyDescent="0.25">
      <c r="A4" s="3">
        <f>'Kwh Reading'!A4</f>
        <v>44470</v>
      </c>
      <c r="B4" s="26">
        <v>25520</v>
      </c>
      <c r="C4" s="4">
        <f>('Kwh Reading'!T5-'Kwh Reading'!T4)*1000</f>
        <v>259.99999999999091</v>
      </c>
      <c r="D4" s="2">
        <f>('Kwh Reading'!F5-'Kwh Reading'!F4)*1000000</f>
        <v>2299.9999999999686</v>
      </c>
      <c r="E4" s="2">
        <f>('Kwh Reading'!C5-'Kwh Reading'!C4)*1000</f>
        <v>239.99999999998067</v>
      </c>
      <c r="F4" s="2">
        <f>('Kwh Reading'!J5-'Kwh Reading'!J4)*1000</f>
        <v>220.00000000002728</v>
      </c>
      <c r="G4" s="2">
        <f>('Kwh Reading'!K5-'Kwh Reading'!K4)*1000</f>
        <v>230.00000000001819</v>
      </c>
      <c r="H4" s="2">
        <f>('Kwh Reading'!L5-'Kwh Reading'!L4)*1000</f>
        <v>180.00000000000682</v>
      </c>
      <c r="I4" s="2">
        <f>('Kwh Reading'!R5-'Kwh Reading'!R4)*1000</f>
        <v>240.00000000000909</v>
      </c>
      <c r="J4" s="2">
        <f>('Kwh Reading'!S5-'Kwh Reading'!S4)*1000</f>
        <v>120.00000000000455</v>
      </c>
      <c r="K4" s="2">
        <f>('Kwh Reading'!I5-'Kwh Reading'!I4)*1000</f>
        <v>230.00000000001819</v>
      </c>
      <c r="L4" s="2">
        <f>('Kwh Reading'!B5-'Kwh Reading'!B4)*1000000</f>
        <v>1200.0000000000898</v>
      </c>
      <c r="M4" s="2">
        <f>('Kwh Reading'!M5-'Kwh Reading'!M4)*1000</f>
        <v>740.00000000000909</v>
      </c>
      <c r="N4" s="2">
        <f>('Kwh Reading'!H5-'Kwh Reading'!H4)*1000</f>
        <v>550.00000000006821</v>
      </c>
      <c r="O4" s="2">
        <f>('Kwh Reading'!P5-'Kwh Reading'!P4)*1000</f>
        <v>810.00000000005912</v>
      </c>
      <c r="P4" s="2">
        <f>('Kwh Reading'!G5-'Kwh Reading'!G4)*1000</f>
        <v>790.00000000007731</v>
      </c>
      <c r="Q4" s="2">
        <f>('Kwh Reading'!Q5-'Kwh Reading'!Q4)*1000</f>
        <v>549.99999999995453</v>
      </c>
      <c r="R4" s="2">
        <f>('Kwh Reading'!N5-'Kwh Reading'!N4)*1000</f>
        <v>690.00000000005457</v>
      </c>
      <c r="S4" s="2">
        <f>'Kwh Reading'!E5-'Kwh Reading'!E4</f>
        <v>2201.3499999996275</v>
      </c>
      <c r="T4" s="2">
        <f>'Kwh Reading'!D5-'Kwh Reading'!D4</f>
        <v>1910.519999999553</v>
      </c>
      <c r="U4" s="27">
        <f>('Kwh Reading'!O5-'Kwh Reading'!O4)*1000</f>
        <v>210.00000000000796</v>
      </c>
      <c r="V4" s="16">
        <f>B4-(SUM(C4:U4))</f>
        <v>11848.130000000476</v>
      </c>
    </row>
    <row r="5" spans="1:22" x14ac:dyDescent="0.25">
      <c r="A5" s="3">
        <f>'Kwh Reading'!A5</f>
        <v>44471</v>
      </c>
      <c r="B5" s="26">
        <f>TOTAL!E3</f>
        <v>19840</v>
      </c>
      <c r="C5" s="4">
        <f>('Kwh Reading'!T6-'Kwh Reading'!T5)*1000</f>
        <v>480.00000000001819</v>
      </c>
      <c r="D5" s="2">
        <f>('Kwh Reading'!F6-'Kwh Reading'!F5)*1000000</f>
        <v>2200.0000000002019</v>
      </c>
      <c r="E5" s="2">
        <f>('Kwh Reading'!C6-'Kwh Reading'!C5)*1000</f>
        <v>230.00000000001819</v>
      </c>
      <c r="F5" s="2">
        <f>('Kwh Reading'!J6-'Kwh Reading'!J5)*1000</f>
        <v>189.99999999999773</v>
      </c>
      <c r="G5" s="2">
        <f>('Kwh Reading'!K6-'Kwh Reading'!K5)*1000</f>
        <v>229.99999999996135</v>
      </c>
      <c r="H5" s="2">
        <f>('Kwh Reading'!L6-'Kwh Reading'!L5)*1000</f>
        <v>169.99999999998749</v>
      </c>
      <c r="I5" s="2">
        <f>('Kwh Reading'!R6-'Kwh Reading'!R5)*1000</f>
        <v>229.99999999998977</v>
      </c>
      <c r="J5" s="2">
        <f>('Kwh Reading'!S6-'Kwh Reading'!S5)*1000</f>
        <v>109.99999999999943</v>
      </c>
      <c r="K5" s="2">
        <f>('Kwh Reading'!I6-'Kwh Reading'!I5)*1000</f>
        <v>250</v>
      </c>
      <c r="L5" s="2">
        <f>('Kwh Reading'!B6-'Kwh Reading'!B5)*1000000</f>
        <v>1099.9999999998788</v>
      </c>
      <c r="M5" s="2">
        <f>('Kwh Reading'!M6-'Kwh Reading'!M5)*1000</f>
        <v>769.99999999998181</v>
      </c>
      <c r="N5" s="2">
        <f>('Kwh Reading'!H6-'Kwh Reading'!H5)*1000</f>
        <v>600.00000000002274</v>
      </c>
      <c r="O5" s="2">
        <f>('Kwh Reading'!P6-'Kwh Reading'!P5)*1000</f>
        <v>889.99999999998636</v>
      </c>
      <c r="P5" s="2">
        <f>('Kwh Reading'!G6-'Kwh Reading'!G5)*1000</f>
        <v>850.00000000002274</v>
      </c>
      <c r="Q5" s="2">
        <f>('Kwh Reading'!Q6-'Kwh Reading'!Q5)*1000</f>
        <v>539.99999999996362</v>
      </c>
      <c r="R5" s="2">
        <f>('Kwh Reading'!N6-'Kwh Reading'!N5)*1000</f>
        <v>759.99999999999091</v>
      </c>
      <c r="S5" s="2">
        <f>'Kwh Reading'!E6-'Kwh Reading'!E5</f>
        <v>2618.7700000014156</v>
      </c>
      <c r="T5" s="2">
        <f>'Kwh Reading'!D6-'Kwh Reading'!D5</f>
        <v>2063.8300000000745</v>
      </c>
      <c r="U5" s="27">
        <f>('Kwh Reading'!O6-'Kwh Reading'!O5)*1000</f>
        <v>200.00000000001705</v>
      </c>
      <c r="V5" s="16">
        <f t="shared" ref="V5:V11" si="0">B5-(SUM(C5:U5))</f>
        <v>5357.3999999984735</v>
      </c>
    </row>
    <row r="6" spans="1:22" x14ac:dyDescent="0.25">
      <c r="A6" s="3">
        <f>'Kwh Reading'!A6</f>
        <v>44472</v>
      </c>
      <c r="B6" s="26">
        <f>TOTAL!E4</f>
        <v>21430</v>
      </c>
      <c r="C6" s="4">
        <f>('Kwh Reading'!T7-'Kwh Reading'!T6)*1000</f>
        <v>469.99999999997044</v>
      </c>
      <c r="D6" s="2">
        <f>('Kwh Reading'!F7-'Kwh Reading'!F6)*1000000</f>
        <v>2499.9999999999468</v>
      </c>
      <c r="E6" s="2">
        <f>('Kwh Reading'!C7-'Kwh Reading'!C6)*1000</f>
        <v>269.99999999998181</v>
      </c>
      <c r="F6" s="2">
        <f>('Kwh Reading'!J7-'Kwh Reading'!J6)*1000</f>
        <v>240.00000000000909</v>
      </c>
      <c r="G6" s="2">
        <f>('Kwh Reading'!K7-'Kwh Reading'!K6)*1000</f>
        <v>220.00000000002728</v>
      </c>
      <c r="H6" s="2">
        <f>('Kwh Reading'!L7-'Kwh Reading'!L6)*1000</f>
        <v>169.99999999998749</v>
      </c>
      <c r="I6" s="2">
        <f>('Kwh Reading'!R7-'Kwh Reading'!R6)*1000</f>
        <v>230.00000000001819</v>
      </c>
      <c r="J6" s="2">
        <f>('Kwh Reading'!S7-'Kwh Reading'!S6)*1000</f>
        <v>120.00000000000455</v>
      </c>
      <c r="K6" s="2">
        <f>('Kwh Reading'!I7-'Kwh Reading'!I6)*1000</f>
        <v>259.99999999999091</v>
      </c>
      <c r="L6" s="2">
        <f>('Kwh Reading'!B7-'Kwh Reading'!B6)*1000000</f>
        <v>1300.0000000000789</v>
      </c>
      <c r="M6" s="2">
        <f>('Kwh Reading'!M7-'Kwh Reading'!M6)*1000</f>
        <v>810.00000000005912</v>
      </c>
      <c r="N6" s="2">
        <f>('Kwh Reading'!H7-'Kwh Reading'!H6)*1000</f>
        <v>689.99999999994088</v>
      </c>
      <c r="O6" s="2">
        <f>('Kwh Reading'!P7-'Kwh Reading'!P6)*1000</f>
        <v>960.00000000003638</v>
      </c>
      <c r="P6" s="2">
        <f>('Kwh Reading'!G7-'Kwh Reading'!G6)*1000</f>
        <v>899.99999999997726</v>
      </c>
      <c r="Q6" s="2">
        <f>('Kwh Reading'!Q7-'Kwh Reading'!Q6)*1000</f>
        <v>600.00000000002274</v>
      </c>
      <c r="R6" s="2">
        <f>('Kwh Reading'!N7-'Kwh Reading'!N6)*1000</f>
        <v>809.99999999994543</v>
      </c>
      <c r="S6" s="2">
        <f>'Kwh Reading'!E7-'Kwh Reading'!E6</f>
        <v>2904.9399999994785</v>
      </c>
      <c r="T6" s="2">
        <f>'Kwh Reading'!D7-'Kwh Reading'!D6</f>
        <v>2171.5800000000745</v>
      </c>
      <c r="U6" s="27">
        <f>('Kwh Reading'!O7-'Kwh Reading'!O6)*1000</f>
        <v>189.99999999999773</v>
      </c>
      <c r="V6" s="16">
        <f t="shared" si="0"/>
        <v>5613.4800000004525</v>
      </c>
    </row>
    <row r="7" spans="1:22" x14ac:dyDescent="0.25">
      <c r="A7" s="3">
        <f>'Kwh Reading'!A7</f>
        <v>44473</v>
      </c>
      <c r="B7" s="26">
        <f>TOTAL!E5</f>
        <v>20760</v>
      </c>
      <c r="C7" s="4">
        <f>('Kwh Reading'!T8-'Kwh Reading'!T7)*1000</f>
        <v>480.00000000001819</v>
      </c>
      <c r="D7" s="2">
        <f>('Kwh Reading'!F8-'Kwh Reading'!F7)*1000000</f>
        <v>2399.9999999997358</v>
      </c>
      <c r="E7" s="2">
        <f>('Kwh Reading'!C8-'Kwh Reading'!C7)*1000</f>
        <v>219.99999999999886</v>
      </c>
      <c r="F7" s="2">
        <f>('Kwh Reading'!J8-'Kwh Reading'!J7)*1000</f>
        <v>179.99999999994998</v>
      </c>
      <c r="G7" s="2">
        <f>('Kwh Reading'!K8-'Kwh Reading'!K7)*1000</f>
        <v>229.99999999996135</v>
      </c>
      <c r="H7" s="2">
        <f>('Kwh Reading'!L8-'Kwh Reading'!L7)*1000</f>
        <v>160.00000000002501</v>
      </c>
      <c r="I7" s="2">
        <f>('Kwh Reading'!R8-'Kwh Reading'!R7)*1000</f>
        <v>239.99999999998067</v>
      </c>
      <c r="J7" s="2">
        <f>('Kwh Reading'!S8-'Kwh Reading'!S7)*1000</f>
        <v>119.99999999999034</v>
      </c>
      <c r="K7" s="2">
        <f>('Kwh Reading'!I8-'Kwh Reading'!I7)*1000</f>
        <v>270.00000000003865</v>
      </c>
      <c r="L7" s="2">
        <f>('Kwh Reading'!B8-'Kwh Reading'!B7)*1000000</f>
        <v>1200.0000000000898</v>
      </c>
      <c r="M7" s="2">
        <f>('Kwh Reading'!M8-'Kwh Reading'!M7)*1000</f>
        <v>669.99999999995907</v>
      </c>
      <c r="N7" s="2">
        <f>('Kwh Reading'!H8-'Kwh Reading'!H7)*1000</f>
        <v>730.00000000001819</v>
      </c>
      <c r="O7" s="2">
        <f>('Kwh Reading'!P8-'Kwh Reading'!P7)*1000</f>
        <v>980.00000000001819</v>
      </c>
      <c r="P7" s="2">
        <f>('Kwh Reading'!G8-'Kwh Reading'!G7)*1000</f>
        <v>850.00000000002274</v>
      </c>
      <c r="Q7" s="2">
        <f>('Kwh Reading'!Q8-'Kwh Reading'!Q7)*1000</f>
        <v>600.00000000002274</v>
      </c>
      <c r="R7" s="2">
        <f>('Kwh Reading'!N8-'Kwh Reading'!N7)*1000</f>
        <v>960.00000000003638</v>
      </c>
      <c r="S7" s="2">
        <f>'Kwh Reading'!E8-'Kwh Reading'!E7</f>
        <v>2866.7199999988079</v>
      </c>
      <c r="T7" s="2">
        <f>'Kwh Reading'!D8-'Kwh Reading'!D7</f>
        <v>2165.4000000003725</v>
      </c>
      <c r="U7" s="27">
        <f>('Kwh Reading'!O8-'Kwh Reading'!O7)*1000</f>
        <v>189.99999999999773</v>
      </c>
      <c r="V7" s="16">
        <f t="shared" si="0"/>
        <v>5247.880000000956</v>
      </c>
    </row>
    <row r="8" spans="1:22" x14ac:dyDescent="0.25">
      <c r="A8" s="3">
        <f>'Kwh Reading'!A8</f>
        <v>44474</v>
      </c>
      <c r="B8" s="26">
        <f>TOTAL!E6</f>
        <v>21430</v>
      </c>
      <c r="C8" s="4">
        <f>('Kwh Reading'!T9-'Kwh Reading'!T8)*1000</f>
        <v>449.99999999998863</v>
      </c>
      <c r="D8" s="2">
        <f>('Kwh Reading'!F9-'Kwh Reading'!F8)*1000000</f>
        <v>2400.0000000001796</v>
      </c>
      <c r="E8" s="2">
        <f>('Kwh Reading'!C9-'Kwh Reading'!C8)*1000</f>
        <v>250</v>
      </c>
      <c r="F8" s="2">
        <f>('Kwh Reading'!J9-'Kwh Reading'!J8)*1000</f>
        <v>220.00000000002728</v>
      </c>
      <c r="G8" s="2">
        <f>('Kwh Reading'!K9-'Kwh Reading'!K8)*1000</f>
        <v>230.00000000001819</v>
      </c>
      <c r="H8" s="2">
        <f>('Kwh Reading'!L9-'Kwh Reading'!L8)*1000</f>
        <v>159.99999999999659</v>
      </c>
      <c r="I8" s="2">
        <f>('Kwh Reading'!R9-'Kwh Reading'!R8)*1000</f>
        <v>250</v>
      </c>
      <c r="J8" s="2">
        <f>('Kwh Reading'!S9-'Kwh Reading'!S8)*1000</f>
        <v>120.00000000000455</v>
      </c>
      <c r="K8" s="2">
        <f>('Kwh Reading'!I9-'Kwh Reading'!I8)*1000</f>
        <v>269.99999999998181</v>
      </c>
      <c r="L8" s="2">
        <f>('Kwh Reading'!B9-'Kwh Reading'!B8)*1000000</f>
        <v>1199.9999999998679</v>
      </c>
      <c r="M8" s="2">
        <f>('Kwh Reading'!M9-'Kwh Reading'!M8)*1000</f>
        <v>669.99999999995907</v>
      </c>
      <c r="N8" s="2">
        <f>('Kwh Reading'!H9-'Kwh Reading'!H8)*1000</f>
        <v>710.00000000003638</v>
      </c>
      <c r="O8" s="2">
        <f>('Kwh Reading'!P9-'Kwh Reading'!P8)*1000</f>
        <v>1000</v>
      </c>
      <c r="P8" s="2">
        <f>('Kwh Reading'!G9-'Kwh Reading'!G8)*1000</f>
        <v>849.99999999990905</v>
      </c>
      <c r="Q8" s="2">
        <f>('Kwh Reading'!Q9-'Kwh Reading'!Q8)*1000</f>
        <v>600.00000000002274</v>
      </c>
      <c r="R8" s="2">
        <f>('Kwh Reading'!N9-'Kwh Reading'!N8)*1000</f>
        <v>529.99999999997272</v>
      </c>
      <c r="S8" s="2">
        <f>'Kwh Reading'!E9-'Kwh Reading'!E8</f>
        <v>2893.4600000008941</v>
      </c>
      <c r="T8" s="2">
        <f>'Kwh Reading'!D9-'Kwh Reading'!D8</f>
        <v>2169.2599999997765</v>
      </c>
      <c r="U8" s="27">
        <f>('Kwh Reading'!O9-'Kwh Reading'!O8)*1000</f>
        <v>179.9999999999784</v>
      </c>
      <c r="V8" s="16">
        <f t="shared" si="0"/>
        <v>6277.2799999993858</v>
      </c>
    </row>
    <row r="9" spans="1:22" x14ac:dyDescent="0.25">
      <c r="A9" s="3">
        <f>'Kwh Reading'!A9</f>
        <v>44475</v>
      </c>
      <c r="B9" s="26">
        <f>TOTAL!E7</f>
        <v>21870</v>
      </c>
      <c r="C9" s="4">
        <f>('Kwh Reading'!T10-'Kwh Reading'!T9)*1000</f>
        <v>470.00000000002728</v>
      </c>
      <c r="D9" s="2">
        <f>('Kwh Reading'!F10-'Kwh Reading'!F9)*1000000</f>
        <v>2499.9999999999468</v>
      </c>
      <c r="E9" s="2">
        <f>('Kwh Reading'!C10-'Kwh Reading'!C9)*1000</f>
        <v>240.00000000000909</v>
      </c>
      <c r="F9" s="2">
        <f>('Kwh Reading'!J10-'Kwh Reading'!J9)*1000</f>
        <v>219.99999999997044</v>
      </c>
      <c r="G9" s="2">
        <f>('Kwh Reading'!K10-'Kwh Reading'!K9)*1000</f>
        <v>250</v>
      </c>
      <c r="H9" s="2">
        <f>('Kwh Reading'!L10-'Kwh Reading'!L9)*1000</f>
        <v>169.99999999998749</v>
      </c>
      <c r="I9" s="2">
        <f>('Kwh Reading'!R10-'Kwh Reading'!R9)*1000</f>
        <v>260.00000000001933</v>
      </c>
      <c r="J9" s="2">
        <f>('Kwh Reading'!S10-'Kwh Reading'!S9)*1000</f>
        <v>120.00000000000455</v>
      </c>
      <c r="K9" s="2">
        <f>('Kwh Reading'!I10-'Kwh Reading'!I9)*1000</f>
        <v>269.99999999998181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729.9999999999045</v>
      </c>
      <c r="O9" s="2">
        <f>('Kwh Reading'!P10-'Kwh Reading'!P9)*1000</f>
        <v>979.9999999999045</v>
      </c>
      <c r="P9" s="2">
        <f>('Kwh Reading'!G10-'Kwh Reading'!G9)*1000</f>
        <v>840.00000000003183</v>
      </c>
      <c r="Q9" s="2">
        <f>('Kwh Reading'!Q10-'Kwh Reading'!Q9)*1000</f>
        <v>649.99999999997726</v>
      </c>
      <c r="R9" s="2">
        <f>('Kwh Reading'!N10-'Kwh Reading'!N9)*1000</f>
        <v>850.00000000002274</v>
      </c>
      <c r="S9" s="2">
        <f>'Kwh Reading'!E10-'Kwh Reading'!E9</f>
        <v>2815.0299999993294</v>
      </c>
      <c r="T9" s="2">
        <f>'Kwh Reading'!D10-'Kwh Reading'!D9</f>
        <v>2225.1299999998882</v>
      </c>
      <c r="U9" s="27">
        <f>('Kwh Reading'!O10-'Kwh Reading'!O9)*1000</f>
        <v>180.00000000000682</v>
      </c>
      <c r="V9" s="16">
        <f t="shared" si="0"/>
        <v>6189.8400000008623</v>
      </c>
    </row>
    <row r="10" spans="1:22" x14ac:dyDescent="0.25">
      <c r="A10" s="3">
        <f>'Kwh Reading'!A10</f>
        <v>44476</v>
      </c>
      <c r="B10" s="26">
        <f>TOTAL!E8</f>
        <v>20700</v>
      </c>
      <c r="C10" s="4">
        <f>('Kwh Reading'!T11-'Kwh Reading'!T10)*1000</f>
        <v>430.00000000000682</v>
      </c>
      <c r="D10" s="2">
        <f>('Kwh Reading'!F11-'Kwh Reading'!F10)*1000000</f>
        <v>2400.0000000001796</v>
      </c>
      <c r="E10" s="2">
        <f>('Kwh Reading'!C11-'Kwh Reading'!C10)*1000</f>
        <v>240.00000000000909</v>
      </c>
      <c r="F10" s="2">
        <f>('Kwh Reading'!J11-'Kwh Reading'!J10)*1000</f>
        <v>200.00000000004547</v>
      </c>
      <c r="G10" s="2">
        <f>('Kwh Reading'!K11-'Kwh Reading'!K10)*1000</f>
        <v>189.99999999999773</v>
      </c>
      <c r="H10" s="2">
        <f>('Kwh Reading'!L11-'Kwh Reading'!L10)*1000</f>
        <v>210.00000000000796</v>
      </c>
      <c r="I10" s="2">
        <f>('Kwh Reading'!R11-'Kwh Reading'!R10)*1000</f>
        <v>199.99999999998863</v>
      </c>
      <c r="J10" s="2">
        <f>('Kwh Reading'!S11-'Kwh Reading'!S10)*1000</f>
        <v>109.99999999999943</v>
      </c>
      <c r="K10" s="2">
        <f>('Kwh Reading'!I11-'Kwh Reading'!I10)*1000</f>
        <v>259.99999999999091</v>
      </c>
      <c r="L10" s="2">
        <f>('Kwh Reading'!B11-'Kwh Reading'!B10)*1000000</f>
        <v>1299.9999999998568</v>
      </c>
      <c r="M10" s="2">
        <f>('Kwh Reading'!M11-'Kwh Reading'!M10)*1000</f>
        <v>750</v>
      </c>
      <c r="N10" s="2">
        <f>('Kwh Reading'!H11-'Kwh Reading'!H10)*1000</f>
        <v>740.00000000000909</v>
      </c>
      <c r="O10" s="2">
        <f>('Kwh Reading'!P11-'Kwh Reading'!P10)*1000</f>
        <v>900.00000000009095</v>
      </c>
      <c r="P10" s="2">
        <f>('Kwh Reading'!G11-'Kwh Reading'!G10)*1000</f>
        <v>850.00000000002274</v>
      </c>
      <c r="Q10" s="2">
        <f>('Kwh Reading'!Q11-'Kwh Reading'!Q10)*1000</f>
        <v>649.99999999997726</v>
      </c>
      <c r="R10" s="2">
        <f>('Kwh Reading'!N11-'Kwh Reading'!N10)*1000</f>
        <v>870.00000000000455</v>
      </c>
      <c r="S10" s="33">
        <f>'Kwh Reading'!E11-'Kwh Reading'!E10</f>
        <v>2623.160000000149</v>
      </c>
      <c r="T10" s="33">
        <f>'Kwh Reading'!D11-'Kwh Reading'!D10</f>
        <v>2087.4199999999255</v>
      </c>
      <c r="U10" s="27">
        <f>('Kwh Reading'!O11-'Kwh Reading'!O10)*1000</f>
        <v>210.00000000000796</v>
      </c>
      <c r="V10" s="16">
        <f t="shared" si="0"/>
        <v>5479.4199999997327</v>
      </c>
    </row>
    <row r="11" spans="1:22" x14ac:dyDescent="0.25">
      <c r="A11" s="3">
        <f>'Kwh Reading'!A11</f>
        <v>44477</v>
      </c>
      <c r="B11" s="26">
        <f>TOTAL!E9</f>
        <v>21320</v>
      </c>
      <c r="C11" s="4">
        <f>('Kwh Reading'!T12-'Kwh Reading'!T11)*1000</f>
        <v>279.99999999997272</v>
      </c>
      <c r="D11" s="2">
        <f>('Kwh Reading'!F12-'Kwh Reading'!F11)*1000000</f>
        <v>2599.9999999997135</v>
      </c>
      <c r="E11" s="2">
        <f>('Kwh Reading'!C12-'Kwh Reading'!C11)*1000</f>
        <v>299.99999999998295</v>
      </c>
      <c r="F11" s="2">
        <f>('Kwh Reading'!J12-'Kwh Reading'!J11)*1000</f>
        <v>139.99999999998636</v>
      </c>
      <c r="G11" s="2">
        <f>('Kwh Reading'!K12-'Kwh Reading'!K11)*1000</f>
        <v>250</v>
      </c>
      <c r="H11" s="2">
        <f>('Kwh Reading'!L12-'Kwh Reading'!L11)*1000</f>
        <v>120.00000000000455</v>
      </c>
      <c r="I11" s="2">
        <f>('Kwh Reading'!R12-'Kwh Reading'!R11)*1000</f>
        <v>250</v>
      </c>
      <c r="J11" s="2">
        <f>('Kwh Reading'!S12-'Kwh Reading'!S11)*1000</f>
        <v>119.99999999999034</v>
      </c>
      <c r="K11" s="2">
        <f>('Kwh Reading'!I12-'Kwh Reading'!I11)*1000</f>
        <v>270.00000000003865</v>
      </c>
      <c r="L11" s="2">
        <f>('Kwh Reading'!B12-'Kwh Reading'!B11)*1000000</f>
        <v>1400.0000000000678</v>
      </c>
      <c r="M11" s="2">
        <f>('Kwh Reading'!M12-'Kwh Reading'!M11)*1000</f>
        <v>740.00000000000909</v>
      </c>
      <c r="N11" s="2">
        <f>('Kwh Reading'!H12-'Kwh Reading'!H11)*1000</f>
        <v>710.00000000003638</v>
      </c>
      <c r="O11" s="2">
        <f>('Kwh Reading'!P12-'Kwh Reading'!P11)*1000</f>
        <v>909.99999999996817</v>
      </c>
      <c r="P11" s="2">
        <f>('Kwh Reading'!G12-'Kwh Reading'!G11)*1000</f>
        <v>860.00000000001364</v>
      </c>
      <c r="Q11" s="2">
        <f>('Kwh Reading'!Q12-'Kwh Reading'!Q11)*1000</f>
        <v>629.99999999999545</v>
      </c>
      <c r="R11" s="2">
        <f>('Kwh Reading'!N12-'Kwh Reading'!N11)*1000</f>
        <v>879.99999999999545</v>
      </c>
      <c r="S11" s="33">
        <f>'Kwh Reading'!E12-'Kwh Reading'!E11</f>
        <v>2395.6900000013411</v>
      </c>
      <c r="T11" s="33">
        <f>'Kwh Reading'!D12-'Kwh Reading'!D11</f>
        <v>2070.1500000003725</v>
      </c>
      <c r="U11" s="27">
        <f>('Kwh Reading'!O12-'Kwh Reading'!O11)*1000</f>
        <v>199.99999999998863</v>
      </c>
      <c r="V11" s="16">
        <f t="shared" si="0"/>
        <v>6194.1599999985228</v>
      </c>
    </row>
    <row r="12" spans="1:22" x14ac:dyDescent="0.25">
      <c r="A12" s="3">
        <f>'Kwh Reading'!A12</f>
        <v>44478</v>
      </c>
      <c r="B12" s="26">
        <f>TOTAL!E10</f>
        <v>23230</v>
      </c>
      <c r="C12" s="4">
        <f>('Kwh Reading'!T13-'Kwh Reading'!T12)*1000</f>
        <v>470.00000000002728</v>
      </c>
      <c r="D12" s="2">
        <f>('Kwh Reading'!F13-'Kwh Reading'!F12)*1000000</f>
        <v>2800.0000000001355</v>
      </c>
      <c r="E12" s="2">
        <f>('Kwh Reading'!C13-'Kwh Reading'!C12)*1000</f>
        <v>250</v>
      </c>
      <c r="F12" s="2">
        <f>('Kwh Reading'!J13-'Kwh Reading'!J12)*1000</f>
        <v>329.99999999998408</v>
      </c>
      <c r="G12" s="2">
        <f>('Kwh Reading'!K13-'Kwh Reading'!K12)*1000</f>
        <v>340.00000000003183</v>
      </c>
      <c r="H12" s="2">
        <f>('Kwh Reading'!L13-'Kwh Reading'!L12)*1000</f>
        <v>239.99999999998067</v>
      </c>
      <c r="I12" s="2">
        <f>('Kwh Reading'!R13-'Kwh Reading'!R12)*1000</f>
        <v>250</v>
      </c>
      <c r="J12" s="2">
        <f>('Kwh Reading'!S13-'Kwh Reading'!S12)*1000</f>
        <v>120.00000000000455</v>
      </c>
      <c r="K12" s="2">
        <f>('Kwh Reading'!I13-'Kwh Reading'!I12)*1000</f>
        <v>279.99999999997272</v>
      </c>
      <c r="L12" s="2">
        <f>('Kwh Reading'!B13-'Kwh Reading'!B12)*1000000</f>
        <v>1400.0000000000678</v>
      </c>
      <c r="M12" s="2">
        <f>('Kwh Reading'!M13-'Kwh Reading'!M12)*1000</f>
        <v>830.00000000004093</v>
      </c>
      <c r="N12" s="2">
        <f>('Kwh Reading'!H13-'Kwh Reading'!H12)*1000</f>
        <v>930.00000000006366</v>
      </c>
      <c r="O12" s="2">
        <f>('Kwh Reading'!P13-'Kwh Reading'!P12)*1000</f>
        <v>1039.9999999999636</v>
      </c>
      <c r="P12" s="2">
        <f>('Kwh Reading'!G13-'Kwh Reading'!G12)*1000</f>
        <v>959.99999999992269</v>
      </c>
      <c r="Q12" s="2">
        <f>('Kwh Reading'!Q13-'Kwh Reading'!Q12)*1000</f>
        <v>769.99999999998181</v>
      </c>
      <c r="R12" s="2">
        <f>('Kwh Reading'!N13-'Kwh Reading'!N12)*1000</f>
        <v>919.99999999995907</v>
      </c>
      <c r="S12" s="33">
        <f>'Kwh Reading'!E13-'Kwh Reading'!E12</f>
        <v>2949.5599999986589</v>
      </c>
      <c r="T12" s="33">
        <f>'Kwh Reading'!D13-'Kwh Reading'!D12</f>
        <v>2185.7999999998137</v>
      </c>
      <c r="U12" s="27">
        <f>('Kwh Reading'!O13-'Kwh Reading'!O12)*1000</f>
        <v>219.99999999999886</v>
      </c>
      <c r="V12" s="16">
        <f t="shared" ref="V12:V34" si="1">B12-(SUM(C12:U12))</f>
        <v>5944.6400000013891</v>
      </c>
    </row>
    <row r="13" spans="1:22" x14ac:dyDescent="0.25">
      <c r="A13" s="3">
        <f>'Kwh Reading'!A13</f>
        <v>44479</v>
      </c>
      <c r="B13" s="26">
        <f>TOTAL!E11</f>
        <v>20830</v>
      </c>
      <c r="C13" s="4">
        <f>('Kwh Reading'!T14-'Kwh Reading'!T13)*1000</f>
        <v>489.99999999995225</v>
      </c>
      <c r="D13" s="2">
        <f>('Kwh Reading'!F14-'Kwh Reading'!F13)*1000000</f>
        <v>2200.0000000002019</v>
      </c>
      <c r="E13" s="2">
        <f>('Kwh Reading'!C14-'Kwh Reading'!C13)*1000</f>
        <v>200.00000000001705</v>
      </c>
      <c r="F13" s="2">
        <f>('Kwh Reading'!J14-'Kwh Reading'!J13)*1000</f>
        <v>69.999999999993179</v>
      </c>
      <c r="G13" s="2">
        <f>('Kwh Reading'!K14-'Kwh Reading'!K13)*1000</f>
        <v>159.99999999996817</v>
      </c>
      <c r="H13" s="2">
        <f>('Kwh Reading'!L14-'Kwh Reading'!L13)*1000</f>
        <v>150.00000000000568</v>
      </c>
      <c r="I13" s="2">
        <f>('Kwh Reading'!R14-'Kwh Reading'!R13)*1000</f>
        <v>219.99999999999886</v>
      </c>
      <c r="J13" s="2">
        <f>('Kwh Reading'!S14-'Kwh Reading'!S13)*1000</f>
        <v>109.99999999999943</v>
      </c>
      <c r="K13" s="2">
        <f>('Kwh Reading'!I14-'Kwh Reading'!I13)*1000</f>
        <v>259.99999999999091</v>
      </c>
      <c r="L13" s="2">
        <f>('Kwh Reading'!B14-'Kwh Reading'!B13)*1000000</f>
        <v>1199.9999999998679</v>
      </c>
      <c r="M13" s="2">
        <f>('Kwh Reading'!M14-'Kwh Reading'!M13)*1000</f>
        <v>799.99999999995453</v>
      </c>
      <c r="N13" s="2">
        <f>('Kwh Reading'!H14-'Kwh Reading'!H13)*1000</f>
        <v>789.99999999996362</v>
      </c>
      <c r="O13" s="2">
        <f>('Kwh Reading'!P14-'Kwh Reading'!P13)*1000</f>
        <v>899.99999999997726</v>
      </c>
      <c r="P13" s="2">
        <f>('Kwh Reading'!G14-'Kwh Reading'!G13)*1000</f>
        <v>890.00000000010004</v>
      </c>
      <c r="Q13" s="2">
        <f>('Kwh Reading'!Q14-'Kwh Reading'!Q13)*1000</f>
        <v>519.99999999998181</v>
      </c>
      <c r="R13" s="2">
        <f>('Kwh Reading'!N14-'Kwh Reading'!N13)*1000</f>
        <v>810.00000000005912</v>
      </c>
      <c r="S13" s="33">
        <f>'Kwh Reading'!E14-'Kwh Reading'!E13</f>
        <v>2751.9700000006706</v>
      </c>
      <c r="T13" s="33">
        <f>'Kwh Reading'!D14-'Kwh Reading'!D13</f>
        <v>1958.9900000002235</v>
      </c>
      <c r="U13" s="27">
        <f>('Kwh Reading'!O14-'Kwh Reading'!O13)*1000</f>
        <v>200.00000000001705</v>
      </c>
      <c r="V13" s="16">
        <f t="shared" si="1"/>
        <v>6149.0399999990568</v>
      </c>
    </row>
    <row r="14" spans="1:22" x14ac:dyDescent="0.25">
      <c r="A14" s="3">
        <f>'Kwh Reading'!A14</f>
        <v>44480</v>
      </c>
      <c r="B14" s="26">
        <f>TOTAL!E12</f>
        <v>22890</v>
      </c>
      <c r="C14" s="4">
        <f>('Kwh Reading'!T15-'Kwh Reading'!T14)*1000</f>
        <v>490.00000000000909</v>
      </c>
      <c r="D14" s="2">
        <f>('Kwh Reading'!F15-'Kwh Reading'!F14)*1000000</f>
        <v>2699.9999999999245</v>
      </c>
      <c r="E14" s="2">
        <f>('Kwh Reading'!C15-'Kwh Reading'!C14)*1000</f>
        <v>229.99999999998977</v>
      </c>
      <c r="F14" s="2">
        <f>('Kwh Reading'!J15-'Kwh Reading'!J14)*1000</f>
        <v>210.00000000003638</v>
      </c>
      <c r="G14" s="2">
        <f>('Kwh Reading'!K15-'Kwh Reading'!K14)*1000</f>
        <v>250</v>
      </c>
      <c r="H14" s="2">
        <f>('Kwh Reading'!L15-'Kwh Reading'!L14)*1000</f>
        <v>189.99999999999773</v>
      </c>
      <c r="I14" s="2">
        <f>('Kwh Reading'!R15-'Kwh Reading'!R14)*1000</f>
        <v>240.00000000000909</v>
      </c>
      <c r="J14" s="2">
        <f>('Kwh Reading'!S15-'Kwh Reading'!S14)*1000</f>
        <v>120.00000000000455</v>
      </c>
      <c r="K14" s="2">
        <f>('Kwh Reading'!I15-'Kwh Reading'!I14)*1000</f>
        <v>259.99999999999091</v>
      </c>
      <c r="L14" s="2">
        <f>('Kwh Reading'!B15-'Kwh Reading'!B14)*1000000</f>
        <v>1300.0000000000789</v>
      </c>
      <c r="M14" s="2">
        <f>('Kwh Reading'!M15-'Kwh Reading'!M14)*1000</f>
        <v>919.99999999995907</v>
      </c>
      <c r="N14" s="2">
        <f>('Kwh Reading'!H15-'Kwh Reading'!H14)*1000</f>
        <v>809.99999999994543</v>
      </c>
      <c r="O14" s="2">
        <f>('Kwh Reading'!P15-'Kwh Reading'!P14)*1000</f>
        <v>1009.9999999999909</v>
      </c>
      <c r="P14" s="2">
        <f>('Kwh Reading'!G15-'Kwh Reading'!G14)*1000</f>
        <v>859.99999999989996</v>
      </c>
      <c r="Q14" s="2">
        <f>('Kwh Reading'!Q15-'Kwh Reading'!Q14)*1000</f>
        <v>540.00000000007731</v>
      </c>
      <c r="R14" s="2">
        <f>('Kwh Reading'!N15-'Kwh Reading'!N14)*1000</f>
        <v>870.00000000000455</v>
      </c>
      <c r="S14" s="33">
        <f>'Kwh Reading'!E15-'Kwh Reading'!E14</f>
        <v>3042.7099999990314</v>
      </c>
      <c r="T14" s="33">
        <f>'Kwh Reading'!D15-'Kwh Reading'!D14</f>
        <v>2147.269999999553</v>
      </c>
      <c r="U14" s="27">
        <f>('Kwh Reading'!O15-'Kwh Reading'!O14)*1000</f>
        <v>259.99999999999091</v>
      </c>
      <c r="V14" s="16">
        <f t="shared" si="1"/>
        <v>6440.0200000015029</v>
      </c>
    </row>
    <row r="15" spans="1:22" x14ac:dyDescent="0.25">
      <c r="A15" s="3">
        <f>'Kwh Reading'!A15</f>
        <v>44481</v>
      </c>
      <c r="B15" s="26">
        <f>TOTAL!E13</f>
        <v>22970</v>
      </c>
      <c r="C15" s="4">
        <f>('Kwh Reading'!T16-'Kwh Reading'!T15)*1000</f>
        <v>509.99999999999091</v>
      </c>
      <c r="D15" s="2">
        <f>('Kwh Reading'!F16-'Kwh Reading'!F15)*1000000</f>
        <v>2499.9999999999468</v>
      </c>
      <c r="E15" s="2">
        <f>('Kwh Reading'!C16-'Kwh Reading'!C15)*1000</f>
        <v>259.99999999999091</v>
      </c>
      <c r="F15" s="2">
        <f>('Kwh Reading'!J16-'Kwh Reading'!J15)*1000</f>
        <v>279.99999999997272</v>
      </c>
      <c r="G15" s="2">
        <f>('Kwh Reading'!K16-'Kwh Reading'!K15)*1000</f>
        <v>250</v>
      </c>
      <c r="H15" s="2">
        <f>('Kwh Reading'!L16-'Kwh Reading'!L15)*1000</f>
        <v>180.00000000000682</v>
      </c>
      <c r="I15" s="2">
        <f>('Kwh Reading'!R16-'Kwh Reading'!R15)*1000</f>
        <v>180.00000000000682</v>
      </c>
      <c r="J15" s="2">
        <f>('Kwh Reading'!S16-'Kwh Reading'!S15)*1000</f>
        <v>109.99999999999943</v>
      </c>
      <c r="K15" s="2">
        <f>('Kwh Reading'!I16-'Kwh Reading'!I15)*1000</f>
        <v>280.00000000002956</v>
      </c>
      <c r="L15" s="2">
        <f>('Kwh Reading'!B16-'Kwh Reading'!B15)*1000000</f>
        <v>1300.0000000000789</v>
      </c>
      <c r="M15" s="2">
        <f>('Kwh Reading'!M16-'Kwh Reading'!M15)*1000</f>
        <v>870.00000000000455</v>
      </c>
      <c r="N15" s="2">
        <f>('Kwh Reading'!H16-'Kwh Reading'!H15)*1000</f>
        <v>820.00000000005002</v>
      </c>
      <c r="O15" s="2">
        <f>('Kwh Reading'!P16-'Kwh Reading'!P15)*1000</f>
        <v>1070.00000000005</v>
      </c>
      <c r="P15" s="2">
        <f>('Kwh Reading'!G16-'Kwh Reading'!G15)*1000</f>
        <v>840.00000000003183</v>
      </c>
      <c r="Q15" s="2">
        <f>('Kwh Reading'!Q16-'Kwh Reading'!Q15)*1000</f>
        <v>610.00000000001364</v>
      </c>
      <c r="R15" s="2">
        <f>('Kwh Reading'!N16-'Kwh Reading'!N15)*1000</f>
        <v>909.99999999996817</v>
      </c>
      <c r="S15" s="33">
        <f>'Kwh Reading'!E16-'Kwh Reading'!E15</f>
        <v>3014.8100000005215</v>
      </c>
      <c r="T15" s="33">
        <f>'Kwh Reading'!D16-'Kwh Reading'!D15</f>
        <v>2235.6699999999255</v>
      </c>
      <c r="U15" s="27">
        <f>('Kwh Reading'!O16-'Kwh Reading'!O15)*1000</f>
        <v>270.00000000001023</v>
      </c>
      <c r="V15" s="16">
        <f t="shared" si="1"/>
        <v>6479.5199999994002</v>
      </c>
    </row>
    <row r="16" spans="1:22" x14ac:dyDescent="0.25">
      <c r="A16" s="3">
        <f>'Kwh Reading'!A16</f>
        <v>44482</v>
      </c>
      <c r="B16" s="26">
        <f>TOTAL!E14</f>
        <v>22000</v>
      </c>
      <c r="C16" s="4">
        <f>('Kwh Reading'!T17-'Kwh Reading'!T16)*1000</f>
        <v>500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230.00000000001819</v>
      </c>
      <c r="G16" s="2">
        <f>('Kwh Reading'!K17-'Kwh Reading'!K16)*1000</f>
        <v>269.99999999998181</v>
      </c>
      <c r="H16" s="2">
        <f>('Kwh Reading'!L17-'Kwh Reading'!L16)*1000</f>
        <v>169.99999999998749</v>
      </c>
      <c r="I16" s="2">
        <f>('Kwh Reading'!R17-'Kwh Reading'!R16)*1000</f>
        <v>239.99999999998067</v>
      </c>
      <c r="J16" s="2">
        <f>('Kwh Reading'!S17-'Kwh Reading'!S16)*1000</f>
        <v>120.00000000000455</v>
      </c>
      <c r="K16" s="2">
        <f>('Kwh Reading'!I17-'Kwh Reading'!I16)*1000</f>
        <v>279.99999999997272</v>
      </c>
      <c r="L16" s="2">
        <f>('Kwh Reading'!B17-'Kwh Reading'!B16)*1000000</f>
        <v>1199.9999999998679</v>
      </c>
      <c r="M16" s="2">
        <f>('Kwh Reading'!M17-'Kwh Reading'!M16)*1000</f>
        <v>870.00000000000455</v>
      </c>
      <c r="N16" s="2">
        <f>('Kwh Reading'!H17-'Kwh Reading'!H16)*1000</f>
        <v>799.99999999995453</v>
      </c>
      <c r="O16" s="2">
        <f>('Kwh Reading'!P17-'Kwh Reading'!P16)*1000</f>
        <v>1049.9999999999545</v>
      </c>
      <c r="P16" s="2">
        <f>('Kwh Reading'!G17-'Kwh Reading'!G16)*1000</f>
        <v>779.99999999997272</v>
      </c>
      <c r="Q16" s="2">
        <f>('Kwh Reading'!Q17-'Kwh Reading'!Q16)*1000</f>
        <v>610.00000000001364</v>
      </c>
      <c r="R16" s="2">
        <f>('Kwh Reading'!N17-'Kwh Reading'!N16)*1000</f>
        <v>799.99999999995453</v>
      </c>
      <c r="S16" s="33">
        <f>'Kwh Reading'!E17-'Kwh Reading'!E16</f>
        <v>3013.7200000006706</v>
      </c>
      <c r="T16" s="33">
        <f>'Kwh Reading'!D17-'Kwh Reading'!D16</f>
        <v>2103.0900000007823</v>
      </c>
      <c r="U16" s="27">
        <f>('Kwh Reading'!O17-'Kwh Reading'!O16)*1000</f>
        <v>299.99999999998295</v>
      </c>
      <c r="V16" s="16">
        <f t="shared" si="1"/>
        <v>5823.189999998729</v>
      </c>
    </row>
    <row r="17" spans="1:22" x14ac:dyDescent="0.25">
      <c r="A17" s="3">
        <f>'Kwh Reading'!A17</f>
        <v>44483</v>
      </c>
      <c r="B17" s="26">
        <f>TOTAL!E15</f>
        <v>24320</v>
      </c>
      <c r="C17" s="4">
        <f>('Kwh Reading'!T18-'Kwh Reading'!T17)*1000</f>
        <v>470.00000000002728</v>
      </c>
      <c r="D17" s="2">
        <f>('Kwh Reading'!F18-'Kwh Reading'!F17)*1000000</f>
        <v>2599.9999999997135</v>
      </c>
      <c r="E17" s="2">
        <f>('Kwh Reading'!C18-'Kwh Reading'!C17)*1000</f>
        <v>240.00000000000909</v>
      </c>
      <c r="F17" s="2">
        <f>('Kwh Reading'!J18-'Kwh Reading'!J17)*1000</f>
        <v>300.00000000001137</v>
      </c>
      <c r="G17" s="2">
        <f>('Kwh Reading'!K18-'Kwh Reading'!K17)*1000</f>
        <v>270.00000000003865</v>
      </c>
      <c r="H17" s="2">
        <f>('Kwh Reading'!L18-'Kwh Reading'!L17)*1000</f>
        <v>210.00000000000796</v>
      </c>
      <c r="I17" s="2">
        <f>('Kwh Reading'!R18-'Kwh Reading'!R17)*1000</f>
        <v>250</v>
      </c>
      <c r="J17" s="2">
        <f>('Kwh Reading'!S18-'Kwh Reading'!S17)*1000</f>
        <v>109.99999999999943</v>
      </c>
      <c r="K17" s="2">
        <f>('Kwh Reading'!I18-'Kwh Reading'!I17)*1000</f>
        <v>300.00000000001137</v>
      </c>
      <c r="L17" s="2">
        <f>('Kwh Reading'!B18-'Kwh Reading'!B17)*1000000</f>
        <v>1300.0000000000789</v>
      </c>
      <c r="M17" s="2">
        <f>('Kwh Reading'!M18-'Kwh Reading'!M17)*1000</f>
        <v>950.00000000004547</v>
      </c>
      <c r="N17" s="2">
        <f>('Kwh Reading'!H18-'Kwh Reading'!H17)*1000</f>
        <v>840.00000000003183</v>
      </c>
      <c r="O17" s="2">
        <f>('Kwh Reading'!P18-'Kwh Reading'!P17)*1000</f>
        <v>1150.0000000000909</v>
      </c>
      <c r="P17" s="2">
        <f>('Kwh Reading'!G18-'Kwh Reading'!G17)*1000</f>
        <v>910.00000000008185</v>
      </c>
      <c r="Q17" s="2">
        <f>('Kwh Reading'!Q18-'Kwh Reading'!Q17)*1000</f>
        <v>779.99999999997272</v>
      </c>
      <c r="R17" s="2">
        <f>('Kwh Reading'!N18-'Kwh Reading'!N17)*1000</f>
        <v>990.00000000000909</v>
      </c>
      <c r="S17" s="33">
        <f>'Kwh Reading'!E18-'Kwh Reading'!E17</f>
        <v>3523.1699999999255</v>
      </c>
      <c r="T17" s="33">
        <f>'Kwh Reading'!D18-'Kwh Reading'!D17</f>
        <v>2314.3699999991804</v>
      </c>
      <c r="U17" s="27">
        <f>('Kwh Reading'!O18-'Kwh Reading'!O17)*1000</f>
        <v>280.00000000000114</v>
      </c>
      <c r="V17" s="16">
        <f t="shared" si="1"/>
        <v>6532.4600000007631</v>
      </c>
    </row>
    <row r="18" spans="1:22" x14ac:dyDescent="0.25">
      <c r="A18" s="3">
        <f>'Kwh Reading'!A18</f>
        <v>44484</v>
      </c>
      <c r="B18" s="26">
        <f>TOTAL!E16</f>
        <v>24410</v>
      </c>
      <c r="C18" s="4">
        <f>('Kwh Reading'!T19-'Kwh Reading'!T18)*1000</f>
        <v>290.00000000002046</v>
      </c>
      <c r="D18" s="2">
        <f>('Kwh Reading'!F19-'Kwh Reading'!F18)*1000000</f>
        <v>2699.9999999999245</v>
      </c>
      <c r="E18" s="2">
        <f>('Kwh Reading'!C19-'Kwh Reading'!C18)*1000</f>
        <v>289.99999999999204</v>
      </c>
      <c r="F18" s="2">
        <f>('Kwh Reading'!J19-'Kwh Reading'!J18)*1000</f>
        <v>219.99999999997044</v>
      </c>
      <c r="G18" s="2">
        <f>('Kwh Reading'!K19-'Kwh Reading'!K18)*1000</f>
        <v>229.99999999996135</v>
      </c>
      <c r="H18" s="2">
        <f>('Kwh Reading'!L19-'Kwh Reading'!L18)*1000</f>
        <v>189.99999999999773</v>
      </c>
      <c r="I18" s="2">
        <f>('Kwh Reading'!R19-'Kwh Reading'!R18)*1000</f>
        <v>230.00000000001819</v>
      </c>
      <c r="J18" s="2">
        <f>('Kwh Reading'!S19-'Kwh Reading'!S18)*1000</f>
        <v>109.99999999998522</v>
      </c>
      <c r="K18" s="2">
        <f>('Kwh Reading'!I19-'Kwh Reading'!I18)*1000</f>
        <v>310.00000000000227</v>
      </c>
      <c r="L18" s="2">
        <f>('Kwh Reading'!B19-'Kwh Reading'!B18)*1000000</f>
        <v>2000.0000000000018</v>
      </c>
      <c r="M18" s="2">
        <f>('Kwh Reading'!M19-'Kwh Reading'!M18)*1000</f>
        <v>929.99999999994998</v>
      </c>
      <c r="N18" s="2">
        <f>('Kwh Reading'!H19-'Kwh Reading'!H18)*1000</f>
        <v>870.00000000000455</v>
      </c>
      <c r="O18" s="2">
        <f>('Kwh Reading'!P19-'Kwh Reading'!P18)*1000</f>
        <v>1250</v>
      </c>
      <c r="P18" s="2">
        <f>('Kwh Reading'!G19-'Kwh Reading'!G18)*1000</f>
        <v>949.99999999993179</v>
      </c>
      <c r="Q18" s="2">
        <f>('Kwh Reading'!Q19-'Kwh Reading'!Q18)*1000</f>
        <v>850.00000000002274</v>
      </c>
      <c r="R18" s="2">
        <f>('Kwh Reading'!N19-'Kwh Reading'!N18)*1000</f>
        <v>1029.9999999999727</v>
      </c>
      <c r="S18" s="33">
        <f>'Kwh Reading'!E19-'Kwh Reading'!E18</f>
        <v>3244.410000000149</v>
      </c>
      <c r="T18" s="33">
        <f>'Kwh Reading'!D19-'Kwh Reading'!D18</f>
        <v>2388.2600000007078</v>
      </c>
      <c r="U18" s="27">
        <f>('Kwh Reading'!O19-'Kwh Reading'!O18)*1000</f>
        <v>300.00000000001137</v>
      </c>
      <c r="V18" s="16">
        <f t="shared" si="1"/>
        <v>6027.3299999993797</v>
      </c>
    </row>
    <row r="19" spans="1:22" x14ac:dyDescent="0.25">
      <c r="A19" s="3">
        <f>'Kwh Reading'!A19</f>
        <v>44485</v>
      </c>
      <c r="B19" s="26">
        <f>TOTAL!E17</f>
        <v>23420</v>
      </c>
      <c r="C19" s="4">
        <f>('Kwh Reading'!T20-'Kwh Reading'!T19)*1000</f>
        <v>489.99999999995225</v>
      </c>
      <c r="D19" s="2">
        <f>('Kwh Reading'!F20-'Kwh Reading'!F19)*1000000</f>
        <v>2900.0000000003465</v>
      </c>
      <c r="E19" s="2">
        <f>('Kwh Reading'!C20-'Kwh Reading'!C19)*1000</f>
        <v>289.99999999999204</v>
      </c>
      <c r="F19" s="2">
        <f>('Kwh Reading'!J20-'Kwh Reading'!J19)*1000</f>
        <v>439.99999999999773</v>
      </c>
      <c r="G19" s="2">
        <f>('Kwh Reading'!K20-'Kwh Reading'!K19)*1000</f>
        <v>390.0000000000432</v>
      </c>
      <c r="H19" s="2">
        <f>('Kwh Reading'!L20-'Kwh Reading'!L19)*1000</f>
        <v>250</v>
      </c>
      <c r="I19" s="2">
        <f>('Kwh Reading'!R20-'Kwh Reading'!R19)*1000</f>
        <v>250</v>
      </c>
      <c r="J19" s="2">
        <f>('Kwh Reading'!S20-'Kwh Reading'!S19)*1000</f>
        <v>120.00000000000455</v>
      </c>
      <c r="K19" s="2">
        <f>('Kwh Reading'!I20-'Kwh Reading'!I19)*1000</f>
        <v>250</v>
      </c>
      <c r="L19" s="2">
        <f>('Kwh Reading'!B20-'Kwh Reading'!B19)*1000000</f>
        <v>399.99999999995595</v>
      </c>
      <c r="M19" s="2">
        <f>('Kwh Reading'!M20-'Kwh Reading'!M19)*1000</f>
        <v>910.00000000008185</v>
      </c>
      <c r="N19" s="2">
        <f>('Kwh Reading'!H20-'Kwh Reading'!H19)*1000</f>
        <v>879.99999999999545</v>
      </c>
      <c r="O19" s="2">
        <f>('Kwh Reading'!P20-'Kwh Reading'!P19)*1000</f>
        <v>1189.9999999999409</v>
      </c>
      <c r="P19" s="2">
        <f>('Kwh Reading'!G20-'Kwh Reading'!G19)*1000</f>
        <v>980.00000000001819</v>
      </c>
      <c r="Q19" s="2">
        <f>('Kwh Reading'!Q20-'Kwh Reading'!Q19)*1000</f>
        <v>829.99999999992724</v>
      </c>
      <c r="R19" s="2">
        <f>('Kwh Reading'!N20-'Kwh Reading'!N19)*1000</f>
        <v>820.00000000005002</v>
      </c>
      <c r="S19" s="33">
        <f>'Kwh Reading'!E20-'Kwh Reading'!E19</f>
        <v>3478.5499999988824</v>
      </c>
      <c r="T19" s="33">
        <f>'Kwh Reading'!D20-'Kwh Reading'!D19</f>
        <v>2400.2099999999627</v>
      </c>
      <c r="U19" s="27">
        <f>('Kwh Reading'!O20-'Kwh Reading'!O19)*1000</f>
        <v>299.99999999998295</v>
      </c>
      <c r="V19" s="16">
        <f t="shared" si="1"/>
        <v>5851.2400000008638</v>
      </c>
    </row>
    <row r="20" spans="1:22" x14ac:dyDescent="0.25">
      <c r="A20" s="3">
        <f>'Kwh Reading'!A20</f>
        <v>44486</v>
      </c>
      <c r="B20" s="26">
        <f>TOTAL!E18</f>
        <v>19680</v>
      </c>
      <c r="C20" s="4">
        <f>('Kwh Reading'!T21-'Kwh Reading'!T20)*1000</f>
        <v>490.00000000000909</v>
      </c>
      <c r="D20" s="2">
        <f>('Kwh Reading'!F21-'Kwh Reading'!F20)*1000000</f>
        <v>2499.9999999999468</v>
      </c>
      <c r="E20" s="2">
        <f>('Kwh Reading'!C21-'Kwh Reading'!C20)*1000</f>
        <v>240.00000000003752</v>
      </c>
      <c r="F20" s="2">
        <f>('Kwh Reading'!J21-'Kwh Reading'!J20)*1000</f>
        <v>310.00000000000227</v>
      </c>
      <c r="G20" s="2">
        <f>('Kwh Reading'!K21-'Kwh Reading'!K20)*1000</f>
        <v>209.99999999997954</v>
      </c>
      <c r="H20" s="2">
        <f>('Kwh Reading'!L21-'Kwh Reading'!L20)*1000</f>
        <v>180.00000000000682</v>
      </c>
      <c r="I20" s="2">
        <f>('Kwh Reading'!R21-'Kwh Reading'!R20)*1000</f>
        <v>239.99999999998067</v>
      </c>
      <c r="J20" s="2">
        <f>('Kwh Reading'!S21-'Kwh Reading'!S20)*1000</f>
        <v>120.00000000000455</v>
      </c>
      <c r="K20" s="2">
        <f>('Kwh Reading'!I21-'Kwh Reading'!I20)*1000</f>
        <v>240.00000000000909</v>
      </c>
      <c r="L20" s="2">
        <f>('Kwh Reading'!B21-'Kwh Reading'!B20)*1000000</f>
        <v>900.0000000001229</v>
      </c>
      <c r="M20" s="2">
        <f>('Kwh Reading'!M21-'Kwh Reading'!M20)*1000</f>
        <v>659.99999999996817</v>
      </c>
      <c r="N20" s="2">
        <f>('Kwh Reading'!H21-'Kwh Reading'!H20)*1000</f>
        <v>720.00000000002728</v>
      </c>
      <c r="O20" s="2">
        <f>('Kwh Reading'!P21-'Kwh Reading'!P20)*1000</f>
        <v>889.99999999998636</v>
      </c>
      <c r="P20" s="2">
        <f>('Kwh Reading'!G21-'Kwh Reading'!G20)*1000</f>
        <v>659.99999999996817</v>
      </c>
      <c r="Q20" s="2">
        <f>('Kwh Reading'!Q21-'Kwh Reading'!Q20)*1000</f>
        <v>629.99999999999545</v>
      </c>
      <c r="R20" s="2">
        <f>('Kwh Reading'!N21-'Kwh Reading'!N20)*1000</f>
        <v>610.00000000001364</v>
      </c>
      <c r="S20" s="33">
        <f>'Kwh Reading'!E21-'Kwh Reading'!E20</f>
        <v>2402.7000000011176</v>
      </c>
      <c r="T20" s="33">
        <f>'Kwh Reading'!D21-'Kwh Reading'!D20</f>
        <v>1617.609999999404</v>
      </c>
      <c r="U20" s="27">
        <f>('Kwh Reading'!O21-'Kwh Reading'!O20)*1000</f>
        <v>260.00000000001933</v>
      </c>
      <c r="V20" s="16">
        <f t="shared" si="1"/>
        <v>5799.6899999994002</v>
      </c>
    </row>
    <row r="21" spans="1:22" ht="16.5" customHeight="1" x14ac:dyDescent="0.25">
      <c r="A21" s="3">
        <f>'Kwh Reading'!A21</f>
        <v>44487</v>
      </c>
      <c r="B21" s="26">
        <f>TOTAL!E19</f>
        <v>19530</v>
      </c>
      <c r="C21" s="4">
        <f>('Kwh Reading'!T22-'Kwh Reading'!T21)*1000</f>
        <v>449.99999999998863</v>
      </c>
      <c r="D21" s="2">
        <f>('Kwh Reading'!F22-'Kwh Reading'!F21)*1000000</f>
        <v>2599.9999999997135</v>
      </c>
      <c r="E21" s="2">
        <f>('Kwh Reading'!C22-'Kwh Reading'!C21)*1000</f>
        <v>269.99999999998181</v>
      </c>
      <c r="F21" s="2">
        <f>('Kwh Reading'!J22-'Kwh Reading'!J21)*1000</f>
        <v>370.00000000000455</v>
      </c>
      <c r="G21" s="2">
        <f>('Kwh Reading'!K22-'Kwh Reading'!K21)*1000</f>
        <v>310.00000000000227</v>
      </c>
      <c r="H21" s="2">
        <f>('Kwh Reading'!L22-'Kwh Reading'!L21)*1000</f>
        <v>199.99999999998863</v>
      </c>
      <c r="I21" s="2">
        <f>('Kwh Reading'!R22-'Kwh Reading'!R21)*1000</f>
        <v>240.00000000000909</v>
      </c>
      <c r="J21" s="2">
        <f>('Kwh Reading'!S22-'Kwh Reading'!S21)*1000</f>
        <v>129.99999999999545</v>
      </c>
      <c r="K21" s="2">
        <f>('Kwh Reading'!I22-'Kwh Reading'!I21)*1000</f>
        <v>199.99999999998863</v>
      </c>
      <c r="L21" s="2">
        <f>('Kwh Reading'!B22-'Kwh Reading'!B21)*1000000</f>
        <v>899.99999999990087</v>
      </c>
      <c r="M21" s="2">
        <f>('Kwh Reading'!M22-'Kwh Reading'!M21)*1000</f>
        <v>570.00000000005002</v>
      </c>
      <c r="N21" s="2">
        <f>('Kwh Reading'!H22-'Kwh Reading'!H21)*1000</f>
        <v>549.99999999995453</v>
      </c>
      <c r="O21" s="2">
        <f>('Kwh Reading'!P22-'Kwh Reading'!P21)*1000</f>
        <v>740.00000000000909</v>
      </c>
      <c r="P21" s="2">
        <f>('Kwh Reading'!G22-'Kwh Reading'!G21)*1000</f>
        <v>730.00000000001819</v>
      </c>
      <c r="Q21" s="2">
        <f>('Kwh Reading'!Q22-'Kwh Reading'!Q21)*1000</f>
        <v>629.99999999999545</v>
      </c>
      <c r="R21" s="2">
        <f>('Kwh Reading'!N22-'Kwh Reading'!N21)*1000</f>
        <v>629.99999999999545</v>
      </c>
      <c r="S21" s="33">
        <f>'Kwh Reading'!E22-'Kwh Reading'!E21</f>
        <v>2349.5399999991059</v>
      </c>
      <c r="T21" s="33">
        <f>'Kwh Reading'!D22-'Kwh Reading'!D21</f>
        <v>1684.390000000596</v>
      </c>
      <c r="U21" s="27">
        <f>('Kwh Reading'!O22-'Kwh Reading'!O21)*1000</f>
        <v>259.99999999999091</v>
      </c>
      <c r="V21" s="16">
        <f t="shared" si="1"/>
        <v>5716.0700000007109</v>
      </c>
    </row>
    <row r="22" spans="1:22" x14ac:dyDescent="0.25">
      <c r="A22" s="3">
        <f>'Kwh Reading'!A22</f>
        <v>44488</v>
      </c>
      <c r="B22" s="26">
        <f>TOTAL!E20</f>
        <v>22290</v>
      </c>
      <c r="C22" s="4">
        <f>('Kwh Reading'!T23-'Kwh Reading'!T22)*1000</f>
        <v>510.00000000004775</v>
      </c>
      <c r="D22" s="2">
        <f>('Kwh Reading'!F23-'Kwh Reading'!F22)*1000000</f>
        <v>2700.0000000003688</v>
      </c>
      <c r="E22" s="2">
        <f>('Kwh Reading'!C23-'Kwh Reading'!C22)*1000</f>
        <v>269.99999999998181</v>
      </c>
      <c r="F22" s="2">
        <f>('Kwh Reading'!J23-'Kwh Reading'!J22)*1000</f>
        <v>470.00000000002728</v>
      </c>
      <c r="G22" s="2">
        <f>('Kwh Reading'!K23-'Kwh Reading'!K22)*1000</f>
        <v>399.99999999997726</v>
      </c>
      <c r="H22" s="2">
        <f>('Kwh Reading'!L23-'Kwh Reading'!L22)*1000</f>
        <v>219.99999999999886</v>
      </c>
      <c r="I22" s="2">
        <f>('Kwh Reading'!R23-'Kwh Reading'!R22)*1000</f>
        <v>259.99999999999091</v>
      </c>
      <c r="J22" s="2">
        <f>('Kwh Reading'!S23-'Kwh Reading'!S22)*1000</f>
        <v>140.00000000001478</v>
      </c>
      <c r="K22" s="2">
        <f>('Kwh Reading'!I23-'Kwh Reading'!I22)*1000</f>
        <v>250</v>
      </c>
      <c r="L22" s="2">
        <f>('Kwh Reading'!B23-'Kwh Reading'!B22)*1000000</f>
        <v>1200.0000000000898</v>
      </c>
      <c r="M22" s="2">
        <f>('Kwh Reading'!M23-'Kwh Reading'!M22)*1000</f>
        <v>729.9999999999045</v>
      </c>
      <c r="N22" s="2">
        <f>('Kwh Reading'!H23-'Kwh Reading'!H22)*1000</f>
        <v>789.99999999996362</v>
      </c>
      <c r="O22" s="2">
        <f>('Kwh Reading'!P23-'Kwh Reading'!P22)*1000</f>
        <v>1000</v>
      </c>
      <c r="P22" s="2">
        <f>('Kwh Reading'!G23-'Kwh Reading'!G22)*1000</f>
        <v>889.99999999998636</v>
      </c>
      <c r="Q22" s="2">
        <f>('Kwh Reading'!Q23-'Kwh Reading'!Q22)*1000</f>
        <v>740.00000000000909</v>
      </c>
      <c r="R22" s="2">
        <f>('Kwh Reading'!N23-'Kwh Reading'!N22)*1000</f>
        <v>779.99999999997272</v>
      </c>
      <c r="S22" s="33">
        <f>'Kwh Reading'!E23-'Kwh Reading'!E22</f>
        <v>3055.640000000596</v>
      </c>
      <c r="T22" s="33">
        <f>'Kwh Reading'!D23-'Kwh Reading'!D22</f>
        <v>2460.929999999702</v>
      </c>
      <c r="U22" s="27">
        <f>('Kwh Reading'!O23-'Kwh Reading'!O22)*1000</f>
        <v>250</v>
      </c>
      <c r="V22" s="16">
        <f t="shared" si="1"/>
        <v>5173.4299999993673</v>
      </c>
    </row>
    <row r="23" spans="1:22" x14ac:dyDescent="0.25">
      <c r="A23" s="3">
        <f>'Kwh Reading'!A23</f>
        <v>44489</v>
      </c>
      <c r="B23" s="26">
        <f>TOTAL!E21</f>
        <v>24240</v>
      </c>
      <c r="C23" s="4">
        <f>('Kwh Reading'!T24-'Kwh Reading'!T23)*1000</f>
        <v>519.99999999998181</v>
      </c>
      <c r="D23" s="2">
        <f>('Kwh Reading'!F24-'Kwh Reading'!F23)*1000000</f>
        <v>2799.9999999996917</v>
      </c>
      <c r="E23" s="2">
        <f>('Kwh Reading'!C24-'Kwh Reading'!C23)*1000</f>
        <v>259.99999999999091</v>
      </c>
      <c r="F23" s="2">
        <f>('Kwh Reading'!J24-'Kwh Reading'!J23)*1000</f>
        <v>459.99999999997954</v>
      </c>
      <c r="G23" s="2">
        <f>('Kwh Reading'!K24-'Kwh Reading'!K23)*1000</f>
        <v>390.0000000000432</v>
      </c>
      <c r="H23" s="2">
        <f>('Kwh Reading'!L24-'Kwh Reading'!L23)*1000</f>
        <v>220.00000000002728</v>
      </c>
      <c r="I23" s="2">
        <f>('Kwh Reading'!R24-'Kwh Reading'!R23)*1000</f>
        <v>260.00000000001933</v>
      </c>
      <c r="J23" s="2">
        <f>('Kwh Reading'!S24-'Kwh Reading'!S23)*1000</f>
        <v>129.99999999999545</v>
      </c>
      <c r="K23" s="2">
        <f>('Kwh Reading'!I24-'Kwh Reading'!I23)*1000</f>
        <v>240.00000000000909</v>
      </c>
      <c r="L23" s="2">
        <f>('Kwh Reading'!B24-'Kwh Reading'!B23)*1000000</f>
        <v>1099.9999999998788</v>
      </c>
      <c r="M23" s="2">
        <f>('Kwh Reading'!M24-'Kwh Reading'!M23)*1000</f>
        <v>800.00000000006821</v>
      </c>
      <c r="N23" s="2">
        <f>('Kwh Reading'!H24-'Kwh Reading'!H23)*1000</f>
        <v>700.00000000004547</v>
      </c>
      <c r="O23" s="2">
        <f>('Kwh Reading'!P24-'Kwh Reading'!P23)*1000</f>
        <v>1040.0000000000773</v>
      </c>
      <c r="P23" s="2">
        <f>('Kwh Reading'!G24-'Kwh Reading'!G23)*1000</f>
        <v>820.00000000005002</v>
      </c>
      <c r="Q23" s="2">
        <f>('Kwh Reading'!Q24-'Kwh Reading'!Q23)*1000</f>
        <v>740.00000000000909</v>
      </c>
      <c r="R23" s="2">
        <f>('Kwh Reading'!N24-'Kwh Reading'!N23)*1000</f>
        <v>759.99999999999091</v>
      </c>
      <c r="S23" s="33">
        <f>'Kwh Reading'!E24-'Kwh Reading'!E23</f>
        <v>3038.929999999702</v>
      </c>
      <c r="T23" s="33">
        <f>'Kwh Reading'!D24-'Kwh Reading'!D23</f>
        <v>2428.160000000149</v>
      </c>
      <c r="U23" s="27">
        <f>('Kwh Reading'!O24-'Kwh Reading'!O23)*1000</f>
        <v>250</v>
      </c>
      <c r="V23" s="16">
        <f t="shared" si="1"/>
        <v>7282.9100000002909</v>
      </c>
    </row>
    <row r="24" spans="1:22" x14ac:dyDescent="0.25">
      <c r="A24" s="3">
        <f>'Kwh Reading'!A24</f>
        <v>44490</v>
      </c>
      <c r="B24" s="26">
        <f>TOTAL!E22</f>
        <v>22790</v>
      </c>
      <c r="C24" s="4">
        <f>('Kwh Reading'!T25-'Kwh Reading'!T24)*1000</f>
        <v>500</v>
      </c>
      <c r="D24" s="2">
        <f>('Kwh Reading'!F25-'Kwh Reading'!F24)*1000000</f>
        <v>2699.9999999999245</v>
      </c>
      <c r="E24" s="2">
        <f>('Kwh Reading'!C25-'Kwh Reading'!C24)*1000</f>
        <v>270.00000000003865</v>
      </c>
      <c r="F24" s="2">
        <f>('Kwh Reading'!J25-'Kwh Reading'!J24)*1000</f>
        <v>480.00000000001819</v>
      </c>
      <c r="G24" s="2">
        <f>('Kwh Reading'!K25-'Kwh Reading'!K24)*1000</f>
        <v>339.99999999997499</v>
      </c>
      <c r="H24" s="2">
        <f>('Kwh Reading'!L25-'Kwh Reading'!L24)*1000</f>
        <v>240.00000000000909</v>
      </c>
      <c r="I24" s="2">
        <f>('Kwh Reading'!R25-'Kwh Reading'!R24)*1000</f>
        <v>229.99999999998977</v>
      </c>
      <c r="J24" s="2">
        <f>('Kwh Reading'!S25-'Kwh Reading'!S24)*1000</f>
        <v>120.00000000000455</v>
      </c>
      <c r="K24" s="2">
        <f>('Kwh Reading'!I25-'Kwh Reading'!I24)*1000</f>
        <v>220.00000000002728</v>
      </c>
      <c r="L24" s="2">
        <f>('Kwh Reading'!B25-'Kwh Reading'!B24)*1000000</f>
        <v>1300.0000000000789</v>
      </c>
      <c r="M24" s="2">
        <f>('Kwh Reading'!M25-'Kwh Reading'!M24)*1000</f>
        <v>720.00000000002728</v>
      </c>
      <c r="N24" s="2">
        <f>('Kwh Reading'!H25-'Kwh Reading'!H24)*1000</f>
        <v>889.99999999998636</v>
      </c>
      <c r="O24" s="2">
        <f>('Kwh Reading'!P25-'Kwh Reading'!P24)*1000</f>
        <v>949.99999999993179</v>
      </c>
      <c r="P24" s="2">
        <f>('Kwh Reading'!G25-'Kwh Reading'!G24)*1000</f>
        <v>889.99999999998636</v>
      </c>
      <c r="Q24" s="2">
        <f>('Kwh Reading'!Q25-'Kwh Reading'!Q24)*1000</f>
        <v>720.00000000002728</v>
      </c>
      <c r="R24" s="2">
        <f>('Kwh Reading'!N25-'Kwh Reading'!N24)*1000</f>
        <v>759.99999999999091</v>
      </c>
      <c r="S24" s="2">
        <f>'Kwh Reading'!E25-'Kwh Reading'!E24</f>
        <v>2860.9399999994785</v>
      </c>
      <c r="T24" s="2">
        <f>'Kwh Reading'!D25-'Kwh Reading'!D24</f>
        <v>2192.5300000002608</v>
      </c>
      <c r="U24" s="27">
        <f>('Kwh Reading'!O25-'Kwh Reading'!O24)*1000</f>
        <v>210.00000000000796</v>
      </c>
      <c r="V24" s="16">
        <f t="shared" si="1"/>
        <v>6196.5300000002389</v>
      </c>
    </row>
    <row r="25" spans="1:22" x14ac:dyDescent="0.25">
      <c r="A25" s="3">
        <f>'Kwh Reading'!A25</f>
        <v>44491</v>
      </c>
      <c r="B25" s="26">
        <f>TOTAL!E23</f>
        <v>22510</v>
      </c>
      <c r="C25" s="4">
        <f>('Kwh Reading'!T26-'Kwh Reading'!T25)*1000</f>
        <v>300.00000000001137</v>
      </c>
      <c r="D25" s="2">
        <f>('Kwh Reading'!F26-'Kwh Reading'!F25)*1000000</f>
        <v>2700.0000000003688</v>
      </c>
      <c r="E25" s="2">
        <f>('Kwh Reading'!C26-'Kwh Reading'!C25)*1000</f>
        <v>259.99999999999091</v>
      </c>
      <c r="F25" s="2">
        <f>('Kwh Reading'!J26-'Kwh Reading'!J25)*1000</f>
        <v>419.99999999995907</v>
      </c>
      <c r="G25" s="2">
        <f>('Kwh Reading'!K26-'Kwh Reading'!K25)*1000</f>
        <v>400.00000000003411</v>
      </c>
      <c r="H25" s="2">
        <f>('Kwh Reading'!L26-'Kwh Reading'!L25)*1000</f>
        <v>229.99999999996135</v>
      </c>
      <c r="I25" s="2">
        <f>('Kwh Reading'!R26-'Kwh Reading'!R25)*1000</f>
        <v>240.00000000000909</v>
      </c>
      <c r="J25" s="2">
        <f>('Kwh Reading'!S26-'Kwh Reading'!S25)*1000</f>
        <v>119.99999999997613</v>
      </c>
      <c r="K25" s="2">
        <f>('Kwh Reading'!I26-'Kwh Reading'!I25)*1000</f>
        <v>209.99999999997954</v>
      </c>
      <c r="L25" s="2">
        <f>('Kwh Reading'!B26-'Kwh Reading'!B25)*1000000</f>
        <v>1199.9999999998679</v>
      </c>
      <c r="M25" s="2">
        <f>('Kwh Reading'!M26-'Kwh Reading'!M25)*1000</f>
        <v>689.99999999994088</v>
      </c>
      <c r="N25" s="2">
        <f>('Kwh Reading'!H26-'Kwh Reading'!H25)*1000</f>
        <v>850.00000000002274</v>
      </c>
      <c r="O25" s="2">
        <f>('Kwh Reading'!P26-'Kwh Reading'!P25)*1000</f>
        <v>820.00000000005002</v>
      </c>
      <c r="P25" s="2">
        <f>('Kwh Reading'!G26-'Kwh Reading'!G25)*1000</f>
        <v>870.00000000000455</v>
      </c>
      <c r="Q25" s="2">
        <f>('Kwh Reading'!Q26-'Kwh Reading'!Q25)*1000</f>
        <v>809.99999999994543</v>
      </c>
      <c r="R25" s="2">
        <f>('Kwh Reading'!N26-'Kwh Reading'!N25)*1000</f>
        <v>750</v>
      </c>
      <c r="S25" s="2">
        <f>'Kwh Reading'!E26-'Kwh Reading'!E25</f>
        <v>2341.1100000012666</v>
      </c>
      <c r="T25" s="2">
        <f>'Kwh Reading'!D26-'Kwh Reading'!D25</f>
        <v>2018.9899999992922</v>
      </c>
      <c r="U25" s="27">
        <f>('Kwh Reading'!O26-'Kwh Reading'!O25)*1000</f>
        <v>229.99999999998977</v>
      </c>
      <c r="V25" s="16">
        <f t="shared" si="1"/>
        <v>7049.8999999993284</v>
      </c>
    </row>
    <row r="26" spans="1:22" x14ac:dyDescent="0.25">
      <c r="A26" s="3">
        <f>'Kwh Reading'!A26</f>
        <v>44492</v>
      </c>
      <c r="B26" s="26">
        <f>TOTAL!E24</f>
        <v>23430</v>
      </c>
      <c r="C26" s="4">
        <f>('Kwh Reading'!T27-'Kwh Reading'!T26)*1000</f>
        <v>469.99999999997044</v>
      </c>
      <c r="D26" s="2">
        <f>('Kwh Reading'!F27-'Kwh Reading'!F26)*1000000</f>
        <v>2699.9999999999245</v>
      </c>
      <c r="E26" s="2">
        <f>('Kwh Reading'!C27-'Kwh Reading'!C26)*1000</f>
        <v>269.99999999998181</v>
      </c>
      <c r="F26" s="2">
        <f>('Kwh Reading'!J27-'Kwh Reading'!J26)*1000</f>
        <v>370.00000000000455</v>
      </c>
      <c r="G26" s="2">
        <f>('Kwh Reading'!K27-'Kwh Reading'!K26)*1000</f>
        <v>339.99999999997499</v>
      </c>
      <c r="H26" s="2">
        <f>('Kwh Reading'!L27-'Kwh Reading'!L26)*1000</f>
        <v>210.00000000003638</v>
      </c>
      <c r="I26" s="2">
        <f>('Kwh Reading'!R27-'Kwh Reading'!R26)*1000</f>
        <v>239.99999999998067</v>
      </c>
      <c r="J26" s="2">
        <f>('Kwh Reading'!S27-'Kwh Reading'!S26)*1000</f>
        <v>120.00000000000455</v>
      </c>
      <c r="K26" s="2">
        <f>('Kwh Reading'!I27-'Kwh Reading'!I26)*1000</f>
        <v>209.99999999997954</v>
      </c>
      <c r="L26" s="2">
        <f>('Kwh Reading'!B27-'Kwh Reading'!B26)*1000000</f>
        <v>1300.0000000000789</v>
      </c>
      <c r="M26" s="2">
        <f>('Kwh Reading'!M27-'Kwh Reading'!M26)*1000</f>
        <v>730.00000000001819</v>
      </c>
      <c r="N26" s="2">
        <f>('Kwh Reading'!H27-'Kwh Reading'!H26)*1000</f>
        <v>860.00000000001364</v>
      </c>
      <c r="O26" s="2">
        <f>('Kwh Reading'!P27-'Kwh Reading'!P26)*1000</f>
        <v>879.99999999999545</v>
      </c>
      <c r="P26" s="2">
        <f>('Kwh Reading'!G27-'Kwh Reading'!G26)*1000</f>
        <v>919.99999999995907</v>
      </c>
      <c r="Q26" s="2">
        <f>('Kwh Reading'!Q27-'Kwh Reading'!Q26)*1000</f>
        <v>780.0000000000864</v>
      </c>
      <c r="R26" s="2">
        <f>('Kwh Reading'!N27-'Kwh Reading'!N26)*1000</f>
        <v>750</v>
      </c>
      <c r="S26" s="2">
        <f>'Kwh Reading'!E27-'Kwh Reading'!E26</f>
        <v>2975.1199999991804</v>
      </c>
      <c r="T26" s="2">
        <f>'Kwh Reading'!D27-'Kwh Reading'!D26</f>
        <v>-6967818.1699999999</v>
      </c>
      <c r="U26" s="27">
        <f>('Kwh Reading'!O27-'Kwh Reading'!O26)*1000</f>
        <v>200.00000000001705</v>
      </c>
      <c r="V26" s="16">
        <f t="shared" si="1"/>
        <v>6976923.0500000007</v>
      </c>
    </row>
    <row r="27" spans="1:22" x14ac:dyDescent="0.25">
      <c r="A27" s="3">
        <f>'Kwh Reading'!A27</f>
        <v>44493</v>
      </c>
      <c r="B27" s="26">
        <f>TOTAL!E25</f>
        <v>23450</v>
      </c>
      <c r="C27" s="4">
        <f>('Kwh Reading'!T28-'Kwh Reading'!T27)*1000</f>
        <v>550.00000000001137</v>
      </c>
      <c r="D27" s="2">
        <f>('Kwh Reading'!F28-'Kwh Reading'!F27)*1000000</f>
        <v>2799.9999999996917</v>
      </c>
      <c r="E27" s="2">
        <f>('Kwh Reading'!C28-'Kwh Reading'!C27)*1000</f>
        <v>269.99999999998181</v>
      </c>
      <c r="F27" s="2">
        <f>('Kwh Reading'!J28-'Kwh Reading'!J27)*1000</f>
        <v>410.00000000002501</v>
      </c>
      <c r="G27" s="2">
        <f>('Kwh Reading'!K28-'Kwh Reading'!K27)*1000</f>
        <v>360.00000000001364</v>
      </c>
      <c r="H27" s="2">
        <f>('Kwh Reading'!L28-'Kwh Reading'!L27)*1000</f>
        <v>219.99999999997044</v>
      </c>
      <c r="I27" s="2">
        <f>('Kwh Reading'!R28-'Kwh Reading'!R27)*1000</f>
        <v>240.00000000000909</v>
      </c>
      <c r="J27" s="2">
        <f>('Kwh Reading'!S28-'Kwh Reading'!S27)*1000</f>
        <v>120.00000000000455</v>
      </c>
      <c r="K27" s="2">
        <f>('Kwh Reading'!I28-'Kwh Reading'!I27)*1000</f>
        <v>259.99999999999091</v>
      </c>
      <c r="L27" s="2">
        <f>('Kwh Reading'!B28-'Kwh Reading'!B27)*1000000</f>
        <v>1200.0000000000898</v>
      </c>
      <c r="M27" s="2">
        <f>('Kwh Reading'!M28-'Kwh Reading'!M27)*1000</f>
        <v>779.99999999997272</v>
      </c>
      <c r="N27" s="2">
        <f>('Kwh Reading'!H28-'Kwh Reading'!H27)*1000</f>
        <v>1000</v>
      </c>
      <c r="O27" s="2">
        <f>('Kwh Reading'!P28-'Kwh Reading'!P27)*1000</f>
        <v>980.00000000001819</v>
      </c>
      <c r="P27" s="2">
        <f>('Kwh Reading'!G28-'Kwh Reading'!G27)*1000</f>
        <v>1050.0000000000682</v>
      </c>
      <c r="Q27" s="2">
        <f>('Kwh Reading'!Q28-'Kwh Reading'!Q27)*1000</f>
        <v>860.00000000001364</v>
      </c>
      <c r="R27" s="2">
        <f>('Kwh Reading'!N28-'Kwh Reading'!N27)*1000</f>
        <v>860.00000000001364</v>
      </c>
      <c r="S27" s="2">
        <f>'Kwh Reading'!E28-'Kwh Reading'!E27</f>
        <v>3210.2900000009686</v>
      </c>
      <c r="T27" s="2">
        <f>'Kwh Reading'!D28-'Kwh Reading'!D27</f>
        <v>6972168.4500000002</v>
      </c>
      <c r="U27" s="27">
        <f>('Kwh Reading'!O28-'Kwh Reading'!O27)*1000</f>
        <v>250</v>
      </c>
      <c r="V27" s="16">
        <f t="shared" si="1"/>
        <v>-6964138.7400000012</v>
      </c>
    </row>
    <row r="28" spans="1:22" x14ac:dyDescent="0.25">
      <c r="A28" s="3">
        <f>'Kwh Reading'!A28</f>
        <v>44494</v>
      </c>
      <c r="B28" s="26">
        <f>TOTAL!E26</f>
        <v>23060</v>
      </c>
      <c r="C28" s="4">
        <f>('Kwh Reading'!T29-'Kwh Reading'!T28)*1000</f>
        <v>540.00000000002046</v>
      </c>
      <c r="D28" s="2">
        <f>('Kwh Reading'!F29-'Kwh Reading'!F28)*1000000</f>
        <v>2700.0000000003688</v>
      </c>
      <c r="E28" s="2">
        <f>('Kwh Reading'!C29-'Kwh Reading'!C28)*1000</f>
        <v>260.00000000004775</v>
      </c>
      <c r="F28" s="2">
        <f>('Kwh Reading'!J29-'Kwh Reading'!J28)*1000</f>
        <v>480.00000000001819</v>
      </c>
      <c r="G28" s="2">
        <f>('Kwh Reading'!K29-'Kwh Reading'!K28)*1000</f>
        <v>379.99999999999545</v>
      </c>
      <c r="H28" s="2">
        <f>('Kwh Reading'!L29-'Kwh Reading'!L28)*1000</f>
        <v>250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230.00000000001819</v>
      </c>
      <c r="L28" s="2">
        <f>('Kwh Reading'!B29-'Kwh Reading'!B28)*1000000</f>
        <v>1099.9999999998788</v>
      </c>
      <c r="M28" s="2">
        <f>('Kwh Reading'!M29-'Kwh Reading'!M28)*1000</f>
        <v>730.00000000001819</v>
      </c>
      <c r="N28" s="2">
        <f>('Kwh Reading'!H29-'Kwh Reading'!H28)*1000</f>
        <v>879.99999999999545</v>
      </c>
      <c r="O28" s="2">
        <f>('Kwh Reading'!P29-'Kwh Reading'!P28)*1000</f>
        <v>339.99999999991815</v>
      </c>
      <c r="P28" s="2">
        <f>('Kwh Reading'!G29-'Kwh Reading'!G28)*1000</f>
        <v>929.99999999994998</v>
      </c>
      <c r="Q28" s="2">
        <f>('Kwh Reading'!Q29-'Kwh Reading'!Q28)*1000</f>
        <v>889.99999999998636</v>
      </c>
      <c r="R28" s="2">
        <f>('Kwh Reading'!N29-'Kwh Reading'!N28)*1000</f>
        <v>940.00000000005457</v>
      </c>
      <c r="S28" s="2">
        <f>'Kwh Reading'!E29-'Kwh Reading'!E28</f>
        <v>2720.7999999988824</v>
      </c>
      <c r="T28" s="2">
        <f>'Kwh Reading'!D29-'Kwh Reading'!D28</f>
        <v>2026</v>
      </c>
      <c r="U28" s="27">
        <f>('Kwh Reading'!O29-'Kwh Reading'!O28)*1000</f>
        <v>250</v>
      </c>
      <c r="V28" s="16">
        <f t="shared" si="1"/>
        <v>7043.2000000008447</v>
      </c>
    </row>
    <row r="29" spans="1:22" x14ac:dyDescent="0.25">
      <c r="A29" s="3">
        <f>'Kwh Reading'!A29</f>
        <v>44495</v>
      </c>
      <c r="B29" s="26">
        <f>TOTAL!E27</f>
        <v>22580</v>
      </c>
      <c r="C29" s="4">
        <f>('Kwh Reading'!T30-'Kwh Reading'!T29)*1000</f>
        <v>490.00000000000909</v>
      </c>
      <c r="D29" s="2">
        <f>('Kwh Reading'!F30-'Kwh Reading'!F29)*1000000</f>
        <v>2699.9999999999245</v>
      </c>
      <c r="E29" s="2">
        <f>('Kwh Reading'!C30-'Kwh Reading'!C29)*1000</f>
        <v>250</v>
      </c>
      <c r="F29" s="2">
        <f>('Kwh Reading'!J30-'Kwh Reading'!J29)*1000</f>
        <v>449.99999999998863</v>
      </c>
      <c r="G29" s="2">
        <f>('Kwh Reading'!K30-'Kwh Reading'!K29)*1000</f>
        <v>409.99999999996817</v>
      </c>
      <c r="H29" s="2">
        <f>('Kwh Reading'!L30-'Kwh Reading'!L29)*1000</f>
        <v>209.99999999997954</v>
      </c>
      <c r="I29" s="2">
        <f>('Kwh Reading'!R30-'Kwh Reading'!R29)*1000</f>
        <v>270.00000000001023</v>
      </c>
      <c r="J29" s="2">
        <f>('Kwh Reading'!S30-'Kwh Reading'!S29)*1000</f>
        <v>120.00000000000455</v>
      </c>
      <c r="K29" s="2">
        <f>('Kwh Reading'!I30-'Kwh Reading'!I29)*1000</f>
        <v>230.00000000001819</v>
      </c>
      <c r="L29" s="2">
        <f>('Kwh Reading'!B30-'Kwh Reading'!B29)*1000000</f>
        <v>1200.0000000000898</v>
      </c>
      <c r="M29" s="2">
        <f>('Kwh Reading'!M30-'Kwh Reading'!M29)*1000</f>
        <v>629.99999999999545</v>
      </c>
      <c r="N29" s="2">
        <f>('Kwh Reading'!H30-'Kwh Reading'!H29)*1000</f>
        <v>799.99999999995453</v>
      </c>
      <c r="O29" s="2">
        <f>('Kwh Reading'!P30-'Kwh Reading'!P29)*1000</f>
        <v>1399.9999999999773</v>
      </c>
      <c r="P29" s="2">
        <f>('Kwh Reading'!G30-'Kwh Reading'!G29)*1000</f>
        <v>910.00000000008185</v>
      </c>
      <c r="Q29" s="2">
        <f>('Kwh Reading'!Q30-'Kwh Reading'!Q29)*1000</f>
        <v>779.99999999997272</v>
      </c>
      <c r="R29" s="2">
        <f>('Kwh Reading'!N30-'Kwh Reading'!N29)*1000</f>
        <v>829.99999999992724</v>
      </c>
      <c r="S29" s="2">
        <f>'Kwh Reading'!E30-'Kwh Reading'!E29</f>
        <v>2815.5800000000745</v>
      </c>
      <c r="T29" s="2">
        <f>'Kwh Reading'!D30-'Kwh Reading'!D29</f>
        <v>2240.8499999996275</v>
      </c>
      <c r="U29" s="27">
        <f>('Kwh Reading'!O30-'Kwh Reading'!O29)*1000</f>
        <v>239.99999999998067</v>
      </c>
      <c r="V29" s="16">
        <f t="shared" si="1"/>
        <v>5603.5700000004144</v>
      </c>
    </row>
    <row r="30" spans="1:22" x14ac:dyDescent="0.25">
      <c r="A30" s="3">
        <f>'Kwh Reading'!A30</f>
        <v>44496</v>
      </c>
      <c r="B30" s="26">
        <f>TOTAL!E28</f>
        <v>22250</v>
      </c>
      <c r="C30" s="4">
        <f>('Kwh Reading'!T31-'Kwh Reading'!T30)*1000</f>
        <v>529.99999999997272</v>
      </c>
      <c r="D30" s="2">
        <f>('Kwh Reading'!F31-'Kwh Reading'!F30)*1000000</f>
        <v>2699.9999999999245</v>
      </c>
      <c r="E30" s="2">
        <f>('Kwh Reading'!C31-'Kwh Reading'!C30)*1000</f>
        <v>269.99999999998181</v>
      </c>
      <c r="F30" s="2">
        <f>('Kwh Reading'!J31-'Kwh Reading'!J30)*1000</f>
        <v>500</v>
      </c>
      <c r="G30" s="2">
        <f>('Kwh Reading'!K31-'Kwh Reading'!K30)*1000</f>
        <v>350.00000000002274</v>
      </c>
      <c r="H30" s="2">
        <f>('Kwh Reading'!L31-'Kwh Reading'!L30)*1000</f>
        <v>230.00000000001819</v>
      </c>
      <c r="I30" s="2">
        <f>('Kwh Reading'!R31-'Kwh Reading'!R30)*1000</f>
        <v>250</v>
      </c>
      <c r="J30" s="2">
        <f>('Kwh Reading'!S31-'Kwh Reading'!S30)*1000</f>
        <v>120.00000000000455</v>
      </c>
      <c r="K30" s="2">
        <f>('Kwh Reading'!I31-'Kwh Reading'!I30)*1000</f>
        <v>219.99999999997044</v>
      </c>
      <c r="L30" s="2">
        <f>('Kwh Reading'!B31-'Kwh Reading'!B30)*1000000</f>
        <v>1199.9999999998679</v>
      </c>
      <c r="M30" s="2">
        <f>('Kwh Reading'!M31-'Kwh Reading'!M30)*1000</f>
        <v>649.99999999997726</v>
      </c>
      <c r="N30" s="2">
        <f>('Kwh Reading'!H31-'Kwh Reading'!H30)*1000</f>
        <v>720.00000000002728</v>
      </c>
      <c r="O30" s="2">
        <f>('Kwh Reading'!P31-'Kwh Reading'!P30)*1000</f>
        <v>850.00000000002274</v>
      </c>
      <c r="P30" s="2">
        <f>('Kwh Reading'!G31-'Kwh Reading'!G30)*1000</f>
        <v>879.99999999999545</v>
      </c>
      <c r="Q30" s="2">
        <f>('Kwh Reading'!Q31-'Kwh Reading'!Q30)*1000</f>
        <v>699.99999999993179</v>
      </c>
      <c r="R30" s="2">
        <f>('Kwh Reading'!N31-'Kwh Reading'!N30)*1000</f>
        <v>820.00000000005002</v>
      </c>
      <c r="S30" s="2">
        <f>'Kwh Reading'!E31-'Kwh Reading'!E30</f>
        <v>2635.3000000007451</v>
      </c>
      <c r="T30" s="2">
        <f>'Kwh Reading'!D31-'Kwh Reading'!D30</f>
        <v>2218.660000000149</v>
      </c>
      <c r="U30" s="27">
        <f>('Kwh Reading'!O31-'Kwh Reading'!O30)*1000</f>
        <v>230.00000000001819</v>
      </c>
      <c r="V30" s="16">
        <f t="shared" si="1"/>
        <v>6176.0399999993206</v>
      </c>
    </row>
    <row r="31" spans="1:22" x14ac:dyDescent="0.25">
      <c r="A31" s="3">
        <f>'Kwh Reading'!A31</f>
        <v>44497</v>
      </c>
      <c r="B31" s="26">
        <f>TOTAL!E29</f>
        <v>23330</v>
      </c>
      <c r="C31" s="4">
        <f>('Kwh Reading'!T32-'Kwh Reading'!T31)*1000</f>
        <v>449.99999999998863</v>
      </c>
      <c r="D31" s="2">
        <f>('Kwh Reading'!F32-'Kwh Reading'!F31)*1000000</f>
        <v>2699.9999999999245</v>
      </c>
      <c r="E31" s="2">
        <f>('Kwh Reading'!C32-'Kwh Reading'!C31)*1000</f>
        <v>259.99999999999091</v>
      </c>
      <c r="F31" s="2">
        <f>('Kwh Reading'!J32-'Kwh Reading'!J31)*1000</f>
        <v>490.00000000000909</v>
      </c>
      <c r="G31" s="2">
        <f>('Kwh Reading'!K32-'Kwh Reading'!K31)*1000</f>
        <v>370.00000000000455</v>
      </c>
      <c r="H31" s="2">
        <f>('Kwh Reading'!L32-'Kwh Reading'!L31)*1000</f>
        <v>240.00000000000909</v>
      </c>
      <c r="I31" s="2">
        <f>('Kwh Reading'!R32-'Kwh Reading'!R31)*1000</f>
        <v>229.99999999998977</v>
      </c>
      <c r="J31" s="2">
        <f>('Kwh Reading'!S32-'Kwh Reading'!S31)*1000</f>
        <v>109.99999999998522</v>
      </c>
      <c r="K31" s="2">
        <f>('Kwh Reading'!I32-'Kwh Reading'!I31)*1000</f>
        <v>230.00000000001819</v>
      </c>
      <c r="L31" s="2">
        <f>('Kwh Reading'!B32-'Kwh Reading'!B31)*1000000</f>
        <v>1200.0000000000898</v>
      </c>
      <c r="M31" s="2">
        <f>('Kwh Reading'!M32-'Kwh Reading'!M31)*1000</f>
        <v>600.00000000002274</v>
      </c>
      <c r="N31" s="2">
        <f>('Kwh Reading'!H32-'Kwh Reading'!H31)*1000</f>
        <v>649.99999999997726</v>
      </c>
      <c r="O31" s="2">
        <f>('Kwh Reading'!P32-'Kwh Reading'!P31)*1000</f>
        <v>860.00000000001364</v>
      </c>
      <c r="P31" s="2">
        <f>('Kwh Reading'!G32-'Kwh Reading'!G31)*1000</f>
        <v>949.99999999993179</v>
      </c>
      <c r="Q31" s="2">
        <f>('Kwh Reading'!Q32-'Kwh Reading'!Q31)*1000</f>
        <v>830.00000000004093</v>
      </c>
      <c r="R31" s="2">
        <f>('Kwh Reading'!N32-'Kwh Reading'!N31)*1000</f>
        <v>899.99999999997726</v>
      </c>
      <c r="S31" s="2">
        <f>'Kwh Reading'!E32-'Kwh Reading'!E31</f>
        <v>2587</v>
      </c>
      <c r="T31" s="2">
        <f>'Kwh Reading'!D32-'Kwh Reading'!D31</f>
        <v>2211.5600000005215</v>
      </c>
      <c r="U31" s="27">
        <f>('Kwh Reading'!O32-'Kwh Reading'!O31)*1000</f>
        <v>219.99999999999886</v>
      </c>
      <c r="V31" s="16">
        <f t="shared" si="1"/>
        <v>7241.4399999995057</v>
      </c>
    </row>
    <row r="32" spans="1:22" x14ac:dyDescent="0.25">
      <c r="A32" s="3">
        <f>'Kwh Reading'!A32</f>
        <v>44498</v>
      </c>
      <c r="B32" s="26">
        <f>TOTAL!E30</f>
        <v>23740</v>
      </c>
      <c r="C32" s="4">
        <f>('Kwh Reading'!T33-'Kwh Reading'!T32)*1000</f>
        <v>270.00000000003865</v>
      </c>
      <c r="D32" s="2">
        <f>('Kwh Reading'!F33-'Kwh Reading'!F32)*1000000</f>
        <v>2699.9999999999245</v>
      </c>
      <c r="E32" s="2">
        <f>('Kwh Reading'!C33-'Kwh Reading'!C32)*1000</f>
        <v>269.99999999998181</v>
      </c>
      <c r="F32" s="2">
        <f>('Kwh Reading'!J33-'Kwh Reading'!J32)*1000</f>
        <v>459.99999999997954</v>
      </c>
      <c r="G32" s="2">
        <f>('Kwh Reading'!K33-'Kwh Reading'!K32)*1000</f>
        <v>360.00000000001364</v>
      </c>
      <c r="H32" s="2">
        <f>('Kwh Reading'!L33-'Kwh Reading'!L32)*1000</f>
        <v>209.99999999997954</v>
      </c>
      <c r="I32" s="2">
        <f>('Kwh Reading'!R33-'Kwh Reading'!R32)*1000</f>
        <v>270.00000000001023</v>
      </c>
      <c r="J32" s="2">
        <f>('Kwh Reading'!S33-'Kwh Reading'!S32)*1000</f>
        <v>120.00000000000455</v>
      </c>
      <c r="K32" s="2">
        <f>('Kwh Reading'!I33-'Kwh Reading'!I32)*1000</f>
        <v>240.00000000000909</v>
      </c>
      <c r="L32" s="2">
        <f>('Kwh Reading'!B33-'Kwh Reading'!B32)*1000000</f>
        <v>1300.0000000000789</v>
      </c>
      <c r="M32" s="2">
        <f>('Kwh Reading'!M33-'Kwh Reading'!M32)*1000</f>
        <v>649.99999999997726</v>
      </c>
      <c r="N32" s="2">
        <f>('Kwh Reading'!H33-'Kwh Reading'!H32)*1000</f>
        <v>690.00000000005457</v>
      </c>
      <c r="O32" s="2">
        <f>('Kwh Reading'!P33-'Kwh Reading'!P32)*1000</f>
        <v>850.00000000002274</v>
      </c>
      <c r="P32" s="2">
        <f>('Kwh Reading'!G33-'Kwh Reading'!G32)*1000</f>
        <v>1029.9999999999727</v>
      </c>
      <c r="Q32" s="2">
        <f>('Kwh Reading'!Q33-'Kwh Reading'!Q32)*1000</f>
        <v>840.00000000003183</v>
      </c>
      <c r="R32" s="2">
        <f>('Kwh Reading'!N33-'Kwh Reading'!N32)*1000</f>
        <v>930.00000000006366</v>
      </c>
      <c r="S32" s="2">
        <f>'Kwh Reading'!E33-'Kwh Reading'!E32</f>
        <v>2359.3099999986589</v>
      </c>
      <c r="T32" s="2">
        <f>'Kwh Reading'!D33-'Kwh Reading'!D32</f>
        <v>2072.1200000001118</v>
      </c>
      <c r="U32" s="27">
        <f>('Kwh Reading'!O33-'Kwh Reading'!O32)*1000</f>
        <v>219.99999999999886</v>
      </c>
      <c r="V32" s="16">
        <f t="shared" si="1"/>
        <v>7898.5700000010875</v>
      </c>
    </row>
    <row r="33" spans="1:22" x14ac:dyDescent="0.25">
      <c r="A33" s="3">
        <f>'Kwh Reading'!A33</f>
        <v>44499</v>
      </c>
      <c r="B33" s="26">
        <f>TOTAL!E31</f>
        <v>0</v>
      </c>
      <c r="C33" s="4">
        <f>('Kwh Reading'!T34-'Kwh Reading'!T33)*1000</f>
        <v>-476220</v>
      </c>
      <c r="D33" s="2">
        <f>('Kwh Reading'!F34-'Kwh Reading'!F33)*1000000</f>
        <v>-2676700</v>
      </c>
      <c r="E33" s="2">
        <f>('Kwh Reading'!C34-'Kwh Reading'!C33)*1000</f>
        <v>-259399.99999999997</v>
      </c>
      <c r="F33" s="2">
        <f>('Kwh Reading'!J34-'Kwh Reading'!J33)*1000</f>
        <v>-349620</v>
      </c>
      <c r="G33" s="2">
        <f>('Kwh Reading'!K34-'Kwh Reading'!K33)*1000</f>
        <v>-375290</v>
      </c>
      <c r="H33" s="2">
        <f>('Kwh Reading'!L34-'Kwh Reading'!L33)*1000</f>
        <v>-258209.99999999997</v>
      </c>
      <c r="I33" s="2">
        <f>('Kwh Reading'!R34-'Kwh Reading'!R33)*1000</f>
        <v>-188740</v>
      </c>
      <c r="J33" s="2">
        <f>('Kwh Reading'!S34-'Kwh Reading'!S33)*1000</f>
        <v>-129720</v>
      </c>
      <c r="K33" s="2">
        <f>('Kwh Reading'!I34-'Kwh Reading'!I33)*1000</f>
        <v>-271430</v>
      </c>
      <c r="L33" s="2">
        <f>('Kwh Reading'!B34-'Kwh Reading'!B33)*1000000</f>
        <v>-1140400</v>
      </c>
      <c r="M33" s="2">
        <f>('Kwh Reading'!M34-'Kwh Reading'!M33)*1000</f>
        <v>-610900</v>
      </c>
      <c r="N33" s="2">
        <f>('Kwh Reading'!H34-'Kwh Reading'!H33)*1000</f>
        <v>-695850</v>
      </c>
      <c r="O33" s="2">
        <f>('Kwh Reading'!P34-'Kwh Reading'!P33)*1000</f>
        <v>-736120</v>
      </c>
      <c r="P33" s="2">
        <f>('Kwh Reading'!G34-'Kwh Reading'!G33)*1000</f>
        <v>-848300</v>
      </c>
      <c r="Q33" s="2">
        <f>('Kwh Reading'!Q34-'Kwh Reading'!Q33)*1000</f>
        <v>-544230</v>
      </c>
      <c r="R33" s="2">
        <f>('Kwh Reading'!N34-'Kwh Reading'!N33)*1000</f>
        <v>-563320</v>
      </c>
      <c r="S33" s="2">
        <f>'Kwh Reading'!E34-'Kwh Reading'!E33</f>
        <v>-8545411.1199999992</v>
      </c>
      <c r="T33" s="2">
        <f>'Kwh Reading'!D34-'Kwh Reading'!D33</f>
        <v>-7757378.4000000004</v>
      </c>
      <c r="U33" s="27">
        <f>('Kwh Reading'!O34-'Kwh Reading'!O33)*1000</f>
        <v>-178460</v>
      </c>
      <c r="V33" s="16">
        <f t="shared" si="1"/>
        <v>26605699.519999996</v>
      </c>
    </row>
    <row r="34" spans="1:22" x14ac:dyDescent="0.25">
      <c r="A34" s="3">
        <f>'Kwh Reading'!A34</f>
        <v>44500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8" t="s">
        <v>52</v>
      </c>
      <c r="B35" s="77">
        <f>SUM(B4:B34)</f>
        <v>649820</v>
      </c>
      <c r="C35" s="73">
        <f t="shared" ref="C35" si="2">SUM(C4:C34)</f>
        <v>-463120</v>
      </c>
      <c r="D35" s="73">
        <f t="shared" ref="D35" si="3">SUM(D4:D34)</f>
        <v>-2601400</v>
      </c>
      <c r="E35" s="73">
        <f t="shared" ref="E35" si="4">SUM(E4:E34)</f>
        <v>-251990</v>
      </c>
      <c r="F35" s="73">
        <f t="shared" ref="F35" si="5">SUM(F4:F34)</f>
        <v>-340260</v>
      </c>
      <c r="G35" s="73">
        <f t="shared" ref="G35:U35" si="6">SUM(G4:G34)</f>
        <v>-366680</v>
      </c>
      <c r="H35" s="73">
        <f t="shared" si="6"/>
        <v>-252430</v>
      </c>
      <c r="I35" s="73">
        <f t="shared" si="6"/>
        <v>-181759.99999999997</v>
      </c>
      <c r="J35" s="73">
        <f t="shared" si="6"/>
        <v>-126270</v>
      </c>
      <c r="K35" s="73">
        <f t="shared" si="6"/>
        <v>-264149.99999999994</v>
      </c>
      <c r="L35" s="73">
        <f t="shared" si="6"/>
        <v>-1105299.9999999998</v>
      </c>
      <c r="M35" s="73">
        <f t="shared" si="6"/>
        <v>-589020</v>
      </c>
      <c r="N35" s="73">
        <f t="shared" si="6"/>
        <v>-673549.99999999988</v>
      </c>
      <c r="O35" s="73">
        <f t="shared" si="6"/>
        <v>-708430</v>
      </c>
      <c r="P35" s="73">
        <f t="shared" si="6"/>
        <v>-822810</v>
      </c>
      <c r="Q35" s="73">
        <f t="shared" si="6"/>
        <v>-523950</v>
      </c>
      <c r="R35" s="73">
        <f t="shared" si="6"/>
        <v>-539500</v>
      </c>
      <c r="S35" s="73">
        <f t="shared" si="6"/>
        <v>-8463720.8399999999</v>
      </c>
      <c r="T35" s="73">
        <f t="shared" si="6"/>
        <v>-7695259.3700000001</v>
      </c>
      <c r="U35" s="73">
        <f t="shared" si="6"/>
        <v>-171699.99999999997</v>
      </c>
      <c r="V35" s="73">
        <f>SUM(V4:V34)</f>
        <v>26791120.209999997</v>
      </c>
    </row>
    <row r="40" spans="1:22" x14ac:dyDescent="0.25">
      <c r="S40" s="79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1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44470</v>
      </c>
      <c r="B3" s="81">
        <f>TOTAL!E2</f>
        <v>19540</v>
      </c>
      <c r="C3" s="1">
        <f>'Kwh Consumption'!C4</f>
        <v>259.99999999999091</v>
      </c>
      <c r="D3" s="1">
        <f>'Kwh Consumption'!D4</f>
        <v>2299.9999999999686</v>
      </c>
      <c r="E3" s="1">
        <f>'Kwh Consumption'!E4</f>
        <v>239.99999999998067</v>
      </c>
      <c r="F3" s="1">
        <f>('Kwh Consumption'!F4+'Kwh Consumption'!G4+'Kwh Consumption'!H4)</f>
        <v>630.0000000000523</v>
      </c>
      <c r="G3" s="16">
        <f>('Kwh Consumption'!I4+'Kwh Consumption'!J4)</f>
        <v>360.00000000001364</v>
      </c>
      <c r="H3" s="1">
        <f>('Kwh Consumption'!K4+'Kwh Consumption'!L4)</f>
        <v>1430.000000000108</v>
      </c>
      <c r="I3" s="1">
        <f>('Kwh Consumption'!M4+'Kwh Consumption'!N4+'Kwh Consumption'!O4+'Kwh Consumption'!P4+'Kwh Consumption'!Q4+'Kwh Consumption'!R4)</f>
        <v>4130.0000000002228</v>
      </c>
      <c r="J3" s="1">
        <f>('Kwh Consumption'!S4+'Kwh Consumption'!T4)</f>
        <v>4111.8699999991804</v>
      </c>
      <c r="K3" s="1">
        <f>'Kwh Consumption'!U4</f>
        <v>210.00000000000796</v>
      </c>
      <c r="L3" s="31">
        <f t="shared" ref="L3:L33" si="0">B3-C3-D3-E3-F3-G3-H3-I3-J3-K3</f>
        <v>5868.130000000473</v>
      </c>
    </row>
    <row r="4" spans="1:12" x14ac:dyDescent="0.25">
      <c r="A4" s="14">
        <f>'Kwh Reading'!A5</f>
        <v>44471</v>
      </c>
      <c r="B4" s="81">
        <f>TOTAL!E3</f>
        <v>19840</v>
      </c>
      <c r="C4" s="1">
        <f>'Kwh Consumption'!C5</f>
        <v>480.00000000001819</v>
      </c>
      <c r="D4" s="1">
        <f>'Kwh Consumption'!D5</f>
        <v>2200.0000000002019</v>
      </c>
      <c r="E4" s="1">
        <f>'Kwh Consumption'!E5</f>
        <v>230.00000000001819</v>
      </c>
      <c r="F4" s="1">
        <f>('Kwh Consumption'!F5+'Kwh Consumption'!G5+'Kwh Consumption'!H5)</f>
        <v>589.99999999994657</v>
      </c>
      <c r="G4" s="16">
        <f>('Kwh Consumption'!I5+'Kwh Consumption'!J5)</f>
        <v>339.9999999999892</v>
      </c>
      <c r="H4" s="1">
        <f>('Kwh Consumption'!K5+'Kwh Consumption'!L5)</f>
        <v>1349.9999999998788</v>
      </c>
      <c r="I4" s="1">
        <f>('Kwh Consumption'!M5+'Kwh Consumption'!N5+'Kwh Consumption'!O5+'Kwh Consumption'!P5+'Kwh Consumption'!Q5+'Kwh Consumption'!R5)</f>
        <v>4409.9999999999682</v>
      </c>
      <c r="J4" s="1">
        <f>('Kwh Consumption'!S5+'Kwh Consumption'!T5)</f>
        <v>4682.6000000014901</v>
      </c>
      <c r="K4" s="1">
        <f>'Kwh Consumption'!U5</f>
        <v>200.00000000001705</v>
      </c>
      <c r="L4" s="31">
        <f t="shared" si="0"/>
        <v>5357.3999999984744</v>
      </c>
    </row>
    <row r="5" spans="1:12" x14ac:dyDescent="0.25">
      <c r="A5" s="14">
        <f>'Kwh Reading'!A6</f>
        <v>44472</v>
      </c>
      <c r="B5" s="81">
        <f>TOTAL!E4</f>
        <v>21430</v>
      </c>
      <c r="C5" s="1">
        <f>'Kwh Consumption'!C6</f>
        <v>469.99999999997044</v>
      </c>
      <c r="D5" s="1">
        <f>'Kwh Consumption'!D6</f>
        <v>2499.9999999999468</v>
      </c>
      <c r="E5" s="1">
        <f>'Kwh Consumption'!E6</f>
        <v>269.99999999998181</v>
      </c>
      <c r="F5" s="1">
        <f>('Kwh Consumption'!F6+'Kwh Consumption'!G6+'Kwh Consumption'!H6)</f>
        <v>630.00000000002387</v>
      </c>
      <c r="G5" s="16">
        <f>('Kwh Consumption'!I6+'Kwh Consumption'!J6)</f>
        <v>350.00000000002274</v>
      </c>
      <c r="H5" s="1">
        <f>('Kwh Consumption'!K6+'Kwh Consumption'!L6)</f>
        <v>1560.0000000000698</v>
      </c>
      <c r="I5" s="1">
        <f>('Kwh Consumption'!M6+'Kwh Consumption'!N6+'Kwh Consumption'!O6+'Kwh Consumption'!P6+'Kwh Consumption'!Q6+'Kwh Consumption'!R6)</f>
        <v>4769.9999999999818</v>
      </c>
      <c r="J5" s="1">
        <f>('Kwh Consumption'!S6+'Kwh Consumption'!T6)</f>
        <v>5076.519999999553</v>
      </c>
      <c r="K5" s="1">
        <f>'Kwh Consumption'!U6</f>
        <v>189.99999999999773</v>
      </c>
      <c r="L5" s="31">
        <f t="shared" si="0"/>
        <v>5613.4800000004525</v>
      </c>
    </row>
    <row r="6" spans="1:12" x14ac:dyDescent="0.25">
      <c r="A6" s="14">
        <f>'Kwh Reading'!A7</f>
        <v>44473</v>
      </c>
      <c r="B6" s="81">
        <f>TOTAL!E5</f>
        <v>20760</v>
      </c>
      <c r="C6" s="1">
        <f>'Kwh Consumption'!C7</f>
        <v>480.00000000001819</v>
      </c>
      <c r="D6" s="1">
        <f>'Kwh Consumption'!D7</f>
        <v>2399.9999999997358</v>
      </c>
      <c r="E6" s="1">
        <f>'Kwh Consumption'!E7</f>
        <v>219.99999999999886</v>
      </c>
      <c r="F6" s="1">
        <f>('Kwh Consumption'!F7+'Kwh Consumption'!G7+'Kwh Consumption'!H7)</f>
        <v>569.99999999993634</v>
      </c>
      <c r="G6" s="16">
        <f>('Kwh Consumption'!I7+'Kwh Consumption'!J7)</f>
        <v>359.99999999997101</v>
      </c>
      <c r="H6" s="1">
        <f>('Kwh Consumption'!K7+'Kwh Consumption'!L7)</f>
        <v>1470.0000000001285</v>
      </c>
      <c r="I6" s="1">
        <f>('Kwh Consumption'!M7+'Kwh Consumption'!N7+'Kwh Consumption'!O7+'Kwh Consumption'!P7+'Kwh Consumption'!Q7+'Kwh Consumption'!R7)</f>
        <v>4790.0000000000773</v>
      </c>
      <c r="J6" s="1">
        <f>('Kwh Consumption'!S7+'Kwh Consumption'!T7)</f>
        <v>5032.1199999991804</v>
      </c>
      <c r="K6" s="1">
        <f>'Kwh Consumption'!U7</f>
        <v>189.99999999999773</v>
      </c>
      <c r="L6" s="31">
        <f t="shared" si="0"/>
        <v>5247.880000000956</v>
      </c>
    </row>
    <row r="7" spans="1:12" x14ac:dyDescent="0.25">
      <c r="A7" s="14">
        <f>'Kwh Reading'!A8</f>
        <v>44474</v>
      </c>
      <c r="B7" s="81">
        <f>TOTAL!E6</f>
        <v>21430</v>
      </c>
      <c r="C7" s="1">
        <f>'Kwh Consumption'!C8</f>
        <v>449.99999999998863</v>
      </c>
      <c r="D7" s="1">
        <f>'Kwh Consumption'!D8</f>
        <v>2400.0000000001796</v>
      </c>
      <c r="E7" s="1">
        <f>'Kwh Consumption'!E8</f>
        <v>250</v>
      </c>
      <c r="F7" s="1">
        <f>('Kwh Consumption'!F8+'Kwh Consumption'!G8+'Kwh Consumption'!H8)</f>
        <v>610.00000000004206</v>
      </c>
      <c r="G7" s="16">
        <f>('Kwh Consumption'!I8+'Kwh Consumption'!J8)</f>
        <v>370.00000000000455</v>
      </c>
      <c r="H7" s="1">
        <f>('Kwh Consumption'!K8+'Kwh Consumption'!L8)</f>
        <v>1469.9999999998497</v>
      </c>
      <c r="I7" s="1">
        <f>('Kwh Consumption'!M8+'Kwh Consumption'!N8+'Kwh Consumption'!O8+'Kwh Consumption'!P8+'Kwh Consumption'!Q8+'Kwh Consumption'!R8)</f>
        <v>4359.9999999999</v>
      </c>
      <c r="J7" s="1">
        <f>('Kwh Consumption'!S8+'Kwh Consumption'!T8)</f>
        <v>5062.7200000006706</v>
      </c>
      <c r="K7" s="1">
        <f>'Kwh Consumption'!U8</f>
        <v>179.9999999999784</v>
      </c>
      <c r="L7" s="31">
        <f t="shared" si="0"/>
        <v>6277.2799999993877</v>
      </c>
    </row>
    <row r="8" spans="1:12" x14ac:dyDescent="0.25">
      <c r="A8" s="14">
        <f>'Kwh Reading'!A9</f>
        <v>44475</v>
      </c>
      <c r="B8" s="81">
        <f>TOTAL!E7</f>
        <v>21870</v>
      </c>
      <c r="C8" s="1">
        <f>'Kwh Consumption'!C9</f>
        <v>470.00000000002728</v>
      </c>
      <c r="D8" s="1">
        <f>'Kwh Consumption'!D9</f>
        <v>2499.9999999999468</v>
      </c>
      <c r="E8" s="1">
        <f>'Kwh Consumption'!E9</f>
        <v>240.00000000000909</v>
      </c>
      <c r="F8" s="1">
        <f>('Kwh Consumption'!F9+'Kwh Consumption'!G9+'Kwh Consumption'!H9)</f>
        <v>639.99999999995794</v>
      </c>
      <c r="G8" s="16">
        <f>('Kwh Consumption'!I9+'Kwh Consumption'!J9)</f>
        <v>380.00000000002387</v>
      </c>
      <c r="H8" s="1">
        <f>('Kwh Consumption'!K9+'Kwh Consumption'!L9)</f>
        <v>1470.0000000000716</v>
      </c>
      <c r="I8" s="1">
        <f>('Kwh Consumption'!M9+'Kwh Consumption'!N9+'Kwh Consumption'!O9+'Kwh Consumption'!P9+'Kwh Consumption'!Q9+'Kwh Consumption'!R9)</f>
        <v>4759.9999999998772</v>
      </c>
      <c r="J8" s="1">
        <f>('Kwh Consumption'!S9+'Kwh Consumption'!T9)</f>
        <v>5040.1599999992177</v>
      </c>
      <c r="K8" s="1">
        <f>'Kwh Consumption'!U9</f>
        <v>180.00000000000682</v>
      </c>
      <c r="L8" s="31">
        <f t="shared" si="0"/>
        <v>6189.8400000008587</v>
      </c>
    </row>
    <row r="9" spans="1:12" x14ac:dyDescent="0.25">
      <c r="A9" s="14">
        <f>'Kwh Reading'!A10</f>
        <v>44476</v>
      </c>
      <c r="B9" s="81">
        <f>TOTAL!E8</f>
        <v>20700</v>
      </c>
      <c r="C9" s="1">
        <f>'Kwh Consumption'!C10</f>
        <v>430.00000000000682</v>
      </c>
      <c r="D9" s="1">
        <f>'Kwh Consumption'!D10</f>
        <v>2400.0000000001796</v>
      </c>
      <c r="E9" s="1">
        <f>'Kwh Consumption'!E10</f>
        <v>240.00000000000909</v>
      </c>
      <c r="F9" s="1">
        <f>('Kwh Consumption'!F10+'Kwh Consumption'!G10+'Kwh Consumption'!H10)</f>
        <v>600.00000000005116</v>
      </c>
      <c r="G9" s="16">
        <f>('Kwh Consumption'!I10+'Kwh Consumption'!J10)</f>
        <v>309.99999999998806</v>
      </c>
      <c r="H9" s="1">
        <f>('Kwh Consumption'!K10+'Kwh Consumption'!L10)</f>
        <v>1559.9999999998477</v>
      </c>
      <c r="I9" s="1">
        <f>('Kwh Consumption'!M10+'Kwh Consumption'!N10+'Kwh Consumption'!O10+'Kwh Consumption'!P10+'Kwh Consumption'!Q10+'Kwh Consumption'!R10)</f>
        <v>4760.0000000001046</v>
      </c>
      <c r="J9" s="1">
        <f>('Kwh Consumption'!S10+'Kwh Consumption'!T10)</f>
        <v>4710.5800000000745</v>
      </c>
      <c r="K9" s="1">
        <f>'Kwh Consumption'!U10</f>
        <v>210.00000000000796</v>
      </c>
      <c r="L9" s="31">
        <f t="shared" si="0"/>
        <v>5479.4199999997281</v>
      </c>
    </row>
    <row r="10" spans="1:12" x14ac:dyDescent="0.25">
      <c r="A10" s="14">
        <f>'Kwh Reading'!A11</f>
        <v>44477</v>
      </c>
      <c r="B10" s="81">
        <f>TOTAL!E9</f>
        <v>21320</v>
      </c>
      <c r="C10" s="1">
        <f>'Kwh Consumption'!C11</f>
        <v>279.99999999997272</v>
      </c>
      <c r="D10" s="1">
        <f>'Kwh Consumption'!D11</f>
        <v>2599.9999999997135</v>
      </c>
      <c r="E10" s="1">
        <f>'Kwh Consumption'!E11</f>
        <v>299.99999999998295</v>
      </c>
      <c r="F10" s="1">
        <f>('Kwh Consumption'!F11+'Kwh Consumption'!G11+'Kwh Consumption'!H11)</f>
        <v>509.99999999999091</v>
      </c>
      <c r="G10" s="16">
        <f>('Kwh Consumption'!I11+'Kwh Consumption'!J11)</f>
        <v>369.99999999999034</v>
      </c>
      <c r="H10" s="1">
        <f>('Kwh Consumption'!K11+'Kwh Consumption'!L11)</f>
        <v>1670.0000000001064</v>
      </c>
      <c r="I10" s="1">
        <f>('Kwh Consumption'!M11+'Kwh Consumption'!N11+'Kwh Consumption'!O11+'Kwh Consumption'!P11+'Kwh Consumption'!Q11+'Kwh Consumption'!R11)</f>
        <v>4730.0000000000182</v>
      </c>
      <c r="J10" s="1">
        <f>('Kwh Consumption'!S11+'Kwh Consumption'!T11)</f>
        <v>4465.8400000017136</v>
      </c>
      <c r="K10" s="1">
        <f>'Kwh Consumption'!U11</f>
        <v>199.99999999998863</v>
      </c>
      <c r="L10" s="31">
        <f t="shared" si="0"/>
        <v>6194.1599999985265</v>
      </c>
    </row>
    <row r="11" spans="1:12" x14ac:dyDescent="0.25">
      <c r="A11" s="14">
        <f>'Kwh Reading'!A12</f>
        <v>44478</v>
      </c>
      <c r="B11" s="81">
        <f>TOTAL!E10</f>
        <v>23230</v>
      </c>
      <c r="C11" s="1">
        <f>'Kwh Consumption'!C12</f>
        <v>470.00000000002728</v>
      </c>
      <c r="D11" s="1">
        <f>'Kwh Consumption'!D12</f>
        <v>2800.0000000001355</v>
      </c>
      <c r="E11" s="1">
        <f>'Kwh Consumption'!E12</f>
        <v>250</v>
      </c>
      <c r="F11" s="1">
        <f>('Kwh Consumption'!F12+'Kwh Consumption'!G12+'Kwh Consumption'!H12)</f>
        <v>909.99999999999659</v>
      </c>
      <c r="G11" s="16">
        <f>('Kwh Consumption'!I12+'Kwh Consumption'!J12)</f>
        <v>370.00000000000455</v>
      </c>
      <c r="H11" s="1">
        <f>('Kwh Consumption'!K12+'Kwh Consumption'!L12)</f>
        <v>1680.0000000000405</v>
      </c>
      <c r="I11" s="1">
        <f>('Kwh Consumption'!M12+'Kwh Consumption'!N12+'Kwh Consumption'!O12+'Kwh Consumption'!P12+'Kwh Consumption'!Q12+'Kwh Consumption'!R12)</f>
        <v>5449.9999999999318</v>
      </c>
      <c r="J11" s="1">
        <f>('Kwh Consumption'!S12+'Kwh Consumption'!T12)</f>
        <v>5135.3599999984726</v>
      </c>
      <c r="K11" s="1">
        <f>'Kwh Consumption'!U12</f>
        <v>219.99999999999886</v>
      </c>
      <c r="L11" s="31">
        <f t="shared" si="0"/>
        <v>5944.6400000013937</v>
      </c>
    </row>
    <row r="12" spans="1:12" x14ac:dyDescent="0.25">
      <c r="A12" s="14">
        <f>'Kwh Reading'!A13</f>
        <v>44479</v>
      </c>
      <c r="B12" s="81">
        <f>TOTAL!E11</f>
        <v>20830</v>
      </c>
      <c r="C12" s="1">
        <f>'Kwh Consumption'!C13</f>
        <v>489.99999999995225</v>
      </c>
      <c r="D12" s="1">
        <f>'Kwh Consumption'!D13</f>
        <v>2200.0000000002019</v>
      </c>
      <c r="E12" s="1">
        <f>'Kwh Consumption'!E13</f>
        <v>200.00000000001705</v>
      </c>
      <c r="F12" s="1">
        <f>('Kwh Consumption'!F13+'Kwh Consumption'!G13+'Kwh Consumption'!H13)</f>
        <v>379.99999999996703</v>
      </c>
      <c r="G12" s="16">
        <f>('Kwh Consumption'!I13+'Kwh Consumption'!J13)</f>
        <v>329.99999999999829</v>
      </c>
      <c r="H12" s="1">
        <f>('Kwh Consumption'!K13+'Kwh Consumption'!L13)</f>
        <v>1459.9999999998588</v>
      </c>
      <c r="I12" s="1">
        <f>('Kwh Consumption'!M13+'Kwh Consumption'!N13+'Kwh Consumption'!O13+'Kwh Consumption'!P13+'Kwh Consumption'!Q13+'Kwh Consumption'!R13)</f>
        <v>4710.0000000000364</v>
      </c>
      <c r="J12" s="1">
        <f>('Kwh Consumption'!S13+'Kwh Consumption'!T13)</f>
        <v>4710.9600000008941</v>
      </c>
      <c r="K12" s="1">
        <f>'Kwh Consumption'!U13</f>
        <v>200.00000000001705</v>
      </c>
      <c r="L12" s="31">
        <f t="shared" si="0"/>
        <v>6149.0399999990559</v>
      </c>
    </row>
    <row r="13" spans="1:12" x14ac:dyDescent="0.25">
      <c r="A13" s="14">
        <f>'Kwh Reading'!A14</f>
        <v>44480</v>
      </c>
      <c r="B13" s="81">
        <f>TOTAL!E12</f>
        <v>22890</v>
      </c>
      <c r="C13" s="1">
        <f>'Kwh Consumption'!C14</f>
        <v>490.00000000000909</v>
      </c>
      <c r="D13" s="1">
        <f>'Kwh Consumption'!D14</f>
        <v>2699.9999999999245</v>
      </c>
      <c r="E13" s="1">
        <f>'Kwh Consumption'!E14</f>
        <v>229.99999999998977</v>
      </c>
      <c r="F13" s="1">
        <f>('Kwh Consumption'!F14+'Kwh Consumption'!G14+'Kwh Consumption'!H14)</f>
        <v>650.00000000003411</v>
      </c>
      <c r="G13" s="16">
        <f>('Kwh Consumption'!I14+'Kwh Consumption'!J14)</f>
        <v>360.00000000001364</v>
      </c>
      <c r="H13" s="1">
        <f>('Kwh Consumption'!K14+'Kwh Consumption'!L14)</f>
        <v>1560.0000000000698</v>
      </c>
      <c r="I13" s="1">
        <f>('Kwh Consumption'!M14+'Kwh Consumption'!N14+'Kwh Consumption'!O14+'Kwh Consumption'!P14+'Kwh Consumption'!Q14+'Kwh Consumption'!R14)</f>
        <v>5009.9999999998772</v>
      </c>
      <c r="J13" s="1">
        <f>('Kwh Consumption'!S14+'Kwh Consumption'!T14)</f>
        <v>5189.9799999985844</v>
      </c>
      <c r="K13" s="1">
        <f>'Kwh Consumption'!U14</f>
        <v>259.99999999999091</v>
      </c>
      <c r="L13" s="31">
        <f t="shared" si="0"/>
        <v>6440.020000001512</v>
      </c>
    </row>
    <row r="14" spans="1:12" x14ac:dyDescent="0.25">
      <c r="A14" s="14">
        <f>'Kwh Reading'!A15</f>
        <v>44481</v>
      </c>
      <c r="B14" s="81">
        <f>TOTAL!E13</f>
        <v>22970</v>
      </c>
      <c r="C14" s="1">
        <f>'Kwh Consumption'!C15</f>
        <v>509.99999999999091</v>
      </c>
      <c r="D14" s="1">
        <f>'Kwh Consumption'!D15</f>
        <v>2499.9999999999468</v>
      </c>
      <c r="E14" s="1">
        <f>'Kwh Consumption'!E15</f>
        <v>259.99999999999091</v>
      </c>
      <c r="F14" s="1">
        <f>('Kwh Consumption'!F15+'Kwh Consumption'!G15+'Kwh Consumption'!H15)</f>
        <v>709.99999999997954</v>
      </c>
      <c r="G14" s="16">
        <f>('Kwh Consumption'!I15+'Kwh Consumption'!J15)</f>
        <v>290.00000000000625</v>
      </c>
      <c r="H14" s="1">
        <f>('Kwh Consumption'!K15+'Kwh Consumption'!L15)</f>
        <v>1580.0000000001085</v>
      </c>
      <c r="I14" s="1">
        <f>('Kwh Consumption'!M15+'Kwh Consumption'!N15+'Kwh Consumption'!O15+'Kwh Consumption'!P15+'Kwh Consumption'!Q15+'Kwh Consumption'!R15)</f>
        <v>5120.0000000001182</v>
      </c>
      <c r="J14" s="1">
        <f>('Kwh Consumption'!S15+'Kwh Consumption'!T15)</f>
        <v>5250.480000000447</v>
      </c>
      <c r="K14" s="1">
        <f>'Kwh Consumption'!U15</f>
        <v>270.00000000001023</v>
      </c>
      <c r="L14" s="31">
        <f t="shared" si="0"/>
        <v>6479.5199999994029</v>
      </c>
    </row>
    <row r="15" spans="1:12" x14ac:dyDescent="0.25">
      <c r="A15" s="14">
        <f>'Kwh Reading'!A16</f>
        <v>44482</v>
      </c>
      <c r="B15" s="81">
        <f>TOTAL!E14</f>
        <v>22000</v>
      </c>
      <c r="C15" s="1">
        <f>'Kwh Consumption'!C16</f>
        <v>500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669.99999999998749</v>
      </c>
      <c r="G15" s="16">
        <f>('Kwh Consumption'!I16+'Kwh Consumption'!J16)</f>
        <v>359.99999999998522</v>
      </c>
      <c r="H15" s="1">
        <f>('Kwh Consumption'!K16+'Kwh Consumption'!L16)</f>
        <v>1479.9999999998406</v>
      </c>
      <c r="I15" s="1">
        <f>('Kwh Consumption'!M16+'Kwh Consumption'!N16+'Kwh Consumption'!O16+'Kwh Consumption'!P16+'Kwh Consumption'!Q16+'Kwh Consumption'!R16)</f>
        <v>4909.9999999998545</v>
      </c>
      <c r="J15" s="1">
        <f>('Kwh Consumption'!S16+'Kwh Consumption'!T16)</f>
        <v>5116.8100000014529</v>
      </c>
      <c r="K15" s="1">
        <f>'Kwh Consumption'!U16</f>
        <v>299.99999999998295</v>
      </c>
      <c r="L15" s="31">
        <f t="shared" si="0"/>
        <v>5823.1899999987281</v>
      </c>
    </row>
    <row r="16" spans="1:12" x14ac:dyDescent="0.25">
      <c r="A16" s="14">
        <f>'Kwh Reading'!A17</f>
        <v>44483</v>
      </c>
      <c r="B16" s="81">
        <f>TOTAL!E15</f>
        <v>24320</v>
      </c>
      <c r="C16" s="1">
        <f>'Kwh Consumption'!C17</f>
        <v>470.00000000002728</v>
      </c>
      <c r="D16" s="1">
        <f>'Kwh Consumption'!D17</f>
        <v>2599.9999999997135</v>
      </c>
      <c r="E16" s="1">
        <f>'Kwh Consumption'!E17</f>
        <v>240.00000000000909</v>
      </c>
      <c r="F16" s="1">
        <f>('Kwh Consumption'!F17+'Kwh Consumption'!G17+'Kwh Consumption'!H17)</f>
        <v>780.00000000005798</v>
      </c>
      <c r="G16" s="16">
        <f>('Kwh Consumption'!I17+'Kwh Consumption'!J17)</f>
        <v>359.99999999999943</v>
      </c>
      <c r="H16" s="1">
        <f>('Kwh Consumption'!K17+'Kwh Consumption'!L17)</f>
        <v>1600.0000000000903</v>
      </c>
      <c r="I16" s="1">
        <f>('Kwh Consumption'!M17+'Kwh Consumption'!N17+'Kwh Consumption'!O17+'Kwh Consumption'!P17+'Kwh Consumption'!Q17+'Kwh Consumption'!R17)</f>
        <v>5620.0000000002319</v>
      </c>
      <c r="J16" s="1">
        <f>('Kwh Consumption'!S17+'Kwh Consumption'!T17)</f>
        <v>5837.5399999991059</v>
      </c>
      <c r="K16" s="1">
        <f>'Kwh Consumption'!U17</f>
        <v>280.00000000000114</v>
      </c>
      <c r="L16" s="31">
        <f t="shared" si="0"/>
        <v>6532.4600000007586</v>
      </c>
    </row>
    <row r="17" spans="1:12" x14ac:dyDescent="0.25">
      <c r="A17" s="14">
        <f>'Kwh Reading'!A18</f>
        <v>44484</v>
      </c>
      <c r="B17" s="81">
        <f>TOTAL!E16</f>
        <v>24410</v>
      </c>
      <c r="C17" s="1">
        <f>'Kwh Consumption'!C18</f>
        <v>290.00000000002046</v>
      </c>
      <c r="D17" s="1">
        <f>'Kwh Consumption'!D18</f>
        <v>2699.9999999999245</v>
      </c>
      <c r="E17" s="1">
        <f>'Kwh Consumption'!E18</f>
        <v>289.99999999999204</v>
      </c>
      <c r="F17" s="1">
        <f>('Kwh Consumption'!F18+'Kwh Consumption'!G18+'Kwh Consumption'!H18)</f>
        <v>639.99999999992951</v>
      </c>
      <c r="G17" s="16">
        <f>('Kwh Consumption'!I18+'Kwh Consumption'!J18)</f>
        <v>340.00000000000341</v>
      </c>
      <c r="H17" s="1">
        <f>('Kwh Consumption'!K18+'Kwh Consumption'!L18)</f>
        <v>2310.0000000000041</v>
      </c>
      <c r="I17" s="1">
        <f>('Kwh Consumption'!M18+'Kwh Consumption'!N18+'Kwh Consumption'!O18+'Kwh Consumption'!P18+'Kwh Consumption'!Q18+'Kwh Consumption'!R18)</f>
        <v>5879.9999999998818</v>
      </c>
      <c r="J17" s="1">
        <f>('Kwh Consumption'!S18+'Kwh Consumption'!T18)</f>
        <v>5632.6700000008568</v>
      </c>
      <c r="K17" s="30">
        <f>'Kwh Consumption'!U18</f>
        <v>300.00000000001137</v>
      </c>
      <c r="L17" s="31">
        <f t="shared" si="0"/>
        <v>6027.3299999993742</v>
      </c>
    </row>
    <row r="18" spans="1:12" x14ac:dyDescent="0.25">
      <c r="A18" s="14">
        <f>'Kwh Reading'!A19</f>
        <v>44485</v>
      </c>
      <c r="B18" s="81">
        <f>TOTAL!E17</f>
        <v>23420</v>
      </c>
      <c r="C18" s="1">
        <f>'Kwh Consumption'!C19</f>
        <v>489.99999999995225</v>
      </c>
      <c r="D18" s="1">
        <f>'Kwh Consumption'!D19</f>
        <v>2900.0000000003465</v>
      </c>
      <c r="E18" s="1">
        <f>'Kwh Consumption'!E19</f>
        <v>289.99999999999204</v>
      </c>
      <c r="F18" s="1">
        <f>('Kwh Consumption'!F19+'Kwh Consumption'!G19+'Kwh Consumption'!H19)</f>
        <v>1080.0000000000409</v>
      </c>
      <c r="G18" s="16">
        <f>('Kwh Consumption'!I19+'Kwh Consumption'!J19)</f>
        <v>370.00000000000455</v>
      </c>
      <c r="H18" s="1">
        <f>('Kwh Consumption'!K19+'Kwh Consumption'!L19)</f>
        <v>649.99999999995589</v>
      </c>
      <c r="I18" s="1">
        <f>('Kwh Consumption'!M19+'Kwh Consumption'!N19+'Kwh Consumption'!O19+'Kwh Consumption'!P19+'Kwh Consumption'!Q19+'Kwh Consumption'!R19)</f>
        <v>5610.0000000000136</v>
      </c>
      <c r="J18" s="1">
        <f>('Kwh Consumption'!S19+'Kwh Consumption'!T19)</f>
        <v>5878.7599999988452</v>
      </c>
      <c r="K18" s="30">
        <f>'Kwh Consumption'!U19</f>
        <v>299.99999999998295</v>
      </c>
      <c r="L18" s="31">
        <f t="shared" si="0"/>
        <v>5851.2400000008665</v>
      </c>
    </row>
    <row r="19" spans="1:12" x14ac:dyDescent="0.25">
      <c r="A19" s="14">
        <f>'Kwh Reading'!A20</f>
        <v>44486</v>
      </c>
      <c r="B19" s="81">
        <f>TOTAL!E18</f>
        <v>19680</v>
      </c>
      <c r="C19" s="1">
        <f>'Kwh Consumption'!C20</f>
        <v>490.00000000000909</v>
      </c>
      <c r="D19" s="1">
        <f>'Kwh Consumption'!D20</f>
        <v>2499.9999999999468</v>
      </c>
      <c r="E19" s="1">
        <f>'Kwh Consumption'!E20</f>
        <v>240.00000000003752</v>
      </c>
      <c r="F19" s="1">
        <f>('Kwh Consumption'!F20+'Kwh Consumption'!G20+'Kwh Consumption'!H20)</f>
        <v>699.99999999998863</v>
      </c>
      <c r="G19" s="16">
        <f>('Kwh Consumption'!I20+'Kwh Consumption'!J20)</f>
        <v>359.99999999998522</v>
      </c>
      <c r="H19" s="1">
        <f>('Kwh Consumption'!K20+'Kwh Consumption'!L20)</f>
        <v>1140.0000000001319</v>
      </c>
      <c r="I19" s="1">
        <f>('Kwh Consumption'!M20+'Kwh Consumption'!N20+'Kwh Consumption'!O20+'Kwh Consumption'!P20+'Kwh Consumption'!Q20+'Kwh Consumption'!R20)</f>
        <v>4169.9999999999591</v>
      </c>
      <c r="J19" s="1">
        <f>('Kwh Consumption'!S20+'Kwh Consumption'!T20)</f>
        <v>4020.3100000005215</v>
      </c>
      <c r="K19" s="1">
        <f>'Kwh Consumption'!U20</f>
        <v>260.00000000001933</v>
      </c>
      <c r="L19" s="31">
        <f t="shared" si="0"/>
        <v>5799.6899999994048</v>
      </c>
    </row>
    <row r="20" spans="1:12" x14ac:dyDescent="0.25">
      <c r="A20" s="14">
        <f>'Kwh Reading'!A21</f>
        <v>44487</v>
      </c>
      <c r="B20" s="81">
        <f>TOTAL!E19</f>
        <v>19530</v>
      </c>
      <c r="C20" s="1">
        <f>'Kwh Consumption'!C21</f>
        <v>449.99999999998863</v>
      </c>
      <c r="D20" s="1">
        <f>'Kwh Consumption'!D21</f>
        <v>2599.9999999997135</v>
      </c>
      <c r="E20" s="1">
        <f>'Kwh Consumption'!E21</f>
        <v>269.99999999998181</v>
      </c>
      <c r="F20" s="1">
        <f>('Kwh Consumption'!F21+'Kwh Consumption'!G21+'Kwh Consumption'!H21)</f>
        <v>879.99999999999545</v>
      </c>
      <c r="G20" s="16">
        <f>('Kwh Consumption'!I21+'Kwh Consumption'!J21)</f>
        <v>370.00000000000455</v>
      </c>
      <c r="H20" s="1">
        <f>('Kwh Consumption'!K21+'Kwh Consumption'!L21)</f>
        <v>1099.9999999998895</v>
      </c>
      <c r="I20" s="1">
        <f>('Kwh Consumption'!M21+'Kwh Consumption'!N21+'Kwh Consumption'!O21+'Kwh Consumption'!P21+'Kwh Consumption'!Q21+'Kwh Consumption'!R21)</f>
        <v>3850.0000000000227</v>
      </c>
      <c r="J20" s="1">
        <f>('Kwh Consumption'!S21+'Kwh Consumption'!T21)</f>
        <v>4033.929999999702</v>
      </c>
      <c r="K20" s="1">
        <f>'Kwh Consumption'!U21</f>
        <v>259.99999999999091</v>
      </c>
      <c r="L20" s="31">
        <f t="shared" si="0"/>
        <v>5716.0700000007109</v>
      </c>
    </row>
    <row r="21" spans="1:12" x14ac:dyDescent="0.25">
      <c r="A21" s="14">
        <f>'Kwh Reading'!A22</f>
        <v>44488</v>
      </c>
      <c r="B21" s="81">
        <f>TOTAL!E20</f>
        <v>22290</v>
      </c>
      <c r="C21" s="1">
        <f>'Kwh Consumption'!C22</f>
        <v>510.00000000004775</v>
      </c>
      <c r="D21" s="1">
        <f>'Kwh Consumption'!D22</f>
        <v>2700.0000000003688</v>
      </c>
      <c r="E21" s="1">
        <f>'Kwh Consumption'!E22</f>
        <v>269.99999999998181</v>
      </c>
      <c r="F21" s="1">
        <f>('Kwh Consumption'!F22+'Kwh Consumption'!G22+'Kwh Consumption'!H22)</f>
        <v>1090.0000000000034</v>
      </c>
      <c r="G21" s="16">
        <f>('Kwh Consumption'!I22+'Kwh Consumption'!J22)</f>
        <v>400.00000000000568</v>
      </c>
      <c r="H21" s="1">
        <f>('Kwh Consumption'!K22+'Kwh Consumption'!L22)</f>
        <v>1450.0000000000898</v>
      </c>
      <c r="I21" s="1">
        <f>('Kwh Consumption'!M22+'Kwh Consumption'!N22+'Kwh Consumption'!O22+'Kwh Consumption'!P22+'Kwh Consumption'!Q22+'Kwh Consumption'!R22)</f>
        <v>4929.9999999998363</v>
      </c>
      <c r="J21" s="1">
        <f>('Kwh Consumption'!S22+'Kwh Consumption'!T22)</f>
        <v>5516.570000000298</v>
      </c>
      <c r="K21" s="1">
        <f>'Kwh Consumption'!U22</f>
        <v>250</v>
      </c>
      <c r="L21" s="31">
        <f t="shared" si="0"/>
        <v>5173.4299999993691</v>
      </c>
    </row>
    <row r="22" spans="1:12" x14ac:dyDescent="0.25">
      <c r="A22" s="14">
        <f>'Kwh Reading'!A23</f>
        <v>44489</v>
      </c>
      <c r="B22" s="81">
        <f>TOTAL!E21</f>
        <v>24240</v>
      </c>
      <c r="C22" s="1">
        <f>'Kwh Consumption'!C23</f>
        <v>519.99999999998181</v>
      </c>
      <c r="D22" s="1">
        <f>'Kwh Consumption'!D23</f>
        <v>2799.9999999996917</v>
      </c>
      <c r="E22" s="1">
        <f>'Kwh Consumption'!E23</f>
        <v>259.99999999999091</v>
      </c>
      <c r="F22" s="1">
        <f>('Kwh Consumption'!F23+'Kwh Consumption'!G23+'Kwh Consumption'!H23)</f>
        <v>1070.00000000005</v>
      </c>
      <c r="G22" s="16">
        <f>('Kwh Consumption'!I23+'Kwh Consumption'!J23)</f>
        <v>390.00000000001478</v>
      </c>
      <c r="H22" s="1">
        <f>('Kwh Consumption'!K23+'Kwh Consumption'!L23)</f>
        <v>1339.9999999998879</v>
      </c>
      <c r="I22" s="1">
        <f>('Kwh Consumption'!M23+'Kwh Consumption'!N23+'Kwh Consumption'!O23+'Kwh Consumption'!P23+'Kwh Consumption'!Q23+'Kwh Consumption'!R23)</f>
        <v>4860.000000000241</v>
      </c>
      <c r="J22" s="1">
        <f>('Kwh Consumption'!S23+'Kwh Consumption'!T23)</f>
        <v>5467.089999999851</v>
      </c>
      <c r="K22" s="1">
        <f>'Kwh Consumption'!U23</f>
        <v>250</v>
      </c>
      <c r="L22" s="31">
        <f t="shared" si="0"/>
        <v>7282.9100000002909</v>
      </c>
    </row>
    <row r="23" spans="1:12" x14ac:dyDescent="0.25">
      <c r="A23" s="14">
        <f>'Kwh Reading'!A24</f>
        <v>44490</v>
      </c>
      <c r="B23" s="81">
        <f>TOTAL!E22</f>
        <v>22790</v>
      </c>
      <c r="C23" s="1">
        <f>'Kwh Consumption'!C24</f>
        <v>500</v>
      </c>
      <c r="D23" s="1">
        <f>'Kwh Consumption'!D24</f>
        <v>2699.9999999999245</v>
      </c>
      <c r="E23" s="1">
        <f>'Kwh Consumption'!E24</f>
        <v>270.00000000003865</v>
      </c>
      <c r="F23" s="1">
        <f>('Kwh Consumption'!F24+'Kwh Consumption'!G24+'Kwh Consumption'!H24)</f>
        <v>1060.0000000000023</v>
      </c>
      <c r="G23" s="16">
        <f>('Kwh Consumption'!I24+'Kwh Consumption'!J24)</f>
        <v>349.99999999999432</v>
      </c>
      <c r="H23" s="1">
        <f>('Kwh Consumption'!K24+'Kwh Consumption'!L24)</f>
        <v>1520.0000000001062</v>
      </c>
      <c r="I23" s="1">
        <f>('Kwh Consumption'!M24+'Kwh Consumption'!N24+'Kwh Consumption'!O24+'Kwh Consumption'!P24+'Kwh Consumption'!Q24+'Kwh Consumption'!R24)</f>
        <v>4929.99999999995</v>
      </c>
      <c r="J23" s="1">
        <f>('Kwh Consumption'!S24+'Kwh Consumption'!T24)</f>
        <v>5053.4699999997392</v>
      </c>
      <c r="K23" s="1">
        <f>'Kwh Consumption'!U24</f>
        <v>210.00000000000796</v>
      </c>
      <c r="L23" s="31">
        <f t="shared" si="0"/>
        <v>6196.530000000238</v>
      </c>
    </row>
    <row r="24" spans="1:12" x14ac:dyDescent="0.25">
      <c r="A24" s="14">
        <f>'Kwh Reading'!A25</f>
        <v>44491</v>
      </c>
      <c r="B24" s="81">
        <f>TOTAL!E23</f>
        <v>22510</v>
      </c>
      <c r="C24" s="1">
        <f>'Kwh Consumption'!C25</f>
        <v>300.00000000001137</v>
      </c>
      <c r="D24" s="1">
        <f>'Kwh Consumption'!D25</f>
        <v>2700.0000000003688</v>
      </c>
      <c r="E24" s="1">
        <f>'Kwh Consumption'!E25</f>
        <v>259.99999999999091</v>
      </c>
      <c r="F24" s="1">
        <f>('Kwh Consumption'!F25+'Kwh Consumption'!G25+'Kwh Consumption'!H25)</f>
        <v>1049.9999999999545</v>
      </c>
      <c r="G24" s="16">
        <f>('Kwh Consumption'!I25+'Kwh Consumption'!J25)</f>
        <v>359.99999999998522</v>
      </c>
      <c r="H24" s="1">
        <f>('Kwh Consumption'!K25+'Kwh Consumption'!L25)</f>
        <v>1409.9999999998474</v>
      </c>
      <c r="I24" s="1">
        <f>('Kwh Consumption'!M25+'Kwh Consumption'!N25+'Kwh Consumption'!O25+'Kwh Consumption'!P25+'Kwh Consumption'!Q25+'Kwh Consumption'!R25)</f>
        <v>4789.9999999999636</v>
      </c>
      <c r="J24" s="1">
        <f>('Kwh Consumption'!S25+'Kwh Consumption'!T25)</f>
        <v>4360.1000000005588</v>
      </c>
      <c r="K24" s="1">
        <f>'Kwh Consumption'!U25</f>
        <v>229.99999999998977</v>
      </c>
      <c r="L24" s="31">
        <f t="shared" si="0"/>
        <v>7049.8999999993275</v>
      </c>
    </row>
    <row r="25" spans="1:12" x14ac:dyDescent="0.25">
      <c r="A25" s="14">
        <f>'Kwh Reading'!A26</f>
        <v>44492</v>
      </c>
      <c r="B25" s="81">
        <f>TOTAL!E24</f>
        <v>23430</v>
      </c>
      <c r="C25" s="1">
        <f>'Kwh Consumption'!C26</f>
        <v>469.99999999997044</v>
      </c>
      <c r="D25" s="1">
        <f>'Kwh Consumption'!D26</f>
        <v>2699.9999999999245</v>
      </c>
      <c r="E25" s="1">
        <f>'Kwh Consumption'!E26</f>
        <v>269.99999999998181</v>
      </c>
      <c r="F25" s="1">
        <f>('Kwh Consumption'!F26+'Kwh Consumption'!G26+'Kwh Consumption'!H26)</f>
        <v>920.00000000001592</v>
      </c>
      <c r="G25" s="16">
        <f>('Kwh Consumption'!I26+'Kwh Consumption'!J26)</f>
        <v>359.99999999998522</v>
      </c>
      <c r="H25" s="1">
        <f>('Kwh Consumption'!K26+'Kwh Consumption'!L26)</f>
        <v>1510.0000000000584</v>
      </c>
      <c r="I25" s="1">
        <f>('Kwh Consumption'!M26+'Kwh Consumption'!N26+'Kwh Consumption'!O26+'Kwh Consumption'!P26+'Kwh Consumption'!Q26+'Kwh Consumption'!R26)</f>
        <v>4920.0000000000728</v>
      </c>
      <c r="J25" s="1">
        <f>('Kwh Consumption'!S26+'Kwh Consumption'!T26)</f>
        <v>-6964843.0500000007</v>
      </c>
      <c r="K25" s="1">
        <f>'Kwh Consumption'!U26</f>
        <v>200.00000000001705</v>
      </c>
      <c r="L25" s="31">
        <f t="shared" si="0"/>
        <v>6976923.0500000007</v>
      </c>
    </row>
    <row r="26" spans="1:12" x14ac:dyDescent="0.25">
      <c r="A26" s="14">
        <f>'Kwh Reading'!A27</f>
        <v>44493</v>
      </c>
      <c r="B26" s="81">
        <f>TOTAL!E25</f>
        <v>23450</v>
      </c>
      <c r="C26" s="1">
        <f>'Kwh Consumption'!C27</f>
        <v>550.00000000001137</v>
      </c>
      <c r="D26" s="1">
        <f>'Kwh Consumption'!D27</f>
        <v>2799.9999999996917</v>
      </c>
      <c r="E26" s="1">
        <f>'Kwh Consumption'!E27</f>
        <v>269.99999999998181</v>
      </c>
      <c r="F26" s="1">
        <f>('Kwh Consumption'!F27+'Kwh Consumption'!G27+'Kwh Consumption'!H27)</f>
        <v>990.00000000000909</v>
      </c>
      <c r="G26" s="16">
        <f>('Kwh Consumption'!I27+'Kwh Consumption'!J27)</f>
        <v>360.00000000001364</v>
      </c>
      <c r="H26" s="1">
        <f>('Kwh Consumption'!K27+'Kwh Consumption'!L27)</f>
        <v>1460.0000000000807</v>
      </c>
      <c r="I26" s="1">
        <f>('Kwh Consumption'!M27+'Kwh Consumption'!N27+'Kwh Consumption'!O27+'Kwh Consumption'!P27+'Kwh Consumption'!Q27+'Kwh Consumption'!R27)</f>
        <v>5530.0000000000864</v>
      </c>
      <c r="J26" s="1">
        <f>('Kwh Consumption'!S27+'Kwh Consumption'!T27)</f>
        <v>6975378.7400000012</v>
      </c>
      <c r="K26" s="1">
        <f>'Kwh Consumption'!U27</f>
        <v>250</v>
      </c>
      <c r="L26" s="31">
        <f t="shared" si="0"/>
        <v>-6964138.7400000012</v>
      </c>
    </row>
    <row r="27" spans="1:12" x14ac:dyDescent="0.25">
      <c r="A27" s="14">
        <f>'Kwh Reading'!A28</f>
        <v>44494</v>
      </c>
      <c r="B27" s="81">
        <f>TOTAL!E26</f>
        <v>23060</v>
      </c>
      <c r="C27" s="1">
        <f>'Kwh Consumption'!C28</f>
        <v>540.00000000002046</v>
      </c>
      <c r="D27" s="1">
        <f>'Kwh Consumption'!D28</f>
        <v>2700.0000000003688</v>
      </c>
      <c r="E27" s="1">
        <f>'Kwh Consumption'!E28</f>
        <v>260.00000000004775</v>
      </c>
      <c r="F27" s="1">
        <f>('Kwh Consumption'!F28+'Kwh Consumption'!G28+'Kwh Consumption'!H28)</f>
        <v>1110.0000000000136</v>
      </c>
      <c r="G27" s="16">
        <f>('Kwh Consumption'!I28+'Kwh Consumption'!J28)</f>
        <v>370.00000000000455</v>
      </c>
      <c r="H27" s="1">
        <f>('Kwh Consumption'!K28+'Kwh Consumption'!L28)</f>
        <v>1329.999999999897</v>
      </c>
      <c r="I27" s="1">
        <f>('Kwh Consumption'!M28+'Kwh Consumption'!N28+'Kwh Consumption'!O28+'Kwh Consumption'!P28+'Kwh Consumption'!Q28+'Kwh Consumption'!R28)</f>
        <v>4709.9999999999227</v>
      </c>
      <c r="J27" s="1">
        <f>('Kwh Consumption'!S28+'Kwh Consumption'!T28)</f>
        <v>4746.7999999988824</v>
      </c>
      <c r="K27" s="1">
        <f>'Kwh Consumption'!U28</f>
        <v>250</v>
      </c>
      <c r="L27" s="31">
        <f t="shared" si="0"/>
        <v>7043.2000000008411</v>
      </c>
    </row>
    <row r="28" spans="1:12" x14ac:dyDescent="0.25">
      <c r="A28" s="14">
        <f>'Kwh Reading'!A29</f>
        <v>44495</v>
      </c>
      <c r="B28" s="81">
        <f>TOTAL!E27</f>
        <v>22580</v>
      </c>
      <c r="C28" s="1">
        <f>'Kwh Consumption'!C29</f>
        <v>490.00000000000909</v>
      </c>
      <c r="D28" s="1">
        <f>'Kwh Consumption'!D29</f>
        <v>2699.9999999999245</v>
      </c>
      <c r="E28" s="1">
        <f>'Kwh Consumption'!E29</f>
        <v>250</v>
      </c>
      <c r="F28" s="1">
        <f>('Kwh Consumption'!F29+'Kwh Consumption'!G29+'Kwh Consumption'!H29)</f>
        <v>1069.9999999999363</v>
      </c>
      <c r="G28" s="16">
        <f>('Kwh Consumption'!I29+'Kwh Consumption'!J29)</f>
        <v>390.00000000001478</v>
      </c>
      <c r="H28" s="1">
        <f>('Kwh Consumption'!K29+'Kwh Consumption'!L29)</f>
        <v>1430.000000000108</v>
      </c>
      <c r="I28" s="1">
        <f>('Kwh Consumption'!M29+'Kwh Consumption'!N29+'Kwh Consumption'!O29+'Kwh Consumption'!P29+'Kwh Consumption'!Q29+'Kwh Consumption'!R29)</f>
        <v>5349.9999999999091</v>
      </c>
      <c r="J28" s="1">
        <f>('Kwh Consumption'!S29+'Kwh Consumption'!T29)</f>
        <v>5056.429999999702</v>
      </c>
      <c r="K28" s="1">
        <f>'Kwh Consumption'!U29</f>
        <v>239.99999999998067</v>
      </c>
      <c r="L28" s="31">
        <f t="shared" si="0"/>
        <v>5603.5700000004172</v>
      </c>
    </row>
    <row r="29" spans="1:12" x14ac:dyDescent="0.25">
      <c r="A29" s="14">
        <f>'Kwh Reading'!A30</f>
        <v>44496</v>
      </c>
      <c r="B29" s="81">
        <f>TOTAL!E28</f>
        <v>22250</v>
      </c>
      <c r="C29" s="1">
        <f>'Kwh Consumption'!C30</f>
        <v>529.99999999997272</v>
      </c>
      <c r="D29" s="1">
        <f>'Kwh Consumption'!D30</f>
        <v>2699.9999999999245</v>
      </c>
      <c r="E29" s="1">
        <f>'Kwh Consumption'!E30</f>
        <v>269.99999999998181</v>
      </c>
      <c r="F29" s="1">
        <f>('Kwh Consumption'!F30+'Kwh Consumption'!G30+'Kwh Consumption'!H30)</f>
        <v>1080.0000000000409</v>
      </c>
      <c r="G29" s="16">
        <f>('Kwh Consumption'!I30+'Kwh Consumption'!J30)</f>
        <v>370.00000000000455</v>
      </c>
      <c r="H29" s="1">
        <f>('Kwh Consumption'!K30+'Kwh Consumption'!L30)</f>
        <v>1419.9999999998383</v>
      </c>
      <c r="I29" s="1">
        <f>('Kwh Consumption'!M30+'Kwh Consumption'!N30+'Kwh Consumption'!O30+'Kwh Consumption'!P30+'Kwh Consumption'!Q30+'Kwh Consumption'!R30)</f>
        <v>4620.0000000000045</v>
      </c>
      <c r="J29" s="1">
        <f>('Kwh Consumption'!S30+'Kwh Consumption'!T30)</f>
        <v>4853.9600000008941</v>
      </c>
      <c r="K29" s="1">
        <f>'Kwh Consumption'!U30</f>
        <v>230.00000000001819</v>
      </c>
      <c r="L29" s="31">
        <f t="shared" si="0"/>
        <v>6176.0399999993242</v>
      </c>
    </row>
    <row r="30" spans="1:12" x14ac:dyDescent="0.25">
      <c r="A30" s="14">
        <f>'Kwh Reading'!A31</f>
        <v>44497</v>
      </c>
      <c r="B30" s="81">
        <f>TOTAL!E29</f>
        <v>23330</v>
      </c>
      <c r="C30" s="1">
        <f>'Kwh Consumption'!C31</f>
        <v>449.99999999998863</v>
      </c>
      <c r="D30" s="1">
        <f>'Kwh Consumption'!D31</f>
        <v>2699.9999999999245</v>
      </c>
      <c r="E30" s="1">
        <f>'Kwh Consumption'!E31</f>
        <v>259.99999999999091</v>
      </c>
      <c r="F30" s="1">
        <f>('Kwh Consumption'!F31+'Kwh Consumption'!G31+'Kwh Consumption'!H31)</f>
        <v>1100.0000000000227</v>
      </c>
      <c r="G30" s="16">
        <f>('Kwh Consumption'!I31+'Kwh Consumption'!J31)</f>
        <v>339.99999999997499</v>
      </c>
      <c r="H30" s="1">
        <f>('Kwh Consumption'!K31+'Kwh Consumption'!L31)</f>
        <v>1430.000000000108</v>
      </c>
      <c r="I30" s="1">
        <f>('Kwh Consumption'!M31+'Kwh Consumption'!N31+'Kwh Consumption'!O31+'Kwh Consumption'!P31+'Kwh Consumption'!Q31+'Kwh Consumption'!R31)</f>
        <v>4789.9999999999636</v>
      </c>
      <c r="J30" s="1">
        <f>('Kwh Consumption'!S31+'Kwh Consumption'!T31)</f>
        <v>4798.5600000005215</v>
      </c>
      <c r="K30" s="1">
        <f>'Kwh Consumption'!U31</f>
        <v>219.99999999999886</v>
      </c>
      <c r="L30" s="31">
        <f t="shared" si="0"/>
        <v>7241.4399999995048</v>
      </c>
    </row>
    <row r="31" spans="1:12" x14ac:dyDescent="0.25">
      <c r="A31" s="14">
        <f>'Kwh Reading'!A32</f>
        <v>44498</v>
      </c>
      <c r="B31" s="81">
        <f>TOTAL!E30</f>
        <v>23740</v>
      </c>
      <c r="C31" s="1">
        <f>'Kwh Consumption'!C32</f>
        <v>270.00000000003865</v>
      </c>
      <c r="D31" s="1">
        <f>'Kwh Consumption'!D32</f>
        <v>2699.9999999999245</v>
      </c>
      <c r="E31" s="1">
        <f>'Kwh Consumption'!E32</f>
        <v>269.99999999998181</v>
      </c>
      <c r="F31" s="1">
        <f>('Kwh Consumption'!F32+'Kwh Consumption'!G32+'Kwh Consumption'!H32)</f>
        <v>1029.9999999999727</v>
      </c>
      <c r="G31" s="16">
        <f>('Kwh Consumption'!I32+'Kwh Consumption'!J32)</f>
        <v>390.00000000001478</v>
      </c>
      <c r="H31" s="1">
        <f>('Kwh Consumption'!K32+'Kwh Consumption'!L32)</f>
        <v>1540.000000000088</v>
      </c>
      <c r="I31" s="1">
        <f>('Kwh Consumption'!M32+'Kwh Consumption'!N32+'Kwh Consumption'!O32+'Kwh Consumption'!P32+'Kwh Consumption'!Q32+'Kwh Consumption'!R32)</f>
        <v>4990.0000000001228</v>
      </c>
      <c r="J31" s="1">
        <f>('Kwh Consumption'!S32+'Kwh Consumption'!T32)</f>
        <v>4431.4299999987707</v>
      </c>
      <c r="K31" s="1">
        <f>'Kwh Consumption'!U32</f>
        <v>219.99999999999886</v>
      </c>
      <c r="L31" s="31">
        <f t="shared" si="0"/>
        <v>7898.5700000010847</v>
      </c>
    </row>
    <row r="32" spans="1:12" x14ac:dyDescent="0.25">
      <c r="A32" s="14">
        <f>'Kwh Reading'!A33</f>
        <v>44499</v>
      </c>
      <c r="B32" s="81">
        <f>TOTAL!E31</f>
        <v>0</v>
      </c>
      <c r="C32" s="1">
        <f>'Kwh Consumption'!C33</f>
        <v>-476220</v>
      </c>
      <c r="D32" s="1">
        <f>'Kwh Consumption'!D33</f>
        <v>-2676700</v>
      </c>
      <c r="E32" s="1">
        <f>'Kwh Consumption'!E33</f>
        <v>-259399.99999999997</v>
      </c>
      <c r="F32" s="1">
        <f>('Kwh Consumption'!F33+'Kwh Consumption'!G33+'Kwh Consumption'!H33)</f>
        <v>-983120</v>
      </c>
      <c r="G32" s="16">
        <f>('Kwh Consumption'!I33+'Kwh Consumption'!J33)</f>
        <v>-318460</v>
      </c>
      <c r="H32" s="1">
        <f>('Kwh Consumption'!K33+'Kwh Consumption'!L33)</f>
        <v>-1411830</v>
      </c>
      <c r="I32" s="1">
        <f>('Kwh Consumption'!M33+'Kwh Consumption'!N33+'Kwh Consumption'!O33+'Kwh Consumption'!P33+'Kwh Consumption'!Q33+'Kwh Consumption'!R33)</f>
        <v>-3998720</v>
      </c>
      <c r="J32" s="1">
        <f>('Kwh Consumption'!S33+'Kwh Consumption'!T33)</f>
        <v>-16302789.52</v>
      </c>
      <c r="K32" s="1">
        <f>'Kwh Consumption'!U33</f>
        <v>-178460</v>
      </c>
      <c r="L32" s="31">
        <f t="shared" si="0"/>
        <v>26605699.52</v>
      </c>
    </row>
    <row r="33" spans="1:13" x14ac:dyDescent="0.25">
      <c r="A33" s="14">
        <f>'Kwh Reading'!A34</f>
        <v>44500</v>
      </c>
      <c r="B33" s="81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3" t="s">
        <v>120</v>
      </c>
      <c r="B34" s="73">
        <f>SUM(B3:B33)</f>
        <v>643840</v>
      </c>
      <c r="C34" s="73">
        <f>SUM(C3:C33)</f>
        <v>-463120</v>
      </c>
      <c r="D34" s="73">
        <f t="shared" ref="D34:L34" si="1">SUM(D3:D33)</f>
        <v>-2601400</v>
      </c>
      <c r="E34" s="73">
        <f t="shared" si="1"/>
        <v>-251990</v>
      </c>
      <c r="F34" s="73">
        <f t="shared" si="1"/>
        <v>-959370</v>
      </c>
      <c r="G34" s="73">
        <f t="shared" si="1"/>
        <v>-308030</v>
      </c>
      <c r="H34" s="73">
        <f t="shared" si="1"/>
        <v>-1369449.9999999998</v>
      </c>
      <c r="I34" s="73">
        <f t="shared" si="1"/>
        <v>-3857260</v>
      </c>
      <c r="J34" s="73">
        <f t="shared" si="1"/>
        <v>-16158980.210000001</v>
      </c>
      <c r="K34" s="73">
        <f t="shared" si="1"/>
        <v>-171699.99999999997</v>
      </c>
      <c r="L34" s="73">
        <f t="shared" si="1"/>
        <v>26785140.210000001</v>
      </c>
      <c r="M34" s="82">
        <f>C34+D34+E34+F34+G34+H34+I34+J34+K34+L34</f>
        <v>643840</v>
      </c>
    </row>
    <row r="36" spans="1:13" ht="15.75" x14ac:dyDescent="0.25">
      <c r="A36" s="83" t="s">
        <v>63</v>
      </c>
      <c r="B36" s="84">
        <f>TOTAL!F2</f>
        <v>0.15</v>
      </c>
      <c r="C36" s="73">
        <f>C34*B36</f>
        <v>-69468</v>
      </c>
      <c r="D36" s="73">
        <f>D34*B36</f>
        <v>-390210</v>
      </c>
      <c r="E36" s="73">
        <f>E34*B36</f>
        <v>-37798.5</v>
      </c>
      <c r="F36" s="73">
        <f>F34*B36</f>
        <v>-143905.5</v>
      </c>
      <c r="G36" s="73">
        <f>G34*B36</f>
        <v>-46204.5</v>
      </c>
      <c r="H36" s="73">
        <f>H34*B36</f>
        <v>-205417.49999999997</v>
      </c>
      <c r="I36" s="73">
        <f>I34*B36</f>
        <v>-578589</v>
      </c>
      <c r="J36" s="73">
        <f>J34*B36</f>
        <v>-2423847.0315</v>
      </c>
      <c r="K36" s="73">
        <f>K34*B36</f>
        <v>-25754.999999999996</v>
      </c>
      <c r="L36" s="73">
        <f>L34*B36</f>
        <v>4017771.0315</v>
      </c>
      <c r="M36" s="82">
        <f>C36+D36+E36+F36+G36+H36+I36+J36+K36+L36</f>
        <v>96576</v>
      </c>
    </row>
    <row r="37" spans="1:13" x14ac:dyDescent="0.25">
      <c r="J37" s="80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44470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38.999999999998636</v>
      </c>
      <c r="E3" s="1">
        <f>'Kwh Consumption'!D4*' Kwh area wise $ '!B3</f>
        <v>344.99999999999528</v>
      </c>
      <c r="F3" s="1">
        <f>'Kwh Consumption'!E4*' Kwh area wise $ '!B3</f>
        <v>35.999999999997101</v>
      </c>
      <c r="G3" s="1">
        <f>('Kwh Consumption'!F4+'Kwh Consumption'!G4+'Kwh Consumption'!H4)*' Kwh area wise $ '!B3</f>
        <v>94.500000000007844</v>
      </c>
      <c r="H3" s="16">
        <f>('Kwh Consumption'!I4+'Kwh Consumption'!J4)*' Kwh area wise $ '!B3</f>
        <v>54.000000000002046</v>
      </c>
      <c r="I3" s="1">
        <f>('Kwh Consumption'!K4+'Kwh Consumption'!L4)*' Kwh area wise $ '!B3</f>
        <v>214.5000000000162</v>
      </c>
      <c r="J3" s="1">
        <f>('Kwh Consumption'!M4+'Kwh Consumption'!N4+'Kwh Consumption'!O4+'Kwh Consumption'!P4+'Kwh Consumption'!Q4+'Kwh Consumption'!R4)*' Kwh area wise $ '!B3</f>
        <v>619.50000000003342</v>
      </c>
      <c r="K3" s="1">
        <f>('Kwh Consumption'!S4+'Kwh Consumption'!T4)*' Kwh area wise $ '!B3</f>
        <v>616.78049999987707</v>
      </c>
      <c r="L3" s="1">
        <f>'Kwh Consumption'!U4*' Kwh area wise $ '!B3</f>
        <v>31.500000000001194</v>
      </c>
      <c r="M3" s="1">
        <f>'Kwh Consumption'!V4*' Kwh area wise $ '!B3</f>
        <v>1777.2195000000713</v>
      </c>
    </row>
    <row r="4" spans="1:13" x14ac:dyDescent="0.25">
      <c r="A4" s="14">
        <f>'Kwh Reading'!A5</f>
        <v>44471</v>
      </c>
      <c r="B4" s="11">
        <f>TOTAL!F3</f>
        <v>0.15</v>
      </c>
      <c r="C4" s="11">
        <f>'Kwh Consumption'!B5*' Kwh area wise $ '!B4</f>
        <v>2976</v>
      </c>
      <c r="D4" s="1">
        <f>'Kwh Consumption'!C5*' Kwh area wise $ '!B4</f>
        <v>72.000000000002728</v>
      </c>
      <c r="E4" s="1">
        <f>'Kwh Consumption'!D5*' Kwh area wise $ '!B4</f>
        <v>330.0000000000303</v>
      </c>
      <c r="F4" s="1">
        <f>'Kwh Consumption'!E5*' Kwh area wise $ '!B4</f>
        <v>34.500000000002728</v>
      </c>
      <c r="G4" s="1">
        <f>('Kwh Consumption'!F5+'Kwh Consumption'!G5+'Kwh Consumption'!H5)*' Kwh area wise $ '!B4</f>
        <v>88.499999999991985</v>
      </c>
      <c r="H4" s="16">
        <f>('Kwh Consumption'!I5+'Kwh Consumption'!J5)*' Kwh area wise $ '!B4</f>
        <v>50.99999999999838</v>
      </c>
      <c r="I4" s="1">
        <f>('Kwh Consumption'!K5+'Kwh Consumption'!L5)*' Kwh area wise $ '!B4</f>
        <v>202.49999999998181</v>
      </c>
      <c r="J4" s="1">
        <f>('Kwh Consumption'!M5+'Kwh Consumption'!N5+'Kwh Consumption'!O5+'Kwh Consumption'!P5+'Kwh Consumption'!Q5+'Kwh Consumption'!R5)*' Kwh area wise $ '!B4</f>
        <v>661.49999999999523</v>
      </c>
      <c r="K4" s="1">
        <f>('Kwh Consumption'!S5+'Kwh Consumption'!T5)*' Kwh area wise $ '!B4</f>
        <v>702.39000000022349</v>
      </c>
      <c r="L4" s="1">
        <f>'Kwh Consumption'!U5*' Kwh area wise $ '!B4</f>
        <v>30.000000000002558</v>
      </c>
      <c r="M4" s="1">
        <f>'Kwh Consumption'!V5*' Kwh area wise $ '!B4</f>
        <v>803.60999999977105</v>
      </c>
    </row>
    <row r="5" spans="1:13" x14ac:dyDescent="0.25">
      <c r="A5" s="14">
        <f>'Kwh Reading'!A6</f>
        <v>44472</v>
      </c>
      <c r="B5" s="11">
        <f>TOTAL!F4</f>
        <v>0.15</v>
      </c>
      <c r="C5" s="11">
        <f>'Kwh Consumption'!B6*' Kwh area wise $ '!B5</f>
        <v>3214.5</v>
      </c>
      <c r="D5" s="1">
        <f>'Kwh Consumption'!C6*' Kwh area wise $ '!B5</f>
        <v>70.499999999995566</v>
      </c>
      <c r="E5" s="1">
        <f>'Kwh Consumption'!D6*' Kwh area wise $ '!B5</f>
        <v>374.99999999999199</v>
      </c>
      <c r="F5" s="1">
        <f>'Kwh Consumption'!E6*' Kwh area wise $ '!B5</f>
        <v>40.499999999997272</v>
      </c>
      <c r="G5" s="1">
        <f>('Kwh Consumption'!F6+'Kwh Consumption'!G6+'Kwh Consumption'!H6)*' Kwh area wise $ '!B5</f>
        <v>94.500000000003581</v>
      </c>
      <c r="H5" s="16">
        <f>('Kwh Consumption'!I6+'Kwh Consumption'!J6)*' Kwh area wise $ '!B5</f>
        <v>52.500000000003411</v>
      </c>
      <c r="I5" s="1">
        <f>('Kwh Consumption'!K6+'Kwh Consumption'!L6)*' Kwh area wise $ '!B5</f>
        <v>234.00000000001046</v>
      </c>
      <c r="J5" s="1">
        <f>('Kwh Consumption'!M6+'Kwh Consumption'!N6+'Kwh Consumption'!O6+'Kwh Consumption'!P6+'Kwh Consumption'!Q6+'Kwh Consumption'!R6)*' Kwh area wise $ '!B5</f>
        <v>715.49999999999727</v>
      </c>
      <c r="K5" s="1">
        <f>('Kwh Consumption'!S6+'Kwh Consumption'!T6)*' Kwh area wise $ '!B5</f>
        <v>761.47799999993288</v>
      </c>
      <c r="L5" s="1">
        <f>'Kwh Consumption'!U6*' Kwh area wise $ '!B5</f>
        <v>28.499999999999659</v>
      </c>
      <c r="M5" s="1">
        <f>'Kwh Consumption'!V6*' Kwh area wise $ '!B5</f>
        <v>842.02200000006781</v>
      </c>
    </row>
    <row r="6" spans="1:13" x14ac:dyDescent="0.25">
      <c r="A6" s="14">
        <f>'Kwh Reading'!A7</f>
        <v>44473</v>
      </c>
      <c r="B6" s="11">
        <f>TOTAL!F5</f>
        <v>0.15</v>
      </c>
      <c r="C6" s="11">
        <f>'Kwh Consumption'!B7*' Kwh area wise $ '!B6</f>
        <v>3114</v>
      </c>
      <c r="D6" s="1">
        <f>'Kwh Consumption'!C7*' Kwh area wise $ '!B6</f>
        <v>72.000000000002728</v>
      </c>
      <c r="E6" s="1">
        <f>'Kwh Consumption'!D7*' Kwh area wise $ '!B6</f>
        <v>359.99999999996038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85.49999999999045</v>
      </c>
      <c r="H6" s="16">
        <f>('Kwh Consumption'!I7+'Kwh Consumption'!J7)*' Kwh area wise $ '!B6</f>
        <v>53.999999999995651</v>
      </c>
      <c r="I6" s="1">
        <f>('Kwh Consumption'!K7+'Kwh Consumption'!L7)*' Kwh area wise $ '!B6</f>
        <v>220.50000000001927</v>
      </c>
      <c r="J6" s="1">
        <f>('Kwh Consumption'!M7+'Kwh Consumption'!N7+'Kwh Consumption'!O7+'Kwh Consumption'!P7+'Kwh Consumption'!Q7+'Kwh Consumption'!R7)*' Kwh area wise $ '!B6</f>
        <v>718.5000000000116</v>
      </c>
      <c r="K6" s="1">
        <f>('Kwh Consumption'!S7+'Kwh Consumption'!T7)*' Kwh area wise $ '!B6</f>
        <v>754.81799999987709</v>
      </c>
      <c r="L6" s="1">
        <f>'Kwh Consumption'!U7*' Kwh area wise $ '!B6</f>
        <v>28.499999999999659</v>
      </c>
      <c r="M6" s="1">
        <f>'Kwh Consumption'!V7*' Kwh area wise $ '!B6</f>
        <v>787.18200000014338</v>
      </c>
    </row>
    <row r="7" spans="1:13" x14ac:dyDescent="0.25">
      <c r="A7" s="14">
        <f>'Kwh Reading'!A8</f>
        <v>44474</v>
      </c>
      <c r="B7" s="11">
        <f>TOTAL!F6</f>
        <v>0.15</v>
      </c>
      <c r="C7" s="11">
        <f>'Kwh Consumption'!B8*' Kwh area wise $ '!B7</f>
        <v>3214.5</v>
      </c>
      <c r="D7" s="1">
        <f>'Kwh Consumption'!C8*' Kwh area wise $ '!B7</f>
        <v>67.499999999998295</v>
      </c>
      <c r="E7" s="1">
        <f>'Kwh Consumption'!D8*' Kwh area wise $ '!B7</f>
        <v>360.00000000002694</v>
      </c>
      <c r="F7" s="1">
        <f>'Kwh Consumption'!E8*' Kwh area wise $ '!B7</f>
        <v>37.5</v>
      </c>
      <c r="G7" s="1">
        <f>('Kwh Consumption'!F8+'Kwh Consumption'!G8+'Kwh Consumption'!H8)*' Kwh area wise $ '!B7</f>
        <v>91.50000000000631</v>
      </c>
      <c r="H7" s="16">
        <f>('Kwh Consumption'!I8+'Kwh Consumption'!J8)*' Kwh area wise $ '!B7</f>
        <v>55.500000000000682</v>
      </c>
      <c r="I7" s="1">
        <f>('Kwh Consumption'!K8+'Kwh Consumption'!L8)*' Kwh area wise $ '!B7</f>
        <v>220.49999999997746</v>
      </c>
      <c r="J7" s="1">
        <f>('Kwh Consumption'!M8+'Kwh Consumption'!N8+'Kwh Consumption'!O8+'Kwh Consumption'!P8+'Kwh Consumption'!Q8+'Kwh Consumption'!R8)*' Kwh area wise $ '!B7</f>
        <v>653.99999999998499</v>
      </c>
      <c r="K7" s="1">
        <f>('Kwh Consumption'!S8+'Kwh Consumption'!T8)*' Kwh area wise $ '!B7</f>
        <v>759.40800000010051</v>
      </c>
      <c r="L7" s="1">
        <f>'Kwh Consumption'!U8*' Kwh area wise $ '!B7</f>
        <v>26.99999999999676</v>
      </c>
      <c r="M7" s="1">
        <f>'Kwh Consumption'!V8*' Kwh area wise $ '!B7</f>
        <v>941.59199999990778</v>
      </c>
    </row>
    <row r="8" spans="1:13" x14ac:dyDescent="0.25">
      <c r="A8" s="14">
        <f>'Kwh Reading'!A9</f>
        <v>44475</v>
      </c>
      <c r="B8" s="11">
        <f>TOTAL!F7</f>
        <v>0.15</v>
      </c>
      <c r="C8" s="11">
        <f>'Kwh Consumption'!B9*' Kwh area wise $ '!B8</f>
        <v>3280.5</v>
      </c>
      <c r="D8" s="1">
        <f>'Kwh Consumption'!C9*' Kwh area wise $ '!B8</f>
        <v>70.500000000004093</v>
      </c>
      <c r="E8" s="1">
        <f>'Kwh Consumption'!D9*' Kwh area wise $ '!B8</f>
        <v>374.99999999999199</v>
      </c>
      <c r="F8" s="1">
        <f>'Kwh Consumption'!E9*' Kwh area wise $ '!B8</f>
        <v>36.000000000001364</v>
      </c>
      <c r="G8" s="1">
        <f>('Kwh Consumption'!F9+'Kwh Consumption'!G9+'Kwh Consumption'!H9)*' Kwh area wise $ '!B8</f>
        <v>95.99999999999369</v>
      </c>
      <c r="H8" s="16">
        <f>('Kwh Consumption'!I9+'Kwh Consumption'!J9)*' Kwh area wise $ '!B8</f>
        <v>57.000000000003581</v>
      </c>
      <c r="I8" s="1">
        <f>('Kwh Consumption'!K9+'Kwh Consumption'!L9)*' Kwh area wise $ '!B8</f>
        <v>220.50000000001074</v>
      </c>
      <c r="J8" s="1">
        <f>('Kwh Consumption'!M9+'Kwh Consumption'!N9+'Kwh Consumption'!O9+'Kwh Consumption'!P9+'Kwh Consumption'!Q9+'Kwh Consumption'!R9)*' Kwh area wise $ '!B8</f>
        <v>713.99999999998158</v>
      </c>
      <c r="K8" s="1">
        <f>('Kwh Consumption'!S9+'Kwh Consumption'!T9)*' Kwh area wise $ '!B8</f>
        <v>756.02399999988268</v>
      </c>
      <c r="L8" s="1">
        <f>'Kwh Consumption'!U9*' Kwh area wise $ '!B8</f>
        <v>27.000000000001023</v>
      </c>
      <c r="M8" s="1">
        <f>'Kwh Consumption'!V9*' Kwh area wise $ '!B8</f>
        <v>928.47600000012926</v>
      </c>
    </row>
    <row r="9" spans="1:13" x14ac:dyDescent="0.25">
      <c r="A9" s="14">
        <f>'Kwh Reading'!A10</f>
        <v>44476</v>
      </c>
      <c r="B9" s="11">
        <f>TOTAL!F8</f>
        <v>0.15</v>
      </c>
      <c r="C9" s="11">
        <f>'Kwh Consumption'!B10*' Kwh area wise $ '!B9</f>
        <v>3105</v>
      </c>
      <c r="D9" s="1">
        <f>'Kwh Consumption'!C10*' Kwh area wise $ '!B9</f>
        <v>64.500000000001023</v>
      </c>
      <c r="E9" s="1">
        <f>'Kwh Consumption'!D10*' Kwh area wise $ '!B9</f>
        <v>360.00000000002694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90.000000000007674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233.99999999997715</v>
      </c>
      <c r="J9" s="1">
        <f>('Kwh Consumption'!M10+'Kwh Consumption'!N10+'Kwh Consumption'!O10+'Kwh Consumption'!P10+'Kwh Consumption'!Q10+'Kwh Consumption'!R10)*' Kwh area wise $ '!B9</f>
        <v>714.00000000001569</v>
      </c>
      <c r="K9" s="1">
        <f>('Kwh Consumption'!S10+'Kwh Consumption'!T10)*' Kwh area wise $ '!B9</f>
        <v>706.58700000001113</v>
      </c>
      <c r="L9" s="1">
        <f>'Kwh Consumption'!U10*' Kwh area wise $ '!B9</f>
        <v>31.500000000001194</v>
      </c>
      <c r="M9" s="1">
        <f>'Kwh Consumption'!V10*' Kwh area wise $ '!B9</f>
        <v>821.91299999995988</v>
      </c>
    </row>
    <row r="10" spans="1:13" x14ac:dyDescent="0.25">
      <c r="A10" s="14">
        <f>'Kwh Reading'!A11</f>
        <v>44477</v>
      </c>
      <c r="B10" s="11">
        <f>TOTAL!F9</f>
        <v>0.15</v>
      </c>
      <c r="C10" s="11">
        <f>'Kwh Consumption'!B11*' Kwh area wise $ '!B10</f>
        <v>3198</v>
      </c>
      <c r="D10" s="1">
        <f>'Kwh Consumption'!C11*' Kwh area wise $ '!B10</f>
        <v>41.999999999995907</v>
      </c>
      <c r="E10" s="1">
        <f>'Kwh Consumption'!D11*' Kwh area wise $ '!B10</f>
        <v>389.99999999995703</v>
      </c>
      <c r="F10" s="1">
        <f>'Kwh Consumption'!E11*' Kwh area wise $ '!B10</f>
        <v>44.999999999997442</v>
      </c>
      <c r="G10" s="1">
        <f>('Kwh Consumption'!F11+'Kwh Consumption'!G11+'Kwh Consumption'!H11)*' Kwh area wise $ '!B10</f>
        <v>76.499999999998636</v>
      </c>
      <c r="H10" s="16">
        <f>('Kwh Consumption'!I11+'Kwh Consumption'!J11)*' Kwh area wise $ '!B10</f>
        <v>55.49999999999855</v>
      </c>
      <c r="I10" s="1">
        <f>('Kwh Consumption'!K11+'Kwh Consumption'!L11)*' Kwh area wise $ '!B10</f>
        <v>250.50000000001594</v>
      </c>
      <c r="J10" s="1">
        <f>('Kwh Consumption'!M11+'Kwh Consumption'!N11+'Kwh Consumption'!O11+'Kwh Consumption'!P11+'Kwh Consumption'!Q11+'Kwh Consumption'!R11)*' Kwh area wise $ '!B10</f>
        <v>709.50000000000273</v>
      </c>
      <c r="K10" s="1">
        <f>('Kwh Consumption'!S11+'Kwh Consumption'!T11)*' Kwh area wise $ '!B10</f>
        <v>669.87600000025702</v>
      </c>
      <c r="L10" s="1">
        <f>'Kwh Consumption'!U11*' Kwh area wise $ '!B10</f>
        <v>29.999999999998295</v>
      </c>
      <c r="M10" s="1">
        <f>'Kwh Consumption'!V11*' Kwh area wise $ '!B10</f>
        <v>929.12399999977833</v>
      </c>
    </row>
    <row r="11" spans="1:13" x14ac:dyDescent="0.25">
      <c r="A11" s="14">
        <f>'Kwh Reading'!A12</f>
        <v>44478</v>
      </c>
      <c r="B11" s="11">
        <f>TOTAL!F10</f>
        <v>0.15</v>
      </c>
      <c r="C11" s="11">
        <f>'Kwh Consumption'!B12*' Kwh area wise $ '!B11</f>
        <v>3484.5</v>
      </c>
      <c r="D11" s="1">
        <f>'Kwh Consumption'!C12*' Kwh area wise $ '!B11</f>
        <v>70.500000000004093</v>
      </c>
      <c r="E11" s="1">
        <f>'Kwh Consumption'!D12*' Kwh area wise $ '!B11</f>
        <v>420.00000000002029</v>
      </c>
      <c r="F11" s="1">
        <f>'Kwh Consumption'!E12*' Kwh area wise $ '!B11</f>
        <v>37.5</v>
      </c>
      <c r="G11" s="1">
        <f>('Kwh Consumption'!F12+'Kwh Consumption'!G12+'Kwh Consumption'!H12)*' Kwh area wise $ '!B11</f>
        <v>136.49999999999949</v>
      </c>
      <c r="H11" s="16">
        <f>('Kwh Consumption'!I12+'Kwh Consumption'!J12)*' Kwh area wise $ '!B11</f>
        <v>55.500000000000682</v>
      </c>
      <c r="I11" s="1">
        <f>('Kwh Consumption'!K12+'Kwh Consumption'!L12)*' Kwh area wise $ '!B11</f>
        <v>252.00000000000605</v>
      </c>
      <c r="J11" s="1">
        <f>('Kwh Consumption'!M12+'Kwh Consumption'!N12+'Kwh Consumption'!O12+'Kwh Consumption'!P12+'Kwh Consumption'!Q12+'Kwh Consumption'!R12)*' Kwh area wise $ '!B11</f>
        <v>817.49999999998977</v>
      </c>
      <c r="K11" s="1">
        <f>('Kwh Consumption'!S12+'Kwh Consumption'!T12)*' Kwh area wise $ '!B11</f>
        <v>770.30399999977089</v>
      </c>
      <c r="L11" s="1">
        <f>'Kwh Consumption'!U12*' Kwh area wise $ '!B11</f>
        <v>32.999999999999829</v>
      </c>
      <c r="M11" s="1">
        <f>'Kwh Consumption'!V12*' Kwh area wise $ '!B11</f>
        <v>891.6960000002083</v>
      </c>
    </row>
    <row r="12" spans="1:13" x14ac:dyDescent="0.25">
      <c r="A12" s="14">
        <f>'Kwh Reading'!A13</f>
        <v>44479</v>
      </c>
      <c r="B12" s="11">
        <f>TOTAL!F11</f>
        <v>0.15</v>
      </c>
      <c r="C12" s="11">
        <f>'Kwh Consumption'!B13*' Kwh area wise $ '!B12</f>
        <v>3124.5</v>
      </c>
      <c r="D12" s="1">
        <f>'Kwh Consumption'!C13*' Kwh area wise $ '!B12</f>
        <v>73.499999999992838</v>
      </c>
      <c r="E12" s="1">
        <f>'Kwh Consumption'!D13*' Kwh area wise $ '!B12</f>
        <v>330.0000000000303</v>
      </c>
      <c r="F12" s="1">
        <f>'Kwh Consumption'!E13*' Kwh area wise $ '!B12</f>
        <v>30.000000000002558</v>
      </c>
      <c r="G12" s="1">
        <f>('Kwh Consumption'!F13+'Kwh Consumption'!G13+'Kwh Consumption'!H13)*' Kwh area wise $ '!B12</f>
        <v>56.999999999995055</v>
      </c>
      <c r="H12" s="16">
        <f>('Kwh Consumption'!I13+'Kwh Consumption'!J13)*' Kwh area wise $ '!B12</f>
        <v>49.499999999999744</v>
      </c>
      <c r="I12" s="1">
        <f>('Kwh Consumption'!K13+'Kwh Consumption'!L13)*' Kwh area wise $ '!B12</f>
        <v>218.99999999997883</v>
      </c>
      <c r="J12" s="1">
        <f>('Kwh Consumption'!M13+'Kwh Consumption'!N13+'Kwh Consumption'!O13+'Kwh Consumption'!P13+'Kwh Consumption'!Q13+'Kwh Consumption'!R13)*' Kwh area wise $ '!B12</f>
        <v>706.50000000000546</v>
      </c>
      <c r="K12" s="1">
        <f>('Kwh Consumption'!S13+'Kwh Consumption'!T13)*' Kwh area wise $ '!B12</f>
        <v>706.64400000013404</v>
      </c>
      <c r="L12" s="1">
        <f>'Kwh Consumption'!U13*' Kwh area wise $ '!B12</f>
        <v>30.000000000002558</v>
      </c>
      <c r="M12" s="1">
        <f>'Kwh Consumption'!V13*' Kwh area wise $ '!B12</f>
        <v>922.35599999985845</v>
      </c>
    </row>
    <row r="13" spans="1:13" x14ac:dyDescent="0.25">
      <c r="A13" s="14">
        <f>'Kwh Reading'!A14</f>
        <v>44480</v>
      </c>
      <c r="B13" s="11">
        <f>TOTAL!F12</f>
        <v>0.15</v>
      </c>
      <c r="C13" s="11">
        <f>'Kwh Consumption'!B14*' Kwh area wise $ '!B13</f>
        <v>3433.5</v>
      </c>
      <c r="D13" s="1">
        <f>'Kwh Consumption'!C14*' Kwh area wise $ '!B13</f>
        <v>73.500000000001364</v>
      </c>
      <c r="E13" s="1">
        <f>'Kwh Consumption'!D14*' Kwh area wise $ '!B13</f>
        <v>404.99999999998869</v>
      </c>
      <c r="F13" s="1">
        <f>'Kwh Consumption'!E14*' Kwh area wise $ '!B13</f>
        <v>34.499999999998465</v>
      </c>
      <c r="G13" s="1">
        <f>('Kwh Consumption'!F14+'Kwh Consumption'!G14+'Kwh Consumption'!H14)*' Kwh area wise $ '!B13</f>
        <v>97.500000000005116</v>
      </c>
      <c r="H13" s="16">
        <f>('Kwh Consumption'!I14+'Kwh Consumption'!J14)*' Kwh area wise $ '!B13</f>
        <v>54.000000000002046</v>
      </c>
      <c r="I13" s="1">
        <f>('Kwh Consumption'!K14+'Kwh Consumption'!L14)*' Kwh area wise $ '!B13</f>
        <v>234.00000000001046</v>
      </c>
      <c r="J13" s="1">
        <f>('Kwh Consumption'!M14+'Kwh Consumption'!N14+'Kwh Consumption'!O14+'Kwh Consumption'!P14+'Kwh Consumption'!Q14+'Kwh Consumption'!R14)*' Kwh area wise $ '!B13</f>
        <v>751.49999999998158</v>
      </c>
      <c r="K13" s="1">
        <f>('Kwh Consumption'!S14+'Kwh Consumption'!T14)*' Kwh area wise $ '!B13</f>
        <v>778.49699999978759</v>
      </c>
      <c r="L13" s="1">
        <f>'Kwh Consumption'!U14*' Kwh area wise $ '!B13</f>
        <v>38.999999999998636</v>
      </c>
      <c r="M13" s="1">
        <f>'Kwh Consumption'!V14*' Kwh area wise $ '!B13</f>
        <v>966.00300000022537</v>
      </c>
    </row>
    <row r="14" spans="1:13" x14ac:dyDescent="0.25">
      <c r="A14" s="14">
        <f>'Kwh Reading'!A15</f>
        <v>44481</v>
      </c>
      <c r="B14" s="11">
        <f>TOTAL!F13</f>
        <v>0.15</v>
      </c>
      <c r="C14" s="11">
        <f>'Kwh Consumption'!B15*' Kwh area wise $ '!B14</f>
        <v>3445.5</v>
      </c>
      <c r="D14" s="1">
        <f>'Kwh Consumption'!C15*' Kwh area wise $ '!B14</f>
        <v>76.499999999998636</v>
      </c>
      <c r="E14" s="1">
        <f>'Kwh Consumption'!D15*' Kwh area wise $ '!B14</f>
        <v>374.99999999999199</v>
      </c>
      <c r="F14" s="1">
        <f>'Kwh Consumption'!E15*' Kwh area wise $ '!B14</f>
        <v>38.999999999998636</v>
      </c>
      <c r="G14" s="1">
        <f>('Kwh Consumption'!F15+'Kwh Consumption'!G15+'Kwh Consumption'!H15)*' Kwh area wise $ '!B14</f>
        <v>106.49999999999693</v>
      </c>
      <c r="H14" s="16">
        <f>('Kwh Consumption'!I15+'Kwh Consumption'!J15)*' Kwh area wise $ '!B14</f>
        <v>43.500000000000938</v>
      </c>
      <c r="I14" s="1">
        <f>('Kwh Consumption'!K15+'Kwh Consumption'!L15)*' Kwh area wise $ '!B14</f>
        <v>237.00000000001626</v>
      </c>
      <c r="J14" s="1">
        <f>('Kwh Consumption'!M15+'Kwh Consumption'!N15+'Kwh Consumption'!O15+'Kwh Consumption'!P15+'Kwh Consumption'!Q15+'Kwh Consumption'!R15)*' Kwh area wise $ '!B14</f>
        <v>768.00000000001774</v>
      </c>
      <c r="K14" s="1">
        <f>('Kwh Consumption'!S15+'Kwh Consumption'!T15)*' Kwh area wise $ '!B14</f>
        <v>787.57200000006708</v>
      </c>
      <c r="L14" s="1">
        <f>'Kwh Consumption'!U15*' Kwh area wise $ '!B14</f>
        <v>40.500000000001535</v>
      </c>
      <c r="M14" s="1">
        <f>'Kwh Consumption'!V15*' Kwh area wise $ '!B14</f>
        <v>971.92799999990996</v>
      </c>
    </row>
    <row r="15" spans="1:13" x14ac:dyDescent="0.25">
      <c r="A15" s="14">
        <f>'Kwh Reading'!A16</f>
        <v>44482</v>
      </c>
      <c r="B15" s="11">
        <f>TOTAL!F14</f>
        <v>0.15</v>
      </c>
      <c r="C15" s="11">
        <f>'Kwh Consumption'!B16*' Kwh area wise $ '!B15</f>
        <v>3300</v>
      </c>
      <c r="D15" s="1">
        <f>'Kwh Consumption'!C16*' Kwh area wise $ '!B15</f>
        <v>75</v>
      </c>
      <c r="E15" s="1">
        <f>'Kwh Consumption'!D16*' Kwh area wise $ '!B15</f>
        <v>390.00000000002365</v>
      </c>
      <c r="F15" s="1">
        <f>'Kwh Consumption'!E16*' Kwh area wise $ '!B15</f>
        <v>36.000000000001364</v>
      </c>
      <c r="G15" s="1">
        <f>('Kwh Consumption'!F16+'Kwh Consumption'!G16+'Kwh Consumption'!H16)*' Kwh area wise $ '!B15</f>
        <v>100.49999999999812</v>
      </c>
      <c r="H15" s="16">
        <f>('Kwh Consumption'!I16+'Kwh Consumption'!J16)*' Kwh area wise $ '!B15</f>
        <v>53.999999999997783</v>
      </c>
      <c r="I15" s="1">
        <f>('Kwh Consumption'!K16+'Kwh Consumption'!L16)*' Kwh area wise $ '!B15</f>
        <v>221.9999999999761</v>
      </c>
      <c r="J15" s="1">
        <f>('Kwh Consumption'!M16+'Kwh Consumption'!N16+'Kwh Consumption'!O16+'Kwh Consumption'!P16+'Kwh Consumption'!Q16+'Kwh Consumption'!R16)*' Kwh area wise $ '!B15</f>
        <v>736.49999999997817</v>
      </c>
      <c r="K15" s="1">
        <f>('Kwh Consumption'!S16+'Kwh Consumption'!T16)*' Kwh area wise $ '!B15</f>
        <v>767.52150000021788</v>
      </c>
      <c r="L15" s="1">
        <f>'Kwh Consumption'!U16*' Kwh area wise $ '!B15</f>
        <v>44.999999999997442</v>
      </c>
      <c r="M15" s="1">
        <f>'Kwh Consumption'!V16*' Kwh area wise $ '!B15</f>
        <v>873.47849999980929</v>
      </c>
    </row>
    <row r="16" spans="1:13" x14ac:dyDescent="0.25">
      <c r="A16" s="14">
        <f>'Kwh Reading'!A17</f>
        <v>44483</v>
      </c>
      <c r="B16" s="11">
        <f>TOTAL!F15</f>
        <v>0.15</v>
      </c>
      <c r="C16" s="11">
        <f>'Kwh Consumption'!B17*' Kwh area wise $ '!B16</f>
        <v>3648</v>
      </c>
      <c r="D16" s="1">
        <f>'Kwh Consumption'!C17*' Kwh area wise $ '!B16</f>
        <v>70.500000000004093</v>
      </c>
      <c r="E16" s="1">
        <f>'Kwh Consumption'!D17*' Kwh area wise $ '!B16</f>
        <v>389.99999999995703</v>
      </c>
      <c r="F16" s="1">
        <f>'Kwh Consumption'!E17*' Kwh area wise $ '!B16</f>
        <v>36.000000000001364</v>
      </c>
      <c r="G16" s="1">
        <f>('Kwh Consumption'!F17+'Kwh Consumption'!G17+'Kwh Consumption'!H17)*' Kwh area wise $ '!B16</f>
        <v>117.0000000000087</v>
      </c>
      <c r="H16" s="16">
        <f>('Kwh Consumption'!I17+'Kwh Consumption'!J17)*' Kwh area wise $ '!B16</f>
        <v>53.999999999999915</v>
      </c>
      <c r="I16" s="1">
        <f>('Kwh Consumption'!K17+'Kwh Consumption'!L17)*' Kwh area wise $ '!B16</f>
        <v>240.00000000001353</v>
      </c>
      <c r="J16" s="1">
        <f>('Kwh Consumption'!M17+'Kwh Consumption'!N17+'Kwh Consumption'!O17+'Kwh Consumption'!P17+'Kwh Consumption'!Q17+'Kwh Consumption'!R17)*' Kwh area wise $ '!B16</f>
        <v>843.00000000003479</v>
      </c>
      <c r="K16" s="1">
        <f>('Kwh Consumption'!S17+'Kwh Consumption'!T17)*' Kwh area wise $ '!B16</f>
        <v>875.63099999986582</v>
      </c>
      <c r="L16" s="1">
        <f>'Kwh Consumption'!U17*' Kwh area wise $ '!B16</f>
        <v>42.000000000000171</v>
      </c>
      <c r="M16" s="1">
        <f>'Kwh Consumption'!V17*' Kwh area wise $ '!B16</f>
        <v>979.8690000001144</v>
      </c>
    </row>
    <row r="17" spans="1:13" x14ac:dyDescent="0.25">
      <c r="A17" s="14">
        <f>'Kwh Reading'!A18</f>
        <v>44484</v>
      </c>
      <c r="B17" s="11">
        <f>TOTAL!F16</f>
        <v>0.15</v>
      </c>
      <c r="C17" s="11">
        <f>'Kwh Consumption'!B18*' Kwh area wise $ '!B17</f>
        <v>3661.5</v>
      </c>
      <c r="D17" s="1">
        <f>'Kwh Consumption'!C18*' Kwh area wise $ '!B17</f>
        <v>43.50000000000307</v>
      </c>
      <c r="E17" s="1">
        <f>'Kwh Consumption'!D18*' Kwh area wise $ '!B17</f>
        <v>404.99999999998869</v>
      </c>
      <c r="F17" s="1">
        <f>'Kwh Consumption'!E18*' Kwh area wise $ '!B17</f>
        <v>43.499999999998806</v>
      </c>
      <c r="G17" s="1">
        <f>('Kwh Consumption'!F18+'Kwh Consumption'!G18+'Kwh Consumption'!H18)*' Kwh area wise $ '!B17</f>
        <v>95.999999999989427</v>
      </c>
      <c r="H17" s="16">
        <f>('Kwh Consumption'!I18+'Kwh Consumption'!J18)*' Kwh area wise $ '!B17</f>
        <v>51.000000000000512</v>
      </c>
      <c r="I17" s="1">
        <f>('Kwh Consumption'!K18+'Kwh Consumption'!L18)*' Kwh area wise $ '!B17</f>
        <v>346.50000000000063</v>
      </c>
      <c r="J17" s="1">
        <f>('Kwh Consumption'!M18+'Kwh Consumption'!N18+'Kwh Consumption'!O18+'Kwh Consumption'!P18+'Kwh Consumption'!Q18+'Kwh Consumption'!R18)*' Kwh area wise $ '!B17</f>
        <v>881.99999999998226</v>
      </c>
      <c r="K17" s="1">
        <f>('Kwh Consumption'!S18+'Kwh Consumption'!T18)*' Kwh area wise $ '!B17</f>
        <v>844.90050000012855</v>
      </c>
      <c r="L17" s="1">
        <f>'Kwh Consumption'!U18*' Kwh area wise $ '!B17</f>
        <v>45.000000000001705</v>
      </c>
      <c r="M17" s="1">
        <f>'Kwh Consumption'!V18*' Kwh area wise $ '!B17</f>
        <v>904.09949999990693</v>
      </c>
    </row>
    <row r="18" spans="1:13" x14ac:dyDescent="0.25">
      <c r="A18" s="14">
        <f>'Kwh Reading'!A19</f>
        <v>44485</v>
      </c>
      <c r="B18" s="11">
        <f>TOTAL!F17</f>
        <v>0.15</v>
      </c>
      <c r="C18" s="11">
        <f>'Kwh Consumption'!B19*' Kwh area wise $ '!B18</f>
        <v>3513</v>
      </c>
      <c r="D18" s="1">
        <f>'Kwh Consumption'!C19*' Kwh area wise $ '!B18</f>
        <v>73.499999999992838</v>
      </c>
      <c r="E18" s="1">
        <f>'Kwh Consumption'!D19*' Kwh area wise $ '!B18</f>
        <v>435.00000000005195</v>
      </c>
      <c r="F18" s="1">
        <f>'Kwh Consumption'!E19*' Kwh area wise $ '!B18</f>
        <v>43.499999999998806</v>
      </c>
      <c r="G18" s="1">
        <f>('Kwh Consumption'!F19+'Kwh Consumption'!G19+'Kwh Consumption'!H19)*' Kwh area wise $ '!B18</f>
        <v>162.00000000000614</v>
      </c>
      <c r="H18" s="16">
        <f>('Kwh Consumption'!I19+'Kwh Consumption'!J19)*' Kwh area wise $ '!B18</f>
        <v>55.500000000000682</v>
      </c>
      <c r="I18" s="1">
        <f>('Kwh Consumption'!K19+'Kwh Consumption'!L19)*' Kwh area wise $ '!B18</f>
        <v>97.499999999993378</v>
      </c>
      <c r="J18" s="1">
        <f>('Kwh Consumption'!M19+'Kwh Consumption'!N19+'Kwh Consumption'!O19+'Kwh Consumption'!P19+'Kwh Consumption'!Q19+'Kwh Consumption'!R19)*' Kwh area wise $ '!B18</f>
        <v>841.50000000000205</v>
      </c>
      <c r="K18" s="1">
        <f>('Kwh Consumption'!S19+'Kwh Consumption'!T19)*' Kwh area wise $ '!B18</f>
        <v>881.81399999982671</v>
      </c>
      <c r="L18" s="1">
        <f>'Kwh Consumption'!U19*' Kwh area wise $ '!B18</f>
        <v>44.999999999997442</v>
      </c>
      <c r="M18" s="1">
        <f>'Kwh Consumption'!V19*' Kwh area wise $ '!B18</f>
        <v>877.68600000012952</v>
      </c>
    </row>
    <row r="19" spans="1:13" x14ac:dyDescent="0.25">
      <c r="A19" s="14">
        <f>'Kwh Reading'!A20</f>
        <v>44486</v>
      </c>
      <c r="B19" s="11">
        <f>TOTAL!F18</f>
        <v>0.15</v>
      </c>
      <c r="C19" s="11">
        <f>'Kwh Consumption'!B20*' Kwh area wise $ '!B19</f>
        <v>2952</v>
      </c>
      <c r="D19" s="1">
        <f>'Kwh Consumption'!C20*' Kwh area wise $ '!B19</f>
        <v>73.500000000001364</v>
      </c>
      <c r="E19" s="1">
        <f>'Kwh Consumption'!D20*' Kwh area wise $ '!B19</f>
        <v>374.99999999999199</v>
      </c>
      <c r="F19" s="1">
        <f>'Kwh Consumption'!E20*' Kwh area wise $ '!B19</f>
        <v>36.000000000005627</v>
      </c>
      <c r="G19" s="1">
        <f>('Kwh Consumption'!F20+'Kwh Consumption'!G20+'Kwh Consumption'!H20)*' Kwh area wise $ '!B19</f>
        <v>104.99999999999829</v>
      </c>
      <c r="H19" s="16">
        <f>('Kwh Consumption'!I20+'Kwh Consumption'!J20)*' Kwh area wise $ '!B19</f>
        <v>53.999999999997783</v>
      </c>
      <c r="I19" s="1">
        <f>('Kwh Consumption'!K20+'Kwh Consumption'!L20)*' Kwh area wise $ '!B19</f>
        <v>171.00000000001978</v>
      </c>
      <c r="J19" s="1">
        <f>('Kwh Consumption'!M20+'Kwh Consumption'!N20+'Kwh Consumption'!O20+'Kwh Consumption'!P20+'Kwh Consumption'!Q20+'Kwh Consumption'!R20)*' Kwh area wise $ '!B19</f>
        <v>625.49999999999386</v>
      </c>
      <c r="K19" s="1">
        <f>('Kwh Consumption'!S20+'Kwh Consumption'!T20)*' Kwh area wise $ '!B19</f>
        <v>603.04650000007825</v>
      </c>
      <c r="L19" s="1">
        <f>'Kwh Consumption'!U20*' Kwh area wise $ '!B19</f>
        <v>39.000000000002899</v>
      </c>
      <c r="M19" s="1">
        <f>'Kwh Consumption'!V20*' Kwh area wise $ '!B19</f>
        <v>869.95349999991004</v>
      </c>
    </row>
    <row r="20" spans="1:13" x14ac:dyDescent="0.25">
      <c r="A20" s="14">
        <f>'Kwh Reading'!A21</f>
        <v>44487</v>
      </c>
      <c r="B20" s="11">
        <f>TOTAL!F19</f>
        <v>0.15</v>
      </c>
      <c r="C20" s="11">
        <f>'Kwh Consumption'!B21*' Kwh area wise $ '!B20</f>
        <v>2929.5</v>
      </c>
      <c r="D20" s="1">
        <f>'Kwh Consumption'!C21*' Kwh area wise $ '!B20</f>
        <v>67.499999999998295</v>
      </c>
      <c r="E20" s="1">
        <f>'Kwh Consumption'!D21*' Kwh area wise $ '!B20</f>
        <v>389.99999999995703</v>
      </c>
      <c r="F20" s="1">
        <f>'Kwh Consumption'!E21*' Kwh area wise $ '!B20</f>
        <v>40.499999999997272</v>
      </c>
      <c r="G20" s="1">
        <f>('Kwh Consumption'!F21+'Kwh Consumption'!G21+'Kwh Consumption'!H21)*' Kwh area wise $ '!B20</f>
        <v>131.99999999999932</v>
      </c>
      <c r="H20" s="16">
        <f>('Kwh Consumption'!I21+'Kwh Consumption'!J21)*' Kwh area wise $ '!B20</f>
        <v>55.500000000000682</v>
      </c>
      <c r="I20" s="1">
        <f>('Kwh Consumption'!K21+'Kwh Consumption'!L21)*' Kwh area wise $ '!B20</f>
        <v>164.99999999998343</v>
      </c>
      <c r="J20" s="1">
        <f>('Kwh Consumption'!M21+'Kwh Consumption'!N21+'Kwh Consumption'!O21+'Kwh Consumption'!P21+'Kwh Consumption'!Q21+'Kwh Consumption'!R21)*' Kwh area wise $ '!B20</f>
        <v>577.50000000000341</v>
      </c>
      <c r="K20" s="1">
        <f>('Kwh Consumption'!S21+'Kwh Consumption'!T21)*' Kwh area wise $ '!B20</f>
        <v>605.08949999995525</v>
      </c>
      <c r="L20" s="1">
        <f>'Kwh Consumption'!U21*' Kwh area wise $ '!B20</f>
        <v>38.999999999998636</v>
      </c>
      <c r="M20" s="1">
        <f>'Kwh Consumption'!V21*' Kwh area wise $ '!B20</f>
        <v>857.41050000010659</v>
      </c>
    </row>
    <row r="21" spans="1:13" x14ac:dyDescent="0.25">
      <c r="A21" s="14">
        <f>'Kwh Reading'!A22</f>
        <v>44488</v>
      </c>
      <c r="B21" s="11">
        <f>TOTAL!F20</f>
        <v>0.15</v>
      </c>
      <c r="C21" s="11">
        <f>'Kwh Consumption'!B22*' Kwh area wise $ '!B21</f>
        <v>3343.5</v>
      </c>
      <c r="D21" s="1">
        <f>'Kwh Consumption'!C22*' Kwh area wise $ '!B21</f>
        <v>76.500000000007162</v>
      </c>
      <c r="E21" s="1">
        <f>'Kwh Consumption'!D22*' Kwh area wise $ '!B21</f>
        <v>405.00000000005531</v>
      </c>
      <c r="F21" s="1">
        <f>'Kwh Consumption'!E22*' Kwh area wise $ '!B21</f>
        <v>40.499999999997272</v>
      </c>
      <c r="G21" s="1">
        <f>('Kwh Consumption'!F22+'Kwh Consumption'!G22+'Kwh Consumption'!H22)*' Kwh area wise $ '!B21</f>
        <v>163.50000000000051</v>
      </c>
      <c r="H21" s="16">
        <f>('Kwh Consumption'!I22+'Kwh Consumption'!J22)*' Kwh area wise $ '!B21</f>
        <v>60.000000000000853</v>
      </c>
      <c r="I21" s="1">
        <f>('Kwh Consumption'!K22+'Kwh Consumption'!L22)*' Kwh area wise $ '!B21</f>
        <v>217.50000000001347</v>
      </c>
      <c r="J21" s="1">
        <f>('Kwh Consumption'!M22+'Kwh Consumption'!N22+'Kwh Consumption'!O22+'Kwh Consumption'!P22+'Kwh Consumption'!Q22+'Kwh Consumption'!R22)*' Kwh area wise $ '!B21</f>
        <v>739.49999999997544</v>
      </c>
      <c r="K21" s="1">
        <f>('Kwh Consumption'!S22+'Kwh Consumption'!T22)*' Kwh area wise $ '!B21</f>
        <v>827.48550000004468</v>
      </c>
      <c r="L21" s="1">
        <f>'Kwh Consumption'!U22*' Kwh area wise $ '!B21</f>
        <v>37.5</v>
      </c>
      <c r="M21" s="1">
        <f>'Kwh Consumption'!V22*' Kwh area wise $ '!B21</f>
        <v>776.01449999990507</v>
      </c>
    </row>
    <row r="22" spans="1:13" x14ac:dyDescent="0.25">
      <c r="A22" s="14">
        <f>'Kwh Reading'!A23</f>
        <v>44489</v>
      </c>
      <c r="B22" s="11">
        <f>TOTAL!F21</f>
        <v>0.15</v>
      </c>
      <c r="C22" s="11">
        <f>'Kwh Consumption'!B23*' Kwh area wise $ '!B22</f>
        <v>3636</v>
      </c>
      <c r="D22" s="1">
        <f>'Kwh Consumption'!C23*' Kwh area wise $ '!B22</f>
        <v>77.999999999997272</v>
      </c>
      <c r="E22" s="1">
        <f>'Kwh Consumption'!D23*' Kwh area wise $ '!B22</f>
        <v>419.99999999995373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160.5000000000075</v>
      </c>
      <c r="H22" s="16">
        <f>('Kwh Consumption'!I23+'Kwh Consumption'!J23)*' Kwh area wise $ '!B22</f>
        <v>58.500000000002217</v>
      </c>
      <c r="I22" s="1">
        <f>('Kwh Consumption'!K23+'Kwh Consumption'!L23)*' Kwh area wise $ '!B22</f>
        <v>200.99999999998317</v>
      </c>
      <c r="J22" s="1">
        <f>('Kwh Consumption'!M23+'Kwh Consumption'!N23+'Kwh Consumption'!O23+'Kwh Consumption'!P23+'Kwh Consumption'!Q23+'Kwh Consumption'!R23)*' Kwh area wise $ '!B22</f>
        <v>729.00000000003615</v>
      </c>
      <c r="K22" s="1">
        <f>('Kwh Consumption'!S23+'Kwh Consumption'!T23)*' Kwh area wise $ '!B22</f>
        <v>820.06349999997758</v>
      </c>
      <c r="L22" s="1">
        <f>'Kwh Consumption'!U23*' Kwh area wise $ '!B22</f>
        <v>37.5</v>
      </c>
      <c r="M22" s="1">
        <f>'Kwh Consumption'!V23*' Kwh area wise $ '!B22</f>
        <v>1092.4365000000437</v>
      </c>
    </row>
    <row r="23" spans="1:13" x14ac:dyDescent="0.25">
      <c r="A23" s="14">
        <f>'Kwh Reading'!A24</f>
        <v>44490</v>
      </c>
      <c r="B23" s="11">
        <f>TOTAL!F22</f>
        <v>0.15</v>
      </c>
      <c r="C23" s="11">
        <f>'Kwh Consumption'!B24*' Kwh area wise $ '!B23</f>
        <v>3418.5</v>
      </c>
      <c r="D23" s="1">
        <f>'Kwh Consumption'!C24*' Kwh area wise $ '!B23</f>
        <v>75</v>
      </c>
      <c r="E23" s="1">
        <f>'Kwh Consumption'!D24*' Kwh area wise $ '!B23</f>
        <v>404.99999999998869</v>
      </c>
      <c r="F23" s="1">
        <f>'Kwh Consumption'!E24*' Kwh area wise $ '!B23</f>
        <v>40.500000000005798</v>
      </c>
      <c r="G23" s="1">
        <f>('Kwh Consumption'!F24+'Kwh Consumption'!G24+'Kwh Consumption'!H24)*' Kwh area wise $ '!B23</f>
        <v>159.00000000000034</v>
      </c>
      <c r="H23" s="16">
        <f>('Kwh Consumption'!I24+'Kwh Consumption'!J24)*' Kwh area wise $ '!B23</f>
        <v>52.499999999999147</v>
      </c>
      <c r="I23" s="1">
        <f>('Kwh Consumption'!K24+'Kwh Consumption'!L24)*' Kwh area wise $ '!B23</f>
        <v>228.00000000001592</v>
      </c>
      <c r="J23" s="1">
        <f>('Kwh Consumption'!M24+'Kwh Consumption'!N24+'Kwh Consumption'!O24+'Kwh Consumption'!P24+'Kwh Consumption'!Q24+'Kwh Consumption'!R24)*' Kwh area wise $ '!B23</f>
        <v>739.4999999999925</v>
      </c>
      <c r="K23" s="1">
        <f>('Kwh Consumption'!S24+'Kwh Consumption'!T24)*' Kwh area wise $ '!B23</f>
        <v>758.02049999996086</v>
      </c>
      <c r="L23" s="1">
        <f>'Kwh Consumption'!U24*' Kwh area wise $ '!B23</f>
        <v>31.500000000001194</v>
      </c>
      <c r="M23" s="1">
        <f>'Kwh Consumption'!V24*' Kwh area wise $ '!B23</f>
        <v>929.47950000003584</v>
      </c>
    </row>
    <row r="24" spans="1:13" x14ac:dyDescent="0.25">
      <c r="A24" s="14">
        <f>'Kwh Reading'!A25</f>
        <v>44491</v>
      </c>
      <c r="B24" s="11">
        <f>TOTAL!F23</f>
        <v>0.15</v>
      </c>
      <c r="C24" s="11">
        <f>'Kwh Consumption'!B25*' Kwh area wise $ '!B24</f>
        <v>3376.5</v>
      </c>
      <c r="D24" s="1">
        <f>'Kwh Consumption'!C25*' Kwh area wise $ '!B24</f>
        <v>45.000000000001705</v>
      </c>
      <c r="E24" s="1">
        <f>'Kwh Consumption'!D25*' Kwh area wise $ '!B24</f>
        <v>405.00000000005531</v>
      </c>
      <c r="F24" s="1">
        <f>'Kwh Consumption'!E25*' Kwh area wise $ '!B24</f>
        <v>38.999999999998636</v>
      </c>
      <c r="G24" s="1">
        <f>('Kwh Consumption'!F25+'Kwh Consumption'!G25+'Kwh Consumption'!H25)*' Kwh area wise $ '!B24</f>
        <v>157.49999999999318</v>
      </c>
      <c r="H24" s="16">
        <f>('Kwh Consumption'!I25+'Kwh Consumption'!J25)*' Kwh area wise $ '!B24</f>
        <v>53.999999999997783</v>
      </c>
      <c r="I24" s="1">
        <f>('Kwh Consumption'!K25+'Kwh Consumption'!L25)*' Kwh area wise $ '!B24</f>
        <v>211.49999999997712</v>
      </c>
      <c r="J24" s="1">
        <f>('Kwh Consumption'!M25+'Kwh Consumption'!N25+'Kwh Consumption'!O25+'Kwh Consumption'!P25+'Kwh Consumption'!Q25+'Kwh Consumption'!R25)*' Kwh area wise $ '!B24</f>
        <v>718.49999999999454</v>
      </c>
      <c r="K24" s="1">
        <f>('Kwh Consumption'!S25+'Kwh Consumption'!T25)*' Kwh area wise $ '!B24</f>
        <v>654.01500000008377</v>
      </c>
      <c r="L24" s="1">
        <f>'Kwh Consumption'!U25*' Kwh area wise $ '!B24</f>
        <v>34.499999999998465</v>
      </c>
      <c r="M24" s="1">
        <f>'Kwh Consumption'!V25*' Kwh area wise $ '!B24</f>
        <v>1057.4849999998992</v>
      </c>
    </row>
    <row r="25" spans="1:13" x14ac:dyDescent="0.25">
      <c r="A25" s="14">
        <f>'Kwh Reading'!A26</f>
        <v>44492</v>
      </c>
      <c r="B25" s="11">
        <f>TOTAL!F24</f>
        <v>0.15</v>
      </c>
      <c r="C25" s="11">
        <f>'Kwh Consumption'!B26*' Kwh area wise $ '!B25</f>
        <v>3514.5</v>
      </c>
      <c r="D25" s="1">
        <f>'Kwh Consumption'!C26*' Kwh area wise $ '!B25</f>
        <v>70.499999999995566</v>
      </c>
      <c r="E25" s="1">
        <f>'Kwh Consumption'!D26*' Kwh area wise $ '!B25</f>
        <v>404.99999999998869</v>
      </c>
      <c r="F25" s="1">
        <f>'Kwh Consumption'!E26*' Kwh area wise $ '!B25</f>
        <v>40.499999999997272</v>
      </c>
      <c r="G25" s="1">
        <f>('Kwh Consumption'!F26+'Kwh Consumption'!G26+'Kwh Consumption'!H26)*' Kwh area wise $ '!B25</f>
        <v>138.00000000000239</v>
      </c>
      <c r="H25" s="16">
        <f>('Kwh Consumption'!I26+'Kwh Consumption'!J26)*' Kwh area wise $ '!B25</f>
        <v>53.999999999997783</v>
      </c>
      <c r="I25" s="1">
        <f>('Kwh Consumption'!K26+'Kwh Consumption'!L26)*' Kwh area wise $ '!B25</f>
        <v>226.50000000000875</v>
      </c>
      <c r="J25" s="1">
        <f>('Kwh Consumption'!M26+'Kwh Consumption'!N26+'Kwh Consumption'!O26+'Kwh Consumption'!P26+'Kwh Consumption'!Q26+'Kwh Consumption'!R26)*' Kwh area wise $ '!B25</f>
        <v>738.00000000001091</v>
      </c>
      <c r="K25" s="1">
        <f>('Kwh Consumption'!S26+'Kwh Consumption'!T26)*' Kwh area wise $ '!B25</f>
        <v>-1044726.4575</v>
      </c>
      <c r="L25" s="1">
        <f>'Kwh Consumption'!U26*' Kwh area wise $ '!B25</f>
        <v>30.000000000002558</v>
      </c>
      <c r="M25" s="1">
        <f>'Kwh Consumption'!V26*' Kwh area wise $ '!B25</f>
        <v>1046538.4575</v>
      </c>
    </row>
    <row r="26" spans="1:13" x14ac:dyDescent="0.25">
      <c r="A26" s="14">
        <f>'Kwh Reading'!A27</f>
        <v>44493</v>
      </c>
      <c r="B26" s="11">
        <f>TOTAL!F25</f>
        <v>0.15</v>
      </c>
      <c r="C26" s="11">
        <f>'Kwh Consumption'!B27*' Kwh area wise $ '!B26</f>
        <v>3517.5</v>
      </c>
      <c r="D26" s="1">
        <f>'Kwh Consumption'!C27*' Kwh area wise $ '!B26</f>
        <v>82.500000000001705</v>
      </c>
      <c r="E26" s="1">
        <f>'Kwh Consumption'!D27*' Kwh area wise $ '!B26</f>
        <v>419.99999999995373</v>
      </c>
      <c r="F26" s="1">
        <f>'Kwh Consumption'!E27*' Kwh area wise $ '!B26</f>
        <v>40.499999999997272</v>
      </c>
      <c r="G26" s="1">
        <f>('Kwh Consumption'!F27+'Kwh Consumption'!G27+'Kwh Consumption'!H27)*' Kwh area wise $ '!B26</f>
        <v>148.50000000000136</v>
      </c>
      <c r="H26" s="16">
        <f>('Kwh Consumption'!I27+'Kwh Consumption'!J27)*' Kwh area wise $ '!B26</f>
        <v>54.000000000002046</v>
      </c>
      <c r="I26" s="1">
        <f>('Kwh Consumption'!K27+'Kwh Consumption'!L27)*' Kwh area wise $ '!B26</f>
        <v>219.00000000001211</v>
      </c>
      <c r="J26" s="1">
        <f>('Kwh Consumption'!M27+'Kwh Consumption'!N27+'Kwh Consumption'!O27+'Kwh Consumption'!P27+'Kwh Consumption'!Q27+'Kwh Consumption'!R27)*' Kwh area wise $ '!B26</f>
        <v>829.50000000001296</v>
      </c>
      <c r="K26" s="1">
        <f>('Kwh Consumption'!S27+'Kwh Consumption'!T27)*' Kwh area wise $ '!B26</f>
        <v>1046306.8110000001</v>
      </c>
      <c r="L26" s="1">
        <f>'Kwh Consumption'!U27*' Kwh area wise $ '!B26</f>
        <v>37.5</v>
      </c>
      <c r="M26" s="1">
        <f>'Kwh Consumption'!V27*' Kwh area wise $ '!B26</f>
        <v>-1044620.8110000001</v>
      </c>
    </row>
    <row r="27" spans="1:13" x14ac:dyDescent="0.25">
      <c r="A27" s="14">
        <f>'Kwh Reading'!A28</f>
        <v>44494</v>
      </c>
      <c r="B27" s="11">
        <f>TOTAL!F26</f>
        <v>0.15</v>
      </c>
      <c r="C27" s="11">
        <f>'Kwh Consumption'!B28*' Kwh area wise $ '!B27</f>
        <v>3459</v>
      </c>
      <c r="D27" s="1">
        <f>'Kwh Consumption'!C28*' Kwh area wise $ '!B27</f>
        <v>81.00000000000307</v>
      </c>
      <c r="E27" s="1">
        <f>'Kwh Consumption'!D28*' Kwh area wise $ '!B27</f>
        <v>405.00000000005531</v>
      </c>
      <c r="F27" s="1">
        <f>'Kwh Consumption'!E28*' Kwh area wise $ '!B27</f>
        <v>39.000000000007162</v>
      </c>
      <c r="G27" s="1">
        <f>('Kwh Consumption'!F28+'Kwh Consumption'!G28+'Kwh Consumption'!H28)*' Kwh area wise $ '!B27</f>
        <v>166.50000000000205</v>
      </c>
      <c r="H27" s="16">
        <f>('Kwh Consumption'!I28+'Kwh Consumption'!J28)*' Kwh area wise $ '!B27</f>
        <v>55.500000000000682</v>
      </c>
      <c r="I27" s="1">
        <f>('Kwh Consumption'!K28+'Kwh Consumption'!L28)*' Kwh area wise $ '!B27</f>
        <v>199.49999999998454</v>
      </c>
      <c r="J27" s="1">
        <f>('Kwh Consumption'!M28+'Kwh Consumption'!N28+'Kwh Consumption'!O28+'Kwh Consumption'!P28+'Kwh Consumption'!Q28+'Kwh Consumption'!R28)*' Kwh area wise $ '!B27</f>
        <v>706.4999999999884</v>
      </c>
      <c r="K27" s="1">
        <f>('Kwh Consumption'!S28+'Kwh Consumption'!T28)*' Kwh area wise $ '!B27</f>
        <v>712.01999999983229</v>
      </c>
      <c r="L27" s="1">
        <f>'Kwh Consumption'!U28*' Kwh area wise $ '!B27</f>
        <v>37.5</v>
      </c>
      <c r="M27" s="1">
        <f>'Kwh Consumption'!V28*' Kwh area wise $ '!B27</f>
        <v>1056.4800000001267</v>
      </c>
    </row>
    <row r="28" spans="1:13" x14ac:dyDescent="0.25">
      <c r="A28" s="14">
        <f>'Kwh Reading'!A29</f>
        <v>44495</v>
      </c>
      <c r="B28" s="11">
        <f>TOTAL!F27</f>
        <v>0.15</v>
      </c>
      <c r="C28" s="11">
        <f>'Kwh Consumption'!B29*' Kwh area wise $ '!B28</f>
        <v>3387</v>
      </c>
      <c r="D28" s="1">
        <f>'Kwh Consumption'!C29*' Kwh area wise $ '!B28</f>
        <v>73.500000000001364</v>
      </c>
      <c r="E28" s="1">
        <f>'Kwh Consumption'!D29*' Kwh area wise $ '!B28</f>
        <v>404.99999999998869</v>
      </c>
      <c r="F28" s="1">
        <f>'Kwh Consumption'!E29*' Kwh area wise $ '!B28</f>
        <v>37.5</v>
      </c>
      <c r="G28" s="1">
        <f>('Kwh Consumption'!F29+'Kwh Consumption'!G29+'Kwh Consumption'!H29)*' Kwh area wise $ '!B28</f>
        <v>160.49999999999045</v>
      </c>
      <c r="H28" s="16">
        <f>('Kwh Consumption'!I29+'Kwh Consumption'!J29)*' Kwh area wise $ '!B28</f>
        <v>58.500000000002217</v>
      </c>
      <c r="I28" s="1">
        <f>('Kwh Consumption'!K29+'Kwh Consumption'!L29)*' Kwh area wise $ '!B28</f>
        <v>214.5000000000162</v>
      </c>
      <c r="J28" s="1">
        <f>('Kwh Consumption'!M29+'Kwh Consumption'!N29+'Kwh Consumption'!O29+'Kwh Consumption'!P29+'Kwh Consumption'!Q29+'Kwh Consumption'!R29)*' Kwh area wise $ '!B28</f>
        <v>802.49999999998636</v>
      </c>
      <c r="K28" s="1">
        <f>('Kwh Consumption'!S29+'Kwh Consumption'!T29)*' Kwh area wise $ '!B28</f>
        <v>758.46449999995525</v>
      </c>
      <c r="L28" s="1">
        <f>'Kwh Consumption'!U29*' Kwh area wise $ '!B28</f>
        <v>35.999999999997101</v>
      </c>
      <c r="M28" s="1">
        <f>'Kwh Consumption'!V29*' Kwh area wise $ '!B28</f>
        <v>840.53550000006214</v>
      </c>
    </row>
    <row r="29" spans="1:13" x14ac:dyDescent="0.25">
      <c r="A29" s="14">
        <f>'Kwh Reading'!A30</f>
        <v>44496</v>
      </c>
      <c r="B29" s="11">
        <f>TOTAL!F28</f>
        <v>0.15</v>
      </c>
      <c r="C29" s="11">
        <f>'Kwh Consumption'!B30*' Kwh area wise $ '!B29</f>
        <v>3337.5</v>
      </c>
      <c r="D29" s="1">
        <f>'Kwh Consumption'!C30*' Kwh area wise $ '!B29</f>
        <v>79.499999999995907</v>
      </c>
      <c r="E29" s="1">
        <f>'Kwh Consumption'!D30*' Kwh area wise $ '!B29</f>
        <v>404.99999999998869</v>
      </c>
      <c r="F29" s="1">
        <f>'Kwh Consumption'!E30*' Kwh area wise $ '!B29</f>
        <v>40.499999999997272</v>
      </c>
      <c r="G29" s="1">
        <f>('Kwh Consumption'!F30+'Kwh Consumption'!G30+'Kwh Consumption'!H30)*' Kwh area wise $ '!B29</f>
        <v>162.00000000000614</v>
      </c>
      <c r="H29" s="16">
        <f>('Kwh Consumption'!I30+'Kwh Consumption'!J30)*' Kwh area wise $ '!B29</f>
        <v>55.500000000000682</v>
      </c>
      <c r="I29" s="1">
        <f>('Kwh Consumption'!K30+'Kwh Consumption'!L30)*' Kwh area wise $ '!B29</f>
        <v>212.99999999997576</v>
      </c>
      <c r="J29" s="1">
        <f>('Kwh Consumption'!M30+'Kwh Consumption'!N30+'Kwh Consumption'!O30+'Kwh Consumption'!P30+'Kwh Consumption'!Q30+'Kwh Consumption'!R30)*' Kwh area wise $ '!B29</f>
        <v>693.00000000000068</v>
      </c>
      <c r="K29" s="1">
        <f>('Kwh Consumption'!S30+'Kwh Consumption'!T30)*' Kwh area wise $ '!B29</f>
        <v>728.09400000013409</v>
      </c>
      <c r="L29" s="1">
        <f>'Kwh Consumption'!U30*' Kwh area wise $ '!B29</f>
        <v>34.500000000002728</v>
      </c>
      <c r="M29" s="1">
        <f>'Kwh Consumption'!V30*' Kwh area wise $ '!B29</f>
        <v>926.40599999989809</v>
      </c>
    </row>
    <row r="30" spans="1:13" x14ac:dyDescent="0.25">
      <c r="A30" s="14">
        <f>'Kwh Reading'!A31</f>
        <v>44497</v>
      </c>
      <c r="B30" s="11">
        <f>TOTAL!F29</f>
        <v>0.15</v>
      </c>
      <c r="C30" s="11">
        <f>'Kwh Consumption'!B31*' Kwh area wise $ '!B30</f>
        <v>3499.5</v>
      </c>
      <c r="D30" s="1">
        <f>'Kwh Consumption'!C31*' Kwh area wise $ '!B30</f>
        <v>67.499999999998295</v>
      </c>
      <c r="E30" s="1">
        <f>'Kwh Consumption'!D31*' Kwh area wise $ '!B30</f>
        <v>404.99999999998869</v>
      </c>
      <c r="F30" s="1">
        <f>'Kwh Consumption'!E31*' Kwh area wise $ '!B30</f>
        <v>38.999999999998636</v>
      </c>
      <c r="G30" s="1">
        <f>('Kwh Consumption'!F31+'Kwh Consumption'!G31+'Kwh Consumption'!H31)*' Kwh area wise $ '!B30</f>
        <v>165.00000000000341</v>
      </c>
      <c r="H30" s="16">
        <f>('Kwh Consumption'!I31+'Kwh Consumption'!J31)*' Kwh area wise $ '!B30</f>
        <v>50.999999999996248</v>
      </c>
      <c r="I30" s="1">
        <f>('Kwh Consumption'!K31+'Kwh Consumption'!L31)*' Kwh area wise $ '!B30</f>
        <v>214.5000000000162</v>
      </c>
      <c r="J30" s="1">
        <f>('Kwh Consumption'!M31+'Kwh Consumption'!N31+'Kwh Consumption'!O31+'Kwh Consumption'!P31+'Kwh Consumption'!Q31+'Kwh Consumption'!R31)*' Kwh area wise $ '!B30</f>
        <v>718.49999999999454</v>
      </c>
      <c r="K30" s="1">
        <f>('Kwh Consumption'!S31+'Kwh Consumption'!T31)*' Kwh area wise $ '!B30</f>
        <v>719.78400000007821</v>
      </c>
      <c r="L30" s="1">
        <f>'Kwh Consumption'!U31*' Kwh area wise $ '!B30</f>
        <v>32.999999999999829</v>
      </c>
      <c r="M30" s="1">
        <f>'Kwh Consumption'!V31*' Kwh area wise $ '!B30</f>
        <v>1086.2159999999258</v>
      </c>
    </row>
    <row r="31" spans="1:13" x14ac:dyDescent="0.25">
      <c r="A31" s="14">
        <f>'Kwh Reading'!A32</f>
        <v>44498</v>
      </c>
      <c r="B31" s="11">
        <f>TOTAL!F30</f>
        <v>0.15</v>
      </c>
      <c r="C31" s="11">
        <f>'Kwh Consumption'!B32*' Kwh area wise $ '!B31</f>
        <v>3561</v>
      </c>
      <c r="D31" s="1">
        <f>'Kwh Consumption'!C32*' Kwh area wise $ '!B31</f>
        <v>40.500000000005798</v>
      </c>
      <c r="E31" s="1">
        <f>'Kwh Consumption'!D32*' Kwh area wise $ '!B31</f>
        <v>404.99999999998869</v>
      </c>
      <c r="F31" s="1">
        <f>'Kwh Consumption'!E32*' Kwh area wise $ '!B31</f>
        <v>40.499999999997272</v>
      </c>
      <c r="G31" s="1">
        <f>('Kwh Consumption'!F32+'Kwh Consumption'!G32+'Kwh Consumption'!H32)*' Kwh area wise $ '!B31</f>
        <v>154.49999999999591</v>
      </c>
      <c r="H31" s="16">
        <f>('Kwh Consumption'!I32+'Kwh Consumption'!J32)*' Kwh area wise $ '!B31</f>
        <v>58.500000000002217</v>
      </c>
      <c r="I31" s="1">
        <f>('Kwh Consumption'!K32+'Kwh Consumption'!L32)*' Kwh area wise $ '!B31</f>
        <v>231.00000000001319</v>
      </c>
      <c r="J31" s="1">
        <f>('Kwh Consumption'!M32+'Kwh Consumption'!N32+'Kwh Consumption'!O32+'Kwh Consumption'!P32+'Kwh Consumption'!Q32+'Kwh Consumption'!R32)*' Kwh area wise $ '!B31</f>
        <v>748.50000000001842</v>
      </c>
      <c r="K31" s="1">
        <f>('Kwh Consumption'!S32+'Kwh Consumption'!T32)*' Kwh area wise $ '!B31</f>
        <v>664.71449999981553</v>
      </c>
      <c r="L31" s="1">
        <f>'Kwh Consumption'!U32*' Kwh area wise $ '!B31</f>
        <v>32.999999999999829</v>
      </c>
      <c r="M31" s="1">
        <f>'Kwh Consumption'!V32*' Kwh area wise $ '!B31</f>
        <v>1184.785500000163</v>
      </c>
    </row>
    <row r="32" spans="1:13" x14ac:dyDescent="0.25">
      <c r="A32" s="14">
        <f>'Kwh Reading'!A33</f>
        <v>44499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-71433</v>
      </c>
      <c r="E32" s="1">
        <f>'Kwh Consumption'!D33*' Kwh area wise $ '!B32</f>
        <v>-401505</v>
      </c>
      <c r="F32" s="1">
        <f>'Kwh Consumption'!E33*' Kwh area wise $ '!B32</f>
        <v>-38909.999999999993</v>
      </c>
      <c r="G32" s="1">
        <f>('Kwh Consumption'!F33+'Kwh Consumption'!G33+'Kwh Consumption'!H33)*' Kwh area wise $ '!B32</f>
        <v>-147468</v>
      </c>
      <c r="H32" s="16">
        <f>('Kwh Consumption'!I33+'Kwh Consumption'!J33)*' Kwh area wise $ '!B32</f>
        <v>-47769</v>
      </c>
      <c r="I32" s="1">
        <f>('Kwh Consumption'!K33+'Kwh Consumption'!L33)*' Kwh area wise $ '!B32</f>
        <v>-211774.5</v>
      </c>
      <c r="J32" s="1">
        <f>('Kwh Consumption'!M33+'Kwh Consumption'!N33+'Kwh Consumption'!O33+'Kwh Consumption'!P33+'Kwh Consumption'!Q33+'Kwh Consumption'!R33)*' Kwh area wise $ '!B32</f>
        <v>-599808</v>
      </c>
      <c r="K32" s="1">
        <f>('Kwh Consumption'!S33+'Kwh Consumption'!T33)*' Kwh area wise $ '!B32</f>
        <v>-2445418.4279999998</v>
      </c>
      <c r="L32" s="1">
        <f>'Kwh Consumption'!U33*' Kwh area wise $ '!B32</f>
        <v>-26769</v>
      </c>
      <c r="M32" s="1">
        <f>'Kwh Consumption'!V33*' Kwh area wise $ '!B32</f>
        <v>3990854.9279999994</v>
      </c>
    </row>
    <row r="33" spans="1:14" x14ac:dyDescent="0.25">
      <c r="A33" s="14">
        <f>'Kwh Reading'!A34</f>
        <v>44500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4" t="s">
        <v>52</v>
      </c>
      <c r="B34" s="144"/>
      <c r="C34" s="73">
        <f t="shared" ref="C34:L34" si="0">SUM(C3:C33)</f>
        <v>97473</v>
      </c>
      <c r="D34" s="73">
        <f t="shared" si="0"/>
        <v>-69468</v>
      </c>
      <c r="E34" s="73">
        <f t="shared" si="0"/>
        <v>-390210</v>
      </c>
      <c r="F34" s="73">
        <f t="shared" si="0"/>
        <v>-37798.5</v>
      </c>
      <c r="G34" s="73">
        <f t="shared" si="0"/>
        <v>-143905.5</v>
      </c>
      <c r="H34" s="73">
        <f t="shared" si="0"/>
        <v>-46204.5</v>
      </c>
      <c r="I34" s="73">
        <f t="shared" si="0"/>
        <v>-205417.49999999997</v>
      </c>
      <c r="J34" s="73">
        <f t="shared" si="0"/>
        <v>-578589</v>
      </c>
      <c r="K34" s="73">
        <f t="shared" si="0"/>
        <v>-2423847.0315</v>
      </c>
      <c r="L34" s="73">
        <f t="shared" si="0"/>
        <v>-25754.999999999996</v>
      </c>
      <c r="M34" s="73">
        <f>SUM(M3:M33)</f>
        <v>4018668.0314999996</v>
      </c>
      <c r="N34" s="82">
        <f>D34+E34+F34+G34+H34+I34+J34+K34+L34+M34</f>
        <v>97472.999999999534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I37" sqref="I3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8" t="s">
        <v>74</v>
      </c>
      <c r="C1" s="48" t="s">
        <v>75</v>
      </c>
      <c r="D1" s="48" t="s">
        <v>76</v>
      </c>
      <c r="E1" s="48" t="s">
        <v>77</v>
      </c>
      <c r="F1" s="48" t="s">
        <v>78</v>
      </c>
      <c r="G1" s="48" t="s">
        <v>79</v>
      </c>
      <c r="H1" s="48" t="s">
        <v>80</v>
      </c>
      <c r="I1" s="48" t="s">
        <v>81</v>
      </c>
      <c r="J1" s="48" t="s">
        <v>82</v>
      </c>
      <c r="K1" s="48" t="s">
        <v>83</v>
      </c>
      <c r="L1" s="48" t="s">
        <v>84</v>
      </c>
      <c r="M1" s="48" t="s">
        <v>85</v>
      </c>
      <c r="N1" s="48" t="s">
        <v>86</v>
      </c>
      <c r="O1" s="48" t="s">
        <v>87</v>
      </c>
      <c r="P1" s="48" t="s">
        <v>88</v>
      </c>
      <c r="Q1" s="48" t="s">
        <v>89</v>
      </c>
      <c r="R1" s="48" t="s">
        <v>90</v>
      </c>
    </row>
    <row r="2" spans="1:21" s="52" customFormat="1" ht="30.75" thickTop="1" x14ac:dyDescent="0.25">
      <c r="A2" s="49" t="s">
        <v>31</v>
      </c>
      <c r="B2" s="50" t="s">
        <v>91</v>
      </c>
      <c r="C2" s="50" t="s">
        <v>92</v>
      </c>
      <c r="D2" s="51" t="s">
        <v>93</v>
      </c>
      <c r="E2" s="51" t="s">
        <v>94</v>
      </c>
      <c r="F2" s="51" t="s">
        <v>95</v>
      </c>
      <c r="G2" s="51" t="s">
        <v>96</v>
      </c>
      <c r="H2" s="51" t="s">
        <v>97</v>
      </c>
      <c r="I2" s="51" t="s">
        <v>98</v>
      </c>
      <c r="J2" s="51" t="s">
        <v>99</v>
      </c>
      <c r="K2" s="51" t="s">
        <v>100</v>
      </c>
      <c r="L2" s="51" t="s">
        <v>101</v>
      </c>
      <c r="M2" s="51" t="s">
        <v>102</v>
      </c>
      <c r="N2" s="51" t="s">
        <v>103</v>
      </c>
      <c r="O2" s="51" t="s">
        <v>104</v>
      </c>
      <c r="P2" s="51" t="s">
        <v>105</v>
      </c>
      <c r="Q2" s="51" t="s">
        <v>106</v>
      </c>
      <c r="R2" s="51" t="s">
        <v>107</v>
      </c>
    </row>
    <row r="3" spans="1:21" x14ac:dyDescent="0.25">
      <c r="A3" s="53">
        <v>44470</v>
      </c>
      <c r="B3" s="32">
        <v>186122</v>
      </c>
      <c r="C3" s="55">
        <v>148431</v>
      </c>
      <c r="D3" s="109">
        <v>223125</v>
      </c>
      <c r="E3" s="109">
        <v>253147</v>
      </c>
      <c r="F3" s="109">
        <v>66997</v>
      </c>
      <c r="G3" s="109">
        <v>113275</v>
      </c>
      <c r="H3" s="109">
        <v>56358</v>
      </c>
      <c r="I3" s="109">
        <v>66371</v>
      </c>
      <c r="J3" s="109">
        <v>21313</v>
      </c>
      <c r="K3" s="109">
        <v>1024</v>
      </c>
      <c r="L3" s="109">
        <v>17921</v>
      </c>
      <c r="M3" s="109">
        <v>25569</v>
      </c>
      <c r="N3" s="109">
        <v>7704</v>
      </c>
      <c r="O3" s="109">
        <v>1768</v>
      </c>
      <c r="P3" s="109">
        <v>28036</v>
      </c>
      <c r="Q3" s="109">
        <v>1011</v>
      </c>
      <c r="R3" s="109">
        <v>6759</v>
      </c>
    </row>
    <row r="4" spans="1:21" x14ac:dyDescent="0.25">
      <c r="A4" s="53">
        <v>44471</v>
      </c>
      <c r="B4" s="55">
        <v>186215</v>
      </c>
      <c r="C4" s="55">
        <v>148545</v>
      </c>
      <c r="D4" s="109">
        <v>223199</v>
      </c>
      <c r="E4" s="109">
        <v>253195</v>
      </c>
      <c r="F4" s="109">
        <v>66997</v>
      </c>
      <c r="G4" s="109">
        <v>113291</v>
      </c>
      <c r="H4" s="109">
        <v>56395</v>
      </c>
      <c r="I4" s="109">
        <v>66395</v>
      </c>
      <c r="J4" s="109">
        <v>21322</v>
      </c>
      <c r="K4" s="109">
        <v>1024</v>
      </c>
      <c r="L4" s="109">
        <v>17928</v>
      </c>
      <c r="M4" s="109">
        <v>25582</v>
      </c>
      <c r="N4" s="109">
        <v>7709</v>
      </c>
      <c r="O4" s="109">
        <v>1768</v>
      </c>
      <c r="P4" s="109">
        <v>28036</v>
      </c>
      <c r="Q4" s="109">
        <v>1012</v>
      </c>
      <c r="R4" s="109">
        <v>6761</v>
      </c>
    </row>
    <row r="5" spans="1:21" x14ac:dyDescent="0.25">
      <c r="A5" s="53">
        <v>44472</v>
      </c>
      <c r="B5" s="54">
        <v>186305</v>
      </c>
      <c r="C5" s="32">
        <v>148514</v>
      </c>
      <c r="D5" s="109">
        <v>223299</v>
      </c>
      <c r="E5" s="109">
        <v>253243</v>
      </c>
      <c r="F5" s="109">
        <v>66997</v>
      </c>
      <c r="G5" s="109">
        <v>113305</v>
      </c>
      <c r="H5" s="109">
        <v>56417</v>
      </c>
      <c r="I5" s="109">
        <v>66410</v>
      </c>
      <c r="J5" s="109">
        <v>21332</v>
      </c>
      <c r="K5" s="109">
        <v>1024</v>
      </c>
      <c r="L5" s="109">
        <v>17935</v>
      </c>
      <c r="M5" s="109">
        <v>25595</v>
      </c>
      <c r="N5" s="109">
        <v>7712</v>
      </c>
      <c r="O5" s="109">
        <v>1769</v>
      </c>
      <c r="P5" s="109">
        <v>28043</v>
      </c>
      <c r="Q5" s="109">
        <v>1014</v>
      </c>
      <c r="R5" s="109">
        <v>6767</v>
      </c>
    </row>
    <row r="6" spans="1:21" x14ac:dyDescent="0.25">
      <c r="A6" s="53">
        <v>44473</v>
      </c>
      <c r="B6" s="55">
        <v>186409</v>
      </c>
      <c r="C6" s="55">
        <v>148463</v>
      </c>
      <c r="D6" s="109">
        <v>223375</v>
      </c>
      <c r="E6" s="109">
        <v>253292</v>
      </c>
      <c r="F6" s="109">
        <v>66998</v>
      </c>
      <c r="G6" s="109">
        <v>113321</v>
      </c>
      <c r="H6" s="109">
        <v>56447</v>
      </c>
      <c r="I6" s="109">
        <v>66443</v>
      </c>
      <c r="J6" s="109">
        <v>21342</v>
      </c>
      <c r="K6" s="109">
        <v>1024</v>
      </c>
      <c r="L6" s="109">
        <v>17942</v>
      </c>
      <c r="M6" s="109">
        <v>25606</v>
      </c>
      <c r="N6" s="109">
        <v>7716</v>
      </c>
      <c r="O6" s="109">
        <v>1770</v>
      </c>
      <c r="P6" s="109">
        <v>28060</v>
      </c>
      <c r="Q6" s="109">
        <v>1016</v>
      </c>
      <c r="R6" s="109">
        <v>6772</v>
      </c>
    </row>
    <row r="7" spans="1:21" x14ac:dyDescent="0.25">
      <c r="A7" s="53">
        <v>44474</v>
      </c>
      <c r="B7" s="55">
        <v>186495</v>
      </c>
      <c r="C7" s="32">
        <v>149108</v>
      </c>
      <c r="D7" s="109">
        <v>223448</v>
      </c>
      <c r="E7" s="109">
        <v>253344</v>
      </c>
      <c r="F7" s="109">
        <v>66998</v>
      </c>
      <c r="G7" s="109">
        <v>113335</v>
      </c>
      <c r="H7" s="109">
        <v>56477</v>
      </c>
      <c r="I7" s="109">
        <v>66476</v>
      </c>
      <c r="J7" s="109">
        <v>21351</v>
      </c>
      <c r="K7" s="109">
        <v>1024</v>
      </c>
      <c r="L7" s="109">
        <v>17949</v>
      </c>
      <c r="M7" s="109">
        <v>25618</v>
      </c>
      <c r="N7" s="109">
        <v>7720</v>
      </c>
      <c r="O7" s="109">
        <v>1772</v>
      </c>
      <c r="P7" s="109">
        <v>28077</v>
      </c>
      <c r="Q7" s="109">
        <v>1020</v>
      </c>
      <c r="R7" s="109">
        <v>6777</v>
      </c>
    </row>
    <row r="8" spans="1:21" x14ac:dyDescent="0.25">
      <c r="A8" s="53">
        <v>44475</v>
      </c>
      <c r="B8" s="32">
        <v>186606</v>
      </c>
      <c r="C8" s="55">
        <v>149292</v>
      </c>
      <c r="D8" s="109">
        <v>223549</v>
      </c>
      <c r="E8" s="109">
        <v>253396</v>
      </c>
      <c r="F8" s="109">
        <v>66998</v>
      </c>
      <c r="G8" s="109">
        <v>113350</v>
      </c>
      <c r="H8" s="109">
        <v>56531</v>
      </c>
      <c r="I8" s="109">
        <v>66511</v>
      </c>
      <c r="J8" s="109">
        <v>21361</v>
      </c>
      <c r="K8" s="109">
        <v>1024</v>
      </c>
      <c r="L8" s="109">
        <v>17957</v>
      </c>
      <c r="M8" s="109">
        <v>25633</v>
      </c>
      <c r="N8" s="109">
        <v>7724</v>
      </c>
      <c r="O8" s="109">
        <v>1775</v>
      </c>
      <c r="P8" s="109">
        <v>28091</v>
      </c>
      <c r="Q8" s="109">
        <v>1028</v>
      </c>
      <c r="R8" s="109">
        <v>6781</v>
      </c>
    </row>
    <row r="9" spans="1:21" x14ac:dyDescent="0.25">
      <c r="A9" s="53">
        <v>44476</v>
      </c>
      <c r="B9" s="55">
        <v>186714</v>
      </c>
      <c r="C9" s="32">
        <v>149370</v>
      </c>
      <c r="D9" s="109">
        <v>223653</v>
      </c>
      <c r="E9" s="109">
        <v>253448</v>
      </c>
      <c r="F9" s="109">
        <v>66998</v>
      </c>
      <c r="G9" s="109">
        <v>113365</v>
      </c>
      <c r="H9" s="109">
        <v>56579</v>
      </c>
      <c r="I9" s="109">
        <v>66543</v>
      </c>
      <c r="J9" s="109">
        <v>21371</v>
      </c>
      <c r="K9" s="109">
        <v>1024</v>
      </c>
      <c r="L9" s="109">
        <v>17963</v>
      </c>
      <c r="M9" s="109">
        <v>25646</v>
      </c>
      <c r="N9" s="109">
        <v>7728</v>
      </c>
      <c r="O9" s="109">
        <v>1776</v>
      </c>
      <c r="P9" s="109">
        <v>28106</v>
      </c>
      <c r="Q9" s="109">
        <v>1032</v>
      </c>
      <c r="R9" s="109">
        <v>6786</v>
      </c>
    </row>
    <row r="10" spans="1:21" x14ac:dyDescent="0.25">
      <c r="A10" s="53">
        <v>44477</v>
      </c>
      <c r="B10" s="32">
        <v>186850</v>
      </c>
      <c r="C10" s="55">
        <v>149485</v>
      </c>
      <c r="D10" s="109">
        <v>223781</v>
      </c>
      <c r="E10" s="109">
        <v>253497</v>
      </c>
      <c r="F10" s="109">
        <v>66998</v>
      </c>
      <c r="G10" s="109">
        <v>113379</v>
      </c>
      <c r="H10" s="109">
        <v>56627</v>
      </c>
      <c r="I10" s="109">
        <v>66563</v>
      </c>
      <c r="J10" s="109">
        <v>21381</v>
      </c>
      <c r="K10" s="109">
        <v>1024</v>
      </c>
      <c r="L10" s="109">
        <v>17970</v>
      </c>
      <c r="M10" s="109">
        <v>25658</v>
      </c>
      <c r="N10" s="109">
        <v>7731</v>
      </c>
      <c r="O10" s="109">
        <v>1777</v>
      </c>
      <c r="P10" s="109">
        <v>28113</v>
      </c>
      <c r="Q10" s="109">
        <v>1033</v>
      </c>
      <c r="R10" s="109">
        <v>6791</v>
      </c>
    </row>
    <row r="11" spans="1:21" x14ac:dyDescent="0.25">
      <c r="A11" s="53">
        <v>44478</v>
      </c>
      <c r="B11" s="55">
        <v>186972</v>
      </c>
      <c r="C11" s="32">
        <v>149575</v>
      </c>
      <c r="D11" s="109">
        <v>223901</v>
      </c>
      <c r="E11" s="109">
        <v>253554</v>
      </c>
      <c r="F11" s="109">
        <v>66998</v>
      </c>
      <c r="G11" s="109">
        <v>113393</v>
      </c>
      <c r="H11" s="109">
        <v>56686</v>
      </c>
      <c r="I11" s="109">
        <v>66601</v>
      </c>
      <c r="J11" s="109">
        <v>21390</v>
      </c>
      <c r="K11" s="109">
        <v>1024</v>
      </c>
      <c r="L11" s="109">
        <v>17977</v>
      </c>
      <c r="M11" s="109">
        <v>25670</v>
      </c>
      <c r="N11" s="109">
        <v>7746</v>
      </c>
      <c r="O11" s="109">
        <v>1779</v>
      </c>
      <c r="P11" s="109">
        <v>28128</v>
      </c>
      <c r="Q11" s="109">
        <v>1036</v>
      </c>
      <c r="R11" s="109">
        <v>6792</v>
      </c>
    </row>
    <row r="12" spans="1:21" x14ac:dyDescent="0.25">
      <c r="A12" s="53">
        <v>44479</v>
      </c>
      <c r="B12" s="32">
        <v>187092</v>
      </c>
      <c r="C12" s="55">
        <v>150148</v>
      </c>
      <c r="D12" s="109">
        <v>224030</v>
      </c>
      <c r="E12" s="109">
        <v>253634</v>
      </c>
      <c r="F12" s="109">
        <v>66999</v>
      </c>
      <c r="G12" s="109">
        <v>113412</v>
      </c>
      <c r="H12" s="109">
        <v>56707</v>
      </c>
      <c r="I12" s="109">
        <v>66617</v>
      </c>
      <c r="J12" s="109">
        <v>21400</v>
      </c>
      <c r="K12" s="109">
        <v>1024</v>
      </c>
      <c r="L12" s="109">
        <v>17983</v>
      </c>
      <c r="M12" s="109">
        <v>25683</v>
      </c>
      <c r="N12" s="109">
        <v>7803</v>
      </c>
      <c r="O12" s="109">
        <v>1780</v>
      </c>
      <c r="P12" s="109">
        <v>28128</v>
      </c>
      <c r="Q12" s="109">
        <v>1037</v>
      </c>
      <c r="R12" s="109">
        <v>6797</v>
      </c>
    </row>
    <row r="13" spans="1:21" x14ac:dyDescent="0.25">
      <c r="A13" s="53">
        <v>44480</v>
      </c>
      <c r="B13" s="55">
        <v>187194</v>
      </c>
      <c r="C13" s="32">
        <v>150215</v>
      </c>
      <c r="D13" s="109">
        <v>224135</v>
      </c>
      <c r="E13" s="109">
        <v>253693</v>
      </c>
      <c r="F13" s="109">
        <v>67000</v>
      </c>
      <c r="G13" s="109">
        <v>113428</v>
      </c>
      <c r="H13" s="109">
        <v>56730</v>
      </c>
      <c r="I13" s="109">
        <v>66648</v>
      </c>
      <c r="J13" s="109">
        <v>21408</v>
      </c>
      <c r="K13" s="109">
        <v>1024</v>
      </c>
      <c r="L13" s="109">
        <v>17989</v>
      </c>
      <c r="M13" s="109">
        <v>25695</v>
      </c>
      <c r="N13" s="109">
        <v>7822</v>
      </c>
      <c r="O13" s="109">
        <v>1782</v>
      </c>
      <c r="P13" s="109">
        <v>28152</v>
      </c>
      <c r="Q13" s="109">
        <v>1039</v>
      </c>
      <c r="R13" s="109">
        <v>6803</v>
      </c>
    </row>
    <row r="14" spans="1:21" x14ac:dyDescent="0.25">
      <c r="A14" s="53">
        <v>44481</v>
      </c>
      <c r="B14" s="32">
        <v>187339</v>
      </c>
      <c r="C14" s="32">
        <v>150215</v>
      </c>
      <c r="D14" s="109">
        <v>224277</v>
      </c>
      <c r="E14" s="109">
        <v>253747</v>
      </c>
      <c r="F14" s="109">
        <v>67001</v>
      </c>
      <c r="G14" s="109">
        <v>113449</v>
      </c>
      <c r="H14" s="109">
        <v>56750</v>
      </c>
      <c r="I14" s="109">
        <v>66752</v>
      </c>
      <c r="J14" s="109">
        <v>21416</v>
      </c>
      <c r="K14" s="109">
        <v>1024</v>
      </c>
      <c r="L14" s="109">
        <v>17995</v>
      </c>
      <c r="M14" s="109">
        <v>25707</v>
      </c>
      <c r="N14" s="109">
        <v>7827</v>
      </c>
      <c r="O14" s="109">
        <v>1782</v>
      </c>
      <c r="P14" s="109">
        <v>28214</v>
      </c>
      <c r="Q14" s="109">
        <v>1042</v>
      </c>
      <c r="R14" s="109">
        <v>6809</v>
      </c>
    </row>
    <row r="15" spans="1:21" x14ac:dyDescent="0.25">
      <c r="A15" s="53">
        <v>44482</v>
      </c>
      <c r="B15" s="32">
        <v>187453</v>
      </c>
      <c r="C15" s="32">
        <v>150215</v>
      </c>
      <c r="D15" s="109">
        <v>224394</v>
      </c>
      <c r="E15" s="109">
        <v>253801</v>
      </c>
      <c r="F15" s="109">
        <v>67002</v>
      </c>
      <c r="G15" s="109">
        <v>113465</v>
      </c>
      <c r="H15" s="109">
        <v>56788</v>
      </c>
      <c r="I15" s="109">
        <v>66784</v>
      </c>
      <c r="J15" s="109">
        <v>21423</v>
      </c>
      <c r="K15" s="109">
        <v>1024</v>
      </c>
      <c r="L15" s="109">
        <v>18002</v>
      </c>
      <c r="M15" s="109">
        <v>25721</v>
      </c>
      <c r="N15" s="109">
        <v>7833</v>
      </c>
      <c r="O15" s="109">
        <v>1783</v>
      </c>
      <c r="P15" s="109">
        <v>28226</v>
      </c>
      <c r="Q15" s="109">
        <v>1044</v>
      </c>
      <c r="R15" s="109">
        <v>6814</v>
      </c>
      <c r="T15" s="107"/>
      <c r="U15" s="107"/>
    </row>
    <row r="16" spans="1:21" x14ac:dyDescent="0.25">
      <c r="A16" s="53">
        <v>44483</v>
      </c>
      <c r="B16" s="32"/>
      <c r="C16" s="55"/>
      <c r="D16" s="109">
        <v>224527</v>
      </c>
      <c r="E16" s="109">
        <v>253854</v>
      </c>
      <c r="F16" s="109">
        <v>67002</v>
      </c>
      <c r="G16" s="109">
        <v>113480</v>
      </c>
      <c r="H16" s="109">
        <v>56831</v>
      </c>
      <c r="I16" s="109">
        <v>66818</v>
      </c>
      <c r="J16" s="109">
        <v>21431</v>
      </c>
      <c r="K16" s="109">
        <v>1024</v>
      </c>
      <c r="L16" s="109">
        <v>18003</v>
      </c>
      <c r="M16" s="109">
        <v>25734</v>
      </c>
      <c r="N16" s="109">
        <v>7840</v>
      </c>
      <c r="O16" s="109">
        <v>1784</v>
      </c>
      <c r="P16" s="109">
        <v>28241</v>
      </c>
      <c r="Q16" s="109">
        <v>1045</v>
      </c>
      <c r="R16" s="109">
        <v>6820</v>
      </c>
    </row>
    <row r="17" spans="1:22" x14ac:dyDescent="0.25">
      <c r="A17" s="53">
        <v>44484</v>
      </c>
      <c r="B17" s="32"/>
      <c r="C17" s="32"/>
      <c r="D17" s="109">
        <v>224739</v>
      </c>
      <c r="E17" s="109">
        <v>253910</v>
      </c>
      <c r="F17" s="109">
        <v>67002</v>
      </c>
      <c r="G17" s="109">
        <v>113501</v>
      </c>
      <c r="H17" s="109">
        <v>56865</v>
      </c>
      <c r="I17" s="109">
        <v>66854</v>
      </c>
      <c r="J17" s="109">
        <v>21439</v>
      </c>
      <c r="K17" s="109">
        <v>1024</v>
      </c>
      <c r="L17" s="109">
        <v>18014</v>
      </c>
      <c r="M17" s="109">
        <v>25736</v>
      </c>
      <c r="N17" s="109">
        <v>7845</v>
      </c>
      <c r="O17" s="109">
        <v>1785</v>
      </c>
      <c r="P17" s="109">
        <v>28253</v>
      </c>
      <c r="Q17" s="109">
        <v>1045</v>
      </c>
      <c r="R17" s="109">
        <v>6825</v>
      </c>
    </row>
    <row r="18" spans="1:22" x14ac:dyDescent="0.25">
      <c r="A18" s="53">
        <v>44485</v>
      </c>
      <c r="B18" s="32"/>
      <c r="C18" s="55"/>
      <c r="D18" s="109">
        <v>224835</v>
      </c>
      <c r="E18" s="109">
        <v>253961</v>
      </c>
      <c r="F18" s="109">
        <v>67002</v>
      </c>
      <c r="G18" s="109">
        <v>113513</v>
      </c>
      <c r="H18" s="109">
        <v>56920</v>
      </c>
      <c r="I18" s="109">
        <v>66890</v>
      </c>
      <c r="J18" s="109">
        <v>21446</v>
      </c>
      <c r="K18" s="109">
        <v>1024</v>
      </c>
      <c r="L18" s="109">
        <v>18022</v>
      </c>
      <c r="M18" s="109">
        <v>25758</v>
      </c>
      <c r="N18" s="109">
        <v>7850</v>
      </c>
      <c r="O18" s="109">
        <v>1789</v>
      </c>
      <c r="P18" s="109">
        <v>28267</v>
      </c>
      <c r="Q18" s="109">
        <v>1049</v>
      </c>
      <c r="R18" s="109">
        <v>6826</v>
      </c>
      <c r="U18" s="107"/>
    </row>
    <row r="19" spans="1:22" x14ac:dyDescent="0.25">
      <c r="A19" s="53">
        <v>44486</v>
      </c>
      <c r="B19" s="32"/>
      <c r="C19" s="32"/>
      <c r="D19" s="109">
        <v>224969</v>
      </c>
      <c r="E19" s="109">
        <v>254019</v>
      </c>
      <c r="F19" s="109">
        <v>67003</v>
      </c>
      <c r="G19" s="109">
        <v>113539</v>
      </c>
      <c r="H19" s="109">
        <v>57001</v>
      </c>
      <c r="I19" s="109">
        <v>66914</v>
      </c>
      <c r="J19" s="109">
        <v>21452</v>
      </c>
      <c r="K19" s="109">
        <v>1024</v>
      </c>
      <c r="L19" s="109">
        <v>18027</v>
      </c>
      <c r="M19" s="109">
        <v>25769</v>
      </c>
      <c r="N19" s="109">
        <v>7859</v>
      </c>
      <c r="O19" s="109">
        <v>1787</v>
      </c>
      <c r="P19" s="109">
        <v>28287</v>
      </c>
      <c r="Q19" s="109">
        <v>1050</v>
      </c>
      <c r="R19" s="109">
        <v>6833</v>
      </c>
    </row>
    <row r="20" spans="1:22" x14ac:dyDescent="0.25">
      <c r="A20" s="53">
        <v>44487</v>
      </c>
      <c r="B20" s="32"/>
      <c r="C20" s="55"/>
      <c r="D20" s="110">
        <v>225081</v>
      </c>
      <c r="E20" s="109">
        <v>254073</v>
      </c>
      <c r="F20" s="109">
        <v>67003</v>
      </c>
      <c r="G20" s="109">
        <v>113560</v>
      </c>
      <c r="H20" s="109">
        <v>57049</v>
      </c>
      <c r="I20" s="109">
        <v>66958</v>
      </c>
      <c r="J20" s="109">
        <v>21461</v>
      </c>
      <c r="K20" s="109">
        <v>1024</v>
      </c>
      <c r="L20" s="109">
        <v>18030</v>
      </c>
      <c r="M20" s="109">
        <v>25782</v>
      </c>
      <c r="N20" s="109">
        <v>7863</v>
      </c>
      <c r="O20" s="109">
        <v>1788</v>
      </c>
      <c r="P20" s="109">
        <v>28287</v>
      </c>
      <c r="Q20" s="109">
        <v>1050</v>
      </c>
      <c r="R20" s="109">
        <v>6839</v>
      </c>
    </row>
    <row r="21" spans="1:22" x14ac:dyDescent="0.25">
      <c r="A21" s="53">
        <v>44488</v>
      </c>
      <c r="B21" s="32"/>
      <c r="C21" s="32"/>
      <c r="D21" s="109">
        <v>225181</v>
      </c>
      <c r="E21" s="109">
        <v>254127</v>
      </c>
      <c r="F21" s="109">
        <v>67004</v>
      </c>
      <c r="G21" s="109">
        <v>113575</v>
      </c>
      <c r="H21" s="109">
        <v>57070</v>
      </c>
      <c r="I21" s="109">
        <v>67036</v>
      </c>
      <c r="J21" s="109">
        <v>21468</v>
      </c>
      <c r="K21" s="109">
        <v>1024</v>
      </c>
      <c r="L21" s="109">
        <v>18040</v>
      </c>
      <c r="M21" s="109">
        <v>25794</v>
      </c>
      <c r="N21" s="109">
        <v>7867</v>
      </c>
      <c r="O21" s="109">
        <v>1788</v>
      </c>
      <c r="P21" s="109">
        <v>28295</v>
      </c>
      <c r="Q21" s="109">
        <v>1050</v>
      </c>
      <c r="R21" s="109">
        <v>6846</v>
      </c>
    </row>
    <row r="22" spans="1:22" x14ac:dyDescent="0.25">
      <c r="A22" s="53">
        <v>44489</v>
      </c>
      <c r="B22" s="32"/>
      <c r="C22" s="55"/>
      <c r="D22" s="109">
        <v>225315</v>
      </c>
      <c r="E22" s="109">
        <v>254188</v>
      </c>
      <c r="F22" s="109">
        <v>67004</v>
      </c>
      <c r="G22" s="109">
        <v>113601</v>
      </c>
      <c r="H22" s="109">
        <v>57123</v>
      </c>
      <c r="I22" s="109">
        <v>67078</v>
      </c>
      <c r="J22" s="109">
        <v>21476</v>
      </c>
      <c r="K22" s="109">
        <v>1024</v>
      </c>
      <c r="L22" s="109">
        <v>18048</v>
      </c>
      <c r="M22" s="109">
        <v>25808</v>
      </c>
      <c r="N22" s="109">
        <v>7871</v>
      </c>
      <c r="O22" s="109">
        <v>1789</v>
      </c>
      <c r="P22" s="109">
        <v>28307</v>
      </c>
      <c r="Q22" s="109">
        <v>1051</v>
      </c>
      <c r="R22" s="109">
        <v>6853</v>
      </c>
    </row>
    <row r="23" spans="1:22" x14ac:dyDescent="0.25">
      <c r="A23" s="53">
        <v>44490</v>
      </c>
      <c r="B23" s="32"/>
      <c r="C23" s="32"/>
      <c r="D23" s="109">
        <v>225452</v>
      </c>
      <c r="E23" s="109">
        <v>254243</v>
      </c>
      <c r="F23" s="109">
        <v>67005</v>
      </c>
      <c r="G23" s="109">
        <v>113624</v>
      </c>
      <c r="H23" s="109">
        <v>57172</v>
      </c>
      <c r="I23" s="109">
        <v>67103</v>
      </c>
      <c r="J23" s="109">
        <v>21483</v>
      </c>
      <c r="K23" s="109">
        <v>1024</v>
      </c>
      <c r="L23" s="109">
        <v>18052</v>
      </c>
      <c r="M23" s="109">
        <v>25820</v>
      </c>
      <c r="N23" s="109">
        <v>7877</v>
      </c>
      <c r="O23" s="109">
        <v>1790</v>
      </c>
      <c r="P23" s="109">
        <v>28307</v>
      </c>
      <c r="Q23" s="109">
        <v>1054</v>
      </c>
      <c r="R23" s="109">
        <v>6863</v>
      </c>
      <c r="S23" s="10" t="s">
        <v>128</v>
      </c>
    </row>
    <row r="24" spans="1:22" x14ac:dyDescent="0.25">
      <c r="A24" s="53">
        <v>44491</v>
      </c>
      <c r="B24" s="32"/>
      <c r="C24" s="55"/>
      <c r="D24" s="109">
        <v>225597</v>
      </c>
      <c r="E24" s="109">
        <v>254298</v>
      </c>
      <c r="F24" s="109">
        <v>67006</v>
      </c>
      <c r="G24" s="109">
        <v>113649</v>
      </c>
      <c r="H24" s="109">
        <v>57230</v>
      </c>
      <c r="I24" s="109">
        <v>67146</v>
      </c>
      <c r="J24" s="109">
        <v>21491</v>
      </c>
      <c r="K24" s="109">
        <v>1024</v>
      </c>
      <c r="L24" s="109">
        <v>18058</v>
      </c>
      <c r="M24" s="109">
        <v>25837</v>
      </c>
      <c r="N24" s="109">
        <v>7882</v>
      </c>
      <c r="O24" s="109">
        <v>1791</v>
      </c>
      <c r="P24" s="109">
        <v>28323</v>
      </c>
      <c r="Q24" s="109">
        <v>1056</v>
      </c>
      <c r="R24" s="109">
        <v>6868</v>
      </c>
    </row>
    <row r="25" spans="1:22" x14ac:dyDescent="0.25">
      <c r="A25" s="53">
        <v>44492</v>
      </c>
      <c r="B25" s="32"/>
      <c r="C25" s="32"/>
      <c r="D25" s="109">
        <v>225731</v>
      </c>
      <c r="E25" s="109">
        <v>254349</v>
      </c>
      <c r="F25" s="109">
        <v>67009</v>
      </c>
      <c r="G25" s="109">
        <v>113673</v>
      </c>
      <c r="H25" s="109">
        <v>57285</v>
      </c>
      <c r="I25" s="109">
        <v>67212</v>
      </c>
      <c r="J25" s="109">
        <v>21499</v>
      </c>
      <c r="K25" s="109">
        <v>1024</v>
      </c>
      <c r="L25" s="109">
        <v>18065</v>
      </c>
      <c r="M25" s="109">
        <v>25843</v>
      </c>
      <c r="N25" s="109">
        <v>7885</v>
      </c>
      <c r="O25" s="109">
        <v>1791</v>
      </c>
      <c r="P25" s="109">
        <v>28365</v>
      </c>
      <c r="Q25" s="109">
        <v>1059</v>
      </c>
      <c r="R25" s="109">
        <v>6869</v>
      </c>
    </row>
    <row r="26" spans="1:22" x14ac:dyDescent="0.25">
      <c r="A26" s="53">
        <v>44493</v>
      </c>
      <c r="B26" s="32"/>
      <c r="C26" s="55"/>
      <c r="D26" s="109">
        <v>225860</v>
      </c>
      <c r="E26" s="109">
        <v>254408</v>
      </c>
      <c r="F26" s="109">
        <v>67009</v>
      </c>
      <c r="G26" s="109">
        <v>113696</v>
      </c>
      <c r="H26" s="109">
        <v>57333</v>
      </c>
      <c r="I26" s="109">
        <v>67271</v>
      </c>
      <c r="J26" s="109">
        <v>21506</v>
      </c>
      <c r="K26" s="109">
        <v>1024</v>
      </c>
      <c r="L26" s="109">
        <v>18071</v>
      </c>
      <c r="M26" s="109">
        <v>25855</v>
      </c>
      <c r="N26" s="109">
        <v>7889</v>
      </c>
      <c r="O26" s="109">
        <v>1792</v>
      </c>
      <c r="P26" s="109">
        <v>28380</v>
      </c>
      <c r="Q26" s="109">
        <v>1061</v>
      </c>
      <c r="R26" s="109">
        <v>6876</v>
      </c>
    </row>
    <row r="27" spans="1:22" x14ac:dyDescent="0.25">
      <c r="A27" s="53">
        <v>44494</v>
      </c>
      <c r="B27" s="32"/>
      <c r="C27" s="32"/>
      <c r="D27" s="109">
        <v>226040</v>
      </c>
      <c r="E27" s="109">
        <v>254472</v>
      </c>
      <c r="F27" s="109">
        <v>67010</v>
      </c>
      <c r="G27" s="109">
        <v>113719</v>
      </c>
      <c r="H27" s="109">
        <v>57368</v>
      </c>
      <c r="I27" s="109">
        <v>67327</v>
      </c>
      <c r="J27" s="109">
        <v>21514</v>
      </c>
      <c r="K27" s="109">
        <v>1024</v>
      </c>
      <c r="L27" s="109">
        <v>18078</v>
      </c>
      <c r="M27" s="109">
        <v>25868</v>
      </c>
      <c r="N27" s="109">
        <v>7894</v>
      </c>
      <c r="O27" s="109">
        <v>1793</v>
      </c>
      <c r="P27" s="109">
        <v>28415</v>
      </c>
      <c r="Q27" s="109">
        <v>1063</v>
      </c>
      <c r="R27" s="109">
        <v>6882</v>
      </c>
    </row>
    <row r="28" spans="1:22" x14ac:dyDescent="0.25">
      <c r="A28" s="53">
        <v>44495</v>
      </c>
      <c r="B28" s="32"/>
      <c r="C28" s="55"/>
      <c r="D28" s="109">
        <v>226241</v>
      </c>
      <c r="E28" s="109">
        <v>254524</v>
      </c>
      <c r="F28" s="109">
        <v>67011</v>
      </c>
      <c r="G28" s="109">
        <v>113743</v>
      </c>
      <c r="H28" s="109">
        <v>57432</v>
      </c>
      <c r="I28" s="109">
        <v>67385</v>
      </c>
      <c r="J28" s="109">
        <v>21521</v>
      </c>
      <c r="K28" s="109">
        <v>10024</v>
      </c>
      <c r="L28" s="109">
        <v>18084</v>
      </c>
      <c r="M28" s="109">
        <v>25878</v>
      </c>
      <c r="N28" s="109">
        <v>7899</v>
      </c>
      <c r="O28" s="109">
        <v>1794</v>
      </c>
      <c r="P28" s="109">
        <v>28434</v>
      </c>
      <c r="Q28" s="109">
        <v>1064</v>
      </c>
      <c r="R28" s="109">
        <v>6888</v>
      </c>
    </row>
    <row r="29" spans="1:22" x14ac:dyDescent="0.25">
      <c r="A29" s="53">
        <v>44496</v>
      </c>
      <c r="B29" s="32"/>
      <c r="C29" s="32"/>
      <c r="D29" s="109">
        <v>226388</v>
      </c>
      <c r="E29" s="109">
        <v>254585</v>
      </c>
      <c r="F29" s="109">
        <v>67011</v>
      </c>
      <c r="G29" s="109">
        <v>113767</v>
      </c>
      <c r="H29" s="109">
        <v>57457</v>
      </c>
      <c r="I29" s="110">
        <v>67431</v>
      </c>
      <c r="J29" s="109">
        <v>21528</v>
      </c>
      <c r="K29" s="109">
        <v>1024</v>
      </c>
      <c r="L29" s="109">
        <v>18090</v>
      </c>
      <c r="M29" s="109">
        <v>25891</v>
      </c>
      <c r="N29" s="109">
        <v>7912</v>
      </c>
      <c r="O29" s="109">
        <v>1796</v>
      </c>
      <c r="P29" s="109">
        <v>28454</v>
      </c>
      <c r="Q29" s="109">
        <v>1064</v>
      </c>
      <c r="R29" s="109">
        <v>6894</v>
      </c>
    </row>
    <row r="30" spans="1:22" x14ac:dyDescent="0.25">
      <c r="A30" s="53">
        <v>44497</v>
      </c>
      <c r="B30" s="32"/>
      <c r="C30" s="55"/>
      <c r="D30" s="109">
        <v>226541</v>
      </c>
      <c r="E30" s="109">
        <v>254670</v>
      </c>
      <c r="F30" s="109">
        <v>67012</v>
      </c>
      <c r="G30" s="109">
        <v>11791</v>
      </c>
      <c r="H30" s="109">
        <v>57482</v>
      </c>
      <c r="I30" s="109">
        <v>67463</v>
      </c>
      <c r="J30" s="109">
        <v>21535</v>
      </c>
      <c r="K30" s="109">
        <v>1024</v>
      </c>
      <c r="L30" s="109">
        <v>18096</v>
      </c>
      <c r="M30" s="109">
        <v>25902</v>
      </c>
      <c r="N30" s="109">
        <v>7975</v>
      </c>
      <c r="O30" s="109">
        <v>1796</v>
      </c>
      <c r="P30" s="109">
        <v>28468</v>
      </c>
      <c r="Q30" s="109">
        <v>1064</v>
      </c>
      <c r="R30" s="109">
        <v>6902</v>
      </c>
    </row>
    <row r="31" spans="1:22" x14ac:dyDescent="0.25">
      <c r="A31" s="53">
        <v>44498</v>
      </c>
      <c r="B31" s="32"/>
      <c r="C31" s="32"/>
      <c r="D31" s="54"/>
      <c r="F31" s="54"/>
      <c r="G31" s="54"/>
      <c r="H31" s="32"/>
      <c r="I31" s="54"/>
      <c r="K31" s="54"/>
      <c r="L31" s="54"/>
      <c r="M31" s="54"/>
      <c r="N31" s="54"/>
      <c r="O31" s="54"/>
      <c r="P31" s="54"/>
      <c r="Q31" s="54"/>
      <c r="R31" s="54"/>
      <c r="S31" s="56"/>
      <c r="T31" s="56"/>
      <c r="U31" s="56"/>
      <c r="V31" s="56"/>
    </row>
    <row r="32" spans="1:22" x14ac:dyDescent="0.25">
      <c r="A32" s="53">
        <v>44499</v>
      </c>
      <c r="B32" s="32"/>
      <c r="C32" s="55"/>
      <c r="D32" s="54"/>
      <c r="E32" s="54"/>
      <c r="F32" s="54"/>
      <c r="G32" s="54"/>
      <c r="H32" s="55"/>
      <c r="I32" s="32"/>
      <c r="J32" s="54"/>
      <c r="K32" s="54"/>
      <c r="L32" s="54"/>
      <c r="M32" s="54"/>
      <c r="N32" s="54"/>
      <c r="O32" s="54"/>
      <c r="P32" s="54"/>
      <c r="Q32" s="54"/>
      <c r="R32" s="54"/>
      <c r="S32" s="57"/>
      <c r="T32" s="56"/>
      <c r="U32" s="56"/>
      <c r="V32" s="56"/>
    </row>
    <row r="33" spans="1:22" x14ac:dyDescent="0.25">
      <c r="A33" s="53">
        <v>44500</v>
      </c>
      <c r="B33" s="32"/>
      <c r="C33" s="32"/>
      <c r="D33" s="54"/>
      <c r="E33" s="54"/>
      <c r="F33" s="54"/>
      <c r="G33" s="54"/>
      <c r="H33" s="55"/>
      <c r="I33" s="32"/>
      <c r="J33" s="54"/>
      <c r="K33" s="54"/>
      <c r="L33" s="54"/>
      <c r="M33" s="54"/>
      <c r="N33" s="54"/>
      <c r="O33" s="54"/>
      <c r="P33" s="54"/>
      <c r="Q33" s="54"/>
      <c r="R33" s="54"/>
      <c r="S33" s="57"/>
      <c r="T33" s="56"/>
      <c r="U33" s="56"/>
      <c r="V33" s="56"/>
    </row>
    <row r="34" spans="1:22" x14ac:dyDescent="0.25">
      <c r="A34" s="53">
        <v>44501</v>
      </c>
      <c r="B34" s="32"/>
      <c r="C34" s="55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7"/>
      <c r="C37" s="107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H52" sqref="H5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8" customFormat="1" ht="45" customHeight="1" thickTop="1" x14ac:dyDescent="0.25">
      <c r="A2" s="149" t="s">
        <v>31</v>
      </c>
      <c r="B2" s="150" t="s">
        <v>108</v>
      </c>
      <c r="C2" s="150" t="s">
        <v>109</v>
      </c>
      <c r="D2" s="150"/>
      <c r="E2" s="151" t="s">
        <v>97</v>
      </c>
      <c r="F2" s="148"/>
      <c r="G2" s="145" t="s">
        <v>112</v>
      </c>
      <c r="H2" s="148"/>
      <c r="I2" s="145" t="s">
        <v>110</v>
      </c>
      <c r="J2" s="148"/>
      <c r="K2" s="145" t="s">
        <v>111</v>
      </c>
      <c r="L2" s="148"/>
      <c r="M2" s="145" t="s">
        <v>107</v>
      </c>
      <c r="N2" s="148"/>
      <c r="O2" s="145" t="s">
        <v>106</v>
      </c>
      <c r="P2" s="148"/>
      <c r="Q2" s="145" t="s">
        <v>113</v>
      </c>
      <c r="R2" s="148"/>
      <c r="S2" s="145" t="s">
        <v>114</v>
      </c>
      <c r="T2" s="148"/>
      <c r="U2" s="145" t="s">
        <v>115</v>
      </c>
      <c r="V2" s="148"/>
      <c r="W2" s="145" t="s">
        <v>99</v>
      </c>
      <c r="X2" s="146"/>
      <c r="Y2" s="147" t="s">
        <v>52</v>
      </c>
      <c r="Z2" s="147"/>
    </row>
    <row r="3" spans="1:26" ht="30" x14ac:dyDescent="0.35">
      <c r="A3" s="149"/>
      <c r="B3" s="150"/>
      <c r="C3" s="59" t="s">
        <v>116</v>
      </c>
      <c r="D3" s="59" t="s">
        <v>117</v>
      </c>
      <c r="E3" s="72" t="s">
        <v>116</v>
      </c>
      <c r="F3" s="61" t="s">
        <v>118</v>
      </c>
      <c r="G3" s="60" t="s">
        <v>116</v>
      </c>
      <c r="H3" s="61" t="s">
        <v>118</v>
      </c>
      <c r="I3" s="60" t="s">
        <v>116</v>
      </c>
      <c r="J3" s="61" t="s">
        <v>118</v>
      </c>
      <c r="K3" s="60" t="s">
        <v>116</v>
      </c>
      <c r="L3" s="61" t="s">
        <v>118</v>
      </c>
      <c r="M3" s="60" t="s">
        <v>116</v>
      </c>
      <c r="N3" s="61" t="s">
        <v>118</v>
      </c>
      <c r="O3" s="60" t="s">
        <v>116</v>
      </c>
      <c r="P3" s="61" t="s">
        <v>118</v>
      </c>
      <c r="Q3" s="60" t="s">
        <v>116</v>
      </c>
      <c r="R3" s="61" t="s">
        <v>118</v>
      </c>
      <c r="S3" s="60" t="s">
        <v>116</v>
      </c>
      <c r="T3" s="61" t="s">
        <v>118</v>
      </c>
      <c r="U3" s="60" t="s">
        <v>116</v>
      </c>
      <c r="V3" s="61" t="s">
        <v>118</v>
      </c>
      <c r="W3" s="60" t="s">
        <v>116</v>
      </c>
      <c r="X3" s="62" t="s">
        <v>118</v>
      </c>
      <c r="Y3" s="63" t="s">
        <v>116</v>
      </c>
      <c r="Z3" s="63" t="s">
        <v>118</v>
      </c>
    </row>
    <row r="4" spans="1:26" x14ac:dyDescent="0.25">
      <c r="A4" s="8">
        <f>'Water Reading'!A3</f>
        <v>44470</v>
      </c>
      <c r="B4" s="64">
        <v>469</v>
      </c>
      <c r="C4" s="65">
        <f>('Water Reading'!B4-'Water Reading'!B3)+('Water Reading'!C4-'Water Reading'!C3)</f>
        <v>207</v>
      </c>
      <c r="D4" s="66">
        <f>C4/B4</f>
        <v>0.44136460554371004</v>
      </c>
      <c r="E4" s="86">
        <f>'Water Reading'!H4-'Water Reading'!H3</f>
        <v>37</v>
      </c>
      <c r="F4" s="87">
        <f>E4/C4</f>
        <v>0.17874396135265699</v>
      </c>
      <c r="G4" s="91">
        <f>('Water Reading'!D4-'Water Reading'!D3)-('Water Reading'!R4-'Water Reading'!R3)-('Water Reading'!Q4-'Water Reading'!Q3)</f>
        <v>71</v>
      </c>
      <c r="H4" s="87">
        <f>G4/C4</f>
        <v>0.34299516908212563</v>
      </c>
      <c r="I4" s="88">
        <f>'Water Reading'!P4-'Water Reading'!P3</f>
        <v>0</v>
      </c>
      <c r="J4" s="67">
        <f>I4/C4</f>
        <v>0</v>
      </c>
      <c r="K4" s="89">
        <f>('Water Reading'!I4-'Water Reading'!I3)-('Water Reading'!P4-'Water Reading'!P3)</f>
        <v>24</v>
      </c>
      <c r="L4" s="67">
        <f>K4/C4</f>
        <v>0.11594202898550725</v>
      </c>
      <c r="M4" s="88">
        <f>'Water Reading'!R4-'Water Reading'!R3</f>
        <v>2</v>
      </c>
      <c r="N4" s="90">
        <f>M4/C4</f>
        <v>9.6618357487922701E-3</v>
      </c>
      <c r="O4" s="88">
        <f>'Water Reading'!Q4-'Water Reading'!Q3</f>
        <v>1</v>
      </c>
      <c r="P4" s="97">
        <f>O4/C4</f>
        <v>4.830917874396135E-3</v>
      </c>
      <c r="Q4" s="89">
        <f>'Water Reading'!F4-'Water Reading'!F3</f>
        <v>0</v>
      </c>
      <c r="R4" s="98">
        <f>Q4/C4</f>
        <v>0</v>
      </c>
      <c r="S4" s="88">
        <f>'Water Reading'!E4-'Water Reading'!E3</f>
        <v>48</v>
      </c>
      <c r="T4" s="98">
        <f>S4/C4</f>
        <v>0.2318840579710145</v>
      </c>
      <c r="U4" s="88">
        <f>'Water Reading'!G4-'Water Reading'!G3</f>
        <v>16</v>
      </c>
      <c r="V4" s="98">
        <f>U4/C4</f>
        <v>7.7294685990338161E-2</v>
      </c>
      <c r="W4" s="88">
        <f>'Water Reading'!J4-'Water Reading'!J3</f>
        <v>9</v>
      </c>
      <c r="X4" s="98">
        <f>W4/C4</f>
        <v>4.3478260869565216E-2</v>
      </c>
      <c r="Y4" s="65">
        <f t="shared" ref="Y4:Y34" si="0">E4+I4+K4+M4+O4+G4+Q4+S4+U4+W4</f>
        <v>208</v>
      </c>
      <c r="Z4" s="66">
        <f t="shared" ref="Z4:Z35" si="1">Y4/B4</f>
        <v>0.44349680170575695</v>
      </c>
    </row>
    <row r="5" spans="1:26" x14ac:dyDescent="0.25">
      <c r="A5" s="8">
        <f>'Water Reading'!A4</f>
        <v>44471</v>
      </c>
      <c r="B5" s="64">
        <f>TOTAL!I3</f>
        <v>175</v>
      </c>
      <c r="C5" s="65">
        <v>385</v>
      </c>
      <c r="D5" s="66">
        <f t="shared" ref="D5:D34" si="2">C5/B5</f>
        <v>2.2000000000000002</v>
      </c>
      <c r="E5" s="86">
        <f>'Water Reading'!H5-'Water Reading'!H4</f>
        <v>22</v>
      </c>
      <c r="F5" s="87">
        <f t="shared" ref="F5:F34" si="3">E5/C5</f>
        <v>5.7142857142857141E-2</v>
      </c>
      <c r="G5" s="91">
        <f>('Water Reading'!D5-'Water Reading'!D4)-('Water Reading'!R5-'Water Reading'!R4)-('Water Reading'!Q5-'Water Reading'!Q4)</f>
        <v>92</v>
      </c>
      <c r="H5" s="87">
        <f t="shared" ref="H5:H34" si="4">G5/C5</f>
        <v>0.23896103896103896</v>
      </c>
      <c r="I5" s="88">
        <f>'Water Reading'!P5-'Water Reading'!P4</f>
        <v>7</v>
      </c>
      <c r="J5" s="67">
        <f t="shared" ref="J5:J34" si="5">I5/C5</f>
        <v>1.8181818181818181E-2</v>
      </c>
      <c r="K5" s="89">
        <f>('Water Reading'!I5-'Water Reading'!I4)-('Water Reading'!P5-'Water Reading'!P4)</f>
        <v>8</v>
      </c>
      <c r="L5" s="67">
        <f t="shared" ref="L5:L34" si="6">K5/C5</f>
        <v>2.0779220779220779E-2</v>
      </c>
      <c r="M5" s="88">
        <f>'Water Reading'!R5-'Water Reading'!R4</f>
        <v>6</v>
      </c>
      <c r="N5" s="90">
        <f t="shared" ref="N5:N34" si="7">M5/C5</f>
        <v>1.5584415584415584E-2</v>
      </c>
      <c r="O5" s="88">
        <f>'Water Reading'!Q5-'Water Reading'!Q4</f>
        <v>2</v>
      </c>
      <c r="P5" s="97">
        <f t="shared" ref="P5:P34" si="8">O5/C5</f>
        <v>5.1948051948051948E-3</v>
      </c>
      <c r="Q5" s="89">
        <f>'Water Reading'!F5-'Water Reading'!F4</f>
        <v>0</v>
      </c>
      <c r="R5" s="98">
        <f t="shared" ref="R5:R34" si="9">Q5/C5</f>
        <v>0</v>
      </c>
      <c r="S5" s="88">
        <f>'Water Reading'!E5-'Water Reading'!E4</f>
        <v>48</v>
      </c>
      <c r="T5" s="98">
        <f t="shared" ref="T5:T34" si="10">S5/C5</f>
        <v>0.12467532467532468</v>
      </c>
      <c r="U5" s="88">
        <f>'Water Reading'!G5-'Water Reading'!G4</f>
        <v>14</v>
      </c>
      <c r="V5" s="98">
        <f t="shared" ref="V5:V34" si="11">U5/C5</f>
        <v>3.6363636363636362E-2</v>
      </c>
      <c r="W5" s="88">
        <f>'Water Reading'!J5-'Water Reading'!J4</f>
        <v>10</v>
      </c>
      <c r="X5" s="98">
        <f t="shared" ref="X5:X34" si="12">W5/C5</f>
        <v>2.5974025974025976E-2</v>
      </c>
      <c r="Y5" s="65">
        <f t="shared" si="0"/>
        <v>209</v>
      </c>
      <c r="Z5" s="66">
        <f t="shared" si="1"/>
        <v>1.1942857142857144</v>
      </c>
    </row>
    <row r="6" spans="1:26" x14ac:dyDescent="0.25">
      <c r="A6" s="8">
        <f>'Water Reading'!A5</f>
        <v>44472</v>
      </c>
      <c r="B6" s="64">
        <f>TOTAL!I4</f>
        <v>189</v>
      </c>
      <c r="C6" s="65">
        <f>('Water Reading'!B6-'Water Reading'!B5)+('Water Reading'!C6-'Water Reading'!C5)</f>
        <v>53</v>
      </c>
      <c r="D6" s="66">
        <f t="shared" si="2"/>
        <v>0.28042328042328041</v>
      </c>
      <c r="E6" s="86">
        <f>'Water Reading'!H6-'Water Reading'!H5</f>
        <v>30</v>
      </c>
      <c r="F6" s="87">
        <f t="shared" si="3"/>
        <v>0.56603773584905659</v>
      </c>
      <c r="G6" s="91">
        <f>('Water Reading'!D6-'Water Reading'!D5)-('Water Reading'!R6-'Water Reading'!R5)-('Water Reading'!Q6-'Water Reading'!Q5)</f>
        <v>69</v>
      </c>
      <c r="H6" s="87">
        <f t="shared" si="4"/>
        <v>1.3018867924528301</v>
      </c>
      <c r="I6" s="88">
        <f>'Water Reading'!P6-'Water Reading'!P5</f>
        <v>17</v>
      </c>
      <c r="J6" s="67">
        <f t="shared" si="5"/>
        <v>0.32075471698113206</v>
      </c>
      <c r="K6" s="89">
        <f>('Water Reading'!I6-'Water Reading'!I5)-('Water Reading'!P6-'Water Reading'!P5)</f>
        <v>16</v>
      </c>
      <c r="L6" s="67">
        <f t="shared" si="6"/>
        <v>0.30188679245283018</v>
      </c>
      <c r="M6" s="88">
        <f>'Water Reading'!R6-'Water Reading'!R5</f>
        <v>5</v>
      </c>
      <c r="N6" s="90">
        <f t="shared" si="7"/>
        <v>9.4339622641509441E-2</v>
      </c>
      <c r="O6" s="88">
        <f>'Water Reading'!Q6-'Water Reading'!Q5</f>
        <v>2</v>
      </c>
      <c r="P6" s="97">
        <f t="shared" si="8"/>
        <v>3.7735849056603772E-2</v>
      </c>
      <c r="Q6" s="89">
        <f>'Water Reading'!F6-'Water Reading'!F5</f>
        <v>1</v>
      </c>
      <c r="R6" s="98">
        <f t="shared" si="9"/>
        <v>1.8867924528301886E-2</v>
      </c>
      <c r="S6" s="88">
        <f>'Water Reading'!E6-'Water Reading'!E5</f>
        <v>49</v>
      </c>
      <c r="T6" s="98">
        <f t="shared" si="10"/>
        <v>0.92452830188679247</v>
      </c>
      <c r="U6" s="88">
        <f>'Water Reading'!G6-'Water Reading'!G5</f>
        <v>16</v>
      </c>
      <c r="V6" s="98">
        <f t="shared" si="11"/>
        <v>0.30188679245283018</v>
      </c>
      <c r="W6" s="88">
        <f>'Water Reading'!J6-'Water Reading'!J5</f>
        <v>10</v>
      </c>
      <c r="X6" s="98">
        <f t="shared" si="12"/>
        <v>0.18867924528301888</v>
      </c>
      <c r="Y6" s="65">
        <f t="shared" si="0"/>
        <v>215</v>
      </c>
      <c r="Z6" s="66">
        <f t="shared" si="1"/>
        <v>1.1375661375661377</v>
      </c>
    </row>
    <row r="7" spans="1:26" x14ac:dyDescent="0.25">
      <c r="A7" s="8">
        <f>'Water Reading'!A6</f>
        <v>44473</v>
      </c>
      <c r="B7" s="64">
        <f>TOTAL!I5</f>
        <v>183</v>
      </c>
      <c r="C7" s="65">
        <f>('Water Reading'!B7-'Water Reading'!B6)+('Water Reading'!C7-'Water Reading'!C6)</f>
        <v>731</v>
      </c>
      <c r="D7" s="66">
        <f t="shared" si="2"/>
        <v>3.9945355191256833</v>
      </c>
      <c r="E7" s="86">
        <f>'Water Reading'!H7-'Water Reading'!H6</f>
        <v>30</v>
      </c>
      <c r="F7" s="87">
        <f t="shared" si="3"/>
        <v>4.1039671682626538E-2</v>
      </c>
      <c r="G7" s="91">
        <f>('Water Reading'!D7-'Water Reading'!D6)-('Water Reading'!R7-'Water Reading'!R6)-('Water Reading'!Q7-'Water Reading'!Q6)</f>
        <v>64</v>
      </c>
      <c r="H7" s="87">
        <f t="shared" si="4"/>
        <v>8.7551299589603282E-2</v>
      </c>
      <c r="I7" s="88">
        <f>'Water Reading'!P7-'Water Reading'!P6</f>
        <v>17</v>
      </c>
      <c r="J7" s="67">
        <f t="shared" si="5"/>
        <v>2.3255813953488372E-2</v>
      </c>
      <c r="K7" s="89">
        <f>('Water Reading'!I7-'Water Reading'!I6)-('Water Reading'!P7-'Water Reading'!P6)</f>
        <v>16</v>
      </c>
      <c r="L7" s="67">
        <f t="shared" si="6"/>
        <v>2.188782489740082E-2</v>
      </c>
      <c r="M7" s="88">
        <f>'Water Reading'!R7-'Water Reading'!R6</f>
        <v>5</v>
      </c>
      <c r="N7" s="90">
        <f t="shared" si="7"/>
        <v>6.8399452804377564E-3</v>
      </c>
      <c r="O7" s="88">
        <f>'Water Reading'!Q7-'Water Reading'!Q6</f>
        <v>4</v>
      </c>
      <c r="P7" s="97">
        <f t="shared" si="8"/>
        <v>5.4719562243502051E-3</v>
      </c>
      <c r="Q7" s="89">
        <f>'Water Reading'!F7-'Water Reading'!F6</f>
        <v>0</v>
      </c>
      <c r="R7" s="98">
        <f t="shared" si="9"/>
        <v>0</v>
      </c>
      <c r="S7" s="88">
        <f>'Water Reading'!E7-'Water Reading'!E6</f>
        <v>52</v>
      </c>
      <c r="T7" s="98">
        <f t="shared" si="10"/>
        <v>7.1135430916552667E-2</v>
      </c>
      <c r="U7" s="88">
        <f>'Water Reading'!G7-'Water Reading'!G6</f>
        <v>14</v>
      </c>
      <c r="V7" s="98">
        <f t="shared" si="11"/>
        <v>1.9151846785225718E-2</v>
      </c>
      <c r="W7" s="88">
        <f>'Water Reading'!J7-'Water Reading'!J6</f>
        <v>9</v>
      </c>
      <c r="X7" s="98">
        <f t="shared" si="12"/>
        <v>1.2311901504787962E-2</v>
      </c>
      <c r="Y7" s="65">
        <f t="shared" si="0"/>
        <v>211</v>
      </c>
      <c r="Z7" s="66">
        <f t="shared" si="1"/>
        <v>1.1530054644808743</v>
      </c>
    </row>
    <row r="8" spans="1:26" x14ac:dyDescent="0.25">
      <c r="A8" s="8">
        <f>'Water Reading'!A7</f>
        <v>44474</v>
      </c>
      <c r="B8" s="64">
        <f>TOTAL!I6</f>
        <v>254</v>
      </c>
      <c r="C8" s="65">
        <f>('Water Reading'!B8-'Water Reading'!B7)+('Water Reading'!C8-'Water Reading'!C7)</f>
        <v>295</v>
      </c>
      <c r="D8" s="66">
        <f t="shared" si="2"/>
        <v>1.1614173228346456</v>
      </c>
      <c r="E8" s="86">
        <f>'Water Reading'!H8-'Water Reading'!H7</f>
        <v>54</v>
      </c>
      <c r="F8" s="87">
        <f t="shared" si="3"/>
        <v>0.18305084745762712</v>
      </c>
      <c r="G8" s="91">
        <f>('Water Reading'!D8-'Water Reading'!D7)-('Water Reading'!R8-'Water Reading'!R7)-('Water Reading'!Q8-'Water Reading'!Q7)</f>
        <v>89</v>
      </c>
      <c r="H8" s="87">
        <f t="shared" si="4"/>
        <v>0.30169491525423731</v>
      </c>
      <c r="I8" s="88">
        <f>'Water Reading'!P8-'Water Reading'!P7</f>
        <v>14</v>
      </c>
      <c r="J8" s="67">
        <f t="shared" si="5"/>
        <v>4.7457627118644069E-2</v>
      </c>
      <c r="K8" s="89">
        <f>('Water Reading'!I8-'Water Reading'!I7)-('Water Reading'!P8-'Water Reading'!P7)</f>
        <v>21</v>
      </c>
      <c r="L8" s="67">
        <f t="shared" si="6"/>
        <v>7.1186440677966104E-2</v>
      </c>
      <c r="M8" s="88">
        <f>'Water Reading'!R8-'Water Reading'!R7</f>
        <v>4</v>
      </c>
      <c r="N8" s="90">
        <f t="shared" si="7"/>
        <v>1.3559322033898305E-2</v>
      </c>
      <c r="O8" s="88">
        <f>'Water Reading'!Q8-'Water Reading'!Q7</f>
        <v>8</v>
      </c>
      <c r="P8" s="97">
        <f t="shared" si="8"/>
        <v>2.7118644067796609E-2</v>
      </c>
      <c r="Q8" s="89">
        <f>'Water Reading'!F8-'Water Reading'!F7</f>
        <v>0</v>
      </c>
      <c r="R8" s="98">
        <f t="shared" si="9"/>
        <v>0</v>
      </c>
      <c r="S8" s="88">
        <f>'Water Reading'!E8-'Water Reading'!E7</f>
        <v>52</v>
      </c>
      <c r="T8" s="98">
        <f t="shared" si="10"/>
        <v>0.17627118644067796</v>
      </c>
      <c r="U8" s="88">
        <f>'Water Reading'!G8-'Water Reading'!G7</f>
        <v>15</v>
      </c>
      <c r="V8" s="98">
        <f t="shared" si="11"/>
        <v>5.0847457627118647E-2</v>
      </c>
      <c r="W8" s="88">
        <f>'Water Reading'!J8-'Water Reading'!J7</f>
        <v>10</v>
      </c>
      <c r="X8" s="98">
        <f t="shared" si="12"/>
        <v>3.3898305084745763E-2</v>
      </c>
      <c r="Y8" s="65">
        <f t="shared" si="0"/>
        <v>267</v>
      </c>
      <c r="Z8" s="66">
        <f t="shared" si="1"/>
        <v>1.0511811023622046</v>
      </c>
    </row>
    <row r="9" spans="1:26" x14ac:dyDescent="0.25">
      <c r="A9" s="8">
        <f>'Water Reading'!A8</f>
        <v>44475</v>
      </c>
      <c r="B9" s="64">
        <f>TOTAL!I7</f>
        <v>237</v>
      </c>
      <c r="C9" s="65">
        <f>('Water Reading'!B9-'Water Reading'!B8)+('Water Reading'!C9-'Water Reading'!C8)</f>
        <v>186</v>
      </c>
      <c r="D9" s="66">
        <f t="shared" si="2"/>
        <v>0.78481012658227844</v>
      </c>
      <c r="E9" s="86">
        <f>'Water Reading'!H9-'Water Reading'!H8</f>
        <v>48</v>
      </c>
      <c r="F9" s="87">
        <f t="shared" si="3"/>
        <v>0.25806451612903225</v>
      </c>
      <c r="G9" s="91">
        <f>('Water Reading'!D9-'Water Reading'!D8)-('Water Reading'!R9-'Water Reading'!R8)-('Water Reading'!Q9-'Water Reading'!Q8)</f>
        <v>95</v>
      </c>
      <c r="H9" s="87">
        <f t="shared" si="4"/>
        <v>0.510752688172043</v>
      </c>
      <c r="I9" s="88">
        <f>'Water Reading'!P9-'Water Reading'!P8</f>
        <v>15</v>
      </c>
      <c r="J9" s="67">
        <f t="shared" si="5"/>
        <v>8.0645161290322578E-2</v>
      </c>
      <c r="K9" s="89">
        <f>('Water Reading'!I9-'Water Reading'!I8)-('Water Reading'!P9-'Water Reading'!P8)</f>
        <v>17</v>
      </c>
      <c r="L9" s="67">
        <f t="shared" si="6"/>
        <v>9.1397849462365593E-2</v>
      </c>
      <c r="M9" s="88">
        <f>'Water Reading'!R9-'Water Reading'!R8</f>
        <v>5</v>
      </c>
      <c r="N9" s="90">
        <f t="shared" si="7"/>
        <v>2.6881720430107527E-2</v>
      </c>
      <c r="O9" s="88">
        <f>'Water Reading'!Q9-'Water Reading'!Q8</f>
        <v>4</v>
      </c>
      <c r="P9" s="97">
        <f t="shared" si="8"/>
        <v>2.1505376344086023E-2</v>
      </c>
      <c r="Q9" s="89">
        <f>'Water Reading'!F9-'Water Reading'!F8</f>
        <v>0</v>
      </c>
      <c r="R9" s="98">
        <f t="shared" si="9"/>
        <v>0</v>
      </c>
      <c r="S9" s="88">
        <f>'Water Reading'!E9-'Water Reading'!E8</f>
        <v>52</v>
      </c>
      <c r="T9" s="98">
        <f t="shared" si="10"/>
        <v>0.27956989247311825</v>
      </c>
      <c r="U9" s="88">
        <f>'Water Reading'!G9-'Water Reading'!G8</f>
        <v>15</v>
      </c>
      <c r="V9" s="98">
        <f t="shared" si="11"/>
        <v>8.0645161290322578E-2</v>
      </c>
      <c r="W9" s="88">
        <f>'Water Reading'!J9-'Water Reading'!J8</f>
        <v>10</v>
      </c>
      <c r="X9" s="98">
        <f t="shared" si="12"/>
        <v>5.3763440860215055E-2</v>
      </c>
      <c r="Y9" s="65">
        <f t="shared" si="0"/>
        <v>261</v>
      </c>
      <c r="Z9" s="66">
        <f t="shared" si="1"/>
        <v>1.1012658227848102</v>
      </c>
    </row>
    <row r="10" spans="1:26" x14ac:dyDescent="0.25">
      <c r="A10" s="8">
        <f>'Water Reading'!A9</f>
        <v>44476</v>
      </c>
      <c r="B10" s="64">
        <f>TOTAL!I8</f>
        <v>246</v>
      </c>
      <c r="C10" s="65">
        <f>('Water Reading'!B10-'Water Reading'!B9)+('Water Reading'!C10-'Water Reading'!C9)</f>
        <v>251</v>
      </c>
      <c r="D10" s="66">
        <f t="shared" si="2"/>
        <v>1.0203252032520325</v>
      </c>
      <c r="E10" s="86">
        <f>'Water Reading'!H10-'Water Reading'!H9</f>
        <v>48</v>
      </c>
      <c r="F10" s="87">
        <f t="shared" si="3"/>
        <v>0.19123505976095617</v>
      </c>
      <c r="G10" s="91">
        <f>('Water Reading'!D10-'Water Reading'!D9)-('Water Reading'!R10-'Water Reading'!R9)-('Water Reading'!Q10-'Water Reading'!Q9)</f>
        <v>122</v>
      </c>
      <c r="H10" s="87">
        <f t="shared" si="4"/>
        <v>0.48605577689243029</v>
      </c>
      <c r="I10" s="88">
        <f>'Water Reading'!P10-'Water Reading'!P9</f>
        <v>7</v>
      </c>
      <c r="J10" s="67">
        <f t="shared" si="5"/>
        <v>2.7888446215139442E-2</v>
      </c>
      <c r="K10" s="89">
        <f>('Water Reading'!I10-'Water Reading'!I9)-('Water Reading'!P10-'Water Reading'!P9)</f>
        <v>13</v>
      </c>
      <c r="L10" s="67">
        <f t="shared" si="6"/>
        <v>5.1792828685258967E-2</v>
      </c>
      <c r="M10" s="88">
        <f>'Water Reading'!R10-'Water Reading'!R9</f>
        <v>5</v>
      </c>
      <c r="N10" s="90">
        <f t="shared" si="7"/>
        <v>1.9920318725099601E-2</v>
      </c>
      <c r="O10" s="88">
        <f>'Water Reading'!Q10-'Water Reading'!Q9</f>
        <v>1</v>
      </c>
      <c r="P10" s="97">
        <f t="shared" si="8"/>
        <v>3.9840637450199202E-3</v>
      </c>
      <c r="Q10" s="89">
        <f>'Water Reading'!F10-'Water Reading'!F9</f>
        <v>0</v>
      </c>
      <c r="R10" s="98">
        <f t="shared" si="9"/>
        <v>0</v>
      </c>
      <c r="S10" s="88">
        <f>'Water Reading'!E10-'Water Reading'!E9</f>
        <v>49</v>
      </c>
      <c r="T10" s="98">
        <f t="shared" si="10"/>
        <v>0.19521912350597609</v>
      </c>
      <c r="U10" s="88">
        <f>'Water Reading'!G10-'Water Reading'!G9</f>
        <v>14</v>
      </c>
      <c r="V10" s="98">
        <f t="shared" si="11"/>
        <v>5.5776892430278883E-2</v>
      </c>
      <c r="W10" s="88">
        <f>'Water Reading'!J10-'Water Reading'!J9</f>
        <v>10</v>
      </c>
      <c r="X10" s="98">
        <f t="shared" si="12"/>
        <v>3.9840637450199202E-2</v>
      </c>
      <c r="Y10" s="65">
        <f t="shared" si="0"/>
        <v>269</v>
      </c>
      <c r="Z10" s="66">
        <f t="shared" si="1"/>
        <v>1.0934959349593496</v>
      </c>
    </row>
    <row r="11" spans="1:26" x14ac:dyDescent="0.25">
      <c r="A11" s="8">
        <f>'Water Reading'!A10</f>
        <v>44477</v>
      </c>
      <c r="B11" s="64">
        <f>TOTAL!I9</f>
        <v>265</v>
      </c>
      <c r="C11" s="65">
        <f>('Water Reading'!B11-'Water Reading'!B10)+('Water Reading'!C11-'Water Reading'!C10)</f>
        <v>212</v>
      </c>
      <c r="D11" s="66">
        <f t="shared" si="2"/>
        <v>0.8</v>
      </c>
      <c r="E11" s="86">
        <f>'Water Reading'!H11-'Water Reading'!H10</f>
        <v>59</v>
      </c>
      <c r="F11" s="87">
        <f t="shared" si="3"/>
        <v>0.27830188679245282</v>
      </c>
      <c r="G11" s="91">
        <f>('Water Reading'!D11-'Water Reading'!D10)-('Water Reading'!R11-'Water Reading'!R10)-('Water Reading'!Q11-'Water Reading'!Q10)</f>
        <v>116</v>
      </c>
      <c r="H11" s="87">
        <f t="shared" si="4"/>
        <v>0.54716981132075471</v>
      </c>
      <c r="I11" s="88">
        <f>'Water Reading'!P11-'Water Reading'!P10</f>
        <v>15</v>
      </c>
      <c r="J11" s="67">
        <f t="shared" si="5"/>
        <v>7.0754716981132074E-2</v>
      </c>
      <c r="K11" s="89">
        <f>('Water Reading'!I11-'Water Reading'!I10)-('Water Reading'!P11-'Water Reading'!P10)</f>
        <v>23</v>
      </c>
      <c r="L11" s="67">
        <f t="shared" si="6"/>
        <v>0.10849056603773585</v>
      </c>
      <c r="M11" s="88">
        <f>'Water Reading'!R11-'Water Reading'!R10</f>
        <v>1</v>
      </c>
      <c r="N11" s="90">
        <f t="shared" si="7"/>
        <v>4.7169811320754715E-3</v>
      </c>
      <c r="O11" s="96">
        <f>'Water Reading'!Q11-'Water Reading'!Q10</f>
        <v>3</v>
      </c>
      <c r="P11" s="97">
        <f t="shared" si="8"/>
        <v>1.4150943396226415E-2</v>
      </c>
      <c r="Q11" s="89">
        <f>'Water Reading'!F11-'Water Reading'!F10</f>
        <v>0</v>
      </c>
      <c r="R11" s="98">
        <f t="shared" si="9"/>
        <v>0</v>
      </c>
      <c r="S11" s="88">
        <f>'Water Reading'!E11-'Water Reading'!E10</f>
        <v>57</v>
      </c>
      <c r="T11" s="98">
        <f t="shared" si="10"/>
        <v>0.26886792452830188</v>
      </c>
      <c r="U11" s="88">
        <f>'Water Reading'!G11-'Water Reading'!G10</f>
        <v>14</v>
      </c>
      <c r="V11" s="98">
        <f t="shared" si="11"/>
        <v>6.6037735849056603E-2</v>
      </c>
      <c r="W11" s="88">
        <f>'Water Reading'!J11-'Water Reading'!J10</f>
        <v>9</v>
      </c>
      <c r="X11" s="98">
        <f t="shared" si="12"/>
        <v>4.2452830188679243E-2</v>
      </c>
      <c r="Y11" s="65">
        <f t="shared" si="0"/>
        <v>297</v>
      </c>
      <c r="Z11" s="66">
        <f t="shared" si="1"/>
        <v>1.120754716981132</v>
      </c>
    </row>
    <row r="12" spans="1:26" x14ac:dyDescent="0.25">
      <c r="A12" s="8">
        <f>'Water Reading'!A11</f>
        <v>44478</v>
      </c>
      <c r="B12" s="64">
        <f>TOTAL!I10</f>
        <v>272</v>
      </c>
      <c r="C12" s="65">
        <v>250</v>
      </c>
      <c r="D12" s="66">
        <f t="shared" si="2"/>
        <v>0.91911764705882348</v>
      </c>
      <c r="E12" s="86">
        <f>'Water Reading'!H12-'Water Reading'!H11</f>
        <v>21</v>
      </c>
      <c r="F12" s="87">
        <f t="shared" si="3"/>
        <v>8.4000000000000005E-2</v>
      </c>
      <c r="G12" s="91">
        <f>('Water Reading'!D12-'Water Reading'!D11)-('Water Reading'!R12-'Water Reading'!R11)-('Water Reading'!Q12-'Water Reading'!Q11)</f>
        <v>123</v>
      </c>
      <c r="H12" s="87">
        <f t="shared" si="4"/>
        <v>0.49199999999999999</v>
      </c>
      <c r="I12" s="88">
        <f>'Water Reading'!P12-'Water Reading'!P11</f>
        <v>0</v>
      </c>
      <c r="J12" s="67">
        <f t="shared" si="5"/>
        <v>0</v>
      </c>
      <c r="K12" s="89">
        <f>('Water Reading'!I12-'Water Reading'!I11)-('Water Reading'!P12-'Water Reading'!P11)</f>
        <v>16</v>
      </c>
      <c r="L12" s="67">
        <f t="shared" si="6"/>
        <v>6.4000000000000001E-2</v>
      </c>
      <c r="M12" s="88">
        <f>'Water Reading'!R12-'Water Reading'!R11</f>
        <v>5</v>
      </c>
      <c r="N12" s="90">
        <f t="shared" si="7"/>
        <v>0.02</v>
      </c>
      <c r="O12" s="96">
        <f>'Water Reading'!Q12-'Water Reading'!Q11</f>
        <v>1</v>
      </c>
      <c r="P12" s="97">
        <f t="shared" si="8"/>
        <v>4.0000000000000001E-3</v>
      </c>
      <c r="Q12" s="89">
        <f>'Water Reading'!F12-'Water Reading'!F11</f>
        <v>1</v>
      </c>
      <c r="R12" s="98">
        <f t="shared" si="9"/>
        <v>4.0000000000000001E-3</v>
      </c>
      <c r="S12" s="88">
        <f>'Water Reading'!E12-'Water Reading'!E11</f>
        <v>80</v>
      </c>
      <c r="T12" s="98">
        <f t="shared" si="10"/>
        <v>0.32</v>
      </c>
      <c r="U12" s="88">
        <f>'Water Reading'!G12-'Water Reading'!G11</f>
        <v>19</v>
      </c>
      <c r="V12" s="98">
        <f t="shared" si="11"/>
        <v>7.5999999999999998E-2</v>
      </c>
      <c r="W12" s="88">
        <f>'Water Reading'!J12-'Water Reading'!J11</f>
        <v>10</v>
      </c>
      <c r="X12" s="98">
        <f t="shared" si="12"/>
        <v>0.04</v>
      </c>
      <c r="Y12" s="65">
        <f t="shared" si="0"/>
        <v>276</v>
      </c>
      <c r="Z12" s="66">
        <f t="shared" si="1"/>
        <v>1.0147058823529411</v>
      </c>
    </row>
    <row r="13" spans="1:26" x14ac:dyDescent="0.25">
      <c r="A13" s="8">
        <f>'Water Reading'!A12</f>
        <v>44479</v>
      </c>
      <c r="B13" s="64">
        <f>TOTAL!I11</f>
        <v>223</v>
      </c>
      <c r="C13" s="65">
        <f>('Water Reading'!B13-'Water Reading'!B12)+('Water Reading'!C13-'Water Reading'!C12)</f>
        <v>169</v>
      </c>
      <c r="D13" s="66">
        <f t="shared" si="2"/>
        <v>0.75784753363228696</v>
      </c>
      <c r="E13" s="85">
        <f>'Water Reading'!H13-'Water Reading'!H12</f>
        <v>23</v>
      </c>
      <c r="F13" s="87">
        <f t="shared" si="3"/>
        <v>0.13609467455621302</v>
      </c>
      <c r="G13" s="91">
        <f>('Water Reading'!D13-'Water Reading'!D12)-('Water Reading'!R13-'Water Reading'!R12)-('Water Reading'!Q13-'Water Reading'!Q12)</f>
        <v>97</v>
      </c>
      <c r="H13" s="87">
        <f t="shared" si="4"/>
        <v>0.57396449704142016</v>
      </c>
      <c r="I13" s="88">
        <f>'Water Reading'!P13-'Water Reading'!P12</f>
        <v>24</v>
      </c>
      <c r="J13" s="67">
        <f t="shared" si="5"/>
        <v>0.14201183431952663</v>
      </c>
      <c r="K13" s="89">
        <f>('Water Reading'!I13-'Water Reading'!I12)-('Water Reading'!P13-'Water Reading'!P12)</f>
        <v>7</v>
      </c>
      <c r="L13" s="67">
        <f t="shared" si="6"/>
        <v>4.142011834319527E-2</v>
      </c>
      <c r="M13" s="88">
        <f>'Water Reading'!R13-'Water Reading'!R12</f>
        <v>6</v>
      </c>
      <c r="N13" s="90">
        <f t="shared" si="7"/>
        <v>3.5502958579881658E-2</v>
      </c>
      <c r="O13" s="88">
        <f>'Water Reading'!Q13-'Water Reading'!Q12</f>
        <v>2</v>
      </c>
      <c r="P13" s="97">
        <f t="shared" si="8"/>
        <v>1.1834319526627219E-2</v>
      </c>
      <c r="Q13" s="89">
        <f>'Water Reading'!F13-'Water Reading'!F12</f>
        <v>1</v>
      </c>
      <c r="R13" s="98">
        <f t="shared" si="9"/>
        <v>5.9171597633136093E-3</v>
      </c>
      <c r="S13" s="92">
        <f>'Water Reading'!E13-'Water Reading'!E12</f>
        <v>59</v>
      </c>
      <c r="T13" s="98">
        <f t="shared" si="10"/>
        <v>0.34911242603550297</v>
      </c>
      <c r="U13" s="88">
        <f>'Water Reading'!G13-'Water Reading'!G12</f>
        <v>16</v>
      </c>
      <c r="V13" s="98">
        <f t="shared" si="11"/>
        <v>9.4674556213017749E-2</v>
      </c>
      <c r="W13" s="88">
        <f>'Water Reading'!J13-'Water Reading'!J12</f>
        <v>8</v>
      </c>
      <c r="X13" s="98">
        <f t="shared" si="12"/>
        <v>4.7337278106508875E-2</v>
      </c>
      <c r="Y13" s="65">
        <f t="shared" si="0"/>
        <v>243</v>
      </c>
      <c r="Z13" s="66">
        <f t="shared" si="1"/>
        <v>1.0896860986547086</v>
      </c>
    </row>
    <row r="14" spans="1:26" x14ac:dyDescent="0.25">
      <c r="A14" s="8">
        <f>'Water Reading'!A13</f>
        <v>44480</v>
      </c>
      <c r="B14" s="64">
        <f>TOTAL!I12</f>
        <v>324</v>
      </c>
      <c r="C14" s="65">
        <f>('Water Reading'!B14-'Water Reading'!B13)+('Water Reading'!C14-'Water Reading'!C13)</f>
        <v>145</v>
      </c>
      <c r="D14" s="66">
        <f t="shared" si="2"/>
        <v>0.44753086419753085</v>
      </c>
      <c r="E14" s="86">
        <f>'Water Reading'!H14-'Water Reading'!H13</f>
        <v>20</v>
      </c>
      <c r="F14" s="87">
        <f t="shared" si="3"/>
        <v>0.13793103448275862</v>
      </c>
      <c r="G14" s="91">
        <f>('Water Reading'!D14-'Water Reading'!D13)-('Water Reading'!R14-'Water Reading'!R13)-('Water Reading'!Q14-'Water Reading'!Q13)</f>
        <v>133</v>
      </c>
      <c r="H14" s="87">
        <f t="shared" si="4"/>
        <v>0.91724137931034477</v>
      </c>
      <c r="I14" s="88">
        <f>'Water Reading'!P14-'Water Reading'!P13</f>
        <v>62</v>
      </c>
      <c r="J14" s="67">
        <f t="shared" si="5"/>
        <v>0.42758620689655175</v>
      </c>
      <c r="K14" s="89">
        <f>('Water Reading'!I14-'Water Reading'!I13)-('Water Reading'!P14-'Water Reading'!P13)</f>
        <v>42</v>
      </c>
      <c r="L14" s="67">
        <f t="shared" si="6"/>
        <v>0.28965517241379313</v>
      </c>
      <c r="M14" s="88">
        <f>'Water Reading'!R14-'Water Reading'!R13</f>
        <v>6</v>
      </c>
      <c r="N14" s="90">
        <f t="shared" si="7"/>
        <v>4.1379310344827586E-2</v>
      </c>
      <c r="O14" s="88">
        <f>'Water Reading'!Q14-'Water Reading'!Q13</f>
        <v>3</v>
      </c>
      <c r="P14" s="97">
        <f t="shared" si="8"/>
        <v>2.0689655172413793E-2</v>
      </c>
      <c r="Q14" s="89">
        <f>'Water Reading'!F14-'Water Reading'!F13</f>
        <v>1</v>
      </c>
      <c r="R14" s="98">
        <f t="shared" si="9"/>
        <v>6.8965517241379309E-3</v>
      </c>
      <c r="S14" s="92">
        <f>'Water Reading'!E14-'Water Reading'!E13</f>
        <v>54</v>
      </c>
      <c r="T14" s="98">
        <f t="shared" si="10"/>
        <v>0.3724137931034483</v>
      </c>
      <c r="U14" s="88">
        <f>'Water Reading'!G14-'Water Reading'!G13</f>
        <v>21</v>
      </c>
      <c r="V14" s="98">
        <f t="shared" si="11"/>
        <v>0.14482758620689656</v>
      </c>
      <c r="W14" s="88">
        <f>'Water Reading'!J14-'Water Reading'!J13</f>
        <v>8</v>
      </c>
      <c r="X14" s="98">
        <f t="shared" si="12"/>
        <v>5.5172413793103448E-2</v>
      </c>
      <c r="Y14" s="65">
        <f t="shared" si="0"/>
        <v>350</v>
      </c>
      <c r="Z14" s="66">
        <f t="shared" si="1"/>
        <v>1.0802469135802468</v>
      </c>
    </row>
    <row r="15" spans="1:26" x14ac:dyDescent="0.25">
      <c r="A15" s="8">
        <f>'Water Reading'!A14</f>
        <v>44481</v>
      </c>
      <c r="B15" s="64">
        <f>TOTAL!I13</f>
        <v>249</v>
      </c>
      <c r="C15" s="65">
        <f>('Water Reading'!B15-'Water Reading'!B14)+('Water Reading'!C15-'Water Reading'!C14)</f>
        <v>114</v>
      </c>
      <c r="D15" s="66">
        <f t="shared" si="2"/>
        <v>0.45783132530120479</v>
      </c>
      <c r="E15" s="85">
        <f>'Water Reading'!H15-'Water Reading'!H14</f>
        <v>38</v>
      </c>
      <c r="F15" s="87">
        <f t="shared" si="3"/>
        <v>0.33333333333333331</v>
      </c>
      <c r="G15" s="91">
        <f>('Water Reading'!D15-'Water Reading'!D14)-('Water Reading'!R15-'Water Reading'!R14)-('Water Reading'!Q15-'Water Reading'!Q14)</f>
        <v>110</v>
      </c>
      <c r="H15" s="87">
        <f t="shared" si="4"/>
        <v>0.96491228070175439</v>
      </c>
      <c r="I15" s="88">
        <f>'Water Reading'!P15-'Water Reading'!P14</f>
        <v>12</v>
      </c>
      <c r="J15" s="67">
        <f t="shared" si="5"/>
        <v>0.10526315789473684</v>
      </c>
      <c r="K15" s="89">
        <f>('Water Reading'!I15-'Water Reading'!I14)-('Water Reading'!P15-'Water Reading'!P14)</f>
        <v>20</v>
      </c>
      <c r="L15" s="67">
        <f t="shared" si="6"/>
        <v>0.17543859649122806</v>
      </c>
      <c r="M15" s="88">
        <f>'Water Reading'!R15-'Water Reading'!R14</f>
        <v>5</v>
      </c>
      <c r="N15" s="90">
        <f t="shared" si="7"/>
        <v>4.3859649122807015E-2</v>
      </c>
      <c r="O15" s="88">
        <f>'Water Reading'!Q15-'Water Reading'!Q14</f>
        <v>2</v>
      </c>
      <c r="P15" s="97">
        <f t="shared" si="8"/>
        <v>1.7543859649122806E-2</v>
      </c>
      <c r="Q15" s="89">
        <f>'Water Reading'!F15-'Water Reading'!F14</f>
        <v>1</v>
      </c>
      <c r="R15" s="98">
        <f t="shared" si="9"/>
        <v>8.771929824561403E-3</v>
      </c>
      <c r="S15" s="92">
        <f>'Water Reading'!E15-'Water Reading'!E14</f>
        <v>54</v>
      </c>
      <c r="T15" s="98">
        <f t="shared" si="10"/>
        <v>0.47368421052631576</v>
      </c>
      <c r="U15" s="88">
        <f>'Water Reading'!G15-'Water Reading'!G14</f>
        <v>16</v>
      </c>
      <c r="V15" s="98">
        <f t="shared" si="11"/>
        <v>0.14035087719298245</v>
      </c>
      <c r="W15" s="88">
        <f>'Water Reading'!J15-'Water Reading'!J14</f>
        <v>7</v>
      </c>
      <c r="X15" s="98">
        <f t="shared" si="12"/>
        <v>6.1403508771929821E-2</v>
      </c>
      <c r="Y15" s="65">
        <f t="shared" si="0"/>
        <v>265</v>
      </c>
      <c r="Z15" s="66">
        <f t="shared" si="1"/>
        <v>1.0642570281124497</v>
      </c>
    </row>
    <row r="16" spans="1:26" x14ac:dyDescent="0.25">
      <c r="A16" s="8">
        <f>'Water Reading'!A15</f>
        <v>44482</v>
      </c>
      <c r="B16" s="64">
        <f>TOTAL!I14</f>
        <v>265</v>
      </c>
      <c r="C16" s="65">
        <f>('Water Reading'!B16-'Water Reading'!B15)+('Water Reading'!C16-'Water Reading'!C15)</f>
        <v>-337668</v>
      </c>
      <c r="D16" s="66">
        <f t="shared" si="2"/>
        <v>-1274.2188679245282</v>
      </c>
      <c r="E16" s="85">
        <f>'Water Reading'!H16-'Water Reading'!H15</f>
        <v>43</v>
      </c>
      <c r="F16" s="87">
        <f t="shared" si="3"/>
        <v>-1.2734401838492246E-4</v>
      </c>
      <c r="G16" s="91">
        <f>('Water Reading'!D16-'Water Reading'!D15)-('Water Reading'!R16-'Water Reading'!R15)-('Water Reading'!Q16-'Water Reading'!Q15)</f>
        <v>126</v>
      </c>
      <c r="H16" s="87">
        <f t="shared" si="4"/>
        <v>-3.7314758875581932E-4</v>
      </c>
      <c r="I16" s="88">
        <f>'Water Reading'!P16-'Water Reading'!P15</f>
        <v>15</v>
      </c>
      <c r="J16" s="67">
        <f t="shared" si="5"/>
        <v>-4.4422331994740397E-5</v>
      </c>
      <c r="K16" s="89">
        <f>('Water Reading'!I16-'Water Reading'!I15)-('Water Reading'!P16-'Water Reading'!P15)</f>
        <v>19</v>
      </c>
      <c r="L16" s="67">
        <f t="shared" si="6"/>
        <v>-5.6268287193337834E-5</v>
      </c>
      <c r="M16" s="88">
        <f>'Water Reading'!R16-'Water Reading'!R15</f>
        <v>6</v>
      </c>
      <c r="N16" s="90">
        <f t="shared" si="7"/>
        <v>-1.7768932797896159E-5</v>
      </c>
      <c r="O16" s="88">
        <f>'Water Reading'!Q16-'Water Reading'!Q15</f>
        <v>1</v>
      </c>
      <c r="P16" s="97">
        <f t="shared" si="8"/>
        <v>-2.9614887996493597E-6</v>
      </c>
      <c r="Q16" s="89">
        <f>'Water Reading'!F16-'Water Reading'!F15</f>
        <v>0</v>
      </c>
      <c r="R16" s="98">
        <f t="shared" si="9"/>
        <v>0</v>
      </c>
      <c r="S16" s="92">
        <f>'Water Reading'!E16-'Water Reading'!E15</f>
        <v>53</v>
      </c>
      <c r="T16" s="98">
        <f t="shared" si="10"/>
        <v>-1.5695890638141606E-4</v>
      </c>
      <c r="U16" s="88">
        <f>'Water Reading'!G16-'Water Reading'!G15</f>
        <v>15</v>
      </c>
      <c r="V16" s="98">
        <f t="shared" si="11"/>
        <v>-4.4422331994740397E-5</v>
      </c>
      <c r="W16" s="88">
        <f>'Water Reading'!J16-'Water Reading'!J15</f>
        <v>8</v>
      </c>
      <c r="X16" s="98">
        <f t="shared" si="12"/>
        <v>-2.3691910397194877E-5</v>
      </c>
      <c r="Y16" s="65">
        <f t="shared" si="0"/>
        <v>286</v>
      </c>
      <c r="Z16" s="66">
        <f t="shared" si="1"/>
        <v>1.0792452830188679</v>
      </c>
    </row>
    <row r="17" spans="1:26" x14ac:dyDescent="0.25">
      <c r="A17" s="8">
        <f>'Water Reading'!A16</f>
        <v>44483</v>
      </c>
      <c r="B17" s="64">
        <f>TOTAL!I15</f>
        <v>304</v>
      </c>
      <c r="C17" s="65">
        <f>('Water Reading'!B17-'Water Reading'!B16)+('Water Reading'!C17-'Water Reading'!C16)</f>
        <v>0</v>
      </c>
      <c r="D17" s="66">
        <f t="shared" si="2"/>
        <v>0</v>
      </c>
      <c r="E17" s="85">
        <f>'Water Reading'!H17-'Water Reading'!H16</f>
        <v>34</v>
      </c>
      <c r="F17" s="87" t="e">
        <f t="shared" si="3"/>
        <v>#DIV/0!</v>
      </c>
      <c r="G17" s="91">
        <f>('Water Reading'!D17-'Water Reading'!D16)-('Water Reading'!R17-'Water Reading'!R16)-('Water Reading'!Q17-'Water Reading'!Q16)</f>
        <v>207</v>
      </c>
      <c r="H17" s="87" t="e">
        <f t="shared" si="4"/>
        <v>#DIV/0!</v>
      </c>
      <c r="I17" s="88">
        <f>'Water Reading'!P17-'Water Reading'!P16</f>
        <v>12</v>
      </c>
      <c r="J17" s="67" t="e">
        <f t="shared" si="5"/>
        <v>#DIV/0!</v>
      </c>
      <c r="K17" s="89">
        <f>('Water Reading'!I17-'Water Reading'!I16)-('Water Reading'!P17-'Water Reading'!P16)</f>
        <v>24</v>
      </c>
      <c r="L17" s="67" t="e">
        <f t="shared" si="6"/>
        <v>#DIV/0!</v>
      </c>
      <c r="M17" s="88">
        <f>'Water Reading'!R17-'Water Reading'!R16</f>
        <v>5</v>
      </c>
      <c r="N17" s="90" t="e">
        <f t="shared" si="7"/>
        <v>#DIV/0!</v>
      </c>
      <c r="O17" s="88">
        <f>'Water Reading'!Q17-'Water Reading'!Q16</f>
        <v>0</v>
      </c>
      <c r="P17" s="97" t="e">
        <f t="shared" si="8"/>
        <v>#DIV/0!</v>
      </c>
      <c r="Q17" s="89">
        <f>'Water Reading'!F17-'Water Reading'!F16</f>
        <v>0</v>
      </c>
      <c r="R17" s="98" t="e">
        <f t="shared" si="9"/>
        <v>#DIV/0!</v>
      </c>
      <c r="S17" s="92">
        <f>'Water Reading'!E17-'Water Reading'!E16</f>
        <v>56</v>
      </c>
      <c r="T17" s="98" t="e">
        <f t="shared" si="10"/>
        <v>#DIV/0!</v>
      </c>
      <c r="U17" s="88">
        <f>'Water Reading'!G17-'Water Reading'!G16</f>
        <v>21</v>
      </c>
      <c r="V17" s="98" t="e">
        <f t="shared" si="11"/>
        <v>#DIV/0!</v>
      </c>
      <c r="W17" s="88">
        <f>'Water Reading'!J17-'Water Reading'!J16</f>
        <v>8</v>
      </c>
      <c r="X17" s="98" t="e">
        <f t="shared" si="12"/>
        <v>#DIV/0!</v>
      </c>
      <c r="Y17" s="65">
        <f t="shared" si="0"/>
        <v>367</v>
      </c>
      <c r="Z17" s="66">
        <f t="shared" si="1"/>
        <v>1.2072368421052631</v>
      </c>
    </row>
    <row r="18" spans="1:26" x14ac:dyDescent="0.25">
      <c r="A18" s="8">
        <f>'Water Reading'!A17</f>
        <v>44484</v>
      </c>
      <c r="B18" s="64">
        <f>TOTAL!I16</f>
        <v>254</v>
      </c>
      <c r="C18" s="65">
        <f>('Water Reading'!B18-'Water Reading'!B17)+('Water Reading'!C18-'Water Reading'!C17)</f>
        <v>0</v>
      </c>
      <c r="D18" s="66">
        <f t="shared" si="2"/>
        <v>0</v>
      </c>
      <c r="E18" s="85">
        <f>'Water Reading'!H18-'Water Reading'!H17</f>
        <v>55</v>
      </c>
      <c r="F18" s="87" t="e">
        <f t="shared" si="3"/>
        <v>#DIV/0!</v>
      </c>
      <c r="G18" s="91">
        <f>('Water Reading'!D18-'Water Reading'!D17)-('Water Reading'!R18-'Water Reading'!R17)-('Water Reading'!Q18-'Water Reading'!Q17)</f>
        <v>91</v>
      </c>
      <c r="H18" s="87" t="e">
        <f t="shared" si="4"/>
        <v>#DIV/0!</v>
      </c>
      <c r="I18" s="88">
        <f>'Water Reading'!P18-'Water Reading'!P17</f>
        <v>14</v>
      </c>
      <c r="J18" s="67" t="e">
        <f t="shared" si="5"/>
        <v>#DIV/0!</v>
      </c>
      <c r="K18" s="89">
        <f>('Water Reading'!I18-'Water Reading'!I17)-('Water Reading'!P18-'Water Reading'!P17)</f>
        <v>22</v>
      </c>
      <c r="L18" s="67" t="e">
        <f t="shared" si="6"/>
        <v>#DIV/0!</v>
      </c>
      <c r="M18" s="88">
        <f>'Water Reading'!R18-'Water Reading'!R17</f>
        <v>1</v>
      </c>
      <c r="N18" s="90" t="e">
        <f t="shared" si="7"/>
        <v>#DIV/0!</v>
      </c>
      <c r="O18" s="88">
        <f>'Water Reading'!Q18-'Water Reading'!Q17</f>
        <v>4</v>
      </c>
      <c r="P18" s="97" t="e">
        <f t="shared" si="8"/>
        <v>#DIV/0!</v>
      </c>
      <c r="Q18" s="89">
        <f>'Water Reading'!F18-'Water Reading'!F17</f>
        <v>0</v>
      </c>
      <c r="R18" s="98" t="e">
        <f t="shared" si="9"/>
        <v>#DIV/0!</v>
      </c>
      <c r="S18" s="92">
        <f>'Water Reading'!E18-'Water Reading'!E17</f>
        <v>51</v>
      </c>
      <c r="T18" s="98" t="e">
        <f t="shared" si="10"/>
        <v>#DIV/0!</v>
      </c>
      <c r="U18" s="88">
        <f>'Water Reading'!G18-'Water Reading'!G17</f>
        <v>12</v>
      </c>
      <c r="V18" s="98" t="e">
        <f t="shared" si="11"/>
        <v>#DIV/0!</v>
      </c>
      <c r="W18" s="88">
        <f>'Water Reading'!J18-'Water Reading'!J17</f>
        <v>7</v>
      </c>
      <c r="X18" s="98" t="e">
        <f t="shared" si="12"/>
        <v>#DIV/0!</v>
      </c>
      <c r="Y18" s="65">
        <f t="shared" si="0"/>
        <v>257</v>
      </c>
      <c r="Z18" s="66">
        <f t="shared" si="1"/>
        <v>1.0118110236220472</v>
      </c>
    </row>
    <row r="19" spans="1:26" x14ac:dyDescent="0.25">
      <c r="A19" s="8">
        <f>'Water Reading'!A18</f>
        <v>44485</v>
      </c>
      <c r="B19" s="64">
        <f>TOTAL!I17</f>
        <v>314</v>
      </c>
      <c r="C19" s="65">
        <f>('Water Reading'!B19-'Water Reading'!B18)+('Water Reading'!C19-'Water Reading'!C18)</f>
        <v>0</v>
      </c>
      <c r="D19" s="66">
        <f t="shared" si="2"/>
        <v>0</v>
      </c>
      <c r="E19" s="85">
        <f>'Water Reading'!H19-'Water Reading'!H18</f>
        <v>81</v>
      </c>
      <c r="F19" s="87" t="e">
        <f t="shared" si="3"/>
        <v>#DIV/0!</v>
      </c>
      <c r="G19" s="91">
        <f>('Water Reading'!D19-'Water Reading'!D18)-('Water Reading'!R19-'Water Reading'!R18)-('Water Reading'!Q19-'Water Reading'!Q18)</f>
        <v>126</v>
      </c>
      <c r="H19" s="87" t="e">
        <f t="shared" si="4"/>
        <v>#DIV/0!</v>
      </c>
      <c r="I19" s="88">
        <f>'Water Reading'!P19-'Water Reading'!P18</f>
        <v>20</v>
      </c>
      <c r="J19" s="67" t="e">
        <f t="shared" si="5"/>
        <v>#DIV/0!</v>
      </c>
      <c r="K19" s="89">
        <f>('Water Reading'!I19-'Water Reading'!I18)-('Water Reading'!P19-'Water Reading'!P18)</f>
        <v>4</v>
      </c>
      <c r="L19" s="67" t="e">
        <f t="shared" si="6"/>
        <v>#DIV/0!</v>
      </c>
      <c r="M19" s="88">
        <f>'Water Reading'!R19-'Water Reading'!R18</f>
        <v>7</v>
      </c>
      <c r="N19" s="90" t="e">
        <f t="shared" si="7"/>
        <v>#DIV/0!</v>
      </c>
      <c r="O19" s="88">
        <f>'Water Reading'!Q19-'Water Reading'!Q18</f>
        <v>1</v>
      </c>
      <c r="P19" s="97" t="e">
        <f t="shared" si="8"/>
        <v>#DIV/0!</v>
      </c>
      <c r="Q19" s="89">
        <f>'Water Reading'!F19-'Water Reading'!F18</f>
        <v>1</v>
      </c>
      <c r="R19" s="98" t="e">
        <f t="shared" si="9"/>
        <v>#DIV/0!</v>
      </c>
      <c r="S19" s="92">
        <f>'Water Reading'!E19-'Water Reading'!E18</f>
        <v>58</v>
      </c>
      <c r="T19" s="98" t="e">
        <f t="shared" si="10"/>
        <v>#DIV/0!</v>
      </c>
      <c r="U19" s="88">
        <f>'Water Reading'!G19-'Water Reading'!G18</f>
        <v>26</v>
      </c>
      <c r="V19" s="98" t="e">
        <f t="shared" si="11"/>
        <v>#DIV/0!</v>
      </c>
      <c r="W19" s="88">
        <f>'Water Reading'!J19-'Water Reading'!J18</f>
        <v>6</v>
      </c>
      <c r="X19" s="98" t="e">
        <f t="shared" si="12"/>
        <v>#DIV/0!</v>
      </c>
      <c r="Y19" s="65">
        <f t="shared" si="0"/>
        <v>330</v>
      </c>
      <c r="Z19" s="66">
        <f t="shared" si="1"/>
        <v>1.0509554140127388</v>
      </c>
    </row>
    <row r="20" spans="1:26" x14ac:dyDescent="0.25">
      <c r="A20" s="8">
        <f>'Water Reading'!A19</f>
        <v>44486</v>
      </c>
      <c r="B20" s="64">
        <f>TOTAL!I18</f>
        <v>241</v>
      </c>
      <c r="C20" s="65">
        <f>('Water Reading'!B20-'Water Reading'!B19)+('Water Reading'!C20-'Water Reading'!C19)</f>
        <v>0</v>
      </c>
      <c r="D20" s="66">
        <f t="shared" si="2"/>
        <v>0</v>
      </c>
      <c r="E20" s="85">
        <f>'Water Reading'!H20-'Water Reading'!H19</f>
        <v>48</v>
      </c>
      <c r="F20" s="87" t="e">
        <f t="shared" si="3"/>
        <v>#DIV/0!</v>
      </c>
      <c r="G20" s="91">
        <f>('Water Reading'!D20-'Water Reading'!D19)-('Water Reading'!R20-'Water Reading'!R19)-('Water Reading'!Q20-'Water Reading'!Q19)</f>
        <v>106</v>
      </c>
      <c r="H20" s="87" t="e">
        <f t="shared" si="4"/>
        <v>#DIV/0!</v>
      </c>
      <c r="I20" s="88">
        <f>'Water Reading'!P20-'Water Reading'!P19</f>
        <v>0</v>
      </c>
      <c r="J20" s="67" t="e">
        <f t="shared" si="5"/>
        <v>#DIV/0!</v>
      </c>
      <c r="K20" s="89">
        <f>('Water Reading'!I20-'Water Reading'!I19)-('Water Reading'!P20-'Water Reading'!P19)</f>
        <v>44</v>
      </c>
      <c r="L20" s="67" t="e">
        <f t="shared" si="6"/>
        <v>#DIV/0!</v>
      </c>
      <c r="M20" s="88">
        <f>'Water Reading'!R20-'Water Reading'!R19</f>
        <v>6</v>
      </c>
      <c r="N20" s="90" t="e">
        <f t="shared" si="7"/>
        <v>#DIV/0!</v>
      </c>
      <c r="O20" s="88">
        <f>'Water Reading'!Q20-'Water Reading'!Q19</f>
        <v>0</v>
      </c>
      <c r="P20" s="97" t="e">
        <f t="shared" si="8"/>
        <v>#DIV/0!</v>
      </c>
      <c r="Q20" s="89">
        <f>'Water Reading'!F20-'Water Reading'!F19</f>
        <v>0</v>
      </c>
      <c r="R20" s="98" t="e">
        <f t="shared" si="9"/>
        <v>#DIV/0!</v>
      </c>
      <c r="S20" s="92">
        <f>'Water Reading'!E20-'Water Reading'!E19</f>
        <v>54</v>
      </c>
      <c r="T20" s="98" t="e">
        <f t="shared" si="10"/>
        <v>#DIV/0!</v>
      </c>
      <c r="U20" s="88">
        <f>'Water Reading'!G20-'Water Reading'!G19</f>
        <v>21</v>
      </c>
      <c r="V20" s="98" t="e">
        <f t="shared" si="11"/>
        <v>#DIV/0!</v>
      </c>
      <c r="W20" s="88">
        <f>'Water Reading'!J20-'Water Reading'!J19</f>
        <v>9</v>
      </c>
      <c r="X20" s="98" t="e">
        <f t="shared" si="12"/>
        <v>#DIV/0!</v>
      </c>
      <c r="Y20" s="65">
        <f t="shared" si="0"/>
        <v>288</v>
      </c>
      <c r="Z20" s="66">
        <f t="shared" si="1"/>
        <v>1.1950207468879668</v>
      </c>
    </row>
    <row r="21" spans="1:26" x14ac:dyDescent="0.25">
      <c r="A21" s="8">
        <f>'Water Reading'!A20</f>
        <v>44487</v>
      </c>
      <c r="B21" s="64">
        <f>TOTAL!I19</f>
        <v>263</v>
      </c>
      <c r="C21" s="65">
        <f>('Water Reading'!B21-'Water Reading'!B20)+('Water Reading'!C21-'Water Reading'!C20)</f>
        <v>0</v>
      </c>
      <c r="D21" s="66">
        <f t="shared" si="2"/>
        <v>0</v>
      </c>
      <c r="E21" s="85">
        <f>'Water Reading'!H21-'Water Reading'!H20</f>
        <v>21</v>
      </c>
      <c r="F21" s="87" t="e">
        <f t="shared" si="3"/>
        <v>#DIV/0!</v>
      </c>
      <c r="G21" s="91">
        <f>('Water Reading'!D21-'Water Reading'!D20)-('Water Reading'!R21-'Water Reading'!R20)-('Water Reading'!Q21-'Water Reading'!Q20)</f>
        <v>93</v>
      </c>
      <c r="H21" s="87" t="e">
        <f t="shared" si="4"/>
        <v>#DIV/0!</v>
      </c>
      <c r="I21" s="88">
        <f>'Water Reading'!P21-'Water Reading'!P20</f>
        <v>8</v>
      </c>
      <c r="J21" s="67" t="e">
        <f t="shared" si="5"/>
        <v>#DIV/0!</v>
      </c>
      <c r="K21" s="89">
        <f>('Water Reading'!I21-'Water Reading'!I20)-('Water Reading'!P21-'Water Reading'!P20)</f>
        <v>70</v>
      </c>
      <c r="L21" s="67" t="e">
        <f t="shared" si="6"/>
        <v>#DIV/0!</v>
      </c>
      <c r="M21" s="88">
        <f>'Water Reading'!R21-'Water Reading'!R20</f>
        <v>7</v>
      </c>
      <c r="N21" s="90" t="e">
        <f t="shared" si="7"/>
        <v>#DIV/0!</v>
      </c>
      <c r="O21" s="88">
        <f>'Water Reading'!Q21-'Water Reading'!Q20</f>
        <v>0</v>
      </c>
      <c r="P21" s="97" t="e">
        <f t="shared" si="8"/>
        <v>#DIV/0!</v>
      </c>
      <c r="Q21" s="89">
        <f>'Water Reading'!F21-'Water Reading'!F20</f>
        <v>1</v>
      </c>
      <c r="R21" s="98" t="e">
        <f t="shared" si="9"/>
        <v>#DIV/0!</v>
      </c>
      <c r="S21" s="92">
        <f>'Water Reading'!E21-'Water Reading'!E20</f>
        <v>54</v>
      </c>
      <c r="T21" s="98" t="e">
        <f t="shared" si="10"/>
        <v>#DIV/0!</v>
      </c>
      <c r="U21" s="88">
        <f>'Water Reading'!G21-'Water Reading'!G20</f>
        <v>15</v>
      </c>
      <c r="V21" s="98" t="e">
        <f t="shared" si="11"/>
        <v>#DIV/0!</v>
      </c>
      <c r="W21" s="88">
        <f>'Water Reading'!J21-'Water Reading'!J20</f>
        <v>7</v>
      </c>
      <c r="X21" s="98" t="e">
        <f t="shared" si="12"/>
        <v>#DIV/0!</v>
      </c>
      <c r="Y21" s="65">
        <f t="shared" si="0"/>
        <v>276</v>
      </c>
      <c r="Z21" s="66">
        <f t="shared" si="1"/>
        <v>1.0494296577946769</v>
      </c>
    </row>
    <row r="22" spans="1:26" x14ac:dyDescent="0.25">
      <c r="A22" s="8">
        <f>'Water Reading'!A21</f>
        <v>44488</v>
      </c>
      <c r="B22" s="64">
        <f>TOTAL!I20</f>
        <v>396</v>
      </c>
      <c r="C22" s="65">
        <f>('Water Reading'!B22-'Water Reading'!B21)+('Water Reading'!C22-'Water Reading'!C21)</f>
        <v>0</v>
      </c>
      <c r="D22" s="66">
        <f t="shared" si="2"/>
        <v>0</v>
      </c>
      <c r="E22" s="85">
        <f>'Water Reading'!H22-'Water Reading'!H21</f>
        <v>53</v>
      </c>
      <c r="F22" s="87" t="e">
        <f t="shared" si="3"/>
        <v>#DIV/0!</v>
      </c>
      <c r="G22" s="91">
        <f>('Water Reading'!D22-'Water Reading'!D21)-('Water Reading'!R22-'Water Reading'!R21)-('Water Reading'!Q22-'Water Reading'!Q21)</f>
        <v>126</v>
      </c>
      <c r="H22" s="87" t="e">
        <f t="shared" si="4"/>
        <v>#DIV/0!</v>
      </c>
      <c r="I22" s="88">
        <f>'Water Reading'!P22-'Water Reading'!P21</f>
        <v>12</v>
      </c>
      <c r="J22" s="67" t="e">
        <f t="shared" si="5"/>
        <v>#DIV/0!</v>
      </c>
      <c r="K22" s="89">
        <f>('Water Reading'!I22-'Water Reading'!I21)-('Water Reading'!P22-'Water Reading'!P21)</f>
        <v>30</v>
      </c>
      <c r="L22" s="67" t="e">
        <f t="shared" si="6"/>
        <v>#DIV/0!</v>
      </c>
      <c r="M22" s="88">
        <f>'Water Reading'!R22-'Water Reading'!R21</f>
        <v>7</v>
      </c>
      <c r="N22" s="90" t="e">
        <f t="shared" si="7"/>
        <v>#DIV/0!</v>
      </c>
      <c r="O22" s="88">
        <f>'Water Reading'!Q22-'Water Reading'!Q21</f>
        <v>1</v>
      </c>
      <c r="P22" s="97" t="e">
        <f t="shared" si="8"/>
        <v>#DIV/0!</v>
      </c>
      <c r="Q22" s="89">
        <f>'Water Reading'!F22-'Water Reading'!F21</f>
        <v>0</v>
      </c>
      <c r="R22" s="98" t="e">
        <f t="shared" si="9"/>
        <v>#DIV/0!</v>
      </c>
      <c r="S22" s="92">
        <f>'Water Reading'!E22-'Water Reading'!E21</f>
        <v>61</v>
      </c>
      <c r="T22" s="98" t="e">
        <f t="shared" si="10"/>
        <v>#DIV/0!</v>
      </c>
      <c r="U22" s="88">
        <f>'Water Reading'!G22-'Water Reading'!G21</f>
        <v>26</v>
      </c>
      <c r="V22" s="98" t="e">
        <f t="shared" si="11"/>
        <v>#DIV/0!</v>
      </c>
      <c r="W22" s="88">
        <f>'Water Reading'!J22-'Water Reading'!J21</f>
        <v>8</v>
      </c>
      <c r="X22" s="98" t="e">
        <f t="shared" si="12"/>
        <v>#DIV/0!</v>
      </c>
      <c r="Y22" s="65">
        <f t="shared" si="0"/>
        <v>324</v>
      </c>
      <c r="Z22" s="66">
        <f t="shared" si="1"/>
        <v>0.81818181818181823</v>
      </c>
    </row>
    <row r="23" spans="1:26" x14ac:dyDescent="0.25">
      <c r="A23" s="8">
        <f>'Water Reading'!A22</f>
        <v>44489</v>
      </c>
      <c r="B23" s="64">
        <f>TOTAL!I21</f>
        <v>204</v>
      </c>
      <c r="C23" s="65">
        <f>('Water Reading'!B23-'Water Reading'!B22)+('Water Reading'!C23-'Water Reading'!C22)</f>
        <v>0</v>
      </c>
      <c r="D23" s="66">
        <f t="shared" si="2"/>
        <v>0</v>
      </c>
      <c r="E23" s="85">
        <f>'Water Reading'!H23-'Water Reading'!H22</f>
        <v>49</v>
      </c>
      <c r="F23" s="87" t="e">
        <f t="shared" si="3"/>
        <v>#DIV/0!</v>
      </c>
      <c r="G23" s="91">
        <f>('Water Reading'!D23-'Water Reading'!D22)-('Water Reading'!R23-'Water Reading'!R22)-('Water Reading'!Q23-'Water Reading'!Q22)</f>
        <v>124</v>
      </c>
      <c r="H23" s="87" t="e">
        <f t="shared" si="4"/>
        <v>#DIV/0!</v>
      </c>
      <c r="I23" s="88">
        <f>'Water Reading'!P23-'Water Reading'!P22</f>
        <v>0</v>
      </c>
      <c r="J23" s="67" t="e">
        <f t="shared" si="5"/>
        <v>#DIV/0!</v>
      </c>
      <c r="K23" s="89">
        <f>('Water Reading'!I23-'Water Reading'!I22)-('Water Reading'!P23-'Water Reading'!P22)</f>
        <v>25</v>
      </c>
      <c r="L23" s="67" t="e">
        <f t="shared" si="6"/>
        <v>#DIV/0!</v>
      </c>
      <c r="M23" s="88">
        <f>'Water Reading'!R23-'Water Reading'!R22</f>
        <v>10</v>
      </c>
      <c r="N23" s="90" t="e">
        <f t="shared" si="7"/>
        <v>#DIV/0!</v>
      </c>
      <c r="O23" s="88">
        <f>'Water Reading'!Q23-'Water Reading'!Q22</f>
        <v>3</v>
      </c>
      <c r="P23" s="97" t="e">
        <f t="shared" si="8"/>
        <v>#DIV/0!</v>
      </c>
      <c r="Q23" s="89">
        <f>'Water Reading'!F23-'Water Reading'!F22</f>
        <v>1</v>
      </c>
      <c r="R23" s="98" t="e">
        <f t="shared" si="9"/>
        <v>#DIV/0!</v>
      </c>
      <c r="S23" s="92">
        <f>'Water Reading'!E23-'Water Reading'!E22</f>
        <v>55</v>
      </c>
      <c r="T23" s="98" t="e">
        <f t="shared" si="10"/>
        <v>#DIV/0!</v>
      </c>
      <c r="U23" s="88">
        <f>'Water Reading'!G23-'Water Reading'!G22</f>
        <v>23</v>
      </c>
      <c r="V23" s="98" t="e">
        <f t="shared" si="11"/>
        <v>#DIV/0!</v>
      </c>
      <c r="W23" s="88">
        <f>'Water Reading'!J23-'Water Reading'!J22</f>
        <v>7</v>
      </c>
      <c r="X23" s="98" t="e">
        <f t="shared" si="12"/>
        <v>#DIV/0!</v>
      </c>
      <c r="Y23" s="65">
        <f t="shared" si="0"/>
        <v>297</v>
      </c>
      <c r="Z23" s="66">
        <f t="shared" si="1"/>
        <v>1.4558823529411764</v>
      </c>
    </row>
    <row r="24" spans="1:26" x14ac:dyDescent="0.25">
      <c r="A24" s="8">
        <f>'Water Reading'!A23</f>
        <v>44490</v>
      </c>
      <c r="B24" s="64">
        <f>TOTAL!I22</f>
        <v>309</v>
      </c>
      <c r="C24" s="65">
        <f>('Water Reading'!B24-'Water Reading'!B23)+('Water Reading'!C24-'Water Reading'!C23)</f>
        <v>0</v>
      </c>
      <c r="D24" s="66">
        <f t="shared" si="2"/>
        <v>0</v>
      </c>
      <c r="E24" s="85">
        <f>'Water Reading'!H24-'Water Reading'!H23</f>
        <v>58</v>
      </c>
      <c r="F24" s="87" t="e">
        <f t="shared" si="3"/>
        <v>#DIV/0!</v>
      </c>
      <c r="G24" s="91">
        <f>('Water Reading'!D24-'Water Reading'!D23)-('Water Reading'!R24-'Water Reading'!R23)-('Water Reading'!Q24-'Water Reading'!Q23)</f>
        <v>138</v>
      </c>
      <c r="H24" s="87" t="e">
        <f t="shared" si="4"/>
        <v>#DIV/0!</v>
      </c>
      <c r="I24" s="88">
        <f>'Water Reading'!P24-'Water Reading'!P23</f>
        <v>16</v>
      </c>
      <c r="J24" s="67" t="e">
        <f t="shared" si="5"/>
        <v>#DIV/0!</v>
      </c>
      <c r="K24" s="89">
        <f>('Water Reading'!I24-'Water Reading'!I23)-('Water Reading'!P24-'Water Reading'!P23)</f>
        <v>27</v>
      </c>
      <c r="L24" s="67" t="e">
        <f t="shared" si="6"/>
        <v>#DIV/0!</v>
      </c>
      <c r="M24" s="88">
        <f>'Water Reading'!R24-'Water Reading'!R23</f>
        <v>5</v>
      </c>
      <c r="N24" s="90" t="e">
        <f t="shared" si="7"/>
        <v>#DIV/0!</v>
      </c>
      <c r="O24" s="88">
        <f>'Water Reading'!Q24-'Water Reading'!Q23</f>
        <v>2</v>
      </c>
      <c r="P24" s="97" t="e">
        <f t="shared" si="8"/>
        <v>#DIV/0!</v>
      </c>
      <c r="Q24" s="89">
        <f>'Water Reading'!F24-'Water Reading'!F23</f>
        <v>1</v>
      </c>
      <c r="R24" s="98" t="e">
        <f t="shared" si="9"/>
        <v>#DIV/0!</v>
      </c>
      <c r="S24" s="92">
        <f>'Water Reading'!E24-'Water Reading'!E23</f>
        <v>55</v>
      </c>
      <c r="T24" s="98" t="e">
        <f t="shared" si="10"/>
        <v>#DIV/0!</v>
      </c>
      <c r="U24" s="88">
        <f>'Water Reading'!G24-'Water Reading'!G23</f>
        <v>25</v>
      </c>
      <c r="V24" s="98" t="e">
        <f t="shared" si="11"/>
        <v>#DIV/0!</v>
      </c>
      <c r="W24" s="88">
        <f>'Water Reading'!J24-'Water Reading'!J23</f>
        <v>8</v>
      </c>
      <c r="X24" s="98" t="e">
        <f t="shared" si="12"/>
        <v>#DIV/0!</v>
      </c>
      <c r="Y24" s="65">
        <f t="shared" si="0"/>
        <v>335</v>
      </c>
      <c r="Z24" s="66">
        <f t="shared" si="1"/>
        <v>1.0841423948220066</v>
      </c>
    </row>
    <row r="25" spans="1:26" x14ac:dyDescent="0.25">
      <c r="A25" s="8">
        <f>'Water Reading'!A24</f>
        <v>44491</v>
      </c>
      <c r="B25" s="64">
        <f>TOTAL!I23</f>
        <v>310</v>
      </c>
      <c r="C25" s="65">
        <f>('Water Reading'!B25-'Water Reading'!B24)+('Water Reading'!C25-'Water Reading'!C24)</f>
        <v>0</v>
      </c>
      <c r="D25" s="66">
        <f t="shared" si="2"/>
        <v>0</v>
      </c>
      <c r="E25" s="85">
        <f>'Water Reading'!H25-'Water Reading'!H24</f>
        <v>55</v>
      </c>
      <c r="F25" s="87" t="e">
        <f t="shared" si="3"/>
        <v>#DIV/0!</v>
      </c>
      <c r="G25" s="91">
        <f>('Water Reading'!D25-'Water Reading'!D24)-('Water Reading'!R25-'Water Reading'!R24)-('Water Reading'!Q25-'Water Reading'!Q24)</f>
        <v>130</v>
      </c>
      <c r="H25" s="87" t="e">
        <f t="shared" si="4"/>
        <v>#DIV/0!</v>
      </c>
      <c r="I25" s="88">
        <f>'Water Reading'!P25-'Water Reading'!P24</f>
        <v>42</v>
      </c>
      <c r="J25" s="67" t="e">
        <f t="shared" si="5"/>
        <v>#DIV/0!</v>
      </c>
      <c r="K25" s="89">
        <f>('Water Reading'!I25-'Water Reading'!I24)-('Water Reading'!P25-'Water Reading'!P24)</f>
        <v>24</v>
      </c>
      <c r="L25" s="67" t="e">
        <f t="shared" si="6"/>
        <v>#DIV/0!</v>
      </c>
      <c r="M25" s="88">
        <f>'Water Reading'!R25-'Water Reading'!R24</f>
        <v>1</v>
      </c>
      <c r="N25" s="90" t="e">
        <f t="shared" si="7"/>
        <v>#DIV/0!</v>
      </c>
      <c r="O25" s="88">
        <f>'Water Reading'!Q25-'Water Reading'!Q24</f>
        <v>3</v>
      </c>
      <c r="P25" s="97" t="e">
        <f t="shared" si="8"/>
        <v>#DIV/0!</v>
      </c>
      <c r="Q25" s="89">
        <f>'Water Reading'!F25-'Water Reading'!F24</f>
        <v>3</v>
      </c>
      <c r="R25" s="98" t="e">
        <f t="shared" si="9"/>
        <v>#DIV/0!</v>
      </c>
      <c r="S25" s="92">
        <f>'Water Reading'!E25-'Water Reading'!E24</f>
        <v>51</v>
      </c>
      <c r="T25" s="98" t="e">
        <f t="shared" si="10"/>
        <v>#DIV/0!</v>
      </c>
      <c r="U25" s="88">
        <f>'Water Reading'!G25-'Water Reading'!G24</f>
        <v>24</v>
      </c>
      <c r="V25" s="98" t="e">
        <f t="shared" si="11"/>
        <v>#DIV/0!</v>
      </c>
      <c r="W25" s="88">
        <f>'Water Reading'!J25-'Water Reading'!J24</f>
        <v>8</v>
      </c>
      <c r="X25" s="98" t="e">
        <f t="shared" si="12"/>
        <v>#DIV/0!</v>
      </c>
      <c r="Y25" s="65">
        <f t="shared" si="0"/>
        <v>341</v>
      </c>
      <c r="Z25" s="66">
        <f t="shared" si="1"/>
        <v>1.1000000000000001</v>
      </c>
    </row>
    <row r="26" spans="1:26" x14ac:dyDescent="0.25">
      <c r="A26" s="8">
        <f>'Water Reading'!A25</f>
        <v>44492</v>
      </c>
      <c r="B26" s="64">
        <f>TOTAL!I24</f>
        <v>319</v>
      </c>
      <c r="C26" s="65">
        <f>('Water Reading'!B26-'Water Reading'!B25)+('Water Reading'!C26-'Water Reading'!C25)</f>
        <v>0</v>
      </c>
      <c r="D26" s="66">
        <f t="shared" si="2"/>
        <v>0</v>
      </c>
      <c r="E26" s="85">
        <f>'Water Reading'!H26-'Water Reading'!H25</f>
        <v>48</v>
      </c>
      <c r="F26" s="87" t="e">
        <f t="shared" si="3"/>
        <v>#DIV/0!</v>
      </c>
      <c r="G26" s="91">
        <f>('Water Reading'!D26-'Water Reading'!D25)-('Water Reading'!R26-'Water Reading'!R25)-('Water Reading'!Q26-'Water Reading'!Q25)</f>
        <v>120</v>
      </c>
      <c r="H26" s="87" t="e">
        <f t="shared" si="4"/>
        <v>#DIV/0!</v>
      </c>
      <c r="I26" s="88">
        <f>'Water Reading'!P26-'Water Reading'!P25</f>
        <v>15</v>
      </c>
      <c r="J26" s="67" t="e">
        <f t="shared" si="5"/>
        <v>#DIV/0!</v>
      </c>
      <c r="K26" s="89">
        <f>('Water Reading'!I26-'Water Reading'!I25)-('Water Reading'!P26-'Water Reading'!P25)</f>
        <v>44</v>
      </c>
      <c r="L26" s="67" t="e">
        <f t="shared" si="6"/>
        <v>#DIV/0!</v>
      </c>
      <c r="M26" s="88">
        <f>'Water Reading'!R26-'Water Reading'!R25</f>
        <v>7</v>
      </c>
      <c r="N26" s="90" t="e">
        <f t="shared" si="7"/>
        <v>#DIV/0!</v>
      </c>
      <c r="O26" s="88">
        <f>'Water Reading'!Q26-'Water Reading'!Q25</f>
        <v>2</v>
      </c>
      <c r="P26" s="97" t="e">
        <f t="shared" si="8"/>
        <v>#DIV/0!</v>
      </c>
      <c r="Q26" s="89">
        <f>'Water Reading'!F26-'Water Reading'!F25</f>
        <v>0</v>
      </c>
      <c r="R26" s="98" t="e">
        <f t="shared" si="9"/>
        <v>#DIV/0!</v>
      </c>
      <c r="S26" s="92">
        <f>'Water Reading'!E26-'Water Reading'!E25</f>
        <v>59</v>
      </c>
      <c r="T26" s="98" t="e">
        <f t="shared" si="10"/>
        <v>#DIV/0!</v>
      </c>
      <c r="U26" s="88">
        <f>'Water Reading'!G26-'Water Reading'!G25</f>
        <v>23</v>
      </c>
      <c r="V26" s="98" t="e">
        <f t="shared" si="11"/>
        <v>#DIV/0!</v>
      </c>
      <c r="W26" s="88">
        <f>'Water Reading'!J26-'Water Reading'!J25</f>
        <v>7</v>
      </c>
      <c r="X26" s="98" t="e">
        <f t="shared" si="12"/>
        <v>#DIV/0!</v>
      </c>
      <c r="Y26" s="65">
        <f t="shared" si="0"/>
        <v>325</v>
      </c>
      <c r="Z26" s="66">
        <f t="shared" si="1"/>
        <v>1.0188087774294672</v>
      </c>
    </row>
    <row r="27" spans="1:26" x14ac:dyDescent="0.25">
      <c r="A27" s="8">
        <f>'Water Reading'!A26</f>
        <v>44493</v>
      </c>
      <c r="B27" s="64">
        <f>TOTAL!I25</f>
        <v>351</v>
      </c>
      <c r="C27" s="65">
        <f>('Water Reading'!B27-'Water Reading'!B26)+('Water Reading'!C27-'Water Reading'!C26)</f>
        <v>0</v>
      </c>
      <c r="D27" s="66">
        <f t="shared" si="2"/>
        <v>0</v>
      </c>
      <c r="E27" s="85">
        <f>'Water Reading'!H27-'Water Reading'!H26</f>
        <v>35</v>
      </c>
      <c r="F27" s="87" t="e">
        <f t="shared" si="3"/>
        <v>#DIV/0!</v>
      </c>
      <c r="G27" s="91">
        <f>('Water Reading'!D27-'Water Reading'!D26)-('Water Reading'!R27-'Water Reading'!R26)-('Water Reading'!Q27-'Water Reading'!Q26)</f>
        <v>172</v>
      </c>
      <c r="H27" s="87" t="e">
        <f t="shared" si="4"/>
        <v>#DIV/0!</v>
      </c>
      <c r="I27" s="88">
        <f>'Water Reading'!P27-'Water Reading'!P26</f>
        <v>35</v>
      </c>
      <c r="J27" s="67" t="e">
        <f t="shared" si="5"/>
        <v>#DIV/0!</v>
      </c>
      <c r="K27" s="89">
        <f>('Water Reading'!I27-'Water Reading'!I26)-('Water Reading'!P27-'Water Reading'!P26)</f>
        <v>21</v>
      </c>
      <c r="L27" s="67" t="e">
        <f t="shared" si="6"/>
        <v>#DIV/0!</v>
      </c>
      <c r="M27" s="88">
        <f>'Water Reading'!R27-'Water Reading'!R26</f>
        <v>6</v>
      </c>
      <c r="N27" s="90" t="e">
        <f t="shared" si="7"/>
        <v>#DIV/0!</v>
      </c>
      <c r="O27" s="88">
        <f>'Water Reading'!Q27-'Water Reading'!Q26</f>
        <v>2</v>
      </c>
      <c r="P27" s="97" t="e">
        <f t="shared" si="8"/>
        <v>#DIV/0!</v>
      </c>
      <c r="Q27" s="89">
        <f>'Water Reading'!F27-'Water Reading'!F26</f>
        <v>1</v>
      </c>
      <c r="R27" s="98" t="e">
        <f t="shared" si="9"/>
        <v>#DIV/0!</v>
      </c>
      <c r="S27" s="92">
        <f>'Water Reading'!E27-'Water Reading'!E26</f>
        <v>64</v>
      </c>
      <c r="T27" s="98" t="e">
        <f t="shared" si="10"/>
        <v>#DIV/0!</v>
      </c>
      <c r="U27" s="88">
        <f>'Water Reading'!G27-'Water Reading'!G26</f>
        <v>23</v>
      </c>
      <c r="V27" s="98" t="e">
        <f t="shared" si="11"/>
        <v>#DIV/0!</v>
      </c>
      <c r="W27" s="88">
        <f>'Water Reading'!J27-'Water Reading'!J26</f>
        <v>8</v>
      </c>
      <c r="X27" s="98" t="e">
        <f t="shared" si="12"/>
        <v>#DIV/0!</v>
      </c>
      <c r="Y27" s="65">
        <f t="shared" si="0"/>
        <v>367</v>
      </c>
      <c r="Z27" s="66">
        <f t="shared" si="1"/>
        <v>1.0455840455840455</v>
      </c>
    </row>
    <row r="28" spans="1:26" x14ac:dyDescent="0.25">
      <c r="A28" s="8">
        <f>'Water Reading'!A27</f>
        <v>44494</v>
      </c>
      <c r="B28" s="64">
        <f>TOTAL!I26</f>
        <v>383</v>
      </c>
      <c r="C28" s="65">
        <f>('Water Reading'!B28-'Water Reading'!B27)+('Water Reading'!C28-'Water Reading'!C27)</f>
        <v>0</v>
      </c>
      <c r="D28" s="66">
        <f t="shared" si="2"/>
        <v>0</v>
      </c>
      <c r="E28" s="85">
        <f>'Water Reading'!H28-'Water Reading'!H27</f>
        <v>64</v>
      </c>
      <c r="F28" s="87" t="e">
        <f t="shared" si="3"/>
        <v>#DIV/0!</v>
      </c>
      <c r="G28" s="91">
        <f>('Water Reading'!D28-'Water Reading'!D27)-('Water Reading'!R28-'Water Reading'!R27)-('Water Reading'!Q28-'Water Reading'!Q27)</f>
        <v>194</v>
      </c>
      <c r="H28" s="87" t="e">
        <f t="shared" si="4"/>
        <v>#DIV/0!</v>
      </c>
      <c r="I28" s="88">
        <f>'Water Reading'!P28-'Water Reading'!P27</f>
        <v>19</v>
      </c>
      <c r="J28" s="67" t="e">
        <f t="shared" si="5"/>
        <v>#DIV/0!</v>
      </c>
      <c r="K28" s="89">
        <f>('Water Reading'!I28-'Water Reading'!I27)-('Water Reading'!P28-'Water Reading'!P27)</f>
        <v>39</v>
      </c>
      <c r="L28" s="67" t="e">
        <f t="shared" si="6"/>
        <v>#DIV/0!</v>
      </c>
      <c r="M28" s="88">
        <f>'Water Reading'!R28-'Water Reading'!R27</f>
        <v>6</v>
      </c>
      <c r="N28" s="90" t="e">
        <f t="shared" si="7"/>
        <v>#DIV/0!</v>
      </c>
      <c r="O28" s="88">
        <f>'Water Reading'!Q28-'Water Reading'!Q27</f>
        <v>1</v>
      </c>
      <c r="P28" s="97" t="e">
        <f t="shared" si="8"/>
        <v>#DIV/0!</v>
      </c>
      <c r="Q28" s="89">
        <f>'Water Reading'!F28-'Water Reading'!F27</f>
        <v>1</v>
      </c>
      <c r="R28" s="98" t="e">
        <f t="shared" si="9"/>
        <v>#DIV/0!</v>
      </c>
      <c r="S28" s="92">
        <f>'Water Reading'!E28-'Water Reading'!E27</f>
        <v>52</v>
      </c>
      <c r="T28" s="98" t="e">
        <f t="shared" si="10"/>
        <v>#DIV/0!</v>
      </c>
      <c r="U28" s="88">
        <f>'Water Reading'!G28-'Water Reading'!G27</f>
        <v>24</v>
      </c>
      <c r="V28" s="98" t="e">
        <f t="shared" si="11"/>
        <v>#DIV/0!</v>
      </c>
      <c r="W28" s="88">
        <f>'Water Reading'!J28-'Water Reading'!J27</f>
        <v>7</v>
      </c>
      <c r="X28" s="98" t="e">
        <f t="shared" si="12"/>
        <v>#DIV/0!</v>
      </c>
      <c r="Y28" s="65">
        <f t="shared" si="0"/>
        <v>407</v>
      </c>
      <c r="Z28" s="66">
        <f t="shared" si="1"/>
        <v>1.0626631853785902</v>
      </c>
    </row>
    <row r="29" spans="1:26" x14ac:dyDescent="0.25">
      <c r="A29" s="8">
        <f>'Water Reading'!A28</f>
        <v>44495</v>
      </c>
      <c r="B29" s="64">
        <f>TOTAL!I27</f>
        <v>257</v>
      </c>
      <c r="C29" s="65">
        <f>('Water Reading'!B29-'Water Reading'!B28)+('Water Reading'!C29-'Water Reading'!C28)</f>
        <v>0</v>
      </c>
      <c r="D29" s="66">
        <f t="shared" si="2"/>
        <v>0</v>
      </c>
      <c r="E29" s="85">
        <f>'Water Reading'!H29-'Water Reading'!H28</f>
        <v>25</v>
      </c>
      <c r="F29" s="87" t="e">
        <f t="shared" si="3"/>
        <v>#DIV/0!</v>
      </c>
      <c r="G29" s="91">
        <f>('Water Reading'!D29-'Water Reading'!D28)-('Water Reading'!R29-'Water Reading'!R28)-('Water Reading'!Q29-'Water Reading'!Q28)</f>
        <v>141</v>
      </c>
      <c r="H29" s="87" t="e">
        <f t="shared" si="4"/>
        <v>#DIV/0!</v>
      </c>
      <c r="I29" s="88">
        <f>'Water Reading'!P29-'Water Reading'!P28</f>
        <v>20</v>
      </c>
      <c r="J29" s="67" t="e">
        <f t="shared" si="5"/>
        <v>#DIV/0!</v>
      </c>
      <c r="K29" s="89">
        <f>('Water Reading'!I29-'Water Reading'!I28)-('Water Reading'!P29-'Water Reading'!P28)</f>
        <v>26</v>
      </c>
      <c r="L29" s="67" t="e">
        <f t="shared" si="6"/>
        <v>#DIV/0!</v>
      </c>
      <c r="M29" s="88">
        <f>'Water Reading'!R29-'Water Reading'!R28</f>
        <v>6</v>
      </c>
      <c r="N29" s="90" t="e">
        <f t="shared" si="7"/>
        <v>#DIV/0!</v>
      </c>
      <c r="O29" s="88">
        <f>'Water Reading'!Q29-'Water Reading'!Q28</f>
        <v>0</v>
      </c>
      <c r="P29" s="97" t="e">
        <f t="shared" si="8"/>
        <v>#DIV/0!</v>
      </c>
      <c r="Q29" s="89">
        <f>'Water Reading'!F29-'Water Reading'!F28</f>
        <v>0</v>
      </c>
      <c r="R29" s="98" t="e">
        <f t="shared" si="9"/>
        <v>#DIV/0!</v>
      </c>
      <c r="S29" s="92">
        <f>'Water Reading'!E29-'Water Reading'!E28</f>
        <v>61</v>
      </c>
      <c r="T29" s="98" t="e">
        <f t="shared" si="10"/>
        <v>#DIV/0!</v>
      </c>
      <c r="U29" s="88">
        <f>'Water Reading'!G29-'Water Reading'!G28</f>
        <v>24</v>
      </c>
      <c r="V29" s="98" t="e">
        <f t="shared" si="11"/>
        <v>#DIV/0!</v>
      </c>
      <c r="W29" s="88">
        <f>'Water Reading'!J29-'Water Reading'!J28</f>
        <v>7</v>
      </c>
      <c r="X29" s="98" t="e">
        <f t="shared" si="12"/>
        <v>#DIV/0!</v>
      </c>
      <c r="Y29" s="65">
        <f t="shared" si="0"/>
        <v>310</v>
      </c>
      <c r="Z29" s="66">
        <f t="shared" si="1"/>
        <v>1.2062256809338521</v>
      </c>
    </row>
    <row r="30" spans="1:26" x14ac:dyDescent="0.25">
      <c r="A30" s="8">
        <f>'Water Reading'!A29</f>
        <v>44496</v>
      </c>
      <c r="B30" s="64">
        <f>TOTAL!I28</f>
        <v>285</v>
      </c>
      <c r="C30" s="65">
        <f>('Water Reading'!B30-'Water Reading'!B29)+('Water Reading'!C30-'Water Reading'!C29)</f>
        <v>0</v>
      </c>
      <c r="D30" s="66">
        <f t="shared" si="2"/>
        <v>0</v>
      </c>
      <c r="E30" s="85">
        <f>'Water Reading'!H30-'Water Reading'!H29</f>
        <v>25</v>
      </c>
      <c r="F30" s="87" t="e">
        <f t="shared" si="3"/>
        <v>#DIV/0!</v>
      </c>
      <c r="G30" s="91">
        <f>('Water Reading'!D30-'Water Reading'!D29)-('Water Reading'!R30-'Water Reading'!R29)-('Water Reading'!Q30-'Water Reading'!Q29)</f>
        <v>145</v>
      </c>
      <c r="H30" s="87" t="e">
        <f t="shared" si="4"/>
        <v>#DIV/0!</v>
      </c>
      <c r="I30" s="88">
        <f>'Water Reading'!P30-'Water Reading'!P29</f>
        <v>14</v>
      </c>
      <c r="J30" s="67" t="e">
        <f t="shared" si="5"/>
        <v>#DIV/0!</v>
      </c>
      <c r="K30" s="89">
        <f>('Water Reading'!I30-'Water Reading'!I29)-('Water Reading'!P30-'Water Reading'!P29)</f>
        <v>18</v>
      </c>
      <c r="L30" s="67" t="e">
        <f t="shared" si="6"/>
        <v>#DIV/0!</v>
      </c>
      <c r="M30" s="88">
        <f>'Water Reading'!R30-'Water Reading'!R29</f>
        <v>8</v>
      </c>
      <c r="N30" s="90" t="e">
        <f t="shared" si="7"/>
        <v>#DIV/0!</v>
      </c>
      <c r="O30" s="88">
        <f>'Water Reading'!Q30-'Water Reading'!Q29</f>
        <v>0</v>
      </c>
      <c r="P30" s="97" t="e">
        <f t="shared" si="8"/>
        <v>#DIV/0!</v>
      </c>
      <c r="Q30" s="89">
        <f>'Water Reading'!F30-'Water Reading'!F29</f>
        <v>1</v>
      </c>
      <c r="R30" s="98" t="e">
        <f t="shared" si="9"/>
        <v>#DIV/0!</v>
      </c>
      <c r="S30" s="92">
        <f>'Water Reading'!E30-'Water Reading'!E29</f>
        <v>85</v>
      </c>
      <c r="T30" s="98" t="e">
        <f t="shared" si="10"/>
        <v>#DIV/0!</v>
      </c>
      <c r="U30" s="88">
        <f>'Water Reading'!G30-'Water Reading'!G29</f>
        <v>-101976</v>
      </c>
      <c r="V30" s="98" t="e">
        <f t="shared" si="11"/>
        <v>#DIV/0!</v>
      </c>
      <c r="W30" s="88">
        <f>'Water Reading'!J30-'Water Reading'!J29</f>
        <v>7</v>
      </c>
      <c r="X30" s="98" t="e">
        <f t="shared" si="12"/>
        <v>#DIV/0!</v>
      </c>
      <c r="Y30" s="65">
        <f t="shared" si="0"/>
        <v>-101673</v>
      </c>
      <c r="Z30" s="66">
        <f t="shared" si="1"/>
        <v>-356.74736842105261</v>
      </c>
    </row>
    <row r="31" spans="1:26" x14ac:dyDescent="0.25">
      <c r="A31" s="8">
        <f>'Water Reading'!A30</f>
        <v>44497</v>
      </c>
      <c r="B31" s="64">
        <f>TOTAL!I29</f>
        <v>336</v>
      </c>
      <c r="C31" s="65">
        <f>('Water Reading'!B31-'Water Reading'!B30)+('Water Reading'!C31-'Water Reading'!C30)</f>
        <v>0</v>
      </c>
      <c r="D31" s="66">
        <f t="shared" si="2"/>
        <v>0</v>
      </c>
      <c r="E31" s="85">
        <f>'Water Reading'!H31-'Water Reading'!H30</f>
        <v>-57482</v>
      </c>
      <c r="F31" s="87" t="e">
        <f t="shared" si="3"/>
        <v>#DIV/0!</v>
      </c>
      <c r="G31" s="91">
        <f>('Water Reading'!D31-'Water Reading'!D30)-('Water Reading'!R31-'Water Reading'!R30)-('Water Reading'!Q31-'Water Reading'!Q30)</f>
        <v>-218575</v>
      </c>
      <c r="H31" s="87" t="e">
        <f t="shared" si="4"/>
        <v>#DIV/0!</v>
      </c>
      <c r="I31" s="88">
        <f>'Water Reading'!P31-'Water Reading'!P30</f>
        <v>-28468</v>
      </c>
      <c r="J31" s="67" t="e">
        <f t="shared" si="5"/>
        <v>#DIV/0!</v>
      </c>
      <c r="K31" s="89">
        <f>('Water Reading'!I31-'Water Reading'!I30)-('Water Reading'!P31-'Water Reading'!P30)</f>
        <v>-38995</v>
      </c>
      <c r="L31" s="67" t="e">
        <f t="shared" si="6"/>
        <v>#DIV/0!</v>
      </c>
      <c r="M31" s="88">
        <f>'Water Reading'!R31-'Water Reading'!R30</f>
        <v>-6902</v>
      </c>
      <c r="N31" s="90" t="e">
        <f t="shared" si="7"/>
        <v>#DIV/0!</v>
      </c>
      <c r="O31" s="88">
        <f>'Water Reading'!Q31-'Water Reading'!Q30</f>
        <v>-1064</v>
      </c>
      <c r="P31" s="97" t="e">
        <f t="shared" si="8"/>
        <v>#DIV/0!</v>
      </c>
      <c r="Q31" s="89">
        <f>'Water Reading'!F31-'Water Reading'!F30</f>
        <v>-67012</v>
      </c>
      <c r="R31" s="98" t="e">
        <f t="shared" si="9"/>
        <v>#DIV/0!</v>
      </c>
      <c r="S31" s="92">
        <f>'Water Reading'!E31-'Water Reading'!E30</f>
        <v>-254670</v>
      </c>
      <c r="T31" s="98" t="e">
        <f t="shared" si="10"/>
        <v>#DIV/0!</v>
      </c>
      <c r="U31" s="88">
        <f>'Water Reading'!G31-'Water Reading'!G30</f>
        <v>-11791</v>
      </c>
      <c r="V31" s="98" t="e">
        <f t="shared" si="11"/>
        <v>#DIV/0!</v>
      </c>
      <c r="W31" s="88">
        <f>'Water Reading'!J31-'Water Reading'!J30</f>
        <v>-21535</v>
      </c>
      <c r="X31" s="98" t="e">
        <f t="shared" si="12"/>
        <v>#DIV/0!</v>
      </c>
      <c r="Y31" s="65">
        <f t="shared" si="0"/>
        <v>-706494</v>
      </c>
      <c r="Z31" s="66">
        <f t="shared" si="1"/>
        <v>-2102.6607142857142</v>
      </c>
    </row>
    <row r="32" spans="1:26" x14ac:dyDescent="0.25">
      <c r="A32" s="8">
        <f>'Water Reading'!A31</f>
        <v>44498</v>
      </c>
      <c r="B32" s="64">
        <f>TOTAL!I30</f>
        <v>315</v>
      </c>
      <c r="C32" s="65">
        <f>('Water Reading'!B32-'Water Reading'!B31)+('Water Reading'!C32-'Water Reading'!C31)</f>
        <v>0</v>
      </c>
      <c r="D32" s="66">
        <f t="shared" si="2"/>
        <v>0</v>
      </c>
      <c r="E32" s="85">
        <f>'Water Reading'!H32-'Water Reading'!H31</f>
        <v>0</v>
      </c>
      <c r="F32" s="87" t="e">
        <f t="shared" si="3"/>
        <v>#DIV/0!</v>
      </c>
      <c r="G32" s="91">
        <f>('Water Reading'!D32-'Water Reading'!D31)-('Water Reading'!R32-'Water Reading'!R31)-('Water Reading'!Q32-'Water Reading'!Q31)</f>
        <v>0</v>
      </c>
      <c r="H32" s="87" t="e">
        <f t="shared" si="4"/>
        <v>#DIV/0!</v>
      </c>
      <c r="I32" s="88">
        <f>'Water Reading'!P32-'Water Reading'!P31</f>
        <v>0</v>
      </c>
      <c r="J32" s="67" t="e">
        <f t="shared" si="5"/>
        <v>#DIV/0!</v>
      </c>
      <c r="K32" s="89">
        <f>('Water Reading'!I32-'Water Reading'!I31)-('Water Reading'!P32-'Water Reading'!P31)</f>
        <v>0</v>
      </c>
      <c r="L32" s="67" t="e">
        <f t="shared" si="6"/>
        <v>#DIV/0!</v>
      </c>
      <c r="M32" s="88">
        <f>'Water Reading'!R32-'Water Reading'!R31</f>
        <v>0</v>
      </c>
      <c r="N32" s="90" t="e">
        <f t="shared" si="7"/>
        <v>#DIV/0!</v>
      </c>
      <c r="O32" s="88">
        <f>'Water Reading'!Q32-'Water Reading'!Q31</f>
        <v>0</v>
      </c>
      <c r="P32" s="97" t="e">
        <f t="shared" si="8"/>
        <v>#DIV/0!</v>
      </c>
      <c r="Q32" s="89">
        <f>'Water Reading'!F32-'Water Reading'!F31</f>
        <v>0</v>
      </c>
      <c r="R32" s="98" t="e">
        <f t="shared" si="9"/>
        <v>#DIV/0!</v>
      </c>
      <c r="S32" s="92">
        <f>'Water Reading'!E32-'Water Reading'!E31</f>
        <v>0</v>
      </c>
      <c r="T32" s="98" t="e">
        <f t="shared" si="10"/>
        <v>#DIV/0!</v>
      </c>
      <c r="U32" s="88">
        <f>'Water Reading'!G32-'Water Reading'!G31</f>
        <v>0</v>
      </c>
      <c r="V32" s="98" t="e">
        <f t="shared" si="11"/>
        <v>#DIV/0!</v>
      </c>
      <c r="W32" s="88">
        <f>'Water Reading'!J32-'Water Reading'!J31</f>
        <v>0</v>
      </c>
      <c r="X32" s="98" t="e">
        <f t="shared" si="12"/>
        <v>#DIV/0!</v>
      </c>
      <c r="Y32" s="65">
        <f t="shared" si="0"/>
        <v>0</v>
      </c>
      <c r="Z32" s="66">
        <f t="shared" si="1"/>
        <v>0</v>
      </c>
    </row>
    <row r="33" spans="1:26" x14ac:dyDescent="0.25">
      <c r="A33" s="8">
        <f>'Water Reading'!A32</f>
        <v>44499</v>
      </c>
      <c r="B33" s="64">
        <f>TOTAL!I31</f>
        <v>0</v>
      </c>
      <c r="C33" s="65">
        <f>('Water Reading'!B33-'Water Reading'!B32)+('Water Reading'!C33-'Water Reading'!C32)</f>
        <v>0</v>
      </c>
      <c r="D33" s="66" t="e">
        <f t="shared" si="2"/>
        <v>#DIV/0!</v>
      </c>
      <c r="E33" s="85">
        <f>'Water Reading'!H33-'Water Reading'!H32</f>
        <v>0</v>
      </c>
      <c r="F33" s="87" t="e">
        <f t="shared" si="3"/>
        <v>#DIV/0!</v>
      </c>
      <c r="G33" s="91">
        <f>('Water Reading'!D33-'Water Reading'!D32)-('Water Reading'!R33-'Water Reading'!R32)-('Water Reading'!Q33-'Water Reading'!Q32)</f>
        <v>0</v>
      </c>
      <c r="H33" s="87" t="e">
        <f t="shared" si="4"/>
        <v>#DIV/0!</v>
      </c>
      <c r="I33" s="88">
        <f>'Water Reading'!P33-'Water Reading'!P32</f>
        <v>0</v>
      </c>
      <c r="J33" s="67" t="e">
        <f t="shared" si="5"/>
        <v>#DIV/0!</v>
      </c>
      <c r="K33" s="89">
        <f>('Water Reading'!I33-'Water Reading'!I32)-('Water Reading'!P33-'Water Reading'!P32)</f>
        <v>0</v>
      </c>
      <c r="L33" s="67" t="e">
        <f t="shared" si="6"/>
        <v>#DIV/0!</v>
      </c>
      <c r="M33" s="88">
        <f>'Water Reading'!R33-'Water Reading'!R32</f>
        <v>0</v>
      </c>
      <c r="N33" s="90" t="e">
        <f t="shared" si="7"/>
        <v>#DIV/0!</v>
      </c>
      <c r="O33" s="88">
        <f>'Water Reading'!Q33-'Water Reading'!Q32</f>
        <v>0</v>
      </c>
      <c r="P33" s="97" t="e">
        <f t="shared" si="8"/>
        <v>#DIV/0!</v>
      </c>
      <c r="Q33" s="89">
        <f>'Water Reading'!F33-'Water Reading'!F32</f>
        <v>0</v>
      </c>
      <c r="R33" s="98" t="e">
        <f t="shared" si="9"/>
        <v>#DIV/0!</v>
      </c>
      <c r="S33" s="92">
        <f>'Water Reading'!E33-'Water Reading'!E32</f>
        <v>0</v>
      </c>
      <c r="T33" s="98" t="e">
        <f t="shared" si="10"/>
        <v>#DIV/0!</v>
      </c>
      <c r="U33" s="88">
        <f>'Water Reading'!G33-'Water Reading'!G32</f>
        <v>0</v>
      </c>
      <c r="V33" s="98" t="e">
        <f t="shared" si="11"/>
        <v>#DIV/0!</v>
      </c>
      <c r="W33" s="88">
        <f>'Water Reading'!J33-'Water Reading'!J32</f>
        <v>0</v>
      </c>
      <c r="X33" s="98" t="e">
        <f t="shared" si="12"/>
        <v>#DIV/0!</v>
      </c>
      <c r="Y33" s="65">
        <f t="shared" si="0"/>
        <v>0</v>
      </c>
      <c r="Z33" s="66" t="e">
        <f t="shared" si="1"/>
        <v>#DIV/0!</v>
      </c>
    </row>
    <row r="34" spans="1:26" x14ac:dyDescent="0.25">
      <c r="A34" s="8">
        <f>'Water Reading'!A33</f>
        <v>44500</v>
      </c>
      <c r="B34" s="64">
        <f>TOTAL!I32</f>
        <v>0</v>
      </c>
      <c r="C34" s="65">
        <f>('Water Reading'!B34-'Water Reading'!B33)+('Water Reading'!C34-'Water Reading'!C33)</f>
        <v>0</v>
      </c>
      <c r="D34" s="66" t="e">
        <f t="shared" si="2"/>
        <v>#DIV/0!</v>
      </c>
      <c r="E34" s="85">
        <f>'Water Reading'!H34-'Water Reading'!H33</f>
        <v>0</v>
      </c>
      <c r="F34" s="87" t="e">
        <f t="shared" si="3"/>
        <v>#DIV/0!</v>
      </c>
      <c r="G34" s="91">
        <f>('Water Reading'!D34-'Water Reading'!D33)-('Water Reading'!R34-'Water Reading'!R33)-('Water Reading'!Q34-'Water Reading'!Q33)</f>
        <v>0</v>
      </c>
      <c r="H34" s="87" t="e">
        <f t="shared" si="4"/>
        <v>#DIV/0!</v>
      </c>
      <c r="I34" s="88">
        <f>'Water Reading'!P34-'Water Reading'!P33</f>
        <v>0</v>
      </c>
      <c r="J34" s="67" t="e">
        <f t="shared" si="5"/>
        <v>#DIV/0!</v>
      </c>
      <c r="K34" s="89">
        <f>('Water Reading'!I34-'Water Reading'!I33)-('Water Reading'!P34-'Water Reading'!P33)</f>
        <v>0</v>
      </c>
      <c r="L34" s="67" t="e">
        <f t="shared" si="6"/>
        <v>#DIV/0!</v>
      </c>
      <c r="M34" s="88">
        <f>'Water Reading'!R34-'Water Reading'!R33</f>
        <v>0</v>
      </c>
      <c r="N34" s="90" t="e">
        <f t="shared" si="7"/>
        <v>#DIV/0!</v>
      </c>
      <c r="O34" s="88">
        <f>'Water Reading'!Q34-'Water Reading'!Q33</f>
        <v>0</v>
      </c>
      <c r="P34" s="97" t="e">
        <f t="shared" si="8"/>
        <v>#DIV/0!</v>
      </c>
      <c r="Q34" s="89">
        <f>'Water Reading'!F34-'Water Reading'!F33</f>
        <v>0</v>
      </c>
      <c r="R34" s="98" t="e">
        <f t="shared" si="9"/>
        <v>#DIV/0!</v>
      </c>
      <c r="S34" s="92">
        <f>'Water Reading'!E34-'Water Reading'!E33</f>
        <v>0</v>
      </c>
      <c r="T34" s="98" t="e">
        <f t="shared" si="10"/>
        <v>#DIV/0!</v>
      </c>
      <c r="U34" s="88">
        <f>'Water Reading'!G34-'Water Reading'!G33</f>
        <v>0</v>
      </c>
      <c r="V34" s="98" t="e">
        <f t="shared" si="11"/>
        <v>#DIV/0!</v>
      </c>
      <c r="W34" s="88">
        <f>'Water Reading'!J34-'Water Reading'!J33</f>
        <v>0</v>
      </c>
      <c r="X34" s="98" t="e">
        <f t="shared" si="12"/>
        <v>#DIV/0!</v>
      </c>
      <c r="Y34" s="65">
        <f t="shared" si="0"/>
        <v>0</v>
      </c>
      <c r="Z34" s="66" t="e">
        <f t="shared" si="1"/>
        <v>#DIV/0!</v>
      </c>
    </row>
    <row r="35" spans="1:26" ht="24" customHeight="1" x14ac:dyDescent="0.25">
      <c r="A35" s="68" t="s">
        <v>52</v>
      </c>
      <c r="B35" s="95">
        <f>SUM(B4:B34)</f>
        <v>8192</v>
      </c>
      <c r="C35" s="73">
        <f>SUM(C4:C34)</f>
        <v>-334670</v>
      </c>
      <c r="D35" s="94">
        <f>C35/B35</f>
        <v>-40.853271484375</v>
      </c>
      <c r="E35" s="7">
        <f>SUM(E4:E34)</f>
        <v>-56358</v>
      </c>
      <c r="F35" s="93">
        <f>E35/C35</f>
        <v>0.16839872112827561</v>
      </c>
      <c r="G35" s="73">
        <f>SUM(G4:G34)</f>
        <v>-215355</v>
      </c>
      <c r="H35" s="93">
        <f>G35/C35</f>
        <v>0.6434846266471449</v>
      </c>
      <c r="I35" s="7">
        <f>SUM(I4:I34)</f>
        <v>-28036</v>
      </c>
      <c r="J35" s="93">
        <f>I35/C35</f>
        <v>8.3772073983326853E-2</v>
      </c>
      <c r="K35" s="7">
        <f>SUM(K4:K34)</f>
        <v>-38335</v>
      </c>
      <c r="L35" s="93">
        <f>K35/C35</f>
        <v>0.11454567185585801</v>
      </c>
      <c r="M35" s="7">
        <f>SUM(M4:M34)</f>
        <v>-6759</v>
      </c>
      <c r="N35" s="93">
        <f>M35/C35</f>
        <v>2.0196013983924462E-2</v>
      </c>
      <c r="O35" s="7">
        <f>SUM(O4:O34)</f>
        <v>-1011</v>
      </c>
      <c r="P35" s="93">
        <f>O35/C35</f>
        <v>3.0208862461529266E-3</v>
      </c>
      <c r="Q35" s="7">
        <f>SUM(Q4:Q34)</f>
        <v>-66997</v>
      </c>
      <c r="R35" s="93">
        <f>Q35/C35</f>
        <v>0.20018824513700062</v>
      </c>
      <c r="S35" s="73">
        <f>SUM(S4:S34)</f>
        <v>-253147</v>
      </c>
      <c r="T35" s="93">
        <f>S35/C35</f>
        <v>0.7564078047031404</v>
      </c>
      <c r="U35" s="7">
        <f>SUM(U4:U34)</f>
        <v>-113275</v>
      </c>
      <c r="V35" s="93">
        <f>U35/C35</f>
        <v>0.33846774434517585</v>
      </c>
      <c r="W35" s="7">
        <f>SUM(W4:W34)</f>
        <v>-21313</v>
      </c>
      <c r="X35" s="93">
        <f>W35/C35</f>
        <v>6.3683628649117044E-2</v>
      </c>
      <c r="Y35" s="73">
        <f>SUM(Y4:Y34)</f>
        <v>-800586</v>
      </c>
      <c r="Z35" s="93">
        <f t="shared" si="1"/>
        <v>-97.727783203125</v>
      </c>
    </row>
    <row r="64" spans="4:4" x14ac:dyDescent="0.25">
      <c r="D64" s="69"/>
    </row>
    <row r="65" spans="4:4" x14ac:dyDescent="0.25">
      <c r="D65" s="69"/>
    </row>
    <row r="66" spans="4:4" x14ac:dyDescent="0.25">
      <c r="D66" s="69"/>
    </row>
    <row r="67" spans="4:4" x14ac:dyDescent="0.25">
      <c r="D67" s="69"/>
    </row>
    <row r="68" spans="4:4" x14ac:dyDescent="0.25">
      <c r="D68" s="69"/>
    </row>
    <row r="69" spans="4:4" x14ac:dyDescent="0.25">
      <c r="D69" s="69"/>
    </row>
    <row r="70" spans="4:4" x14ac:dyDescent="0.25">
      <c r="D70" s="69"/>
    </row>
    <row r="71" spans="4:4" x14ac:dyDescent="0.25">
      <c r="D71" s="69"/>
    </row>
    <row r="72" spans="4:4" x14ac:dyDescent="0.25">
      <c r="D72" s="69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2021-10-30T11:08:39Z</dcterms:modified>
  <cp:category/>
  <cp:contentStatus/>
</cp:coreProperties>
</file>