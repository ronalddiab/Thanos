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2EDED134-CBAF-4AF4-BBB4-E88977CEC13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OTAL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B32" i="11"/>
  <c r="B4" i="1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" i="11"/>
</calcChain>
</file>

<file path=xl/sharedStrings.xml><?xml version="1.0" encoding="utf-8"?>
<sst xmlns="http://schemas.openxmlformats.org/spreadsheetml/2006/main" count="46" uniqueCount="16">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</sst>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</cellXfs>
  <cellStyles count="4">
    <cellStyle name="Comma 10" xfId="1" xr:uid="{00000000-0005-0000-0000-000001000000}"/>
    <cellStyle name="Comma 2" xfId="2" xr:uid="{00000000-0005-0000-0000-000002000000}"/>
    <cellStyle name="Hyperlink 2" xfId="3" xr:uid="{00000000-0005-0000-0000-000005000000}"/>
    <cellStyle name="Normal" xfId="0" builtinId="0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tabSelected="1" workbookViewId="0">
      <selection activeCell="N2" sqref="N2:N32"/>
    </sheetView>
  </sheetViews>
  <sheetFormatPr defaultColWidth="11.5703125" defaultRowHeight="15" x14ac:dyDescent="0.25"/>
  <cols>
    <col min="1" max="1" width="18.42578125" style="13" customWidth="1"/>
    <col min="2" max="2" width="11.5703125" style="14"/>
    <col min="3" max="3" width="11.5703125" style="15"/>
    <col min="4" max="4" width="13.42578125" style="14" customWidth="1"/>
    <col min="5" max="5" width="12.5703125" style="12" customWidth="1"/>
    <col min="6" max="6" width="12.5703125" style="16" customWidth="1"/>
    <col min="7" max="7" width="11.5703125" style="12"/>
    <col min="8" max="8" width="11.5703125" style="16"/>
    <col min="9" max="9" width="11.5703125" style="17"/>
    <col min="10" max="10" width="11.5703125" style="18"/>
    <col min="11" max="11" width="11.5703125" style="12"/>
    <col min="12" max="12" width="11.5703125" style="18"/>
    <col min="13" max="26" width="11.5703125" style="12"/>
  </cols>
  <sheetData>
    <row r="1" spans="1:15" s="6" customFormat="1" ht="60" x14ac:dyDescent="0.25">
      <c r="A1" s="2" t="s">
        <v>1</v>
      </c>
      <c r="B1" s="2" t="s">
        <v>2</v>
      </c>
      <c r="C1" s="3" t="s">
        <v>3</v>
      </c>
      <c r="D1" s="2" t="s">
        <v>4</v>
      </c>
      <c r="E1" s="1" t="s">
        <v>5</v>
      </c>
      <c r="F1" s="4" t="s">
        <v>6</v>
      </c>
      <c r="G1" s="1" t="s">
        <v>11</v>
      </c>
      <c r="H1" s="4" t="s">
        <v>12</v>
      </c>
      <c r="I1" s="20" t="s">
        <v>14</v>
      </c>
      <c r="J1" s="4" t="s">
        <v>15</v>
      </c>
      <c r="K1" s="1" t="s">
        <v>7</v>
      </c>
      <c r="L1" s="5" t="s">
        <v>8</v>
      </c>
      <c r="M1" s="1" t="s">
        <v>9</v>
      </c>
      <c r="N1" s="1" t="s">
        <v>0</v>
      </c>
    </row>
    <row r="2" spans="1:15" x14ac:dyDescent="0.25">
      <c r="A2" s="7" t="s">
        <v>13</v>
      </c>
      <c r="B2" s="8">
        <v>1</v>
      </c>
      <c r="C2" s="9">
        <v>8</v>
      </c>
      <c r="D2" s="8">
        <v>2020</v>
      </c>
      <c r="E2" s="10">
        <f>434000/31</f>
        <v>14000</v>
      </c>
      <c r="F2" s="19">
        <v>1345</v>
      </c>
      <c r="G2" s="10">
        <f>5018/31</f>
        <v>161.87096774193549</v>
      </c>
      <c r="H2" s="19">
        <v>7202</v>
      </c>
      <c r="I2" s="10">
        <f>15000/31</f>
        <v>483.87096774193549</v>
      </c>
      <c r="J2" s="11">
        <v>8179</v>
      </c>
      <c r="K2" s="10">
        <f>27304/31</f>
        <v>880.77419354838707</v>
      </c>
      <c r="L2" s="19">
        <v>1928.7330059999999</v>
      </c>
      <c r="M2" s="10">
        <f>187/31</f>
        <v>6.032258064516129</v>
      </c>
      <c r="N2" s="10">
        <f>1914/31</f>
        <v>61.741935483870968</v>
      </c>
    </row>
    <row r="3" spans="1:15" x14ac:dyDescent="0.25">
      <c r="A3" s="7" t="s">
        <v>13</v>
      </c>
      <c r="B3" s="8">
        <f>B2+1</f>
        <v>2</v>
      </c>
      <c r="C3" s="9">
        <v>8</v>
      </c>
      <c r="D3" s="8">
        <v>2020</v>
      </c>
      <c r="E3" s="21">
        <f t="shared" ref="E3:E32" si="0">434000/31</f>
        <v>14000</v>
      </c>
      <c r="F3" s="19">
        <v>1345</v>
      </c>
      <c r="G3" s="21">
        <f t="shared" ref="G3:G32" si="1">5018/31</f>
        <v>161.87096774193549</v>
      </c>
      <c r="H3" s="19">
        <v>7202</v>
      </c>
      <c r="I3" s="21">
        <f t="shared" ref="I3:I32" si="2">15000/31</f>
        <v>483.87096774193549</v>
      </c>
      <c r="J3" s="11">
        <v>8179</v>
      </c>
      <c r="K3" s="21">
        <f t="shared" ref="K3:K32" si="3">27304/31</f>
        <v>880.77419354838707</v>
      </c>
      <c r="L3" s="19">
        <v>1928.7330059999999</v>
      </c>
      <c r="M3" s="21">
        <f t="shared" ref="M3:M32" si="4">187/31</f>
        <v>6.032258064516129</v>
      </c>
      <c r="N3" s="21">
        <f t="shared" ref="N3:N32" si="5">1914/31</f>
        <v>61.741935483870968</v>
      </c>
    </row>
    <row r="4" spans="1:15" x14ac:dyDescent="0.25">
      <c r="A4" s="7" t="s">
        <v>13</v>
      </c>
      <c r="B4" s="8">
        <f t="shared" ref="B4:B32" si="6">B3+1</f>
        <v>3</v>
      </c>
      <c r="C4" s="9">
        <v>8</v>
      </c>
      <c r="D4" s="8">
        <v>2020</v>
      </c>
      <c r="E4" s="21">
        <f t="shared" si="0"/>
        <v>14000</v>
      </c>
      <c r="F4" s="19">
        <v>1345</v>
      </c>
      <c r="G4" s="21">
        <f t="shared" si="1"/>
        <v>161.87096774193549</v>
      </c>
      <c r="H4" s="19">
        <v>7202</v>
      </c>
      <c r="I4" s="21">
        <f t="shared" si="2"/>
        <v>483.87096774193549</v>
      </c>
      <c r="J4" s="11">
        <v>8179</v>
      </c>
      <c r="K4" s="21">
        <f t="shared" si="3"/>
        <v>880.77419354838707</v>
      </c>
      <c r="L4" s="19">
        <v>1928.7330059999999</v>
      </c>
      <c r="M4" s="21">
        <f t="shared" si="4"/>
        <v>6.032258064516129</v>
      </c>
      <c r="N4" s="21">
        <f t="shared" si="5"/>
        <v>61.741935483870968</v>
      </c>
    </row>
    <row r="5" spans="1:15" x14ac:dyDescent="0.25">
      <c r="A5" s="7" t="s">
        <v>13</v>
      </c>
      <c r="B5" s="8">
        <f t="shared" si="6"/>
        <v>4</v>
      </c>
      <c r="C5" s="9">
        <v>8</v>
      </c>
      <c r="D5" s="8">
        <v>2020</v>
      </c>
      <c r="E5" s="21">
        <f t="shared" si="0"/>
        <v>14000</v>
      </c>
      <c r="F5" s="19">
        <v>1345</v>
      </c>
      <c r="G5" s="21">
        <f t="shared" si="1"/>
        <v>161.87096774193549</v>
      </c>
      <c r="H5" s="19">
        <v>7202</v>
      </c>
      <c r="I5" s="21">
        <f t="shared" si="2"/>
        <v>483.87096774193549</v>
      </c>
      <c r="J5" s="11">
        <v>8179</v>
      </c>
      <c r="K5" s="21">
        <f t="shared" si="3"/>
        <v>880.77419354838707</v>
      </c>
      <c r="L5" s="19">
        <v>1928.7330059999999</v>
      </c>
      <c r="M5" s="21">
        <f t="shared" si="4"/>
        <v>6.032258064516129</v>
      </c>
      <c r="N5" s="21">
        <f t="shared" si="5"/>
        <v>61.741935483870968</v>
      </c>
    </row>
    <row r="6" spans="1:15" x14ac:dyDescent="0.25">
      <c r="A6" s="7" t="s">
        <v>13</v>
      </c>
      <c r="B6" s="8">
        <f t="shared" si="6"/>
        <v>5</v>
      </c>
      <c r="C6" s="9">
        <v>8</v>
      </c>
      <c r="D6" s="8">
        <v>2020</v>
      </c>
      <c r="E6" s="21">
        <f t="shared" si="0"/>
        <v>14000</v>
      </c>
      <c r="F6" s="19">
        <v>1345</v>
      </c>
      <c r="G6" s="21">
        <f t="shared" si="1"/>
        <v>161.87096774193549</v>
      </c>
      <c r="H6" s="19">
        <v>7202</v>
      </c>
      <c r="I6" s="21">
        <f t="shared" si="2"/>
        <v>483.87096774193549</v>
      </c>
      <c r="J6" s="11">
        <v>8179</v>
      </c>
      <c r="K6" s="21">
        <f t="shared" si="3"/>
        <v>880.77419354838707</v>
      </c>
      <c r="L6" s="19">
        <v>1928.7330059999999</v>
      </c>
      <c r="M6" s="21">
        <f t="shared" si="4"/>
        <v>6.032258064516129</v>
      </c>
      <c r="N6" s="21">
        <f t="shared" si="5"/>
        <v>61.741935483870968</v>
      </c>
    </row>
    <row r="7" spans="1:15" x14ac:dyDescent="0.25">
      <c r="A7" s="7" t="s">
        <v>13</v>
      </c>
      <c r="B7" s="8">
        <f t="shared" si="6"/>
        <v>6</v>
      </c>
      <c r="C7" s="9">
        <v>8</v>
      </c>
      <c r="D7" s="8">
        <v>2020</v>
      </c>
      <c r="E7" s="21">
        <f t="shared" si="0"/>
        <v>14000</v>
      </c>
      <c r="F7" s="19">
        <v>1345</v>
      </c>
      <c r="G7" s="21">
        <f t="shared" si="1"/>
        <v>161.87096774193549</v>
      </c>
      <c r="H7" s="19">
        <v>7202</v>
      </c>
      <c r="I7" s="21">
        <f t="shared" si="2"/>
        <v>483.87096774193549</v>
      </c>
      <c r="J7" s="11">
        <v>8179</v>
      </c>
      <c r="K7" s="21">
        <f t="shared" si="3"/>
        <v>880.77419354838707</v>
      </c>
      <c r="L7" s="19">
        <v>1928.7330059999999</v>
      </c>
      <c r="M7" s="21">
        <f t="shared" si="4"/>
        <v>6.032258064516129</v>
      </c>
      <c r="N7" s="21">
        <f t="shared" si="5"/>
        <v>61.741935483870968</v>
      </c>
    </row>
    <row r="8" spans="1:15" x14ac:dyDescent="0.25">
      <c r="A8" s="7" t="s">
        <v>13</v>
      </c>
      <c r="B8" s="8">
        <f t="shared" si="6"/>
        <v>7</v>
      </c>
      <c r="C8" s="9">
        <v>8</v>
      </c>
      <c r="D8" s="8">
        <v>2020</v>
      </c>
      <c r="E8" s="21">
        <f t="shared" si="0"/>
        <v>14000</v>
      </c>
      <c r="F8" s="19">
        <v>1345</v>
      </c>
      <c r="G8" s="21">
        <f t="shared" si="1"/>
        <v>161.87096774193549</v>
      </c>
      <c r="H8" s="19">
        <v>7202</v>
      </c>
      <c r="I8" s="21">
        <f t="shared" si="2"/>
        <v>483.87096774193549</v>
      </c>
      <c r="J8" s="11">
        <v>8179</v>
      </c>
      <c r="K8" s="21">
        <f t="shared" si="3"/>
        <v>880.77419354838707</v>
      </c>
      <c r="L8" s="19">
        <v>1928.7330059999999</v>
      </c>
      <c r="M8" s="21">
        <f t="shared" si="4"/>
        <v>6.032258064516129</v>
      </c>
      <c r="N8" s="21">
        <f t="shared" si="5"/>
        <v>61.741935483870968</v>
      </c>
    </row>
    <row r="9" spans="1:15" x14ac:dyDescent="0.25">
      <c r="A9" s="7" t="s">
        <v>13</v>
      </c>
      <c r="B9" s="8">
        <f t="shared" si="6"/>
        <v>8</v>
      </c>
      <c r="C9" s="9">
        <v>8</v>
      </c>
      <c r="D9" s="8">
        <v>2020</v>
      </c>
      <c r="E9" s="21">
        <f t="shared" si="0"/>
        <v>14000</v>
      </c>
      <c r="F9" s="19">
        <v>1345</v>
      </c>
      <c r="G9" s="21">
        <f t="shared" si="1"/>
        <v>161.87096774193549</v>
      </c>
      <c r="H9" s="19">
        <v>7202</v>
      </c>
      <c r="I9" s="21">
        <f t="shared" si="2"/>
        <v>483.87096774193549</v>
      </c>
      <c r="J9" s="11">
        <v>8179</v>
      </c>
      <c r="K9" s="21">
        <f t="shared" si="3"/>
        <v>880.77419354838707</v>
      </c>
      <c r="L9" s="19">
        <v>1928.7330059999999</v>
      </c>
      <c r="M9" s="21">
        <f t="shared" si="4"/>
        <v>6.032258064516129</v>
      </c>
      <c r="N9" s="21">
        <f t="shared" si="5"/>
        <v>61.741935483870968</v>
      </c>
      <c r="O9" s="12" t="s">
        <v>10</v>
      </c>
    </row>
    <row r="10" spans="1:15" x14ac:dyDescent="0.25">
      <c r="A10" s="7" t="s">
        <v>13</v>
      </c>
      <c r="B10" s="8">
        <f t="shared" si="6"/>
        <v>9</v>
      </c>
      <c r="C10" s="9">
        <v>8</v>
      </c>
      <c r="D10" s="8">
        <v>2020</v>
      </c>
      <c r="E10" s="21">
        <f t="shared" si="0"/>
        <v>14000</v>
      </c>
      <c r="F10" s="19">
        <v>1345</v>
      </c>
      <c r="G10" s="21">
        <f t="shared" si="1"/>
        <v>161.87096774193549</v>
      </c>
      <c r="H10" s="19">
        <v>7202</v>
      </c>
      <c r="I10" s="21">
        <f t="shared" si="2"/>
        <v>483.87096774193549</v>
      </c>
      <c r="J10" s="11">
        <v>8179</v>
      </c>
      <c r="K10" s="21">
        <f t="shared" si="3"/>
        <v>880.77419354838707</v>
      </c>
      <c r="L10" s="19">
        <v>1928.7330059999999</v>
      </c>
      <c r="M10" s="21">
        <f t="shared" si="4"/>
        <v>6.032258064516129</v>
      </c>
      <c r="N10" s="21">
        <f t="shared" si="5"/>
        <v>61.741935483870968</v>
      </c>
    </row>
    <row r="11" spans="1:15" x14ac:dyDescent="0.25">
      <c r="A11" s="7" t="s">
        <v>13</v>
      </c>
      <c r="B11" s="8">
        <f t="shared" si="6"/>
        <v>10</v>
      </c>
      <c r="C11" s="9">
        <v>8</v>
      </c>
      <c r="D11" s="8">
        <v>2020</v>
      </c>
      <c r="E11" s="21">
        <f t="shared" si="0"/>
        <v>14000</v>
      </c>
      <c r="F11" s="19">
        <v>1345</v>
      </c>
      <c r="G11" s="21">
        <f t="shared" si="1"/>
        <v>161.87096774193549</v>
      </c>
      <c r="H11" s="19">
        <v>7202</v>
      </c>
      <c r="I11" s="21">
        <f t="shared" si="2"/>
        <v>483.87096774193549</v>
      </c>
      <c r="J11" s="11">
        <v>8179</v>
      </c>
      <c r="K11" s="21">
        <f t="shared" si="3"/>
        <v>880.77419354838707</v>
      </c>
      <c r="L11" s="19">
        <v>1928.7330059999999</v>
      </c>
      <c r="M11" s="21">
        <f t="shared" si="4"/>
        <v>6.032258064516129</v>
      </c>
      <c r="N11" s="21">
        <f t="shared" si="5"/>
        <v>61.741935483870968</v>
      </c>
    </row>
    <row r="12" spans="1:15" x14ac:dyDescent="0.25">
      <c r="A12" s="7" t="s">
        <v>13</v>
      </c>
      <c r="B12" s="8">
        <f t="shared" si="6"/>
        <v>11</v>
      </c>
      <c r="C12" s="9">
        <v>8</v>
      </c>
      <c r="D12" s="8">
        <v>2020</v>
      </c>
      <c r="E12" s="21">
        <f t="shared" si="0"/>
        <v>14000</v>
      </c>
      <c r="F12" s="19">
        <v>1345</v>
      </c>
      <c r="G12" s="21">
        <f t="shared" si="1"/>
        <v>161.87096774193549</v>
      </c>
      <c r="H12" s="19">
        <v>7202</v>
      </c>
      <c r="I12" s="21">
        <f t="shared" si="2"/>
        <v>483.87096774193549</v>
      </c>
      <c r="J12" s="11">
        <v>8179</v>
      </c>
      <c r="K12" s="21">
        <f t="shared" si="3"/>
        <v>880.77419354838707</v>
      </c>
      <c r="L12" s="19">
        <v>1928.7330059999999</v>
      </c>
      <c r="M12" s="21">
        <f t="shared" si="4"/>
        <v>6.032258064516129</v>
      </c>
      <c r="N12" s="21">
        <f t="shared" si="5"/>
        <v>61.741935483870968</v>
      </c>
    </row>
    <row r="13" spans="1:15" x14ac:dyDescent="0.25">
      <c r="A13" s="7" t="s">
        <v>13</v>
      </c>
      <c r="B13" s="8">
        <f t="shared" si="6"/>
        <v>12</v>
      </c>
      <c r="C13" s="9">
        <v>8</v>
      </c>
      <c r="D13" s="8">
        <v>2020</v>
      </c>
      <c r="E13" s="21">
        <f t="shared" si="0"/>
        <v>14000</v>
      </c>
      <c r="F13" s="19">
        <v>1345</v>
      </c>
      <c r="G13" s="21">
        <f t="shared" si="1"/>
        <v>161.87096774193549</v>
      </c>
      <c r="H13" s="19">
        <v>7202</v>
      </c>
      <c r="I13" s="21">
        <f t="shared" si="2"/>
        <v>483.87096774193549</v>
      </c>
      <c r="J13" s="11">
        <v>8179</v>
      </c>
      <c r="K13" s="21">
        <f t="shared" si="3"/>
        <v>880.77419354838707</v>
      </c>
      <c r="L13" s="19">
        <v>1928.7330059999999</v>
      </c>
      <c r="M13" s="21">
        <f t="shared" si="4"/>
        <v>6.032258064516129</v>
      </c>
      <c r="N13" s="21">
        <f t="shared" si="5"/>
        <v>61.741935483870968</v>
      </c>
    </row>
    <row r="14" spans="1:15" x14ac:dyDescent="0.25">
      <c r="A14" s="7" t="s">
        <v>13</v>
      </c>
      <c r="B14" s="8">
        <f t="shared" si="6"/>
        <v>13</v>
      </c>
      <c r="C14" s="9">
        <v>8</v>
      </c>
      <c r="D14" s="8">
        <v>2020</v>
      </c>
      <c r="E14" s="21">
        <f t="shared" si="0"/>
        <v>14000</v>
      </c>
      <c r="F14" s="19">
        <v>1345</v>
      </c>
      <c r="G14" s="21">
        <f t="shared" si="1"/>
        <v>161.87096774193549</v>
      </c>
      <c r="H14" s="19">
        <v>7202</v>
      </c>
      <c r="I14" s="21">
        <f t="shared" si="2"/>
        <v>483.87096774193549</v>
      </c>
      <c r="J14" s="11">
        <v>8179</v>
      </c>
      <c r="K14" s="21">
        <f t="shared" si="3"/>
        <v>880.77419354838707</v>
      </c>
      <c r="L14" s="19">
        <v>1928.7330059999999</v>
      </c>
      <c r="M14" s="21">
        <f t="shared" si="4"/>
        <v>6.032258064516129</v>
      </c>
      <c r="N14" s="21">
        <f t="shared" si="5"/>
        <v>61.741935483870968</v>
      </c>
    </row>
    <row r="15" spans="1:15" x14ac:dyDescent="0.25">
      <c r="A15" s="7" t="s">
        <v>13</v>
      </c>
      <c r="B15" s="8">
        <f t="shared" si="6"/>
        <v>14</v>
      </c>
      <c r="C15" s="9">
        <v>8</v>
      </c>
      <c r="D15" s="8">
        <v>2020</v>
      </c>
      <c r="E15" s="21">
        <f t="shared" si="0"/>
        <v>14000</v>
      </c>
      <c r="F15" s="19">
        <v>1345</v>
      </c>
      <c r="G15" s="21">
        <f t="shared" si="1"/>
        <v>161.87096774193549</v>
      </c>
      <c r="H15" s="19">
        <v>7202</v>
      </c>
      <c r="I15" s="21">
        <f t="shared" si="2"/>
        <v>483.87096774193549</v>
      </c>
      <c r="J15" s="11">
        <v>8179</v>
      </c>
      <c r="K15" s="21">
        <f t="shared" si="3"/>
        <v>880.77419354838707</v>
      </c>
      <c r="L15" s="19">
        <v>1928.7330059999999</v>
      </c>
      <c r="M15" s="21">
        <f t="shared" si="4"/>
        <v>6.032258064516129</v>
      </c>
      <c r="N15" s="21">
        <f t="shared" si="5"/>
        <v>61.741935483870968</v>
      </c>
    </row>
    <row r="16" spans="1:15" x14ac:dyDescent="0.25">
      <c r="A16" s="7" t="s">
        <v>13</v>
      </c>
      <c r="B16" s="8">
        <f t="shared" si="6"/>
        <v>15</v>
      </c>
      <c r="C16" s="9">
        <v>8</v>
      </c>
      <c r="D16" s="8">
        <v>2020</v>
      </c>
      <c r="E16" s="21">
        <f t="shared" si="0"/>
        <v>14000</v>
      </c>
      <c r="F16" s="19">
        <v>1345</v>
      </c>
      <c r="G16" s="21">
        <f t="shared" si="1"/>
        <v>161.87096774193549</v>
      </c>
      <c r="H16" s="19">
        <v>7202</v>
      </c>
      <c r="I16" s="21">
        <f t="shared" si="2"/>
        <v>483.87096774193549</v>
      </c>
      <c r="J16" s="11">
        <v>8179</v>
      </c>
      <c r="K16" s="21">
        <f t="shared" si="3"/>
        <v>880.77419354838707</v>
      </c>
      <c r="L16" s="19">
        <v>1928.7330059999999</v>
      </c>
      <c r="M16" s="21">
        <f t="shared" si="4"/>
        <v>6.032258064516129</v>
      </c>
      <c r="N16" s="21">
        <f t="shared" si="5"/>
        <v>61.741935483870968</v>
      </c>
    </row>
    <row r="17" spans="1:14" x14ac:dyDescent="0.25">
      <c r="A17" s="7" t="s">
        <v>13</v>
      </c>
      <c r="B17" s="8">
        <f t="shared" si="6"/>
        <v>16</v>
      </c>
      <c r="C17" s="9">
        <v>8</v>
      </c>
      <c r="D17" s="8">
        <v>2020</v>
      </c>
      <c r="E17" s="21">
        <f t="shared" si="0"/>
        <v>14000</v>
      </c>
      <c r="F17" s="19">
        <v>1345</v>
      </c>
      <c r="G17" s="21">
        <f t="shared" si="1"/>
        <v>161.87096774193549</v>
      </c>
      <c r="H17" s="19">
        <v>7202</v>
      </c>
      <c r="I17" s="21">
        <f t="shared" si="2"/>
        <v>483.87096774193549</v>
      </c>
      <c r="J17" s="11">
        <v>8179</v>
      </c>
      <c r="K17" s="21">
        <f t="shared" si="3"/>
        <v>880.77419354838707</v>
      </c>
      <c r="L17" s="19">
        <v>1928.7330059999999</v>
      </c>
      <c r="M17" s="21">
        <f t="shared" si="4"/>
        <v>6.032258064516129</v>
      </c>
      <c r="N17" s="21">
        <f t="shared" si="5"/>
        <v>61.741935483870968</v>
      </c>
    </row>
    <row r="18" spans="1:14" x14ac:dyDescent="0.25">
      <c r="A18" s="7" t="s">
        <v>13</v>
      </c>
      <c r="B18" s="8">
        <f t="shared" si="6"/>
        <v>17</v>
      </c>
      <c r="C18" s="9">
        <v>8</v>
      </c>
      <c r="D18" s="8">
        <v>2020</v>
      </c>
      <c r="E18" s="21">
        <f t="shared" si="0"/>
        <v>14000</v>
      </c>
      <c r="F18" s="19">
        <v>1345</v>
      </c>
      <c r="G18" s="21">
        <f t="shared" si="1"/>
        <v>161.87096774193549</v>
      </c>
      <c r="H18" s="19">
        <v>7202</v>
      </c>
      <c r="I18" s="21">
        <f t="shared" si="2"/>
        <v>483.87096774193549</v>
      </c>
      <c r="J18" s="11">
        <v>8179</v>
      </c>
      <c r="K18" s="21">
        <f t="shared" si="3"/>
        <v>880.77419354838707</v>
      </c>
      <c r="L18" s="19">
        <v>1928.7330059999999</v>
      </c>
      <c r="M18" s="21">
        <f t="shared" si="4"/>
        <v>6.032258064516129</v>
      </c>
      <c r="N18" s="21">
        <f t="shared" si="5"/>
        <v>61.741935483870968</v>
      </c>
    </row>
    <row r="19" spans="1:14" x14ac:dyDescent="0.25">
      <c r="A19" s="7" t="s">
        <v>13</v>
      </c>
      <c r="B19" s="8">
        <f t="shared" si="6"/>
        <v>18</v>
      </c>
      <c r="C19" s="9">
        <v>8</v>
      </c>
      <c r="D19" s="8">
        <v>2020</v>
      </c>
      <c r="E19" s="21">
        <f t="shared" si="0"/>
        <v>14000</v>
      </c>
      <c r="F19" s="19">
        <v>1345</v>
      </c>
      <c r="G19" s="21">
        <f t="shared" si="1"/>
        <v>161.87096774193549</v>
      </c>
      <c r="H19" s="19">
        <v>7202</v>
      </c>
      <c r="I19" s="21">
        <f t="shared" si="2"/>
        <v>483.87096774193549</v>
      </c>
      <c r="J19" s="11">
        <v>8179</v>
      </c>
      <c r="K19" s="21">
        <f t="shared" si="3"/>
        <v>880.77419354838707</v>
      </c>
      <c r="L19" s="19">
        <v>1928.7330059999999</v>
      </c>
      <c r="M19" s="21">
        <f t="shared" si="4"/>
        <v>6.032258064516129</v>
      </c>
      <c r="N19" s="21">
        <f t="shared" si="5"/>
        <v>61.741935483870968</v>
      </c>
    </row>
    <row r="20" spans="1:14" x14ac:dyDescent="0.25">
      <c r="A20" s="7" t="s">
        <v>13</v>
      </c>
      <c r="B20" s="8">
        <f t="shared" si="6"/>
        <v>19</v>
      </c>
      <c r="C20" s="9">
        <v>8</v>
      </c>
      <c r="D20" s="8">
        <v>2020</v>
      </c>
      <c r="E20" s="21">
        <f t="shared" si="0"/>
        <v>14000</v>
      </c>
      <c r="F20" s="19">
        <v>1345</v>
      </c>
      <c r="G20" s="21">
        <f t="shared" si="1"/>
        <v>161.87096774193549</v>
      </c>
      <c r="H20" s="19">
        <v>7202</v>
      </c>
      <c r="I20" s="21">
        <f t="shared" si="2"/>
        <v>483.87096774193549</v>
      </c>
      <c r="J20" s="11">
        <v>8179</v>
      </c>
      <c r="K20" s="21">
        <f t="shared" si="3"/>
        <v>880.77419354838707</v>
      </c>
      <c r="L20" s="19">
        <v>1928.7330059999999</v>
      </c>
      <c r="M20" s="21">
        <f t="shared" si="4"/>
        <v>6.032258064516129</v>
      </c>
      <c r="N20" s="21">
        <f t="shared" si="5"/>
        <v>61.741935483870968</v>
      </c>
    </row>
    <row r="21" spans="1:14" x14ac:dyDescent="0.25">
      <c r="A21" s="7" t="s">
        <v>13</v>
      </c>
      <c r="B21" s="8">
        <f t="shared" si="6"/>
        <v>20</v>
      </c>
      <c r="C21" s="9">
        <v>8</v>
      </c>
      <c r="D21" s="8">
        <v>2020</v>
      </c>
      <c r="E21" s="21">
        <f t="shared" si="0"/>
        <v>14000</v>
      </c>
      <c r="F21" s="19">
        <v>1345</v>
      </c>
      <c r="G21" s="21">
        <f t="shared" si="1"/>
        <v>161.87096774193549</v>
      </c>
      <c r="H21" s="19">
        <v>7202</v>
      </c>
      <c r="I21" s="21">
        <f t="shared" si="2"/>
        <v>483.87096774193549</v>
      </c>
      <c r="J21" s="11">
        <v>8179</v>
      </c>
      <c r="K21" s="21">
        <f t="shared" si="3"/>
        <v>880.77419354838707</v>
      </c>
      <c r="L21" s="19">
        <v>1928.7330059999999</v>
      </c>
      <c r="M21" s="21">
        <f t="shared" si="4"/>
        <v>6.032258064516129</v>
      </c>
      <c r="N21" s="21">
        <f t="shared" si="5"/>
        <v>61.741935483870968</v>
      </c>
    </row>
    <row r="22" spans="1:14" x14ac:dyDescent="0.25">
      <c r="A22" s="7" t="s">
        <v>13</v>
      </c>
      <c r="B22" s="8">
        <f t="shared" si="6"/>
        <v>21</v>
      </c>
      <c r="C22" s="9">
        <v>8</v>
      </c>
      <c r="D22" s="8">
        <v>2020</v>
      </c>
      <c r="E22" s="21">
        <f t="shared" si="0"/>
        <v>14000</v>
      </c>
      <c r="F22" s="19">
        <v>1345</v>
      </c>
      <c r="G22" s="21">
        <f t="shared" si="1"/>
        <v>161.87096774193549</v>
      </c>
      <c r="H22" s="19">
        <v>7202</v>
      </c>
      <c r="I22" s="21">
        <f t="shared" si="2"/>
        <v>483.87096774193549</v>
      </c>
      <c r="J22" s="11">
        <v>8179</v>
      </c>
      <c r="K22" s="21">
        <f t="shared" si="3"/>
        <v>880.77419354838707</v>
      </c>
      <c r="L22" s="19">
        <v>1928.7330059999999</v>
      </c>
      <c r="M22" s="21">
        <f t="shared" si="4"/>
        <v>6.032258064516129</v>
      </c>
      <c r="N22" s="21">
        <f t="shared" si="5"/>
        <v>61.741935483870968</v>
      </c>
    </row>
    <row r="23" spans="1:14" x14ac:dyDescent="0.25">
      <c r="A23" s="7" t="s">
        <v>13</v>
      </c>
      <c r="B23" s="8">
        <f t="shared" si="6"/>
        <v>22</v>
      </c>
      <c r="C23" s="9">
        <v>8</v>
      </c>
      <c r="D23" s="8">
        <v>2020</v>
      </c>
      <c r="E23" s="21">
        <f t="shared" si="0"/>
        <v>14000</v>
      </c>
      <c r="F23" s="19">
        <v>1345</v>
      </c>
      <c r="G23" s="21">
        <f t="shared" si="1"/>
        <v>161.87096774193549</v>
      </c>
      <c r="H23" s="19">
        <v>7202</v>
      </c>
      <c r="I23" s="21">
        <f t="shared" si="2"/>
        <v>483.87096774193549</v>
      </c>
      <c r="J23" s="11">
        <v>8179</v>
      </c>
      <c r="K23" s="21">
        <f t="shared" si="3"/>
        <v>880.77419354838707</v>
      </c>
      <c r="L23" s="19">
        <v>1928.7330059999999</v>
      </c>
      <c r="M23" s="21">
        <f t="shared" si="4"/>
        <v>6.032258064516129</v>
      </c>
      <c r="N23" s="21">
        <f t="shared" si="5"/>
        <v>61.741935483870968</v>
      </c>
    </row>
    <row r="24" spans="1:14" x14ac:dyDescent="0.25">
      <c r="A24" s="7" t="s">
        <v>13</v>
      </c>
      <c r="B24" s="8">
        <f t="shared" si="6"/>
        <v>23</v>
      </c>
      <c r="C24" s="9">
        <v>8</v>
      </c>
      <c r="D24" s="8">
        <v>2020</v>
      </c>
      <c r="E24" s="21">
        <f t="shared" si="0"/>
        <v>14000</v>
      </c>
      <c r="F24" s="19">
        <v>1345</v>
      </c>
      <c r="G24" s="21">
        <f t="shared" si="1"/>
        <v>161.87096774193549</v>
      </c>
      <c r="H24" s="19">
        <v>7202</v>
      </c>
      <c r="I24" s="21">
        <f t="shared" si="2"/>
        <v>483.87096774193549</v>
      </c>
      <c r="J24" s="11">
        <v>8179</v>
      </c>
      <c r="K24" s="21">
        <f t="shared" si="3"/>
        <v>880.77419354838707</v>
      </c>
      <c r="L24" s="19">
        <v>1928.7330059999999</v>
      </c>
      <c r="M24" s="21">
        <f t="shared" si="4"/>
        <v>6.032258064516129</v>
      </c>
      <c r="N24" s="21">
        <f t="shared" si="5"/>
        <v>61.741935483870968</v>
      </c>
    </row>
    <row r="25" spans="1:14" x14ac:dyDescent="0.25">
      <c r="A25" s="7" t="s">
        <v>13</v>
      </c>
      <c r="B25" s="8">
        <f t="shared" si="6"/>
        <v>24</v>
      </c>
      <c r="C25" s="9">
        <v>8</v>
      </c>
      <c r="D25" s="8">
        <v>2020</v>
      </c>
      <c r="E25" s="21">
        <f t="shared" si="0"/>
        <v>14000</v>
      </c>
      <c r="F25" s="19">
        <v>1345</v>
      </c>
      <c r="G25" s="21">
        <f t="shared" si="1"/>
        <v>161.87096774193549</v>
      </c>
      <c r="H25" s="19">
        <v>7202</v>
      </c>
      <c r="I25" s="21">
        <f t="shared" si="2"/>
        <v>483.87096774193549</v>
      </c>
      <c r="J25" s="11">
        <v>8179</v>
      </c>
      <c r="K25" s="21">
        <f t="shared" si="3"/>
        <v>880.77419354838707</v>
      </c>
      <c r="L25" s="19">
        <v>1928.7330059999999</v>
      </c>
      <c r="M25" s="21">
        <f t="shared" si="4"/>
        <v>6.032258064516129</v>
      </c>
      <c r="N25" s="21">
        <f t="shared" si="5"/>
        <v>61.741935483870968</v>
      </c>
    </row>
    <row r="26" spans="1:14" x14ac:dyDescent="0.25">
      <c r="A26" s="7" t="s">
        <v>13</v>
      </c>
      <c r="B26" s="8">
        <f>B25+1</f>
        <v>25</v>
      </c>
      <c r="C26" s="9">
        <v>8</v>
      </c>
      <c r="D26" s="8">
        <v>2020</v>
      </c>
      <c r="E26" s="21">
        <f t="shared" si="0"/>
        <v>14000</v>
      </c>
      <c r="F26" s="19">
        <v>1345</v>
      </c>
      <c r="G26" s="21">
        <f t="shared" si="1"/>
        <v>161.87096774193549</v>
      </c>
      <c r="H26" s="19">
        <v>7202</v>
      </c>
      <c r="I26" s="21">
        <f t="shared" si="2"/>
        <v>483.87096774193549</v>
      </c>
      <c r="J26" s="11">
        <v>8179</v>
      </c>
      <c r="K26" s="21">
        <f t="shared" si="3"/>
        <v>880.77419354838707</v>
      </c>
      <c r="L26" s="19">
        <v>1928.7330059999999</v>
      </c>
      <c r="M26" s="21">
        <f t="shared" si="4"/>
        <v>6.032258064516129</v>
      </c>
      <c r="N26" s="21">
        <f t="shared" si="5"/>
        <v>61.741935483870968</v>
      </c>
    </row>
    <row r="27" spans="1:14" x14ac:dyDescent="0.25">
      <c r="A27" s="7" t="s">
        <v>13</v>
      </c>
      <c r="B27" s="8">
        <f t="shared" si="6"/>
        <v>26</v>
      </c>
      <c r="C27" s="9">
        <v>8</v>
      </c>
      <c r="D27" s="8">
        <v>2020</v>
      </c>
      <c r="E27" s="21">
        <f t="shared" si="0"/>
        <v>14000</v>
      </c>
      <c r="F27" s="19">
        <v>1345</v>
      </c>
      <c r="G27" s="21">
        <f t="shared" si="1"/>
        <v>161.87096774193549</v>
      </c>
      <c r="H27" s="19">
        <v>7202</v>
      </c>
      <c r="I27" s="21">
        <f t="shared" si="2"/>
        <v>483.87096774193549</v>
      </c>
      <c r="J27" s="11">
        <v>8179</v>
      </c>
      <c r="K27" s="21">
        <f t="shared" si="3"/>
        <v>880.77419354838707</v>
      </c>
      <c r="L27" s="19">
        <v>1928.7330059999999</v>
      </c>
      <c r="M27" s="21">
        <f t="shared" si="4"/>
        <v>6.032258064516129</v>
      </c>
      <c r="N27" s="21">
        <f t="shared" si="5"/>
        <v>61.741935483870968</v>
      </c>
    </row>
    <row r="28" spans="1:14" x14ac:dyDescent="0.25">
      <c r="A28" s="7" t="s">
        <v>13</v>
      </c>
      <c r="B28" s="8">
        <f t="shared" si="6"/>
        <v>27</v>
      </c>
      <c r="C28" s="9">
        <v>8</v>
      </c>
      <c r="D28" s="8">
        <v>2020</v>
      </c>
      <c r="E28" s="21">
        <f t="shared" si="0"/>
        <v>14000</v>
      </c>
      <c r="F28" s="19">
        <v>1345</v>
      </c>
      <c r="G28" s="21">
        <f t="shared" si="1"/>
        <v>161.87096774193549</v>
      </c>
      <c r="H28" s="19">
        <v>7202</v>
      </c>
      <c r="I28" s="21">
        <f t="shared" si="2"/>
        <v>483.87096774193549</v>
      </c>
      <c r="J28" s="11">
        <v>8179</v>
      </c>
      <c r="K28" s="21">
        <f t="shared" si="3"/>
        <v>880.77419354838707</v>
      </c>
      <c r="L28" s="19">
        <v>1928.7330059999999</v>
      </c>
      <c r="M28" s="21">
        <f t="shared" si="4"/>
        <v>6.032258064516129</v>
      </c>
      <c r="N28" s="21">
        <f t="shared" si="5"/>
        <v>61.741935483870968</v>
      </c>
    </row>
    <row r="29" spans="1:14" x14ac:dyDescent="0.25">
      <c r="A29" s="7" t="s">
        <v>13</v>
      </c>
      <c r="B29" s="8">
        <f t="shared" si="6"/>
        <v>28</v>
      </c>
      <c r="C29" s="9">
        <v>8</v>
      </c>
      <c r="D29" s="8">
        <v>2020</v>
      </c>
      <c r="E29" s="21">
        <f t="shared" si="0"/>
        <v>14000</v>
      </c>
      <c r="F29" s="19">
        <v>1345</v>
      </c>
      <c r="G29" s="21">
        <f t="shared" si="1"/>
        <v>161.87096774193549</v>
      </c>
      <c r="H29" s="19">
        <v>7202</v>
      </c>
      <c r="I29" s="21">
        <f t="shared" si="2"/>
        <v>483.87096774193549</v>
      </c>
      <c r="J29" s="11">
        <v>8179</v>
      </c>
      <c r="K29" s="21">
        <f t="shared" si="3"/>
        <v>880.77419354838707</v>
      </c>
      <c r="L29" s="19">
        <v>1928.7330059999999</v>
      </c>
      <c r="M29" s="21">
        <f t="shared" si="4"/>
        <v>6.032258064516129</v>
      </c>
      <c r="N29" s="21">
        <f t="shared" si="5"/>
        <v>61.741935483870968</v>
      </c>
    </row>
    <row r="30" spans="1:14" x14ac:dyDescent="0.25">
      <c r="A30" s="7" t="s">
        <v>13</v>
      </c>
      <c r="B30" s="8">
        <f t="shared" si="6"/>
        <v>29</v>
      </c>
      <c r="C30" s="9">
        <v>8</v>
      </c>
      <c r="D30" s="8">
        <v>2020</v>
      </c>
      <c r="E30" s="21">
        <f t="shared" si="0"/>
        <v>14000</v>
      </c>
      <c r="F30" s="19">
        <v>1345</v>
      </c>
      <c r="G30" s="21">
        <f t="shared" si="1"/>
        <v>161.87096774193549</v>
      </c>
      <c r="H30" s="19">
        <v>7202</v>
      </c>
      <c r="I30" s="21">
        <f t="shared" si="2"/>
        <v>483.87096774193549</v>
      </c>
      <c r="J30" s="11">
        <v>8179</v>
      </c>
      <c r="K30" s="21">
        <f t="shared" si="3"/>
        <v>880.77419354838707</v>
      </c>
      <c r="L30" s="19">
        <v>1928.7330059999999</v>
      </c>
      <c r="M30" s="21">
        <f t="shared" si="4"/>
        <v>6.032258064516129</v>
      </c>
      <c r="N30" s="21">
        <f t="shared" si="5"/>
        <v>61.741935483870968</v>
      </c>
    </row>
    <row r="31" spans="1:14" x14ac:dyDescent="0.25">
      <c r="A31" s="7" t="s">
        <v>13</v>
      </c>
      <c r="B31" s="8">
        <f t="shared" si="6"/>
        <v>30</v>
      </c>
      <c r="C31" s="9">
        <v>8</v>
      </c>
      <c r="D31" s="8">
        <v>2020</v>
      </c>
      <c r="E31" s="21">
        <f t="shared" si="0"/>
        <v>14000</v>
      </c>
      <c r="F31" s="19">
        <v>1345</v>
      </c>
      <c r="G31" s="21">
        <f t="shared" si="1"/>
        <v>161.87096774193549</v>
      </c>
      <c r="H31" s="19">
        <v>7202</v>
      </c>
      <c r="I31" s="21">
        <f t="shared" si="2"/>
        <v>483.87096774193549</v>
      </c>
      <c r="J31" s="11">
        <v>8179</v>
      </c>
      <c r="K31" s="21">
        <f t="shared" si="3"/>
        <v>880.77419354838707</v>
      </c>
      <c r="L31" s="19">
        <v>1928.7330059999999</v>
      </c>
      <c r="M31" s="21">
        <f t="shared" si="4"/>
        <v>6.032258064516129</v>
      </c>
      <c r="N31" s="21">
        <f t="shared" si="5"/>
        <v>61.741935483870968</v>
      </c>
    </row>
    <row r="32" spans="1:14" x14ac:dyDescent="0.25">
      <c r="A32" s="7" t="s">
        <v>13</v>
      </c>
      <c r="B32" s="8">
        <f t="shared" si="6"/>
        <v>31</v>
      </c>
      <c r="C32" s="9">
        <v>8</v>
      </c>
      <c r="D32" s="8">
        <v>2020</v>
      </c>
      <c r="E32" s="21">
        <f t="shared" si="0"/>
        <v>14000</v>
      </c>
      <c r="F32" s="19">
        <v>1345</v>
      </c>
      <c r="G32" s="21">
        <f t="shared" si="1"/>
        <v>161.87096774193549</v>
      </c>
      <c r="H32" s="19">
        <v>7202</v>
      </c>
      <c r="I32" s="21">
        <f t="shared" si="2"/>
        <v>483.87096774193549</v>
      </c>
      <c r="J32" s="11">
        <v>8179</v>
      </c>
      <c r="K32" s="21">
        <f t="shared" si="3"/>
        <v>880.77419354838707</v>
      </c>
      <c r="L32" s="19">
        <v>1928.7330059999999</v>
      </c>
      <c r="M32" s="21">
        <f t="shared" si="4"/>
        <v>6.032258064516129</v>
      </c>
      <c r="N32" s="21">
        <f t="shared" si="5"/>
        <v>61.741935483870968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ed2f2222-2bff-489f-89bb-9539c67e7b9c"/>
    <ds:schemaRef ds:uri="http://schemas.microsoft.com/office/infopath/2007/PartnerControls"/>
    <ds:schemaRef ds:uri="77842aba-bda6-4832-96cd-e75cb532429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Joe J. El Khoury</cp:lastModifiedBy>
  <cp:lastPrinted>2020-11-17T04:34:44Z</cp:lastPrinted>
  <dcterms:created xsi:type="dcterms:W3CDTF">2020-09-16T08:52:25Z</dcterms:created>
  <dcterms:modified xsi:type="dcterms:W3CDTF">2021-08-24T07:38:44Z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