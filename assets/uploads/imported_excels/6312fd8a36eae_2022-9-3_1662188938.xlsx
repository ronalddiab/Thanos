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<sst xmlns="http://schemas.openxmlformats.org/spreadsheetml/2006/main" count="143" uniqueCount="64">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</sst>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7" borderId="2" xfId="0" quotePrefix="1" applyNumberFormat="1" applyFont="1" applyFill="1" applyBorder="1"/>
    <xf numFmtId="0" fontId="7" fillId="0" borderId="2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0" fillId="5" borderId="2" xfId="0" quotePrefix="1" applyNumberFormat="1" applyFont="1" applyFill="1" applyBorder="1" applyAlignment="1">
      <alignment horizontal="right"/>
    </xf>
    <xf numFmtId="0" fontId="7" fillId="7" borderId="10" xfId="0" quotePrefix="1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103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74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103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74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B8" sqref="B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6">
        <v>8408970</v>
      </c>
      <c r="D2" s="56">
        <v>20178550</v>
      </c>
      <c r="E2" s="56">
        <v>3529170</v>
      </c>
      <c r="F2" s="56">
        <v>4230550</v>
      </c>
      <c r="G2" s="56">
        <v>12475530</v>
      </c>
      <c r="H2" s="56">
        <v>7286630</v>
      </c>
      <c r="I2" s="56">
        <v>6331940</v>
      </c>
      <c r="J2" s="56">
        <v>7862680</v>
      </c>
      <c r="K2" s="56">
        <v>11501880</v>
      </c>
      <c r="L2" s="56">
        <v>5005660</v>
      </c>
      <c r="M2" s="56">
        <v>9294450</v>
      </c>
      <c r="N2" s="56">
        <v>15241450</v>
      </c>
      <c r="O2" s="56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60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60">
        <v>175395</v>
      </c>
    </row>
    <row r="7" spans="1:50" x14ac:dyDescent="0.25">
      <c r="A7" s="23">
        <v>44805</v>
      </c>
      <c r="B7" s="40">
        <v>103</v>
      </c>
      <c r="C7" s="55">
        <v>8409960</v>
      </c>
      <c r="D7" s="55">
        <v>20192600</v>
      </c>
      <c r="E7" s="55">
        <v>3532910</v>
      </c>
      <c r="F7" s="55">
        <v>4232220</v>
      </c>
      <c r="G7" s="55">
        <v>12479930</v>
      </c>
      <c r="H7" s="55">
        <v>7291070</v>
      </c>
      <c r="I7" s="55">
        <v>6335400</v>
      </c>
      <c r="J7" s="55">
        <v>7867180</v>
      </c>
      <c r="K7" s="55">
        <v>11507740</v>
      </c>
      <c r="L7" s="55">
        <v>5008120</v>
      </c>
      <c r="M7" s="55">
        <v>9297260</v>
      </c>
      <c r="N7" s="55">
        <v>15248530</v>
      </c>
      <c r="O7" s="55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61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74</v>
      </c>
      <c r="C8" s="72" t="s">
        <v>50</v>
      </c>
      <c r="D8" s="72" t="s">
        <v>51</v>
      </c>
      <c r="E8" s="72" t="s">
        <v>52</v>
      </c>
      <c r="F8" s="72" t="s">
        <v>53</v>
      </c>
      <c r="G8" s="72" t="s">
        <v>54</v>
      </c>
      <c r="H8" s="72" t="s">
        <v>55</v>
      </c>
      <c r="I8" s="72" t="s">
        <v>56</v>
      </c>
      <c r="J8" s="72" t="s">
        <v>57</v>
      </c>
      <c r="K8" s="72" t="s">
        <v>58</v>
      </c>
      <c r="L8" s="72" t="s">
        <v>59</v>
      </c>
      <c r="M8" s="72" t="s">
        <v>60</v>
      </c>
      <c r="N8" s="72" t="s">
        <v>61</v>
      </c>
      <c r="O8" s="72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73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7">IF((C9-C8&lt;0), "0",C9-C8)</f>
        <v>0</v>
      </c>
      <c r="R9" s="37" t="str">
        <f t="shared" ref="R9:R37" si="18">IF((D9-D8&lt;0), "0",D9-D8)</f>
        <v>0</v>
      </c>
      <c r="S9" s="37" t="str">
        <f t="shared" si="16"/>
        <v>0</v>
      </c>
      <c r="T9" s="37" t="str">
        <f t="shared" ref="T9:T35" si="19">IF((F9-F8&lt;0), "0",F9-F8)</f>
        <v>0</v>
      </c>
      <c r="U9" s="37" t="str">
        <f t="shared" ref="U9:U35" si="20">IF((G9-G8&lt;0), "0",G9-G8)</f>
        <v>0</v>
      </c>
      <c r="V9" s="37" t="str">
        <f t="shared" ref="V9:V35" si="21">IF((H9-H8&lt;0), "0",H9-H8)</f>
        <v>0</v>
      </c>
      <c r="W9" s="37" t="str">
        <f t="shared" ref="W9:W35" si="22">IF((I9-I8&lt;0), "0",I9-I8)</f>
        <v>0</v>
      </c>
      <c r="X9" s="37" t="str">
        <f t="shared" ref="X9:X37" si="23">IF((J9-J8&lt;0), "0",J9-J8)</f>
        <v>0</v>
      </c>
      <c r="Y9" s="37" t="str">
        <f t="shared" ref="Y9:Y35" si="24">IF((K9-K8&lt;0), "0",K9-K8)</f>
        <v>0</v>
      </c>
      <c r="Z9" s="37" t="str">
        <f t="shared" ref="Z9:Z35" si="25">IF((L9-L8&lt;0), "0",L9-L8)</f>
        <v>0</v>
      </c>
      <c r="AA9" s="37" t="str">
        <f t="shared" ref="AA9:AA35" si="26">IF((M9-M8&lt;0), "0",M9-M8)</f>
        <v>0</v>
      </c>
      <c r="AB9" s="37" t="str">
        <f t="shared" ref="AB9:AB37" si="27">IF((N9-N8&lt;0), "0",N9-N8)</f>
        <v>0</v>
      </c>
      <c r="AC9" s="37" t="str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47"/>
      <c r="AV9" s="37" t="str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44808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44809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44810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44811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44812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44813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44814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44815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44816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44817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44818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44819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7"/>
      <c r="AV22" s="37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7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7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7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7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7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7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44827</v>
      </c>
      <c r="B29" s="40"/>
      <c r="C29" s="24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44828</v>
      </c>
      <c r="B30" s="40"/>
      <c r="C30" s="2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9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44829</v>
      </c>
      <c r="B31" s="40"/>
      <c r="C31" s="2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44830</v>
      </c>
      <c r="B32" s="40"/>
      <c r="C32" s="24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9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8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51"/>
      <c r="C34" s="50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9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2000</v>
      </c>
      <c r="R38" s="38">
        <f t="shared" ref="R38:AD38" si="60">SUM(R7:R37)</f>
        <v>28360</v>
      </c>
      <c r="S38" s="38">
        <f t="shared" si="60"/>
        <v>7550</v>
      </c>
      <c r="T38" s="38">
        <f t="shared" si="60"/>
        <v>3360</v>
      </c>
      <c r="U38" s="38">
        <f t="shared" si="60"/>
        <v>8930</v>
      </c>
      <c r="V38" s="38">
        <f t="shared" si="60"/>
        <v>8760</v>
      </c>
      <c r="W38" s="38">
        <f t="shared" si="60"/>
        <v>6670</v>
      </c>
      <c r="X38" s="38">
        <f t="shared" si="60"/>
        <v>9110</v>
      </c>
      <c r="Y38" s="38">
        <f t="shared" si="60"/>
        <v>11680</v>
      </c>
      <c r="Z38" s="38">
        <f t="shared" si="60"/>
        <v>5080</v>
      </c>
      <c r="AA38" s="38">
        <f t="shared" si="60"/>
        <v>5780</v>
      </c>
      <c r="AB38" s="38">
        <f t="shared" si="60"/>
        <v>14330</v>
      </c>
      <c r="AC38" s="38">
        <f t="shared" si="60"/>
        <v>19590</v>
      </c>
      <c r="AD38" s="38">
        <f t="shared" si="60"/>
        <v>131200</v>
      </c>
      <c r="AF38" s="35">
        <f>SUM(AF7:AF37)</f>
        <v>10</v>
      </c>
      <c r="AG38" s="35">
        <f t="shared" ref="AG38:AS38" si="61">SUM(AG7:AG37)</f>
        <v>141.80000000000001</v>
      </c>
      <c r="AH38" s="35">
        <f t="shared" si="61"/>
        <v>37.75</v>
      </c>
      <c r="AI38" s="35">
        <f t="shared" si="61"/>
        <v>16.799999999999997</v>
      </c>
      <c r="AJ38" s="35">
        <f t="shared" si="61"/>
        <v>44.650000000000006</v>
      </c>
      <c r="AK38" s="35">
        <f t="shared" si="61"/>
        <v>43.8</v>
      </c>
      <c r="AL38" s="35">
        <f t="shared" si="61"/>
        <v>33.35</v>
      </c>
      <c r="AM38" s="35">
        <f t="shared" si="61"/>
        <v>45.55</v>
      </c>
      <c r="AN38" s="35">
        <f t="shared" si="61"/>
        <v>58.400000000000006</v>
      </c>
      <c r="AO38" s="35">
        <f t="shared" si="61"/>
        <v>25.4</v>
      </c>
      <c r="AP38" s="35">
        <f t="shared" si="61"/>
        <v>28.9</v>
      </c>
      <c r="AQ38" s="35">
        <f t="shared" si="61"/>
        <v>71.650000000000006</v>
      </c>
      <c r="AR38" s="35">
        <f t="shared" si="61"/>
        <v>97.95</v>
      </c>
      <c r="AS38" s="35">
        <f t="shared" si="61"/>
        <v>656</v>
      </c>
      <c r="AU38" s="48"/>
      <c r="AV38" s="34">
        <f>SUM(AV7:AV37)</f>
        <v>5244</v>
      </c>
      <c r="AW38" s="34">
        <f>SUM(AW7:AW37)</f>
        <v>1985.0690039999999</v>
      </c>
      <c r="AX38" s="35">
        <f>SUM(AX7:AX37)</f>
        <v>10.488</v>
      </c>
    </row>
    <row r="39" spans="1:50" x14ac:dyDescent="0.25">
      <c r="B39" s="39">
        <f>SUM(B7:B36)</f>
        <v>177</v>
      </c>
      <c r="D39">
        <v>5.0000000000000001E-3</v>
      </c>
      <c r="AV39" s="36"/>
      <c r="AW39" s="54">
        <f>AW38/31</f>
        <v>64.034483999999992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2022-09-03T07:08:12Z</dcterms:modified>
</cp:coreProperties>
</file>