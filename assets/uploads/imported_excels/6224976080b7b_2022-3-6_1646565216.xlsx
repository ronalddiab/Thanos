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2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4" i="10"/>
  <c r="G32" i="8" l="1"/>
  <c r="G33" i="8"/>
  <c r="G34" i="8"/>
  <c r="J32" i="9"/>
  <c r="J33" i="9"/>
  <c r="J34" i="9"/>
  <c r="I32" i="9"/>
  <c r="I33" i="9"/>
  <c r="I34" i="9"/>
  <c r="G32" i="9"/>
  <c r="G33" i="9"/>
  <c r="G34" i="9"/>
  <c r="I33" i="10"/>
  <c r="I34" i="10"/>
  <c r="H33" i="10"/>
  <c r="H34" i="10"/>
  <c r="H34" i="8" l="1"/>
  <c r="H33" i="8"/>
  <c r="I4" i="9"/>
  <c r="H32" i="10" l="1"/>
  <c r="H31" i="10"/>
  <c r="H30" i="10"/>
  <c r="H29" i="10"/>
  <c r="H28" i="10"/>
  <c r="H27" i="10"/>
  <c r="I27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9" i="10" l="1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H6" i="8"/>
  <c r="J35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<sst xmlns="http://schemas.openxmlformats.org/spreadsheetml/2006/main" count="73" uniqueCount="38">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</sst>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4" sqref="A4:XFD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v>2597</v>
      </c>
      <c r="F2" s="3">
        <v>2.1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2.1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2.1</v>
      </c>
      <c r="G4" s="13">
        <f>Gas!J6</f>
        <v>0</v>
      </c>
      <c r="H4" s="3">
        <v>1.69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2.1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2.1</v>
      </c>
      <c r="G6" s="13">
        <f>Gas!J8</f>
        <v>0</v>
      </c>
      <c r="H6" s="3">
        <v>1.69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1556.640000000596</v>
      </c>
      <c r="F7" s="3">
        <v>2.1</v>
      </c>
      <c r="G7" s="13">
        <f>Gas!J9</f>
        <v>0</v>
      </c>
      <c r="H7" s="3">
        <v>1.69</v>
      </c>
      <c r="I7" s="13">
        <f>Water!H9</f>
        <v>20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-13305971.039999999</v>
      </c>
      <c r="F8" s="3">
        <v>2.1</v>
      </c>
      <c r="G8" s="13">
        <f>Gas!J10</f>
        <v>-1176540.4133199998</v>
      </c>
      <c r="H8" s="3">
        <v>1.69</v>
      </c>
      <c r="I8" s="13">
        <f>Water!H10</f>
        <v>-11781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0</v>
      </c>
      <c r="F9" s="3">
        <v>2.1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0</v>
      </c>
      <c r="F10" s="3">
        <v>2.1</v>
      </c>
      <c r="G10" s="13">
        <f>Gas!J12</f>
        <v>0</v>
      </c>
      <c r="H10" s="3">
        <v>1.69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0</v>
      </c>
      <c r="F11" s="3">
        <v>2.1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0</v>
      </c>
      <c r="F12" s="3">
        <v>2.1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0</v>
      </c>
      <c r="F13" s="3">
        <v>2.1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0</v>
      </c>
      <c r="F14" s="3">
        <v>2.1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0</v>
      </c>
      <c r="F15" s="3">
        <v>2.1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0</v>
      </c>
      <c r="F16" s="3">
        <v>2.1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0</v>
      </c>
      <c r="F17" s="3">
        <v>2.1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0</v>
      </c>
      <c r="F18" s="3">
        <v>2.1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0</v>
      </c>
      <c r="F19" s="3">
        <v>2.1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0</v>
      </c>
      <c r="F20" s="3">
        <v>2.1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0</v>
      </c>
      <c r="F21" s="3">
        <v>2.1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0</v>
      </c>
      <c r="F22" s="3">
        <v>2.1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0</v>
      </c>
      <c r="F23" s="3">
        <v>2.1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0</v>
      </c>
      <c r="F24" s="3">
        <v>2.1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0</v>
      </c>
      <c r="F25" s="3">
        <v>2.1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0</v>
      </c>
      <c r="F26" s="3">
        <v>2.1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0</v>
      </c>
      <c r="F27" s="3">
        <v>2.1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0</v>
      </c>
      <c r="F28" s="3">
        <v>2.1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2.1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0</v>
      </c>
      <c r="F30" s="3">
        <v>2.1</v>
      </c>
      <c r="G30" s="13">
        <f>Gas!J34</f>
        <v>0</v>
      </c>
      <c r="H30" s="3">
        <v>1.69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0</v>
      </c>
      <c r="F31" s="3">
        <v>2.1</v>
      </c>
      <c r="G31" s="13">
        <f>Gas!J35</f>
        <v>-1176540.4133199998</v>
      </c>
      <c r="H31" s="3">
        <v>1.69</v>
      </c>
      <c r="I31" s="13">
        <f>Water!H35</f>
        <v>-11741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 t="e">
        <f>Electricity!I35</f>
        <v>#VALUE!</v>
      </c>
      <c r="F32" s="3">
        <v>2.1</v>
      </c>
      <c r="G32" s="13">
        <f>Gas!J36</f>
        <v>0</v>
      </c>
      <c r="H32" s="3">
        <v>1.69</v>
      </c>
      <c r="I32" s="13">
        <f>Water!H36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>
      <selection activeCell="E10" sqref="E1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>
        <v>11781</v>
      </c>
      <c r="F9" s="24">
        <v>1065</v>
      </c>
      <c r="G9" s="24">
        <f t="shared" si="0"/>
        <v>12846</v>
      </c>
      <c r="H9" s="25">
        <f t="shared" si="1"/>
        <v>20</v>
      </c>
    </row>
    <row r="10" spans="2:9" s="32" customFormat="1" ht="11.25" x14ac:dyDescent="0.25">
      <c r="D10" s="71">
        <v>44627</v>
      </c>
      <c r="E10" s="24"/>
      <c r="F10" s="24">
        <v>1065</v>
      </c>
      <c r="G10" s="24">
        <f t="shared" si="0"/>
        <v>1065</v>
      </c>
      <c r="H10" s="25">
        <f t="shared" si="1"/>
        <v>-11781</v>
      </c>
    </row>
    <row r="11" spans="2:9" s="32" customFormat="1" ht="11.25" x14ac:dyDescent="0.25">
      <c r="D11" s="71">
        <v>44628</v>
      </c>
      <c r="E11" s="24"/>
      <c r="F11" s="24">
        <v>1065</v>
      </c>
      <c r="G11" s="24">
        <f t="shared" si="0"/>
        <v>1065</v>
      </c>
      <c r="H11" s="25">
        <f t="shared" si="1"/>
        <v>0</v>
      </c>
    </row>
    <row r="12" spans="2:9" s="32" customFormat="1" ht="11.25" x14ac:dyDescent="0.25">
      <c r="D12" s="71">
        <v>44629</v>
      </c>
      <c r="E12" s="24"/>
      <c r="F12" s="24">
        <v>1065</v>
      </c>
      <c r="G12" s="24">
        <f t="shared" si="0"/>
        <v>1065</v>
      </c>
      <c r="H12" s="25">
        <f t="shared" si="1"/>
        <v>0</v>
      </c>
    </row>
    <row r="13" spans="2:9" s="32" customFormat="1" ht="11.25" x14ac:dyDescent="0.25">
      <c r="D13" s="71">
        <v>44630</v>
      </c>
      <c r="E13" s="24"/>
      <c r="F13" s="24">
        <v>1065</v>
      </c>
      <c r="G13" s="24">
        <f t="shared" si="0"/>
        <v>1065</v>
      </c>
      <c r="H13" s="25">
        <f t="shared" si="1"/>
        <v>0</v>
      </c>
    </row>
    <row r="14" spans="2:9" s="32" customFormat="1" ht="11.25" x14ac:dyDescent="0.25">
      <c r="D14" s="71">
        <v>44631</v>
      </c>
      <c r="E14" s="24"/>
      <c r="F14" s="24">
        <v>1065</v>
      </c>
      <c r="G14" s="24">
        <f t="shared" si="0"/>
        <v>1065</v>
      </c>
      <c r="H14" s="25">
        <f t="shared" si="1"/>
        <v>0</v>
      </c>
    </row>
    <row r="15" spans="2:9" s="35" customFormat="1" ht="11.25" x14ac:dyDescent="0.25">
      <c r="D15" s="71">
        <v>44632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44633</v>
      </c>
      <c r="E16" s="24"/>
      <c r="F16" s="24">
        <v>1065</v>
      </c>
      <c r="G16" s="24">
        <f t="shared" si="0"/>
        <v>1065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/>
      <c r="F17" s="24">
        <v>1065</v>
      </c>
      <c r="G17" s="24">
        <f t="shared" si="0"/>
        <v>1065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/>
      <c r="F18" s="24">
        <v>1065</v>
      </c>
      <c r="G18" s="24">
        <f t="shared" si="0"/>
        <v>1065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/>
      <c r="F19" s="24">
        <v>1065</v>
      </c>
      <c r="G19" s="24">
        <f t="shared" si="0"/>
        <v>1065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/>
      <c r="F20" s="24">
        <v>1065</v>
      </c>
      <c r="G20" s="24">
        <f t="shared" si="0"/>
        <v>1065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/>
      <c r="F21" s="24">
        <v>1065</v>
      </c>
      <c r="G21" s="24">
        <f t="shared" si="0"/>
        <v>1065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/>
      <c r="F22" s="24">
        <v>1065</v>
      </c>
      <c r="G22" s="24">
        <f t="shared" si="0"/>
        <v>1065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/>
      <c r="F23" s="24">
        <v>1065</v>
      </c>
      <c r="G23" s="24">
        <f t="shared" si="0"/>
        <v>1065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/>
      <c r="F24" s="24">
        <v>1065</v>
      </c>
      <c r="G24" s="24">
        <f t="shared" si="0"/>
        <v>1065</v>
      </c>
      <c r="H24" s="25">
        <f t="shared" si="1"/>
        <v>0</v>
      </c>
    </row>
    <row r="25" spans="4:8" s="32" customFormat="1" ht="11.25" customHeight="1" x14ac:dyDescent="0.25">
      <c r="D25" s="71">
        <v>44642</v>
      </c>
      <c r="E25" s="24"/>
      <c r="F25" s="24">
        <v>1065</v>
      </c>
      <c r="G25" s="24">
        <f t="shared" si="0"/>
        <v>1065</v>
      </c>
      <c r="H25" s="25">
        <f t="shared" si="1"/>
        <v>0</v>
      </c>
    </row>
    <row r="26" spans="4:8" s="32" customFormat="1" ht="11.25" customHeight="1" x14ac:dyDescent="0.25">
      <c r="D26" s="71">
        <v>44643</v>
      </c>
      <c r="E26" s="24"/>
      <c r="F26" s="24">
        <v>1065</v>
      </c>
      <c r="G26" s="24">
        <f>E26+F26</f>
        <v>1065</v>
      </c>
      <c r="H26" s="25">
        <f t="shared" si="1"/>
        <v>0</v>
      </c>
    </row>
    <row r="27" spans="4:8" s="32" customFormat="1" ht="11.25" customHeight="1" x14ac:dyDescent="0.25">
      <c r="D27" s="71">
        <v>44644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44645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44646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44648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>
        <v>44649</v>
      </c>
      <c r="E32" s="24"/>
      <c r="F32" s="24">
        <v>1065</v>
      </c>
      <c r="G32" s="24">
        <f t="shared" ref="G32:G34" si="2">E32+F32</f>
        <v>1065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/>
      <c r="F33" s="24">
        <v>1065</v>
      </c>
      <c r="G33" s="24">
        <f t="shared" si="2"/>
        <v>1065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/>
      <c r="F34" s="24">
        <v>1065</v>
      </c>
      <c r="G34" s="24">
        <f t="shared" si="2"/>
        <v>1065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-11741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tabSelected="1" workbookViewId="0">
      <selection activeCell="F10" sqref="F1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1.2611239999999999</v>
      </c>
      <c r="I5" s="24">
        <f t="shared" ref="I5:I34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44626</v>
      </c>
      <c r="E9" s="24">
        <v>760788</v>
      </c>
      <c r="F9" s="24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44627</v>
      </c>
      <c r="E10" s="24"/>
      <c r="F10" s="24"/>
      <c r="G10" s="24">
        <f t="shared" si="3"/>
        <v>0</v>
      </c>
      <c r="H10" s="18">
        <v>1.2611239999999999</v>
      </c>
      <c r="I10" s="24">
        <f t="shared" si="1"/>
        <v>0</v>
      </c>
      <c r="J10" s="25">
        <f t="shared" si="2"/>
        <v>-1176540.4133199998</v>
      </c>
    </row>
    <row r="11" spans="2:10" s="32" customFormat="1" ht="11.25" customHeight="1" x14ac:dyDescent="0.25">
      <c r="D11" s="34">
        <v>44628</v>
      </c>
      <c r="E11" s="24"/>
      <c r="F11" s="24"/>
      <c r="G11" s="24">
        <f t="shared" si="3"/>
        <v>0</v>
      </c>
      <c r="H11" s="18">
        <v>1.2611239999999999</v>
      </c>
      <c r="I11" s="24">
        <f t="shared" si="1"/>
        <v>0</v>
      </c>
      <c r="J11" s="25">
        <f t="shared" si="2"/>
        <v>0</v>
      </c>
    </row>
    <row r="12" spans="2:10" s="32" customFormat="1" ht="11.25" customHeight="1" x14ac:dyDescent="0.25">
      <c r="D12" s="34">
        <v>44629</v>
      </c>
      <c r="E12" s="24"/>
      <c r="F12" s="24"/>
      <c r="G12" s="24">
        <f t="shared" si="3"/>
        <v>0</v>
      </c>
      <c r="H12" s="18">
        <v>1.2611239999999999</v>
      </c>
      <c r="I12" s="24">
        <f t="shared" si="1"/>
        <v>0</v>
      </c>
      <c r="J12" s="25">
        <f t="shared" si="2"/>
        <v>0</v>
      </c>
    </row>
    <row r="13" spans="2:10" s="32" customFormat="1" ht="11.25" customHeight="1" x14ac:dyDescent="0.25">
      <c r="D13" s="34">
        <v>44630</v>
      </c>
      <c r="E13" s="24"/>
      <c r="F13" s="24"/>
      <c r="G13" s="24">
        <f t="shared" si="3"/>
        <v>0</v>
      </c>
      <c r="H13" s="18">
        <v>1.2611239999999999</v>
      </c>
      <c r="I13" s="24">
        <f t="shared" si="1"/>
        <v>0</v>
      </c>
      <c r="J13" s="25">
        <f t="shared" si="2"/>
        <v>0</v>
      </c>
    </row>
    <row r="14" spans="2:10" s="32" customFormat="1" ht="11.25" customHeight="1" x14ac:dyDescent="0.25">
      <c r="D14" s="34">
        <v>44631</v>
      </c>
      <c r="E14" s="24"/>
      <c r="F14" s="24"/>
      <c r="G14" s="24">
        <f t="shared" si="3"/>
        <v>0</v>
      </c>
      <c r="H14" s="18">
        <v>1.2611239999999999</v>
      </c>
      <c r="I14" s="24">
        <f t="shared" si="1"/>
        <v>0</v>
      </c>
      <c r="J14" s="25">
        <f t="shared" si="2"/>
        <v>0</v>
      </c>
    </row>
    <row r="15" spans="2:10" s="32" customFormat="1" ht="11.25" customHeight="1" x14ac:dyDescent="0.25">
      <c r="D15" s="34">
        <v>44632</v>
      </c>
      <c r="E15" s="24"/>
      <c r="F15" s="24"/>
      <c r="G15" s="24">
        <f t="shared" si="3"/>
        <v>0</v>
      </c>
      <c r="H15" s="18">
        <v>1.2611239999999999</v>
      </c>
      <c r="I15" s="24">
        <f t="shared" si="1"/>
        <v>0</v>
      </c>
      <c r="J15" s="25">
        <f t="shared" si="2"/>
        <v>0</v>
      </c>
    </row>
    <row r="16" spans="2:10" s="32" customFormat="1" ht="11.25" customHeight="1" x14ac:dyDescent="0.25">
      <c r="D16" s="34">
        <v>44633</v>
      </c>
      <c r="E16" s="24"/>
      <c r="F16" s="24"/>
      <c r="G16" s="24">
        <f t="shared" si="3"/>
        <v>0</v>
      </c>
      <c r="H16" s="18">
        <v>1.2611239999999999</v>
      </c>
      <c r="I16" s="24">
        <f t="shared" si="1"/>
        <v>0</v>
      </c>
      <c r="J16" s="25">
        <f t="shared" si="2"/>
        <v>0</v>
      </c>
    </row>
    <row r="17" spans="4:10" s="32" customFormat="1" ht="11.25" customHeight="1" x14ac:dyDescent="0.25">
      <c r="D17" s="34">
        <v>44634</v>
      </c>
      <c r="E17" s="24"/>
      <c r="F17" s="24"/>
      <c r="G17" s="24">
        <f t="shared" si="3"/>
        <v>0</v>
      </c>
      <c r="H17" s="18">
        <v>1.2611239999999999</v>
      </c>
      <c r="I17" s="24">
        <f t="shared" si="1"/>
        <v>0</v>
      </c>
      <c r="J17" s="25">
        <f t="shared" si="2"/>
        <v>0</v>
      </c>
    </row>
    <row r="18" spans="4:10" s="32" customFormat="1" ht="11.25" customHeight="1" x14ac:dyDescent="0.25">
      <c r="D18" s="34">
        <v>44635</v>
      </c>
      <c r="E18" s="24"/>
      <c r="F18" s="24"/>
      <c r="G18" s="24">
        <f t="shared" si="3"/>
        <v>0</v>
      </c>
      <c r="H18" s="18">
        <v>1.2611239999999999</v>
      </c>
      <c r="I18" s="24">
        <f t="shared" si="1"/>
        <v>0</v>
      </c>
      <c r="J18" s="25">
        <f t="shared" si="2"/>
        <v>0</v>
      </c>
    </row>
    <row r="19" spans="4:10" s="32" customFormat="1" ht="11.25" customHeight="1" x14ac:dyDescent="0.25">
      <c r="D19" s="34">
        <v>44636</v>
      </c>
      <c r="E19" s="24"/>
      <c r="F19" s="24"/>
      <c r="G19" s="24">
        <f t="shared" si="3"/>
        <v>0</v>
      </c>
      <c r="H19" s="18">
        <v>1.2611239999999999</v>
      </c>
      <c r="I19" s="24">
        <f t="shared" si="1"/>
        <v>0</v>
      </c>
      <c r="J19" s="25">
        <f t="shared" si="2"/>
        <v>0</v>
      </c>
    </row>
    <row r="20" spans="4:10" s="32" customFormat="1" ht="11.25" customHeight="1" x14ac:dyDescent="0.25">
      <c r="D20" s="34">
        <v>44637</v>
      </c>
      <c r="E20" s="24"/>
      <c r="F20" s="24"/>
      <c r="G20" s="24">
        <f t="shared" si="3"/>
        <v>0</v>
      </c>
      <c r="H20" s="18">
        <v>1.2611239999999999</v>
      </c>
      <c r="I20" s="24">
        <f t="shared" si="1"/>
        <v>0</v>
      </c>
      <c r="J20" s="25">
        <f t="shared" si="2"/>
        <v>0</v>
      </c>
    </row>
    <row r="21" spans="4:10" s="32" customFormat="1" ht="11.25" customHeight="1" x14ac:dyDescent="0.25">
      <c r="D21" s="34">
        <v>44638</v>
      </c>
      <c r="E21" s="24"/>
      <c r="F21" s="24"/>
      <c r="G21" s="24">
        <f t="shared" si="3"/>
        <v>0</v>
      </c>
      <c r="H21" s="18">
        <v>1.2611239999999999</v>
      </c>
      <c r="I21" s="24">
        <f t="shared" si="1"/>
        <v>0</v>
      </c>
      <c r="J21" s="25">
        <f t="shared" si="2"/>
        <v>0</v>
      </c>
    </row>
    <row r="22" spans="4:10" s="32" customFormat="1" ht="11.25" customHeight="1" x14ac:dyDescent="0.25">
      <c r="D22" s="34">
        <v>44639</v>
      </c>
      <c r="E22" s="24"/>
      <c r="F22" s="24"/>
      <c r="G22" s="24">
        <f t="shared" si="3"/>
        <v>0</v>
      </c>
      <c r="H22" s="18">
        <v>1.2611239999999999</v>
      </c>
      <c r="I22" s="24">
        <f t="shared" si="1"/>
        <v>0</v>
      </c>
      <c r="J22" s="25">
        <f t="shared" si="2"/>
        <v>0</v>
      </c>
    </row>
    <row r="23" spans="4:10" s="32" customFormat="1" ht="11.25" customHeight="1" x14ac:dyDescent="0.25">
      <c r="D23" s="34">
        <v>44640</v>
      </c>
      <c r="E23" s="24"/>
      <c r="F23" s="24"/>
      <c r="G23" s="24">
        <f t="shared" si="3"/>
        <v>0</v>
      </c>
      <c r="H23" s="18">
        <v>1.2611239999999999</v>
      </c>
      <c r="I23" s="24">
        <f t="shared" si="1"/>
        <v>0</v>
      </c>
      <c r="J23" s="25">
        <f t="shared" si="2"/>
        <v>0</v>
      </c>
    </row>
    <row r="24" spans="4:10" s="32" customFormat="1" ht="11.25" customHeight="1" x14ac:dyDescent="0.25">
      <c r="D24" s="34">
        <v>44641</v>
      </c>
      <c r="E24" s="24"/>
      <c r="F24" s="24"/>
      <c r="G24" s="24">
        <f t="shared" si="3"/>
        <v>0</v>
      </c>
      <c r="H24" s="18">
        <v>1.2611239999999999</v>
      </c>
      <c r="I24" s="24">
        <f t="shared" si="1"/>
        <v>0</v>
      </c>
      <c r="J24" s="25">
        <f t="shared" si="2"/>
        <v>0</v>
      </c>
    </row>
    <row r="25" spans="4:10" s="32" customFormat="1" ht="11.25" customHeight="1" x14ac:dyDescent="0.25">
      <c r="D25" s="34">
        <v>44642</v>
      </c>
      <c r="E25" s="24"/>
      <c r="F25" s="24"/>
      <c r="G25" s="24">
        <f t="shared" si="3"/>
        <v>0</v>
      </c>
      <c r="H25" s="18">
        <v>1.2611239999999999</v>
      </c>
      <c r="I25" s="24">
        <f t="shared" si="1"/>
        <v>0</v>
      </c>
      <c r="J25" s="25">
        <f t="shared" si="2"/>
        <v>0</v>
      </c>
    </row>
    <row r="26" spans="4:10" s="32" customFormat="1" ht="11.25" customHeight="1" x14ac:dyDescent="0.25">
      <c r="D26" s="34">
        <v>44643</v>
      </c>
      <c r="E26" s="24"/>
      <c r="F26" s="24"/>
      <c r="G26" s="24">
        <f t="shared" si="3"/>
        <v>0</v>
      </c>
      <c r="H26" s="18">
        <v>1.2611239999999999</v>
      </c>
      <c r="I26" s="24">
        <f t="shared" si="1"/>
        <v>0</v>
      </c>
      <c r="J26" s="25">
        <f t="shared" si="2"/>
        <v>0</v>
      </c>
    </row>
    <row r="27" spans="4:10" s="32" customFormat="1" ht="11.25" customHeight="1" x14ac:dyDescent="0.25">
      <c r="D27" s="34">
        <v>44644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0</v>
      </c>
    </row>
    <row r="28" spans="4:10" s="32" customFormat="1" ht="11.25" customHeight="1" x14ac:dyDescent="0.25">
      <c r="D28" s="34">
        <v>44645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44646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44648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/>
      <c r="F32" s="24"/>
      <c r="G32" s="24">
        <f t="shared" ref="G32:G34" si="4">E32+F32</f>
        <v>0</v>
      </c>
      <c r="H32" s="18">
        <v>1.2611239999999999</v>
      </c>
      <c r="I32" s="24">
        <f t="shared" si="1"/>
        <v>0</v>
      </c>
      <c r="J32" s="25">
        <f t="shared" ref="J32:J34" si="5">I32-I31</f>
        <v>0</v>
      </c>
    </row>
    <row r="33" spans="4:10" s="32" customFormat="1" ht="11.25" customHeight="1" x14ac:dyDescent="0.25">
      <c r="D33" s="34">
        <v>44650</v>
      </c>
      <c r="E33" s="24"/>
      <c r="F33" s="24"/>
      <c r="G33" s="24">
        <f t="shared" si="4"/>
        <v>0</v>
      </c>
      <c r="H33" s="18">
        <v>1.2611239999999999</v>
      </c>
      <c r="I33" s="24">
        <f t="shared" si="1"/>
        <v>0</v>
      </c>
      <c r="J33" s="25">
        <f t="shared" si="5"/>
        <v>0</v>
      </c>
    </row>
    <row r="34" spans="4:10" s="32" customFormat="1" ht="11.25" customHeight="1" x14ac:dyDescent="0.25">
      <c r="D34" s="34">
        <v>44651</v>
      </c>
      <c r="E34" s="24"/>
      <c r="F34" s="24"/>
      <c r="G34" s="24">
        <f t="shared" si="4"/>
        <v>0</v>
      </c>
      <c r="H34" s="18">
        <v>1.2611239999999999</v>
      </c>
      <c r="I34" s="24">
        <f t="shared" si="1"/>
        <v>0</v>
      </c>
      <c r="J34" s="25">
        <f t="shared" si="5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-1176540.4133199998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workbookViewId="0">
      <selection activeCell="F10" sqref="F10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 t="e">
        <f>H4-H3</f>
        <v>#VALUE!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>
        <v>4821.0039999999999</v>
      </c>
      <c r="G9" s="23">
        <v>2760</v>
      </c>
      <c r="H9" s="24">
        <f>G9*F9</f>
        <v>13305971.039999999</v>
      </c>
      <c r="I9" s="25">
        <f>H9-H8</f>
        <v>1556.640000000596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/>
      <c r="G10" s="23">
        <v>2760</v>
      </c>
      <c r="H10" s="24">
        <f t="shared" si="0"/>
        <v>0</v>
      </c>
      <c r="I10" s="25">
        <f t="shared" si="1"/>
        <v>-13305971.039999999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/>
      <c r="G11" s="23">
        <v>2760</v>
      </c>
      <c r="H11" s="24">
        <f t="shared" si="0"/>
        <v>0</v>
      </c>
      <c r="I11" s="25">
        <f t="shared" si="1"/>
        <v>0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/>
      <c r="G12" s="23">
        <v>2760</v>
      </c>
      <c r="H12" s="24">
        <f t="shared" si="0"/>
        <v>0</v>
      </c>
      <c r="I12" s="25">
        <f t="shared" si="1"/>
        <v>0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/>
      <c r="G13" s="23">
        <v>2760</v>
      </c>
      <c r="H13" s="24">
        <f t="shared" si="0"/>
        <v>0</v>
      </c>
      <c r="I13" s="25">
        <f t="shared" si="1"/>
        <v>0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/>
      <c r="G14" s="23">
        <v>2760</v>
      </c>
      <c r="H14" s="24">
        <f t="shared" si="0"/>
        <v>0</v>
      </c>
      <c r="I14" s="25">
        <f t="shared" si="1"/>
        <v>0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/>
      <c r="G15" s="23">
        <v>2760</v>
      </c>
      <c r="H15" s="24">
        <f t="shared" si="0"/>
        <v>0</v>
      </c>
      <c r="I15" s="25">
        <f t="shared" si="1"/>
        <v>0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/>
      <c r="G16" s="23">
        <v>2760</v>
      </c>
      <c r="H16" s="24">
        <f t="shared" si="0"/>
        <v>0</v>
      </c>
      <c r="I16" s="25">
        <f t="shared" si="1"/>
        <v>0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/>
      <c r="G17" s="23">
        <v>2760</v>
      </c>
      <c r="H17" s="24">
        <f t="shared" si="0"/>
        <v>0</v>
      </c>
      <c r="I17" s="25">
        <f t="shared" si="1"/>
        <v>0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/>
      <c r="G18" s="23">
        <v>2760</v>
      </c>
      <c r="H18" s="24">
        <f t="shared" si="0"/>
        <v>0</v>
      </c>
      <c r="I18" s="25">
        <f t="shared" si="1"/>
        <v>0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/>
      <c r="G19" s="23">
        <v>2760</v>
      </c>
      <c r="H19" s="24">
        <f t="shared" si="0"/>
        <v>0</v>
      </c>
      <c r="I19" s="25">
        <f t="shared" si="1"/>
        <v>0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/>
      <c r="G20" s="23">
        <v>2760</v>
      </c>
      <c r="H20" s="24">
        <f t="shared" si="0"/>
        <v>0</v>
      </c>
      <c r="I20" s="25">
        <f t="shared" si="1"/>
        <v>0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/>
      <c r="G21" s="23">
        <v>2760</v>
      </c>
      <c r="H21" s="24">
        <f t="shared" si="0"/>
        <v>0</v>
      </c>
      <c r="I21" s="25">
        <f t="shared" si="1"/>
        <v>0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/>
      <c r="G22" s="23">
        <v>2760</v>
      </c>
      <c r="H22" s="24">
        <f t="shared" si="0"/>
        <v>0</v>
      </c>
      <c r="I22" s="25">
        <f t="shared" si="1"/>
        <v>0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/>
      <c r="G23" s="23">
        <v>2760</v>
      </c>
      <c r="H23" s="24">
        <f t="shared" si="0"/>
        <v>0</v>
      </c>
      <c r="I23" s="25">
        <f t="shared" si="1"/>
        <v>0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/>
      <c r="G24" s="23">
        <v>2760</v>
      </c>
      <c r="H24" s="24">
        <f t="shared" si="0"/>
        <v>0</v>
      </c>
      <c r="I24" s="25">
        <f t="shared" si="1"/>
        <v>0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/>
      <c r="G25" s="23">
        <v>2760</v>
      </c>
      <c r="H25" s="24">
        <f t="shared" si="0"/>
        <v>0</v>
      </c>
      <c r="I25" s="25">
        <f t="shared" si="1"/>
        <v>0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/>
      <c r="G26" s="28">
        <v>2760</v>
      </c>
      <c r="H26" s="29">
        <f t="shared" si="0"/>
        <v>0</v>
      </c>
      <c r="I26" s="25">
        <f t="shared" si="1"/>
        <v>0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/>
      <c r="G33" s="28">
        <v>2760</v>
      </c>
      <c r="H33" s="29">
        <f t="shared" ref="H33:H34" si="2">G33*F33</f>
        <v>0</v>
      </c>
      <c r="I33" s="25">
        <f t="shared" si="1"/>
        <v>0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/>
      <c r="G34" s="28">
        <v>2760</v>
      </c>
      <c r="H34" s="29">
        <f t="shared" si="2"/>
        <v>0</v>
      </c>
      <c r="I34" s="25">
        <f t="shared" si="1"/>
        <v>0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 t="e">
        <f>SUM(I4:I33)</f>
        <v>#VALUE!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2022-03-06T11:12:21Z</dcterms:modified>
</cp:coreProperties>
</file>