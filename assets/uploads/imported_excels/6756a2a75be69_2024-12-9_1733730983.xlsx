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BAFB104-B63A-440B-9E1D-E0B8A4A18C59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3" l="1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<sst xmlns="http://schemas.openxmlformats.org/spreadsheetml/2006/main" count="77" uniqueCount="40">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</sst>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6"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1477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0</v>
      </c>
      <c r="F10" s="113" t="e">
        <f>(December!C10*0.27)/(December!C10+December!E10)</f>
        <v>#DIV/0!</v>
      </c>
      <c r="G10" s="100">
        <f>December!U10</f>
        <v>4788</v>
      </c>
      <c r="H10" s="116">
        <v>0.62</v>
      </c>
      <c r="I10" s="101" t="str">
        <f>December!W10</f>
        <v>0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0</v>
      </c>
      <c r="P10" s="103">
        <f>December!AD10</f>
        <v>0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0</v>
      </c>
      <c r="F11" s="113" t="e">
        <f>(December!C11*0.27)/(December!C11+December!E11)</f>
        <v>#DIV/0!</v>
      </c>
      <c r="G11" s="100" t="str">
        <f>December!U11</f>
        <v>0</v>
      </c>
      <c r="H11" s="116">
        <v>0.62</v>
      </c>
      <c r="I11" s="101">
        <f>December!W11</f>
        <v>0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0</v>
      </c>
      <c r="P11" s="103">
        <f>December!AD11</f>
        <v>0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0</v>
      </c>
      <c r="F12" s="113" t="e">
        <f>(December!C12*0.27)/(December!C12+December!E12)</f>
        <v>#DIV/0!</v>
      </c>
      <c r="G12" s="100" t="str">
        <f>December!U12</f>
        <v>0</v>
      </c>
      <c r="H12" s="116">
        <v>0.62</v>
      </c>
      <c r="I12" s="101">
        <f>December!W12</f>
        <v>0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0</v>
      </c>
      <c r="P12" s="103">
        <f>December!AD12</f>
        <v>0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0</v>
      </c>
      <c r="F13" s="113" t="e">
        <f>(December!C13*0.27)/(December!C13+December!E13)</f>
        <v>#DIV/0!</v>
      </c>
      <c r="G13" s="100" t="str">
        <f>December!U13</f>
        <v>0</v>
      </c>
      <c r="H13" s="116">
        <v>0.62</v>
      </c>
      <c r="I13" s="101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0</v>
      </c>
      <c r="P13" s="103">
        <f>December!AD13</f>
        <v>0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0</v>
      </c>
      <c r="F14" s="113" t="e">
        <f>(December!C14*0.27)/(December!C14+December!E14)</f>
        <v>#DIV/0!</v>
      </c>
      <c r="G14" s="100" t="str">
        <f>December!U14</f>
        <v>0</v>
      </c>
      <c r="H14" s="116">
        <v>0.62</v>
      </c>
      <c r="I14" s="101">
        <f>December!W14</f>
        <v>0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0</v>
      </c>
      <c r="P14" s="103">
        <f>December!AD14</f>
        <v>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0</v>
      </c>
      <c r="F15" s="113" t="e">
        <f>(December!C15*0.27)/(December!C15+December!E15)</f>
        <v>#DIV/0!</v>
      </c>
      <c r="G15" s="100" t="str">
        <f>December!U15</f>
        <v>0</v>
      </c>
      <c r="H15" s="116">
        <v>0.62</v>
      </c>
      <c r="I15" s="101">
        <f>December!W15</f>
        <v>0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0</v>
      </c>
      <c r="P15" s="103">
        <f>December!AD15</f>
        <v>0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0</v>
      </c>
      <c r="F16" s="113" t="e">
        <f>(December!C16*0.27)/(December!C16+December!E16)</f>
        <v>#DIV/0!</v>
      </c>
      <c r="G16" s="100" t="str">
        <f>December!U16</f>
        <v>0</v>
      </c>
      <c r="H16" s="116">
        <v>0.62</v>
      </c>
      <c r="I16" s="101">
        <f>December!W16</f>
        <v>0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0</v>
      </c>
      <c r="P16" s="103">
        <f>December!AD16</f>
        <v>0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0</v>
      </c>
      <c r="F17" s="113" t="e">
        <f>(December!C17*0.27)/(December!C17+December!E17)</f>
        <v>#DIV/0!</v>
      </c>
      <c r="G17" s="100" t="str">
        <f>December!U17</f>
        <v>0</v>
      </c>
      <c r="H17" s="116">
        <v>0.62</v>
      </c>
      <c r="I17" s="101">
        <f>December!W17</f>
        <v>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0</v>
      </c>
      <c r="P17" s="103">
        <f>December!AD17</f>
        <v>0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0</v>
      </c>
      <c r="F18" s="113" t="e">
        <f>(December!C18*0.27)/(December!C18+December!E18)</f>
        <v>#DIV/0!</v>
      </c>
      <c r="G18" s="100" t="str">
        <f>December!U18</f>
        <v>0</v>
      </c>
      <c r="H18" s="116">
        <v>0.62</v>
      </c>
      <c r="I18" s="101">
        <f>December!W18</f>
        <v>0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0</v>
      </c>
      <c r="P18" s="103">
        <f>December!AD18</f>
        <v>0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D10" sqref="AD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-2308.9700000000084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-42701.26</v>
      </c>
      <c r="J3" s="32">
        <f t="shared" si="0"/>
        <v>1484.739999999998</v>
      </c>
      <c r="K3" s="20">
        <f t="shared" si="1"/>
        <v>45628</v>
      </c>
      <c r="L3" s="33">
        <v>6296</v>
      </c>
      <c r="M3" s="34">
        <v>1477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4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4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4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4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4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-4361.989999999998</v>
      </c>
      <c r="K9" s="20">
        <f t="shared" si="1"/>
        <v>45634</v>
      </c>
      <c r="L9" s="33">
        <v>4228</v>
      </c>
      <c r="M9" s="34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 t="str">
        <f t="shared" si="2"/>
        <v>0</v>
      </c>
      <c r="D10" s="11">
        <v>611428</v>
      </c>
      <c r="E10" s="14" t="str">
        <f t="shared" si="3"/>
        <v>0</v>
      </c>
      <c r="F10" s="27">
        <v>1704</v>
      </c>
      <c r="G10" s="70">
        <f t="shared" si="4"/>
        <v>0</v>
      </c>
      <c r="H10" s="72">
        <f t="shared" si="5"/>
        <v>0</v>
      </c>
      <c r="I10" s="76">
        <f t="shared" si="6"/>
        <v>-45636.47</v>
      </c>
      <c r="J10" s="32">
        <f t="shared" si="0"/>
        <v>0.47000000000116415</v>
      </c>
      <c r="K10" s="20">
        <f t="shared" si="1"/>
        <v>45635</v>
      </c>
      <c r="L10" s="33"/>
      <c r="M10" s="34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4788</v>
      </c>
      <c r="V10" s="44">
        <v>121794</v>
      </c>
      <c r="W10" s="32" t="str">
        <f t="shared" si="9"/>
        <v>0</v>
      </c>
      <c r="X10" s="47">
        <v>61237</v>
      </c>
      <c r="Y10" s="14" t="str">
        <f t="shared" si="10"/>
        <v>0</v>
      </c>
      <c r="Z10" s="50">
        <v>2400</v>
      </c>
      <c r="AA10" s="55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45636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70">
        <f t="shared" si="4"/>
        <v>0</v>
      </c>
      <c r="H11" s="72">
        <f t="shared" si="5"/>
        <v>0</v>
      </c>
      <c r="I11" s="76">
        <f t="shared" si="6"/>
        <v>-45636</v>
      </c>
      <c r="J11" s="32">
        <f t="shared" si="0"/>
        <v>-1</v>
      </c>
      <c r="K11" s="20">
        <f t="shared" si="1"/>
        <v>45636</v>
      </c>
      <c r="L11" s="33"/>
      <c r="M11" s="34">
        <v>0</v>
      </c>
      <c r="N11" s="35">
        <v>0</v>
      </c>
      <c r="O11" s="88"/>
      <c r="P11" s="89"/>
      <c r="Q11" s="88"/>
      <c r="R11" s="89"/>
      <c r="S11" s="39">
        <f t="shared" si="7"/>
        <v>0</v>
      </c>
      <c r="T11" s="126"/>
      <c r="U11" s="32" t="str">
        <f t="shared" si="8"/>
        <v>0</v>
      </c>
      <c r="V11" s="44"/>
      <c r="W11" s="32">
        <f t="shared" si="9"/>
        <v>0</v>
      </c>
      <c r="X11" s="47"/>
      <c r="Y11" s="14">
        <f t="shared" si="10"/>
        <v>0</v>
      </c>
      <c r="Z11" s="50"/>
      <c r="AA11" s="55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19">
        <v>45637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70">
        <f t="shared" si="4"/>
        <v>0</v>
      </c>
      <c r="H12" s="72">
        <f t="shared" si="5"/>
        <v>0</v>
      </c>
      <c r="I12" s="76">
        <f t="shared" si="6"/>
        <v>-45637</v>
      </c>
      <c r="J12" s="32">
        <f t="shared" si="0"/>
        <v>-1</v>
      </c>
      <c r="K12" s="20">
        <f t="shared" si="1"/>
        <v>45637</v>
      </c>
      <c r="L12" s="33"/>
      <c r="M12" s="34">
        <v>0</v>
      </c>
      <c r="N12" s="35">
        <v>0</v>
      </c>
      <c r="O12" s="88"/>
      <c r="P12" s="89"/>
      <c r="Q12" s="88"/>
      <c r="R12" s="89"/>
      <c r="S12" s="39">
        <f t="shared" si="7"/>
        <v>0</v>
      </c>
      <c r="T12" s="126"/>
      <c r="U12" s="32" t="str">
        <f t="shared" si="8"/>
        <v>0</v>
      </c>
      <c r="V12" s="44"/>
      <c r="W12" s="32">
        <f t="shared" si="9"/>
        <v>0</v>
      </c>
      <c r="X12" s="47"/>
      <c r="Y12" s="14">
        <f t="shared" si="10"/>
        <v>0</v>
      </c>
      <c r="Z12" s="50"/>
      <c r="AA12" s="55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45638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70">
        <f t="shared" si="4"/>
        <v>0</v>
      </c>
      <c r="H13" s="72">
        <f t="shared" si="5"/>
        <v>0</v>
      </c>
      <c r="I13" s="76">
        <f t="shared" si="6"/>
        <v>-45638</v>
      </c>
      <c r="J13" s="32">
        <f t="shared" si="0"/>
        <v>-1</v>
      </c>
      <c r="K13" s="20">
        <f t="shared" si="1"/>
        <v>45638</v>
      </c>
      <c r="L13" s="33"/>
      <c r="M13" s="34">
        <v>0</v>
      </c>
      <c r="N13" s="35">
        <v>0</v>
      </c>
      <c r="O13" s="88"/>
      <c r="P13" s="89"/>
      <c r="Q13" s="88"/>
      <c r="R13" s="89"/>
      <c r="S13" s="39">
        <f t="shared" si="7"/>
        <v>0</v>
      </c>
      <c r="T13" s="126"/>
      <c r="U13" s="32" t="str">
        <f t="shared" si="8"/>
        <v>0</v>
      </c>
      <c r="V13" s="44"/>
      <c r="W13" s="32">
        <f t="shared" si="9"/>
        <v>0</v>
      </c>
      <c r="X13" s="47"/>
      <c r="Y13" s="14">
        <f t="shared" si="10"/>
        <v>0</v>
      </c>
      <c r="Z13" s="50"/>
      <c r="AA13" s="55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19">
        <v>45639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70">
        <f t="shared" si="4"/>
        <v>0</v>
      </c>
      <c r="H14" s="72">
        <f t="shared" si="5"/>
        <v>0</v>
      </c>
      <c r="I14" s="76">
        <f t="shared" si="6"/>
        <v>-45639</v>
      </c>
      <c r="J14" s="32">
        <f t="shared" si="0"/>
        <v>-1</v>
      </c>
      <c r="K14" s="20">
        <f t="shared" si="1"/>
        <v>45639</v>
      </c>
      <c r="L14" s="33"/>
      <c r="M14" s="34">
        <v>0</v>
      </c>
      <c r="N14" s="35">
        <v>0</v>
      </c>
      <c r="O14" s="88"/>
      <c r="P14" s="89"/>
      <c r="Q14" s="88"/>
      <c r="R14" s="89"/>
      <c r="S14" s="39">
        <f t="shared" si="7"/>
        <v>0</v>
      </c>
      <c r="T14" s="126"/>
      <c r="U14" s="32" t="str">
        <f t="shared" si="8"/>
        <v>0</v>
      </c>
      <c r="V14" s="44"/>
      <c r="W14" s="32">
        <f t="shared" si="9"/>
        <v>0</v>
      </c>
      <c r="X14" s="47"/>
      <c r="Y14" s="14">
        <f t="shared" si="10"/>
        <v>0</v>
      </c>
      <c r="Z14" s="50"/>
      <c r="AA14" s="55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45640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70">
        <f t="shared" si="4"/>
        <v>0</v>
      </c>
      <c r="H15" s="72">
        <f t="shared" si="5"/>
        <v>0</v>
      </c>
      <c r="I15" s="76">
        <f t="shared" si="6"/>
        <v>-45640</v>
      </c>
      <c r="J15" s="32">
        <f t="shared" si="0"/>
        <v>-1</v>
      </c>
      <c r="K15" s="20">
        <f t="shared" si="1"/>
        <v>45640</v>
      </c>
      <c r="L15" s="33"/>
      <c r="M15" s="34">
        <v>0</v>
      </c>
      <c r="N15" s="35">
        <v>0</v>
      </c>
      <c r="O15" s="88"/>
      <c r="P15" s="89"/>
      <c r="Q15" s="88"/>
      <c r="R15" s="89"/>
      <c r="S15" s="39">
        <f t="shared" si="7"/>
        <v>0</v>
      </c>
      <c r="T15" s="126"/>
      <c r="U15" s="32" t="str">
        <f t="shared" si="8"/>
        <v>0</v>
      </c>
      <c r="V15" s="44"/>
      <c r="W15" s="32">
        <f t="shared" si="9"/>
        <v>0</v>
      </c>
      <c r="X15" s="47"/>
      <c r="Y15" s="14">
        <f t="shared" si="10"/>
        <v>0</v>
      </c>
      <c r="Z15" s="50"/>
      <c r="AA15" s="55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19">
        <v>45641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70">
        <f t="shared" si="4"/>
        <v>0</v>
      </c>
      <c r="H16" s="72">
        <f t="shared" si="5"/>
        <v>0</v>
      </c>
      <c r="I16" s="76">
        <f t="shared" si="6"/>
        <v>-45641</v>
      </c>
      <c r="J16" s="32">
        <f t="shared" si="0"/>
        <v>-1</v>
      </c>
      <c r="K16" s="20">
        <f t="shared" si="1"/>
        <v>45641</v>
      </c>
      <c r="L16" s="33"/>
      <c r="M16" s="34">
        <v>0</v>
      </c>
      <c r="N16" s="35">
        <v>0</v>
      </c>
      <c r="O16" s="88"/>
      <c r="P16" s="89"/>
      <c r="Q16" s="88"/>
      <c r="R16" s="89"/>
      <c r="S16" s="39">
        <f t="shared" si="7"/>
        <v>0</v>
      </c>
      <c r="T16" s="126"/>
      <c r="U16" s="32" t="str">
        <f t="shared" si="8"/>
        <v>0</v>
      </c>
      <c r="V16" s="44"/>
      <c r="W16" s="32">
        <f t="shared" si="9"/>
        <v>0</v>
      </c>
      <c r="X16" s="47"/>
      <c r="Y16" s="14">
        <f t="shared" si="10"/>
        <v>0</v>
      </c>
      <c r="Z16" s="50"/>
      <c r="AA16" s="55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45642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0">
        <f t="shared" si="4"/>
        <v>0</v>
      </c>
      <c r="H17" s="72">
        <f t="shared" si="5"/>
        <v>0</v>
      </c>
      <c r="I17" s="76">
        <f t="shared" si="6"/>
        <v>-45642</v>
      </c>
      <c r="J17" s="32">
        <f t="shared" si="0"/>
        <v>-1</v>
      </c>
      <c r="K17" s="20">
        <f t="shared" si="1"/>
        <v>45642</v>
      </c>
      <c r="L17" s="33"/>
      <c r="M17" s="34">
        <v>0</v>
      </c>
      <c r="N17" s="35">
        <v>0</v>
      </c>
      <c r="O17" s="88"/>
      <c r="P17" s="89"/>
      <c r="Q17" s="88"/>
      <c r="R17" s="89"/>
      <c r="S17" s="39">
        <f t="shared" si="7"/>
        <v>0</v>
      </c>
      <c r="T17" s="126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5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45643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0">
        <f t="shared" si="4"/>
        <v>0</v>
      </c>
      <c r="H18" s="72">
        <f t="shared" si="5"/>
        <v>0</v>
      </c>
      <c r="I18" s="76">
        <f t="shared" si="6"/>
        <v>-45643</v>
      </c>
      <c r="J18" s="32">
        <f t="shared" si="0"/>
        <v>-1</v>
      </c>
      <c r="K18" s="20">
        <f t="shared" si="1"/>
        <v>45643</v>
      </c>
      <c r="L18" s="33"/>
      <c r="M18" s="34">
        <v>0</v>
      </c>
      <c r="N18" s="35">
        <v>0</v>
      </c>
      <c r="O18" s="88"/>
      <c r="P18" s="89"/>
      <c r="Q18" s="88"/>
      <c r="R18" s="89"/>
      <c r="S18" s="39">
        <f t="shared" si="7"/>
        <v>0</v>
      </c>
      <c r="T18" s="126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5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45644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-45644</v>
      </c>
      <c r="J19" s="32">
        <f t="shared" si="0"/>
        <v>-1</v>
      </c>
      <c r="K19" s="20">
        <f t="shared" si="1"/>
        <v>45644</v>
      </c>
      <c r="L19" s="33"/>
      <c r="M19" s="34">
        <v>0</v>
      </c>
      <c r="N19" s="35">
        <v>0</v>
      </c>
      <c r="O19" s="88"/>
      <c r="P19" s="89"/>
      <c r="Q19" s="88"/>
      <c r="R19" s="89"/>
      <c r="S19" s="39">
        <f t="shared" si="7"/>
        <v>0</v>
      </c>
      <c r="T19" s="126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31813</v>
      </c>
      <c r="D33" s="80"/>
      <c r="E33" s="79">
        <f>SUM(E2:E32)</f>
        <v>4804</v>
      </c>
      <c r="F33" s="81"/>
      <c r="G33" s="79">
        <f>SUM(G2:G32)</f>
        <v>0</v>
      </c>
      <c r="H33" s="80">
        <f>SUM(H2:H32)</f>
        <v>36617</v>
      </c>
      <c r="I33" s="79">
        <f>SUM(I2:I31)</f>
        <v>-1334118.02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5250</v>
      </c>
      <c r="V33" s="78"/>
      <c r="W33" s="79">
        <f>SUM(W2:W32)</f>
        <v>17</v>
      </c>
      <c r="X33" s="78"/>
      <c r="Y33" s="79">
        <f>SUM(Y2:Y32)</f>
        <v>18</v>
      </c>
      <c r="Z33" s="78"/>
      <c r="AA33" s="78">
        <f>SUM(AA2:AA32)</f>
        <v>0</v>
      </c>
      <c r="AB33" s="79">
        <f>SUM(AB2:AB32)</f>
        <v>0</v>
      </c>
      <c r="AC33" s="82">
        <f>SUM(AC2:AC32)</f>
        <v>652</v>
      </c>
      <c r="AD33" s="83">
        <f>SUM(AD2:AD32)</f>
        <v>1126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2024-12-09T06:43:30Z</dcterms:modified>
  <cp:category/>
  <cp:contentStatus/>
</cp:coreProperties>
</file>