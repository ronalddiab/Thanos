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BAL-ENG\4. Energy\4.3 Utilities\HEP\2021\12. December 2021\"/>
    </mc:Choice>
  </mc:AlternateContent>
  <bookViews>
    <workbookView xWindow="0" yWindow="0" windowWidth="19200" windowHeight="12180" tabRatio="762" activeTab="2"/>
  </bookViews>
  <sheets>
    <sheet name="TOTAL" sheetId="11" r:id="rId1"/>
    <sheet name="FS Jimbaran December 2021" sheetId="14" r:id="rId2"/>
    <sheet name="RNs &amp; Covers December 2021" sheetId="1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1" l="1"/>
  <c r="E32" i="11"/>
  <c r="F32" i="11"/>
  <c r="G32" i="11"/>
  <c r="H32" i="11"/>
  <c r="I32" i="11"/>
  <c r="J32" i="11"/>
  <c r="K32" i="11"/>
  <c r="L32" i="11"/>
  <c r="M32" i="11"/>
  <c r="N32" i="11"/>
  <c r="AK46" i="14" l="1"/>
  <c r="AH46" i="14" l="1"/>
  <c r="C37" i="10" l="1"/>
  <c r="B37" i="10"/>
  <c r="A36" i="10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AI40" i="14" l="1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P46" i="14" l="1"/>
  <c r="F5" i="1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L46" i="14"/>
  <c r="AL12" i="14"/>
  <c r="AA46" i="14"/>
  <c r="AB46" i="14" s="1"/>
  <c r="AI46" i="14"/>
  <c r="AI12" i="14"/>
  <c r="N46" i="14"/>
  <c r="O12" i="14"/>
  <c r="S46" i="14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<sst xmlns="http://schemas.openxmlformats.org/spreadsheetml/2006/main" count="102" uniqueCount="56">
  <si>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</si>
  <si>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</si>
  <si>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</si>
  <si>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</si>
  <si>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</si>
  <si>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</si>
  <si>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</si>
  <si>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</si>
  <si>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</si>
  <si>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</si>
  <si>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</si>
  <si>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</si>
  <si>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</si>
  <si>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</si>
  <si>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</si>
  <si>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</si>
  <si>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</si>
  <si>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</si>
  <si>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</si>
  <si>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</si>
  <si>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</si>
  <si>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</si>
  <si>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</si>
  <si>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</si>
  <si>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</si>
  <si>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</si>
  <si>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</si>
  <si>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</si>
  <si>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</si>
  <si>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</si>
  <si>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</si>
  <si>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</si>
  <si>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</si>
  <si>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</si>
  <si>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</si>
  <si>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</si>
  <si>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</si>
  <si>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</si>
  <si>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</si>
  <si>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</si>
  <si>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</si>
  <si>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</si>
  <si>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</si>
  <si>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</si>
  <si>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</si>
  <si>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</si>
  <si>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</si>
  <si>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</si>
  <si>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</si>
  <si>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</si>
  <si>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</si>
  <si>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</si>
  <si>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</si>
  <si>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</si>
  <si>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.</t>
  </si>
  <si>
    <t>DECEMBER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</si>
</sst>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9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168" fontId="0" fillId="0" borderId="29" xfId="2" applyNumberFormat="1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10" xfId="2" applyNumberFormat="1" applyFont="1" applyBorder="1"/>
    <xf numFmtId="43" fontId="0" fillId="0" borderId="45" xfId="2" applyFont="1" applyBorder="1"/>
    <xf numFmtId="43" fontId="0" fillId="0" borderId="57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7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8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3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4" xfId="2" applyNumberFormat="1" applyFont="1" applyFill="1" applyBorder="1" applyProtection="1">
      <protection locked="0"/>
    </xf>
    <xf numFmtId="168" fontId="14" fillId="3" borderId="45" xfId="2" applyNumberFormat="1" applyFont="1" applyFill="1" applyBorder="1" applyProtection="1">
      <protection locked="0"/>
    </xf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7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8" fontId="14" fillId="3" borderId="55" xfId="2" applyNumberFormat="1" applyFont="1" applyFill="1" applyBorder="1" applyProtection="1">
      <protection locked="0"/>
    </xf>
    <xf numFmtId="168" fontId="14" fillId="3" borderId="57" xfId="2" applyNumberFormat="1" applyFont="1" applyFill="1" applyBorder="1" applyProtection="1">
      <protection locked="0"/>
    </xf>
    <xf numFmtId="168" fontId="0" fillId="0" borderId="56" xfId="2" applyNumberFormat="1" applyFont="1" applyBorder="1"/>
    <xf numFmtId="169" fontId="0" fillId="0" borderId="29" xfId="2" applyNumberFormat="1" applyFont="1" applyBorder="1"/>
    <xf numFmtId="43" fontId="0" fillId="0" borderId="32" xfId="0" applyNumberFormat="1" applyBorder="1"/>
    <xf numFmtId="168" fontId="2" fillId="0" borderId="29" xfId="2" applyNumberFormat="1" applyFont="1" applyBorder="1"/>
    <xf numFmtId="43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43" fontId="0" fillId="3" borderId="68" xfId="2" applyFont="1" applyFill="1" applyBorder="1"/>
    <xf numFmtId="168" fontId="1" fillId="0" borderId="56" xfId="2" applyNumberFormat="1" applyFont="1" applyBorder="1"/>
    <xf numFmtId="168" fontId="0" fillId="0" borderId="30" xfId="0" applyNumberFormat="1" applyBorder="1"/>
    <xf numFmtId="168" fontId="0" fillId="0" borderId="32" xfId="0" applyNumberFormat="1" applyBorder="1"/>
    <xf numFmtId="170" fontId="0" fillId="0" borderId="30" xfId="2" applyNumberFormat="1" applyFont="1" applyBorder="1"/>
    <xf numFmtId="171" fontId="0" fillId="0" borderId="69" xfId="2" applyNumberFormat="1" applyFont="1" applyBorder="1"/>
    <xf numFmtId="170" fontId="0" fillId="0" borderId="32" xfId="2" applyNumberFormat="1" applyFont="1" applyBorder="1"/>
    <xf numFmtId="9" fontId="17" fillId="0" borderId="0" xfId="5" applyFont="1"/>
    <xf numFmtId="43" fontId="0" fillId="3" borderId="0" xfId="2" applyNumberFormat="1" applyFont="1" applyFill="1" applyBorder="1"/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C12" sqref="C12"/>
    </sheetView>
  </sheetViews>
  <sheetFormatPr defaultColWidth="11.5703125" defaultRowHeight="15" x14ac:dyDescent="0.25"/>
  <cols>
    <col min="1" max="1" width="18.42578125" style="155" customWidth="1"/>
    <col min="2" max="2" width="11.5703125" style="156"/>
    <col min="3" max="3" width="11.5703125" style="157"/>
    <col min="4" max="4" width="13.42578125" style="156" customWidth="1"/>
    <col min="5" max="5" width="12.5703125" style="154" customWidth="1"/>
    <col min="6" max="6" width="12.5703125" style="158" customWidth="1"/>
    <col min="7" max="7" width="11.5703125" style="154"/>
    <col min="8" max="8" width="11.5703125" style="158"/>
    <col min="9" max="9" width="11.5703125" style="159"/>
    <col min="10" max="10" width="11.5703125" style="160"/>
    <col min="11" max="11" width="11.5703125" style="154"/>
    <col min="12" max="12" width="11.5703125" style="160"/>
    <col min="13" max="26" width="11.5703125" style="154"/>
  </cols>
  <sheetData>
    <row r="1" spans="1:15" s="148" customFormat="1" ht="60" x14ac:dyDescent="0.25">
      <c r="A1" s="144" t="s">
        <v>37</v>
      </c>
      <c r="B1" s="144" t="s">
        <v>38</v>
      </c>
      <c r="C1" s="145" t="s">
        <v>39</v>
      </c>
      <c r="D1" s="144" t="s">
        <v>40</v>
      </c>
      <c r="E1" s="143" t="s">
        <v>41</v>
      </c>
      <c r="F1" s="146" t="s">
        <v>42</v>
      </c>
      <c r="G1" s="143" t="s">
        <v>47</v>
      </c>
      <c r="H1" s="146" t="s">
        <v>48</v>
      </c>
      <c r="I1" s="162" t="s">
        <v>53</v>
      </c>
      <c r="J1" s="146" t="s">
        <v>50</v>
      </c>
      <c r="K1" s="143" t="s">
        <v>43</v>
      </c>
      <c r="L1" s="147" t="s">
        <v>44</v>
      </c>
      <c r="M1" s="143" t="s">
        <v>45</v>
      </c>
      <c r="N1" s="143" t="s">
        <v>3</v>
      </c>
    </row>
    <row r="2" spans="1:15" ht="14.45" x14ac:dyDescent="0.3">
      <c r="A2" s="149" t="s">
        <v>49</v>
      </c>
      <c r="B2" s="150">
        <v>1</v>
      </c>
      <c r="C2" s="151">
        <v>12</v>
      </c>
      <c r="D2" s="150">
        <v>2021</v>
      </c>
      <c r="E2" s="152">
        <f>'FS Jimbaran December 2021'!P12</f>
        <v>13940.00000000014</v>
      </c>
      <c r="F2" s="161">
        <f>'FS Jimbaran December 2021'!O12/'FS Jimbaran December 2021'!P12</f>
        <v>1188.9922209469162</v>
      </c>
      <c r="G2" s="152">
        <f>'FS Jimbaran December 2021'!AG12</f>
        <v>100</v>
      </c>
      <c r="H2" s="161">
        <f>'FS Jimbaran December 2021'!AH12/'FS Jimbaran December 2021'!AG12</f>
        <v>16420</v>
      </c>
      <c r="I2" s="152">
        <f>'FS Jimbaran December 2021'!AJ12</f>
        <v>296.45999999999185</v>
      </c>
      <c r="J2" s="153">
        <f>'FS Jimbaran December 2021'!AK12/'FS Jimbaran December 2021'!AJ12</f>
        <v>12000</v>
      </c>
      <c r="K2" s="152">
        <f>'FS Jimbaran December 2021'!V12</f>
        <v>770</v>
      </c>
      <c r="L2" s="161">
        <f>'FS Jimbaran December 2021'!AA12/'FS Jimbaran December 2021'!V12</f>
        <v>8342.9319596890182</v>
      </c>
      <c r="M2" s="152">
        <f>+'RNs &amp; Covers December 2021'!B6</f>
        <v>15</v>
      </c>
      <c r="N2" s="163">
        <f>+'RNs &amp; Covers December 2021'!C6</f>
        <v>97</v>
      </c>
    </row>
    <row r="3" spans="1:15" ht="14.45" x14ac:dyDescent="0.3">
      <c r="A3" s="149" t="s">
        <v>49</v>
      </c>
      <c r="B3" s="150">
        <f>B2+1</f>
        <v>2</v>
      </c>
      <c r="C3" s="151">
        <v>12</v>
      </c>
      <c r="D3" s="150">
        <v>2021</v>
      </c>
      <c r="E3" s="163">
        <f>'FS Jimbaran December 2021'!P13</f>
        <v>15899.999999999465</v>
      </c>
      <c r="F3" s="161">
        <f>'FS Jimbaran December 2021'!O13/'FS Jimbaran December 2021'!P13</f>
        <v>1188.117832075475</v>
      </c>
      <c r="G3" s="163">
        <f>'FS Jimbaran December 2021'!AG13</f>
        <v>112</v>
      </c>
      <c r="H3" s="161">
        <f>'FS Jimbaran December 2021'!AH13/'FS Jimbaran December 2021'!AG13</f>
        <v>15888.392857142857</v>
      </c>
      <c r="I3" s="163">
        <f>'FS Jimbaran December 2021'!AJ13</f>
        <v>173.95000000001164</v>
      </c>
      <c r="J3" s="153">
        <f>'FS Jimbaran December 2021'!AK13/'FS Jimbaran December 2021'!AJ13</f>
        <v>12000</v>
      </c>
      <c r="K3" s="163">
        <f>'FS Jimbaran December 2021'!V13</f>
        <v>780</v>
      </c>
      <c r="L3" s="161">
        <f>'FS Jimbaran December 2021'!AA13/'FS Jimbaran December 2021'!V13</f>
        <v>8347.3500170564657</v>
      </c>
      <c r="M3" s="163">
        <f>+'RNs &amp; Covers December 2021'!B7</f>
        <v>18</v>
      </c>
      <c r="N3" s="163">
        <f>+'RNs &amp; Covers December 2021'!C7</f>
        <v>135</v>
      </c>
    </row>
    <row r="4" spans="1:15" ht="14.45" x14ac:dyDescent="0.3">
      <c r="A4" s="149" t="s">
        <v>49</v>
      </c>
      <c r="B4" s="150">
        <f t="shared" ref="B4:B32" si="0">B3+1</f>
        <v>3</v>
      </c>
      <c r="C4" s="151">
        <v>12</v>
      </c>
      <c r="D4" s="150">
        <v>2021</v>
      </c>
      <c r="E4" s="163">
        <f>'FS Jimbaran December 2021'!P14</f>
        <v>15760.000000000418</v>
      </c>
      <c r="F4" s="161">
        <f>'FS Jimbaran December 2021'!O14/'FS Jimbaran December 2021'!P14</f>
        <v>1178.6598045685241</v>
      </c>
      <c r="G4" s="163">
        <f>'FS Jimbaran December 2021'!AG14</f>
        <v>112</v>
      </c>
      <c r="H4" s="161">
        <f>'FS Jimbaran December 2021'!AH14/'FS Jimbaran December 2021'!AG14</f>
        <v>15888.392857142857</v>
      </c>
      <c r="I4" s="163">
        <f>'FS Jimbaran December 2021'!AJ14</f>
        <v>330.91999999999825</v>
      </c>
      <c r="J4" s="153">
        <f>'FS Jimbaran December 2021'!AK14/'FS Jimbaran December 2021'!AJ14</f>
        <v>12000</v>
      </c>
      <c r="K4" s="163">
        <f>'FS Jimbaran December 2021'!V14</f>
        <v>769</v>
      </c>
      <c r="L4" s="161">
        <f>'FS Jimbaran December 2021'!AA14/'FS Jimbaran December 2021'!V14</f>
        <v>8347.6596832360574</v>
      </c>
      <c r="M4" s="163">
        <f>+'RNs &amp; Covers December 2021'!B8</f>
        <v>14</v>
      </c>
      <c r="N4" s="163">
        <f>+'RNs &amp; Covers December 2021'!C8</f>
        <v>162</v>
      </c>
    </row>
    <row r="5" spans="1:15" ht="14.45" x14ac:dyDescent="0.3">
      <c r="A5" s="149" t="s">
        <v>49</v>
      </c>
      <c r="B5" s="150">
        <f t="shared" si="0"/>
        <v>4</v>
      </c>
      <c r="C5" s="151">
        <v>12</v>
      </c>
      <c r="D5" s="150">
        <v>2021</v>
      </c>
      <c r="E5" s="163">
        <f>'FS Jimbaran December 2021'!P15</f>
        <v>14840.000000000116</v>
      </c>
      <c r="F5" s="161">
        <f>'FS Jimbaran December 2021'!O15/'FS Jimbaran December 2021'!P15</f>
        <v>1176.2454481132086</v>
      </c>
      <c r="G5" s="163">
        <f>'FS Jimbaran December 2021'!AG15</f>
        <v>112</v>
      </c>
      <c r="H5" s="161">
        <f>'FS Jimbaran December 2021'!AH15/'FS Jimbaran December 2021'!AG15</f>
        <v>15888.392857142857</v>
      </c>
      <c r="I5" s="163">
        <f>'FS Jimbaran December 2021'!AJ15</f>
        <v>123.36000000001513</v>
      </c>
      <c r="J5" s="153">
        <f>'FS Jimbaran December 2021'!AK15/'FS Jimbaran December 2021'!AJ15</f>
        <v>12000</v>
      </c>
      <c r="K5" s="163">
        <f>'FS Jimbaran December 2021'!V15</f>
        <v>477</v>
      </c>
      <c r="L5" s="161">
        <f>'FS Jimbaran December 2021'!AA15/'FS Jimbaran December 2021'!V15</f>
        <v>6821.2001764562665</v>
      </c>
      <c r="M5" s="163">
        <f>+'RNs &amp; Covers December 2021'!B9</f>
        <v>9</v>
      </c>
      <c r="N5" s="163">
        <f>+'RNs &amp; Covers December 2021'!C9</f>
        <v>119</v>
      </c>
    </row>
    <row r="6" spans="1:15" ht="14.45" x14ac:dyDescent="0.3">
      <c r="A6" s="149" t="s">
        <v>49</v>
      </c>
      <c r="B6" s="150">
        <f t="shared" si="0"/>
        <v>5</v>
      </c>
      <c r="C6" s="151">
        <v>12</v>
      </c>
      <c r="D6" s="150">
        <v>2021</v>
      </c>
      <c r="E6" s="163">
        <f>'FS Jimbaran December 2021'!P16</f>
        <v>14279.999999999745</v>
      </c>
      <c r="F6" s="161">
        <f>'FS Jimbaran December 2021'!O16/'FS Jimbaran December 2021'!P16</f>
        <v>1182.7693676470585</v>
      </c>
      <c r="G6" s="163">
        <f>'FS Jimbaran December 2021'!AG16</f>
        <v>112</v>
      </c>
      <c r="H6" s="161">
        <f>'FS Jimbaran December 2021'!AH16/'FS Jimbaran December 2021'!AG16</f>
        <v>15888.392857142857</v>
      </c>
      <c r="I6" s="163">
        <f>'FS Jimbaran December 2021'!AJ16</f>
        <v>102.13999999999942</v>
      </c>
      <c r="J6" s="153">
        <f>'FS Jimbaran December 2021'!AK16/'FS Jimbaran December 2021'!AJ16</f>
        <v>12000</v>
      </c>
      <c r="K6" s="163">
        <f>'FS Jimbaran December 2021'!V16</f>
        <v>647</v>
      </c>
      <c r="L6" s="161">
        <f>'FS Jimbaran December 2021'!AA16/'FS Jimbaran December 2021'!V16</f>
        <v>6593.8708476098036</v>
      </c>
      <c r="M6" s="163">
        <f>+'RNs &amp; Covers December 2021'!B10</f>
        <v>4</v>
      </c>
      <c r="N6" s="163">
        <f>+'RNs &amp; Covers December 2021'!C10</f>
        <v>136</v>
      </c>
    </row>
    <row r="7" spans="1:15" ht="14.45" x14ac:dyDescent="0.3">
      <c r="A7" s="149" t="s">
        <v>49</v>
      </c>
      <c r="B7" s="150">
        <f t="shared" si="0"/>
        <v>6</v>
      </c>
      <c r="C7" s="151">
        <v>12</v>
      </c>
      <c r="D7" s="150">
        <v>2021</v>
      </c>
      <c r="E7" s="163">
        <f>'FS Jimbaran December 2021'!P17</f>
        <v>13800.000000000126</v>
      </c>
      <c r="F7" s="161">
        <f>'FS Jimbaran December 2021'!O17/'FS Jimbaran December 2021'!P17</f>
        <v>1185.2925913043475</v>
      </c>
      <c r="G7" s="163">
        <f>'FS Jimbaran December 2021'!AG17</f>
        <v>50</v>
      </c>
      <c r="H7" s="161">
        <f>'FS Jimbaran December 2021'!AH17/'FS Jimbaran December 2021'!AG17</f>
        <v>16420</v>
      </c>
      <c r="I7" s="163">
        <f>'FS Jimbaran December 2021'!AJ17</f>
        <v>309.22000000000116</v>
      </c>
      <c r="J7" s="153">
        <f>'FS Jimbaran December 2021'!AK17/'FS Jimbaran December 2021'!AJ17</f>
        <v>12000</v>
      </c>
      <c r="K7" s="163">
        <f>'FS Jimbaran December 2021'!V17</f>
        <v>752</v>
      </c>
      <c r="L7" s="161">
        <f>'FS Jimbaran December 2021'!AA17/'FS Jimbaran December 2021'!V17</f>
        <v>8412.3119105715487</v>
      </c>
      <c r="M7" s="163">
        <f>+'RNs &amp; Covers December 2021'!B11</f>
        <v>12</v>
      </c>
      <c r="N7" s="163">
        <f>+'RNs &amp; Covers December 2021'!C11</f>
        <v>53</v>
      </c>
    </row>
    <row r="8" spans="1:15" ht="14.45" x14ac:dyDescent="0.3">
      <c r="A8" s="149" t="s">
        <v>49</v>
      </c>
      <c r="B8" s="150">
        <f t="shared" si="0"/>
        <v>7</v>
      </c>
      <c r="C8" s="151">
        <v>12</v>
      </c>
      <c r="D8" s="150">
        <v>2021</v>
      </c>
      <c r="E8" s="163">
        <f>'FS Jimbaran December 2021'!P18</f>
        <v>13860.000000000071</v>
      </c>
      <c r="F8" s="161">
        <f>'FS Jimbaran December 2021'!O18/'FS Jimbaran December 2021'!P18</f>
        <v>1184.0848636363646</v>
      </c>
      <c r="G8" s="163">
        <f>'FS Jimbaran December 2021'!AG18</f>
        <v>50</v>
      </c>
      <c r="H8" s="161">
        <f>'FS Jimbaran December 2021'!AH18/'FS Jimbaran December 2021'!AG18</f>
        <v>16420</v>
      </c>
      <c r="I8" s="163">
        <f>'FS Jimbaran December 2021'!AJ18</f>
        <v>311.72999999999593</v>
      </c>
      <c r="J8" s="153">
        <f>'FS Jimbaran December 2021'!AK18/'FS Jimbaran December 2021'!AJ18</f>
        <v>12000</v>
      </c>
      <c r="K8" s="163">
        <f>'FS Jimbaran December 2021'!V18</f>
        <v>779</v>
      </c>
      <c r="L8" s="161">
        <f>'FS Jimbaran December 2021'!AA18/'FS Jimbaran December 2021'!V18</f>
        <v>8352.0227224031169</v>
      </c>
      <c r="M8" s="163">
        <f>+'RNs &amp; Covers December 2021'!B12</f>
        <v>10</v>
      </c>
      <c r="N8" s="163">
        <f>+'RNs &amp; Covers December 2021'!C12</f>
        <v>79</v>
      </c>
    </row>
    <row r="9" spans="1:15" ht="14.45" x14ac:dyDescent="0.3">
      <c r="A9" s="149" t="s">
        <v>49</v>
      </c>
      <c r="B9" s="150">
        <f t="shared" si="0"/>
        <v>8</v>
      </c>
      <c r="C9" s="151">
        <v>12</v>
      </c>
      <c r="D9" s="150">
        <v>2021</v>
      </c>
      <c r="E9" s="163">
        <f>'FS Jimbaran December 2021'!P19</f>
        <v>15039.999999999964</v>
      </c>
      <c r="F9" s="161">
        <f>'FS Jimbaran December 2021'!O19/'FS Jimbaran December 2021'!P19</f>
        <v>1185.1898876329785</v>
      </c>
      <c r="G9" s="163">
        <f>'FS Jimbaran December 2021'!AG19</f>
        <v>50</v>
      </c>
      <c r="H9" s="161">
        <f>'FS Jimbaran December 2021'!AH19/'FS Jimbaran December 2021'!AG19</f>
        <v>16420</v>
      </c>
      <c r="I9" s="163">
        <f>'FS Jimbaran December 2021'!AJ19</f>
        <v>403.55000000000291</v>
      </c>
      <c r="J9" s="153">
        <f>'FS Jimbaran December 2021'!AK19/'FS Jimbaran December 2021'!AJ19</f>
        <v>12000.000000000002</v>
      </c>
      <c r="K9" s="163">
        <f>'FS Jimbaran December 2021'!V19</f>
        <v>743</v>
      </c>
      <c r="L9" s="161">
        <f>'FS Jimbaran December 2021'!AA19/'FS Jimbaran December 2021'!V19</f>
        <v>8457.1907722498763</v>
      </c>
      <c r="M9" s="163">
        <f>+'RNs &amp; Covers December 2021'!B13</f>
        <v>12</v>
      </c>
      <c r="N9" s="163">
        <f>+'RNs &amp; Covers December 2021'!C13</f>
        <v>77</v>
      </c>
      <c r="O9" s="154" t="s">
        <v>46</v>
      </c>
    </row>
    <row r="10" spans="1:15" ht="14.45" x14ac:dyDescent="0.3">
      <c r="A10" s="149" t="s">
        <v>49</v>
      </c>
      <c r="B10" s="150">
        <f t="shared" si="0"/>
        <v>9</v>
      </c>
      <c r="C10" s="151">
        <v>12</v>
      </c>
      <c r="D10" s="150">
        <v>2021</v>
      </c>
      <c r="E10" s="163">
        <f>'FS Jimbaran December 2021'!P20</f>
        <v>15999.999999999432</v>
      </c>
      <c r="F10" s="161">
        <f>'FS Jimbaran December 2021'!O20/'FS Jimbaran December 2021'!P20</f>
        <v>1184.770479375002</v>
      </c>
      <c r="G10" s="163">
        <f>'FS Jimbaran December 2021'!AG20</f>
        <v>100</v>
      </c>
      <c r="H10" s="161">
        <f>'FS Jimbaran December 2021'!AH20/'FS Jimbaran December 2021'!AG20</f>
        <v>16420</v>
      </c>
      <c r="I10" s="163">
        <f>'FS Jimbaran December 2021'!AJ20</f>
        <v>76.119999999995343</v>
      </c>
      <c r="J10" s="153">
        <f>'FS Jimbaran December 2021'!AK20/'FS Jimbaran December 2021'!AJ20</f>
        <v>12000</v>
      </c>
      <c r="K10" s="163">
        <f>'FS Jimbaran December 2021'!V20</f>
        <v>801</v>
      </c>
      <c r="L10" s="161">
        <f>'FS Jimbaran December 2021'!AA20/'FS Jimbaran December 2021'!V20</f>
        <v>8285.0454799566523</v>
      </c>
      <c r="M10" s="163">
        <f>+'RNs &amp; Covers December 2021'!B14</f>
        <v>13</v>
      </c>
      <c r="N10" s="163">
        <f>+'RNs &amp; Covers December 2021'!C14</f>
        <v>101</v>
      </c>
    </row>
    <row r="11" spans="1:15" ht="14.45" x14ac:dyDescent="0.3">
      <c r="A11" s="149" t="s">
        <v>49</v>
      </c>
      <c r="B11" s="150">
        <f t="shared" si="0"/>
        <v>10</v>
      </c>
      <c r="C11" s="151">
        <v>12</v>
      </c>
      <c r="D11" s="150">
        <v>2021</v>
      </c>
      <c r="E11" s="163">
        <f>'FS Jimbaran December 2021'!P21</f>
        <v>16200.000000000273</v>
      </c>
      <c r="F11" s="161">
        <f>'FS Jimbaran December 2021'!O21/'FS Jimbaran December 2021'!P21</f>
        <v>1185.5844777777786</v>
      </c>
      <c r="G11" s="163">
        <f>'FS Jimbaran December 2021'!AG21</f>
        <v>112</v>
      </c>
      <c r="H11" s="161">
        <f>'FS Jimbaran December 2021'!AH21/'FS Jimbaran December 2021'!AG21</f>
        <v>15888.392857142857</v>
      </c>
      <c r="I11" s="163">
        <f>'FS Jimbaran December 2021'!AJ21</f>
        <v>419.97000000000116</v>
      </c>
      <c r="J11" s="153">
        <f>'FS Jimbaran December 2021'!AK21/'FS Jimbaran December 2021'!AJ21</f>
        <v>12000</v>
      </c>
      <c r="K11" s="163">
        <f>'FS Jimbaran December 2021'!V21</f>
        <v>779</v>
      </c>
      <c r="L11" s="161">
        <f>'FS Jimbaran December 2021'!AA21/'FS Jimbaran December 2021'!V21</f>
        <v>8300.9286545939558</v>
      </c>
      <c r="M11" s="163">
        <f>+'RNs &amp; Covers December 2021'!B15</f>
        <v>17</v>
      </c>
      <c r="N11" s="163">
        <f>+'RNs &amp; Covers December 2021'!C15</f>
        <v>145</v>
      </c>
    </row>
    <row r="12" spans="1:15" ht="14.45" x14ac:dyDescent="0.3">
      <c r="A12" s="149" t="s">
        <v>49</v>
      </c>
      <c r="B12" s="150">
        <f t="shared" si="0"/>
        <v>11</v>
      </c>
      <c r="C12" s="151">
        <v>12</v>
      </c>
      <c r="D12" s="150">
        <v>2021</v>
      </c>
      <c r="E12" s="163">
        <f>'FS Jimbaran December 2021'!P22</f>
        <v>17900.000000000487</v>
      </c>
      <c r="F12" s="161">
        <f>'FS Jimbaran December 2021'!O22/'FS Jimbaran December 2021'!P22</f>
        <v>1199.3638022346322</v>
      </c>
      <c r="G12" s="163">
        <f>'FS Jimbaran December 2021'!AG22</f>
        <v>162</v>
      </c>
      <c r="H12" s="161">
        <f>'FS Jimbaran December 2021'!AH22/'FS Jimbaran December 2021'!AG22</f>
        <v>16052.469135802468</v>
      </c>
      <c r="I12" s="163">
        <f>'FS Jimbaran December 2021'!AJ22</f>
        <v>349.71999999998661</v>
      </c>
      <c r="J12" s="153">
        <f>'FS Jimbaran December 2021'!AK22/'FS Jimbaran December 2021'!AJ22</f>
        <v>12000.000000000002</v>
      </c>
      <c r="K12" s="163">
        <f>'FS Jimbaran December 2021'!V22</f>
        <v>773</v>
      </c>
      <c r="L12" s="161">
        <f>'FS Jimbaran December 2021'!AA22/'FS Jimbaran December 2021'!V22</f>
        <v>8414.639945651772</v>
      </c>
      <c r="M12" s="163">
        <f>+'RNs &amp; Covers December 2021'!B16</f>
        <v>22</v>
      </c>
      <c r="N12" s="163">
        <f>+'RNs &amp; Covers December 2021'!C16</f>
        <v>365</v>
      </c>
    </row>
    <row r="13" spans="1:15" ht="14.45" x14ac:dyDescent="0.3">
      <c r="A13" s="149" t="s">
        <v>49</v>
      </c>
      <c r="B13" s="150">
        <f t="shared" si="0"/>
        <v>12</v>
      </c>
      <c r="C13" s="151">
        <v>12</v>
      </c>
      <c r="D13" s="150">
        <v>2021</v>
      </c>
      <c r="E13" s="163">
        <f>'FS Jimbaran December 2021'!P23</f>
        <v>16859.999999999785</v>
      </c>
      <c r="F13" s="161">
        <f>'FS Jimbaran December 2021'!O23/'FS Jimbaran December 2021'!P23</f>
        <v>1184.3278078291828</v>
      </c>
      <c r="G13" s="163">
        <f>'FS Jimbaran December 2021'!AG23</f>
        <v>162</v>
      </c>
      <c r="H13" s="161">
        <f>'FS Jimbaran December 2021'!AH23/'FS Jimbaran December 2021'!AG23</f>
        <v>16052.469135802468</v>
      </c>
      <c r="I13" s="163">
        <f>'FS Jimbaran December 2021'!AJ23</f>
        <v>297.61999999999534</v>
      </c>
      <c r="J13" s="153">
        <f>'FS Jimbaran December 2021'!AK23/'FS Jimbaran December 2021'!AJ23</f>
        <v>12000</v>
      </c>
      <c r="K13" s="163">
        <f>'FS Jimbaran December 2021'!V23</f>
        <v>761</v>
      </c>
      <c r="L13" s="161">
        <f>'FS Jimbaran December 2021'!AA23/'FS Jimbaran December 2021'!V23</f>
        <v>8473.0997731466814</v>
      </c>
      <c r="M13" s="163">
        <f>+'RNs &amp; Covers December 2021'!B17</f>
        <v>26</v>
      </c>
      <c r="N13" s="163">
        <f>+'RNs &amp; Covers December 2021'!C17</f>
        <v>194</v>
      </c>
    </row>
    <row r="14" spans="1:15" ht="14.45" x14ac:dyDescent="0.3">
      <c r="A14" s="149" t="s">
        <v>49</v>
      </c>
      <c r="B14" s="150">
        <f t="shared" si="0"/>
        <v>13</v>
      </c>
      <c r="C14" s="151">
        <v>12</v>
      </c>
      <c r="D14" s="150">
        <v>2021</v>
      </c>
      <c r="E14" s="163">
        <f>'FS Jimbaran December 2021'!P24</f>
        <v>16579.999999999985</v>
      </c>
      <c r="F14" s="161">
        <f>'FS Jimbaran December 2021'!O24/'FS Jimbaran December 2021'!P24</f>
        <v>1185.9618528347387</v>
      </c>
      <c r="G14" s="163">
        <f>'FS Jimbaran December 2021'!AG24</f>
        <v>162</v>
      </c>
      <c r="H14" s="161">
        <f>'FS Jimbaran December 2021'!AH24/'FS Jimbaran December 2021'!AG24</f>
        <v>16052.469135802468</v>
      </c>
      <c r="I14" s="163">
        <f>'FS Jimbaran December 2021'!AJ24</f>
        <v>325.97000000000116</v>
      </c>
      <c r="J14" s="153">
        <f>'FS Jimbaran December 2021'!AK24/'FS Jimbaran December 2021'!AJ24</f>
        <v>12000</v>
      </c>
      <c r="K14" s="163">
        <f>'FS Jimbaran December 2021'!V24</f>
        <v>797</v>
      </c>
      <c r="L14" s="161">
        <f>'FS Jimbaran December 2021'!AA24/'FS Jimbaran December 2021'!V24</f>
        <v>8319.6481875930458</v>
      </c>
      <c r="M14" s="163">
        <f>+'RNs &amp; Covers December 2021'!B18</f>
        <v>30</v>
      </c>
      <c r="N14" s="163">
        <f>+'RNs &amp; Covers December 2021'!C18</f>
        <v>189</v>
      </c>
    </row>
    <row r="15" spans="1:15" ht="14.45" x14ac:dyDescent="0.3">
      <c r="A15" s="149" t="s">
        <v>49</v>
      </c>
      <c r="B15" s="150">
        <f t="shared" si="0"/>
        <v>14</v>
      </c>
      <c r="C15" s="151">
        <v>12</v>
      </c>
      <c r="D15" s="150">
        <v>2021</v>
      </c>
      <c r="E15" s="163">
        <f>'FS Jimbaran December 2021'!P25</f>
        <v>14879.999999999711</v>
      </c>
      <c r="F15" s="161">
        <f>'FS Jimbaran December 2021'!O25/'FS Jimbaran December 2021'!P25</f>
        <v>1191.3558266129085</v>
      </c>
      <c r="G15" s="163">
        <f>'FS Jimbaran December 2021'!AG25</f>
        <v>162</v>
      </c>
      <c r="H15" s="161">
        <f>'FS Jimbaran December 2021'!AH25/'FS Jimbaran December 2021'!AG25</f>
        <v>16052.469135802468</v>
      </c>
      <c r="I15" s="163">
        <f>'FS Jimbaran December 2021'!AJ25</f>
        <v>269.52999999999884</v>
      </c>
      <c r="J15" s="153">
        <f>'FS Jimbaran December 2021'!AK25/'FS Jimbaran December 2021'!AJ25</f>
        <v>12000</v>
      </c>
      <c r="K15" s="163">
        <f>'FS Jimbaran December 2021'!V25</f>
        <v>760</v>
      </c>
      <c r="L15" s="161">
        <f>'FS Jimbaran December 2021'!AA25/'FS Jimbaran December 2021'!V25</f>
        <v>8478.054756332378</v>
      </c>
      <c r="M15" s="163">
        <f>+'RNs &amp; Covers December 2021'!B19</f>
        <v>21</v>
      </c>
      <c r="N15" s="163">
        <f>+'RNs &amp; Covers December 2021'!C19</f>
        <v>194</v>
      </c>
    </row>
    <row r="16" spans="1:15" ht="14.45" x14ac:dyDescent="0.3">
      <c r="A16" s="149" t="s">
        <v>49</v>
      </c>
      <c r="B16" s="150">
        <f t="shared" si="0"/>
        <v>15</v>
      </c>
      <c r="C16" s="151">
        <v>12</v>
      </c>
      <c r="D16" s="150">
        <v>2021</v>
      </c>
      <c r="E16" s="163">
        <f>'FS Jimbaran December 2021'!P26</f>
        <v>17219.999999999884</v>
      </c>
      <c r="F16" s="161">
        <f>'FS Jimbaran December 2021'!O26/'FS Jimbaran December 2021'!P26</f>
        <v>1171.5682317073156</v>
      </c>
      <c r="G16" s="163">
        <f>'FS Jimbaran December 2021'!AG26</f>
        <v>162</v>
      </c>
      <c r="H16" s="161">
        <f>'FS Jimbaran December 2021'!AH26/'FS Jimbaran December 2021'!AG26</f>
        <v>16052.469135802468</v>
      </c>
      <c r="I16" s="163">
        <f>'FS Jimbaran December 2021'!AJ26</f>
        <v>1534.9000000000233</v>
      </c>
      <c r="J16" s="153">
        <f>'FS Jimbaran December 2021'!AK26/'FS Jimbaran December 2021'!AJ26</f>
        <v>12000</v>
      </c>
      <c r="K16" s="163">
        <f>'FS Jimbaran December 2021'!V26</f>
        <v>645</v>
      </c>
      <c r="L16" s="161">
        <f>'FS Jimbaran December 2021'!AA26/'FS Jimbaran December 2021'!V26</f>
        <v>9068.0790174154226</v>
      </c>
      <c r="M16" s="163">
        <f>+'RNs &amp; Covers December 2021'!B20</f>
        <v>21</v>
      </c>
      <c r="N16" s="163">
        <f>+'RNs &amp; Covers December 2021'!C20</f>
        <v>177</v>
      </c>
    </row>
    <row r="17" spans="1:14" ht="14.45" x14ac:dyDescent="0.3">
      <c r="A17" s="149" t="s">
        <v>49</v>
      </c>
      <c r="B17" s="150">
        <f t="shared" si="0"/>
        <v>16</v>
      </c>
      <c r="C17" s="151">
        <v>12</v>
      </c>
      <c r="D17" s="150">
        <v>2021</v>
      </c>
      <c r="E17" s="163">
        <f>'FS Jimbaran December 2021'!P27</f>
        <v>16200.000000000187</v>
      </c>
      <c r="F17" s="161">
        <f>'FS Jimbaran December 2021'!O27/'FS Jimbaran December 2021'!P27</f>
        <v>1186.2558166666647</v>
      </c>
      <c r="G17" s="163">
        <f>'FS Jimbaran December 2021'!AG27</f>
        <v>112</v>
      </c>
      <c r="H17" s="161">
        <f>'FS Jimbaran December 2021'!AH27/'FS Jimbaran December 2021'!AG27</f>
        <v>15888.392857142857</v>
      </c>
      <c r="I17" s="163">
        <f>'FS Jimbaran December 2021'!AJ27</f>
        <v>334.32000000002154</v>
      </c>
      <c r="J17" s="153">
        <f>'FS Jimbaran December 2021'!AK27/'FS Jimbaran December 2021'!AJ27</f>
        <v>12000</v>
      </c>
      <c r="K17" s="163">
        <f>'FS Jimbaran December 2021'!V27</f>
        <v>783</v>
      </c>
      <c r="L17" s="161">
        <f>'FS Jimbaran December 2021'!AA27/'FS Jimbaran December 2021'!V27</f>
        <v>8248.6817619257545</v>
      </c>
      <c r="M17" s="163">
        <f>+'RNs &amp; Covers December 2021'!B21</f>
        <v>23</v>
      </c>
      <c r="N17" s="163">
        <f>+'RNs &amp; Covers December 2021'!C21</f>
        <v>148</v>
      </c>
    </row>
    <row r="18" spans="1:14" ht="14.45" x14ac:dyDescent="0.3">
      <c r="A18" s="149" t="s">
        <v>49</v>
      </c>
      <c r="B18" s="150">
        <f t="shared" si="0"/>
        <v>17</v>
      </c>
      <c r="C18" s="151">
        <v>12</v>
      </c>
      <c r="D18" s="150">
        <v>2021</v>
      </c>
      <c r="E18" s="163">
        <f>'FS Jimbaran December 2021'!P28</f>
        <v>17900.000000000346</v>
      </c>
      <c r="F18" s="161">
        <f>'FS Jimbaran December 2021'!O28/'FS Jimbaran December 2021'!P28</f>
        <v>1190.8576759776518</v>
      </c>
      <c r="G18" s="163">
        <f>'FS Jimbaran December 2021'!AG28</f>
        <v>162</v>
      </c>
      <c r="H18" s="161">
        <f>'FS Jimbaran December 2021'!AH28/'FS Jimbaran December 2021'!AG28</f>
        <v>16052.469135802468</v>
      </c>
      <c r="I18" s="163">
        <f>'FS Jimbaran December 2021'!AJ28</f>
        <v>346</v>
      </c>
      <c r="J18" s="153">
        <f>'FS Jimbaran December 2021'!AK28/'FS Jimbaran December 2021'!AJ28</f>
        <v>12000</v>
      </c>
      <c r="K18" s="163">
        <f>'FS Jimbaran December 2021'!V28</f>
        <v>777</v>
      </c>
      <c r="L18" s="161">
        <f>'FS Jimbaran December 2021'!AA28/'FS Jimbaran December 2021'!V28</f>
        <v>8463.8553839056185</v>
      </c>
      <c r="M18" s="163">
        <f>+'RNs &amp; Covers December 2021'!B22</f>
        <v>44</v>
      </c>
      <c r="N18" s="163">
        <f>+'RNs &amp; Covers December 2021'!C22</f>
        <v>214</v>
      </c>
    </row>
    <row r="19" spans="1:14" ht="14.45" x14ac:dyDescent="0.3">
      <c r="A19" s="149" t="s">
        <v>49</v>
      </c>
      <c r="B19" s="150">
        <f t="shared" si="0"/>
        <v>18</v>
      </c>
      <c r="C19" s="151">
        <v>12</v>
      </c>
      <c r="D19" s="150">
        <v>2021</v>
      </c>
      <c r="E19" s="163">
        <f>'FS Jimbaran December 2021'!P29</f>
        <v>18879.999999999542</v>
      </c>
      <c r="F19" s="161">
        <f>'FS Jimbaran December 2021'!O29/'FS Jimbaran December 2021'!P29</f>
        <v>1182.6160789194957</v>
      </c>
      <c r="G19" s="163">
        <f>'FS Jimbaran December 2021'!AG29</f>
        <v>162</v>
      </c>
      <c r="H19" s="161">
        <f>'FS Jimbaran December 2021'!AH29/'FS Jimbaran December 2021'!AG29</f>
        <v>16052.469135802468</v>
      </c>
      <c r="I19" s="163">
        <f>'FS Jimbaran December 2021'!AJ29</f>
        <v>281.75</v>
      </c>
      <c r="J19" s="153">
        <f>'FS Jimbaran December 2021'!AK29/'FS Jimbaran December 2021'!AJ29</f>
        <v>12000</v>
      </c>
      <c r="K19" s="163">
        <f>'FS Jimbaran December 2021'!V29</f>
        <v>781</v>
      </c>
      <c r="L19" s="161">
        <f>'FS Jimbaran December 2021'!AA29/'FS Jimbaran December 2021'!V29</f>
        <v>8478.5912113337035</v>
      </c>
      <c r="M19" s="163">
        <f>+'RNs &amp; Covers December 2021'!B23</f>
        <v>53</v>
      </c>
      <c r="N19" s="163">
        <f>+'RNs &amp; Covers December 2021'!C23</f>
        <v>245</v>
      </c>
    </row>
    <row r="20" spans="1:14" x14ac:dyDescent="0.25">
      <c r="A20" s="149" t="s">
        <v>49</v>
      </c>
      <c r="B20" s="150">
        <f t="shared" si="0"/>
        <v>19</v>
      </c>
      <c r="C20" s="151">
        <v>12</v>
      </c>
      <c r="D20" s="150">
        <v>2021</v>
      </c>
      <c r="E20" s="163">
        <f>'FS Jimbaran December 2021'!P30</f>
        <v>16999.999999999858</v>
      </c>
      <c r="F20" s="161">
        <f>'FS Jimbaran December 2021'!O30/'FS Jimbaran December 2021'!P30</f>
        <v>1186.7297029411773</v>
      </c>
      <c r="G20" s="163">
        <f>'FS Jimbaran December 2021'!AG30</f>
        <v>162</v>
      </c>
      <c r="H20" s="161">
        <f>'FS Jimbaran December 2021'!AH30/'FS Jimbaran December 2021'!AG30</f>
        <v>16052.469135802468</v>
      </c>
      <c r="I20" s="163">
        <f>'FS Jimbaran December 2021'!AJ30</f>
        <v>326.89999999999418</v>
      </c>
      <c r="J20" s="153">
        <f>'FS Jimbaran December 2021'!AK30/'FS Jimbaran December 2021'!AJ30</f>
        <v>12000</v>
      </c>
      <c r="K20" s="163">
        <f>'FS Jimbaran December 2021'!V30</f>
        <v>589</v>
      </c>
      <c r="L20" s="161">
        <f>'FS Jimbaran December 2021'!AA30/'FS Jimbaran December 2021'!V30</f>
        <v>5045.1926778511133</v>
      </c>
      <c r="M20" s="163">
        <f>+'RNs &amp; Covers December 2021'!B24</f>
        <v>31</v>
      </c>
      <c r="N20" s="163">
        <f>+'RNs &amp; Covers December 2021'!C24</f>
        <v>286</v>
      </c>
    </row>
    <row r="21" spans="1:14" x14ac:dyDescent="0.25">
      <c r="A21" s="149" t="s">
        <v>49</v>
      </c>
      <c r="B21" s="150">
        <f t="shared" si="0"/>
        <v>20</v>
      </c>
      <c r="C21" s="151">
        <v>12</v>
      </c>
      <c r="D21" s="150">
        <v>2021</v>
      </c>
      <c r="E21" s="163">
        <f>'FS Jimbaran December 2021'!P31</f>
        <v>16120.00000000026</v>
      </c>
      <c r="F21" s="161">
        <f>'FS Jimbaran December 2021'!O31/'FS Jimbaran December 2021'!P31</f>
        <v>1184.0468951612863</v>
      </c>
      <c r="G21" s="163">
        <f>'FS Jimbaran December 2021'!AG31</f>
        <v>162</v>
      </c>
      <c r="H21" s="161">
        <f>'FS Jimbaran December 2021'!AH31/'FS Jimbaran December 2021'!AG31</f>
        <v>16052.469135802468</v>
      </c>
      <c r="I21" s="163">
        <f>'FS Jimbaran December 2021'!AJ31</f>
        <v>427.58000000000175</v>
      </c>
      <c r="J21" s="153">
        <f>'FS Jimbaran December 2021'!AK31/'FS Jimbaran December 2021'!AJ31</f>
        <v>11999.999999999998</v>
      </c>
      <c r="K21" s="163">
        <f>'FS Jimbaran December 2021'!V31</f>
        <v>764</v>
      </c>
      <c r="L21" s="161">
        <f>'FS Jimbaran December 2021'!AA31/'FS Jimbaran December 2021'!V31</f>
        <v>8458.3126505506207</v>
      </c>
      <c r="M21" s="163">
        <f>+'RNs &amp; Covers December 2021'!B25</f>
        <v>26</v>
      </c>
      <c r="N21" s="163">
        <f>+'RNs &amp; Covers December 2021'!C25</f>
        <v>172</v>
      </c>
    </row>
    <row r="22" spans="1:14" x14ac:dyDescent="0.25">
      <c r="A22" s="149" t="s">
        <v>49</v>
      </c>
      <c r="B22" s="150">
        <f t="shared" si="0"/>
        <v>21</v>
      </c>
      <c r="C22" s="151">
        <v>12</v>
      </c>
      <c r="D22" s="150">
        <v>2021</v>
      </c>
      <c r="E22" s="163">
        <f>'FS Jimbaran December 2021'!P32</f>
        <v>0</v>
      </c>
      <c r="F22" s="161" t="e">
        <f>'FS Jimbaran December 2021'!O32/'FS Jimbaran December 2021'!P32</f>
        <v>#DIV/0!</v>
      </c>
      <c r="G22" s="163">
        <f>'FS Jimbaran December 2021'!AG32</f>
        <v>0</v>
      </c>
      <c r="H22" s="161" t="e">
        <f>'FS Jimbaran December 2021'!AH32/'FS Jimbaran December 2021'!AG32</f>
        <v>#DIV/0!</v>
      </c>
      <c r="I22" s="163">
        <f>'FS Jimbaran December 2021'!AJ32</f>
        <v>0</v>
      </c>
      <c r="J22" s="153" t="e">
        <f>'FS Jimbaran December 2021'!AK32/'FS Jimbaran December 2021'!AJ32</f>
        <v>#DIV/0!</v>
      </c>
      <c r="K22" s="163">
        <f>'FS Jimbaran December 2021'!V32</f>
        <v>0</v>
      </c>
      <c r="L22" s="161" t="e">
        <f>'FS Jimbaran December 2021'!AA32/'FS Jimbaran December 2021'!V32</f>
        <v>#DIV/0!</v>
      </c>
      <c r="M22" s="163">
        <f>+'RNs &amp; Covers December 2021'!B26</f>
        <v>0</v>
      </c>
      <c r="N22" s="163">
        <f>+'RNs &amp; Covers December 2021'!C26</f>
        <v>0</v>
      </c>
    </row>
    <row r="23" spans="1:14" x14ac:dyDescent="0.25">
      <c r="A23" s="149" t="s">
        <v>49</v>
      </c>
      <c r="B23" s="150">
        <f t="shared" si="0"/>
        <v>22</v>
      </c>
      <c r="C23" s="151">
        <v>12</v>
      </c>
      <c r="D23" s="150">
        <v>2021</v>
      </c>
      <c r="E23" s="163">
        <f>'FS Jimbaran December 2021'!P33</f>
        <v>0</v>
      </c>
      <c r="F23" s="161" t="e">
        <f>'FS Jimbaran December 2021'!O33/'FS Jimbaran December 2021'!P33</f>
        <v>#DIV/0!</v>
      </c>
      <c r="G23" s="163">
        <f>'FS Jimbaran December 2021'!AG33</f>
        <v>0</v>
      </c>
      <c r="H23" s="161" t="e">
        <f>'FS Jimbaran December 2021'!AH33/'FS Jimbaran December 2021'!AG33</f>
        <v>#DIV/0!</v>
      </c>
      <c r="I23" s="163">
        <f>'FS Jimbaran December 2021'!AJ33</f>
        <v>0</v>
      </c>
      <c r="J23" s="153" t="e">
        <f>'FS Jimbaran December 2021'!AK33/'FS Jimbaran December 2021'!AJ33</f>
        <v>#DIV/0!</v>
      </c>
      <c r="K23" s="163">
        <f>'FS Jimbaran December 2021'!V33</f>
        <v>0</v>
      </c>
      <c r="L23" s="161" t="e">
        <f>'FS Jimbaran December 2021'!AA33/'FS Jimbaran December 2021'!V33</f>
        <v>#DIV/0!</v>
      </c>
      <c r="M23" s="163">
        <f>+'RNs &amp; Covers December 2021'!B27</f>
        <v>0</v>
      </c>
      <c r="N23" s="163">
        <f>+'RNs &amp; Covers December 2021'!C27</f>
        <v>0</v>
      </c>
    </row>
    <row r="24" spans="1:14" x14ac:dyDescent="0.25">
      <c r="A24" s="149" t="s">
        <v>49</v>
      </c>
      <c r="B24" s="150">
        <f t="shared" si="0"/>
        <v>23</v>
      </c>
      <c r="C24" s="151">
        <v>12</v>
      </c>
      <c r="D24" s="150">
        <v>2021</v>
      </c>
      <c r="E24" s="163">
        <f>'FS Jimbaran December 2021'!P34</f>
        <v>0</v>
      </c>
      <c r="F24" s="161" t="e">
        <f>'FS Jimbaran December 2021'!O34/'FS Jimbaran December 2021'!P34</f>
        <v>#DIV/0!</v>
      </c>
      <c r="G24" s="163">
        <f>'FS Jimbaran December 2021'!AG34</f>
        <v>0</v>
      </c>
      <c r="H24" s="161" t="e">
        <f>'FS Jimbaran December 2021'!AH34/'FS Jimbaran December 2021'!AG34</f>
        <v>#DIV/0!</v>
      </c>
      <c r="I24" s="163">
        <f>'FS Jimbaran December 2021'!AJ34</f>
        <v>0</v>
      </c>
      <c r="J24" s="153" t="e">
        <f>'FS Jimbaran December 2021'!AK34/'FS Jimbaran December 2021'!AJ34</f>
        <v>#DIV/0!</v>
      </c>
      <c r="K24" s="163">
        <f>'FS Jimbaran December 2021'!V34</f>
        <v>0</v>
      </c>
      <c r="L24" s="161" t="e">
        <f>'FS Jimbaran December 2021'!AA34/'FS Jimbaran December 2021'!V34</f>
        <v>#DIV/0!</v>
      </c>
      <c r="M24" s="163">
        <f>+'RNs &amp; Covers December 2021'!B28</f>
        <v>0</v>
      </c>
      <c r="N24" s="163">
        <f>+'RNs &amp; Covers December 2021'!C28</f>
        <v>0</v>
      </c>
    </row>
    <row r="25" spans="1:14" x14ac:dyDescent="0.25">
      <c r="A25" s="149" t="s">
        <v>49</v>
      </c>
      <c r="B25" s="150">
        <f t="shared" si="0"/>
        <v>24</v>
      </c>
      <c r="C25" s="151">
        <v>12</v>
      </c>
      <c r="D25" s="150">
        <v>2021</v>
      </c>
      <c r="E25" s="163">
        <f>'FS Jimbaran December 2021'!P35</f>
        <v>0</v>
      </c>
      <c r="F25" s="161" t="e">
        <f>'FS Jimbaran December 2021'!O35/'FS Jimbaran December 2021'!P35</f>
        <v>#DIV/0!</v>
      </c>
      <c r="G25" s="163">
        <f>'FS Jimbaran December 2021'!AG35</f>
        <v>0</v>
      </c>
      <c r="H25" s="161" t="e">
        <f>'FS Jimbaran December 2021'!AH35/'FS Jimbaran December 2021'!AG35</f>
        <v>#DIV/0!</v>
      </c>
      <c r="I25" s="163">
        <f>'FS Jimbaran December 2021'!AJ35</f>
        <v>0</v>
      </c>
      <c r="J25" s="153" t="e">
        <f>'FS Jimbaran December 2021'!AK35/'FS Jimbaran December 2021'!AJ35</f>
        <v>#DIV/0!</v>
      </c>
      <c r="K25" s="163">
        <f>'FS Jimbaran December 2021'!V35</f>
        <v>0</v>
      </c>
      <c r="L25" s="161" t="e">
        <f>'FS Jimbaran December 2021'!AA35/'FS Jimbaran December 2021'!V35</f>
        <v>#DIV/0!</v>
      </c>
      <c r="M25" s="163">
        <f>+'RNs &amp; Covers December 2021'!B29</f>
        <v>0</v>
      </c>
      <c r="N25" s="163">
        <f>+'RNs &amp; Covers December 2021'!C29</f>
        <v>0</v>
      </c>
    </row>
    <row r="26" spans="1:14" x14ac:dyDescent="0.25">
      <c r="A26" s="149" t="s">
        <v>49</v>
      </c>
      <c r="B26" s="150">
        <f>B25+1</f>
        <v>25</v>
      </c>
      <c r="C26" s="151">
        <v>12</v>
      </c>
      <c r="D26" s="150">
        <v>2021</v>
      </c>
      <c r="E26" s="163">
        <f>'FS Jimbaran December 2021'!P36</f>
        <v>0</v>
      </c>
      <c r="F26" s="161" t="e">
        <f>'FS Jimbaran December 2021'!O36/'FS Jimbaran December 2021'!P36</f>
        <v>#DIV/0!</v>
      </c>
      <c r="G26" s="163">
        <f>'FS Jimbaran December 2021'!AG36</f>
        <v>0</v>
      </c>
      <c r="H26" s="161" t="e">
        <f>'FS Jimbaran December 2021'!AH36/'FS Jimbaran December 2021'!AG36</f>
        <v>#DIV/0!</v>
      </c>
      <c r="I26" s="163">
        <f>'FS Jimbaran December 2021'!AJ36</f>
        <v>0</v>
      </c>
      <c r="J26" s="153" t="e">
        <f>'FS Jimbaran December 2021'!AK36/'FS Jimbaran December 2021'!AJ36</f>
        <v>#DIV/0!</v>
      </c>
      <c r="K26" s="163">
        <f>'FS Jimbaran December 2021'!V36</f>
        <v>0</v>
      </c>
      <c r="L26" s="161" t="e">
        <f>'FS Jimbaran December 2021'!AA36/'FS Jimbaran December 2021'!V36</f>
        <v>#DIV/0!</v>
      </c>
      <c r="M26" s="163">
        <f>+'RNs &amp; Covers December 2021'!B30</f>
        <v>0</v>
      </c>
      <c r="N26" s="163">
        <f>+'RNs &amp; Covers December 2021'!C30</f>
        <v>0</v>
      </c>
    </row>
    <row r="27" spans="1:14" x14ac:dyDescent="0.25">
      <c r="A27" s="149" t="s">
        <v>49</v>
      </c>
      <c r="B27" s="150">
        <f t="shared" si="0"/>
        <v>26</v>
      </c>
      <c r="C27" s="151">
        <v>12</v>
      </c>
      <c r="D27" s="150">
        <v>2021</v>
      </c>
      <c r="E27" s="163">
        <f>'FS Jimbaran December 2021'!P37</f>
        <v>0</v>
      </c>
      <c r="F27" s="161" t="e">
        <f>'FS Jimbaran December 2021'!O37/'FS Jimbaran December 2021'!P37</f>
        <v>#DIV/0!</v>
      </c>
      <c r="G27" s="163">
        <f>'FS Jimbaran December 2021'!AG37</f>
        <v>0</v>
      </c>
      <c r="H27" s="161" t="e">
        <f>'FS Jimbaran December 2021'!AH37/'FS Jimbaran December 2021'!AG37</f>
        <v>#DIV/0!</v>
      </c>
      <c r="I27" s="163">
        <f>'FS Jimbaran December 2021'!AJ37</f>
        <v>0</v>
      </c>
      <c r="J27" s="153" t="e">
        <f>'FS Jimbaran December 2021'!AK37/'FS Jimbaran December 2021'!AJ37</f>
        <v>#DIV/0!</v>
      </c>
      <c r="K27" s="163">
        <f>'FS Jimbaran December 2021'!V37</f>
        <v>0</v>
      </c>
      <c r="L27" s="161" t="e">
        <f>'FS Jimbaran December 2021'!AA37/'FS Jimbaran December 2021'!V37</f>
        <v>#DIV/0!</v>
      </c>
      <c r="M27" s="163">
        <f>+'RNs &amp; Covers December 2021'!B31</f>
        <v>0</v>
      </c>
      <c r="N27" s="163">
        <f>+'RNs &amp; Covers December 2021'!C31</f>
        <v>0</v>
      </c>
    </row>
    <row r="28" spans="1:14" x14ac:dyDescent="0.25">
      <c r="A28" s="149" t="s">
        <v>49</v>
      </c>
      <c r="B28" s="150">
        <f t="shared" si="0"/>
        <v>27</v>
      </c>
      <c r="C28" s="151">
        <v>12</v>
      </c>
      <c r="D28" s="150">
        <v>2021</v>
      </c>
      <c r="E28" s="163">
        <f>'FS Jimbaran December 2021'!P38</f>
        <v>0</v>
      </c>
      <c r="F28" s="161" t="e">
        <f>'FS Jimbaran December 2021'!O38/'FS Jimbaran December 2021'!P38</f>
        <v>#DIV/0!</v>
      </c>
      <c r="G28" s="163">
        <f>'FS Jimbaran December 2021'!AG38</f>
        <v>0</v>
      </c>
      <c r="H28" s="161" t="e">
        <f>'FS Jimbaran December 2021'!AH38/'FS Jimbaran December 2021'!AG38</f>
        <v>#DIV/0!</v>
      </c>
      <c r="I28" s="163">
        <f>'FS Jimbaran December 2021'!AJ38</f>
        <v>0</v>
      </c>
      <c r="J28" s="153" t="e">
        <f>'FS Jimbaran December 2021'!AK38/'FS Jimbaran December 2021'!AJ38</f>
        <v>#DIV/0!</v>
      </c>
      <c r="K28" s="163">
        <f>'FS Jimbaran December 2021'!V38</f>
        <v>0</v>
      </c>
      <c r="L28" s="161" t="e">
        <f>'FS Jimbaran December 2021'!AA38/'FS Jimbaran December 2021'!V38</f>
        <v>#DIV/0!</v>
      </c>
      <c r="M28" s="163">
        <f>+'RNs &amp; Covers December 2021'!B32</f>
        <v>0</v>
      </c>
      <c r="N28" s="163">
        <f>+'RNs &amp; Covers December 2021'!C32</f>
        <v>0</v>
      </c>
    </row>
    <row r="29" spans="1:14" x14ac:dyDescent="0.25">
      <c r="A29" s="149" t="s">
        <v>49</v>
      </c>
      <c r="B29" s="150">
        <f t="shared" si="0"/>
        <v>28</v>
      </c>
      <c r="C29" s="151">
        <v>12</v>
      </c>
      <c r="D29" s="150">
        <v>2021</v>
      </c>
      <c r="E29" s="163">
        <f>'FS Jimbaran December 2021'!P39</f>
        <v>0</v>
      </c>
      <c r="F29" s="161" t="e">
        <f>'FS Jimbaran December 2021'!O39/'FS Jimbaran December 2021'!P39</f>
        <v>#DIV/0!</v>
      </c>
      <c r="G29" s="163">
        <f>'FS Jimbaran December 2021'!AG39</f>
        <v>0</v>
      </c>
      <c r="H29" s="161" t="e">
        <f>'FS Jimbaran December 2021'!AH39/'FS Jimbaran December 2021'!AG39</f>
        <v>#DIV/0!</v>
      </c>
      <c r="I29" s="163">
        <f>'FS Jimbaran December 2021'!AJ39</f>
        <v>0</v>
      </c>
      <c r="J29" s="153" t="e">
        <f>'FS Jimbaran December 2021'!AK39/'FS Jimbaran December 2021'!AJ39</f>
        <v>#DIV/0!</v>
      </c>
      <c r="K29" s="163">
        <f>'FS Jimbaran December 2021'!V39</f>
        <v>0</v>
      </c>
      <c r="L29" s="161" t="e">
        <f>'FS Jimbaran December 2021'!AA39/'FS Jimbaran December 2021'!V39</f>
        <v>#DIV/0!</v>
      </c>
      <c r="M29" s="163">
        <f>+'RNs &amp; Covers December 2021'!B33</f>
        <v>0</v>
      </c>
      <c r="N29" s="163">
        <f>+'RNs &amp; Covers December 2021'!C33</f>
        <v>0</v>
      </c>
    </row>
    <row r="30" spans="1:14" x14ac:dyDescent="0.25">
      <c r="A30" s="149" t="s">
        <v>49</v>
      </c>
      <c r="B30" s="150">
        <f t="shared" si="0"/>
        <v>29</v>
      </c>
      <c r="C30" s="151">
        <v>12</v>
      </c>
      <c r="D30" s="150">
        <v>2021</v>
      </c>
      <c r="E30" s="163">
        <f>'FS Jimbaran December 2021'!P40</f>
        <v>0</v>
      </c>
      <c r="F30" s="161" t="e">
        <f>'FS Jimbaran December 2021'!O40/'FS Jimbaran December 2021'!P40</f>
        <v>#DIV/0!</v>
      </c>
      <c r="G30" s="163">
        <f>'FS Jimbaran December 2021'!AG40</f>
        <v>0</v>
      </c>
      <c r="H30" s="161" t="e">
        <f>'FS Jimbaran December 2021'!AH40/'FS Jimbaran December 2021'!AG40</f>
        <v>#DIV/0!</v>
      </c>
      <c r="I30" s="163">
        <f>'FS Jimbaran December 2021'!AJ40</f>
        <v>0</v>
      </c>
      <c r="J30" s="153" t="e">
        <f>'FS Jimbaran December 2021'!AK40/'FS Jimbaran December 2021'!AJ40</f>
        <v>#DIV/0!</v>
      </c>
      <c r="K30" s="163">
        <f>'FS Jimbaran December 2021'!V40</f>
        <v>0</v>
      </c>
      <c r="L30" s="161" t="e">
        <f>'FS Jimbaran December 2021'!AA40/'FS Jimbaran December 2021'!V40</f>
        <v>#DIV/0!</v>
      </c>
      <c r="M30" s="163">
        <f>+'RNs &amp; Covers December 2021'!B34</f>
        <v>0</v>
      </c>
      <c r="N30" s="163">
        <f>+'RNs &amp; Covers December 2021'!C34</f>
        <v>0</v>
      </c>
    </row>
    <row r="31" spans="1:14" x14ac:dyDescent="0.25">
      <c r="A31" s="149" t="s">
        <v>49</v>
      </c>
      <c r="B31" s="150">
        <f t="shared" si="0"/>
        <v>30</v>
      </c>
      <c r="C31" s="151">
        <v>12</v>
      </c>
      <c r="D31" s="150">
        <v>2021</v>
      </c>
      <c r="E31" s="163">
        <f>'FS Jimbaran December 2021'!P41</f>
        <v>0</v>
      </c>
      <c r="F31" s="161" t="e">
        <f>'FS Jimbaran December 2021'!O41/'FS Jimbaran December 2021'!P41</f>
        <v>#DIV/0!</v>
      </c>
      <c r="G31" s="163">
        <f>'FS Jimbaran December 2021'!AG41</f>
        <v>0</v>
      </c>
      <c r="H31" s="161" t="e">
        <f>'FS Jimbaran December 2021'!AH41/'FS Jimbaran December 2021'!AG41</f>
        <v>#DIV/0!</v>
      </c>
      <c r="I31" s="163">
        <f>'FS Jimbaran December 2021'!AJ41</f>
        <v>0</v>
      </c>
      <c r="J31" s="153" t="e">
        <f>'FS Jimbaran December 2021'!AK41/'FS Jimbaran December 2021'!AJ41</f>
        <v>#DIV/0!</v>
      </c>
      <c r="K31" s="163">
        <f>'FS Jimbaran December 2021'!V41</f>
        <v>0</v>
      </c>
      <c r="L31" s="161" t="e">
        <f>'FS Jimbaran December 2021'!AA41/'FS Jimbaran December 2021'!V41</f>
        <v>#DIV/0!</v>
      </c>
      <c r="M31" s="163">
        <f>+'RNs &amp; Covers December 2021'!B35</f>
        <v>0</v>
      </c>
      <c r="N31" s="163">
        <f>+'RNs &amp; Covers December 2021'!C35</f>
        <v>0</v>
      </c>
    </row>
    <row r="32" spans="1:14" x14ac:dyDescent="0.25">
      <c r="A32" s="149" t="s">
        <v>49</v>
      </c>
      <c r="B32" s="150">
        <f t="shared" si="0"/>
        <v>31</v>
      </c>
      <c r="C32" s="151">
        <v>12</v>
      </c>
      <c r="D32" s="150">
        <v>2021</v>
      </c>
      <c r="E32" s="163">
        <f>'FS Jimbaran December 2021'!P42</f>
        <v>0</v>
      </c>
      <c r="F32" s="161" t="e">
        <f>'FS Jimbaran December 2021'!O42/'FS Jimbaran December 2021'!P42</f>
        <v>#DIV/0!</v>
      </c>
      <c r="G32" s="163">
        <f>'FS Jimbaran December 2021'!AG42</f>
        <v>0</v>
      </c>
      <c r="H32" s="161" t="e">
        <f>'FS Jimbaran December 2021'!AH42/'FS Jimbaran December 2021'!AG42</f>
        <v>#DIV/0!</v>
      </c>
      <c r="I32" s="163">
        <f>'FS Jimbaran December 2021'!AJ42</f>
        <v>0</v>
      </c>
      <c r="J32" s="153" t="e">
        <f>'FS Jimbaran December 2021'!AK42/'FS Jimbaran December 2021'!AJ42</f>
        <v>#DIV/0!</v>
      </c>
      <c r="K32" s="163">
        <f>'FS Jimbaran December 2021'!V42</f>
        <v>0</v>
      </c>
      <c r="L32" s="161" t="e">
        <f>'FS Jimbaran December 2021'!AA42/'FS Jimbaran December 2021'!V42</f>
        <v>#DIV/0!</v>
      </c>
      <c r="M32" s="163">
        <f>+'RNs &amp; Covers December 2021'!B36</f>
        <v>0</v>
      </c>
      <c r="N32" s="163">
        <f>+'RNs &amp; Covers December 2021'!C36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zoomScale="62" zoomScaleNormal="62" workbookViewId="0">
      <pane xSplit="4" ySplit="10" topLeftCell="Z11" activePane="bottomRight" state="frozen"/>
      <selection pane="topRight" activeCell="E1" sqref="E1"/>
      <selection pane="bottomLeft" activeCell="A11" sqref="A11"/>
      <selection pane="bottomRight" activeCell="C12" sqref="C12:D31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14.42578125" bestFit="1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2" bestFit="1" customWidth="1"/>
    <col min="14" max="14" width="20.42578125" style="66" customWidth="1"/>
    <col min="15" max="15" width="18.85546875" customWidth="1"/>
    <col min="16" max="16" width="15.140625" style="66" customWidth="1"/>
    <col min="17" max="17" width="19.7109375" customWidth="1"/>
    <col min="18" max="18" width="18.140625" style="87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7" bestFit="1" customWidth="1"/>
    <col min="37" max="37" width="20.7109375" bestFit="1" customWidth="1"/>
    <col min="38" max="38" width="9.42578125" style="39" bestFit="1" customWidth="1"/>
    <col min="39" max="39" width="2.28515625" style="15" customWidth="1"/>
  </cols>
  <sheetData>
    <row r="5" spans="1:39" x14ac:dyDescent="0.25">
      <c r="N5" s="164"/>
      <c r="X5" s="165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7"/>
      <c r="N6" s="63"/>
      <c r="P6" s="63"/>
      <c r="R6" s="83"/>
      <c r="AD6" s="34"/>
      <c r="AH6" s="34"/>
      <c r="AJ6" s="83"/>
      <c r="AL6" s="36"/>
    </row>
    <row r="7" spans="1:39" s="12" customFormat="1" ht="16.5" thickBot="1" x14ac:dyDescent="0.3">
      <c r="A7" s="30"/>
      <c r="B7" s="226" t="s">
        <v>55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  <c r="AA7" s="227"/>
      <c r="AB7" s="227"/>
      <c r="AC7" s="227"/>
      <c r="AD7" s="227"/>
      <c r="AE7" s="227"/>
      <c r="AF7" s="227"/>
      <c r="AG7" s="227"/>
      <c r="AH7" s="227"/>
      <c r="AI7" s="227"/>
      <c r="AJ7" s="227"/>
      <c r="AK7" s="227"/>
      <c r="AL7" s="228"/>
      <c r="AM7" s="30"/>
    </row>
    <row r="8" spans="1:39" s="8" customFormat="1" ht="15.75" customHeight="1" thickBot="1" x14ac:dyDescent="0.3">
      <c r="A8" s="26"/>
      <c r="B8" s="229" t="s">
        <v>1</v>
      </c>
      <c r="C8" s="232" t="s">
        <v>2</v>
      </c>
      <c r="D8" s="235" t="s">
        <v>3</v>
      </c>
      <c r="E8" s="238" t="s">
        <v>34</v>
      </c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8"/>
      <c r="S8" s="238"/>
      <c r="T8" s="238"/>
      <c r="U8" s="239"/>
      <c r="V8" s="240" t="s">
        <v>19</v>
      </c>
      <c r="W8" s="241"/>
      <c r="X8" s="241"/>
      <c r="Y8" s="241"/>
      <c r="Z8" s="241"/>
      <c r="AA8" s="241"/>
      <c r="AB8" s="242"/>
      <c r="AC8" s="243" t="s">
        <v>24</v>
      </c>
      <c r="AD8" s="243"/>
      <c r="AE8" s="243"/>
      <c r="AF8" s="243"/>
      <c r="AG8" s="243"/>
      <c r="AH8" s="243"/>
      <c r="AI8" s="243"/>
      <c r="AJ8" s="243"/>
      <c r="AK8" s="243"/>
      <c r="AL8" s="244"/>
      <c r="AM8" s="28"/>
    </row>
    <row r="9" spans="1:39" ht="15" customHeight="1" thickBot="1" x14ac:dyDescent="0.3">
      <c r="A9" s="29"/>
      <c r="B9" s="230"/>
      <c r="C9" s="233"/>
      <c r="D9" s="236"/>
      <c r="E9" s="245" t="s">
        <v>33</v>
      </c>
      <c r="F9" s="246"/>
      <c r="G9" s="246"/>
      <c r="H9" s="246"/>
      <c r="I9" s="247"/>
      <c r="J9" s="248" t="s">
        <v>5</v>
      </c>
      <c r="K9" s="248"/>
      <c r="L9" s="248"/>
      <c r="M9" s="248"/>
      <c r="N9" s="249"/>
      <c r="O9" s="235" t="s">
        <v>12</v>
      </c>
      <c r="P9" s="250" t="s">
        <v>32</v>
      </c>
      <c r="Q9" s="252" t="s">
        <v>51</v>
      </c>
      <c r="R9" s="257" t="s">
        <v>21</v>
      </c>
      <c r="S9" s="259" t="s">
        <v>13</v>
      </c>
      <c r="T9" s="261" t="s">
        <v>18</v>
      </c>
      <c r="U9" s="262"/>
      <c r="V9" s="51"/>
      <c r="W9" s="51" t="s">
        <v>4</v>
      </c>
      <c r="X9" s="51"/>
      <c r="Y9" s="52"/>
      <c r="Z9" s="207"/>
      <c r="AA9" s="263" t="s">
        <v>27</v>
      </c>
      <c r="AB9" s="264"/>
      <c r="AC9" s="243" t="s">
        <v>22</v>
      </c>
      <c r="AD9" s="243"/>
      <c r="AE9" s="243"/>
      <c r="AF9" s="243"/>
      <c r="AG9" s="243"/>
      <c r="AH9" s="243"/>
      <c r="AI9" s="244"/>
      <c r="AJ9" s="254" t="s">
        <v>20</v>
      </c>
      <c r="AK9" s="255"/>
      <c r="AL9" s="256"/>
      <c r="AM9" s="29"/>
    </row>
    <row r="10" spans="1:39" ht="61.5" customHeight="1" thickBot="1" x14ac:dyDescent="0.3">
      <c r="A10" s="27"/>
      <c r="B10" s="231"/>
      <c r="C10" s="234"/>
      <c r="D10" s="237"/>
      <c r="E10" s="95" t="s">
        <v>35</v>
      </c>
      <c r="F10" s="81" t="s">
        <v>6</v>
      </c>
      <c r="G10" s="124" t="s">
        <v>36</v>
      </c>
      <c r="H10" s="18" t="s">
        <v>6</v>
      </c>
      <c r="I10" s="96" t="s">
        <v>14</v>
      </c>
      <c r="J10" s="95" t="s">
        <v>35</v>
      </c>
      <c r="K10" s="82" t="s">
        <v>6</v>
      </c>
      <c r="L10" s="124" t="s">
        <v>36</v>
      </c>
      <c r="M10" s="58" t="s">
        <v>6</v>
      </c>
      <c r="N10" s="90" t="s">
        <v>15</v>
      </c>
      <c r="O10" s="237"/>
      <c r="P10" s="251"/>
      <c r="Q10" s="253"/>
      <c r="R10" s="258"/>
      <c r="S10" s="260"/>
      <c r="T10" s="167" t="s">
        <v>16</v>
      </c>
      <c r="U10" s="23" t="s">
        <v>17</v>
      </c>
      <c r="V10" s="168" t="s">
        <v>8</v>
      </c>
      <c r="W10" s="53" t="s">
        <v>0</v>
      </c>
      <c r="X10" s="53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18" t="s">
        <v>7</v>
      </c>
      <c r="AD10" s="46" t="s">
        <v>31</v>
      </c>
      <c r="AE10" s="45" t="s">
        <v>11</v>
      </c>
      <c r="AF10" s="45" t="s">
        <v>9</v>
      </c>
      <c r="AG10" s="45" t="s">
        <v>25</v>
      </c>
      <c r="AH10" s="46" t="s">
        <v>16</v>
      </c>
      <c r="AI10" s="47" t="s">
        <v>17</v>
      </c>
      <c r="AJ10" s="131" t="s">
        <v>23</v>
      </c>
      <c r="AK10" s="45" t="s">
        <v>16</v>
      </c>
      <c r="AL10" s="49" t="s">
        <v>17</v>
      </c>
      <c r="AM10" s="27"/>
    </row>
    <row r="11" spans="1:39" x14ac:dyDescent="0.25">
      <c r="A11" s="27"/>
      <c r="B11" s="55"/>
      <c r="C11" s="97"/>
      <c r="D11" s="169"/>
      <c r="E11" s="170"/>
      <c r="F11" s="88"/>
      <c r="G11" s="19"/>
      <c r="H11" s="20"/>
      <c r="I11" s="98"/>
      <c r="J11" s="89"/>
      <c r="K11" s="19"/>
      <c r="L11" s="20"/>
      <c r="M11" s="59"/>
      <c r="N11" s="91"/>
      <c r="O11" s="54"/>
      <c r="P11" s="103"/>
      <c r="Q11" s="171"/>
      <c r="R11" s="106"/>
      <c r="S11" s="172"/>
      <c r="T11" s="172"/>
      <c r="U11" s="206"/>
      <c r="V11" s="89"/>
      <c r="W11" s="19"/>
      <c r="X11" s="19"/>
      <c r="Y11" s="21"/>
      <c r="Z11" s="21"/>
      <c r="AA11" s="21"/>
      <c r="AB11" s="98"/>
      <c r="AC11" s="119"/>
      <c r="AD11" s="43"/>
      <c r="AE11" s="40"/>
      <c r="AF11" s="40"/>
      <c r="AG11" s="40"/>
      <c r="AH11" s="43"/>
      <c r="AI11" s="44"/>
      <c r="AJ11" s="132"/>
      <c r="AK11" s="40"/>
      <c r="AL11" s="48"/>
      <c r="AM11" s="27"/>
    </row>
    <row r="12" spans="1:39" x14ac:dyDescent="0.25">
      <c r="A12" s="33"/>
      <c r="B12" s="56">
        <v>1</v>
      </c>
      <c r="C12" s="140">
        <v>15</v>
      </c>
      <c r="D12" s="141">
        <v>97</v>
      </c>
      <c r="E12" s="100">
        <v>10880.000000000109</v>
      </c>
      <c r="F12" s="3">
        <v>11832750.720000118</v>
      </c>
      <c r="G12" s="35">
        <v>2200.0000000000455</v>
      </c>
      <c r="H12" s="3">
        <v>3588977.7000000747</v>
      </c>
      <c r="I12" s="99">
        <f>F12+H12</f>
        <v>15421728.420000192</v>
      </c>
      <c r="J12" s="100">
        <v>459.99999999997954</v>
      </c>
      <c r="K12" s="3">
        <v>500281.73999997776</v>
      </c>
      <c r="L12" s="173">
        <v>400.00000000000568</v>
      </c>
      <c r="M12" s="174">
        <v>652541.40000000934</v>
      </c>
      <c r="N12" s="92">
        <f>+K12+M12</f>
        <v>1152823.1399999871</v>
      </c>
      <c r="O12" s="101">
        <f>N12+I12</f>
        <v>16574551.560000179</v>
      </c>
      <c r="P12" s="104">
        <f>L12+J12+G12+E12</f>
        <v>13940.00000000014</v>
      </c>
      <c r="Q12" s="126"/>
      <c r="R12" s="188"/>
      <c r="S12" s="200"/>
      <c r="T12" s="197"/>
      <c r="U12" s="196">
        <v>0</v>
      </c>
      <c r="V12" s="175">
        <f>Y12+W12</f>
        <v>770</v>
      </c>
      <c r="W12" s="3">
        <v>211</v>
      </c>
      <c r="X12" s="3">
        <v>3792669.8923834087</v>
      </c>
      <c r="Y12" s="31">
        <v>559</v>
      </c>
      <c r="Z12" s="31">
        <v>2631387.716577136</v>
      </c>
      <c r="AA12" s="31">
        <f t="shared" ref="AA12:AA39" si="0">Z12+X12</f>
        <v>6424057.6089605447</v>
      </c>
      <c r="AB12" s="120">
        <f t="shared" ref="AB12:AB41" si="1">AA12/$AL$47</f>
        <v>495.06882342528024</v>
      </c>
      <c r="AC12" s="125">
        <v>0</v>
      </c>
      <c r="AD12" s="3">
        <v>0</v>
      </c>
      <c r="AE12" s="3">
        <v>100</v>
      </c>
      <c r="AF12" s="3">
        <v>0</v>
      </c>
      <c r="AG12" s="3">
        <f t="shared" ref="AG12:AG31" si="2">+AE12+AF12</f>
        <v>100</v>
      </c>
      <c r="AH12" s="3">
        <v>1642000</v>
      </c>
      <c r="AI12" s="41">
        <f t="shared" ref="AI12:AI41" si="3">AH12/$AL$47</f>
        <v>126.5404293589209</v>
      </c>
      <c r="AJ12" s="133">
        <v>296.45999999999185</v>
      </c>
      <c r="AK12" s="3">
        <v>3557519.9999999022</v>
      </c>
      <c r="AL12" s="37">
        <f t="shared" ref="AL12:AL41" si="4">AK12/$AL$47</f>
        <v>274.15962743784161</v>
      </c>
      <c r="AM12" s="7"/>
    </row>
    <row r="13" spans="1:39" x14ac:dyDescent="0.25">
      <c r="A13" s="33"/>
      <c r="B13" s="56">
        <v>2</v>
      </c>
      <c r="C13" s="140">
        <v>18</v>
      </c>
      <c r="D13" s="141">
        <v>135</v>
      </c>
      <c r="E13" s="100">
        <v>11559.999999999491</v>
      </c>
      <c r="F13" s="3">
        <v>12572297.639999446</v>
      </c>
      <c r="G13" s="35">
        <v>2519.9999999999818</v>
      </c>
      <c r="H13" s="3">
        <v>4111010.819999971</v>
      </c>
      <c r="I13" s="99">
        <f t="shared" ref="I13:I41" si="5">F13+H13</f>
        <v>16683308.459999416</v>
      </c>
      <c r="J13" s="100">
        <v>1399.9999999999773</v>
      </c>
      <c r="K13" s="3">
        <v>1522596.5999999754</v>
      </c>
      <c r="L13" s="173">
        <v>420.00000000001592</v>
      </c>
      <c r="M13" s="174">
        <v>685168.47000002593</v>
      </c>
      <c r="N13" s="92">
        <f t="shared" ref="N13:N41" si="6">+K13+M13</f>
        <v>2207765.0700000012</v>
      </c>
      <c r="O13" s="101">
        <f t="shared" ref="O13:O39" si="7">N13+I13</f>
        <v>18891073.529999416</v>
      </c>
      <c r="P13" s="104">
        <f t="shared" ref="P13:P39" si="8">L13+J13+G13+E13</f>
        <v>15899.999999999465</v>
      </c>
      <c r="Q13" s="178"/>
      <c r="R13" s="189"/>
      <c r="S13" s="200"/>
      <c r="T13" s="197"/>
      <c r="U13" s="196">
        <v>0</v>
      </c>
      <c r="V13" s="175">
        <f t="shared" ref="V13:V41" si="9">Y13+W13</f>
        <v>780</v>
      </c>
      <c r="W13" s="3">
        <v>214</v>
      </c>
      <c r="X13" s="3">
        <v>3846594.1088627935</v>
      </c>
      <c r="Y13" s="31">
        <v>566</v>
      </c>
      <c r="Z13" s="31">
        <v>2664338.90444125</v>
      </c>
      <c r="AA13" s="31">
        <f t="shared" si="0"/>
        <v>6510933.0133040436</v>
      </c>
      <c r="AB13" s="120">
        <f t="shared" si="1"/>
        <v>501.76386055460802</v>
      </c>
      <c r="AC13" s="125">
        <v>0</v>
      </c>
      <c r="AD13" s="3">
        <v>0</v>
      </c>
      <c r="AE13" s="3">
        <v>100</v>
      </c>
      <c r="AF13" s="3">
        <v>12</v>
      </c>
      <c r="AG13" s="3">
        <f t="shared" si="2"/>
        <v>112</v>
      </c>
      <c r="AH13" s="3">
        <v>1779500</v>
      </c>
      <c r="AI13" s="41">
        <f t="shared" si="3"/>
        <v>137.13684168343468</v>
      </c>
      <c r="AJ13" s="133">
        <v>173.95000000001164</v>
      </c>
      <c r="AK13" s="3">
        <v>2087400.0000001397</v>
      </c>
      <c r="AL13" s="37">
        <f t="shared" si="4"/>
        <v>160.86509880866575</v>
      </c>
      <c r="AM13" s="7"/>
    </row>
    <row r="14" spans="1:39" x14ac:dyDescent="0.25">
      <c r="A14" s="33"/>
      <c r="B14" s="56">
        <v>3</v>
      </c>
      <c r="C14" s="140">
        <v>14</v>
      </c>
      <c r="D14" s="141">
        <v>162</v>
      </c>
      <c r="E14" s="100">
        <v>11520.000000000437</v>
      </c>
      <c r="F14" s="3">
        <v>12528794.880000476</v>
      </c>
      <c r="G14" s="35">
        <v>2159.9999999999682</v>
      </c>
      <c r="H14" s="3">
        <v>3523723.5599999484</v>
      </c>
      <c r="I14" s="99">
        <f t="shared" si="5"/>
        <v>16052518.440000424</v>
      </c>
      <c r="J14" s="100">
        <v>1600.0000000000227</v>
      </c>
      <c r="K14" s="3">
        <v>1740110.4000000248</v>
      </c>
      <c r="L14" s="173">
        <v>479.99999999998977</v>
      </c>
      <c r="M14" s="174">
        <v>783049.6799999834</v>
      </c>
      <c r="N14" s="92">
        <f t="shared" si="6"/>
        <v>2523160.0800000085</v>
      </c>
      <c r="O14" s="101">
        <f t="shared" si="7"/>
        <v>18575678.520000432</v>
      </c>
      <c r="P14" s="104">
        <f t="shared" si="8"/>
        <v>15760.000000000418</v>
      </c>
      <c r="Q14" s="178"/>
      <c r="R14" s="189"/>
      <c r="S14" s="200"/>
      <c r="T14" s="197"/>
      <c r="U14" s="196">
        <v>0</v>
      </c>
      <c r="V14" s="175">
        <f t="shared" si="9"/>
        <v>769</v>
      </c>
      <c r="W14" s="3">
        <v>211</v>
      </c>
      <c r="X14" s="3">
        <v>3792669.8923834087</v>
      </c>
      <c r="Y14" s="31">
        <v>558</v>
      </c>
      <c r="Z14" s="31">
        <v>2626680.4040251193</v>
      </c>
      <c r="AA14" s="31">
        <f t="shared" si="0"/>
        <v>6419350.2964085285</v>
      </c>
      <c r="AB14" s="120">
        <f t="shared" si="1"/>
        <v>494.70605524534187</v>
      </c>
      <c r="AC14" s="125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1779500</v>
      </c>
      <c r="AI14" s="41">
        <f t="shared" si="3"/>
        <v>137.13684168343468</v>
      </c>
      <c r="AJ14" s="133">
        <v>330.91999999999825</v>
      </c>
      <c r="AK14" s="3">
        <v>3971039.999999979</v>
      </c>
      <c r="AL14" s="37">
        <f t="shared" si="4"/>
        <v>306.02747052463252</v>
      </c>
      <c r="AM14" s="7"/>
    </row>
    <row r="15" spans="1:39" x14ac:dyDescent="0.25">
      <c r="A15" s="33"/>
      <c r="B15" s="56">
        <v>4</v>
      </c>
      <c r="C15" s="140">
        <v>9</v>
      </c>
      <c r="D15" s="141">
        <v>119</v>
      </c>
      <c r="E15" s="100">
        <v>10920.000000000073</v>
      </c>
      <c r="F15" s="3">
        <v>11876253.480000081</v>
      </c>
      <c r="G15" s="35">
        <v>2080.0000000000409</v>
      </c>
      <c r="H15" s="3">
        <v>3393215.2800000673</v>
      </c>
      <c r="I15" s="99">
        <f t="shared" si="5"/>
        <v>15269468.760000147</v>
      </c>
      <c r="J15" s="100">
        <v>1500</v>
      </c>
      <c r="K15" s="3">
        <v>1631353.5</v>
      </c>
      <c r="L15" s="173">
        <v>340.00000000000341</v>
      </c>
      <c r="M15" s="174">
        <v>554660.19000000553</v>
      </c>
      <c r="N15" s="92">
        <f t="shared" si="6"/>
        <v>2186013.6900000055</v>
      </c>
      <c r="O15" s="101">
        <f t="shared" si="7"/>
        <v>17455482.450000152</v>
      </c>
      <c r="P15" s="104">
        <f t="shared" si="8"/>
        <v>14840.000000000116</v>
      </c>
      <c r="Q15" s="178"/>
      <c r="R15" s="189"/>
      <c r="S15" s="200"/>
      <c r="T15" s="197"/>
      <c r="U15" s="196">
        <v>0</v>
      </c>
      <c r="V15" s="175">
        <f t="shared" si="9"/>
        <v>477</v>
      </c>
      <c r="W15" s="3">
        <v>76</v>
      </c>
      <c r="X15" s="3">
        <v>1366080.1508110857</v>
      </c>
      <c r="Y15" s="31">
        <v>401</v>
      </c>
      <c r="Z15" s="31">
        <v>1887632.3333585535</v>
      </c>
      <c r="AA15" s="31">
        <f t="shared" si="0"/>
        <v>3253712.4841696392</v>
      </c>
      <c r="AB15" s="120">
        <f t="shared" si="1"/>
        <v>250.74675685585098</v>
      </c>
      <c r="AC15" s="125">
        <v>0</v>
      </c>
      <c r="AD15" s="3">
        <v>0</v>
      </c>
      <c r="AE15" s="3">
        <v>100</v>
      </c>
      <c r="AF15" s="3">
        <v>12</v>
      </c>
      <c r="AG15" s="3">
        <f t="shared" si="2"/>
        <v>112</v>
      </c>
      <c r="AH15" s="3">
        <v>1779500</v>
      </c>
      <c r="AI15" s="41">
        <f t="shared" si="3"/>
        <v>137.13684168343468</v>
      </c>
      <c r="AJ15" s="133">
        <v>123.36000000001513</v>
      </c>
      <c r="AK15" s="3">
        <v>1480320.0000001816</v>
      </c>
      <c r="AL15" s="37">
        <f t="shared" si="4"/>
        <v>114.0805897616448</v>
      </c>
      <c r="AM15" s="7"/>
    </row>
    <row r="16" spans="1:39" x14ac:dyDescent="0.25">
      <c r="A16" s="33"/>
      <c r="B16" s="56">
        <v>5</v>
      </c>
      <c r="C16" s="140">
        <v>4</v>
      </c>
      <c r="D16" s="141">
        <v>136</v>
      </c>
      <c r="E16" s="100">
        <v>10239.999999999782</v>
      </c>
      <c r="F16" s="3">
        <v>11136706.559999764</v>
      </c>
      <c r="G16" s="35">
        <v>2039.9999999999636</v>
      </c>
      <c r="H16" s="3">
        <v>3327961.139999941</v>
      </c>
      <c r="I16" s="99">
        <f t="shared" si="5"/>
        <v>14464667.699999705</v>
      </c>
      <c r="J16" s="100">
        <v>1540.0000000000205</v>
      </c>
      <c r="K16" s="3">
        <v>1674856.2600000224</v>
      </c>
      <c r="L16" s="173">
        <v>459.99999999997954</v>
      </c>
      <c r="M16" s="174">
        <v>750422.60999996669</v>
      </c>
      <c r="N16" s="92">
        <f t="shared" si="6"/>
        <v>2425278.8699999889</v>
      </c>
      <c r="O16" s="101">
        <f t="shared" si="7"/>
        <v>16889946.569999695</v>
      </c>
      <c r="P16" s="104">
        <f t="shared" si="8"/>
        <v>14279.999999999745</v>
      </c>
      <c r="Q16" s="178"/>
      <c r="R16" s="189"/>
      <c r="S16" s="200"/>
      <c r="T16" s="197"/>
      <c r="U16" s="196">
        <v>0</v>
      </c>
      <c r="V16" s="175">
        <f t="shared" si="9"/>
        <v>647</v>
      </c>
      <c r="W16" s="3">
        <v>92</v>
      </c>
      <c r="X16" s="3">
        <v>1653675.972034472</v>
      </c>
      <c r="Y16" s="31">
        <v>555</v>
      </c>
      <c r="Z16" s="31">
        <v>2612558.4663690706</v>
      </c>
      <c r="AA16" s="31">
        <f t="shared" si="0"/>
        <v>4266234.4384035431</v>
      </c>
      <c r="AB16" s="120">
        <f t="shared" si="1"/>
        <v>328.77657587174127</v>
      </c>
      <c r="AC16" s="125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1779500</v>
      </c>
      <c r="AI16" s="41">
        <f t="shared" si="3"/>
        <v>137.13684168343468</v>
      </c>
      <c r="AJ16" s="133">
        <v>102.13999999999942</v>
      </c>
      <c r="AK16" s="3">
        <v>1225679.999999993</v>
      </c>
      <c r="AL16" s="37">
        <f t="shared" si="4"/>
        <v>94.456804784799814</v>
      </c>
      <c r="AM16" s="7"/>
    </row>
    <row r="17" spans="1:39" x14ac:dyDescent="0.25">
      <c r="A17" s="33"/>
      <c r="B17" s="56">
        <v>6</v>
      </c>
      <c r="C17" s="140">
        <v>12</v>
      </c>
      <c r="D17" s="141">
        <v>53</v>
      </c>
      <c r="E17" s="100">
        <v>9880.0000000001091</v>
      </c>
      <c r="F17" s="3">
        <v>10745181.720000118</v>
      </c>
      <c r="G17" s="35">
        <v>2120.0000000000045</v>
      </c>
      <c r="H17" s="3">
        <v>3458469.4200000078</v>
      </c>
      <c r="I17" s="99">
        <f t="shared" si="5"/>
        <v>14203651.140000125</v>
      </c>
      <c r="J17" s="100">
        <v>1439.9999999999977</v>
      </c>
      <c r="K17" s="3">
        <v>1566099.3599999975</v>
      </c>
      <c r="L17" s="173">
        <v>360.00000000001364</v>
      </c>
      <c r="M17" s="174">
        <v>587287.26000002236</v>
      </c>
      <c r="N17" s="92">
        <f t="shared" si="6"/>
        <v>2153386.6200000197</v>
      </c>
      <c r="O17" s="101">
        <f t="shared" si="7"/>
        <v>16357037.760000145</v>
      </c>
      <c r="P17" s="104">
        <f t="shared" si="8"/>
        <v>13800.000000000126</v>
      </c>
      <c r="Q17" s="178"/>
      <c r="R17" s="189"/>
      <c r="S17" s="200"/>
      <c r="T17" s="197"/>
      <c r="U17" s="196">
        <v>0</v>
      </c>
      <c r="V17" s="175">
        <f t="shared" si="9"/>
        <v>752</v>
      </c>
      <c r="W17" s="3">
        <v>210</v>
      </c>
      <c r="X17" s="3">
        <v>3774695.1535569471</v>
      </c>
      <c r="Y17" s="31">
        <v>542</v>
      </c>
      <c r="Z17" s="31">
        <v>2551363.4031928577</v>
      </c>
      <c r="AA17" s="31">
        <f t="shared" si="0"/>
        <v>6326058.5567498049</v>
      </c>
      <c r="AB17" s="120">
        <f t="shared" si="1"/>
        <v>487.5165444097417</v>
      </c>
      <c r="AC17" s="125">
        <v>0</v>
      </c>
      <c r="AD17" s="3">
        <v>0</v>
      </c>
      <c r="AE17" s="3">
        <v>50</v>
      </c>
      <c r="AF17" s="3">
        <v>0</v>
      </c>
      <c r="AG17" s="3">
        <f t="shared" si="2"/>
        <v>50</v>
      </c>
      <c r="AH17" s="3">
        <v>821000</v>
      </c>
      <c r="AI17" s="41">
        <f t="shared" si="3"/>
        <v>63.270214679460452</v>
      </c>
      <c r="AJ17" s="133">
        <v>309.22000000000116</v>
      </c>
      <c r="AK17" s="3">
        <v>3710640.000000014</v>
      </c>
      <c r="AL17" s="37">
        <f t="shared" si="4"/>
        <v>285.95979220242879</v>
      </c>
      <c r="AM17" s="7"/>
    </row>
    <row r="18" spans="1:39" x14ac:dyDescent="0.25">
      <c r="A18" s="33"/>
      <c r="B18" s="56">
        <v>7</v>
      </c>
      <c r="C18" s="140">
        <v>10</v>
      </c>
      <c r="D18" s="141">
        <v>79</v>
      </c>
      <c r="E18" s="100">
        <v>9920.0000000000728</v>
      </c>
      <c r="F18" s="3">
        <v>10788684.480000081</v>
      </c>
      <c r="G18" s="35">
        <v>2080.0000000000409</v>
      </c>
      <c r="H18" s="3">
        <v>3393215.2800000673</v>
      </c>
      <c r="I18" s="99">
        <f t="shared" si="5"/>
        <v>14181899.760000147</v>
      </c>
      <c r="J18" s="100">
        <v>1479.9999999999613</v>
      </c>
      <c r="K18" s="3">
        <v>1609602.119999958</v>
      </c>
      <c r="L18" s="173">
        <v>379.99999999999545</v>
      </c>
      <c r="M18" s="174">
        <v>619914.32999999262</v>
      </c>
      <c r="N18" s="92">
        <f t="shared" si="6"/>
        <v>2229516.4499999508</v>
      </c>
      <c r="O18" s="101">
        <f t="shared" si="7"/>
        <v>16411416.210000098</v>
      </c>
      <c r="P18" s="104">
        <f t="shared" si="8"/>
        <v>13860.000000000071</v>
      </c>
      <c r="Q18" s="178"/>
      <c r="R18" s="189"/>
      <c r="S18" s="200"/>
      <c r="T18" s="197"/>
      <c r="U18" s="196">
        <v>0</v>
      </c>
      <c r="V18" s="175">
        <f t="shared" si="9"/>
        <v>779</v>
      </c>
      <c r="W18" s="3">
        <v>214</v>
      </c>
      <c r="X18" s="3">
        <v>3846594.1088627935</v>
      </c>
      <c r="Y18" s="31">
        <v>565</v>
      </c>
      <c r="Z18" s="31">
        <v>2659631.5918892338</v>
      </c>
      <c r="AA18" s="31">
        <f t="shared" si="0"/>
        <v>6506225.7007520273</v>
      </c>
      <c r="AB18" s="120">
        <f t="shared" si="1"/>
        <v>501.40109237466964</v>
      </c>
      <c r="AC18" s="125">
        <v>0</v>
      </c>
      <c r="AD18" s="3">
        <v>0</v>
      </c>
      <c r="AE18" s="3">
        <v>50</v>
      </c>
      <c r="AF18" s="3">
        <v>0</v>
      </c>
      <c r="AG18" s="3">
        <f t="shared" si="2"/>
        <v>50</v>
      </c>
      <c r="AH18" s="3">
        <v>821000</v>
      </c>
      <c r="AI18" s="41">
        <f t="shared" si="3"/>
        <v>63.270214679460452</v>
      </c>
      <c r="AJ18" s="133">
        <v>311.72999999999593</v>
      </c>
      <c r="AK18" s="3">
        <v>3740759.9999999511</v>
      </c>
      <c r="AL18" s="37">
        <f t="shared" si="4"/>
        <v>288.28098448761921</v>
      </c>
      <c r="AM18" s="7"/>
    </row>
    <row r="19" spans="1:39" x14ac:dyDescent="0.25">
      <c r="A19" s="33"/>
      <c r="B19" s="56">
        <v>8</v>
      </c>
      <c r="C19" s="140">
        <v>12</v>
      </c>
      <c r="D19" s="141">
        <v>77</v>
      </c>
      <c r="E19" s="100">
        <v>11039.999999999964</v>
      </c>
      <c r="F19" s="3">
        <v>12006761.759999961</v>
      </c>
      <c r="G19" s="35">
        <v>2279.9999999999727</v>
      </c>
      <c r="H19" s="3">
        <v>3719485.9799999557</v>
      </c>
      <c r="I19" s="99">
        <f t="shared" si="5"/>
        <v>15726247.739999916</v>
      </c>
      <c r="J19" s="100">
        <v>1300.0000000000114</v>
      </c>
      <c r="K19" s="3">
        <v>1413839.7000000123</v>
      </c>
      <c r="L19" s="173">
        <v>420.00000000001592</v>
      </c>
      <c r="M19" s="174">
        <v>685168.47000002593</v>
      </c>
      <c r="N19" s="92">
        <f t="shared" si="6"/>
        <v>2099008.1700000381</v>
      </c>
      <c r="O19" s="101">
        <f t="shared" si="7"/>
        <v>17825255.909999955</v>
      </c>
      <c r="P19" s="104">
        <f t="shared" si="8"/>
        <v>15039.999999999964</v>
      </c>
      <c r="Q19" s="178"/>
      <c r="R19" s="189"/>
      <c r="S19" s="200"/>
      <c r="T19" s="197"/>
      <c r="U19" s="196">
        <v>0</v>
      </c>
      <c r="V19" s="175">
        <f t="shared" si="9"/>
        <v>743</v>
      </c>
      <c r="W19" s="3">
        <v>210</v>
      </c>
      <c r="X19" s="3">
        <v>3774695.1535569471</v>
      </c>
      <c r="Y19" s="31">
        <v>533</v>
      </c>
      <c r="Z19" s="31">
        <v>2508997.5902247108</v>
      </c>
      <c r="AA19" s="31">
        <f t="shared" si="0"/>
        <v>6283692.7437816579</v>
      </c>
      <c r="AB19" s="120">
        <f t="shared" si="1"/>
        <v>484.25163079029647</v>
      </c>
      <c r="AC19" s="125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821000</v>
      </c>
      <c r="AI19" s="41">
        <f t="shared" si="3"/>
        <v>63.270214679460452</v>
      </c>
      <c r="AJ19" s="133">
        <v>403.55000000000291</v>
      </c>
      <c r="AK19" s="3">
        <v>4842600.0000000354</v>
      </c>
      <c r="AL19" s="37">
        <f t="shared" si="4"/>
        <v>373.19408234684215</v>
      </c>
      <c r="AM19" s="7"/>
    </row>
    <row r="20" spans="1:39" x14ac:dyDescent="0.25">
      <c r="A20" s="33"/>
      <c r="B20" s="56">
        <v>9</v>
      </c>
      <c r="C20" s="140">
        <v>13</v>
      </c>
      <c r="D20" s="141">
        <v>101</v>
      </c>
      <c r="E20" s="100">
        <v>11599.999999999454</v>
      </c>
      <c r="F20" s="3">
        <v>12615800.399999406</v>
      </c>
      <c r="G20" s="35">
        <v>2399.9999999999773</v>
      </c>
      <c r="H20" s="3">
        <v>3915248.3999999636</v>
      </c>
      <c r="I20" s="99">
        <f t="shared" si="5"/>
        <v>16531048.799999369</v>
      </c>
      <c r="J20" s="100">
        <v>1540.0000000000205</v>
      </c>
      <c r="K20" s="3">
        <v>1674856.2600000224</v>
      </c>
      <c r="L20" s="173">
        <v>459.99999999997954</v>
      </c>
      <c r="M20" s="174">
        <v>750422.60999996669</v>
      </c>
      <c r="N20" s="92">
        <f t="shared" si="6"/>
        <v>2425278.8699999889</v>
      </c>
      <c r="O20" s="101">
        <f t="shared" si="7"/>
        <v>18956327.669999357</v>
      </c>
      <c r="P20" s="104">
        <f t="shared" si="8"/>
        <v>15999.999999999432</v>
      </c>
      <c r="Q20" s="178"/>
      <c r="R20" s="189"/>
      <c r="S20" s="200"/>
      <c r="T20" s="197"/>
      <c r="U20" s="196">
        <v>0</v>
      </c>
      <c r="V20" s="175">
        <f t="shared" si="9"/>
        <v>801</v>
      </c>
      <c r="W20" s="3">
        <v>216</v>
      </c>
      <c r="X20" s="3">
        <v>3882543.5865157172</v>
      </c>
      <c r="Y20" s="31">
        <v>585</v>
      </c>
      <c r="Z20" s="31">
        <v>2753777.8429295607</v>
      </c>
      <c r="AA20" s="31">
        <f t="shared" si="0"/>
        <v>6636321.4294452779</v>
      </c>
      <c r="AB20" s="120">
        <f t="shared" si="1"/>
        <v>511.42689588660977</v>
      </c>
      <c r="AC20" s="125">
        <v>0</v>
      </c>
      <c r="AD20" s="3">
        <v>0</v>
      </c>
      <c r="AE20" s="3">
        <v>100</v>
      </c>
      <c r="AF20" s="3">
        <v>0</v>
      </c>
      <c r="AG20" s="3">
        <f t="shared" si="2"/>
        <v>100</v>
      </c>
      <c r="AH20" s="3">
        <v>1642000</v>
      </c>
      <c r="AI20" s="41">
        <f t="shared" si="3"/>
        <v>126.5404293589209</v>
      </c>
      <c r="AJ20" s="133">
        <v>76.119999999995343</v>
      </c>
      <c r="AK20" s="3">
        <v>913439.99999994412</v>
      </c>
      <c r="AL20" s="37">
        <f t="shared" si="4"/>
        <v>70.394086354205626</v>
      </c>
      <c r="AM20" s="7"/>
    </row>
    <row r="21" spans="1:39" x14ac:dyDescent="0.25">
      <c r="A21" s="33"/>
      <c r="B21" s="56">
        <v>10</v>
      </c>
      <c r="C21" s="140">
        <v>17</v>
      </c>
      <c r="D21" s="141">
        <v>145</v>
      </c>
      <c r="E21" s="100">
        <v>11760.000000000218</v>
      </c>
      <c r="F21" s="3">
        <v>12789811.440000238</v>
      </c>
      <c r="G21" s="35">
        <v>2440.0000000000546</v>
      </c>
      <c r="H21" s="3">
        <v>3980502.5400000894</v>
      </c>
      <c r="I21" s="99">
        <f t="shared" si="5"/>
        <v>16770313.980000328</v>
      </c>
      <c r="J21" s="100">
        <v>1519.9999999999818</v>
      </c>
      <c r="K21" s="3">
        <v>1653104.8799999803</v>
      </c>
      <c r="L21" s="173">
        <v>480.00000000001819</v>
      </c>
      <c r="M21" s="174">
        <v>783049.68000002974</v>
      </c>
      <c r="N21" s="92">
        <f t="shared" si="6"/>
        <v>2436154.5600000098</v>
      </c>
      <c r="O21" s="101">
        <f t="shared" si="7"/>
        <v>19206468.540000338</v>
      </c>
      <c r="P21" s="104">
        <f t="shared" si="8"/>
        <v>16200.000000000273</v>
      </c>
      <c r="Q21" s="178"/>
      <c r="R21" s="189"/>
      <c r="S21" s="200"/>
      <c r="T21" s="197"/>
      <c r="U21" s="196">
        <v>0</v>
      </c>
      <c r="V21" s="175">
        <f t="shared" si="9"/>
        <v>779</v>
      </c>
      <c r="W21" s="3">
        <v>211</v>
      </c>
      <c r="X21" s="3">
        <v>3792669.8923834087</v>
      </c>
      <c r="Y21" s="31">
        <v>568</v>
      </c>
      <c r="Z21" s="31">
        <v>2673753.5295452829</v>
      </c>
      <c r="AA21" s="31">
        <f t="shared" si="0"/>
        <v>6466423.4219286917</v>
      </c>
      <c r="AB21" s="120">
        <f t="shared" si="1"/>
        <v>498.33373704472547</v>
      </c>
      <c r="AC21" s="125">
        <v>0</v>
      </c>
      <c r="AD21" s="3">
        <v>0</v>
      </c>
      <c r="AE21" s="3">
        <v>100</v>
      </c>
      <c r="AF21" s="3">
        <v>12</v>
      </c>
      <c r="AG21" s="3">
        <f t="shared" si="2"/>
        <v>112</v>
      </c>
      <c r="AH21" s="3">
        <v>1779500</v>
      </c>
      <c r="AI21" s="41">
        <f t="shared" si="3"/>
        <v>137.13684168343468</v>
      </c>
      <c r="AJ21" s="133">
        <v>419.97000000000116</v>
      </c>
      <c r="AK21" s="3">
        <v>5039640.000000014</v>
      </c>
      <c r="AL21" s="37">
        <f t="shared" si="4"/>
        <v>388.37893386991107</v>
      </c>
      <c r="AM21" s="7"/>
    </row>
    <row r="22" spans="1:39" x14ac:dyDescent="0.25">
      <c r="A22" s="33"/>
      <c r="B22" s="56">
        <v>11</v>
      </c>
      <c r="C22" s="140">
        <v>22</v>
      </c>
      <c r="D22" s="141">
        <v>365</v>
      </c>
      <c r="E22" s="100">
        <v>12440.000000000509</v>
      </c>
      <c r="F22" s="3">
        <v>13529358.360000553</v>
      </c>
      <c r="G22" s="35">
        <v>3159.9999999999682</v>
      </c>
      <c r="H22" s="3">
        <v>5155077.0599999484</v>
      </c>
      <c r="I22" s="99">
        <f t="shared" si="5"/>
        <v>18684435.420000501</v>
      </c>
      <c r="J22" s="100">
        <v>1780.0000000000296</v>
      </c>
      <c r="K22" s="3">
        <v>1935872.8200000322</v>
      </c>
      <c r="L22" s="173">
        <v>519.99999999998181</v>
      </c>
      <c r="M22" s="174">
        <v>848303.81999997038</v>
      </c>
      <c r="N22" s="92">
        <f t="shared" si="6"/>
        <v>2784176.6400000025</v>
      </c>
      <c r="O22" s="101">
        <f t="shared" si="7"/>
        <v>21468612.060000502</v>
      </c>
      <c r="P22" s="104">
        <f t="shared" si="8"/>
        <v>17900.000000000487</v>
      </c>
      <c r="Q22" s="178"/>
      <c r="R22" s="189"/>
      <c r="S22" s="200"/>
      <c r="T22" s="197"/>
      <c r="U22" s="196">
        <v>0</v>
      </c>
      <c r="V22" s="175">
        <f t="shared" si="9"/>
        <v>773</v>
      </c>
      <c r="W22" s="3">
        <v>216</v>
      </c>
      <c r="X22" s="3">
        <v>3882543.5865157172</v>
      </c>
      <c r="Y22" s="31">
        <v>557</v>
      </c>
      <c r="Z22" s="31">
        <v>2621973.091473103</v>
      </c>
      <c r="AA22" s="31">
        <f t="shared" si="0"/>
        <v>6504516.6779888198</v>
      </c>
      <c r="AB22" s="120">
        <f t="shared" si="1"/>
        <v>501.26938684833567</v>
      </c>
      <c r="AC22" s="125">
        <v>0</v>
      </c>
      <c r="AD22" s="3">
        <v>0</v>
      </c>
      <c r="AE22" s="3">
        <v>150</v>
      </c>
      <c r="AF22" s="3">
        <v>12</v>
      </c>
      <c r="AG22" s="3">
        <f t="shared" si="2"/>
        <v>162</v>
      </c>
      <c r="AH22" s="3">
        <v>2600500</v>
      </c>
      <c r="AI22" s="41">
        <f t="shared" si="3"/>
        <v>200.40705636289513</v>
      </c>
      <c r="AJ22" s="133">
        <v>349.71999999998661</v>
      </c>
      <c r="AK22" s="3">
        <v>4196639.9999998398</v>
      </c>
      <c r="AL22" s="37">
        <f t="shared" si="4"/>
        <v>323.41329321851498</v>
      </c>
      <c r="AM22" s="7"/>
    </row>
    <row r="23" spans="1:39" x14ac:dyDescent="0.25">
      <c r="A23" s="33"/>
      <c r="B23" s="56">
        <v>12</v>
      </c>
      <c r="C23" s="140">
        <v>26</v>
      </c>
      <c r="D23" s="141">
        <v>194</v>
      </c>
      <c r="E23" s="100">
        <v>12159.999999999854</v>
      </c>
      <c r="F23" s="3">
        <v>13224839.039999843</v>
      </c>
      <c r="G23" s="35">
        <v>2519.9999999999818</v>
      </c>
      <c r="H23" s="3">
        <v>4111010.819999971</v>
      </c>
      <c r="I23" s="99">
        <f t="shared" si="5"/>
        <v>17335849.859999813</v>
      </c>
      <c r="J23" s="100">
        <v>1699.9999999999318</v>
      </c>
      <c r="K23" s="3">
        <v>1848867.2999999258</v>
      </c>
      <c r="L23" s="173">
        <v>480.00000000001819</v>
      </c>
      <c r="M23" s="174">
        <v>783049.68000002974</v>
      </c>
      <c r="N23" s="92">
        <f t="shared" si="6"/>
        <v>2631916.9799999557</v>
      </c>
      <c r="O23" s="101">
        <f t="shared" si="7"/>
        <v>19967766.839999769</v>
      </c>
      <c r="P23" s="104">
        <f t="shared" si="8"/>
        <v>16859.999999999785</v>
      </c>
      <c r="Q23" s="178"/>
      <c r="R23" s="189"/>
      <c r="S23" s="200"/>
      <c r="T23" s="197"/>
      <c r="U23" s="196">
        <v>0</v>
      </c>
      <c r="V23" s="175">
        <f t="shared" si="9"/>
        <v>761</v>
      </c>
      <c r="W23" s="3">
        <v>216</v>
      </c>
      <c r="X23" s="3">
        <v>3882543.5865157172</v>
      </c>
      <c r="Y23" s="31">
        <v>545</v>
      </c>
      <c r="Z23" s="31">
        <v>2565485.3408489069</v>
      </c>
      <c r="AA23" s="31">
        <f t="shared" si="0"/>
        <v>6448028.9273646241</v>
      </c>
      <c r="AB23" s="120">
        <f t="shared" si="1"/>
        <v>496.91616868907539</v>
      </c>
      <c r="AC23" s="125">
        <v>0</v>
      </c>
      <c r="AD23" s="3">
        <v>0</v>
      </c>
      <c r="AE23" s="3">
        <v>150</v>
      </c>
      <c r="AF23" s="3">
        <v>12</v>
      </c>
      <c r="AG23" s="3">
        <f t="shared" si="2"/>
        <v>162</v>
      </c>
      <c r="AH23" s="3">
        <v>2600500</v>
      </c>
      <c r="AI23" s="41">
        <f t="shared" si="3"/>
        <v>200.40705636289513</v>
      </c>
      <c r="AJ23" s="133">
        <v>297.61999999999534</v>
      </c>
      <c r="AK23" s="3">
        <v>3571439.9999999441</v>
      </c>
      <c r="AL23" s="37">
        <f t="shared" si="4"/>
        <v>275.23236968917018</v>
      </c>
      <c r="AM23" s="7"/>
    </row>
    <row r="24" spans="1:39" x14ac:dyDescent="0.25">
      <c r="A24" s="33"/>
      <c r="B24" s="56">
        <v>13</v>
      </c>
      <c r="C24" s="140">
        <v>30</v>
      </c>
      <c r="D24" s="141">
        <v>189</v>
      </c>
      <c r="E24" s="100">
        <v>11960.000000000036</v>
      </c>
      <c r="F24" s="3">
        <v>13007325.240000041</v>
      </c>
      <c r="G24" s="35">
        <v>2559.9999999999454</v>
      </c>
      <c r="H24" s="3">
        <v>4176264.9599999115</v>
      </c>
      <c r="I24" s="99">
        <f t="shared" si="5"/>
        <v>17183590.199999951</v>
      </c>
      <c r="J24" s="100">
        <v>1620.0000000000045</v>
      </c>
      <c r="K24" s="3">
        <v>1761861.7800000052</v>
      </c>
      <c r="L24" s="173">
        <v>439.99999999999773</v>
      </c>
      <c r="M24" s="174">
        <v>717795.53999999643</v>
      </c>
      <c r="N24" s="92">
        <f t="shared" si="6"/>
        <v>2479657.3200000017</v>
      </c>
      <c r="O24" s="101">
        <f t="shared" si="7"/>
        <v>19663247.519999951</v>
      </c>
      <c r="P24" s="104">
        <f t="shared" si="8"/>
        <v>16579.999999999985</v>
      </c>
      <c r="Q24" s="178"/>
      <c r="R24" s="189"/>
      <c r="S24" s="200"/>
      <c r="T24" s="197"/>
      <c r="U24" s="196">
        <v>0</v>
      </c>
      <c r="V24" s="175">
        <f>Y24+W24</f>
        <v>797</v>
      </c>
      <c r="W24" s="3">
        <v>217</v>
      </c>
      <c r="X24" s="3">
        <v>3900518.3253421788</v>
      </c>
      <c r="Y24" s="31">
        <v>580</v>
      </c>
      <c r="Z24" s="31">
        <v>2730241.2801694791</v>
      </c>
      <c r="AA24" s="31">
        <f t="shared" si="0"/>
        <v>6630759.6055116579</v>
      </c>
      <c r="AB24" s="120">
        <f t="shared" si="1"/>
        <v>510.99827494350438</v>
      </c>
      <c r="AC24" s="125">
        <v>0</v>
      </c>
      <c r="AD24" s="3">
        <v>0</v>
      </c>
      <c r="AE24" s="3">
        <v>150</v>
      </c>
      <c r="AF24" s="3">
        <v>12</v>
      </c>
      <c r="AG24" s="3">
        <f t="shared" si="2"/>
        <v>162</v>
      </c>
      <c r="AH24" s="3">
        <v>2600500</v>
      </c>
      <c r="AI24" s="41">
        <f t="shared" si="3"/>
        <v>200.40705636289513</v>
      </c>
      <c r="AJ24" s="133">
        <v>325.97000000000116</v>
      </c>
      <c r="AK24" s="3">
        <v>3911640.000000014</v>
      </c>
      <c r="AL24" s="37">
        <f t="shared" si="4"/>
        <v>301.44982040044528</v>
      </c>
      <c r="AM24" s="7"/>
    </row>
    <row r="25" spans="1:39" x14ac:dyDescent="0.25">
      <c r="A25" s="33"/>
      <c r="B25" s="56">
        <v>14</v>
      </c>
      <c r="C25" s="140">
        <v>21</v>
      </c>
      <c r="D25" s="141">
        <v>194</v>
      </c>
      <c r="E25" s="100">
        <v>10399.999999999636</v>
      </c>
      <c r="F25" s="3">
        <v>11310717.599999605</v>
      </c>
      <c r="G25" s="35">
        <v>2400.0000000000909</v>
      </c>
      <c r="H25" s="3">
        <v>3915248.4000001489</v>
      </c>
      <c r="I25" s="99">
        <f t="shared" si="5"/>
        <v>15225965.999999754</v>
      </c>
      <c r="J25" s="100">
        <v>1639.9999999999864</v>
      </c>
      <c r="K25" s="3">
        <v>1783613.159999985</v>
      </c>
      <c r="L25" s="173">
        <v>439.99999999999773</v>
      </c>
      <c r="M25" s="174">
        <v>717795.53999999643</v>
      </c>
      <c r="N25" s="92">
        <f t="shared" si="6"/>
        <v>2501408.6999999816</v>
      </c>
      <c r="O25" s="101">
        <f t="shared" si="7"/>
        <v>17727374.699999735</v>
      </c>
      <c r="P25" s="104">
        <f t="shared" si="8"/>
        <v>14879.999999999711</v>
      </c>
      <c r="Q25" s="178"/>
      <c r="R25" s="189"/>
      <c r="S25" s="200"/>
      <c r="T25" s="197"/>
      <c r="U25" s="196">
        <v>0</v>
      </c>
      <c r="V25" s="175">
        <f t="shared" si="9"/>
        <v>760</v>
      </c>
      <c r="W25" s="3">
        <v>216</v>
      </c>
      <c r="X25" s="3">
        <v>3882543.5865157172</v>
      </c>
      <c r="Y25" s="31">
        <v>544</v>
      </c>
      <c r="Z25" s="31">
        <v>2560778.0282968907</v>
      </c>
      <c r="AA25" s="31">
        <f t="shared" si="0"/>
        <v>6443321.6148126079</v>
      </c>
      <c r="AB25" s="120">
        <f t="shared" si="1"/>
        <v>496.55340050913702</v>
      </c>
      <c r="AC25" s="125">
        <v>0</v>
      </c>
      <c r="AD25" s="3">
        <v>0</v>
      </c>
      <c r="AE25" s="3">
        <v>150</v>
      </c>
      <c r="AF25" s="3">
        <v>12</v>
      </c>
      <c r="AG25" s="3">
        <f t="shared" si="2"/>
        <v>162</v>
      </c>
      <c r="AH25" s="3">
        <v>2600500</v>
      </c>
      <c r="AI25" s="41">
        <f t="shared" si="3"/>
        <v>200.40705636289513</v>
      </c>
      <c r="AJ25" s="133">
        <v>269.52999999999884</v>
      </c>
      <c r="AK25" s="3">
        <v>3234359.999999986</v>
      </c>
      <c r="AL25" s="37">
        <f t="shared" si="4"/>
        <v>249.25536120664898</v>
      </c>
      <c r="AM25" s="7"/>
    </row>
    <row r="26" spans="1:39" x14ac:dyDescent="0.25">
      <c r="A26" s="33"/>
      <c r="B26" s="56">
        <v>15</v>
      </c>
      <c r="C26" s="140">
        <v>21</v>
      </c>
      <c r="D26" s="141">
        <v>177</v>
      </c>
      <c r="E26" s="100">
        <v>13159.999999999854</v>
      </c>
      <c r="F26" s="3">
        <v>14312408.039999841</v>
      </c>
      <c r="G26" s="35">
        <v>2319.9999999999363</v>
      </c>
      <c r="H26" s="3">
        <v>3784740.1199998963</v>
      </c>
      <c r="I26" s="99">
        <f t="shared" si="5"/>
        <v>18097148.159999736</v>
      </c>
      <c r="J26" s="100">
        <v>1400.0000000000909</v>
      </c>
      <c r="K26" s="3">
        <v>1522596.6000000988</v>
      </c>
      <c r="L26" s="173">
        <v>340.00000000000341</v>
      </c>
      <c r="M26" s="174">
        <v>554660.19000000553</v>
      </c>
      <c r="N26" s="92">
        <f t="shared" si="6"/>
        <v>2077256.7900001043</v>
      </c>
      <c r="O26" s="101">
        <f t="shared" si="7"/>
        <v>20174404.949999839</v>
      </c>
      <c r="P26" s="104">
        <f t="shared" si="8"/>
        <v>17219.999999999884</v>
      </c>
      <c r="Q26" s="178"/>
      <c r="R26" s="189"/>
      <c r="S26" s="200"/>
      <c r="T26" s="197"/>
      <c r="U26" s="196">
        <v>0</v>
      </c>
      <c r="V26" s="175">
        <f t="shared" si="9"/>
        <v>645</v>
      </c>
      <c r="W26" s="3">
        <v>212</v>
      </c>
      <c r="X26" s="3">
        <v>3810644.6312098703</v>
      </c>
      <c r="Y26" s="31">
        <v>433</v>
      </c>
      <c r="Z26" s="31">
        <v>2038266.3350230765</v>
      </c>
      <c r="AA26" s="31">
        <f t="shared" si="0"/>
        <v>5848910.9662329471</v>
      </c>
      <c r="AB26" s="120">
        <f t="shared" si="1"/>
        <v>450.74525270963341</v>
      </c>
      <c r="AC26" s="125">
        <v>0</v>
      </c>
      <c r="AD26" s="3">
        <v>0</v>
      </c>
      <c r="AE26" s="3">
        <v>150</v>
      </c>
      <c r="AF26" s="3">
        <v>12</v>
      </c>
      <c r="AG26" s="3">
        <f t="shared" si="2"/>
        <v>162</v>
      </c>
      <c r="AH26" s="3">
        <v>2600500</v>
      </c>
      <c r="AI26" s="41">
        <f t="shared" si="3"/>
        <v>200.40705636289513</v>
      </c>
      <c r="AJ26" s="133">
        <v>1534.9000000000233</v>
      </c>
      <c r="AK26" s="3">
        <v>18418800.000000279</v>
      </c>
      <c r="AL26" s="37">
        <f t="shared" si="4"/>
        <v>1419.4414496200534</v>
      </c>
      <c r="AM26" s="7"/>
    </row>
    <row r="27" spans="1:39" x14ac:dyDescent="0.25">
      <c r="A27" s="33"/>
      <c r="B27" s="56">
        <v>16</v>
      </c>
      <c r="C27" s="140">
        <v>23</v>
      </c>
      <c r="D27" s="141">
        <v>148</v>
      </c>
      <c r="E27" s="100">
        <v>11760.000000000218</v>
      </c>
      <c r="F27" s="3">
        <v>12789811.440000238</v>
      </c>
      <c r="G27" s="35">
        <v>2519.9999999999818</v>
      </c>
      <c r="H27" s="3">
        <v>4111010.819999971</v>
      </c>
      <c r="I27" s="99">
        <f t="shared" si="5"/>
        <v>16900822.26000021</v>
      </c>
      <c r="J27" s="100">
        <v>1500</v>
      </c>
      <c r="K27" s="3">
        <v>1631353.5</v>
      </c>
      <c r="L27" s="173">
        <v>419.99999999998749</v>
      </c>
      <c r="M27" s="174">
        <v>685168.4699999796</v>
      </c>
      <c r="N27" s="92">
        <f t="shared" si="6"/>
        <v>2316521.9699999797</v>
      </c>
      <c r="O27" s="101">
        <f t="shared" si="7"/>
        <v>19217344.23000019</v>
      </c>
      <c r="P27" s="104">
        <f t="shared" si="8"/>
        <v>16200.000000000187</v>
      </c>
      <c r="Q27" s="178"/>
      <c r="R27" s="178"/>
      <c r="S27" s="200"/>
      <c r="T27" s="197"/>
      <c r="U27" s="196">
        <v>0</v>
      </c>
      <c r="V27" s="175">
        <f t="shared" si="9"/>
        <v>783</v>
      </c>
      <c r="W27" s="3">
        <v>209</v>
      </c>
      <c r="X27" s="3">
        <v>3756720.4147304855</v>
      </c>
      <c r="Y27" s="31">
        <v>574</v>
      </c>
      <c r="Z27" s="31">
        <v>2701997.4048573808</v>
      </c>
      <c r="AA27" s="31">
        <f t="shared" si="0"/>
        <v>6458717.8195878658</v>
      </c>
      <c r="AB27" s="120">
        <f t="shared" si="1"/>
        <v>497.7399062111827</v>
      </c>
      <c r="AC27" s="125">
        <v>0</v>
      </c>
      <c r="AD27" s="3">
        <v>0</v>
      </c>
      <c r="AE27" s="3">
        <v>100</v>
      </c>
      <c r="AF27" s="3">
        <v>12</v>
      </c>
      <c r="AG27" s="3">
        <f t="shared" si="2"/>
        <v>112</v>
      </c>
      <c r="AH27" s="3">
        <v>1779500</v>
      </c>
      <c r="AI27" s="41">
        <f t="shared" si="3"/>
        <v>137.13684168343468</v>
      </c>
      <c r="AJ27" s="133">
        <v>334.32000000002154</v>
      </c>
      <c r="AK27" s="3">
        <v>4011840.0000002584</v>
      </c>
      <c r="AL27" s="37">
        <f t="shared" si="4"/>
        <v>309.17171505440069</v>
      </c>
      <c r="AM27" s="7"/>
    </row>
    <row r="28" spans="1:39" x14ac:dyDescent="0.25">
      <c r="A28" s="33"/>
      <c r="B28" s="56">
        <v>17</v>
      </c>
      <c r="C28" s="140">
        <v>44</v>
      </c>
      <c r="D28" s="141">
        <v>214</v>
      </c>
      <c r="E28" s="100">
        <v>12600.000000000364</v>
      </c>
      <c r="F28" s="3">
        <v>13703369.400000395</v>
      </c>
      <c r="G28" s="35">
        <v>2879.9999999999955</v>
      </c>
      <c r="H28" s="3">
        <v>4698298.0799999926</v>
      </c>
      <c r="I28" s="99">
        <f t="shared" si="5"/>
        <v>18401667.480000388</v>
      </c>
      <c r="J28" s="100">
        <v>1899.9999999999773</v>
      </c>
      <c r="K28" s="3">
        <v>2066381.0999999754</v>
      </c>
      <c r="L28" s="173">
        <v>520.00000000001023</v>
      </c>
      <c r="M28" s="174">
        <v>848303.82000001683</v>
      </c>
      <c r="N28" s="92">
        <f t="shared" si="6"/>
        <v>2914684.9199999925</v>
      </c>
      <c r="O28" s="101">
        <f t="shared" si="7"/>
        <v>21316352.400000378</v>
      </c>
      <c r="P28" s="104">
        <f t="shared" si="8"/>
        <v>17900.000000000346</v>
      </c>
      <c r="Q28" s="179"/>
      <c r="R28" s="179"/>
      <c r="S28" s="200"/>
      <c r="T28" s="197"/>
      <c r="U28" s="196">
        <v>0</v>
      </c>
      <c r="V28" s="175">
        <f t="shared" si="9"/>
        <v>777</v>
      </c>
      <c r="W28" s="3">
        <v>220</v>
      </c>
      <c r="X28" s="3">
        <v>3954442.5418215636</v>
      </c>
      <c r="Y28" s="31">
        <v>557</v>
      </c>
      <c r="Z28" s="31">
        <v>2621973.091473103</v>
      </c>
      <c r="AA28" s="31">
        <f t="shared" si="0"/>
        <v>6576415.6332946662</v>
      </c>
      <c r="AB28" s="120">
        <f t="shared" si="1"/>
        <v>506.81026667468137</v>
      </c>
      <c r="AC28" s="125">
        <v>0</v>
      </c>
      <c r="AD28" s="3">
        <v>0</v>
      </c>
      <c r="AE28" s="3">
        <v>150</v>
      </c>
      <c r="AF28" s="3">
        <v>12</v>
      </c>
      <c r="AG28" s="3">
        <f t="shared" si="2"/>
        <v>162</v>
      </c>
      <c r="AH28" s="3">
        <v>2600500</v>
      </c>
      <c r="AI28" s="41">
        <f t="shared" si="3"/>
        <v>200.40705636289513</v>
      </c>
      <c r="AJ28" s="133">
        <v>346</v>
      </c>
      <c r="AK28" s="3">
        <v>4152000</v>
      </c>
      <c r="AL28" s="37">
        <f t="shared" si="4"/>
        <v>319.97311979186333</v>
      </c>
      <c r="AM28" s="7"/>
    </row>
    <row r="29" spans="1:39" x14ac:dyDescent="0.25">
      <c r="A29" s="33"/>
      <c r="B29" s="56">
        <v>18</v>
      </c>
      <c r="C29" s="140">
        <v>53</v>
      </c>
      <c r="D29" s="141">
        <v>245</v>
      </c>
      <c r="E29" s="100">
        <v>13599.999999999454</v>
      </c>
      <c r="F29" s="3">
        <v>14790938.399999406</v>
      </c>
      <c r="G29" s="35">
        <v>2800.0000000000682</v>
      </c>
      <c r="H29" s="3">
        <v>4567789.8000001116</v>
      </c>
      <c r="I29" s="99">
        <f t="shared" si="5"/>
        <v>19358728.199999519</v>
      </c>
      <c r="J29" s="100">
        <v>1980.0000000000182</v>
      </c>
      <c r="K29" s="3">
        <v>2153386.6200000197</v>
      </c>
      <c r="L29" s="173">
        <v>500</v>
      </c>
      <c r="M29" s="174">
        <v>815676.75</v>
      </c>
      <c r="N29" s="92">
        <f t="shared" si="6"/>
        <v>2969063.3700000197</v>
      </c>
      <c r="O29" s="101">
        <f t="shared" si="7"/>
        <v>22327791.569999538</v>
      </c>
      <c r="P29" s="104">
        <f t="shared" si="8"/>
        <v>18879.999999999542</v>
      </c>
      <c r="Q29" s="179"/>
      <c r="R29" s="179"/>
      <c r="S29" s="200"/>
      <c r="T29" s="197"/>
      <c r="U29" s="196">
        <v>0</v>
      </c>
      <c r="V29" s="175">
        <f t="shared" si="9"/>
        <v>781</v>
      </c>
      <c r="W29" s="3">
        <v>222</v>
      </c>
      <c r="X29" s="3">
        <v>3990392.0194744868</v>
      </c>
      <c r="Y29" s="31">
        <v>559</v>
      </c>
      <c r="Z29" s="31">
        <v>2631387.716577136</v>
      </c>
      <c r="AA29" s="31">
        <f t="shared" si="0"/>
        <v>6621779.7360516228</v>
      </c>
      <c r="AB29" s="120">
        <f t="shared" si="1"/>
        <v>510.30624294773099</v>
      </c>
      <c r="AC29" s="125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2600500</v>
      </c>
      <c r="AI29" s="41">
        <f t="shared" si="3"/>
        <v>200.40705636289513</v>
      </c>
      <c r="AJ29" s="133">
        <v>281.75</v>
      </c>
      <c r="AK29" s="3">
        <v>3381000</v>
      </c>
      <c r="AL29" s="37">
        <f t="shared" si="4"/>
        <v>260.5561459576806</v>
      </c>
      <c r="AM29" s="7"/>
    </row>
    <row r="30" spans="1:39" x14ac:dyDescent="0.25">
      <c r="A30" s="33"/>
      <c r="B30" s="56">
        <v>19</v>
      </c>
      <c r="C30" s="140">
        <v>31</v>
      </c>
      <c r="D30" s="141">
        <v>286</v>
      </c>
      <c r="E30" s="100">
        <v>12159.999999999854</v>
      </c>
      <c r="F30" s="3">
        <v>13224839.039999843</v>
      </c>
      <c r="G30" s="35">
        <v>2639.9999999999864</v>
      </c>
      <c r="H30" s="3">
        <v>4306773.2399999779</v>
      </c>
      <c r="I30" s="99">
        <f t="shared" si="5"/>
        <v>17531612.279999822</v>
      </c>
      <c r="J30" s="100">
        <v>1740.0000000000091</v>
      </c>
      <c r="K30" s="3">
        <v>1892370.0600000098</v>
      </c>
      <c r="L30" s="173">
        <v>460.00000000000796</v>
      </c>
      <c r="M30" s="174">
        <v>750422.61000001302</v>
      </c>
      <c r="N30" s="92">
        <f t="shared" si="6"/>
        <v>2642792.6700000227</v>
      </c>
      <c r="O30" s="101">
        <f t="shared" si="7"/>
        <v>20174404.949999847</v>
      </c>
      <c r="P30" s="104">
        <f t="shared" si="8"/>
        <v>16999.999999999858</v>
      </c>
      <c r="Q30" s="178"/>
      <c r="R30" s="178"/>
      <c r="S30" s="200"/>
      <c r="T30" s="197"/>
      <c r="U30" s="196">
        <v>0</v>
      </c>
      <c r="V30" s="175">
        <f t="shared" si="9"/>
        <v>589</v>
      </c>
      <c r="W30" s="3">
        <v>15</v>
      </c>
      <c r="X30" s="3">
        <v>269621.08239692479</v>
      </c>
      <c r="Y30" s="31">
        <v>574</v>
      </c>
      <c r="Z30" s="31">
        <v>2701997.4048573808</v>
      </c>
      <c r="AA30" s="31">
        <f t="shared" si="0"/>
        <v>2971618.4872543057</v>
      </c>
      <c r="AB30" s="120">
        <f t="shared" si="1"/>
        <v>229.00723463341467</v>
      </c>
      <c r="AC30" s="125">
        <v>0</v>
      </c>
      <c r="AD30" s="3">
        <v>0</v>
      </c>
      <c r="AE30" s="3">
        <v>150</v>
      </c>
      <c r="AF30" s="3">
        <v>12</v>
      </c>
      <c r="AG30" s="3">
        <f t="shared" si="2"/>
        <v>162</v>
      </c>
      <c r="AH30" s="3">
        <v>2600500</v>
      </c>
      <c r="AI30" s="41">
        <f t="shared" si="3"/>
        <v>200.40705636289513</v>
      </c>
      <c r="AJ30" s="133">
        <v>326.89999999999418</v>
      </c>
      <c r="AK30" s="3">
        <v>3922799.9999999302</v>
      </c>
      <c r="AL30" s="37">
        <f t="shared" si="4"/>
        <v>302.30986375710478</v>
      </c>
      <c r="AM30" s="7"/>
    </row>
    <row r="31" spans="1:39" x14ac:dyDescent="0.25">
      <c r="A31" s="33"/>
      <c r="B31" s="56">
        <v>20</v>
      </c>
      <c r="C31" s="140">
        <v>26</v>
      </c>
      <c r="D31" s="141">
        <v>172</v>
      </c>
      <c r="E31" s="100">
        <v>11560.0000000004</v>
      </c>
      <c r="F31" s="3">
        <v>12572297.640000435</v>
      </c>
      <c r="G31" s="35">
        <v>2439.9999999999409</v>
      </c>
      <c r="H31" s="3">
        <v>3980502.5399999041</v>
      </c>
      <c r="I31" s="99">
        <f t="shared" si="5"/>
        <v>16552800.180000339</v>
      </c>
      <c r="J31" s="100">
        <v>1699.9999999999318</v>
      </c>
      <c r="K31" s="3">
        <v>1848867.2999999258</v>
      </c>
      <c r="L31" s="173">
        <v>419.99999999998749</v>
      </c>
      <c r="M31" s="174">
        <v>685168.4699999796</v>
      </c>
      <c r="N31" s="92">
        <f t="shared" si="6"/>
        <v>2534035.7699999055</v>
      </c>
      <c r="O31" s="101">
        <f t="shared" si="7"/>
        <v>19086835.950000245</v>
      </c>
      <c r="P31" s="104">
        <f t="shared" si="8"/>
        <v>16120.00000000026</v>
      </c>
      <c r="Q31" s="179"/>
      <c r="R31" s="179"/>
      <c r="S31" s="200"/>
      <c r="T31" s="197"/>
      <c r="U31" s="196">
        <v>0</v>
      </c>
      <c r="V31" s="175">
        <f t="shared" si="9"/>
        <v>764</v>
      </c>
      <c r="W31" s="3">
        <v>216</v>
      </c>
      <c r="X31" s="3">
        <v>3882543.5865157172</v>
      </c>
      <c r="Y31" s="31">
        <v>548</v>
      </c>
      <c r="Z31" s="31">
        <v>2579607.278504956</v>
      </c>
      <c r="AA31" s="31">
        <f t="shared" si="0"/>
        <v>6462150.8650206737</v>
      </c>
      <c r="AB31" s="120">
        <f t="shared" si="1"/>
        <v>498.0044732288905</v>
      </c>
      <c r="AC31" s="125">
        <v>0</v>
      </c>
      <c r="AD31" s="3">
        <v>0</v>
      </c>
      <c r="AE31" s="3">
        <v>150</v>
      </c>
      <c r="AF31" s="3">
        <v>12</v>
      </c>
      <c r="AG31" s="3">
        <f t="shared" si="2"/>
        <v>162</v>
      </c>
      <c r="AH31" s="3">
        <v>2600500</v>
      </c>
      <c r="AI31" s="41">
        <f t="shared" si="3"/>
        <v>200.40705636289513</v>
      </c>
      <c r="AJ31" s="133">
        <v>427.58000000000175</v>
      </c>
      <c r="AK31" s="3">
        <v>5130960.0000000205</v>
      </c>
      <c r="AL31" s="37">
        <f t="shared" si="4"/>
        <v>395.41649294972677</v>
      </c>
      <c r="AM31" s="7"/>
    </row>
    <row r="32" spans="1:39" x14ac:dyDescent="0.25">
      <c r="A32" s="33"/>
      <c r="B32" s="56">
        <v>21</v>
      </c>
      <c r="C32" s="140"/>
      <c r="D32" s="141"/>
      <c r="E32" s="100"/>
      <c r="F32" s="3"/>
      <c r="G32" s="35"/>
      <c r="H32" s="3"/>
      <c r="I32" s="99">
        <f t="shared" si="5"/>
        <v>0</v>
      </c>
      <c r="J32" s="100"/>
      <c r="K32" s="3"/>
      <c r="L32" s="173"/>
      <c r="M32" s="174"/>
      <c r="N32" s="92">
        <f>+K32+M32</f>
        <v>0</v>
      </c>
      <c r="O32" s="101">
        <f t="shared" si="7"/>
        <v>0</v>
      </c>
      <c r="P32" s="104">
        <f t="shared" si="8"/>
        <v>0</v>
      </c>
      <c r="Q32" s="178"/>
      <c r="R32" s="190"/>
      <c r="S32" s="200"/>
      <c r="T32" s="197"/>
      <c r="U32" s="196">
        <v>0</v>
      </c>
      <c r="V32" s="175">
        <f t="shared" si="9"/>
        <v>0</v>
      </c>
      <c r="W32" s="3"/>
      <c r="X32" s="3"/>
      <c r="Y32" s="31"/>
      <c r="Z32" s="31"/>
      <c r="AA32" s="31">
        <f t="shared" si="0"/>
        <v>0</v>
      </c>
      <c r="AB32" s="120">
        <f t="shared" si="1"/>
        <v>0</v>
      </c>
      <c r="AC32" s="125">
        <v>0</v>
      </c>
      <c r="AD32" s="3">
        <v>0</v>
      </c>
      <c r="AE32" s="3"/>
      <c r="AF32" s="3"/>
      <c r="AG32" s="3">
        <f t="shared" ref="AG32:AG40" si="10">+AE32+AF32</f>
        <v>0</v>
      </c>
      <c r="AH32" s="3"/>
      <c r="AI32" s="41">
        <f t="shared" si="3"/>
        <v>0</v>
      </c>
      <c r="AJ32" s="133"/>
      <c r="AK32" s="3"/>
      <c r="AL32" s="37">
        <f t="shared" si="4"/>
        <v>0</v>
      </c>
      <c r="AM32" s="7"/>
    </row>
    <row r="33" spans="1:39" x14ac:dyDescent="0.25">
      <c r="A33" s="33"/>
      <c r="B33" s="56">
        <v>22</v>
      </c>
      <c r="C33" s="140"/>
      <c r="D33" s="141"/>
      <c r="E33" s="100"/>
      <c r="F33" s="3"/>
      <c r="G33" s="35"/>
      <c r="H33" s="3"/>
      <c r="I33" s="99">
        <f t="shared" si="5"/>
        <v>0</v>
      </c>
      <c r="J33" s="100"/>
      <c r="K33" s="3"/>
      <c r="L33" s="173"/>
      <c r="M33" s="174"/>
      <c r="N33" s="92">
        <f t="shared" si="6"/>
        <v>0</v>
      </c>
      <c r="O33" s="101">
        <f t="shared" si="7"/>
        <v>0</v>
      </c>
      <c r="P33" s="104">
        <f t="shared" si="8"/>
        <v>0</v>
      </c>
      <c r="Q33" s="178"/>
      <c r="R33" s="191"/>
      <c r="S33" s="200"/>
      <c r="T33" s="197"/>
      <c r="U33" s="196">
        <v>0</v>
      </c>
      <c r="V33" s="175">
        <f t="shared" si="9"/>
        <v>0</v>
      </c>
      <c r="W33" s="3"/>
      <c r="X33" s="3"/>
      <c r="Y33" s="31"/>
      <c r="Z33" s="31"/>
      <c r="AA33" s="31">
        <f t="shared" si="0"/>
        <v>0</v>
      </c>
      <c r="AB33" s="120">
        <f t="shared" si="1"/>
        <v>0</v>
      </c>
      <c r="AC33" s="125">
        <v>0</v>
      </c>
      <c r="AD33" s="3">
        <v>0</v>
      </c>
      <c r="AE33" s="3"/>
      <c r="AF33" s="3"/>
      <c r="AG33" s="3">
        <f t="shared" si="10"/>
        <v>0</v>
      </c>
      <c r="AH33" s="3"/>
      <c r="AI33" s="41">
        <f t="shared" si="3"/>
        <v>0</v>
      </c>
      <c r="AJ33" s="133"/>
      <c r="AK33" s="3"/>
      <c r="AL33" s="37">
        <f t="shared" si="4"/>
        <v>0</v>
      </c>
      <c r="AM33" s="7"/>
    </row>
    <row r="34" spans="1:39" x14ac:dyDescent="0.25">
      <c r="A34" s="33"/>
      <c r="B34" s="56">
        <v>23</v>
      </c>
      <c r="C34" s="140"/>
      <c r="D34" s="141"/>
      <c r="E34" s="100"/>
      <c r="F34" s="3"/>
      <c r="G34" s="35"/>
      <c r="H34" s="3"/>
      <c r="I34" s="99">
        <f t="shared" si="5"/>
        <v>0</v>
      </c>
      <c r="J34" s="100"/>
      <c r="K34" s="3"/>
      <c r="L34" s="173"/>
      <c r="M34" s="174"/>
      <c r="N34" s="92">
        <f t="shared" si="6"/>
        <v>0</v>
      </c>
      <c r="O34" s="101">
        <f t="shared" si="7"/>
        <v>0</v>
      </c>
      <c r="P34" s="104">
        <f t="shared" si="8"/>
        <v>0</v>
      </c>
      <c r="Q34" s="179"/>
      <c r="R34" s="192"/>
      <c r="S34" s="200"/>
      <c r="T34" s="197"/>
      <c r="U34" s="196">
        <v>0</v>
      </c>
      <c r="V34" s="175">
        <f t="shared" si="9"/>
        <v>0</v>
      </c>
      <c r="W34" s="3"/>
      <c r="X34" s="3"/>
      <c r="Y34" s="31"/>
      <c r="Z34" s="31"/>
      <c r="AA34" s="31">
        <f t="shared" si="0"/>
        <v>0</v>
      </c>
      <c r="AB34" s="120">
        <f t="shared" si="1"/>
        <v>0</v>
      </c>
      <c r="AC34" s="125">
        <v>0</v>
      </c>
      <c r="AD34" s="3">
        <v>0</v>
      </c>
      <c r="AE34" s="3"/>
      <c r="AF34" s="3"/>
      <c r="AG34" s="3">
        <f t="shared" si="10"/>
        <v>0</v>
      </c>
      <c r="AH34" s="3"/>
      <c r="AI34" s="41">
        <f t="shared" si="3"/>
        <v>0</v>
      </c>
      <c r="AJ34" s="133"/>
      <c r="AK34" s="3"/>
      <c r="AL34" s="37">
        <f t="shared" si="4"/>
        <v>0</v>
      </c>
      <c r="AM34" s="7"/>
    </row>
    <row r="35" spans="1:39" x14ac:dyDescent="0.25">
      <c r="A35" s="33"/>
      <c r="B35" s="56">
        <v>24</v>
      </c>
      <c r="C35" s="140"/>
      <c r="D35" s="141"/>
      <c r="E35" s="100"/>
      <c r="F35" s="3"/>
      <c r="G35" s="35"/>
      <c r="H35" s="3"/>
      <c r="I35" s="99">
        <f t="shared" si="5"/>
        <v>0</v>
      </c>
      <c r="J35" s="100"/>
      <c r="K35" s="3"/>
      <c r="L35" s="173"/>
      <c r="M35" s="174"/>
      <c r="N35" s="92">
        <f t="shared" si="6"/>
        <v>0</v>
      </c>
      <c r="O35" s="101">
        <f t="shared" si="7"/>
        <v>0</v>
      </c>
      <c r="P35" s="104">
        <f t="shared" si="8"/>
        <v>0</v>
      </c>
      <c r="Q35" s="178"/>
      <c r="R35" s="190"/>
      <c r="S35" s="200"/>
      <c r="T35" s="197"/>
      <c r="U35" s="196">
        <v>0</v>
      </c>
      <c r="V35" s="175">
        <f t="shared" si="9"/>
        <v>0</v>
      </c>
      <c r="W35" s="3"/>
      <c r="X35" s="3"/>
      <c r="Y35" s="31"/>
      <c r="Z35" s="31"/>
      <c r="AA35" s="31">
        <f t="shared" si="0"/>
        <v>0</v>
      </c>
      <c r="AB35" s="120">
        <f t="shared" si="1"/>
        <v>0</v>
      </c>
      <c r="AC35" s="125">
        <v>0</v>
      </c>
      <c r="AD35" s="3">
        <v>0</v>
      </c>
      <c r="AE35" s="3"/>
      <c r="AF35" s="3"/>
      <c r="AG35" s="3">
        <f t="shared" si="10"/>
        <v>0</v>
      </c>
      <c r="AH35" s="3"/>
      <c r="AI35" s="41">
        <f t="shared" si="3"/>
        <v>0</v>
      </c>
      <c r="AJ35" s="133"/>
      <c r="AK35" s="3"/>
      <c r="AL35" s="37">
        <f t="shared" si="4"/>
        <v>0</v>
      </c>
      <c r="AM35" s="7"/>
    </row>
    <row r="36" spans="1:39" x14ac:dyDescent="0.25">
      <c r="A36" s="33"/>
      <c r="B36" s="56">
        <v>25</v>
      </c>
      <c r="C36" s="140"/>
      <c r="D36" s="141"/>
      <c r="E36" s="100"/>
      <c r="F36" s="3"/>
      <c r="G36" s="35"/>
      <c r="H36" s="3"/>
      <c r="I36" s="99">
        <f t="shared" si="5"/>
        <v>0</v>
      </c>
      <c r="J36" s="100"/>
      <c r="K36" s="3"/>
      <c r="L36" s="173"/>
      <c r="M36" s="174"/>
      <c r="N36" s="92">
        <f t="shared" si="6"/>
        <v>0</v>
      </c>
      <c r="O36" s="101">
        <f t="shared" si="7"/>
        <v>0</v>
      </c>
      <c r="P36" s="104">
        <f t="shared" si="8"/>
        <v>0</v>
      </c>
      <c r="Q36" s="178"/>
      <c r="R36" s="190"/>
      <c r="S36" s="200"/>
      <c r="T36" s="197"/>
      <c r="U36" s="196">
        <v>0</v>
      </c>
      <c r="V36" s="175">
        <f t="shared" si="9"/>
        <v>0</v>
      </c>
      <c r="W36" s="3"/>
      <c r="X36" s="3"/>
      <c r="Y36" s="31"/>
      <c r="Z36" s="31"/>
      <c r="AA36" s="31">
        <f t="shared" si="0"/>
        <v>0</v>
      </c>
      <c r="AB36" s="120">
        <f t="shared" si="1"/>
        <v>0</v>
      </c>
      <c r="AC36" s="125">
        <v>0</v>
      </c>
      <c r="AD36" s="3">
        <v>0</v>
      </c>
      <c r="AE36" s="3"/>
      <c r="AF36" s="3"/>
      <c r="AG36" s="3">
        <f t="shared" si="10"/>
        <v>0</v>
      </c>
      <c r="AH36" s="3"/>
      <c r="AI36" s="41">
        <f t="shared" si="3"/>
        <v>0</v>
      </c>
      <c r="AJ36" s="133"/>
      <c r="AK36" s="3"/>
      <c r="AL36" s="37">
        <f t="shared" si="4"/>
        <v>0</v>
      </c>
      <c r="AM36" s="7"/>
    </row>
    <row r="37" spans="1:39" x14ac:dyDescent="0.25">
      <c r="A37" s="33"/>
      <c r="B37" s="56">
        <v>26</v>
      </c>
      <c r="C37" s="140"/>
      <c r="D37" s="141"/>
      <c r="E37" s="100"/>
      <c r="F37" s="3"/>
      <c r="G37" s="35"/>
      <c r="H37" s="3"/>
      <c r="I37" s="99">
        <f t="shared" si="5"/>
        <v>0</v>
      </c>
      <c r="J37" s="100"/>
      <c r="K37" s="3"/>
      <c r="L37" s="173"/>
      <c r="M37" s="174"/>
      <c r="N37" s="92">
        <f t="shared" si="6"/>
        <v>0</v>
      </c>
      <c r="O37" s="101">
        <f t="shared" si="7"/>
        <v>0</v>
      </c>
      <c r="P37" s="104">
        <f t="shared" si="8"/>
        <v>0</v>
      </c>
      <c r="Q37" s="178"/>
      <c r="R37" s="190"/>
      <c r="S37" s="200"/>
      <c r="T37" s="197"/>
      <c r="U37" s="196">
        <v>0</v>
      </c>
      <c r="V37" s="175">
        <f t="shared" si="9"/>
        <v>0</v>
      </c>
      <c r="W37" s="3"/>
      <c r="X37" s="3"/>
      <c r="Y37" s="31"/>
      <c r="Z37" s="31"/>
      <c r="AA37" s="31">
        <f t="shared" si="0"/>
        <v>0</v>
      </c>
      <c r="AB37" s="120">
        <f t="shared" si="1"/>
        <v>0</v>
      </c>
      <c r="AC37" s="125">
        <v>0</v>
      </c>
      <c r="AD37" s="3">
        <v>0</v>
      </c>
      <c r="AE37" s="3"/>
      <c r="AF37" s="3"/>
      <c r="AG37" s="3">
        <f t="shared" si="10"/>
        <v>0</v>
      </c>
      <c r="AH37" s="3"/>
      <c r="AI37" s="41">
        <f t="shared" si="3"/>
        <v>0</v>
      </c>
      <c r="AJ37" s="133"/>
      <c r="AK37" s="3"/>
      <c r="AL37" s="37">
        <f t="shared" si="4"/>
        <v>0</v>
      </c>
      <c r="AM37" s="7"/>
    </row>
    <row r="38" spans="1:39" x14ac:dyDescent="0.25">
      <c r="A38" s="33"/>
      <c r="B38" s="56">
        <v>27</v>
      </c>
      <c r="C38" s="140"/>
      <c r="D38" s="141"/>
      <c r="E38" s="100"/>
      <c r="F38" s="3"/>
      <c r="G38" s="35"/>
      <c r="H38" s="3"/>
      <c r="I38" s="99">
        <f t="shared" si="5"/>
        <v>0</v>
      </c>
      <c r="J38" s="100"/>
      <c r="K38" s="3"/>
      <c r="L38" s="173"/>
      <c r="M38" s="174"/>
      <c r="N38" s="92">
        <f t="shared" si="6"/>
        <v>0</v>
      </c>
      <c r="O38" s="101">
        <f t="shared" si="7"/>
        <v>0</v>
      </c>
      <c r="P38" s="104">
        <f t="shared" si="8"/>
        <v>0</v>
      </c>
      <c r="Q38" s="178"/>
      <c r="R38" s="190"/>
      <c r="S38" s="200"/>
      <c r="T38" s="197"/>
      <c r="U38" s="196">
        <v>0</v>
      </c>
      <c r="V38" s="175">
        <f t="shared" si="9"/>
        <v>0</v>
      </c>
      <c r="W38" s="3"/>
      <c r="X38" s="3"/>
      <c r="Y38" s="31"/>
      <c r="Z38" s="31"/>
      <c r="AA38" s="31">
        <f t="shared" si="0"/>
        <v>0</v>
      </c>
      <c r="AB38" s="120">
        <f t="shared" si="1"/>
        <v>0</v>
      </c>
      <c r="AC38" s="125">
        <v>0</v>
      </c>
      <c r="AD38" s="3">
        <v>0</v>
      </c>
      <c r="AE38" s="3"/>
      <c r="AF38" s="3"/>
      <c r="AG38" s="3">
        <f t="shared" si="10"/>
        <v>0</v>
      </c>
      <c r="AH38" s="3"/>
      <c r="AI38" s="41">
        <f t="shared" si="3"/>
        <v>0</v>
      </c>
      <c r="AJ38" s="133"/>
      <c r="AK38" s="3"/>
      <c r="AL38" s="37">
        <f t="shared" si="4"/>
        <v>0</v>
      </c>
      <c r="AM38" s="7"/>
    </row>
    <row r="39" spans="1:39" x14ac:dyDescent="0.25">
      <c r="A39" s="33"/>
      <c r="B39" s="56">
        <v>28</v>
      </c>
      <c r="C39" s="140"/>
      <c r="D39" s="141"/>
      <c r="E39" s="100"/>
      <c r="F39" s="3"/>
      <c r="G39" s="35"/>
      <c r="H39" s="3"/>
      <c r="I39" s="99">
        <f t="shared" si="5"/>
        <v>0</v>
      </c>
      <c r="J39" s="100"/>
      <c r="K39" s="3"/>
      <c r="L39" s="173"/>
      <c r="M39" s="174"/>
      <c r="N39" s="92">
        <f t="shared" si="6"/>
        <v>0</v>
      </c>
      <c r="O39" s="101">
        <f t="shared" si="7"/>
        <v>0</v>
      </c>
      <c r="P39" s="104">
        <f t="shared" si="8"/>
        <v>0</v>
      </c>
      <c r="Q39" s="178"/>
      <c r="R39" s="193"/>
      <c r="S39" s="200"/>
      <c r="T39" s="197"/>
      <c r="U39" s="196">
        <v>0</v>
      </c>
      <c r="V39" s="175">
        <f t="shared" si="9"/>
        <v>0</v>
      </c>
      <c r="W39" s="3"/>
      <c r="X39" s="3"/>
      <c r="Y39" s="31"/>
      <c r="Z39" s="31"/>
      <c r="AA39" s="31">
        <f t="shared" si="0"/>
        <v>0</v>
      </c>
      <c r="AB39" s="120">
        <f t="shared" si="1"/>
        <v>0</v>
      </c>
      <c r="AC39" s="125">
        <v>0</v>
      </c>
      <c r="AD39" s="3">
        <v>0</v>
      </c>
      <c r="AE39" s="3"/>
      <c r="AF39" s="3"/>
      <c r="AG39" s="3">
        <f t="shared" si="10"/>
        <v>0</v>
      </c>
      <c r="AH39" s="3"/>
      <c r="AI39" s="41">
        <f t="shared" si="3"/>
        <v>0</v>
      </c>
      <c r="AJ39" s="133"/>
      <c r="AK39" s="3"/>
      <c r="AL39" s="37">
        <f t="shared" si="4"/>
        <v>0</v>
      </c>
      <c r="AM39" s="7"/>
    </row>
    <row r="40" spans="1:39" x14ac:dyDescent="0.25">
      <c r="A40" s="33"/>
      <c r="B40" s="56">
        <v>29</v>
      </c>
      <c r="C40" s="140"/>
      <c r="D40" s="141"/>
      <c r="E40" s="100"/>
      <c r="F40" s="3"/>
      <c r="G40" s="35"/>
      <c r="H40" s="3"/>
      <c r="I40" s="99">
        <f t="shared" si="5"/>
        <v>0</v>
      </c>
      <c r="J40" s="100"/>
      <c r="K40" s="3"/>
      <c r="L40" s="173"/>
      <c r="M40" s="174"/>
      <c r="N40" s="92">
        <f t="shared" si="6"/>
        <v>0</v>
      </c>
      <c r="O40" s="101">
        <f t="shared" ref="O40:O41" si="11">N40+I40</f>
        <v>0</v>
      </c>
      <c r="P40" s="104">
        <f t="shared" ref="P40:P41" si="12">L40+J40+G40+E40</f>
        <v>0</v>
      </c>
      <c r="Q40" s="179"/>
      <c r="R40" s="194"/>
      <c r="S40" s="200"/>
      <c r="T40" s="197"/>
      <c r="U40" s="196">
        <v>0</v>
      </c>
      <c r="V40" s="175">
        <f t="shared" si="9"/>
        <v>0</v>
      </c>
      <c r="W40" s="3"/>
      <c r="X40" s="3"/>
      <c r="Y40" s="31"/>
      <c r="Z40" s="31"/>
      <c r="AA40" s="31">
        <f t="shared" ref="AA40:AA41" si="13">Z40+X40</f>
        <v>0</v>
      </c>
      <c r="AB40" s="120">
        <f t="shared" si="1"/>
        <v>0</v>
      </c>
      <c r="AC40" s="125">
        <v>0</v>
      </c>
      <c r="AD40" s="3">
        <v>0</v>
      </c>
      <c r="AE40" s="3"/>
      <c r="AF40" s="3"/>
      <c r="AG40" s="3">
        <f t="shared" si="10"/>
        <v>0</v>
      </c>
      <c r="AH40" s="3"/>
      <c r="AI40" s="41">
        <f t="shared" si="3"/>
        <v>0</v>
      </c>
      <c r="AJ40" s="133"/>
      <c r="AK40" s="3"/>
      <c r="AL40" s="37">
        <f t="shared" si="4"/>
        <v>0</v>
      </c>
      <c r="AM40" s="7"/>
    </row>
    <row r="41" spans="1:39" ht="17.25" customHeight="1" x14ac:dyDescent="0.25">
      <c r="A41" s="33"/>
      <c r="B41" s="56">
        <v>30</v>
      </c>
      <c r="C41" s="140"/>
      <c r="D41" s="141"/>
      <c r="E41" s="100"/>
      <c r="F41" s="3"/>
      <c r="G41" s="35"/>
      <c r="H41" s="3"/>
      <c r="I41" s="99">
        <f t="shared" si="5"/>
        <v>0</v>
      </c>
      <c r="J41" s="100"/>
      <c r="K41" s="3"/>
      <c r="L41" s="173"/>
      <c r="M41" s="174"/>
      <c r="N41" s="92">
        <f t="shared" si="6"/>
        <v>0</v>
      </c>
      <c r="O41" s="101">
        <f t="shared" si="11"/>
        <v>0</v>
      </c>
      <c r="P41" s="104">
        <f t="shared" si="12"/>
        <v>0</v>
      </c>
      <c r="Q41" s="178"/>
      <c r="R41" s="195"/>
      <c r="S41" s="200"/>
      <c r="T41" s="197"/>
      <c r="U41" s="196">
        <v>0</v>
      </c>
      <c r="V41" s="175">
        <f t="shared" si="9"/>
        <v>0</v>
      </c>
      <c r="W41" s="3"/>
      <c r="X41" s="3"/>
      <c r="Y41" s="31"/>
      <c r="Z41" s="31"/>
      <c r="AA41" s="31">
        <f t="shared" si="13"/>
        <v>0</v>
      </c>
      <c r="AB41" s="120">
        <f t="shared" si="1"/>
        <v>0</v>
      </c>
      <c r="AC41" s="125">
        <v>0</v>
      </c>
      <c r="AD41" s="3">
        <v>0</v>
      </c>
      <c r="AE41" s="3"/>
      <c r="AF41" s="3"/>
      <c r="AG41" s="3">
        <f>+AE41+AF41</f>
        <v>0</v>
      </c>
      <c r="AH41" s="3"/>
      <c r="AI41" s="41">
        <f t="shared" si="3"/>
        <v>0</v>
      </c>
      <c r="AJ41" s="133"/>
      <c r="AK41" s="3"/>
      <c r="AL41" s="37">
        <f t="shared" si="4"/>
        <v>0</v>
      </c>
      <c r="AM41" s="7"/>
    </row>
    <row r="42" spans="1:39" ht="16.5" thickBot="1" x14ac:dyDescent="0.3">
      <c r="A42" s="33"/>
      <c r="B42" s="115"/>
      <c r="C42" s="208"/>
      <c r="D42" s="209"/>
      <c r="E42" s="210"/>
      <c r="F42" s="93"/>
      <c r="G42" s="211"/>
      <c r="H42" s="93"/>
      <c r="I42" s="212"/>
      <c r="J42" s="210"/>
      <c r="K42" s="93"/>
      <c r="L42" s="213"/>
      <c r="M42" s="214"/>
      <c r="N42" s="94"/>
      <c r="O42" s="102"/>
      <c r="P42" s="105"/>
      <c r="Q42" s="215"/>
      <c r="R42" s="216"/>
      <c r="S42" s="201"/>
      <c r="T42" s="201"/>
      <c r="U42" s="217"/>
      <c r="V42" s="218"/>
      <c r="W42" s="93"/>
      <c r="X42" s="93"/>
      <c r="Y42" s="219"/>
      <c r="Z42" s="219"/>
      <c r="AA42" s="219"/>
      <c r="AB42" s="220"/>
      <c r="AC42" s="93"/>
      <c r="AD42" s="93"/>
      <c r="AE42" s="93"/>
      <c r="AF42" s="93"/>
      <c r="AG42" s="93"/>
      <c r="AH42" s="93"/>
      <c r="AI42" s="221"/>
      <c r="AJ42" s="222"/>
      <c r="AK42" s="93"/>
      <c r="AL42" s="223"/>
      <c r="AM42" s="7"/>
    </row>
    <row r="43" spans="1:39" s="8" customFormat="1" ht="4.5" customHeight="1" x14ac:dyDescent="0.25">
      <c r="A43" s="15"/>
      <c r="B43" s="110"/>
      <c r="C43" s="111"/>
      <c r="D43" s="111"/>
      <c r="E43" s="109"/>
      <c r="F43" s="7"/>
      <c r="G43" s="15"/>
      <c r="H43" s="7"/>
      <c r="I43" s="15"/>
      <c r="J43" s="15"/>
      <c r="K43" s="15"/>
      <c r="L43" s="7"/>
      <c r="M43" s="60"/>
      <c r="N43" s="64"/>
      <c r="O43" s="15"/>
      <c r="P43" s="64"/>
      <c r="Q43" s="15"/>
      <c r="R43" s="84"/>
      <c r="S43" s="7"/>
      <c r="T43" s="15"/>
      <c r="U43" s="32"/>
      <c r="V43" s="121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4"/>
      <c r="AK43" s="15"/>
      <c r="AL43" s="32"/>
      <c r="AM43" s="15"/>
    </row>
    <row r="44" spans="1:39" s="8" customFormat="1" ht="6" customHeight="1" x14ac:dyDescent="0.25">
      <c r="A44" s="15"/>
      <c r="B44" s="110"/>
      <c r="C44" s="111"/>
      <c r="D44" s="111"/>
      <c r="E44" s="109"/>
      <c r="F44" s="7"/>
      <c r="G44" s="15"/>
      <c r="H44" s="7"/>
      <c r="I44" s="15"/>
      <c r="J44" s="15"/>
      <c r="K44" s="15"/>
      <c r="L44" s="7"/>
      <c r="M44" s="60"/>
      <c r="N44" s="64"/>
      <c r="O44" s="15"/>
      <c r="P44" s="64"/>
      <c r="Q44" s="15"/>
      <c r="R44" s="84"/>
      <c r="S44" s="16"/>
      <c r="T44" s="16"/>
      <c r="U44" s="32"/>
      <c r="V44" s="121"/>
      <c r="W44" s="15"/>
      <c r="X44" s="15"/>
      <c r="Y44" s="15"/>
      <c r="Z44" s="15"/>
      <c r="AA44" s="15"/>
      <c r="AB44" s="122"/>
      <c r="AC44" s="15"/>
      <c r="AD44" s="7"/>
      <c r="AE44" s="15"/>
      <c r="AF44" s="15"/>
      <c r="AG44" s="15"/>
      <c r="AH44" s="7"/>
      <c r="AI44" s="15"/>
      <c r="AJ44" s="86"/>
      <c r="AK44" s="5"/>
      <c r="AL44" s="38"/>
      <c r="AM44" s="15"/>
    </row>
    <row r="45" spans="1:39" s="8" customFormat="1" ht="16.5" thickBot="1" x14ac:dyDescent="0.3">
      <c r="A45" s="15"/>
      <c r="B45" s="112"/>
      <c r="C45" s="113"/>
      <c r="D45" s="113"/>
      <c r="E45" s="114"/>
      <c r="F45" s="70"/>
      <c r="G45" s="69"/>
      <c r="H45" s="70"/>
      <c r="I45" s="69"/>
      <c r="J45" s="69"/>
      <c r="K45" s="69"/>
      <c r="L45" s="70"/>
      <c r="M45" s="71"/>
      <c r="N45" s="72"/>
      <c r="O45" s="69"/>
      <c r="P45" s="72"/>
      <c r="Q45" s="69"/>
      <c r="R45" s="85"/>
      <c r="S45" s="73"/>
      <c r="T45" s="69"/>
      <c r="U45" s="176"/>
      <c r="V45" s="123"/>
      <c r="W45" s="75"/>
      <c r="X45" s="69"/>
      <c r="Y45" s="69"/>
      <c r="Z45" s="69"/>
      <c r="AA45" s="69"/>
      <c r="AB45" s="74"/>
      <c r="AC45" s="76"/>
      <c r="AD45" s="70"/>
      <c r="AE45" s="76"/>
      <c r="AF45" s="76"/>
      <c r="AG45" s="76"/>
      <c r="AH45" s="70"/>
      <c r="AI45" s="69"/>
      <c r="AJ45" s="134"/>
      <c r="AK45" s="77"/>
      <c r="AL45" s="78"/>
      <c r="AM45" s="15"/>
    </row>
    <row r="46" spans="1:39" ht="17.25" thickTop="1" thickBot="1" x14ac:dyDescent="0.3">
      <c r="A46" s="24"/>
      <c r="B46" s="67"/>
      <c r="C46" s="68">
        <f t="shared" ref="C46:P46" si="14">SUM(C12:C42)</f>
        <v>421</v>
      </c>
      <c r="D46" s="68">
        <f t="shared" si="14"/>
        <v>3288</v>
      </c>
      <c r="E46" s="68">
        <f t="shared" si="14"/>
        <v>231119.99999999983</v>
      </c>
      <c r="F46" s="68">
        <f t="shared" si="14"/>
        <v>251358947.27999988</v>
      </c>
      <c r="G46" s="68">
        <f t="shared" si="14"/>
        <v>48559.999999999927</v>
      </c>
      <c r="H46" s="68">
        <f t="shared" si="14"/>
        <v>79218525.959999919</v>
      </c>
      <c r="I46" s="68">
        <f t="shared" si="14"/>
        <v>330577473.23999983</v>
      </c>
      <c r="J46" s="68">
        <f t="shared" si="14"/>
        <v>30739.999999999953</v>
      </c>
      <c r="K46" s="68">
        <f t="shared" si="14"/>
        <v>33431871.05999995</v>
      </c>
      <c r="L46" s="68">
        <f t="shared" si="14"/>
        <v>8740.0000000000091</v>
      </c>
      <c r="M46" s="68">
        <f t="shared" si="14"/>
        <v>14258029.590000018</v>
      </c>
      <c r="N46" s="68">
        <f t="shared" si="14"/>
        <v>47689900.649999969</v>
      </c>
      <c r="O46" s="68">
        <f t="shared" si="14"/>
        <v>378267373.88999981</v>
      </c>
      <c r="P46" s="80">
        <f>SUM(P12:P42)</f>
        <v>319159.99999999977</v>
      </c>
      <c r="Q46" s="177"/>
      <c r="R46" s="116"/>
      <c r="S46" s="108">
        <f>Q46+P46</f>
        <v>319159.99999999977</v>
      </c>
      <c r="T46" s="108">
        <f>R46+O46</f>
        <v>378267373.88999981</v>
      </c>
      <c r="U46" s="128">
        <f>T46/AL47</f>
        <v>29151.105910177859</v>
      </c>
      <c r="V46" s="166">
        <f t="shared" ref="V46:AA46" si="15">SUM(V12:V41)</f>
        <v>14727</v>
      </c>
      <c r="W46" s="50">
        <f t="shared" si="15"/>
        <v>3824</v>
      </c>
      <c r="X46" s="50">
        <f t="shared" si="15"/>
        <v>68735401.272389352</v>
      </c>
      <c r="Y46" s="50">
        <f t="shared" si="15"/>
        <v>10903</v>
      </c>
      <c r="Z46" s="50">
        <f t="shared" si="15"/>
        <v>51323828.754634179</v>
      </c>
      <c r="AA46" s="127">
        <f t="shared" si="15"/>
        <v>120059230.02702355</v>
      </c>
      <c r="AB46" s="117">
        <f>AA46/$AL$47</f>
        <v>9252.3425798544522</v>
      </c>
      <c r="AC46" s="42">
        <f>SUM(AC12:AC41)</f>
        <v>0</v>
      </c>
      <c r="AD46" s="129">
        <f>SUM(AD12:AD41)</f>
        <v>0</v>
      </c>
      <c r="AE46" s="42">
        <f>SUM(AE12:AE41)</f>
        <v>2300</v>
      </c>
      <c r="AF46" s="42">
        <f>SUM(AF12:AF41)</f>
        <v>180</v>
      </c>
      <c r="AG46" s="199">
        <f>SUM(AG12:AG41)</f>
        <v>2480</v>
      </c>
      <c r="AH46" s="137">
        <f>SUM(AH12:AH42)</f>
        <v>39828500</v>
      </c>
      <c r="AI46" s="138">
        <f>AH46/$AL$47</f>
        <v>3069.3760601228873</v>
      </c>
      <c r="AJ46" s="198">
        <f>SUM(AJ12:AJ42)</f>
        <v>7041.7100000000355</v>
      </c>
      <c r="AK46" s="135">
        <f>SUM(AK12:AK41)</f>
        <v>84500520.000000417</v>
      </c>
      <c r="AL46" s="136">
        <f>AK46/AL47</f>
        <v>6512.0171022241993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61"/>
      <c r="N47" s="65"/>
      <c r="O47" s="10"/>
      <c r="P47" s="65"/>
      <c r="Q47" s="10"/>
      <c r="R47" s="107"/>
      <c r="S47" s="14"/>
      <c r="T47" s="79" t="s">
        <v>29</v>
      </c>
      <c r="U47" s="142">
        <f>U46/S46</f>
        <v>9.1336965503753226E-2</v>
      </c>
      <c r="V47" s="180" t="s">
        <v>52</v>
      </c>
      <c r="W47" s="11"/>
      <c r="X47" s="11"/>
      <c r="Y47" s="130"/>
      <c r="Z47" s="11"/>
      <c r="AA47" s="11"/>
      <c r="AB47" s="11"/>
      <c r="AC47" s="16"/>
      <c r="AD47" s="7"/>
      <c r="AE47" s="16"/>
      <c r="AF47" s="16"/>
      <c r="AG47" s="7"/>
      <c r="AH47" s="204"/>
      <c r="AI47" s="11"/>
      <c r="AJ47" s="86"/>
      <c r="AK47" s="11" t="s">
        <v>54</v>
      </c>
      <c r="AL47" s="139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61"/>
      <c r="N48" s="65"/>
      <c r="O48" s="10"/>
      <c r="P48" s="65"/>
      <c r="Q48" s="10"/>
      <c r="R48" s="107"/>
      <c r="S48" s="14"/>
      <c r="T48" s="205"/>
      <c r="U48" s="142"/>
      <c r="V48" s="180"/>
      <c r="W48" s="11"/>
      <c r="X48" s="203"/>
      <c r="Y48" s="130"/>
      <c r="Z48" s="203"/>
      <c r="AA48" s="11"/>
      <c r="AB48" s="11"/>
      <c r="AC48" s="16"/>
      <c r="AD48" s="7"/>
      <c r="AE48" s="16"/>
      <c r="AF48" s="16"/>
      <c r="AG48" s="7"/>
      <c r="AH48" s="204"/>
      <c r="AI48" s="11"/>
      <c r="AJ48" s="86"/>
      <c r="AK48" s="11"/>
      <c r="AL48" s="139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61"/>
      <c r="N49" s="65"/>
      <c r="O49" s="10"/>
      <c r="P49" s="65"/>
      <c r="Q49" s="10"/>
      <c r="R49" s="107"/>
      <c r="S49" s="14"/>
      <c r="T49" s="79"/>
      <c r="U49" s="142"/>
      <c r="V49" s="180"/>
      <c r="W49" s="11"/>
      <c r="X49" s="11"/>
      <c r="Y49" s="130"/>
      <c r="Z49" s="203"/>
      <c r="AA49" s="11"/>
      <c r="AB49" s="11"/>
      <c r="AC49" s="16"/>
      <c r="AD49" s="7"/>
      <c r="AE49" s="16"/>
      <c r="AF49" s="16"/>
      <c r="AG49" s="225"/>
      <c r="AH49" s="204"/>
      <c r="AI49" s="11"/>
      <c r="AJ49" s="86"/>
      <c r="AK49" s="11"/>
      <c r="AL49" s="139"/>
      <c r="AM49" s="24"/>
    </row>
    <row r="50" spans="1:39" s="183" customFormat="1" x14ac:dyDescent="0.25">
      <c r="A50" s="181"/>
      <c r="B50" s="181"/>
      <c r="C50" s="182"/>
      <c r="E50" s="182"/>
      <c r="F50" s="182"/>
      <c r="H50" s="182"/>
      <c r="L50" s="182"/>
      <c r="M50" s="184"/>
      <c r="N50" s="185"/>
      <c r="P50" s="185"/>
      <c r="R50" s="186"/>
      <c r="T50" s="202"/>
      <c r="Y50" s="224"/>
      <c r="AD50" s="182"/>
      <c r="AH50" s="182"/>
      <c r="AJ50" s="186"/>
      <c r="AL50" s="187"/>
      <c r="AM50" s="181"/>
    </row>
    <row r="51" spans="1:39" s="183" customFormat="1" x14ac:dyDescent="0.25">
      <c r="A51" s="181"/>
      <c r="B51" s="181"/>
      <c r="C51" s="182"/>
      <c r="E51" s="182"/>
      <c r="F51" s="182"/>
      <c r="H51" s="182"/>
      <c r="L51" s="182"/>
      <c r="M51" s="184"/>
      <c r="N51" s="185"/>
      <c r="P51" s="185"/>
      <c r="R51" s="186"/>
      <c r="T51" s="202"/>
      <c r="AD51" s="182"/>
      <c r="AH51" s="182"/>
      <c r="AJ51" s="186"/>
      <c r="AL51" s="187"/>
      <c r="AM51" s="181"/>
    </row>
    <row r="52" spans="1:39" s="183" customFormat="1" x14ac:dyDescent="0.25">
      <c r="A52" s="181"/>
      <c r="B52" s="181"/>
      <c r="C52" s="182"/>
      <c r="E52" s="182"/>
      <c r="F52" s="182"/>
      <c r="H52" s="182"/>
      <c r="L52" s="182"/>
      <c r="M52" s="184"/>
      <c r="N52" s="185"/>
      <c r="P52" s="185"/>
      <c r="R52" s="186"/>
      <c r="X52" s="202"/>
      <c r="AD52" s="182"/>
      <c r="AH52" s="182"/>
      <c r="AJ52" s="186"/>
      <c r="AL52" s="187"/>
      <c r="AM52" s="181"/>
    </row>
    <row r="53" spans="1:39" s="183" customFormat="1" x14ac:dyDescent="0.25">
      <c r="A53" s="181"/>
      <c r="B53" s="181"/>
      <c r="C53" s="182"/>
      <c r="E53" s="182"/>
      <c r="F53" s="182"/>
      <c r="H53" s="182"/>
      <c r="L53" s="182"/>
      <c r="M53" s="184"/>
      <c r="N53" s="185"/>
      <c r="P53" s="185"/>
      <c r="R53" s="186"/>
      <c r="S53" s="202"/>
      <c r="AD53" s="182"/>
      <c r="AH53" s="182"/>
      <c r="AJ53" s="186"/>
      <c r="AL53" s="187"/>
      <c r="AM53" s="181"/>
    </row>
    <row r="54" spans="1:39" s="183" customFormat="1" x14ac:dyDescent="0.25">
      <c r="A54" s="181"/>
      <c r="B54" s="181"/>
      <c r="C54" s="182"/>
      <c r="E54" s="182"/>
      <c r="F54" s="182"/>
      <c r="H54" s="182"/>
      <c r="L54" s="182"/>
      <c r="M54" s="184"/>
      <c r="N54" s="185"/>
      <c r="P54" s="185"/>
      <c r="R54" s="186"/>
      <c r="T54" s="202"/>
      <c r="AD54" s="182"/>
      <c r="AH54" s="182"/>
      <c r="AJ54" s="186"/>
      <c r="AL54" s="187"/>
      <c r="AM54" s="181"/>
    </row>
    <row r="55" spans="1:39" s="183" customFormat="1" x14ac:dyDescent="0.25">
      <c r="A55" s="181"/>
      <c r="B55" s="181"/>
      <c r="C55" s="182"/>
      <c r="E55" s="182"/>
      <c r="F55" s="182"/>
      <c r="H55" s="182"/>
      <c r="L55" s="182"/>
      <c r="M55" s="184"/>
      <c r="N55" s="185"/>
      <c r="P55" s="185"/>
      <c r="R55" s="186"/>
      <c r="AD55" s="182"/>
      <c r="AH55" s="182"/>
      <c r="AJ55" s="186"/>
      <c r="AL55" s="187"/>
      <c r="AM55" s="181"/>
    </row>
    <row r="56" spans="1:39" s="183" customFormat="1" x14ac:dyDescent="0.25">
      <c r="A56" s="181"/>
      <c r="B56" s="181"/>
      <c r="C56" s="182"/>
      <c r="E56" s="182"/>
      <c r="F56" s="182"/>
      <c r="H56" s="182"/>
      <c r="L56" s="182"/>
      <c r="M56" s="184"/>
      <c r="N56" s="185"/>
      <c r="P56" s="185"/>
      <c r="R56" s="186"/>
      <c r="AD56" s="182"/>
      <c r="AH56" s="182"/>
      <c r="AJ56" s="186"/>
      <c r="AL56" s="187"/>
      <c r="AM56" s="181"/>
    </row>
    <row r="57" spans="1:39" s="183" customFormat="1" x14ac:dyDescent="0.25">
      <c r="A57" s="181"/>
      <c r="B57" s="181"/>
      <c r="C57" s="182"/>
      <c r="E57" s="182"/>
      <c r="F57" s="182"/>
      <c r="H57" s="182"/>
      <c r="L57" s="182"/>
      <c r="M57" s="184"/>
      <c r="N57" s="185"/>
      <c r="P57" s="185"/>
      <c r="R57" s="186"/>
      <c r="AD57" s="182"/>
      <c r="AH57" s="182"/>
      <c r="AJ57" s="186"/>
      <c r="AL57" s="187"/>
      <c r="AM57" s="181"/>
    </row>
    <row r="58" spans="1:39" s="183" customFormat="1" x14ac:dyDescent="0.25">
      <c r="A58" s="181"/>
      <c r="B58" s="181"/>
      <c r="C58" s="182"/>
      <c r="E58" s="182"/>
      <c r="F58" s="182"/>
      <c r="H58" s="182"/>
      <c r="L58" s="182"/>
      <c r="M58" s="184"/>
      <c r="N58" s="185"/>
      <c r="P58" s="185"/>
      <c r="R58" s="186"/>
      <c r="AD58" s="182"/>
      <c r="AH58" s="182"/>
      <c r="AJ58" s="186"/>
      <c r="AL58" s="187"/>
      <c r="AM58" s="181"/>
    </row>
    <row r="59" spans="1:39" s="183" customFormat="1" x14ac:dyDescent="0.25">
      <c r="A59" s="181"/>
      <c r="B59" s="181"/>
      <c r="C59" s="182"/>
      <c r="E59" s="182"/>
      <c r="F59" s="182"/>
      <c r="H59" s="182"/>
      <c r="L59" s="182"/>
      <c r="M59" s="184"/>
      <c r="N59" s="185"/>
      <c r="P59" s="185"/>
      <c r="R59" s="186"/>
      <c r="AD59" s="182"/>
      <c r="AH59" s="182"/>
      <c r="AJ59" s="186"/>
      <c r="AL59" s="187"/>
      <c r="AM59" s="181"/>
    </row>
    <row r="60" spans="1:39" s="183" customFormat="1" x14ac:dyDescent="0.25">
      <c r="A60" s="181"/>
      <c r="B60" s="181"/>
      <c r="C60" s="182"/>
      <c r="E60" s="182"/>
      <c r="F60" s="182"/>
      <c r="H60" s="182"/>
      <c r="L60" s="182"/>
      <c r="M60" s="184"/>
      <c r="N60" s="185"/>
      <c r="P60" s="185"/>
      <c r="R60" s="186"/>
      <c r="AD60" s="182"/>
      <c r="AH60" s="182"/>
      <c r="AJ60" s="186"/>
      <c r="AL60" s="187"/>
      <c r="AM60" s="181"/>
    </row>
    <row r="61" spans="1:39" s="183" customFormat="1" x14ac:dyDescent="0.25">
      <c r="A61" s="181"/>
      <c r="B61" s="181"/>
      <c r="C61" s="182"/>
      <c r="E61" s="182"/>
      <c r="F61" s="182"/>
      <c r="H61" s="182"/>
      <c r="L61" s="182"/>
      <c r="M61" s="184"/>
      <c r="N61" s="185"/>
      <c r="P61" s="185"/>
      <c r="R61" s="186"/>
      <c r="AD61" s="182"/>
      <c r="AH61" s="182"/>
      <c r="AJ61" s="186"/>
      <c r="AL61" s="187"/>
      <c r="AM61" s="181"/>
    </row>
    <row r="62" spans="1:39" s="183" customFormat="1" x14ac:dyDescent="0.25">
      <c r="A62" s="181"/>
      <c r="B62" s="181"/>
      <c r="C62" s="182"/>
      <c r="E62" s="182"/>
      <c r="F62" s="182"/>
      <c r="H62" s="182"/>
      <c r="I62" s="182"/>
      <c r="J62" s="182"/>
      <c r="L62" s="182"/>
      <c r="M62" s="184"/>
      <c r="N62" s="185"/>
      <c r="P62" s="185"/>
      <c r="R62" s="186"/>
      <c r="AD62" s="182"/>
      <c r="AH62" s="182"/>
      <c r="AJ62" s="186"/>
      <c r="AL62" s="187"/>
      <c r="AM62" s="181"/>
    </row>
    <row r="63" spans="1:39" s="183" customFormat="1" x14ac:dyDescent="0.25">
      <c r="A63" s="181"/>
      <c r="B63" s="181"/>
      <c r="C63" s="182"/>
      <c r="E63" s="182"/>
      <c r="F63" s="182"/>
      <c r="H63" s="182"/>
      <c r="L63" s="182"/>
      <c r="M63" s="184"/>
      <c r="N63" s="185"/>
      <c r="P63" s="185"/>
      <c r="R63" s="186"/>
      <c r="AD63" s="182"/>
      <c r="AH63" s="182"/>
      <c r="AJ63" s="186"/>
      <c r="AL63" s="187"/>
      <c r="AM63" s="181"/>
    </row>
    <row r="64" spans="1:39" s="183" customFormat="1" x14ac:dyDescent="0.25">
      <c r="A64" s="181"/>
      <c r="B64" s="181"/>
      <c r="C64" s="182"/>
      <c r="E64" s="182"/>
      <c r="F64" s="182"/>
      <c r="H64" s="182"/>
      <c r="L64" s="182"/>
      <c r="M64" s="184"/>
      <c r="N64" s="185"/>
      <c r="P64" s="185"/>
      <c r="R64" s="186"/>
      <c r="AD64" s="182"/>
      <c r="AH64" s="182"/>
      <c r="AJ64" s="186"/>
      <c r="AL64" s="187"/>
      <c r="AM64" s="181"/>
    </row>
    <row r="65" spans="1:39" s="183" customFormat="1" x14ac:dyDescent="0.25">
      <c r="A65" s="181"/>
      <c r="B65" s="181"/>
      <c r="C65" s="182"/>
      <c r="E65" s="182"/>
      <c r="F65" s="182"/>
      <c r="H65" s="182"/>
      <c r="L65" s="182"/>
      <c r="M65" s="184"/>
      <c r="N65" s="185"/>
      <c r="P65" s="185"/>
      <c r="R65" s="186"/>
      <c r="AD65" s="182"/>
      <c r="AH65" s="182"/>
      <c r="AJ65" s="186"/>
      <c r="AL65" s="187"/>
      <c r="AM65" s="181"/>
    </row>
    <row r="66" spans="1:39" s="183" customFormat="1" x14ac:dyDescent="0.25">
      <c r="A66" s="181"/>
      <c r="B66" s="181"/>
      <c r="C66" s="182"/>
      <c r="E66" s="182"/>
      <c r="F66" s="182"/>
      <c r="H66" s="182"/>
      <c r="L66" s="182"/>
      <c r="M66" s="184"/>
      <c r="N66" s="185"/>
      <c r="P66" s="185"/>
      <c r="R66" s="186"/>
      <c r="AD66" s="182"/>
      <c r="AH66" s="182"/>
      <c r="AJ66" s="186"/>
      <c r="AL66" s="187"/>
      <c r="AM66" s="181"/>
    </row>
    <row r="67" spans="1:39" s="183" customFormat="1" x14ac:dyDescent="0.25">
      <c r="A67" s="181"/>
      <c r="B67" s="181"/>
      <c r="C67" s="182"/>
      <c r="E67" s="182"/>
      <c r="F67" s="182"/>
      <c r="H67" s="182"/>
      <c r="L67" s="182"/>
      <c r="M67" s="184"/>
      <c r="N67" s="185"/>
      <c r="P67" s="185"/>
      <c r="R67" s="186"/>
      <c r="AD67" s="182"/>
      <c r="AH67" s="182"/>
      <c r="AJ67" s="186"/>
      <c r="AL67" s="187"/>
      <c r="AM67" s="181"/>
    </row>
    <row r="68" spans="1:39" s="183" customFormat="1" x14ac:dyDescent="0.25">
      <c r="A68" s="181"/>
      <c r="B68" s="181"/>
      <c r="C68" s="182"/>
      <c r="E68" s="182"/>
      <c r="F68" s="182"/>
      <c r="H68" s="182"/>
      <c r="L68" s="182"/>
      <c r="M68" s="184"/>
      <c r="N68" s="185"/>
      <c r="P68" s="185"/>
      <c r="R68" s="186"/>
      <c r="AD68" s="182"/>
      <c r="AH68" s="182"/>
      <c r="AJ68" s="186"/>
      <c r="AL68" s="187"/>
      <c r="AM68" s="181"/>
    </row>
    <row r="69" spans="1:39" s="183" customFormat="1" x14ac:dyDescent="0.25">
      <c r="A69" s="181"/>
      <c r="B69" s="181"/>
      <c r="C69" s="182"/>
      <c r="E69" s="182"/>
      <c r="F69" s="182"/>
      <c r="H69" s="182"/>
      <c r="L69" s="182"/>
      <c r="M69" s="184"/>
      <c r="N69" s="185"/>
      <c r="P69" s="185"/>
      <c r="R69" s="186"/>
      <c r="AD69" s="182"/>
      <c r="AH69" s="182"/>
      <c r="AJ69" s="186"/>
      <c r="AL69" s="187"/>
      <c r="AM69" s="181"/>
    </row>
  </sheetData>
  <mergeCells count="18"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AJ9:AL9"/>
    <mergeCell ref="R9:R10"/>
    <mergeCell ref="S9:S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9" sqref="F19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65">
        <v>44531</v>
      </c>
      <c r="B2" s="266"/>
      <c r="C2" s="266"/>
    </row>
    <row r="3" spans="1:3" x14ac:dyDescent="0.25">
      <c r="A3" s="268" t="s">
        <v>1</v>
      </c>
      <c r="B3" s="267" t="s">
        <v>2</v>
      </c>
      <c r="C3" s="267" t="s">
        <v>3</v>
      </c>
    </row>
    <row r="4" spans="1:3" x14ac:dyDescent="0.25">
      <c r="A4" s="268"/>
      <c r="B4" s="267"/>
      <c r="C4" s="267"/>
    </row>
    <row r="5" spans="1:3" x14ac:dyDescent="0.25">
      <c r="A5" s="268"/>
      <c r="B5" s="267"/>
      <c r="C5" s="267"/>
    </row>
    <row r="6" spans="1:3" x14ac:dyDescent="0.25">
      <c r="A6" s="2">
        <v>1</v>
      </c>
      <c r="B6" s="2">
        <v>15</v>
      </c>
      <c r="C6" s="2">
        <v>97</v>
      </c>
    </row>
    <row r="7" spans="1:3" x14ac:dyDescent="0.25">
      <c r="A7" s="2">
        <v>2</v>
      </c>
      <c r="B7" s="2">
        <v>18</v>
      </c>
      <c r="C7" s="2">
        <v>135</v>
      </c>
    </row>
    <row r="8" spans="1:3" x14ac:dyDescent="0.25">
      <c r="A8" s="2">
        <f>A7+1</f>
        <v>3</v>
      </c>
      <c r="B8" s="2">
        <v>14</v>
      </c>
      <c r="C8" s="2">
        <v>162</v>
      </c>
    </row>
    <row r="9" spans="1:3" x14ac:dyDescent="0.25">
      <c r="A9" s="2">
        <f>A8+1</f>
        <v>4</v>
      </c>
      <c r="B9" s="2">
        <v>9</v>
      </c>
      <c r="C9" s="2">
        <v>119</v>
      </c>
    </row>
    <row r="10" spans="1:3" x14ac:dyDescent="0.25">
      <c r="A10" s="2">
        <f t="shared" ref="A10:A36" si="0">A9+1</f>
        <v>5</v>
      </c>
      <c r="B10" s="2">
        <v>4</v>
      </c>
      <c r="C10" s="2">
        <v>136</v>
      </c>
    </row>
    <row r="11" spans="1:3" x14ac:dyDescent="0.25">
      <c r="A11" s="2">
        <f t="shared" si="0"/>
        <v>6</v>
      </c>
      <c r="B11" s="2">
        <v>12</v>
      </c>
      <c r="C11" s="2">
        <v>53</v>
      </c>
    </row>
    <row r="12" spans="1:3" x14ac:dyDescent="0.25">
      <c r="A12" s="2">
        <f t="shared" si="0"/>
        <v>7</v>
      </c>
      <c r="B12" s="2">
        <v>10</v>
      </c>
      <c r="C12" s="2">
        <v>79</v>
      </c>
    </row>
    <row r="13" spans="1:3" x14ac:dyDescent="0.25">
      <c r="A13" s="2">
        <f t="shared" si="0"/>
        <v>8</v>
      </c>
      <c r="B13" s="2">
        <v>12</v>
      </c>
      <c r="C13" s="2">
        <v>77</v>
      </c>
    </row>
    <row r="14" spans="1:3" x14ac:dyDescent="0.25">
      <c r="A14" s="2">
        <f t="shared" si="0"/>
        <v>9</v>
      </c>
      <c r="B14" s="2">
        <v>13</v>
      </c>
      <c r="C14" s="2">
        <v>101</v>
      </c>
    </row>
    <row r="15" spans="1:3" x14ac:dyDescent="0.25">
      <c r="A15" s="2">
        <f t="shared" si="0"/>
        <v>10</v>
      </c>
      <c r="B15" s="2">
        <v>17</v>
      </c>
      <c r="C15" s="2">
        <v>145</v>
      </c>
    </row>
    <row r="16" spans="1:3" x14ac:dyDescent="0.25">
      <c r="A16" s="2">
        <f t="shared" si="0"/>
        <v>11</v>
      </c>
      <c r="B16" s="2">
        <v>22</v>
      </c>
      <c r="C16" s="2">
        <v>365</v>
      </c>
    </row>
    <row r="17" spans="1:3" x14ac:dyDescent="0.25">
      <c r="A17" s="2">
        <f t="shared" si="0"/>
        <v>12</v>
      </c>
      <c r="B17" s="2">
        <v>26</v>
      </c>
      <c r="C17" s="2">
        <v>194</v>
      </c>
    </row>
    <row r="18" spans="1:3" x14ac:dyDescent="0.25">
      <c r="A18" s="2">
        <f t="shared" si="0"/>
        <v>13</v>
      </c>
      <c r="B18" s="2">
        <v>30</v>
      </c>
      <c r="C18" s="2">
        <v>189</v>
      </c>
    </row>
    <row r="19" spans="1:3" x14ac:dyDescent="0.25">
      <c r="A19" s="2">
        <f t="shared" si="0"/>
        <v>14</v>
      </c>
      <c r="B19" s="2">
        <v>21</v>
      </c>
      <c r="C19" s="2">
        <v>194</v>
      </c>
    </row>
    <row r="20" spans="1:3" x14ac:dyDescent="0.25">
      <c r="A20" s="2">
        <f t="shared" si="0"/>
        <v>15</v>
      </c>
      <c r="B20" s="2">
        <v>21</v>
      </c>
      <c r="C20" s="2">
        <v>177</v>
      </c>
    </row>
    <row r="21" spans="1:3" x14ac:dyDescent="0.25">
      <c r="A21" s="2">
        <f t="shared" si="0"/>
        <v>16</v>
      </c>
      <c r="B21" s="2">
        <v>23</v>
      </c>
      <c r="C21" s="2">
        <v>148</v>
      </c>
    </row>
    <row r="22" spans="1:3" x14ac:dyDescent="0.25">
      <c r="A22" s="2">
        <f t="shared" si="0"/>
        <v>17</v>
      </c>
      <c r="B22" s="2">
        <v>44</v>
      </c>
      <c r="C22" s="2">
        <v>214</v>
      </c>
    </row>
    <row r="23" spans="1:3" x14ac:dyDescent="0.25">
      <c r="A23" s="2">
        <f t="shared" si="0"/>
        <v>18</v>
      </c>
      <c r="B23" s="2">
        <v>53</v>
      </c>
      <c r="C23" s="2">
        <v>245</v>
      </c>
    </row>
    <row r="24" spans="1:3" x14ac:dyDescent="0.25">
      <c r="A24" s="2">
        <f t="shared" si="0"/>
        <v>19</v>
      </c>
      <c r="B24" s="2">
        <v>31</v>
      </c>
      <c r="C24" s="2">
        <v>286</v>
      </c>
    </row>
    <row r="25" spans="1:3" x14ac:dyDescent="0.25">
      <c r="A25" s="2">
        <f t="shared" si="0"/>
        <v>20</v>
      </c>
      <c r="B25" s="2">
        <v>26</v>
      </c>
      <c r="C25" s="2">
        <v>172</v>
      </c>
    </row>
    <row r="26" spans="1:3" x14ac:dyDescent="0.25">
      <c r="A26" s="2">
        <f t="shared" si="0"/>
        <v>21</v>
      </c>
      <c r="B26" s="2"/>
      <c r="C26" s="2"/>
    </row>
    <row r="27" spans="1:3" x14ac:dyDescent="0.25">
      <c r="A27" s="2">
        <f t="shared" si="0"/>
        <v>22</v>
      </c>
      <c r="B27" s="2"/>
      <c r="C27" s="2"/>
    </row>
    <row r="28" spans="1:3" x14ac:dyDescent="0.25">
      <c r="A28" s="2">
        <f t="shared" si="0"/>
        <v>23</v>
      </c>
      <c r="B28" s="2"/>
      <c r="C28" s="2"/>
    </row>
    <row r="29" spans="1:3" x14ac:dyDescent="0.25">
      <c r="A29" s="2">
        <f t="shared" si="0"/>
        <v>24</v>
      </c>
      <c r="B29" s="2"/>
      <c r="C29" s="2"/>
    </row>
    <row r="30" spans="1:3" x14ac:dyDescent="0.25">
      <c r="A30" s="2">
        <f t="shared" si="0"/>
        <v>25</v>
      </c>
      <c r="B30" s="2"/>
      <c r="C30" s="2"/>
    </row>
    <row r="31" spans="1:3" x14ac:dyDescent="0.25">
      <c r="A31" s="2">
        <f t="shared" si="0"/>
        <v>26</v>
      </c>
      <c r="B31" s="2"/>
      <c r="C31" s="2"/>
    </row>
    <row r="32" spans="1:3" x14ac:dyDescent="0.25">
      <c r="A32" s="2">
        <f t="shared" si="0"/>
        <v>27</v>
      </c>
      <c r="B32" s="2"/>
      <c r="C32" s="2"/>
    </row>
    <row r="33" spans="1:3" x14ac:dyDescent="0.25">
      <c r="A33" s="2">
        <f t="shared" si="0"/>
        <v>28</v>
      </c>
      <c r="B33" s="2"/>
      <c r="C33" s="2"/>
    </row>
    <row r="34" spans="1:3" x14ac:dyDescent="0.25">
      <c r="A34" s="2">
        <f t="shared" si="0"/>
        <v>29</v>
      </c>
      <c r="B34" s="2"/>
      <c r="C34" s="2"/>
    </row>
    <row r="35" spans="1:3" x14ac:dyDescent="0.25">
      <c r="A35" s="2">
        <f t="shared" si="0"/>
        <v>30</v>
      </c>
      <c r="B35" s="2"/>
      <c r="C35" s="2"/>
    </row>
    <row r="36" spans="1:3" x14ac:dyDescent="0.25">
      <c r="A36" s="2">
        <f t="shared" si="0"/>
        <v>31</v>
      </c>
      <c r="B36" s="2"/>
      <c r="C36" s="2"/>
    </row>
    <row r="37" spans="1:3" x14ac:dyDescent="0.25">
      <c r="B37" s="6">
        <f>SUM(B6:B36)</f>
        <v>421</v>
      </c>
      <c r="C37" s="6">
        <f>SUM(C6:C36)</f>
        <v>3288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ed2f2222-2bff-489f-89bb-9539c67e7b9c"/>
    <ds:schemaRef ds:uri="77842aba-bda6-4832-96cd-e75cb5324294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December 2021</vt:lpstr>
      <vt:lpstr>RNs &amp; Covers December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2021-12-23T09:11:04Z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