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W17" i="2"/>
  <c r="AE17" i="1"/>
  <c r="AE17" i="5"/>
  <c r="AE16" i="1"/>
  <c r="AU16" i="5" l="1"/>
  <c r="U12" i="2"/>
  <c r="R11"/>
  <c r="Z12" i="1"/>
  <c r="Z11"/>
  <c r="D12" i="73"/>
  <c r="AB7" i="2"/>
  <c r="G5" i="76"/>
  <c r="AC12" l="1"/>
  <c r="AC19"/>
  <c r="AC18"/>
  <c r="AC17"/>
  <c r="AC16"/>
  <c r="AC15"/>
  <c r="AB17"/>
  <c r="AB16"/>
  <c r="AB15"/>
  <c r="AB12"/>
  <c r="AA12"/>
  <c r="AA11"/>
  <c r="AA10"/>
  <c r="W11"/>
  <c r="V28" s="1"/>
  <c r="W10"/>
  <c r="V27" s="1"/>
  <c r="W9"/>
  <c r="V26" s="1"/>
  <c r="V11"/>
  <c r="V10"/>
  <c r="V9"/>
  <c r="D18" i="77" l="1"/>
  <c r="D17"/>
  <c r="C17" l="1"/>
  <c r="C15"/>
  <c r="C14"/>
  <c r="C16" l="1"/>
  <c r="C18" l="1"/>
  <c r="C19" l="1"/>
  <c r="H6" l="1"/>
  <c r="I6" l="1"/>
  <c r="C48" i="74"/>
  <c r="B48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H7" i="79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5"/>
  <c r="D5"/>
  <c r="E5"/>
  <c r="F5"/>
  <c r="G5"/>
  <c r="H5"/>
  <c r="B5"/>
  <c r="C3" i="76"/>
  <c r="D3"/>
  <c r="E3"/>
  <c r="F3"/>
  <c r="F11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I3"/>
  <c r="J3"/>
  <c r="K3"/>
  <c r="L3"/>
  <c r="M3"/>
  <c r="N3"/>
  <c r="Q3"/>
  <c r="S3"/>
  <c r="B3"/>
  <c r="C2" i="3"/>
  <c r="D2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K2"/>
  <c r="L2"/>
  <c r="L3" s="1"/>
  <c r="L4" s="1"/>
  <c r="L5" s="1"/>
  <c r="L6" s="1"/>
  <c r="L7" s="1"/>
  <c r="L9" s="1"/>
  <c r="L12" s="1"/>
  <c r="L13" s="1"/>
  <c r="L14" s="1"/>
  <c r="L15" s="1"/>
  <c r="L16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A2"/>
  <c r="AB2"/>
  <c r="AC2"/>
  <c r="AD2"/>
  <c r="AE2"/>
  <c r="AF2"/>
  <c r="AG2"/>
  <c r="AH2"/>
  <c r="AI2"/>
  <c r="AJ2"/>
  <c r="AK2"/>
  <c r="B2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P5" i="7"/>
  <c r="AQ5"/>
  <c r="AR5"/>
  <c r="AS5"/>
  <c r="AT5"/>
  <c r="AU5"/>
  <c r="AW5"/>
  <c r="AX5"/>
  <c r="AY5"/>
  <c r="AZ5"/>
  <c r="BA5"/>
  <c r="BB5"/>
  <c r="AN5"/>
  <c r="AO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B5"/>
  <c r="C5" i="73"/>
  <c r="D5"/>
  <c r="E5"/>
  <c r="F5"/>
  <c r="G5"/>
  <c r="H5"/>
  <c r="I5"/>
  <c r="J5"/>
  <c r="K5"/>
  <c r="L5"/>
  <c r="M5"/>
  <c r="N5"/>
  <c r="O5"/>
  <c r="B5"/>
  <c r="C5" i="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Y3" s="1"/>
  <c r="Y4" s="1"/>
  <c r="Y5" s="1"/>
  <c r="Y6" s="1"/>
  <c r="Y7" s="1"/>
  <c r="Y8" s="1"/>
  <c r="Y9" s="1"/>
  <c r="Y11" s="1"/>
  <c r="Y12" s="1"/>
  <c r="Y13" s="1"/>
  <c r="Y14" s="1"/>
  <c r="Y17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2"/>
  <c r="AA2"/>
  <c r="AA4" s="1"/>
  <c r="AB2"/>
  <c r="AC2"/>
  <c r="AC3" s="1"/>
  <c r="AC4" s="1"/>
  <c r="AC6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D2"/>
  <c r="B2"/>
  <c r="A2"/>
  <c r="J12" i="3" l="1"/>
  <c r="J13" s="1"/>
  <c r="J16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Q33" s="1"/>
  <c r="J7"/>
  <c r="B11" i="76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4"/>
  <c r="AB8" i="2"/>
  <c r="H11" i="76"/>
  <c r="H16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10"/>
  <c r="J11" s="1"/>
  <c r="J16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G14"/>
  <c r="L14" s="1"/>
  <c r="AD33" i="2"/>
  <c r="Z33"/>
  <c r="I36" i="79"/>
  <c r="A36"/>
  <c r="L36" s="1"/>
  <c r="W34" i="76"/>
  <c r="A34"/>
  <c r="AJ33" i="3"/>
  <c r="U33"/>
  <c r="P33"/>
  <c r="M33"/>
  <c r="H33"/>
  <c r="E33"/>
  <c r="C33"/>
  <c r="A33"/>
  <c r="BE36" i="7"/>
  <c r="BG36" s="1"/>
  <c r="BB36"/>
  <c r="BA36"/>
  <c r="A36"/>
  <c r="K36" i="73"/>
  <c r="G36"/>
  <c r="D36"/>
  <c r="A36"/>
  <c r="AR36" i="5"/>
  <c r="AP36"/>
  <c r="AN36"/>
  <c r="AM36"/>
  <c r="K36"/>
  <c r="A36"/>
  <c r="AJ35" i="1"/>
  <c r="A35"/>
  <c r="L32" i="81"/>
  <c r="J32"/>
  <c r="H32"/>
  <c r="G32"/>
  <c r="F32"/>
  <c r="B32"/>
  <c r="B32" i="82"/>
  <c r="C14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C15"/>
  <c r="I15"/>
  <c r="M15" s="1"/>
  <c r="AA33" i="3"/>
  <c r="F33"/>
  <c r="S33"/>
  <c r="V33" s="1"/>
  <c r="I33"/>
  <c r="AA19" i="2" l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33" s="1"/>
  <c r="AB10"/>
  <c r="Z33" i="3"/>
  <c r="AK33" s="1"/>
  <c r="D14" i="76"/>
  <c r="E14" s="1"/>
  <c r="G16"/>
  <c r="L16" s="1"/>
  <c r="C16"/>
  <c r="I16"/>
  <c r="M16" s="1"/>
  <c r="AB33" i="3"/>
  <c r="X40" i="74"/>
  <c r="AC33" i="3" l="1"/>
  <c r="K34" i="76"/>
  <c r="N34" s="1"/>
  <c r="W26"/>
  <c r="C17"/>
  <c r="G17"/>
  <c r="L17" s="1"/>
  <c r="I17"/>
  <c r="M17" s="1"/>
  <c r="D15"/>
  <c r="E15" s="1"/>
  <c r="G18" l="1"/>
  <c r="I18"/>
  <c r="C18"/>
  <c r="D17"/>
  <c r="E17" s="1"/>
  <c r="D16"/>
  <c r="E16" s="1"/>
  <c r="S12" i="3"/>
  <c r="C19" i="76" l="1"/>
  <c r="G19"/>
  <c r="I19"/>
  <c r="K18"/>
  <c r="N18" s="1"/>
  <c r="W5" i="2"/>
  <c r="G34" i="76" l="1"/>
  <c r="L34" s="1"/>
  <c r="W28"/>
  <c r="C20"/>
  <c r="I20"/>
  <c r="M18"/>
  <c r="D18"/>
  <c r="E18" s="1"/>
  <c r="L18"/>
  <c r="K19"/>
  <c r="N19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34" i="76" l="1"/>
  <c r="C21"/>
  <c r="I21"/>
  <c r="M19"/>
  <c r="D19"/>
  <c r="E19" s="1"/>
  <c r="G20"/>
  <c r="K20"/>
  <c r="N20" s="1"/>
  <c r="L19"/>
  <c r="I22" l="1"/>
  <c r="M20"/>
  <c r="D20"/>
  <c r="E20" s="1"/>
  <c r="L20"/>
  <c r="G21"/>
  <c r="K21"/>
  <c r="N21" s="1"/>
  <c r="O5" i="79"/>
  <c r="N5"/>
  <c r="M5"/>
  <c r="I5"/>
  <c r="AA5" i="76"/>
  <c r="Z18"/>
  <c r="AA18"/>
  <c r="Y16"/>
  <c r="Y15"/>
  <c r="V16"/>
  <c r="V15"/>
  <c r="V14"/>
  <c r="V13"/>
  <c r="Y13"/>
  <c r="BH5" i="7"/>
  <c r="BG5"/>
  <c r="BF5"/>
  <c r="BE5"/>
  <c r="BD5"/>
  <c r="BC5"/>
  <c r="AX22" i="5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36" s="1"/>
  <c r="AV22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22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6"/>
  <c r="AG13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6"/>
  <c r="AE8" s="1"/>
  <c r="AE13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AC6"/>
  <c r="AC7" s="1"/>
  <c r="AC8" s="1"/>
  <c r="AC9" s="1"/>
  <c r="AC10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6"/>
  <c r="AB7" s="1"/>
  <c r="AB8" s="1"/>
  <c r="AB9" s="1"/>
  <c r="AB10" s="1"/>
  <c r="AB12" s="1"/>
  <c r="AB14" s="1"/>
  <c r="AB15" s="1"/>
  <c r="AB18" s="1"/>
  <c r="AB19" s="1"/>
  <c r="AB20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22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14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V7" i="5"/>
  <c r="V9" s="1"/>
  <c r="V14" s="1"/>
  <c r="V16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14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G8"/>
  <c r="G14" s="1"/>
  <c r="G16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B7"/>
  <c r="B8" s="1"/>
  <c r="B14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AR21" i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N2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5"/>
  <c r="AE7" s="1"/>
  <c r="AE8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5"/>
  <c r="AC7" s="1"/>
  <c r="AC8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5"/>
  <c r="Z6" s="1"/>
  <c r="Z7" s="1"/>
  <c r="Z8" s="1"/>
  <c r="X6"/>
  <c r="X7" s="1"/>
  <c r="X8" s="1"/>
  <c r="X15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2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2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5"/>
  <c r="M6" s="1"/>
  <c r="M7" s="1"/>
  <c r="M15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5"/>
  <c r="K6" s="1"/>
  <c r="K7" s="1"/>
  <c r="K15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6"/>
  <c r="H15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6"/>
  <c r="F10" s="1"/>
  <c r="F15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2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2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U19" i="2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3" s="1"/>
  <c r="AF33" s="1"/>
  <c r="S19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L19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J19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19" i="2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19" i="2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D19" i="2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H32" i="82" s="1"/>
  <c r="P19" i="2" l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AE33" s="1"/>
  <c r="AF33" s="1"/>
  <c r="AG33" s="1"/>
  <c r="AH33" s="1"/>
  <c r="Q13" i="2"/>
  <c r="Z15" i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9"/>
  <c r="I34" i="76"/>
  <c r="M34" s="1"/>
  <c r="W27"/>
  <c r="M21"/>
  <c r="D21"/>
  <c r="E21" s="1"/>
  <c r="AA36" i="5"/>
  <c r="AJ36"/>
  <c r="AL36" s="1"/>
  <c r="AP21" i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11"/>
  <c r="D36" i="5"/>
  <c r="I36"/>
  <c r="J36" s="1"/>
  <c r="E36"/>
  <c r="AI36"/>
  <c r="E32" i="82"/>
  <c r="N33" i="2"/>
  <c r="X34" i="74"/>
  <c r="X19"/>
  <c r="X20"/>
  <c r="K22" i="76"/>
  <c r="N22" s="1"/>
  <c r="G22"/>
  <c r="L21"/>
  <c r="C22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AI33" i="3" l="1"/>
  <c r="D34" i="76"/>
  <c r="E34" s="1"/>
  <c r="M22"/>
  <c r="D22"/>
  <c r="E22" s="1"/>
  <c r="S34"/>
  <c r="T34" s="1"/>
  <c r="R33" i="2"/>
  <c r="AI33" s="1"/>
  <c r="E32" i="81"/>
  <c r="I23" i="76"/>
  <c r="K23"/>
  <c r="N23" s="1"/>
  <c r="L22"/>
  <c r="C23"/>
  <c r="G23"/>
  <c r="G30" i="73"/>
  <c r="D30"/>
  <c r="M23" i="76" l="1"/>
  <c r="D23"/>
  <c r="E23" s="1"/>
  <c r="I24"/>
  <c r="G24"/>
  <c r="C24"/>
  <c r="L23"/>
  <c r="K24"/>
  <c r="N24" s="1"/>
  <c r="W4" i="2"/>
  <c r="W6" s="1"/>
  <c r="W8" s="1"/>
  <c r="W16" s="1"/>
  <c r="W19" s="1"/>
  <c r="W20" s="1"/>
  <c r="G35" i="1"/>
  <c r="I35"/>
  <c r="L35"/>
  <c r="N35"/>
  <c r="S35"/>
  <c r="R35"/>
  <c r="Y35"/>
  <c r="AD35"/>
  <c r="AG35" s="1"/>
  <c r="AF35"/>
  <c r="AO35"/>
  <c r="AQ35"/>
  <c r="AS35"/>
  <c r="B36" i="7"/>
  <c r="X20" i="2" l="1"/>
  <c r="W21"/>
  <c r="W22" s="1"/>
  <c r="W23" s="1"/>
  <c r="W24" s="1"/>
  <c r="W25" s="1"/>
  <c r="W26" s="1"/>
  <c r="W27" s="1"/>
  <c r="W28" s="1"/>
  <c r="W29" s="1"/>
  <c r="W30" s="1"/>
  <c r="W31" s="1"/>
  <c r="W32" s="1"/>
  <c r="W33" s="1"/>
  <c r="X33" s="1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C25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C26"/>
  <c r="L25"/>
  <c r="U9" i="5"/>
  <c r="M26" i="76" l="1"/>
  <c r="D26"/>
  <c r="E26" s="1"/>
  <c r="AW36" i="7"/>
  <c r="H36"/>
  <c r="G36"/>
  <c r="AD36"/>
  <c r="AC36"/>
  <c r="I27" i="76"/>
  <c r="C27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C28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C29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C30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AQ36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AB15" i="74" l="1"/>
  <c r="M19" i="79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33" i="2"/>
  <c r="AZ36" i="7" s="1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33" i="2" l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AA16" s="1"/>
  <c r="B14" i="77" s="1"/>
  <c r="E14" s="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AB16" s="1"/>
  <c r="B15" i="77" s="1"/>
  <c r="G81" i="74"/>
  <c r="K81"/>
  <c r="W33" i="76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C13"/>
  <c r="A37" s="1"/>
  <c r="K37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O32" l="1"/>
  <c r="L32" i="82"/>
  <c r="O33" i="2"/>
  <c r="C14" i="65"/>
  <c r="AA15" i="74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AX10" i="1"/>
  <c r="J6" i="81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J7" i="81"/>
  <c r="AX11" i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X12" i="1"/>
  <c r="J8" i="81"/>
  <c r="AO8" i="7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K34" i="5"/>
  <c r="I34" i="79"/>
  <c r="AN16" i="7"/>
  <c r="P13" i="3"/>
  <c r="Q13" s="1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I14" i="1" l="1"/>
  <c r="AW15" i="7" s="1"/>
  <c r="O19" i="2"/>
  <c r="S20" i="76"/>
  <c r="I13" i="3"/>
  <c r="H14"/>
  <c r="K35" i="5"/>
  <c r="L36" s="1"/>
  <c r="AK36" s="1"/>
  <c r="I35" i="79"/>
  <c r="AN17" i="7"/>
  <c r="P14" i="3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6" s="1"/>
  <c r="C24" i="65" l="1"/>
  <c r="D24" i="75"/>
  <c r="E24" s="1"/>
  <c r="AS9" i="7"/>
  <c r="AS11"/>
  <c r="AS7"/>
  <c r="AS12"/>
  <c r="AX12" s="1"/>
  <c r="AS13"/>
  <c r="AS14"/>
  <c r="AX14" s="1"/>
  <c r="AS10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J13" i="81"/>
  <c r="AX17" i="1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J14" i="81"/>
  <c r="AX18" i="1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AS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X16"/>
  <c r="Q14" i="76" s="1"/>
  <c r="AL26" i="5"/>
  <c r="P17" i="3"/>
  <c r="Q17" s="1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AS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D27" i="75" l="1"/>
  <c r="E27" s="1"/>
  <c r="O23" i="2"/>
  <c r="S24" i="76"/>
  <c r="I17" i="3"/>
  <c r="H18"/>
  <c r="H26"/>
  <c r="I25"/>
  <c r="AN21" i="7"/>
  <c r="P18" i="3"/>
  <c r="P19" s="1"/>
  <c r="Q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Y16"/>
  <c r="T20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AS18" l="1"/>
  <c r="AR18"/>
  <c r="O24" i="2"/>
  <c r="S25" i="76"/>
  <c r="I18" i="3"/>
  <c r="H19"/>
  <c r="H27"/>
  <c r="I26"/>
  <c r="X18" i="7"/>
  <c r="AQ18"/>
  <c r="AN22"/>
  <c r="P20" i="3"/>
  <c r="Q20" s="1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Q15" i="76" s="1"/>
  <c r="U20" i="7"/>
  <c r="V20"/>
  <c r="W20" s="1"/>
  <c r="O23"/>
  <c r="P23"/>
  <c r="D29"/>
  <c r="C29"/>
  <c r="J26"/>
  <c r="I26"/>
  <c r="S21"/>
  <c r="T21"/>
  <c r="Y19"/>
  <c r="AR19" s="1"/>
  <c r="AS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H28"/>
  <c r="I27"/>
  <c r="AN23" i="7"/>
  <c r="P21" i="3"/>
  <c r="Q21" s="1"/>
  <c r="J18" i="81"/>
  <c r="AX22" i="1"/>
  <c r="AU27" i="5"/>
  <c r="AZ26"/>
  <c r="BC26" s="1"/>
  <c r="BC18" i="7"/>
  <c r="AX18"/>
  <c r="Q16" i="7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B31"/>
  <c r="I27"/>
  <c r="J27"/>
  <c r="M25"/>
  <c r="N25"/>
  <c r="Q23"/>
  <c r="R23"/>
  <c r="S22"/>
  <c r="T22"/>
  <c r="K26"/>
  <c r="L26"/>
  <c r="AY1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AY18" i="7"/>
  <c r="H21" i="3"/>
  <c r="I20"/>
  <c r="J27" i="82"/>
  <c r="H29" i="3"/>
  <c r="I28"/>
  <c r="AN24" i="7"/>
  <c r="X20"/>
  <c r="AX20"/>
  <c r="Q18" i="76" s="1"/>
  <c r="P22" i="3"/>
  <c r="Q22" s="1"/>
  <c r="AX23" i="1"/>
  <c r="J19" i="8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AQ19"/>
  <c r="AX19"/>
  <c r="Q17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H30" i="3"/>
  <c r="I29"/>
  <c r="AN25" i="7"/>
  <c r="AX21"/>
  <c r="Q19" i="76" s="1"/>
  <c r="P23" i="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AS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T29" s="1"/>
  <c r="P24" i="3"/>
  <c r="Q24" s="1"/>
  <c r="Q23"/>
  <c r="I22"/>
  <c r="H23"/>
  <c r="J29" i="82"/>
  <c r="H31" i="3"/>
  <c r="I30"/>
  <c r="AN26" i="7"/>
  <c r="AQ22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AS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T30" s="1"/>
  <c r="I23" i="3"/>
  <c r="H24"/>
  <c r="I24" s="1"/>
  <c r="H32"/>
  <c r="I31"/>
  <c r="BC22" i="7"/>
  <c r="AX22"/>
  <c r="Q20" i="76" s="1"/>
  <c r="AN27" i="7"/>
  <c r="P25" i="3"/>
  <c r="Q25" s="1"/>
  <c r="T34" i="1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O30" i="2"/>
  <c r="S31" i="76"/>
  <c r="T31" s="1"/>
  <c r="I32" i="3"/>
  <c r="X24" i="7"/>
  <c r="AN28"/>
  <c r="P26" i="3"/>
  <c r="Q26" s="1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AS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F35" i="75" l="1"/>
  <c r="G35" s="1"/>
  <c r="AM36" i="1"/>
  <c r="D35" i="75"/>
  <c r="E35" s="1"/>
  <c r="AL36" i="1"/>
  <c r="AN29" i="7"/>
  <c r="O31" i="2"/>
  <c r="S32" i="76"/>
  <c r="T32" s="1"/>
  <c r="F4" i="77"/>
  <c r="AB31" i="3"/>
  <c r="P27"/>
  <c r="Q27" s="1"/>
  <c r="I37" i="5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BC25" i="7"/>
  <c r="Y26"/>
  <c r="AR26" s="1"/>
  <c r="AS26" s="1"/>
  <c r="AQ24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3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K32" i="81"/>
  <c r="AU38" i="1"/>
  <c r="I32" i="81"/>
  <c r="O32" i="2"/>
  <c r="S33" i="76"/>
  <c r="T33" s="1"/>
  <c r="X26" i="7"/>
  <c r="BC26"/>
  <c r="AN30"/>
  <c r="P28" i="3"/>
  <c r="I38" i="5"/>
  <c r="J25" i="81"/>
  <c r="AX29" i="1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AX24"/>
  <c r="Q22" i="76" s="1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K32" i="82"/>
  <c r="P29" i="3"/>
  <c r="Q28"/>
  <c r="E16" i="77"/>
  <c r="X31" i="76"/>
  <c r="AX30" i="1"/>
  <c r="J26" i="81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AY24" i="7"/>
  <c r="N29" i="1"/>
  <c r="V29" s="1"/>
  <c r="AI28"/>
  <c r="AW29" i="7" s="1"/>
  <c r="B28" i="65"/>
  <c r="E28" s="1"/>
  <c r="AQ26" i="7"/>
  <c r="K39" i="5"/>
  <c r="F8" i="77"/>
  <c r="Z34" i="3"/>
  <c r="AH32"/>
  <c r="AG35" i="7"/>
  <c r="AH35"/>
  <c r="AK33"/>
  <c r="AL33"/>
  <c r="AM33" s="1"/>
  <c r="AJ34"/>
  <c r="AI34"/>
  <c r="AO32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AN32" l="1"/>
  <c r="B18" i="77"/>
  <c r="E18" s="1"/>
  <c r="P30" i="3"/>
  <c r="Q29"/>
  <c r="Y31" i="76"/>
  <c r="J27" i="81"/>
  <c r="AX31" i="1"/>
  <c r="F6" i="77"/>
  <c r="AZ35" i="5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AQ28"/>
  <c r="AX28"/>
  <c r="Q26" i="76" s="1"/>
  <c r="U30" i="7"/>
  <c r="V30"/>
  <c r="W30" s="1"/>
  <c r="Y29"/>
  <c r="AR29" s="1"/>
  <c r="AS29" s="1"/>
  <c r="AQ27"/>
  <c r="BC28"/>
  <c r="AX27"/>
  <c r="Q25" i="76" s="1"/>
  <c r="BC27" i="7"/>
  <c r="P33"/>
  <c r="O33"/>
  <c r="M34"/>
  <c r="N34"/>
  <c r="Q32"/>
  <c r="R32"/>
  <c r="K35"/>
  <c r="L35"/>
  <c r="S31"/>
  <c r="T31"/>
  <c r="AN33" l="1"/>
  <c r="BC35" i="5"/>
  <c r="BC36"/>
  <c r="AY26" i="7"/>
  <c r="Q24" i="76"/>
  <c r="F18" i="77"/>
  <c r="B19"/>
  <c r="P31" i="3"/>
  <c r="Q30"/>
  <c r="AX32" i="1"/>
  <c r="J28" i="81"/>
  <c r="O37" i="76"/>
  <c r="AW30" i="7"/>
  <c r="N31" i="1"/>
  <c r="V31" s="1"/>
  <c r="B30" i="65"/>
  <c r="E30" s="1"/>
  <c r="AI30" i="1"/>
  <c r="AW31" i="7" s="1"/>
  <c r="Y30"/>
  <c r="AR30" s="1"/>
  <c r="AS30" s="1"/>
  <c r="AO34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AN34" l="1"/>
  <c r="P32" i="3"/>
  <c r="Q32" s="1"/>
  <c r="Q31"/>
  <c r="X30" i="7"/>
  <c r="AQ30"/>
  <c r="J29" i="81"/>
  <c r="AX33" i="1"/>
  <c r="AO35" i="7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AS31" s="1"/>
  <c r="P35"/>
  <c r="O35"/>
  <c r="Q34"/>
  <c r="R34"/>
  <c r="T33"/>
  <c r="S33"/>
  <c r="AX29"/>
  <c r="Q27" i="76" s="1"/>
  <c r="AQ29" i="7"/>
  <c r="BC29"/>
  <c r="V32"/>
  <c r="W32" s="1"/>
  <c r="U32"/>
  <c r="AN35" l="1"/>
  <c r="AX30"/>
  <c r="Q28" i="76" s="1"/>
  <c r="AX31" i="7"/>
  <c r="J30" i="81"/>
  <c r="AX34" i="1"/>
  <c r="AX35" s="1"/>
  <c r="AI32"/>
  <c r="AW33" i="7" s="1"/>
  <c r="B32" i="65"/>
  <c r="E32" s="1"/>
  <c r="AW32" i="7"/>
  <c r="N33" i="1"/>
  <c r="V33" s="1"/>
  <c r="BC30" i="7"/>
  <c r="Y32"/>
  <c r="AR32" s="1"/>
  <c r="AS32" s="1"/>
  <c r="BC31"/>
  <c r="X31"/>
  <c r="T34"/>
  <c r="S34"/>
  <c r="AQ31"/>
  <c r="U33"/>
  <c r="V33"/>
  <c r="W33" s="1"/>
  <c r="R35"/>
  <c r="Q35"/>
  <c r="AY31" l="1"/>
  <c r="Q29" i="76"/>
  <c r="X32" i="7"/>
  <c r="BC32"/>
  <c r="J31" i="81"/>
  <c r="AY29" i="7"/>
  <c r="AJ32" i="1"/>
  <c r="AK32" s="1"/>
  <c r="G29" i="81"/>
  <c r="N34" i="1"/>
  <c r="V34" s="1"/>
  <c r="V36" s="1"/>
  <c r="AI33"/>
  <c r="B33" i="65"/>
  <c r="E33" s="1"/>
  <c r="G28" i="81"/>
  <c r="AJ31" i="1"/>
  <c r="AK31" s="1"/>
  <c r="AY30" i="7"/>
  <c r="Y33"/>
  <c r="AR33" s="1"/>
  <c r="AS33" s="1"/>
  <c r="V34"/>
  <c r="W34" s="1"/>
  <c r="U34"/>
  <c r="T35"/>
  <c r="S35"/>
  <c r="AI34" i="1" l="1"/>
  <c r="AW35" i="7" s="1"/>
  <c r="B34" i="65"/>
  <c r="E34" s="1"/>
  <c r="AW34" i="7"/>
  <c r="AQ32"/>
  <c r="X33"/>
  <c r="Y34"/>
  <c r="AR34" s="1"/>
  <c r="AS34" s="1"/>
  <c r="AX33"/>
  <c r="Q31" i="76" s="1"/>
  <c r="AQ33" i="7"/>
  <c r="U35"/>
  <c r="V35"/>
  <c r="W35" s="1"/>
  <c r="BC33"/>
  <c r="AX32" l="1"/>
  <c r="Y35"/>
  <c r="AR35" s="1"/>
  <c r="AI37" i="1"/>
  <c r="AJ34"/>
  <c r="AK34" s="1"/>
  <c r="G31" i="81"/>
  <c r="AJ33" i="1"/>
  <c r="AK33" s="1"/>
  <c r="G30" i="81"/>
  <c r="X34" i="7"/>
  <c r="AQ34"/>
  <c r="AX34"/>
  <c r="Q32" i="76" s="1"/>
  <c r="AY33" i="7"/>
  <c r="BC34"/>
  <c r="AS35" l="1"/>
  <c r="AS36"/>
  <c r="AY32"/>
  <c r="Q30" i="76"/>
  <c r="X35" i="7"/>
  <c r="AY34"/>
  <c r="BC35" l="1"/>
  <c r="BC36"/>
  <c r="AX36"/>
  <c r="AQ35"/>
  <c r="AX35"/>
  <c r="Q33" i="76" s="1"/>
  <c r="AY36" i="7" l="1"/>
  <c r="Q34" i="76"/>
  <c r="AY35" i="7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F29" i="81" l="1"/>
  <c r="F31"/>
  <c r="F27"/>
  <c r="F28"/>
  <c r="F30"/>
  <c r="BC24" i="7" l="1"/>
  <c r="BC23"/>
  <c r="AQ23"/>
  <c r="AX23"/>
  <c r="Q21" i="76" l="1"/>
  <c r="AX37" i="7"/>
  <c r="Z42" i="76" s="1"/>
  <c r="AY23" i="7"/>
  <c r="AY37" s="1"/>
  <c r="AS40"/>
  <c r="AA28" i="76" l="1"/>
  <c r="AB28" s="1"/>
  <c r="AE28" s="1"/>
  <c r="AF28" s="1"/>
  <c r="AA27"/>
  <c r="AB27" s="1"/>
  <c r="AA26"/>
  <c r="AB26" l="1"/>
  <c r="AB30" s="1"/>
  <c r="AA29"/>
  <c r="W41" l="1"/>
  <c r="W43"/>
  <c r="AV11" i="7" l="1"/>
  <c r="AV12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T32" s="1"/>
  <c r="R31"/>
  <c r="T31" s="1"/>
  <c r="R30"/>
  <c r="T30" s="1"/>
  <c r="R29"/>
  <c r="R28"/>
  <c r="T28" s="1"/>
  <c r="R27"/>
  <c r="T27" s="1"/>
  <c r="R26"/>
  <c r="T26" s="1"/>
  <c r="R25"/>
  <c r="T25" s="1"/>
  <c r="R24"/>
  <c r="T24" s="1"/>
  <c r="R23"/>
  <c r="T23" s="1"/>
  <c r="R22"/>
  <c r="T22" s="1"/>
  <c r="R21"/>
  <c r="R20"/>
  <c r="T20" s="1"/>
  <c r="R19"/>
  <c r="T19" s="1"/>
  <c r="R18"/>
  <c r="T18" s="1"/>
  <c r="R17"/>
  <c r="T17" s="1"/>
  <c r="R16"/>
  <c r="T16" s="1"/>
  <c r="R15"/>
  <c r="T15" s="1"/>
  <c r="R14"/>
  <c r="T14" s="1"/>
  <c r="R13"/>
  <c r="R12"/>
  <c r="T12" s="1"/>
  <c r="R11"/>
  <c r="T11" s="1"/>
  <c r="R10"/>
  <c r="T10" s="1"/>
  <c r="X16" i="76"/>
  <c r="W17"/>
  <c r="W15"/>
  <c r="W13"/>
  <c r="X13"/>
  <c r="Z11"/>
  <c r="Z10"/>
  <c r="Z9"/>
  <c r="Y11"/>
  <c r="Y10"/>
  <c r="Y9"/>
  <c r="X11"/>
  <c r="X10"/>
  <c r="X9"/>
  <c r="T40" i="74" l="1"/>
  <c r="S43"/>
  <c r="AB14" s="1"/>
  <c r="R43"/>
  <c r="AA14" s="1"/>
  <c r="T13"/>
  <c r="T21"/>
  <c r="T29"/>
  <c r="T37"/>
  <c r="M40" l="1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AV5" i="7" l="1"/>
  <c r="AV6" s="1"/>
  <c r="AV7" l="1"/>
  <c r="H2" i="81"/>
  <c r="AV8" i="7" l="1"/>
  <c r="H3" i="81"/>
  <c r="AV9" i="7" l="1"/>
  <c r="H4" i="81"/>
  <c r="AV10" i="7" l="1"/>
  <c r="H6" i="81" s="1"/>
  <c r="H5"/>
  <c r="AA9" i="76" l="1"/>
  <c r="AB9" l="1"/>
  <c r="AB10" l="1"/>
  <c r="AB11"/>
  <c r="AB13" l="1"/>
  <c r="AD11" l="1"/>
  <c r="AD9"/>
  <c r="AD10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D38" s="1"/>
  <c r="O37"/>
  <c r="N37"/>
  <c r="K37"/>
  <c r="J37"/>
  <c r="G37"/>
  <c r="F37"/>
  <c r="C37"/>
  <c r="B37"/>
  <c r="D37" s="1"/>
  <c r="O36"/>
  <c r="N36"/>
  <c r="K36"/>
  <c r="J36"/>
  <c r="G36"/>
  <c r="F36"/>
  <c r="C36"/>
  <c r="B36"/>
  <c r="D36" s="1"/>
  <c r="O35"/>
  <c r="N35"/>
  <c r="K35"/>
  <c r="J35"/>
  <c r="G35"/>
  <c r="F35"/>
  <c r="H35" s="1"/>
  <c r="C35"/>
  <c r="B35"/>
  <c r="D35" s="1"/>
  <c r="O34"/>
  <c r="N34"/>
  <c r="K34"/>
  <c r="J34"/>
  <c r="G34"/>
  <c r="F34"/>
  <c r="H34" s="1"/>
  <c r="C34"/>
  <c r="B34"/>
  <c r="D34" s="1"/>
  <c r="O33"/>
  <c r="N33"/>
  <c r="K33"/>
  <c r="J33"/>
  <c r="G33"/>
  <c r="F33"/>
  <c r="H33" s="1"/>
  <c r="C33"/>
  <c r="B33"/>
  <c r="D33" s="1"/>
  <c r="O32"/>
  <c r="N32"/>
  <c r="K32"/>
  <c r="J32"/>
  <c r="G32"/>
  <c r="F32"/>
  <c r="H32" s="1"/>
  <c r="C32"/>
  <c r="B32"/>
  <c r="D32" s="1"/>
  <c r="O31"/>
  <c r="N31"/>
  <c r="K31"/>
  <c r="J31"/>
  <c r="G31"/>
  <c r="F31"/>
  <c r="H31" s="1"/>
  <c r="C31"/>
  <c r="B31"/>
  <c r="D31" s="1"/>
  <c r="O30"/>
  <c r="N30"/>
  <c r="K30"/>
  <c r="J30"/>
  <c r="G30"/>
  <c r="F30"/>
  <c r="H30" s="1"/>
  <c r="C30"/>
  <c r="B30"/>
  <c r="D30" s="1"/>
  <c r="O29"/>
  <c r="N29"/>
  <c r="K29"/>
  <c r="J29"/>
  <c r="G29"/>
  <c r="F29"/>
  <c r="H29" s="1"/>
  <c r="C29"/>
  <c r="B29"/>
  <c r="D29" s="1"/>
  <c r="O28"/>
  <c r="N28"/>
  <c r="K28"/>
  <c r="J28"/>
  <c r="G28"/>
  <c r="F28"/>
  <c r="H28" s="1"/>
  <c r="C28"/>
  <c r="B28"/>
  <c r="D28" s="1"/>
  <c r="O27"/>
  <c r="N27"/>
  <c r="K27"/>
  <c r="J27"/>
  <c r="G27"/>
  <c r="F27"/>
  <c r="H27" s="1"/>
  <c r="C27"/>
  <c r="B27"/>
  <c r="D27" s="1"/>
  <c r="O26"/>
  <c r="N26"/>
  <c r="K26"/>
  <c r="J26"/>
  <c r="G26"/>
  <c r="F26"/>
  <c r="H26" s="1"/>
  <c r="C26"/>
  <c r="B26"/>
  <c r="D26" s="1"/>
  <c r="O25"/>
  <c r="N25"/>
  <c r="K25"/>
  <c r="J25"/>
  <c r="G25"/>
  <c r="F25"/>
  <c r="H25" s="1"/>
  <c r="C25"/>
  <c r="B25"/>
  <c r="D25" s="1"/>
  <c r="O24"/>
  <c r="N24"/>
  <c r="K24"/>
  <c r="J24"/>
  <c r="G24"/>
  <c r="F24"/>
  <c r="H24" s="1"/>
  <c r="C24"/>
  <c r="B24"/>
  <c r="D24" s="1"/>
  <c r="O23"/>
  <c r="N23"/>
  <c r="K23"/>
  <c r="J23"/>
  <c r="G23"/>
  <c r="F23"/>
  <c r="H23" s="1"/>
  <c r="C23"/>
  <c r="B23"/>
  <c r="D23" s="1"/>
  <c r="O22"/>
  <c r="N22"/>
  <c r="K22"/>
  <c r="J22"/>
  <c r="G22"/>
  <c r="F22"/>
  <c r="H22" s="1"/>
  <c r="C22"/>
  <c r="B22"/>
  <c r="D22" s="1"/>
  <c r="O21"/>
  <c r="N21"/>
  <c r="K21"/>
  <c r="J21"/>
  <c r="G21"/>
  <c r="F21"/>
  <c r="H21" s="1"/>
  <c r="C21"/>
  <c r="B21"/>
  <c r="D21" s="1"/>
  <c r="O20"/>
  <c r="N20"/>
  <c r="K20"/>
  <c r="J20"/>
  <c r="G20"/>
  <c r="F20"/>
  <c r="H20" s="1"/>
  <c r="C20"/>
  <c r="B20"/>
  <c r="D20" s="1"/>
  <c r="O19"/>
  <c r="N19"/>
  <c r="K19"/>
  <c r="J19"/>
  <c r="G19"/>
  <c r="F19"/>
  <c r="H19" s="1"/>
  <c r="C19"/>
  <c r="B19"/>
  <c r="D19" s="1"/>
  <c r="O18"/>
  <c r="N18"/>
  <c r="K18"/>
  <c r="J18"/>
  <c r="G18"/>
  <c r="F18"/>
  <c r="H18" s="1"/>
  <c r="C18"/>
  <c r="B18"/>
  <c r="D18" s="1"/>
  <c r="O17"/>
  <c r="N17"/>
  <c r="K17"/>
  <c r="J17"/>
  <c r="G17"/>
  <c r="F17"/>
  <c r="H17" s="1"/>
  <c r="C17"/>
  <c r="B17"/>
  <c r="D17" s="1"/>
  <c r="O16"/>
  <c r="N16"/>
  <c r="K16"/>
  <c r="J16"/>
  <c r="G16"/>
  <c r="F16"/>
  <c r="H16" s="1"/>
  <c r="C16"/>
  <c r="B16"/>
  <c r="D16" s="1"/>
  <c r="O15"/>
  <c r="N15"/>
  <c r="K15"/>
  <c r="J15"/>
  <c r="G15"/>
  <c r="F15"/>
  <c r="H15" s="1"/>
  <c r="C15"/>
  <c r="B15"/>
  <c r="D15" s="1"/>
  <c r="O14"/>
  <c r="N14"/>
  <c r="K14"/>
  <c r="J14"/>
  <c r="G14"/>
  <c r="F14"/>
  <c r="H14" s="1"/>
  <c r="C14"/>
  <c r="B14"/>
  <c r="D14" s="1"/>
  <c r="O13"/>
  <c r="N13"/>
  <c r="K13"/>
  <c r="J13"/>
  <c r="G13"/>
  <c r="F13"/>
  <c r="H13" s="1"/>
  <c r="C13"/>
  <c r="B13"/>
  <c r="D13" s="1"/>
  <c r="O12"/>
  <c r="N12"/>
  <c r="K12"/>
  <c r="J12"/>
  <c r="G12"/>
  <c r="F12"/>
  <c r="H12" s="1"/>
  <c r="C12"/>
  <c r="B12"/>
  <c r="D12" s="1"/>
  <c r="O11"/>
  <c r="N11"/>
  <c r="K11"/>
  <c r="J11"/>
  <c r="G11"/>
  <c r="F11"/>
  <c r="H11" s="1"/>
  <c r="C11"/>
  <c r="B11"/>
  <c r="D11" s="1"/>
  <c r="O10"/>
  <c r="N10"/>
  <c r="K10"/>
  <c r="J10"/>
  <c r="G10"/>
  <c r="F10"/>
  <c r="H10" s="1"/>
  <c r="C10"/>
  <c r="B10"/>
  <c r="D10" s="1"/>
  <c r="H36" l="1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K43" s="1"/>
  <c r="AB12" s="1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J43" s="1"/>
  <c r="AA12" s="1"/>
  <c r="L13"/>
  <c r="L15"/>
  <c r="L17"/>
  <c r="L19"/>
  <c r="L23"/>
  <c r="P11"/>
  <c r="P20"/>
  <c r="P27"/>
  <c r="P37"/>
  <c r="H37"/>
  <c r="G43" s="1"/>
  <c r="AB11" s="1"/>
  <c r="H38"/>
  <c r="H39"/>
  <c r="H40"/>
  <c r="P12"/>
  <c r="P19"/>
  <c r="P23"/>
  <c r="P29"/>
  <c r="P33"/>
  <c r="P39"/>
  <c r="P14"/>
  <c r="P16"/>
  <c r="P21"/>
  <c r="P25"/>
  <c r="P30"/>
  <c r="P38"/>
  <c r="D40"/>
  <c r="C43" s="1"/>
  <c r="AB10" l="1"/>
  <c r="N43"/>
  <c r="AA13" s="1"/>
  <c r="O43"/>
  <c r="AB13" s="1"/>
  <c r="B43"/>
  <c r="F43"/>
  <c r="AA11" s="1"/>
  <c r="O86" l="1"/>
  <c r="AB23"/>
  <c r="AA10"/>
  <c r="AA23" s="1"/>
  <c r="N86"/>
  <c r="AC11" i="76" l="1"/>
  <c r="AC28" s="1"/>
  <c r="AC10"/>
  <c r="AC27" s="1"/>
  <c r="AC9"/>
  <c r="AC26" s="1"/>
  <c r="AC30" l="1"/>
  <c r="AC31" s="1"/>
  <c r="AC13"/>
  <c r="W40" l="1"/>
  <c r="W42" s="1"/>
  <c r="W44" s="1"/>
  <c r="O14"/>
  <c r="P14" s="1"/>
  <c r="R14" s="1"/>
  <c r="T14" s="1"/>
  <c r="F12" i="81" s="1"/>
  <c r="O9" i="76"/>
  <c r="P9" s="1"/>
  <c r="R9" s="1"/>
  <c r="T9" s="1"/>
  <c r="F7" i="81" s="1"/>
  <c r="O7" i="76"/>
  <c r="P7" s="1"/>
  <c r="R7" s="1"/>
  <c r="T7" s="1"/>
  <c r="F5" i="81" s="1"/>
  <c r="O30" i="76"/>
  <c r="P30" s="1"/>
  <c r="R30" s="1"/>
  <c r="O11"/>
  <c r="P11" s="1"/>
  <c r="R11" s="1"/>
  <c r="T11" s="1"/>
  <c r="F9" i="81" s="1"/>
  <c r="O31" i="76"/>
  <c r="P31" s="1"/>
  <c r="R31" s="1"/>
  <c r="O27"/>
  <c r="P27" s="1"/>
  <c r="R27" s="1"/>
  <c r="T27" s="1"/>
  <c r="F25" i="81" s="1"/>
  <c r="O19" i="76"/>
  <c r="P19" s="1"/>
  <c r="R19" s="1"/>
  <c r="T19" s="1"/>
  <c r="F17" i="81" s="1"/>
  <c r="O10" i="76"/>
  <c r="P10" s="1"/>
  <c r="R10" s="1"/>
  <c r="T10" s="1"/>
  <c r="F8" i="81" s="1"/>
  <c r="O4" i="76"/>
  <c r="P4" s="1"/>
  <c r="R4" s="1"/>
  <c r="T4" s="1"/>
  <c r="F2" i="81" s="1"/>
  <c r="O29" i="76"/>
  <c r="P29" s="1"/>
  <c r="R29" s="1"/>
  <c r="O28"/>
  <c r="P28" s="1"/>
  <c r="R28" s="1"/>
  <c r="T28" s="1"/>
  <c r="F26" i="81" s="1"/>
  <c r="O16" i="76"/>
  <c r="P16" s="1"/>
  <c r="R16" s="1"/>
  <c r="T16" s="1"/>
  <c r="F14" i="81" s="1"/>
  <c r="O26" i="76"/>
  <c r="P26" s="1"/>
  <c r="R26" s="1"/>
  <c r="T26" s="1"/>
  <c r="F24" i="81" s="1"/>
  <c r="O17" i="76"/>
  <c r="P17" s="1"/>
  <c r="R17" s="1"/>
  <c r="T17" s="1"/>
  <c r="F15" i="81" s="1"/>
  <c r="O25" i="76"/>
  <c r="P25" s="1"/>
  <c r="R25" s="1"/>
  <c r="T25" s="1"/>
  <c r="F23" i="81" s="1"/>
  <c r="O20" i="76"/>
  <c r="P20" s="1"/>
  <c r="R20" s="1"/>
  <c r="T20" s="1"/>
  <c r="F18" i="81" s="1"/>
  <c r="O5" i="76"/>
  <c r="P5" s="1"/>
  <c r="R5" s="1"/>
  <c r="T5" s="1"/>
  <c r="F3" i="81" s="1"/>
  <c r="O13" i="76"/>
  <c r="P13" s="1"/>
  <c r="R13" s="1"/>
  <c r="T13" s="1"/>
  <c r="F11" i="81" s="1"/>
  <c r="O18" i="76"/>
  <c r="P18" s="1"/>
  <c r="R18" s="1"/>
  <c r="T18" s="1"/>
  <c r="F16" i="81" s="1"/>
  <c r="AB31" i="76"/>
  <c r="O21"/>
  <c r="P21" s="1"/>
  <c r="R21" s="1"/>
  <c r="T21" s="1"/>
  <c r="F19" i="81" s="1"/>
  <c r="O15" i="76"/>
  <c r="P15" s="1"/>
  <c r="R15" s="1"/>
  <c r="T15" s="1"/>
  <c r="F13" i="81" s="1"/>
  <c r="O6" i="76"/>
  <c r="P6" s="1"/>
  <c r="R6" s="1"/>
  <c r="T6" s="1"/>
  <c r="F4" i="81" s="1"/>
  <c r="O22" i="76"/>
  <c r="P22" s="1"/>
  <c r="R22" s="1"/>
  <c r="T22" s="1"/>
  <c r="F20" i="81" s="1"/>
  <c r="O8" i="76"/>
  <c r="P8" s="1"/>
  <c r="R8" s="1"/>
  <c r="T8" s="1"/>
  <c r="F6" i="81" s="1"/>
  <c r="O33" i="76"/>
  <c r="P33" s="1"/>
  <c r="R33" s="1"/>
  <c r="O34"/>
  <c r="P34" s="1"/>
  <c r="R34" s="1"/>
  <c r="O24"/>
  <c r="P24" s="1"/>
  <c r="R24" s="1"/>
  <c r="T24" s="1"/>
  <c r="F22" i="81" s="1"/>
  <c r="O12" i="76"/>
  <c r="P12" s="1"/>
  <c r="R12" s="1"/>
  <c r="T12" s="1"/>
  <c r="F10" i="81" s="1"/>
  <c r="O23" i="76"/>
  <c r="P23" s="1"/>
  <c r="R23" s="1"/>
  <c r="T23" s="1"/>
  <c r="F21" i="81" s="1"/>
  <c r="O32" i="76"/>
  <c r="P32" s="1"/>
  <c r="R32" s="1"/>
  <c r="AC14"/>
  <c r="D10" i="77" l="1"/>
  <c r="E10" s="1"/>
  <c r="AB38" i="76"/>
  <c r="AB40" s="1"/>
  <c r="Z41" s="1"/>
  <c r="Z43" s="1"/>
  <c r="Z45" s="1"/>
  <c r="AA42"/>
  <c r="AB36"/>
  <c r="AB37" s="1"/>
  <c r="O3"/>
  <c r="AB14"/>
  <c r="G10" i="77" l="1"/>
  <c r="G12" s="1"/>
  <c r="E12"/>
  <c r="F10"/>
  <c r="F12" s="1"/>
  <c r="AA43" i="76"/>
  <c r="AB42"/>
  <c r="AB43" s="1"/>
  <c r="P3"/>
  <c r="AB18"/>
  <c r="H14" i="77" l="1"/>
  <c r="I14"/>
  <c r="R3" i="76"/>
  <c r="AB19"/>
  <c r="T3" l="1"/>
  <c r="M5" i="5" l="1"/>
  <c r="M6" s="1"/>
  <c r="O5"/>
  <c r="O6" s="1"/>
  <c r="M7" l="1"/>
  <c r="N6"/>
  <c r="P6"/>
  <c r="O7"/>
  <c r="N5"/>
  <c r="P5"/>
  <c r="N7" l="1"/>
  <c r="M8"/>
  <c r="Q6"/>
  <c r="M2" i="81" s="1"/>
  <c r="O8" i="5"/>
  <c r="P7"/>
  <c r="Q5"/>
  <c r="Q7" l="1"/>
  <c r="M3" i="81" s="1"/>
  <c r="M9" i="5"/>
  <c r="N8"/>
  <c r="P8"/>
  <c r="O9"/>
  <c r="N9" l="1"/>
  <c r="M10"/>
  <c r="P9"/>
  <c r="O10"/>
  <c r="Q8"/>
  <c r="Q9" l="1"/>
  <c r="M5" i="81" s="1"/>
  <c r="N10" i="5"/>
  <c r="M11"/>
  <c r="O11"/>
  <c r="P10"/>
  <c r="M4" i="81"/>
  <c r="Q10" i="5" l="1"/>
  <c r="M12"/>
  <c r="N11"/>
  <c r="O12"/>
  <c r="P11"/>
  <c r="W14" i="76"/>
  <c r="Q11" i="5" l="1"/>
  <c r="M7" i="81" s="1"/>
  <c r="M6"/>
  <c r="N12" i="5"/>
  <c r="M13"/>
  <c r="P12"/>
  <c r="O13"/>
  <c r="X14" i="76"/>
  <c r="M14" i="5" l="1"/>
  <c r="N13"/>
  <c r="P13"/>
  <c r="O14"/>
  <c r="Q12"/>
  <c r="Y14" i="76"/>
  <c r="N14" i="5" l="1"/>
  <c r="M15"/>
  <c r="Q13"/>
  <c r="M9" i="81" s="1"/>
  <c r="P14" i="5"/>
  <c r="O15"/>
  <c r="M8" i="81"/>
  <c r="N15" i="5" l="1"/>
  <c r="M16"/>
  <c r="P15"/>
  <c r="O16"/>
  <c r="Q14"/>
  <c r="M10" i="81" s="1"/>
  <c r="N16" i="5" l="1"/>
  <c r="M17"/>
  <c r="Q15"/>
  <c r="M11" i="81" s="1"/>
  <c r="P16" i="5"/>
  <c r="O17"/>
  <c r="N17" l="1"/>
  <c r="M18"/>
  <c r="P17"/>
  <c r="O18"/>
  <c r="Q16"/>
  <c r="M12" i="81" s="1"/>
  <c r="N18" i="5" l="1"/>
  <c r="M19"/>
  <c r="P18"/>
  <c r="O19"/>
  <c r="Q17"/>
  <c r="M13" i="81" s="1"/>
  <c r="N19" i="5" l="1"/>
  <c r="M20"/>
  <c r="Q18"/>
  <c r="M14" i="81" s="1"/>
  <c r="P19" i="5"/>
  <c r="O20"/>
  <c r="N20" l="1"/>
  <c r="M21"/>
  <c r="P20"/>
  <c r="O21"/>
  <c r="Q19"/>
  <c r="M15" i="81" s="1"/>
  <c r="N21" i="5" l="1"/>
  <c r="M22"/>
  <c r="P21"/>
  <c r="O22"/>
  <c r="Q20"/>
  <c r="M16" i="81" s="1"/>
  <c r="N22" i="5" l="1"/>
  <c r="M23"/>
  <c r="O23"/>
  <c r="P22"/>
  <c r="Q21"/>
  <c r="M17" i="81" s="1"/>
  <c r="N23" i="5" l="1"/>
  <c r="M24"/>
  <c r="O24"/>
  <c r="P23"/>
  <c r="Q22"/>
  <c r="M18" i="81" s="1"/>
  <c r="O25" i="5" l="1"/>
  <c r="P24"/>
  <c r="Q24" s="1"/>
  <c r="M20" i="81" s="1"/>
  <c r="Q23" i="5"/>
  <c r="M19" i="81" s="1"/>
  <c r="M25" i="5"/>
  <c r="N24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P28" l="1"/>
  <c r="Q28" s="1"/>
  <c r="M24" i="81" s="1"/>
  <c r="O29" i="5"/>
  <c r="N28"/>
  <c r="M29"/>
  <c r="O30" l="1"/>
  <c r="P29"/>
  <c r="N29"/>
  <c r="M30"/>
  <c r="Q29" l="1"/>
  <c r="M25" i="81" s="1"/>
  <c r="N30" i="5"/>
  <c r="M31"/>
  <c r="O31"/>
  <c r="P30"/>
  <c r="Q30" l="1"/>
  <c r="M26" i="81" s="1"/>
  <c r="N31" i="5"/>
  <c r="M32"/>
  <c r="P31"/>
  <c r="O32"/>
  <c r="Q31" l="1"/>
  <c r="M27" i="81" s="1"/>
  <c r="M33" i="5"/>
  <c r="N32"/>
  <c r="P32"/>
  <c r="O33"/>
  <c r="P33" l="1"/>
  <c r="Q33" s="1"/>
  <c r="M29" i="81" s="1"/>
  <c r="O34" i="5"/>
  <c r="N33"/>
  <c r="M34"/>
  <c r="Q32"/>
  <c r="M28" i="81" s="1"/>
  <c r="P34" i="5" l="1"/>
  <c r="Q34" s="1"/>
  <c r="M30" i="81" s="1"/>
  <c r="O35" i="5"/>
  <c r="N34"/>
  <c r="M35"/>
  <c r="O36" l="1"/>
  <c r="P36" s="1"/>
  <c r="Q36" s="1"/>
  <c r="P35"/>
  <c r="Q35" s="1"/>
  <c r="M36"/>
  <c r="N36" s="1"/>
  <c r="N35"/>
  <c r="M31" i="81" l="1"/>
  <c r="Q37" i="5"/>
  <c r="M32" i="81" l="1"/>
  <c r="O38" i="5"/>
  <c r="X2" i="3" l="1"/>
  <c r="X3" s="1"/>
  <c r="Y3" l="1"/>
  <c r="X4"/>
  <c r="Y2"/>
  <c r="Y4" l="1"/>
  <c r="X5"/>
  <c r="AS5" i="5"/>
  <c r="AS6" s="1"/>
  <c r="X6" i="3" l="1"/>
  <c r="Y5"/>
  <c r="AY6" i="5"/>
  <c r="BB6" s="1"/>
  <c r="BE6" s="1"/>
  <c r="AS7"/>
  <c r="AY5"/>
  <c r="AS8" l="1"/>
  <c r="AY7"/>
  <c r="BB7" s="1"/>
  <c r="BE7" s="1"/>
  <c r="Y6" i="3"/>
  <c r="X7"/>
  <c r="I2" i="63"/>
  <c r="BF6" i="5"/>
  <c r="BG6" s="1"/>
  <c r="G6" i="65" s="1"/>
  <c r="BB5" i="5"/>
  <c r="AS9" l="1"/>
  <c r="AY8"/>
  <c r="BB8" s="1"/>
  <c r="BE8" s="1"/>
  <c r="BF7"/>
  <c r="BG7" s="1"/>
  <c r="G7" i="65" s="1"/>
  <c r="I3" i="63"/>
  <c r="Y7" i="3"/>
  <c r="X8"/>
  <c r="BE5" i="5"/>
  <c r="X9" i="3" l="1"/>
  <c r="Y8"/>
  <c r="AS10" i="5"/>
  <c r="AY9"/>
  <c r="BB9" s="1"/>
  <c r="BE9" s="1"/>
  <c r="I4" i="63"/>
  <c r="BF8" i="5"/>
  <c r="BG8" s="1"/>
  <c r="G8" i="65" s="1"/>
  <c r="BF5" i="5"/>
  <c r="X10" i="3" l="1"/>
  <c r="Y9"/>
  <c r="AS11" i="5"/>
  <c r="AY10"/>
  <c r="BB10" s="1"/>
  <c r="BE10" s="1"/>
  <c r="I5" i="63"/>
  <c r="BF9" i="5"/>
  <c r="BG9" s="1"/>
  <c r="G9" i="65" s="1"/>
  <c r="BG5" i="5"/>
  <c r="G5" i="65" s="1"/>
  <c r="X11" i="3" l="1"/>
  <c r="Y10"/>
  <c r="AS12" i="5"/>
  <c r="AY11"/>
  <c r="BB11" s="1"/>
  <c r="BE11" s="1"/>
  <c r="BF10"/>
  <c r="BG10" s="1"/>
  <c r="G10" i="65" s="1"/>
  <c r="I6" i="63"/>
  <c r="AY12" i="5" l="1"/>
  <c r="BB12" s="1"/>
  <c r="BE12" s="1"/>
  <c r="AS13"/>
  <c r="Y11" i="3"/>
  <c r="X12"/>
  <c r="I7" i="63"/>
  <c r="BF11" i="5"/>
  <c r="BG11" s="1"/>
  <c r="G11" i="65" s="1"/>
  <c r="I8" i="63" l="1"/>
  <c r="BF12" i="5"/>
  <c r="BG12" s="1"/>
  <c r="G12" i="65" s="1"/>
  <c r="Y12" i="3"/>
  <c r="X13"/>
  <c r="AY13" i="5"/>
  <c r="BB13" s="1"/>
  <c r="BE13" s="1"/>
  <c r="AS14"/>
  <c r="Y13" i="3" l="1"/>
  <c r="X14"/>
  <c r="BF13" i="5"/>
  <c r="BG13" s="1"/>
  <c r="G13" i="65" s="1"/>
  <c r="I9" i="63"/>
  <c r="AY14" i="5"/>
  <c r="BB14" s="1"/>
  <c r="BE14" s="1"/>
  <c r="AS15"/>
  <c r="X15" i="3" l="1"/>
  <c r="Y14"/>
  <c r="I10" i="63"/>
  <c r="BF14" i="5"/>
  <c r="BG14" s="1"/>
  <c r="G14" i="65" s="1"/>
  <c r="AS16" i="5"/>
  <c r="AY15"/>
  <c r="BB15" s="1"/>
  <c r="BE15" s="1"/>
  <c r="X16" i="3" l="1"/>
  <c r="Y15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AY17" i="5"/>
  <c r="BB17" s="1"/>
  <c r="BE17" s="1"/>
  <c r="AS18"/>
  <c r="Y16" i="3"/>
  <c r="X17"/>
  <c r="AS19" i="5" l="1"/>
  <c r="AY18"/>
  <c r="BB18" s="1"/>
  <c r="BE18" s="1"/>
  <c r="I13" i="63"/>
  <c r="BF17" i="5"/>
  <c r="BG17" s="1"/>
  <c r="G17" i="65" s="1"/>
  <c r="X18" i="3"/>
  <c r="Y17"/>
  <c r="AY19" i="5" l="1"/>
  <c r="BB19" s="1"/>
  <c r="BE19" s="1"/>
  <c r="AS20"/>
  <c r="Y18" i="3"/>
  <c r="X19"/>
  <c r="BF18" i="5"/>
  <c r="BG18" s="1"/>
  <c r="G18" i="65" s="1"/>
  <c r="I14" i="63"/>
  <c r="X20" i="3" l="1"/>
  <c r="Y19"/>
  <c r="BF19" i="5"/>
  <c r="BG19" s="1"/>
  <c r="G19" i="65" s="1"/>
  <c r="I15" i="63"/>
  <c r="AS21" i="5"/>
  <c r="AY20"/>
  <c r="BB20" s="1"/>
  <c r="BE20" s="1"/>
  <c r="X21" i="3" l="1"/>
  <c r="X22" s="1"/>
  <c r="Y20"/>
  <c r="Y21" s="1"/>
  <c r="AY21" i="5"/>
  <c r="BB21" s="1"/>
  <c r="BE21" s="1"/>
  <c r="AS22"/>
  <c r="BF20"/>
  <c r="BG20" s="1"/>
  <c r="G20" i="65" s="1"/>
  <c r="I16" i="63"/>
  <c r="Y22" i="3" l="1"/>
  <c r="X23"/>
  <c r="I17" i="63"/>
  <c r="BF21" i="5"/>
  <c r="BG21" s="1"/>
  <c r="G21" i="65" s="1"/>
  <c r="AY22" i="5"/>
  <c r="BB22" s="1"/>
  <c r="BE22" s="1"/>
  <c r="AS23"/>
  <c r="Y23" i="3" l="1"/>
  <c r="X24"/>
  <c r="I18" i="63"/>
  <c r="BF22" i="5"/>
  <c r="BG22" s="1"/>
  <c r="G22" i="65" s="1"/>
  <c r="AS24" i="5"/>
  <c r="AY23"/>
  <c r="BB23" s="1"/>
  <c r="BE23" s="1"/>
  <c r="X25" i="3" l="1"/>
  <c r="Y24"/>
  <c r="AS25" i="5"/>
  <c r="AY24"/>
  <c r="BB24" s="1"/>
  <c r="BE24" s="1"/>
  <c r="I19" i="63"/>
  <c r="BF23" i="5"/>
  <c r="BG23" s="1"/>
  <c r="G23" i="65" s="1"/>
  <c r="AS26" i="5" l="1"/>
  <c r="AY25"/>
  <c r="BB25" s="1"/>
  <c r="BE25" s="1"/>
  <c r="BF24"/>
  <c r="BG24" s="1"/>
  <c r="G24" i="65" s="1"/>
  <c r="I20" i="63"/>
  <c r="Y25" i="3"/>
  <c r="X26"/>
  <c r="I21" i="63" l="1"/>
  <c r="BF25" i="5"/>
  <c r="BG25" s="1"/>
  <c r="G25" i="65" s="1"/>
  <c r="AY26" i="5"/>
  <c r="BB26" s="1"/>
  <c r="BE26" s="1"/>
  <c r="AS27"/>
  <c r="Y26" i="3"/>
  <c r="X27"/>
  <c r="BF26" i="5" l="1"/>
  <c r="BG26" s="1"/>
  <c r="G26" i="65" s="1"/>
  <c r="I22" i="63"/>
  <c r="AY27" i="5"/>
  <c r="BB27" s="1"/>
  <c r="BE27" s="1"/>
  <c r="AS28"/>
  <c r="X28" i="3"/>
  <c r="Y27"/>
  <c r="I23" i="63" l="1"/>
  <c r="BF27" i="5"/>
  <c r="BG27" s="1"/>
  <c r="G27" i="65" s="1"/>
  <c r="X29" i="3"/>
  <c r="Y28"/>
  <c r="AS29" i="5"/>
  <c r="AY28"/>
  <c r="BB28" s="1"/>
  <c r="BE28" s="1"/>
  <c r="X30" i="3" l="1"/>
  <c r="Y29"/>
  <c r="AY29" i="5"/>
  <c r="BB29" s="1"/>
  <c r="BE29" s="1"/>
  <c r="AS30"/>
  <c r="I24" i="63"/>
  <c r="BF28" i="5"/>
  <c r="BG28" s="1"/>
  <c r="G28" i="65" s="1"/>
  <c r="X31" i="3" l="1"/>
  <c r="Y30"/>
  <c r="BF29" i="5"/>
  <c r="BG29" s="1"/>
  <c r="G29" i="65" s="1"/>
  <c r="I25" i="63"/>
  <c r="AS31" i="5"/>
  <c r="AY30"/>
  <c r="BB30" s="1"/>
  <c r="BE30" s="1"/>
  <c r="Y31" i="3" l="1"/>
  <c r="X32"/>
  <c r="AY31" i="5"/>
  <c r="BB31" s="1"/>
  <c r="BE31" s="1"/>
  <c r="AS32"/>
  <c r="I26" i="63"/>
  <c r="BF30" i="5"/>
  <c r="BG30" s="1"/>
  <c r="G30" i="65" s="1"/>
  <c r="X33" i="3" l="1"/>
  <c r="Y33" s="1"/>
  <c r="Y32"/>
  <c r="AY32" i="5"/>
  <c r="BB32" s="1"/>
  <c r="BE32" s="1"/>
  <c r="AS33"/>
  <c r="BF31"/>
  <c r="BG31" s="1"/>
  <c r="G31" i="65" s="1"/>
  <c r="I27" i="63"/>
  <c r="AS34" i="5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taken in 10/7 at 3:30 pm</t>
        </r>
      </text>
    </comment>
  </commentList>
</comments>
</file>

<file path=xl/comments4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<sst xmlns="http://schemas.openxmlformats.org/spreadsheetml/2006/main" count="653" uniqueCount="417">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</sst>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  <numFmt numFmtId="183" formatCode="_(* #,##0.000000_);_(* \(#,##0.000000\);_(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83" fontId="0" fillId="0" borderId="1" xfId="1" applyNumberFormat="1" applyFont="1" applyBorder="1" applyAlignment="1">
      <alignment horizontal="center" vertical="center"/>
    </xf>
    <xf numFmtId="43" fontId="0" fillId="0" borderId="0" xfId="1" applyFon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18109</c:v>
                </c:pt>
                <c:pt idx="10">
                  <c:v>20053</c:v>
                </c:pt>
                <c:pt idx="11">
                  <c:v>21073</c:v>
                </c:pt>
                <c:pt idx="12">
                  <c:v>20084</c:v>
                </c:pt>
                <c:pt idx="13">
                  <c:v>19864</c:v>
                </c:pt>
                <c:pt idx="14">
                  <c:v>19752</c:v>
                </c:pt>
                <c:pt idx="15">
                  <c:v>22340</c:v>
                </c:pt>
                <c:pt idx="16">
                  <c:v>20744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6383488"/>
        <c:axId val="137130752"/>
      </c:lineChart>
      <c:catAx>
        <c:axId val="13638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30752"/>
        <c:crosses val="autoZero"/>
        <c:auto val="1"/>
        <c:lblAlgn val="ctr"/>
        <c:lblOffset val="100"/>
      </c:catAx>
      <c:valAx>
        <c:axId val="137130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8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611"/>
          <c:w val="0.11899800868449698"/>
          <c:h val="4.49826989619444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0</c:v>
                </c:pt>
                <c:pt idx="8">
                  <c:v>0</c:v>
                </c:pt>
                <c:pt idx="9">
                  <c:v>7571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0</c:v>
                </c:pt>
                <c:pt idx="14">
                  <c:v>4009</c:v>
                </c:pt>
                <c:pt idx="15">
                  <c:v>2684</c:v>
                </c:pt>
                <c:pt idx="16">
                  <c:v>1337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7163520"/>
        <c:axId val="137165056"/>
      </c:lineChart>
      <c:catAx>
        <c:axId val="13716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65056"/>
        <c:crosses val="autoZero"/>
        <c:auto val="1"/>
        <c:lblAlgn val="ctr"/>
        <c:lblOffset val="100"/>
      </c:catAx>
      <c:valAx>
        <c:axId val="137165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6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500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0.1087</c:v>
                </c:pt>
                <c:pt idx="9">
                  <c:v>0.113</c:v>
                </c:pt>
                <c:pt idx="10">
                  <c:v>0.16500000000000001</c:v>
                </c:pt>
                <c:pt idx="11">
                  <c:v>0.1</c:v>
                </c:pt>
                <c:pt idx="12">
                  <c:v>0.1217</c:v>
                </c:pt>
                <c:pt idx="13">
                  <c:v>0.12709999999999999</c:v>
                </c:pt>
                <c:pt idx="14">
                  <c:v>0.1348</c:v>
                </c:pt>
                <c:pt idx="15">
                  <c:v>0.2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692480"/>
        <c:axId val="138694016"/>
      </c:lineChart>
      <c:catAx>
        <c:axId val="13869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94016"/>
        <c:crosses val="autoZero"/>
        <c:auto val="1"/>
        <c:lblAlgn val="ctr"/>
        <c:lblOffset val="100"/>
      </c:catAx>
      <c:valAx>
        <c:axId val="1386940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9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039"/>
          <c:y val="0.62975887529634611"/>
          <c:w val="7.9124755870162669E-2"/>
          <c:h val="4.49826989619444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25.001000000000001</c:v>
                </c:pt>
                <c:pt idx="9">
                  <c:v>25.990000000000002</c:v>
                </c:pt>
                <c:pt idx="10">
                  <c:v>37.950000000000003</c:v>
                </c:pt>
                <c:pt idx="11">
                  <c:v>23</c:v>
                </c:pt>
                <c:pt idx="12">
                  <c:v>27.991</c:v>
                </c:pt>
                <c:pt idx="13">
                  <c:v>29.232999999999997</c:v>
                </c:pt>
                <c:pt idx="14">
                  <c:v>31.004000000000001</c:v>
                </c:pt>
                <c:pt idx="15">
                  <c:v>46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734592"/>
        <c:axId val="139072256"/>
      </c:lineChart>
      <c:catAx>
        <c:axId val="13873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72256"/>
        <c:crosses val="autoZero"/>
        <c:auto val="1"/>
        <c:lblAlgn val="ctr"/>
        <c:lblOffset val="100"/>
      </c:catAx>
      <c:valAx>
        <c:axId val="1390722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3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061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223.95454545454547</c:v>
                </c:pt>
                <c:pt idx="9">
                  <c:v>210.82608695652175</c:v>
                </c:pt>
                <c:pt idx="10">
                  <c:v>234.39130434782609</c:v>
                </c:pt>
                <c:pt idx="11">
                  <c:v>220.04347826086956</c:v>
                </c:pt>
                <c:pt idx="12">
                  <c:v>218.36363636363637</c:v>
                </c:pt>
                <c:pt idx="13">
                  <c:v>209.04166666666666</c:v>
                </c:pt>
                <c:pt idx="14">
                  <c:v>256.95238095238096</c:v>
                </c:pt>
                <c:pt idx="15">
                  <c:v>230.86956521739131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9096448"/>
        <c:axId val="139097984"/>
      </c:lineChart>
      <c:catAx>
        <c:axId val="13909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97984"/>
        <c:crosses val="autoZero"/>
        <c:auto val="1"/>
        <c:lblAlgn val="ctr"/>
        <c:lblOffset val="100"/>
      </c:catAx>
      <c:valAx>
        <c:axId val="1390979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9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868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  <c:pt idx="12">
                  <c:v>4</c:v>
                </c:pt>
                <c:pt idx="13">
                  <c:v>5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9274112"/>
        <c:axId val="139275648"/>
      </c:lineChart>
      <c:catAx>
        <c:axId val="13927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75648"/>
        <c:crosses val="autoZero"/>
        <c:auto val="1"/>
        <c:lblAlgn val="ctr"/>
        <c:lblOffset val="100"/>
      </c:catAx>
      <c:valAx>
        <c:axId val="139275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7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9316224"/>
        <c:axId val="139322112"/>
      </c:lineChart>
      <c:catAx>
        <c:axId val="139316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22112"/>
        <c:crosses val="autoZero"/>
        <c:auto val="1"/>
        <c:lblAlgn val="ctr"/>
        <c:lblOffset val="100"/>
      </c:catAx>
      <c:valAx>
        <c:axId val="139322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1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112</c:v>
                </c:pt>
                <c:pt idx="10">
                  <c:v>0</c:v>
                </c:pt>
                <c:pt idx="11">
                  <c:v>271</c:v>
                </c:pt>
                <c:pt idx="12">
                  <c:v>0</c:v>
                </c:pt>
                <c:pt idx="13">
                  <c:v>224</c:v>
                </c:pt>
                <c:pt idx="14">
                  <c:v>0</c:v>
                </c:pt>
                <c:pt idx="15">
                  <c:v>159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9419648"/>
        <c:axId val="139421184"/>
      </c:lineChart>
      <c:catAx>
        <c:axId val="13941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21184"/>
        <c:crosses val="autoZero"/>
        <c:auto val="1"/>
        <c:lblAlgn val="ctr"/>
        <c:lblOffset val="100"/>
      </c:catAx>
      <c:valAx>
        <c:axId val="139421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1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9453568"/>
        <c:axId val="139455104"/>
      </c:lineChart>
      <c:catAx>
        <c:axId val="13945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55104"/>
        <c:crosses val="autoZero"/>
        <c:auto val="1"/>
        <c:lblAlgn val="ctr"/>
        <c:lblOffset val="100"/>
      </c:catAx>
      <c:valAx>
        <c:axId val="139455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5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0676"/>
          <c:w val="0.1272403315177194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  <c:pt idx="7">
                  <c:v>4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9479296"/>
        <c:axId val="139493376"/>
      </c:lineChart>
      <c:catAx>
        <c:axId val="13947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93376"/>
        <c:crosses val="autoZero"/>
        <c:auto val="1"/>
        <c:lblAlgn val="ctr"/>
        <c:lblOffset val="100"/>
      </c:catAx>
      <c:valAx>
        <c:axId val="139493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7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360</c:v>
                </c:pt>
                <c:pt idx="1">
                  <c:v>417</c:v>
                </c:pt>
                <c:pt idx="2">
                  <c:v>735</c:v>
                </c:pt>
                <c:pt idx="3">
                  <c:v>388</c:v>
                </c:pt>
                <c:pt idx="4">
                  <c:v>534</c:v>
                </c:pt>
                <c:pt idx="5">
                  <c:v>338</c:v>
                </c:pt>
                <c:pt idx="6">
                  <c:v>430</c:v>
                </c:pt>
                <c:pt idx="7">
                  <c:v>657</c:v>
                </c:pt>
                <c:pt idx="8">
                  <c:v>512</c:v>
                </c:pt>
                <c:pt idx="9">
                  <c:v>255.9999999999709</c:v>
                </c:pt>
                <c:pt idx="10">
                  <c:v>342.80000000004657</c:v>
                </c:pt>
                <c:pt idx="11">
                  <c:v>335</c:v>
                </c:pt>
                <c:pt idx="12">
                  <c:v>220</c:v>
                </c:pt>
                <c:pt idx="13">
                  <c:v>165</c:v>
                </c:pt>
                <c:pt idx="14">
                  <c:v>434.09999999997672</c:v>
                </c:pt>
                <c:pt idx="15">
                  <c:v>452</c:v>
                </c:pt>
                <c:pt idx="16">
                  <c:v>257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1651328"/>
        <c:axId val="141657216"/>
      </c:lineChart>
      <c:catAx>
        <c:axId val="14165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57216"/>
        <c:crosses val="autoZero"/>
        <c:auto val="1"/>
        <c:lblAlgn val="ctr"/>
        <c:lblOffset val="100"/>
      </c:catAx>
      <c:valAx>
        <c:axId val="14165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5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0676"/>
          <c:w val="0.1354168853893444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</c:v>
                </c:pt>
                <c:pt idx="1">
                  <c:v>400</c:v>
                </c:pt>
                <c:pt idx="2">
                  <c:v>180</c:v>
                </c:pt>
                <c:pt idx="3">
                  <c:v>30</c:v>
                </c:pt>
                <c:pt idx="4">
                  <c:v>120</c:v>
                </c:pt>
                <c:pt idx="5">
                  <c:v>150</c:v>
                </c:pt>
                <c:pt idx="6">
                  <c:v>150</c:v>
                </c:pt>
                <c:pt idx="7">
                  <c:v>210</c:v>
                </c:pt>
                <c:pt idx="8">
                  <c:v>390</c:v>
                </c:pt>
                <c:pt idx="9">
                  <c:v>180</c:v>
                </c:pt>
                <c:pt idx="10">
                  <c:v>120</c:v>
                </c:pt>
                <c:pt idx="11">
                  <c:v>30</c:v>
                </c:pt>
                <c:pt idx="12">
                  <c:v>60</c:v>
                </c:pt>
                <c:pt idx="13">
                  <c:v>150</c:v>
                </c:pt>
                <c:pt idx="14">
                  <c:v>210</c:v>
                </c:pt>
                <c:pt idx="15">
                  <c:v>310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1689600"/>
        <c:axId val="141691136"/>
      </c:lineChart>
      <c:catAx>
        <c:axId val="14168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91136"/>
        <c:crosses val="autoZero"/>
        <c:auto val="1"/>
        <c:lblAlgn val="ctr"/>
        <c:lblOffset val="100"/>
      </c:catAx>
      <c:valAx>
        <c:axId val="141691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8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067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18109</c:v>
                </c:pt>
                <c:pt idx="10">
                  <c:v>20053</c:v>
                </c:pt>
                <c:pt idx="11">
                  <c:v>21073</c:v>
                </c:pt>
                <c:pt idx="12">
                  <c:v>20084</c:v>
                </c:pt>
                <c:pt idx="13">
                  <c:v>19864</c:v>
                </c:pt>
                <c:pt idx="14">
                  <c:v>19752</c:v>
                </c:pt>
                <c:pt idx="15">
                  <c:v>22340</c:v>
                </c:pt>
                <c:pt idx="16">
                  <c:v>20744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1719808"/>
        <c:axId val="141733888"/>
      </c:lineChart>
      <c:catAx>
        <c:axId val="14171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33888"/>
        <c:crosses val="autoZero"/>
        <c:auto val="1"/>
        <c:lblAlgn val="ctr"/>
        <c:lblOffset val="100"/>
      </c:catAx>
      <c:valAx>
        <c:axId val="141733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1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611"/>
          <c:w val="0.12291688538932598"/>
          <c:h val="4.49826989619444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0</c:v>
                </c:pt>
                <c:pt idx="8">
                  <c:v>0</c:v>
                </c:pt>
                <c:pt idx="9">
                  <c:v>7571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0</c:v>
                </c:pt>
                <c:pt idx="14">
                  <c:v>4009</c:v>
                </c:pt>
                <c:pt idx="15">
                  <c:v>2684</c:v>
                </c:pt>
                <c:pt idx="16">
                  <c:v>1337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1897088"/>
        <c:axId val="141907072"/>
      </c:lineChart>
      <c:catAx>
        <c:axId val="14189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07072"/>
        <c:crosses val="autoZero"/>
        <c:auto val="1"/>
        <c:lblAlgn val="ctr"/>
        <c:lblOffset val="100"/>
      </c:catAx>
      <c:valAx>
        <c:axId val="14190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9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0676"/>
          <c:w val="0.1354168853893444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21</c:v>
                </c:pt>
                <c:pt idx="6">
                  <c:v>18</c:v>
                </c:pt>
                <c:pt idx="7">
                  <c:v>24</c:v>
                </c:pt>
                <c:pt idx="8">
                  <c:v>18</c:v>
                </c:pt>
                <c:pt idx="9">
                  <c:v>21</c:v>
                </c:pt>
                <c:pt idx="10">
                  <c:v>19</c:v>
                </c:pt>
                <c:pt idx="11">
                  <c:v>22</c:v>
                </c:pt>
                <c:pt idx="12">
                  <c:v>18</c:v>
                </c:pt>
                <c:pt idx="13">
                  <c:v>22</c:v>
                </c:pt>
                <c:pt idx="14">
                  <c:v>18</c:v>
                </c:pt>
                <c:pt idx="15">
                  <c:v>21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1923072"/>
        <c:axId val="141924608"/>
      </c:lineChart>
      <c:catAx>
        <c:axId val="14192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24608"/>
        <c:crosses val="autoZero"/>
        <c:auto val="1"/>
        <c:lblAlgn val="ctr"/>
        <c:lblOffset val="100"/>
      </c:catAx>
      <c:valAx>
        <c:axId val="1419246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2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0097"/>
          <c:y val="0.54325368498487869"/>
          <c:w val="0.11458355205599259"/>
          <c:h val="4.4982698961943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-2560.8709677419247</c:v>
                </c:pt>
                <c:pt idx="1">
                  <c:v>-5520.1935483871057</c:v>
                </c:pt>
                <c:pt idx="2">
                  <c:v>-4766.838709677424</c:v>
                </c:pt>
                <c:pt idx="3">
                  <c:v>-5415.1935483870911</c:v>
                </c:pt>
                <c:pt idx="4">
                  <c:v>-5415.1935483870911</c:v>
                </c:pt>
                <c:pt idx="5">
                  <c:v>-4633.419354838712</c:v>
                </c:pt>
                <c:pt idx="6">
                  <c:v>-5492.1935483871057</c:v>
                </c:pt>
                <c:pt idx="7">
                  <c:v>-5102.1161290322634</c:v>
                </c:pt>
                <c:pt idx="8">
                  <c:v>-5503.5258064515947</c:v>
                </c:pt>
                <c:pt idx="9">
                  <c:v>-2293.3774193548452</c:v>
                </c:pt>
                <c:pt idx="10">
                  <c:v>-5874.2064516129176</c:v>
                </c:pt>
                <c:pt idx="11">
                  <c:v>-6133.5483870967655</c:v>
                </c:pt>
                <c:pt idx="12">
                  <c:v>-5166.1806451612792</c:v>
                </c:pt>
                <c:pt idx="13">
                  <c:v>-4216.1741935483878</c:v>
                </c:pt>
                <c:pt idx="14">
                  <c:v>-5765.5354838709754</c:v>
                </c:pt>
                <c:pt idx="15">
                  <c:v>-3442.4290322580564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1961088"/>
        <c:axId val="141962624"/>
      </c:lineChart>
      <c:catAx>
        <c:axId val="14196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62624"/>
        <c:crosses val="autoZero"/>
        <c:auto val="1"/>
        <c:lblAlgn val="ctr"/>
        <c:lblOffset val="100"/>
      </c:catAx>
      <c:valAx>
        <c:axId val="141962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6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042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  <c:pt idx="12">
                  <c:v>4</c:v>
                </c:pt>
                <c:pt idx="13">
                  <c:v>5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1979008"/>
        <c:axId val="142009472"/>
      </c:lineChart>
      <c:catAx>
        <c:axId val="14197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09472"/>
        <c:crosses val="autoZero"/>
        <c:auto val="1"/>
        <c:lblAlgn val="ctr"/>
        <c:lblOffset val="100"/>
      </c:catAx>
      <c:valAx>
        <c:axId val="14200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7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1015"/>
          <c:y val="0.62975887529634611"/>
          <c:w val="0.13541688538934482"/>
          <c:h val="4.49826989619444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0.1087</c:v>
                </c:pt>
                <c:pt idx="9">
                  <c:v>0.113</c:v>
                </c:pt>
                <c:pt idx="10">
                  <c:v>0.16500000000000001</c:v>
                </c:pt>
                <c:pt idx="11">
                  <c:v>0.1</c:v>
                </c:pt>
                <c:pt idx="12">
                  <c:v>0.1217</c:v>
                </c:pt>
                <c:pt idx="13">
                  <c:v>0.12709999999999999</c:v>
                </c:pt>
                <c:pt idx="14">
                  <c:v>0.1348</c:v>
                </c:pt>
                <c:pt idx="15">
                  <c:v>0.2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1841152"/>
        <c:axId val="141842688"/>
      </c:lineChart>
      <c:catAx>
        <c:axId val="14184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42688"/>
        <c:crosses val="autoZero"/>
        <c:auto val="1"/>
        <c:lblAlgn val="ctr"/>
        <c:lblOffset val="100"/>
      </c:catAx>
      <c:valAx>
        <c:axId val="1418426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4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611"/>
          <c:w val="9.730870597697025E-2"/>
          <c:h val="4.49826989619444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14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25.001000000000001</c:v>
                </c:pt>
                <c:pt idx="9">
                  <c:v>25.990000000000002</c:v>
                </c:pt>
                <c:pt idx="10">
                  <c:v>37.950000000000003</c:v>
                </c:pt>
                <c:pt idx="11">
                  <c:v>23</c:v>
                </c:pt>
                <c:pt idx="12">
                  <c:v>27.991</c:v>
                </c:pt>
                <c:pt idx="13">
                  <c:v>29.232999999999997</c:v>
                </c:pt>
                <c:pt idx="14">
                  <c:v>31.004000000000001</c:v>
                </c:pt>
                <c:pt idx="15">
                  <c:v>46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1875072"/>
        <c:axId val="141876608"/>
      </c:lineChart>
      <c:catAx>
        <c:axId val="14187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76608"/>
        <c:crosses val="autoZero"/>
        <c:auto val="1"/>
        <c:lblAlgn val="ctr"/>
        <c:lblOffset val="100"/>
      </c:catAx>
      <c:valAx>
        <c:axId val="141876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7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44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027776"/>
        <c:axId val="142037760"/>
      </c:lineChart>
      <c:catAx>
        <c:axId val="14202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37760"/>
        <c:crosses val="autoZero"/>
        <c:auto val="1"/>
        <c:lblAlgn val="ctr"/>
        <c:lblOffset val="100"/>
      </c:catAx>
      <c:valAx>
        <c:axId val="142037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2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379"/>
          <c:y val="0.62975887529634611"/>
          <c:w val="0.13250539334757044"/>
          <c:h val="4.49826989619444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112</c:v>
                </c:pt>
                <c:pt idx="10">
                  <c:v>0</c:v>
                </c:pt>
                <c:pt idx="11">
                  <c:v>271</c:v>
                </c:pt>
                <c:pt idx="12">
                  <c:v>0</c:v>
                </c:pt>
                <c:pt idx="13">
                  <c:v>224</c:v>
                </c:pt>
                <c:pt idx="14">
                  <c:v>0</c:v>
                </c:pt>
                <c:pt idx="15">
                  <c:v>159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147968"/>
        <c:axId val="142149504"/>
      </c:lineChart>
      <c:catAx>
        <c:axId val="14214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49504"/>
        <c:crosses val="autoZero"/>
        <c:auto val="1"/>
        <c:lblAlgn val="ctr"/>
        <c:lblOffset val="100"/>
      </c:catAx>
      <c:valAx>
        <c:axId val="142149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4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067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177792"/>
        <c:axId val="142179328"/>
      </c:lineChart>
      <c:catAx>
        <c:axId val="14217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79328"/>
        <c:crosses val="autoZero"/>
        <c:auto val="1"/>
        <c:lblAlgn val="ctr"/>
        <c:lblOffset val="100"/>
      </c:catAx>
      <c:valAx>
        <c:axId val="142179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0614"/>
          <c:w val="0.12343118198092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-274.50000000000006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132.70000000000002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2294400"/>
        <c:axId val="142296192"/>
      </c:lineChart>
      <c:catAx>
        <c:axId val="1422944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96192"/>
        <c:crosses val="autoZero"/>
        <c:auto val="1"/>
        <c:lblAlgn val="ctr"/>
        <c:lblOffset val="100"/>
      </c:catAx>
      <c:valAx>
        <c:axId val="1422961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9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122"/>
          <c:y val="0.45486256926221597"/>
          <c:w val="0.1569039853282097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223.95454545454547</c:v>
                </c:pt>
                <c:pt idx="9">
                  <c:v>210.82608695652175</c:v>
                </c:pt>
                <c:pt idx="10">
                  <c:v>234.39130434782609</c:v>
                </c:pt>
                <c:pt idx="11">
                  <c:v>220.04347826086956</c:v>
                </c:pt>
                <c:pt idx="12">
                  <c:v>218.36363636363637</c:v>
                </c:pt>
                <c:pt idx="13">
                  <c:v>209.04166666666666</c:v>
                </c:pt>
                <c:pt idx="14">
                  <c:v>256.95238095238096</c:v>
                </c:pt>
                <c:pt idx="15">
                  <c:v>230.86956521739131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320000"/>
        <c:axId val="142321536"/>
      </c:lineChart>
      <c:catAx>
        <c:axId val="14232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21536"/>
        <c:crosses val="autoZero"/>
        <c:auto val="1"/>
        <c:lblAlgn val="ctr"/>
        <c:lblOffset val="100"/>
      </c:catAx>
      <c:valAx>
        <c:axId val="142321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2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611"/>
          <c:w val="0.14853578449139207"/>
          <c:h val="4.498269896194458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7045888"/>
        <c:axId val="137047424"/>
      </c:lineChart>
      <c:catAx>
        <c:axId val="13704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47424"/>
        <c:crosses val="autoZero"/>
        <c:auto val="1"/>
        <c:lblAlgn val="ctr"/>
        <c:lblOffset val="100"/>
      </c:catAx>
      <c:valAx>
        <c:axId val="13704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4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13"/>
          <c:y val="0.62975887529634611"/>
          <c:w val="0.12164948453608219"/>
          <c:h val="4.498269896194458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359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21</c:v>
                </c:pt>
                <c:pt idx="6">
                  <c:v>18</c:v>
                </c:pt>
                <c:pt idx="7">
                  <c:v>24</c:v>
                </c:pt>
                <c:pt idx="8">
                  <c:v>18</c:v>
                </c:pt>
                <c:pt idx="9">
                  <c:v>21</c:v>
                </c:pt>
                <c:pt idx="10">
                  <c:v>19</c:v>
                </c:pt>
                <c:pt idx="11">
                  <c:v>22</c:v>
                </c:pt>
                <c:pt idx="12">
                  <c:v>18</c:v>
                </c:pt>
                <c:pt idx="13">
                  <c:v>22</c:v>
                </c:pt>
                <c:pt idx="14">
                  <c:v>18</c:v>
                </c:pt>
                <c:pt idx="15">
                  <c:v>21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749696"/>
        <c:axId val="142751232"/>
      </c:lineChart>
      <c:catAx>
        <c:axId val="14274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51232"/>
        <c:crosses val="autoZero"/>
        <c:auto val="1"/>
        <c:lblAlgn val="ctr"/>
        <c:lblOffset val="100"/>
      </c:catAx>
      <c:valAx>
        <c:axId val="1427512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4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0</c:v>
                </c:pt>
                <c:pt idx="8">
                  <c:v>0</c:v>
                </c:pt>
                <c:pt idx="9">
                  <c:v>7571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0</c:v>
                </c:pt>
                <c:pt idx="14">
                  <c:v>4009</c:v>
                </c:pt>
                <c:pt idx="15">
                  <c:v>2684</c:v>
                </c:pt>
                <c:pt idx="16">
                  <c:v>1337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3127680"/>
        <c:axId val="143129216"/>
      </c:lineChart>
      <c:catAx>
        <c:axId val="14312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29216"/>
        <c:crosses val="autoZero"/>
        <c:auto val="1"/>
        <c:lblAlgn val="ctr"/>
        <c:lblOffset val="100"/>
      </c:catAx>
      <c:valAx>
        <c:axId val="14312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2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115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-274.50000000000006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132.70000000000002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3195520"/>
        <c:axId val="143262848"/>
      </c:lineChart>
      <c:catAx>
        <c:axId val="1431955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62848"/>
        <c:crosses val="autoZero"/>
        <c:auto val="1"/>
        <c:lblAlgn val="ctr"/>
        <c:lblOffset val="100"/>
      </c:catAx>
      <c:valAx>
        <c:axId val="1432628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9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159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ul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  <cell r="B32">
            <v>10.994</v>
          </cell>
          <cell r="D32">
            <v>31865522</v>
          </cell>
          <cell r="E32">
            <v>4902</v>
          </cell>
          <cell r="F32">
            <v>3741866</v>
          </cell>
          <cell r="G32">
            <v>1782</v>
          </cell>
          <cell r="H32">
            <v>17521942</v>
          </cell>
          <cell r="I32">
            <v>1668</v>
          </cell>
          <cell r="J32">
            <v>28525590</v>
          </cell>
          <cell r="K32">
            <v>2504</v>
          </cell>
          <cell r="L32">
            <v>23233636</v>
          </cell>
          <cell r="M32">
            <v>5614</v>
          </cell>
          <cell r="N32">
            <v>16470</v>
          </cell>
          <cell r="O32">
            <v>1498.0898672002911</v>
          </cell>
          <cell r="P32">
            <v>15675</v>
          </cell>
          <cell r="Q32">
            <v>12000</v>
          </cell>
          <cell r="R32">
            <v>4470</v>
          </cell>
          <cell r="S32">
            <v>8883</v>
          </cell>
          <cell r="T32">
            <v>12</v>
          </cell>
          <cell r="U32">
            <v>137518</v>
          </cell>
          <cell r="V32">
            <v>2919</v>
          </cell>
          <cell r="W32">
            <v>31853</v>
          </cell>
          <cell r="X32">
            <v>0</v>
          </cell>
          <cell r="Y32">
            <v>625865</v>
          </cell>
          <cell r="Z32">
            <v>0</v>
          </cell>
          <cell r="AA32">
            <v>35228</v>
          </cell>
          <cell r="AB32">
            <v>7</v>
          </cell>
          <cell r="AC32">
            <v>814514</v>
          </cell>
          <cell r="AD32">
            <v>1414</v>
          </cell>
          <cell r="AE32">
            <v>19</v>
          </cell>
          <cell r="AF32">
            <v>4333</v>
          </cell>
          <cell r="AG32">
            <v>228.05263157894737</v>
          </cell>
          <cell r="AI32">
            <v>-94226</v>
          </cell>
        </row>
      </sheetData>
      <sheetData sheetId="3">
        <row r="34">
          <cell r="B34">
            <v>140</v>
          </cell>
          <cell r="C34">
            <v>147</v>
          </cell>
          <cell r="D34">
            <v>11</v>
          </cell>
          <cell r="E34">
            <v>92.18</v>
          </cell>
          <cell r="F34">
            <v>1602</v>
          </cell>
          <cell r="G34">
            <v>1</v>
          </cell>
          <cell r="H34">
            <v>354323</v>
          </cell>
          <cell r="I34">
            <v>50</v>
          </cell>
          <cell r="J34">
            <v>50</v>
          </cell>
          <cell r="K34">
            <v>2069</v>
          </cell>
          <cell r="L34">
            <v>3</v>
          </cell>
          <cell r="M34">
            <v>151781</v>
          </cell>
          <cell r="N34">
            <v>193</v>
          </cell>
          <cell r="O34">
            <v>211.87499999999994</v>
          </cell>
          <cell r="P34">
            <v>1807</v>
          </cell>
          <cell r="Q34">
            <v>153299</v>
          </cell>
          <cell r="R34">
            <v>117</v>
          </cell>
          <cell r="S34">
            <v>1</v>
          </cell>
          <cell r="T34">
            <v>0</v>
          </cell>
          <cell r="U34">
            <v>5</v>
          </cell>
          <cell r="V34">
            <v>360</v>
          </cell>
          <cell r="X34">
            <v>2418</v>
          </cell>
          <cell r="Y34">
            <v>0</v>
          </cell>
          <cell r="Z34">
            <v>135964.1</v>
          </cell>
          <cell r="AA34">
            <v>0</v>
          </cell>
          <cell r="AB34">
            <v>0</v>
          </cell>
          <cell r="AC34">
            <v>1857</v>
          </cell>
          <cell r="AD34">
            <v>0</v>
          </cell>
          <cell r="AE34">
            <v>360818</v>
          </cell>
          <cell r="AF34">
            <v>0</v>
          </cell>
          <cell r="AG34">
            <v>0</v>
          </cell>
          <cell r="AH34">
            <v>0</v>
          </cell>
          <cell r="AI34">
            <v>360</v>
          </cell>
          <cell r="AJ34">
            <v>360</v>
          </cell>
          <cell r="AK34">
            <v>0</v>
          </cell>
          <cell r="AL34">
            <v>5</v>
          </cell>
          <cell r="AM34">
            <v>0</v>
          </cell>
          <cell r="AN34">
            <v>70</v>
          </cell>
          <cell r="AO34">
            <v>2100</v>
          </cell>
          <cell r="AP34">
            <v>77</v>
          </cell>
          <cell r="AQ34">
            <v>2310</v>
          </cell>
          <cell r="AR34">
            <v>77</v>
          </cell>
          <cell r="AS34">
            <v>2310</v>
          </cell>
          <cell r="AT34">
            <v>6720</v>
          </cell>
          <cell r="AU34">
            <v>150</v>
          </cell>
          <cell r="AX34">
            <v>0.7</v>
          </cell>
        </row>
      </sheetData>
      <sheetData sheetId="4">
        <row r="35">
          <cell r="A35">
            <v>44012</v>
          </cell>
          <cell r="B35">
            <v>108535</v>
          </cell>
          <cell r="C35">
            <v>0</v>
          </cell>
          <cell r="D35">
            <v>0</v>
          </cell>
          <cell r="E35">
            <v>250</v>
          </cell>
          <cell r="G35">
            <v>601246</v>
          </cell>
          <cell r="H35">
            <v>413</v>
          </cell>
          <cell r="I35">
            <v>413</v>
          </cell>
          <cell r="J35">
            <v>0.60532687651331718</v>
          </cell>
          <cell r="K35">
            <v>6366</v>
          </cell>
          <cell r="L35">
            <v>10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4899</v>
          </cell>
          <cell r="U35">
            <v>2</v>
          </cell>
          <cell r="V35">
            <v>410</v>
          </cell>
          <cell r="W35">
            <v>0</v>
          </cell>
          <cell r="X35">
            <v>144569</v>
          </cell>
          <cell r="Y35">
            <v>108</v>
          </cell>
          <cell r="Z35">
            <v>95357</v>
          </cell>
          <cell r="AA35">
            <v>36</v>
          </cell>
          <cell r="AB35">
            <v>259</v>
          </cell>
          <cell r="AC35">
            <v>670</v>
          </cell>
          <cell r="AD35">
            <v>0</v>
          </cell>
          <cell r="AE35">
            <v>162.18</v>
          </cell>
          <cell r="AF35">
            <v>0</v>
          </cell>
          <cell r="AG35">
            <v>1697.9</v>
          </cell>
          <cell r="AH35">
            <v>0</v>
          </cell>
          <cell r="AI35">
            <v>0</v>
          </cell>
          <cell r="AJ35">
            <v>36</v>
          </cell>
          <cell r="AK35">
            <v>98</v>
          </cell>
          <cell r="AL35">
            <v>36</v>
          </cell>
          <cell r="AM35">
            <v>26</v>
          </cell>
          <cell r="AN35">
            <v>0</v>
          </cell>
          <cell r="AP35">
            <v>203</v>
          </cell>
          <cell r="AR35">
            <v>44012</v>
          </cell>
          <cell r="AS35">
            <v>0.9</v>
          </cell>
          <cell r="AT35">
            <v>150</v>
          </cell>
          <cell r="AU35">
            <v>1.1000000000000001</v>
          </cell>
          <cell r="AV35">
            <v>100</v>
          </cell>
          <cell r="AW35">
            <v>2.9</v>
          </cell>
          <cell r="AX35">
            <v>103</v>
          </cell>
          <cell r="AY35">
            <v>135</v>
          </cell>
          <cell r="AZ35">
            <v>110.00000000000001</v>
          </cell>
          <cell r="BA35">
            <v>298.7</v>
          </cell>
          <cell r="BB35">
            <v>72</v>
          </cell>
          <cell r="BC35">
            <v>15.400000000000006</v>
          </cell>
          <cell r="BD35">
            <v>92.799999999999983</v>
          </cell>
          <cell r="BE35">
            <v>180.2</v>
          </cell>
          <cell r="BF35">
            <v>232.8</v>
          </cell>
          <cell r="BG35">
            <v>180.2</v>
          </cell>
        </row>
      </sheetData>
      <sheetData sheetId="5"/>
      <sheetData sheetId="6">
        <row r="35">
          <cell r="B35">
            <v>30</v>
          </cell>
          <cell r="C35">
            <v>22</v>
          </cell>
          <cell r="D35">
            <v>26</v>
          </cell>
          <cell r="E35">
            <v>0.75</v>
          </cell>
          <cell r="F35">
            <v>4.7800000000000002E-2</v>
          </cell>
          <cell r="G35">
            <v>10.994</v>
          </cell>
          <cell r="J35">
            <v>203</v>
          </cell>
          <cell r="K35">
            <v>203</v>
          </cell>
        </row>
      </sheetData>
      <sheetData sheetId="7">
        <row r="35">
          <cell r="B35">
            <v>140</v>
          </cell>
          <cell r="C35">
            <v>3012.2580645161288</v>
          </cell>
          <cell r="D35">
            <v>140</v>
          </cell>
          <cell r="E35">
            <v>3012.2580645161288</v>
          </cell>
          <cell r="F35">
            <v>140</v>
          </cell>
          <cell r="G35">
            <v>3012.2580645161288</v>
          </cell>
          <cell r="H35">
            <v>140</v>
          </cell>
          <cell r="I35">
            <v>3012.2580645161288</v>
          </cell>
          <cell r="J35">
            <v>140</v>
          </cell>
          <cell r="K35">
            <v>3012.2580645161288</v>
          </cell>
          <cell r="L35">
            <v>140</v>
          </cell>
          <cell r="M35">
            <v>3012.2580645161288</v>
          </cell>
          <cell r="N35">
            <v>140</v>
          </cell>
          <cell r="O35">
            <v>3012.2580645161288</v>
          </cell>
          <cell r="P35">
            <v>140</v>
          </cell>
          <cell r="Q35">
            <v>3012.2580645161288</v>
          </cell>
          <cell r="R35">
            <v>140</v>
          </cell>
          <cell r="S35">
            <v>3012.2580645161288</v>
          </cell>
          <cell r="T35">
            <v>140</v>
          </cell>
          <cell r="U35">
            <v>3012.2580645161288</v>
          </cell>
          <cell r="V35">
            <v>140</v>
          </cell>
          <cell r="W35">
            <v>3012.2580645161288</v>
          </cell>
          <cell r="X35">
            <v>0.45161290322580644</v>
          </cell>
          <cell r="Y35">
            <v>33134.838709677417</v>
          </cell>
          <cell r="Z35">
            <v>147</v>
          </cell>
          <cell r="AA35">
            <v>1470</v>
          </cell>
          <cell r="AB35">
            <v>147</v>
          </cell>
          <cell r="AC35">
            <v>1470</v>
          </cell>
          <cell r="AD35">
            <v>147</v>
          </cell>
          <cell r="AE35">
            <v>1470</v>
          </cell>
          <cell r="AF35">
            <v>147</v>
          </cell>
          <cell r="AG35">
            <v>1470</v>
          </cell>
          <cell r="AH35">
            <v>147</v>
          </cell>
          <cell r="AI35">
            <v>1470</v>
          </cell>
          <cell r="AJ35">
            <v>147</v>
          </cell>
          <cell r="AK35">
            <v>1470</v>
          </cell>
          <cell r="AL35">
            <v>147</v>
          </cell>
          <cell r="AM35">
            <v>1470</v>
          </cell>
          <cell r="AN35">
            <v>0.52500000000000002</v>
          </cell>
          <cell r="AO35">
            <v>10290</v>
          </cell>
          <cell r="AQ35">
            <v>0.46708442196060468</v>
          </cell>
          <cell r="AR35">
            <v>43424.838709677417</v>
          </cell>
          <cell r="AS35">
            <v>-3373.4516129032345</v>
          </cell>
          <cell r="AV35">
            <v>0.4128</v>
          </cell>
          <cell r="AW35">
            <v>-360</v>
          </cell>
          <cell r="AX35">
            <v>-3013.4516129032345</v>
          </cell>
          <cell r="AY35">
            <v>-3373.4516129032345</v>
          </cell>
          <cell r="AZ35">
            <v>4.7800000000000002E-2</v>
          </cell>
          <cell r="BA35">
            <v>26</v>
          </cell>
          <cell r="BB35">
            <v>0.75</v>
          </cell>
        </row>
      </sheetData>
      <sheetData sheetId="8">
        <row r="32">
          <cell r="B32">
            <v>8777</v>
          </cell>
          <cell r="C32">
            <v>15</v>
          </cell>
          <cell r="D32">
            <v>171037</v>
          </cell>
          <cell r="E32">
            <v>2409</v>
          </cell>
          <cell r="F32">
            <v>160.6</v>
          </cell>
          <cell r="H32">
            <v>8770</v>
          </cell>
          <cell r="I32" t="str">
            <v>oil change</v>
          </cell>
          <cell r="J32">
            <v>10698</v>
          </cell>
          <cell r="K32">
            <v>0</v>
          </cell>
          <cell r="L32">
            <v>238499</v>
          </cell>
          <cell r="M32">
            <v>2</v>
          </cell>
          <cell r="N32">
            <v>0</v>
          </cell>
          <cell r="P32">
            <v>10873</v>
          </cell>
          <cell r="Q32" t="str">
            <v>ok</v>
          </cell>
          <cell r="R32">
            <v>11252</v>
          </cell>
          <cell r="S32">
            <v>0</v>
          </cell>
          <cell r="T32">
            <v>264828</v>
          </cell>
          <cell r="U32">
            <v>47</v>
          </cell>
          <cell r="V32">
            <v>0</v>
          </cell>
          <cell r="X32">
            <v>12069</v>
          </cell>
          <cell r="Y32" t="str">
            <v>ok</v>
          </cell>
          <cell r="Z32">
            <v>15</v>
          </cell>
          <cell r="AA32">
            <v>2458</v>
          </cell>
          <cell r="AB32">
            <v>160.6</v>
          </cell>
          <cell r="AC32">
            <v>163.86666666666667</v>
          </cell>
          <cell r="AD32">
            <v>12000</v>
          </cell>
          <cell r="AE32">
            <v>800</v>
          </cell>
          <cell r="AF32">
            <v>0.5</v>
          </cell>
          <cell r="AG32">
            <v>160</v>
          </cell>
          <cell r="AH32">
            <v>3.8666666666666742</v>
          </cell>
          <cell r="AI32">
            <v>3088.6075949367091</v>
          </cell>
          <cell r="AJ32">
            <v>0.25738396624472576</v>
          </cell>
          <cell r="AK32">
            <v>205.9071729957806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  <cell r="Y9">
            <v>80</v>
          </cell>
          <cell r="Z9">
            <v>1</v>
          </cell>
        </row>
        <row r="10">
          <cell r="X10" t="str">
            <v>day</v>
          </cell>
          <cell r="Y10">
            <v>112</v>
          </cell>
          <cell r="Z10">
            <v>1</v>
          </cell>
        </row>
        <row r="11">
          <cell r="X11" t="str">
            <v>Peak</v>
          </cell>
          <cell r="Y11">
            <v>320</v>
          </cell>
          <cell r="Z11">
            <v>1</v>
          </cell>
        </row>
        <row r="13">
          <cell r="W13">
            <v>1.9296774193548385E-2</v>
          </cell>
          <cell r="X13">
            <v>0</v>
          </cell>
        </row>
        <row r="14">
          <cell r="W14">
            <v>119.48999999999978</v>
          </cell>
          <cell r="X14">
            <v>3.8545161290322509</v>
          </cell>
          <cell r="Y14">
            <v>1.9272580645161255</v>
          </cell>
        </row>
        <row r="16">
          <cell r="W16">
            <v>-549.00000000000011</v>
          </cell>
          <cell r="X16">
            <v>0</v>
          </cell>
        </row>
        <row r="17">
          <cell r="W17">
            <v>0</v>
          </cell>
        </row>
        <row r="27">
          <cell r="AA27">
            <v>22569</v>
          </cell>
          <cell r="AB27">
            <v>1805520</v>
          </cell>
          <cell r="AC27">
            <v>1033333</v>
          </cell>
          <cell r="AD27">
            <v>0.36036971356738795</v>
          </cell>
        </row>
        <row r="28">
          <cell r="AB28">
            <v>3865120</v>
          </cell>
          <cell r="AC28">
            <v>6200000</v>
          </cell>
          <cell r="AD28">
            <v>0.48598141330699468</v>
          </cell>
        </row>
        <row r="29">
          <cell r="AB29">
            <v>2856000</v>
          </cell>
          <cell r="AC29">
            <v>1000</v>
          </cell>
          <cell r="AD29">
            <v>0.15365448504983387</v>
          </cell>
        </row>
        <row r="31">
          <cell r="AB31">
            <v>8526640</v>
          </cell>
          <cell r="AC31">
            <v>7234333</v>
          </cell>
        </row>
        <row r="32">
          <cell r="AB32">
            <v>30832109</v>
          </cell>
          <cell r="AC32">
            <v>7234333</v>
          </cell>
        </row>
        <row r="34">
          <cell r="B34">
            <v>112190</v>
          </cell>
          <cell r="C34">
            <v>2832</v>
          </cell>
          <cell r="D34">
            <v>2827</v>
          </cell>
          <cell r="E34">
            <v>112185</v>
          </cell>
          <cell r="F34">
            <v>18455</v>
          </cell>
          <cell r="G34">
            <v>430</v>
          </cell>
          <cell r="H34">
            <v>52088</v>
          </cell>
          <cell r="I34">
            <v>676</v>
          </cell>
          <cell r="J34">
            <v>41646</v>
          </cell>
          <cell r="K34">
            <v>1721</v>
          </cell>
          <cell r="L34">
            <v>91.276948590381423</v>
          </cell>
          <cell r="M34">
            <v>50.223548922056388</v>
          </cell>
          <cell r="N34">
            <v>91.330016583747934</v>
          </cell>
          <cell r="O34">
            <v>159.96313985627418</v>
          </cell>
          <cell r="P34">
            <v>392.79365395245998</v>
          </cell>
          <cell r="Q34">
            <v>967.80012000000283</v>
          </cell>
          <cell r="R34">
            <v>1360.5937739524629</v>
          </cell>
          <cell r="S34">
            <v>16470</v>
          </cell>
          <cell r="T34">
            <v>8.2610429505310445E-2</v>
          </cell>
        </row>
        <row r="36">
          <cell r="AB36">
            <v>3391531.99</v>
          </cell>
        </row>
        <row r="37">
          <cell r="AB37">
            <v>34223640.990000002</v>
          </cell>
        </row>
        <row r="52">
          <cell r="V52">
            <v>0</v>
          </cell>
          <cell r="W52">
            <v>41646</v>
          </cell>
        </row>
        <row r="53">
          <cell r="V53">
            <v>0</v>
          </cell>
          <cell r="W53">
            <v>52088</v>
          </cell>
          <cell r="AA53">
            <v>52088</v>
          </cell>
        </row>
        <row r="54">
          <cell r="V54">
            <v>0</v>
          </cell>
          <cell r="W54">
            <v>18455</v>
          </cell>
          <cell r="AA54">
            <v>18455</v>
          </cell>
        </row>
        <row r="55">
          <cell r="AA55">
            <v>112189</v>
          </cell>
        </row>
      </sheetData>
      <sheetData sheetId="13">
        <row r="35">
          <cell r="B35">
            <v>2.5</v>
          </cell>
          <cell r="C35">
            <v>7.8</v>
          </cell>
          <cell r="D35">
            <v>29</v>
          </cell>
          <cell r="E35">
            <v>3</v>
          </cell>
          <cell r="F35">
            <v>8.1</v>
          </cell>
          <cell r="G35">
            <v>36</v>
          </cell>
          <cell r="H35">
            <v>6366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  <cell r="Y30" t="str">
            <v>Per G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>
        <row r="36">
          <cell r="V36">
            <v>10733</v>
          </cell>
        </row>
      </sheetData>
      <sheetData sheetId="4" refreshError="1"/>
      <sheetData sheetId="5" refreshError="1"/>
      <sheetData sheetId="6" refreshError="1"/>
      <sheetData sheetId="7">
        <row r="37">
          <cell r="AX37">
            <v>-50288.441935483883</v>
          </cell>
        </row>
      </sheetData>
      <sheetData sheetId="8">
        <row r="34">
          <cell r="Z34">
            <v>243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452924</v>
          </cell>
        </row>
      </sheetData>
      <sheetData sheetId="13" refreshError="1"/>
      <sheetData sheetId="14">
        <row r="6">
          <cell r="C6">
            <v>4794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27.967741935483872</v>
          </cell>
        </row>
        <row r="17">
          <cell r="C17">
            <v>0.83235161290322568</v>
          </cell>
        </row>
        <row r="18">
          <cell r="C18">
            <v>243</v>
          </cell>
        </row>
        <row r="19">
          <cell r="C19">
            <v>7.838709677419355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H60">
            <v>220</v>
          </cell>
        </row>
        <row r="62">
          <cell r="H62">
            <v>0.68010000000000004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3"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79" t="s">
        <v>356</v>
      </c>
      <c r="F1" s="279" t="s">
        <v>357</v>
      </c>
      <c r="G1" s="279" t="s">
        <v>358</v>
      </c>
      <c r="H1" s="279" t="s">
        <v>359</v>
      </c>
      <c r="I1" s="279" t="s">
        <v>360</v>
      </c>
      <c r="J1" s="279" t="s">
        <v>361</v>
      </c>
      <c r="K1" s="279" t="s">
        <v>362</v>
      </c>
      <c r="L1" s="313" t="s">
        <v>363</v>
      </c>
      <c r="M1" s="511" t="s">
        <v>404</v>
      </c>
      <c r="N1" s="512" t="s">
        <v>405</v>
      </c>
      <c r="O1" s="279" t="s">
        <v>347</v>
      </c>
    </row>
    <row r="2" spans="1:15">
      <c r="A2" t="s">
        <v>348</v>
      </c>
      <c r="B2">
        <v>1</v>
      </c>
      <c r="C2">
        <v>7</v>
      </c>
      <c r="D2">
        <v>2020</v>
      </c>
      <c r="E2" s="206">
        <f>ELEC!N3</f>
        <v>18028</v>
      </c>
      <c r="F2" s="338">
        <f>SUM('EDl log'!T4)</f>
        <v>7.6055430469591193E-2</v>
      </c>
      <c r="G2" s="206">
        <f>-tanks!AW6</f>
        <v>417</v>
      </c>
      <c r="H2" s="338">
        <f>SUM(tanks!AV6)</f>
        <v>0.46239999999999998</v>
      </c>
      <c r="I2" s="10">
        <f>('B5'!AU5)*0.51</f>
        <v>45.9</v>
      </c>
      <c r="J2" s="317">
        <f>'B5'!AX5/0.51</f>
        <v>1.3725490196078429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12.995000000000001</v>
      </c>
    </row>
    <row r="3" spans="1:15">
      <c r="A3" t="s">
        <v>348</v>
      </c>
      <c r="B3">
        <f>B2+1</f>
        <v>2</v>
      </c>
      <c r="C3">
        <v>7</v>
      </c>
      <c r="D3">
        <v>2020</v>
      </c>
      <c r="E3" s="206">
        <f>ELEC!N4</f>
        <v>18859</v>
      </c>
      <c r="F3" s="338">
        <f>SUM('EDl log'!T5)</f>
        <v>0.14347425221439969</v>
      </c>
      <c r="G3" s="206">
        <f>-tanks!AW7</f>
        <v>735</v>
      </c>
      <c r="H3" s="338">
        <f>SUM(tanks!AV7)</f>
        <v>0.46239999999999998</v>
      </c>
      <c r="I3" s="10">
        <f>('B5'!AU6)*0.51</f>
        <v>204</v>
      </c>
      <c r="J3" s="317">
        <f>'B5'!AX6/0.51</f>
        <v>1.3725490196078429</v>
      </c>
      <c r="K3" s="206">
        <f>WATER!I7</f>
        <v>393</v>
      </c>
      <c r="L3" s="339">
        <f>SUM(WATER!J7)</f>
        <v>0.61561191824673722</v>
      </c>
      <c r="M3" s="339">
        <f>WATER!Q7</f>
        <v>0</v>
      </c>
      <c r="N3" s="513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ELEC!N5</f>
        <v>20891</v>
      </c>
      <c r="F4" s="338">
        <f>SUM('EDl log'!T6)</f>
        <v>0.12581362689076125</v>
      </c>
      <c r="G4" s="206">
        <f>-tanks!AW8</f>
        <v>388</v>
      </c>
      <c r="H4" s="338">
        <f>SUM(tanks!AV8)</f>
        <v>0.46239999999999998</v>
      </c>
      <c r="I4" s="10">
        <f>('B5'!AU7)*0.51</f>
        <v>91.8</v>
      </c>
      <c r="J4" s="317">
        <f>'B5'!AX7/0.51</f>
        <v>1.3725490196078429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20.009999999999998</v>
      </c>
    </row>
    <row r="5" spans="1:15">
      <c r="A5" t="s">
        <v>348</v>
      </c>
      <c r="B5">
        <f t="shared" si="0"/>
        <v>4</v>
      </c>
      <c r="C5">
        <v>7</v>
      </c>
      <c r="D5">
        <v>2020</v>
      </c>
      <c r="E5" s="206">
        <f>ELEC!N6</f>
        <v>18152</v>
      </c>
      <c r="F5" s="338">
        <f>SUM('EDl log'!T7)</f>
        <v>0.14411071338934348</v>
      </c>
      <c r="G5" s="206">
        <f>-tanks!AW9</f>
        <v>534</v>
      </c>
      <c r="H5" s="338">
        <f>SUM(tanks!AV9)</f>
        <v>0.46239999999999998</v>
      </c>
      <c r="I5" s="10">
        <f>('B5'!AU8)*0.51</f>
        <v>15.3</v>
      </c>
      <c r="J5" s="317">
        <f>'B5'!AX8/0.51</f>
        <v>1.3725490196078429</v>
      </c>
      <c r="K5" s="206">
        <f>WATER!I9</f>
        <v>563</v>
      </c>
      <c r="L5" s="339">
        <f>SUM(WATER!J9)</f>
        <v>0.42972554861628376</v>
      </c>
      <c r="M5" s="339">
        <f>WATER!Q9</f>
        <v>0</v>
      </c>
      <c r="N5" s="513">
        <v>0.6</v>
      </c>
      <c r="O5" s="10">
        <f>ELEC!B6</f>
        <v>20.009999999999998</v>
      </c>
    </row>
    <row r="6" spans="1:15">
      <c r="A6" t="s">
        <v>348</v>
      </c>
      <c r="B6">
        <f t="shared" si="0"/>
        <v>5</v>
      </c>
      <c r="C6">
        <v>7</v>
      </c>
      <c r="D6">
        <v>2020</v>
      </c>
      <c r="E6" s="206">
        <f>ELEC!N7</f>
        <v>18161</v>
      </c>
      <c r="F6" s="338">
        <f>SUM('EDl log'!T8)</f>
        <v>0.14808001254984077</v>
      </c>
      <c r="G6" s="206">
        <f>-tanks!AW10</f>
        <v>338</v>
      </c>
      <c r="H6" s="338">
        <f>SUM(tanks!AV10)</f>
        <v>0.46239999999999998</v>
      </c>
      <c r="I6" s="10">
        <f>('B5'!AU9)*0.51</f>
        <v>61.2</v>
      </c>
      <c r="J6" s="317">
        <f>'B5'!AX9/0.51</f>
        <v>1.3725490196078429</v>
      </c>
      <c r="K6" s="206">
        <f>WATER!I10</f>
        <v>45</v>
      </c>
      <c r="L6" s="339">
        <f>SUM(WATER!J10)</f>
        <v>5.376344086021505</v>
      </c>
      <c r="M6" s="339">
        <f>WATER!Q10</f>
        <v>0</v>
      </c>
      <c r="N6" s="513">
        <v>0.6</v>
      </c>
      <c r="O6" s="10">
        <f>ELEC!B7</f>
        <v>18.009</v>
      </c>
    </row>
    <row r="7" spans="1:15">
      <c r="A7" t="s">
        <v>348</v>
      </c>
      <c r="B7">
        <f t="shared" si="0"/>
        <v>6</v>
      </c>
      <c r="C7">
        <v>7</v>
      </c>
      <c r="D7">
        <v>2020</v>
      </c>
      <c r="E7" s="206">
        <f>ELEC!N8</f>
        <v>20764</v>
      </c>
      <c r="F7" s="338">
        <f>SUM('EDl log'!T9)</f>
        <v>0.1167363080026167</v>
      </c>
      <c r="G7" s="206">
        <f>-tanks!AW11</f>
        <v>430</v>
      </c>
      <c r="H7" s="338">
        <f>SUM(tanks!AV11)</f>
        <v>0.46239999999999998</v>
      </c>
      <c r="I7" s="10">
        <f>('B5'!AU10)*0.51</f>
        <v>76.5</v>
      </c>
      <c r="J7" s="317">
        <f>'B5'!AX10/0.51</f>
        <v>1.3725490196078429</v>
      </c>
      <c r="K7" s="206">
        <f>WATER!I11</f>
        <v>227</v>
      </c>
      <c r="L7" s="339">
        <f>SUM(WATER!J11)</f>
        <v>1.0657950831320164</v>
      </c>
      <c r="M7" s="339">
        <f>WATER!Q11</f>
        <v>0</v>
      </c>
      <c r="N7" s="513">
        <v>0.6</v>
      </c>
      <c r="O7" s="10">
        <f>ELEC!B8</f>
        <v>18.998000000000001</v>
      </c>
    </row>
    <row r="8" spans="1:15">
      <c r="A8" t="s">
        <v>348</v>
      </c>
      <c r="B8">
        <f t="shared" si="0"/>
        <v>7</v>
      </c>
      <c r="C8">
        <v>7</v>
      </c>
      <c r="D8">
        <v>2020</v>
      </c>
      <c r="E8" s="206">
        <f>ELEC!N9</f>
        <v>20479</v>
      </c>
      <c r="F8" s="338">
        <f>SUM('EDl log'!T10)</f>
        <v>0.12312307659209952</v>
      </c>
      <c r="G8" s="206">
        <f>-tanks!AW12</f>
        <v>657</v>
      </c>
      <c r="H8" s="338">
        <f>SUM(tanks!AV12)</f>
        <v>0.46239999999999998</v>
      </c>
      <c r="I8" s="10">
        <f>('B5'!AU11)*0.51</f>
        <v>76.5</v>
      </c>
      <c r="J8" s="317">
        <f>'B5'!AX11/0.51</f>
        <v>1.3725490196078429</v>
      </c>
      <c r="K8" s="206">
        <f>WATER!I12</f>
        <v>201</v>
      </c>
      <c r="L8" s="339">
        <f>SUM(WATER!J12)</f>
        <v>1.203659123736158</v>
      </c>
      <c r="M8" s="339">
        <f>WATER!Q12</f>
        <v>0</v>
      </c>
      <c r="N8" s="513">
        <v>0.6</v>
      </c>
      <c r="O8" s="10">
        <f>ELEC!B9</f>
        <v>18.009</v>
      </c>
    </row>
    <row r="9" spans="1:15">
      <c r="A9" t="s">
        <v>348</v>
      </c>
      <c r="B9">
        <f t="shared" si="0"/>
        <v>8</v>
      </c>
      <c r="C9">
        <v>7</v>
      </c>
      <c r="D9">
        <v>2020</v>
      </c>
      <c r="E9" s="206">
        <f>ELEC!N10</f>
        <v>23543</v>
      </c>
      <c r="F9" s="338">
        <f>SUM('EDl log'!T11)</f>
        <v>0.10181055526595499</v>
      </c>
      <c r="G9" s="206">
        <f>-tanks!AW13</f>
        <v>512</v>
      </c>
      <c r="H9" s="338">
        <f>SUM(tanks!AV13)</f>
        <v>0.52839999999999998</v>
      </c>
      <c r="I9" s="10">
        <f>('B5'!AU12)*0.51</f>
        <v>107.10000000000001</v>
      </c>
      <c r="J9" s="317">
        <f>'B5'!AX12/0.51</f>
        <v>1.3725490196078429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20.009999999999998</v>
      </c>
    </row>
    <row r="10" spans="1:15">
      <c r="A10" t="s">
        <v>348</v>
      </c>
      <c r="B10">
        <f t="shared" si="0"/>
        <v>9</v>
      </c>
      <c r="C10">
        <v>7</v>
      </c>
      <c r="D10">
        <v>2020</v>
      </c>
      <c r="E10" s="206">
        <f>ELEC!N11</f>
        <v>18109</v>
      </c>
      <c r="F10" s="338">
        <f>SUM('EDl log'!T12)</f>
        <v>0.18501511092825751</v>
      </c>
      <c r="G10" s="206">
        <f>-tanks!AW14</f>
        <v>255.9999999999709</v>
      </c>
      <c r="H10" s="338">
        <f>SUM(tanks!AV14)</f>
        <v>0.52839999999999998</v>
      </c>
      <c r="I10" s="10">
        <f>('B5'!AU13)*0.51</f>
        <v>198.9</v>
      </c>
      <c r="J10" s="317">
        <f>'B5'!AX13/0.51</f>
        <v>1.3725490196078429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25.001000000000001</v>
      </c>
    </row>
    <row r="11" spans="1:15">
      <c r="A11" t="s">
        <v>348</v>
      </c>
      <c r="B11">
        <f t="shared" si="0"/>
        <v>10</v>
      </c>
      <c r="C11">
        <v>7</v>
      </c>
      <c r="D11">
        <v>2020</v>
      </c>
      <c r="E11" s="206">
        <f>ELEC!N12</f>
        <v>20053</v>
      </c>
      <c r="F11" s="338">
        <f>SUM('EDl log'!T13)</f>
        <v>5.3734012949297104E-2</v>
      </c>
      <c r="G11" s="206">
        <f>-tanks!AW15</f>
        <v>342.80000000004657</v>
      </c>
      <c r="H11" s="338">
        <f>SUM(tanks!AV15)</f>
        <v>0.52839999999999998</v>
      </c>
      <c r="I11" s="10">
        <f>('B5'!AU14)*0.51</f>
        <v>91.8</v>
      </c>
      <c r="J11" s="317">
        <f>'B5'!AX14/0.51</f>
        <v>1.3725490196078429</v>
      </c>
      <c r="K11" s="206">
        <f>WATER!I15</f>
        <v>112</v>
      </c>
      <c r="L11" s="339">
        <f>SUM(WATER!J15)</f>
        <v>2.1601382488479262</v>
      </c>
      <c r="M11" s="339">
        <f>WATER!Q15</f>
        <v>0</v>
      </c>
      <c r="N11" s="513">
        <v>0.6</v>
      </c>
      <c r="O11" s="10">
        <f>ELEC!B12</f>
        <v>25.990000000000002</v>
      </c>
    </row>
    <row r="12" spans="1:15">
      <c r="A12" t="s">
        <v>348</v>
      </c>
      <c r="B12">
        <f t="shared" si="0"/>
        <v>11</v>
      </c>
      <c r="C12">
        <v>7</v>
      </c>
      <c r="D12">
        <v>2020</v>
      </c>
      <c r="E12" s="206">
        <f>ELEC!N13</f>
        <v>21073</v>
      </c>
      <c r="F12" s="338">
        <f>SUM('EDl log'!T14)</f>
        <v>0.14727445346002302</v>
      </c>
      <c r="G12" s="206">
        <f>-tanks!AW16</f>
        <v>335</v>
      </c>
      <c r="H12" s="338">
        <f>SUM(tanks!AV16)</f>
        <v>0.52839999999999998</v>
      </c>
      <c r="I12" s="10">
        <f>('B5'!AU15)*0.51</f>
        <v>61.2</v>
      </c>
      <c r="J12" s="317">
        <f>'B5'!AX15/0.51</f>
        <v>1.3725490196078429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37.950000000000003</v>
      </c>
    </row>
    <row r="13" spans="1:15">
      <c r="A13" t="s">
        <v>348</v>
      </c>
      <c r="B13">
        <f t="shared" si="0"/>
        <v>12</v>
      </c>
      <c r="C13">
        <v>7</v>
      </c>
      <c r="D13">
        <v>2020</v>
      </c>
      <c r="E13" s="206">
        <f>ELEC!N14</f>
        <v>20084</v>
      </c>
      <c r="F13" s="338">
        <f>SUM('EDl log'!T15)</f>
        <v>0.15428781900310876</v>
      </c>
      <c r="G13" s="206">
        <f>-tanks!AW17</f>
        <v>220</v>
      </c>
      <c r="H13" s="338">
        <f>SUM(tanks!AV17)</f>
        <v>0.52839999999999998</v>
      </c>
      <c r="I13" s="10">
        <f>('B5'!AU16)*0.51</f>
        <v>15.3</v>
      </c>
      <c r="J13" s="317">
        <f>'B5'!AX16/0.51</f>
        <v>1.3725490196078429</v>
      </c>
      <c r="K13" s="206">
        <f>WATER!I17</f>
        <v>271</v>
      </c>
      <c r="L13" s="339">
        <f>SUM(WATER!J17)</f>
        <v>0.89275086299250095</v>
      </c>
      <c r="M13" s="339">
        <f>WATER!Q17</f>
        <v>0</v>
      </c>
      <c r="N13" s="513">
        <v>0.6</v>
      </c>
      <c r="O13" s="10">
        <f>ELEC!B14</f>
        <v>23</v>
      </c>
    </row>
    <row r="14" spans="1:15">
      <c r="A14" t="s">
        <v>348</v>
      </c>
      <c r="B14">
        <f t="shared" si="0"/>
        <v>13</v>
      </c>
      <c r="C14">
        <v>7</v>
      </c>
      <c r="D14">
        <v>2020</v>
      </c>
      <c r="E14" s="206">
        <f>ELEC!N15</f>
        <v>19864</v>
      </c>
      <c r="F14" s="338">
        <f>SUM('EDl log'!T16)</f>
        <v>0.13118038814164945</v>
      </c>
      <c r="G14" s="206">
        <f>-tanks!AW18</f>
        <v>165</v>
      </c>
      <c r="H14" s="338">
        <f>SUM(tanks!AV18)</f>
        <v>0.52839999999999998</v>
      </c>
      <c r="I14" s="10">
        <f>('B5'!AU17)*0.51</f>
        <v>30.6</v>
      </c>
      <c r="J14" s="317">
        <f>'B5'!AX17/0.51</f>
        <v>1.3725490196078429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27.991</v>
      </c>
    </row>
    <row r="15" spans="1:15">
      <c r="A15" t="s">
        <v>348</v>
      </c>
      <c r="B15">
        <f t="shared" si="0"/>
        <v>14</v>
      </c>
      <c r="C15">
        <v>7</v>
      </c>
      <c r="D15">
        <v>2020</v>
      </c>
      <c r="E15" s="206">
        <f>ELEC!N16</f>
        <v>19752</v>
      </c>
      <c r="F15" s="338">
        <f>SUM('EDl log'!T17)</f>
        <v>0.11755943844418683</v>
      </c>
      <c r="G15" s="206">
        <f>-tanks!AW19</f>
        <v>434.09999999997672</v>
      </c>
      <c r="H15" s="338">
        <f>SUM(tanks!AV19)</f>
        <v>0.52839999999999998</v>
      </c>
      <c r="I15" s="10">
        <f>('B5'!AU18)*0.51</f>
        <v>76.5</v>
      </c>
      <c r="J15" s="317">
        <f>'B5'!AX18/0.51</f>
        <v>1.3725490196078429</v>
      </c>
      <c r="K15" s="206">
        <f>WATER!I19</f>
        <v>224</v>
      </c>
      <c r="L15" s="339">
        <f>SUM(WATER!J19)</f>
        <v>1.0800691244239631</v>
      </c>
      <c r="M15" s="339">
        <f>WATER!Q19</f>
        <v>0</v>
      </c>
      <c r="N15" s="513">
        <v>0.6</v>
      </c>
      <c r="O15" s="10">
        <f>ELEC!B16</f>
        <v>29.232999999999997</v>
      </c>
    </row>
    <row r="16" spans="1:15">
      <c r="A16" t="s">
        <v>348</v>
      </c>
      <c r="B16">
        <f t="shared" si="0"/>
        <v>15</v>
      </c>
      <c r="C16">
        <v>7</v>
      </c>
      <c r="D16">
        <v>2020</v>
      </c>
      <c r="E16" s="206">
        <f>ELEC!N17</f>
        <v>22340</v>
      </c>
      <c r="F16" s="338">
        <f>SUM('EDl log'!T18)</f>
        <v>0.13553046768758922</v>
      </c>
      <c r="G16" s="206">
        <f>-tanks!AW20</f>
        <v>452</v>
      </c>
      <c r="H16" s="338">
        <f>SUM(tanks!AV20)</f>
        <v>0.52839999999999998</v>
      </c>
      <c r="I16" s="10">
        <f>('B5'!AU19)*0.51</f>
        <v>107.10000000000001</v>
      </c>
      <c r="J16" s="317">
        <f>'B5'!AX19/0.51</f>
        <v>1.3725490196078429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31.004000000000001</v>
      </c>
    </row>
    <row r="17" spans="1:15">
      <c r="A17" t="s">
        <v>348</v>
      </c>
      <c r="B17">
        <f t="shared" si="0"/>
        <v>16</v>
      </c>
      <c r="C17">
        <v>7</v>
      </c>
      <c r="D17">
        <v>2020</v>
      </c>
      <c r="E17" s="206">
        <f>ELEC!N18</f>
        <v>20744</v>
      </c>
      <c r="F17" s="338">
        <f>SUM('EDl log'!T19)</f>
        <v>8.5027507223449872E-2</v>
      </c>
      <c r="G17" s="206">
        <f>-tanks!AW21</f>
        <v>257</v>
      </c>
      <c r="H17" s="338">
        <f>SUM(tanks!AV21)</f>
        <v>0.5383</v>
      </c>
      <c r="I17" s="10">
        <f>('B5'!AU20)*0.51</f>
        <v>158.1</v>
      </c>
      <c r="J17" s="317">
        <f>'B5'!AX20/0.51</f>
        <v>1.3725490196078429</v>
      </c>
      <c r="K17" s="206">
        <f>WATER!I21</f>
        <v>159</v>
      </c>
      <c r="L17" s="339">
        <f>SUM(WATER!J21)</f>
        <v>1.5216068167985393</v>
      </c>
      <c r="M17" s="339">
        <f>WATER!Q21</f>
        <v>0</v>
      </c>
      <c r="N17" s="513">
        <v>0.6</v>
      </c>
      <c r="O17" s="10">
        <f>ELEC!B18</f>
        <v>46</v>
      </c>
    </row>
    <row r="18" spans="1:15">
      <c r="A18" t="s">
        <v>348</v>
      </c>
      <c r="B18">
        <f t="shared" si="0"/>
        <v>17</v>
      </c>
      <c r="C18">
        <v>7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0.5383</v>
      </c>
      <c r="I18" s="10">
        <f>('B5'!AU21)*0.51</f>
        <v>0</v>
      </c>
      <c r="J18" s="317">
        <f>'B5'!AX21/0.51</f>
        <v>1.3725490196078429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7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0.5383</v>
      </c>
      <c r="I19" s="10">
        <f>('B5'!AU22)*0.51</f>
        <v>0</v>
      </c>
      <c r="J19" s="317">
        <f>'B5'!AX22/0.51</f>
        <v>1.3725490196078429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7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0.5383</v>
      </c>
      <c r="I20" s="10">
        <f>('B5'!AU23)*0.51</f>
        <v>0</v>
      </c>
      <c r="J20" s="317">
        <f>'B5'!AX23/0.51</f>
        <v>1.3725490196078429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7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0.5383</v>
      </c>
      <c r="I21" s="10">
        <f>('B5'!AU24)*0.51</f>
        <v>0</v>
      </c>
      <c r="J21" s="317">
        <f>'B5'!AX24/0.51</f>
        <v>1.3725490196078429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7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0.5383</v>
      </c>
      <c r="I22" s="10">
        <f>('B5'!AU25)*0.51</f>
        <v>0</v>
      </c>
      <c r="J22" s="317">
        <f>'B5'!AX25/0.51</f>
        <v>1.3725490196078429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7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0.5383</v>
      </c>
      <c r="I23" s="10">
        <f>('B5'!AU26)*0.51</f>
        <v>0</v>
      </c>
      <c r="J23" s="317">
        <f>'B5'!AX26/0.51</f>
        <v>1.3725490196078429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7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0.5383</v>
      </c>
      <c r="I24" s="10">
        <f>('B5'!AU27)*0.51</f>
        <v>0</v>
      </c>
      <c r="J24" s="317">
        <f>'B5'!AX27/0.51</f>
        <v>1.3725490196078429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7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0.5383</v>
      </c>
      <c r="I25" s="10">
        <f>('B5'!AU28)*0.51</f>
        <v>0</v>
      </c>
      <c r="J25" s="317">
        <f>'B5'!AX28/0.51</f>
        <v>1.3725490196078429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7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0.5383</v>
      </c>
      <c r="I26" s="10">
        <f>('B5'!AU29)*0.51</f>
        <v>0</v>
      </c>
      <c r="J26" s="317">
        <f>'B5'!AX29/0.51</f>
        <v>1.3725490196078429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7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0.5383</v>
      </c>
      <c r="I27" s="10">
        <f>('B5'!AU30)*0.51</f>
        <v>0</v>
      </c>
      <c r="J27" s="317">
        <f>'B5'!AX30/0.51</f>
        <v>1.3725490196078429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7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0.5383</v>
      </c>
      <c r="I28" s="10">
        <f>('B5'!AU31)*0.51</f>
        <v>0</v>
      </c>
      <c r="J28" s="317">
        <f>'B5'!AX31/0.51</f>
        <v>1.3725490196078429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7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0.5383</v>
      </c>
      <c r="I29" s="10">
        <f>('B5'!AU32)*0.51</f>
        <v>0</v>
      </c>
      <c r="J29" s="317">
        <f>'B5'!AX32/0.51</f>
        <v>1.3725490196078429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7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0.5383</v>
      </c>
      <c r="I30" s="10">
        <f>('B5'!AU33)*0.51</f>
        <v>0</v>
      </c>
      <c r="J30" s="317">
        <f>'B5'!AX33/0.51</f>
        <v>1.3725490196078429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7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0.5383</v>
      </c>
      <c r="I31" s="10">
        <f>('B5'!AU34)*0.51</f>
        <v>0</v>
      </c>
      <c r="J31" s="317">
        <f>'B5'!AX34/0.51</f>
        <v>1.3725490196078429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7</v>
      </c>
      <c r="D32">
        <v>2020</v>
      </c>
      <c r="E32" s="206">
        <f>ELEC!N33</f>
        <v>0</v>
      </c>
      <c r="F32" s="338">
        <f>SUM('EDl log'!T35)</f>
        <v>0</v>
      </c>
      <c r="G32" s="206">
        <f>-tanks!AW37</f>
        <v>0</v>
      </c>
      <c r="H32" s="338">
        <f>SUM(tanks!AV37)</f>
        <v>0</v>
      </c>
      <c r="I32" s="10">
        <f>('B5'!AU36)*0.51</f>
        <v>1417.8</v>
      </c>
      <c r="J32" s="317">
        <f>'B5'!AX36/0.51</f>
        <v>0</v>
      </c>
      <c r="K32" s="206">
        <f>WATER!I37</f>
        <v>2195</v>
      </c>
      <c r="L32" s="339">
        <f>SUM(WATER!J37)</f>
        <v>0</v>
      </c>
      <c r="M32" s="339">
        <f>WATER!Q37</f>
        <v>0</v>
      </c>
      <c r="N32" s="513">
        <v>0.6</v>
      </c>
      <c r="O32" s="10">
        <f>ELEC!B33</f>
        <v>23.94875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3" workbookViewId="0">
      <selection activeCell="J32" sqref="J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79" t="s">
        <v>347</v>
      </c>
    </row>
    <row r="2" spans="1:13">
      <c r="A2" t="s">
        <v>348</v>
      </c>
      <c r="B2">
        <v>1</v>
      </c>
      <c r="C2">
        <v>7</v>
      </c>
      <c r="D2">
        <v>2020</v>
      </c>
      <c r="E2" s="206">
        <f>ELEC!M3</f>
        <v>7896</v>
      </c>
      <c r="F2" s="206">
        <f>ELEC!K3</f>
        <v>2847</v>
      </c>
      <c r="G2" s="206">
        <f>ELEC!I3</f>
        <v>1774</v>
      </c>
      <c r="H2" s="206">
        <f>ELEC!E3</f>
        <v>3656</v>
      </c>
      <c r="I2" s="206">
        <f>ELEC!G3</f>
        <v>1855</v>
      </c>
      <c r="J2" s="206">
        <f>WATER!Y6</f>
        <v>115</v>
      </c>
      <c r="K2" s="206">
        <f>WATER!AJ6</f>
        <v>10</v>
      </c>
      <c r="L2" s="10">
        <f>ELEC!B3</f>
        <v>12.995000000000001</v>
      </c>
      <c r="M2" s="10"/>
    </row>
    <row r="3" spans="1:13">
      <c r="A3" t="s">
        <v>348</v>
      </c>
      <c r="B3">
        <f>B2+1</f>
        <v>2</v>
      </c>
      <c r="C3">
        <v>7</v>
      </c>
      <c r="D3">
        <v>2020</v>
      </c>
      <c r="E3" s="206">
        <f>ELEC!M4</f>
        <v>8320</v>
      </c>
      <c r="F3" s="206">
        <f>ELEC!K4</f>
        <v>3057</v>
      </c>
      <c r="G3" s="206">
        <f>ELEC!I4</f>
        <v>1778</v>
      </c>
      <c r="H3" s="206">
        <f>ELEC!E4</f>
        <v>3856</v>
      </c>
      <c r="I3" s="206">
        <f>ELEC!G4</f>
        <v>1848</v>
      </c>
      <c r="J3" s="206">
        <f>WATER!Y7</f>
        <v>69</v>
      </c>
      <c r="K3" s="206">
        <f>WATER!AJ7</f>
        <v>48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ELEC!M5</f>
        <v>9244</v>
      </c>
      <c r="F4" s="206">
        <f>ELEC!K5</f>
        <v>3108</v>
      </c>
      <c r="G4" s="206">
        <f>ELEC!I5</f>
        <v>2010</v>
      </c>
      <c r="H4" s="206">
        <f>ELEC!E5</f>
        <v>4478</v>
      </c>
      <c r="I4" s="206">
        <f>ELEC!G5</f>
        <v>2051</v>
      </c>
      <c r="J4" s="206">
        <f>WATER!Y8</f>
        <v>48</v>
      </c>
      <c r="K4" s="206">
        <f>WATER!AJ8</f>
        <v>52</v>
      </c>
      <c r="L4" s="10">
        <f>ELEC!B5</f>
        <v>20.009999999999998</v>
      </c>
      <c r="M4" s="10"/>
    </row>
    <row r="5" spans="1:13">
      <c r="A5" t="s">
        <v>348</v>
      </c>
      <c r="B5">
        <f t="shared" si="0"/>
        <v>4</v>
      </c>
      <c r="C5">
        <v>7</v>
      </c>
      <c r="D5">
        <v>2020</v>
      </c>
      <c r="E5" s="206">
        <f>ELEC!M6</f>
        <v>8346</v>
      </c>
      <c r="F5" s="206">
        <f>ELEC!K6</f>
        <v>2220</v>
      </c>
      <c r="G5" s="206">
        <f>ELEC!I6</f>
        <v>1890</v>
      </c>
      <c r="H5" s="206">
        <f>ELEC!E6</f>
        <v>3772</v>
      </c>
      <c r="I5" s="206">
        <f>ELEC!G6</f>
        <v>1924</v>
      </c>
      <c r="J5" s="206">
        <f>WATER!Y9</f>
        <v>180</v>
      </c>
      <c r="K5" s="206">
        <f>WATER!AJ9</f>
        <v>73</v>
      </c>
      <c r="L5" s="10">
        <f>ELEC!B6</f>
        <v>20.009999999999998</v>
      </c>
      <c r="M5" s="10"/>
    </row>
    <row r="6" spans="1:13">
      <c r="A6" t="s">
        <v>348</v>
      </c>
      <c r="B6">
        <f t="shared" si="0"/>
        <v>5</v>
      </c>
      <c r="C6">
        <v>7</v>
      </c>
      <c r="D6">
        <v>2020</v>
      </c>
      <c r="E6" s="206">
        <f>ELEC!M7</f>
        <v>6172</v>
      </c>
      <c r="F6" s="206">
        <f>ELEC!K7</f>
        <v>2178</v>
      </c>
      <c r="G6" s="206">
        <f>ELEC!I7</f>
        <v>1996</v>
      </c>
      <c r="H6" s="206">
        <f>ELEC!E7</f>
        <v>5838</v>
      </c>
      <c r="I6" s="206">
        <f>ELEC!G7</f>
        <v>1977</v>
      </c>
      <c r="J6" s="206">
        <f>WATER!Y10</f>
        <v>2</v>
      </c>
      <c r="K6" s="206">
        <f>WATER!AJ10</f>
        <v>1</v>
      </c>
      <c r="L6" s="10">
        <f>ELEC!B7</f>
        <v>18.009</v>
      </c>
      <c r="M6" s="10"/>
    </row>
    <row r="7" spans="1:13">
      <c r="A7" t="s">
        <v>348</v>
      </c>
      <c r="B7">
        <f t="shared" si="0"/>
        <v>6</v>
      </c>
      <c r="C7">
        <v>7</v>
      </c>
      <c r="D7">
        <v>2020</v>
      </c>
      <c r="E7" s="206">
        <f>ELEC!M8</f>
        <v>8976</v>
      </c>
      <c r="F7" s="206">
        <f>ELEC!K8</f>
        <v>2448</v>
      </c>
      <c r="G7" s="206">
        <f>ELEC!I8</f>
        <v>2216</v>
      </c>
      <c r="H7" s="206">
        <f>ELEC!E8</f>
        <v>5028</v>
      </c>
      <c r="I7" s="206">
        <f>ELEC!G8</f>
        <v>2096</v>
      </c>
      <c r="J7" s="206">
        <f>WATER!Y11</f>
        <v>110</v>
      </c>
      <c r="K7" s="206">
        <f>WATER!AJ11</f>
        <v>43</v>
      </c>
      <c r="L7" s="10">
        <f>ELEC!B8</f>
        <v>18.998000000000001</v>
      </c>
      <c r="M7" s="10"/>
    </row>
    <row r="8" spans="1:13">
      <c r="A8" t="s">
        <v>348</v>
      </c>
      <c r="B8">
        <f t="shared" si="0"/>
        <v>7</v>
      </c>
      <c r="C8">
        <v>7</v>
      </c>
      <c r="D8">
        <v>2020</v>
      </c>
      <c r="E8" s="206">
        <f>ELEC!M9</f>
        <v>6248</v>
      </c>
      <c r="F8" s="206">
        <f>ELEC!K9</f>
        <v>2470</v>
      </c>
      <c r="G8" s="206">
        <f>ELEC!I9</f>
        <v>2320</v>
      </c>
      <c r="H8" s="206">
        <f>ELEC!E9</f>
        <v>7468</v>
      </c>
      <c r="I8" s="206">
        <f>ELEC!G9</f>
        <v>1973</v>
      </c>
      <c r="J8" s="206">
        <f>WATER!Y12</f>
        <v>111</v>
      </c>
      <c r="K8" s="206">
        <f>WATER!AJ12</f>
        <v>53</v>
      </c>
      <c r="L8" s="10">
        <f>ELEC!B9</f>
        <v>18.009</v>
      </c>
      <c r="M8" s="10"/>
    </row>
    <row r="9" spans="1:13">
      <c r="A9" t="s">
        <v>348</v>
      </c>
      <c r="B9">
        <f t="shared" si="0"/>
        <v>8</v>
      </c>
      <c r="C9">
        <v>7</v>
      </c>
      <c r="D9">
        <v>2020</v>
      </c>
      <c r="E9" s="206">
        <f>ELEC!M10</f>
        <v>10244</v>
      </c>
      <c r="F9" s="206">
        <f>ELEC!K10</f>
        <v>3566</v>
      </c>
      <c r="G9" s="206">
        <f>ELEC!I10</f>
        <v>2396</v>
      </c>
      <c r="H9" s="206">
        <f>ELEC!E10</f>
        <v>5190</v>
      </c>
      <c r="I9" s="206">
        <f>ELEC!G10</f>
        <v>2147</v>
      </c>
      <c r="J9" s="206">
        <f>WATER!Y13</f>
        <v>0</v>
      </c>
      <c r="K9" s="206">
        <f>WATER!AJ13</f>
        <v>0</v>
      </c>
      <c r="L9" s="10">
        <f>ELEC!B10</f>
        <v>20.009999999999998</v>
      </c>
      <c r="M9" s="10"/>
    </row>
    <row r="10" spans="1:13">
      <c r="A10" t="s">
        <v>348</v>
      </c>
      <c r="B10">
        <f t="shared" si="0"/>
        <v>9</v>
      </c>
      <c r="C10">
        <v>7</v>
      </c>
      <c r="D10">
        <v>2020</v>
      </c>
      <c r="E10" s="206">
        <f>ELEC!M11</f>
        <v>7658</v>
      </c>
      <c r="F10" s="206">
        <f>ELEC!K11</f>
        <v>2358</v>
      </c>
      <c r="G10" s="206">
        <f>ELEC!I11</f>
        <v>2000</v>
      </c>
      <c r="H10" s="206">
        <f>ELEC!E11</f>
        <v>4328</v>
      </c>
      <c r="I10" s="206">
        <f>ELEC!G11</f>
        <v>1765</v>
      </c>
      <c r="J10" s="206">
        <f>WATER!Y14</f>
        <v>0</v>
      </c>
      <c r="K10" s="206">
        <f>WATER!AJ14</f>
        <v>0</v>
      </c>
      <c r="L10" s="10">
        <f>ELEC!B11</f>
        <v>25.001000000000001</v>
      </c>
      <c r="M10" s="10"/>
    </row>
    <row r="11" spans="1:13">
      <c r="A11" t="s">
        <v>348</v>
      </c>
      <c r="B11">
        <f t="shared" si="0"/>
        <v>10</v>
      </c>
      <c r="C11">
        <v>7</v>
      </c>
      <c r="D11">
        <v>2020</v>
      </c>
      <c r="E11" s="206">
        <f>ELEC!M12</f>
        <v>3718</v>
      </c>
      <c r="F11" s="206">
        <f>ELEC!K12</f>
        <v>2532</v>
      </c>
      <c r="G11" s="206">
        <f>ELEC!I12</f>
        <v>2376</v>
      </c>
      <c r="H11" s="206">
        <f>ELEC!E12</f>
        <v>9500</v>
      </c>
      <c r="I11" s="206">
        <f>ELEC!G12</f>
        <v>1927</v>
      </c>
      <c r="J11" s="206">
        <f>WATER!Y15</f>
        <v>91</v>
      </c>
      <c r="K11" s="206">
        <f>WATER!AJ15</f>
        <v>24</v>
      </c>
      <c r="L11" s="10">
        <f>ELEC!B12</f>
        <v>25.990000000000002</v>
      </c>
      <c r="M11" s="10"/>
    </row>
    <row r="12" spans="1:13">
      <c r="A12" t="s">
        <v>348</v>
      </c>
      <c r="B12">
        <f t="shared" si="0"/>
        <v>11</v>
      </c>
      <c r="C12">
        <v>7</v>
      </c>
      <c r="D12">
        <v>2020</v>
      </c>
      <c r="E12" s="206">
        <f>ELEC!M13</f>
        <v>6858</v>
      </c>
      <c r="F12" s="206">
        <f>ELEC!K13</f>
        <v>3036</v>
      </c>
      <c r="G12" s="206">
        <f>ELEC!I13</f>
        <v>2372</v>
      </c>
      <c r="H12" s="206">
        <f>ELEC!E13</f>
        <v>6870</v>
      </c>
      <c r="I12" s="206">
        <f>ELEC!G13</f>
        <v>1937</v>
      </c>
      <c r="J12" s="206">
        <f>WATER!Y16</f>
        <v>0</v>
      </c>
      <c r="K12" s="206">
        <f>WATER!AJ16</f>
        <v>0</v>
      </c>
      <c r="L12" s="10">
        <f>ELEC!B13</f>
        <v>37.950000000000003</v>
      </c>
      <c r="M12" s="10"/>
    </row>
    <row r="13" spans="1:13">
      <c r="A13" t="s">
        <v>348</v>
      </c>
      <c r="B13">
        <f t="shared" si="0"/>
        <v>12</v>
      </c>
      <c r="C13">
        <v>7</v>
      </c>
      <c r="D13">
        <v>2020</v>
      </c>
      <c r="E13" s="206">
        <f>ELEC!M14</f>
        <v>8808</v>
      </c>
      <c r="F13" s="206">
        <f>ELEC!K14</f>
        <v>2836</v>
      </c>
      <c r="G13" s="206">
        <f>ELEC!I14</f>
        <v>2350</v>
      </c>
      <c r="H13" s="206">
        <f>ELEC!E14</f>
        <v>4100</v>
      </c>
      <c r="I13" s="206">
        <f>ELEC!G14</f>
        <v>1990</v>
      </c>
      <c r="J13" s="206">
        <f>WATER!Y17</f>
        <v>42</v>
      </c>
      <c r="K13" s="206">
        <f>WATER!AJ17</f>
        <v>66</v>
      </c>
      <c r="L13" s="10">
        <f>ELEC!B14</f>
        <v>23</v>
      </c>
      <c r="M13" s="10"/>
    </row>
    <row r="14" spans="1:13">
      <c r="A14" t="s">
        <v>348</v>
      </c>
      <c r="B14">
        <f t="shared" si="0"/>
        <v>13</v>
      </c>
      <c r="C14">
        <v>7</v>
      </c>
      <c r="D14">
        <v>2020</v>
      </c>
      <c r="E14" s="206">
        <f>ELEC!M15</f>
        <v>8276</v>
      </c>
      <c r="F14" s="206">
        <f>ELEC!K15</f>
        <v>2050</v>
      </c>
      <c r="G14" s="206">
        <f>ELEC!I15</f>
        <v>2418</v>
      </c>
      <c r="H14" s="206">
        <f>ELEC!E15</f>
        <v>4884</v>
      </c>
      <c r="I14" s="206">
        <f>ELEC!G15</f>
        <v>2236</v>
      </c>
      <c r="J14" s="206">
        <f>WATER!Y18</f>
        <v>3</v>
      </c>
      <c r="K14" s="206">
        <f>WATER!AJ18</f>
        <v>0</v>
      </c>
      <c r="L14" s="10">
        <f>ELEC!B15</f>
        <v>27.991</v>
      </c>
      <c r="M14" s="10"/>
    </row>
    <row r="15" spans="1:13">
      <c r="A15" t="s">
        <v>348</v>
      </c>
      <c r="B15">
        <f t="shared" si="0"/>
        <v>14</v>
      </c>
      <c r="C15">
        <v>7</v>
      </c>
      <c r="D15">
        <v>2020</v>
      </c>
      <c r="E15" s="206">
        <f>ELEC!M16</f>
        <v>3598</v>
      </c>
      <c r="F15" s="206">
        <f>ELEC!K16</f>
        <v>2382</v>
      </c>
      <c r="G15" s="206">
        <f>ELEC!I16</f>
        <v>2258</v>
      </c>
      <c r="H15" s="206">
        <f>ELEC!E16</f>
        <v>9548</v>
      </c>
      <c r="I15" s="206">
        <f>ELEC!G16</f>
        <v>1966</v>
      </c>
      <c r="J15" s="206">
        <f>WATER!Y19</f>
        <v>150</v>
      </c>
      <c r="K15" s="206">
        <f>WATER!AJ19</f>
        <v>42</v>
      </c>
      <c r="L15" s="10">
        <f>ELEC!B16</f>
        <v>29.232999999999997</v>
      </c>
      <c r="M15" s="10"/>
    </row>
    <row r="16" spans="1:13">
      <c r="A16" t="s">
        <v>348</v>
      </c>
      <c r="B16">
        <f t="shared" si="0"/>
        <v>15</v>
      </c>
      <c r="C16">
        <v>7</v>
      </c>
      <c r="D16">
        <v>2020</v>
      </c>
      <c r="E16" s="206">
        <f>ELEC!M17</f>
        <v>9122</v>
      </c>
      <c r="F16" s="206">
        <f>ELEC!K17</f>
        <v>3012</v>
      </c>
      <c r="G16" s="206">
        <f>ELEC!I17</f>
        <v>2402</v>
      </c>
      <c r="H16" s="206">
        <f>ELEC!E17</f>
        <v>5550</v>
      </c>
      <c r="I16" s="206">
        <f>ELEC!G17</f>
        <v>2254</v>
      </c>
      <c r="J16" s="206">
        <f>WATER!Y20</f>
        <v>37</v>
      </c>
      <c r="K16" s="206">
        <f>WATER!AJ20</f>
        <v>11</v>
      </c>
      <c r="L16" s="10">
        <f>ELEC!B17</f>
        <v>31.004000000000001</v>
      </c>
      <c r="M16" s="10"/>
    </row>
    <row r="17" spans="1:13">
      <c r="A17" t="s">
        <v>348</v>
      </c>
      <c r="B17">
        <f t="shared" si="0"/>
        <v>16</v>
      </c>
      <c r="C17">
        <v>7</v>
      </c>
      <c r="D17">
        <v>2020</v>
      </c>
      <c r="E17" s="206">
        <f>ELEC!M18</f>
        <v>5678</v>
      </c>
      <c r="F17" s="206">
        <f>ELEC!K18</f>
        <v>5236</v>
      </c>
      <c r="G17" s="206">
        <f>ELEC!I18</f>
        <v>2232</v>
      </c>
      <c r="H17" s="206">
        <f>ELEC!E18</f>
        <v>5530</v>
      </c>
      <c r="I17" s="206">
        <f>ELEC!G18</f>
        <v>2068</v>
      </c>
      <c r="J17" s="206">
        <f>WATER!Y21</f>
        <v>0</v>
      </c>
      <c r="K17" s="206">
        <f>WATER!AJ21</f>
        <v>0</v>
      </c>
      <c r="L17" s="10">
        <f>ELEC!B18</f>
        <v>46</v>
      </c>
      <c r="M17" s="10"/>
    </row>
    <row r="18" spans="1:13">
      <c r="A18" t="s">
        <v>348</v>
      </c>
      <c r="B18">
        <f t="shared" si="0"/>
        <v>17</v>
      </c>
      <c r="C18">
        <v>7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7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7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7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7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7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7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7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7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7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7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7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7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7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7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WATER!AJ37</f>
        <v>423</v>
      </c>
      <c r="L32" s="10">
        <f>ELEC!B33</f>
        <v>23.94875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abSelected="1" zoomScale="85" zoomScaleNormal="85" zoomScaleSheetLayoutView="100" workbookViewId="0">
      <pane ySplit="1" topLeftCell="A13" activePane="bottomLeft" state="frozen"/>
      <selection activeCell="C1" sqref="C1"/>
      <selection pane="bottomLeft" activeCell="AF18" sqref="AF18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329</v>
      </c>
      <c r="Q1" s="467" t="s">
        <v>31</v>
      </c>
      <c r="R1" s="467" t="s">
        <v>32</v>
      </c>
      <c r="S1" s="467" t="s">
        <v>364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1">
        <f>[1]ELEC!A32</f>
        <v>4.7800000000000002E-2</v>
      </c>
      <c r="B2" s="547">
        <f>[1]ELEC!B32</f>
        <v>10.994</v>
      </c>
      <c r="C2" s="471">
        <v>44012</v>
      </c>
      <c r="D2" s="552">
        <f>[1]ELEC!D32</f>
        <v>31865522</v>
      </c>
      <c r="E2" s="552">
        <f>[1]ELEC!E32</f>
        <v>4902</v>
      </c>
      <c r="F2" s="552">
        <f>[1]ELEC!F32</f>
        <v>3741866</v>
      </c>
      <c r="G2" s="552">
        <f>[1]ELEC!G32</f>
        <v>1782</v>
      </c>
      <c r="H2" s="552">
        <f>[1]ELEC!H32</f>
        <v>17521942</v>
      </c>
      <c r="I2" s="552">
        <f>[1]ELEC!I32</f>
        <v>1668</v>
      </c>
      <c r="J2" s="552">
        <f>[1]ELEC!J32</f>
        <v>28525590</v>
      </c>
      <c r="K2" s="552">
        <f>[1]ELEC!K32</f>
        <v>2504</v>
      </c>
      <c r="L2" s="552">
        <f>[1]ELEC!L32</f>
        <v>23233636</v>
      </c>
      <c r="M2" s="552">
        <f>[1]ELEC!M32</f>
        <v>5614</v>
      </c>
      <c r="N2" s="552">
        <f>[1]ELEC!N32</f>
        <v>16470</v>
      </c>
      <c r="O2" s="552">
        <f>[1]ELEC!O32</f>
        <v>1498.0898672002911</v>
      </c>
      <c r="P2" s="552">
        <f>[1]ELEC!P32</f>
        <v>15675</v>
      </c>
      <c r="Q2" s="552">
        <f>[1]ELEC!Q32</f>
        <v>12000</v>
      </c>
      <c r="R2" s="552">
        <f>[1]ELEC!R32</f>
        <v>4470</v>
      </c>
      <c r="S2" s="552">
        <f>[1]ELEC!S32</f>
        <v>8883</v>
      </c>
      <c r="T2" s="552">
        <f>[1]ELEC!T32</f>
        <v>12</v>
      </c>
      <c r="U2" s="552">
        <f>[1]ELEC!U32</f>
        <v>137518</v>
      </c>
      <c r="V2" s="552">
        <f>[1]ELEC!V32</f>
        <v>2919</v>
      </c>
      <c r="W2" s="552">
        <f>[1]ELEC!W32</f>
        <v>31853</v>
      </c>
      <c r="X2" s="552">
        <f>[1]ELEC!X32</f>
        <v>0</v>
      </c>
      <c r="Y2" s="552">
        <f>[1]ELEC!Y32</f>
        <v>625865</v>
      </c>
      <c r="Z2" s="552">
        <f>[1]ELEC!Z32</f>
        <v>0</v>
      </c>
      <c r="AA2" s="552">
        <f>[1]ELEC!AA32</f>
        <v>35228</v>
      </c>
      <c r="AB2" s="552">
        <f>[1]ELEC!AB32</f>
        <v>7</v>
      </c>
      <c r="AC2" s="552">
        <f>[1]ELEC!AC32</f>
        <v>814514</v>
      </c>
      <c r="AD2" s="552">
        <f>[1]ELEC!AD32</f>
        <v>1414</v>
      </c>
      <c r="AE2" s="552">
        <f>[1]ELEC!AE32</f>
        <v>19</v>
      </c>
      <c r="AF2" s="552">
        <f>[1]ELEC!AF32</f>
        <v>4333</v>
      </c>
      <c r="AG2" s="552">
        <f>[1]ELEC!AG32</f>
        <v>228.05263157894737</v>
      </c>
      <c r="AH2" s="552">
        <f>[1]ELEC!AH32</f>
        <v>0</v>
      </c>
      <c r="AI2" s="552">
        <f>[1]ELEC!AI32</f>
        <v>-94226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5.6500000000000002E-2</v>
      </c>
      <c r="B3" s="464">
        <f>SUM(230*A3)</f>
        <v>12.995000000000001</v>
      </c>
      <c r="C3" s="471">
        <v>44013</v>
      </c>
      <c r="D3" s="458">
        <v>31869178</v>
      </c>
      <c r="E3" s="459">
        <f>D3-D2</f>
        <v>3656</v>
      </c>
      <c r="F3" s="458">
        <v>3743721</v>
      </c>
      <c r="G3" s="460">
        <f t="shared" ref="G3:G31" si="0">F3-F2</f>
        <v>1855</v>
      </c>
      <c r="H3" s="458">
        <v>17523716</v>
      </c>
      <c r="I3" s="460">
        <f>H3-H2</f>
        <v>1774</v>
      </c>
      <c r="J3" s="458">
        <v>28528437</v>
      </c>
      <c r="K3" s="460">
        <f>J3-J2</f>
        <v>2847</v>
      </c>
      <c r="L3" s="458">
        <v>23241532</v>
      </c>
      <c r="M3" s="460">
        <f>L3-L2</f>
        <v>7896</v>
      </c>
      <c r="N3" s="461">
        <f>M3+K3+I3+G3+E3</f>
        <v>18028</v>
      </c>
      <c r="O3" s="472">
        <f t="shared" ref="O3:O9" si="1">IF(B3&gt;0,N3/B3,0)</f>
        <v>1387.3028087726047</v>
      </c>
      <c r="P3" s="458">
        <v>15689</v>
      </c>
      <c r="Q3" s="481">
        <f t="shared" ref="Q3:Q12" si="2">(P3-P2)*1000</f>
        <v>14000</v>
      </c>
      <c r="R3" s="474">
        <f>+N3-Q3</f>
        <v>4028</v>
      </c>
      <c r="S3" s="458">
        <v>8899</v>
      </c>
      <c r="T3" s="475">
        <f t="shared" ref="T3:T32" si="3">S3-S2</f>
        <v>16</v>
      </c>
      <c r="U3" s="458">
        <v>141258</v>
      </c>
      <c r="V3" s="473">
        <f>U3-U2</f>
        <v>3740</v>
      </c>
      <c r="W3" s="458">
        <v>31853</v>
      </c>
      <c r="X3" s="473">
        <f t="shared" ref="X3:X8" si="4">W3-W2</f>
        <v>0</v>
      </c>
      <c r="Y3" s="458">
        <f>Y2</f>
        <v>625865</v>
      </c>
      <c r="Z3" s="473">
        <f>Y3-Y2</f>
        <v>0</v>
      </c>
      <c r="AA3" s="458">
        <v>35228</v>
      </c>
      <c r="AB3" s="473">
        <f>AA3-AA2</f>
        <v>0</v>
      </c>
      <c r="AC3" s="458">
        <f>AC2</f>
        <v>814514</v>
      </c>
      <c r="AD3" s="476">
        <f>AC3-AC2</f>
        <v>0</v>
      </c>
      <c r="AE3" s="477">
        <f>AB3+X3+T3</f>
        <v>16</v>
      </c>
      <c r="AF3" s="458">
        <f>V3+Z3+AD3</f>
        <v>3740</v>
      </c>
      <c r="AG3" s="478">
        <f t="shared" ref="AG3:AG9" si="5">IF(AE3&gt;0,AF3/AE3,0)</f>
        <v>233.75</v>
      </c>
    </row>
    <row r="4" spans="1:115">
      <c r="A4" s="470">
        <f>'General information '!F7</f>
        <v>3.9E-2</v>
      </c>
      <c r="B4" s="464">
        <f t="shared" ref="B4:B31" si="6">SUM(230*A4)</f>
        <v>8.9700000000000006</v>
      </c>
      <c r="C4" s="471">
        <v>44014</v>
      </c>
      <c r="D4" s="458">
        <v>31873034</v>
      </c>
      <c r="E4" s="319">
        <f>D4-D3</f>
        <v>3856</v>
      </c>
      <c r="F4" s="458">
        <v>3745569</v>
      </c>
      <c r="G4" s="320">
        <f t="shared" si="0"/>
        <v>1848</v>
      </c>
      <c r="H4" s="458">
        <v>17525494</v>
      </c>
      <c r="I4" s="320">
        <f>H4-H3</f>
        <v>1778</v>
      </c>
      <c r="J4" s="458">
        <v>28531494</v>
      </c>
      <c r="K4" s="320">
        <f>J4-J3</f>
        <v>3057</v>
      </c>
      <c r="L4" s="458">
        <v>23249852</v>
      </c>
      <c r="M4" s="320">
        <f>L4-L3</f>
        <v>8320</v>
      </c>
      <c r="N4" s="318">
        <f>M4+K4+I4+G4+E4</f>
        <v>18859</v>
      </c>
      <c r="O4" s="480">
        <f t="shared" si="1"/>
        <v>2102.4526198439239</v>
      </c>
      <c r="P4" s="458">
        <v>15702</v>
      </c>
      <c r="Q4" s="481">
        <f t="shared" si="2"/>
        <v>13000</v>
      </c>
      <c r="R4" s="462">
        <f>N4-Q4</f>
        <v>5859</v>
      </c>
      <c r="S4" s="458">
        <v>8921</v>
      </c>
      <c r="T4" s="482">
        <f t="shared" si="3"/>
        <v>22</v>
      </c>
      <c r="U4" s="458">
        <v>146286</v>
      </c>
      <c r="V4" s="462">
        <f>U4-U3</f>
        <v>5028</v>
      </c>
      <c r="W4" s="458">
        <f t="shared" ref="W4:W33" si="7">W3</f>
        <v>31853</v>
      </c>
      <c r="X4" s="462">
        <f t="shared" si="4"/>
        <v>0</v>
      </c>
      <c r="Y4" s="458">
        <f t="shared" ref="Y4:AA4" si="8">Y3</f>
        <v>625865</v>
      </c>
      <c r="Z4" s="462">
        <f>Y4-Y3</f>
        <v>0</v>
      </c>
      <c r="AA4" s="458">
        <f t="shared" si="8"/>
        <v>35228</v>
      </c>
      <c r="AB4" s="483">
        <f>AA4-AA3</f>
        <v>0</v>
      </c>
      <c r="AC4" s="458">
        <f t="shared" ref="AC4" si="9">AC3</f>
        <v>814514</v>
      </c>
      <c r="AD4" s="484">
        <f>AC4-AC3</f>
        <v>0</v>
      </c>
      <c r="AE4" s="485">
        <f t="shared" ref="AE4:AE32" si="10">AB4+X4+T4</f>
        <v>22</v>
      </c>
      <c r="AF4" s="486">
        <f t="shared" ref="AF4:AF31" si="11">V4+Z4+AD4</f>
        <v>5028</v>
      </c>
      <c r="AG4" s="478">
        <f t="shared" si="5"/>
        <v>228.54545454545453</v>
      </c>
    </row>
    <row r="5" spans="1:115">
      <c r="A5" s="470">
        <f>'General information '!F8</f>
        <v>8.6999999999999994E-2</v>
      </c>
      <c r="B5" s="464">
        <f>SUM(230*A5)</f>
        <v>20.009999999999998</v>
      </c>
      <c r="C5" s="471">
        <v>44015</v>
      </c>
      <c r="D5" s="458">
        <v>31877512</v>
      </c>
      <c r="E5" s="319">
        <f t="shared" ref="E5:E32" si="12">D5-D4</f>
        <v>4478</v>
      </c>
      <c r="F5" s="458">
        <v>3747620</v>
      </c>
      <c r="G5" s="320">
        <f t="shared" si="0"/>
        <v>2051</v>
      </c>
      <c r="H5" s="458">
        <v>17527504</v>
      </c>
      <c r="I5" s="320">
        <f t="shared" ref="I5:I31" si="13">H5-H4</f>
        <v>2010</v>
      </c>
      <c r="J5" s="458">
        <v>28534602</v>
      </c>
      <c r="K5" s="320">
        <f t="shared" ref="K5:K31" si="14">J5-J4</f>
        <v>3108</v>
      </c>
      <c r="L5" s="458">
        <v>23259096</v>
      </c>
      <c r="M5" s="320">
        <f t="shared" ref="M5:M31" si="15">L5-L4</f>
        <v>9244</v>
      </c>
      <c r="N5" s="318">
        <f t="shared" ref="N5:N31" si="16">M5+K5+I5+G5+E5</f>
        <v>20891</v>
      </c>
      <c r="O5" s="480">
        <f t="shared" si="1"/>
        <v>1044.0279860069966</v>
      </c>
      <c r="P5" s="458">
        <v>15716</v>
      </c>
      <c r="Q5" s="481">
        <f>(P5-P4)*1000</f>
        <v>14000</v>
      </c>
      <c r="R5" s="462">
        <f>N5-Q5</f>
        <v>6891</v>
      </c>
      <c r="S5" s="458">
        <v>8939</v>
      </c>
      <c r="T5" s="482">
        <f t="shared" si="3"/>
        <v>18</v>
      </c>
      <c r="U5" s="458">
        <v>150883</v>
      </c>
      <c r="V5" s="462">
        <f t="shared" ref="V5:V32" si="17">U5-U4</f>
        <v>4597</v>
      </c>
      <c r="W5" s="458">
        <f>W4</f>
        <v>31853</v>
      </c>
      <c r="X5" s="462">
        <f t="shared" si="4"/>
        <v>0</v>
      </c>
      <c r="Y5" s="458">
        <f t="shared" ref="Y5" si="18">Y4</f>
        <v>625865</v>
      </c>
      <c r="Z5" s="462">
        <f>Y5-Y4</f>
        <v>0</v>
      </c>
      <c r="AA5" s="458">
        <v>35229</v>
      </c>
      <c r="AB5" s="462">
        <f t="shared" ref="AB5:AB32" si="19">AA5-AA4</f>
        <v>1</v>
      </c>
      <c r="AC5" s="458">
        <v>814845</v>
      </c>
      <c r="AD5" s="462">
        <f t="shared" ref="AD5:AD16" si="20">AC5-AC4</f>
        <v>331</v>
      </c>
      <c r="AE5" s="485">
        <f t="shared" si="10"/>
        <v>19</v>
      </c>
      <c r="AF5" s="486">
        <f t="shared" si="11"/>
        <v>4928</v>
      </c>
      <c r="AG5" s="478">
        <f t="shared" si="5"/>
        <v>259.36842105263156</v>
      </c>
      <c r="AI5" s="479">
        <f>R5-'EDl log'!B3</f>
        <v>-105299</v>
      </c>
    </row>
    <row r="6" spans="1:115">
      <c r="A6" s="470">
        <f>'General information '!F9</f>
        <v>8.6999999999999994E-2</v>
      </c>
      <c r="B6" s="464">
        <f t="shared" si="6"/>
        <v>20.009999999999998</v>
      </c>
      <c r="C6" s="471">
        <v>44016</v>
      </c>
      <c r="D6" s="458">
        <v>31881284</v>
      </c>
      <c r="E6" s="319">
        <f t="shared" si="12"/>
        <v>3772</v>
      </c>
      <c r="F6" s="458">
        <v>3749544</v>
      </c>
      <c r="G6" s="320">
        <f t="shared" si="0"/>
        <v>1924</v>
      </c>
      <c r="H6" s="458">
        <v>17529394</v>
      </c>
      <c r="I6" s="320">
        <f t="shared" si="13"/>
        <v>1890</v>
      </c>
      <c r="J6" s="458">
        <v>28536822</v>
      </c>
      <c r="K6" s="320">
        <f t="shared" si="14"/>
        <v>2220</v>
      </c>
      <c r="L6" s="458">
        <v>23267442</v>
      </c>
      <c r="M6" s="320">
        <f t="shared" si="15"/>
        <v>8346</v>
      </c>
      <c r="N6" s="318">
        <f t="shared" si="16"/>
        <v>18152</v>
      </c>
      <c r="O6" s="480">
        <f t="shared" si="1"/>
        <v>907.14642678660675</v>
      </c>
      <c r="P6" s="458">
        <v>15732</v>
      </c>
      <c r="Q6" s="462">
        <f t="shared" si="2"/>
        <v>16000</v>
      </c>
      <c r="R6" s="462">
        <f t="shared" ref="R6:R31" si="21">N6-Q6</f>
        <v>2152</v>
      </c>
      <c r="S6" s="458">
        <v>8959</v>
      </c>
      <c r="T6" s="482">
        <f t="shared" si="3"/>
        <v>20</v>
      </c>
      <c r="U6" s="458">
        <v>155326</v>
      </c>
      <c r="V6" s="462">
        <f t="shared" si="17"/>
        <v>4443</v>
      </c>
      <c r="W6" s="458">
        <f t="shared" si="7"/>
        <v>31853</v>
      </c>
      <c r="X6" s="462">
        <f t="shared" si="4"/>
        <v>0</v>
      </c>
      <c r="Y6" s="458">
        <f t="shared" ref="Y6" si="22">Y5</f>
        <v>625865</v>
      </c>
      <c r="Z6" s="462">
        <f t="shared" ref="Z6:Z30" si="23">Y6-Y5</f>
        <v>0</v>
      </c>
      <c r="AA6" s="458">
        <v>35229</v>
      </c>
      <c r="AB6" s="462">
        <f t="shared" si="19"/>
        <v>0</v>
      </c>
      <c r="AC6" s="458">
        <f t="shared" ref="AC6" si="24">AC5</f>
        <v>814845</v>
      </c>
      <c r="AD6" s="462">
        <f t="shared" si="20"/>
        <v>0</v>
      </c>
      <c r="AE6" s="485">
        <f t="shared" si="10"/>
        <v>20</v>
      </c>
      <c r="AF6" s="486">
        <f t="shared" si="11"/>
        <v>4443</v>
      </c>
      <c r="AG6" s="478">
        <f t="shared" si="5"/>
        <v>222.15</v>
      </c>
      <c r="AI6" s="479">
        <f>R6-'EDl log'!B4</f>
        <v>-111978</v>
      </c>
    </row>
    <row r="7" spans="1:115">
      <c r="A7" s="470">
        <f>'General information '!F10</f>
        <v>7.8299999999999995E-2</v>
      </c>
      <c r="B7" s="464">
        <f t="shared" si="6"/>
        <v>18.009</v>
      </c>
      <c r="C7" s="471">
        <v>44017</v>
      </c>
      <c r="D7" s="458">
        <v>31887122</v>
      </c>
      <c r="E7" s="319">
        <f t="shared" si="12"/>
        <v>5838</v>
      </c>
      <c r="F7" s="458">
        <v>3751521</v>
      </c>
      <c r="G7" s="320">
        <f t="shared" si="0"/>
        <v>1977</v>
      </c>
      <c r="H7" s="458">
        <v>17531390</v>
      </c>
      <c r="I7" s="320">
        <f t="shared" si="13"/>
        <v>1996</v>
      </c>
      <c r="J7" s="458">
        <v>28539000</v>
      </c>
      <c r="K7" s="320">
        <f t="shared" si="14"/>
        <v>2178</v>
      </c>
      <c r="L7" s="458">
        <v>23273614</v>
      </c>
      <c r="M7" s="320">
        <f t="shared" si="15"/>
        <v>6172</v>
      </c>
      <c r="N7" s="318">
        <f t="shared" si="16"/>
        <v>18161</v>
      </c>
      <c r="O7" s="480">
        <f t="shared" si="1"/>
        <v>1008.4402243322783</v>
      </c>
      <c r="P7" s="458">
        <v>15747</v>
      </c>
      <c r="Q7" s="462">
        <f t="shared" si="2"/>
        <v>15000</v>
      </c>
      <c r="R7" s="462">
        <f t="shared" si="21"/>
        <v>3161</v>
      </c>
      <c r="S7" s="458">
        <v>8971</v>
      </c>
      <c r="T7" s="482">
        <f t="shared" si="3"/>
        <v>12</v>
      </c>
      <c r="U7" s="458">
        <v>158305</v>
      </c>
      <c r="V7" s="462">
        <f t="shared" si="17"/>
        <v>2979</v>
      </c>
      <c r="W7" s="458">
        <v>31853</v>
      </c>
      <c r="X7" s="462">
        <f t="shared" si="4"/>
        <v>0</v>
      </c>
      <c r="Y7" s="458">
        <f t="shared" ref="Y7" si="25">Y6</f>
        <v>625865</v>
      </c>
      <c r="Z7" s="462">
        <f t="shared" si="23"/>
        <v>0</v>
      </c>
      <c r="AA7" s="458">
        <v>35238</v>
      </c>
      <c r="AB7" s="462">
        <f t="shared" si="19"/>
        <v>9</v>
      </c>
      <c r="AC7" s="458">
        <v>816851</v>
      </c>
      <c r="AD7" s="462">
        <f t="shared" si="20"/>
        <v>2006</v>
      </c>
      <c r="AE7" s="485">
        <f t="shared" si="10"/>
        <v>21</v>
      </c>
      <c r="AF7" s="486">
        <f t="shared" si="11"/>
        <v>4985</v>
      </c>
      <c r="AG7" s="478">
        <f t="shared" si="5"/>
        <v>237.38095238095238</v>
      </c>
      <c r="AI7" s="479">
        <f>R7-'EDl log'!B5</f>
        <v>-114241</v>
      </c>
    </row>
    <row r="8" spans="1:115">
      <c r="A8" s="470">
        <f>'General information '!F11</f>
        <v>8.2600000000000007E-2</v>
      </c>
      <c r="B8" s="464">
        <f t="shared" si="6"/>
        <v>18.998000000000001</v>
      </c>
      <c r="C8" s="471">
        <v>44018</v>
      </c>
      <c r="D8" s="458">
        <v>31892150</v>
      </c>
      <c r="E8" s="319">
        <f t="shared" si="12"/>
        <v>5028</v>
      </c>
      <c r="F8" s="458">
        <v>3753617</v>
      </c>
      <c r="G8" s="320">
        <f t="shared" si="0"/>
        <v>2096</v>
      </c>
      <c r="H8" s="458">
        <v>17533606</v>
      </c>
      <c r="I8" s="320">
        <f t="shared" si="13"/>
        <v>2216</v>
      </c>
      <c r="J8" s="458">
        <v>28541448</v>
      </c>
      <c r="K8" s="320">
        <f t="shared" si="14"/>
        <v>2448</v>
      </c>
      <c r="L8" s="458">
        <v>23282590</v>
      </c>
      <c r="M8" s="320">
        <f t="shared" si="15"/>
        <v>8976</v>
      </c>
      <c r="N8" s="318">
        <f t="shared" si="16"/>
        <v>20764</v>
      </c>
      <c r="O8" s="480">
        <f t="shared" si="1"/>
        <v>1092.9571533845667</v>
      </c>
      <c r="P8" s="458">
        <v>15765</v>
      </c>
      <c r="Q8" s="462">
        <f t="shared" si="2"/>
        <v>18000</v>
      </c>
      <c r="R8" s="462">
        <f t="shared" si="21"/>
        <v>2764</v>
      </c>
      <c r="S8" s="458">
        <v>8991</v>
      </c>
      <c r="T8" s="482">
        <f t="shared" si="3"/>
        <v>20</v>
      </c>
      <c r="U8" s="458">
        <v>162800</v>
      </c>
      <c r="V8" s="462">
        <f t="shared" si="17"/>
        <v>4495</v>
      </c>
      <c r="W8" s="458">
        <f t="shared" si="7"/>
        <v>31853</v>
      </c>
      <c r="X8" s="462">
        <f t="shared" si="4"/>
        <v>0</v>
      </c>
      <c r="Y8" s="458">
        <f t="shared" ref="Y8" si="26">Y7</f>
        <v>625865</v>
      </c>
      <c r="Z8" s="462">
        <f t="shared" si="23"/>
        <v>0</v>
      </c>
      <c r="AA8" s="458">
        <v>35240</v>
      </c>
      <c r="AB8" s="462">
        <f t="shared" si="19"/>
        <v>2</v>
      </c>
      <c r="AC8" s="458">
        <v>817378</v>
      </c>
      <c r="AD8" s="462">
        <f t="shared" si="20"/>
        <v>527</v>
      </c>
      <c r="AE8" s="485">
        <f t="shared" si="10"/>
        <v>22</v>
      </c>
      <c r="AF8" s="486">
        <f t="shared" si="11"/>
        <v>5022</v>
      </c>
      <c r="AG8" s="478">
        <f t="shared" si="5"/>
        <v>228.27272727272728</v>
      </c>
      <c r="AI8" s="479">
        <f>R8-'EDl log'!B6</f>
        <v>-118318</v>
      </c>
    </row>
    <row r="9" spans="1:115">
      <c r="A9" s="470">
        <f>'General information '!F12</f>
        <v>7.8299999999999995E-2</v>
      </c>
      <c r="B9" s="464">
        <f t="shared" si="6"/>
        <v>18.009</v>
      </c>
      <c r="C9" s="471">
        <v>44019</v>
      </c>
      <c r="D9" s="458">
        <v>31899618</v>
      </c>
      <c r="E9" s="319">
        <f t="shared" si="12"/>
        <v>7468</v>
      </c>
      <c r="F9" s="458">
        <v>3755590</v>
      </c>
      <c r="G9" s="320">
        <f t="shared" si="0"/>
        <v>1973</v>
      </c>
      <c r="H9" s="458">
        <v>17535926</v>
      </c>
      <c r="I9" s="320">
        <f t="shared" si="13"/>
        <v>2320</v>
      </c>
      <c r="J9" s="458">
        <v>28543918</v>
      </c>
      <c r="K9" s="320">
        <f t="shared" si="14"/>
        <v>2470</v>
      </c>
      <c r="L9" s="458">
        <v>23288838</v>
      </c>
      <c r="M9" s="320">
        <f t="shared" si="15"/>
        <v>6248</v>
      </c>
      <c r="N9" s="318">
        <f t="shared" si="16"/>
        <v>20479</v>
      </c>
      <c r="O9" s="480">
        <f t="shared" si="1"/>
        <v>1137.1536453995225</v>
      </c>
      <c r="P9" s="458">
        <v>15780</v>
      </c>
      <c r="Q9" s="462">
        <f t="shared" si="2"/>
        <v>15000</v>
      </c>
      <c r="R9" s="462">
        <f t="shared" si="21"/>
        <v>5479</v>
      </c>
      <c r="S9" s="458">
        <v>9001</v>
      </c>
      <c r="T9" s="482">
        <f t="shared" si="3"/>
        <v>10</v>
      </c>
      <c r="U9" s="458">
        <v>165542</v>
      </c>
      <c r="V9" s="462">
        <f t="shared" si="17"/>
        <v>2742</v>
      </c>
      <c r="W9" s="458">
        <v>31853</v>
      </c>
      <c r="X9" s="462">
        <f t="shared" ref="X9:X32" si="27">W9-W8</f>
        <v>0</v>
      </c>
      <c r="Y9" s="458">
        <f t="shared" ref="Y9" si="28">Y8</f>
        <v>625865</v>
      </c>
      <c r="Z9" s="462">
        <f t="shared" si="23"/>
        <v>0</v>
      </c>
      <c r="AA9" s="458">
        <v>35253</v>
      </c>
      <c r="AB9" s="462">
        <f t="shared" si="19"/>
        <v>13</v>
      </c>
      <c r="AC9" s="458">
        <v>820446</v>
      </c>
      <c r="AD9" s="462">
        <f t="shared" si="20"/>
        <v>3068</v>
      </c>
      <c r="AE9" s="485">
        <f t="shared" si="10"/>
        <v>23</v>
      </c>
      <c r="AF9" s="486">
        <f t="shared" si="11"/>
        <v>5810</v>
      </c>
      <c r="AG9" s="478">
        <f t="shared" si="5"/>
        <v>252.60869565217391</v>
      </c>
      <c r="AI9" s="479">
        <f>R9-'EDl log'!B7</f>
        <v>-116573</v>
      </c>
    </row>
    <row r="10" spans="1:115">
      <c r="A10" s="470">
        <f>'General information '!F13</f>
        <v>8.6999999999999994E-2</v>
      </c>
      <c r="B10" s="464">
        <f t="shared" si="6"/>
        <v>20.009999999999998</v>
      </c>
      <c r="C10" s="471">
        <v>44020</v>
      </c>
      <c r="D10" s="458">
        <v>31904808</v>
      </c>
      <c r="E10" s="319">
        <f t="shared" si="12"/>
        <v>5190</v>
      </c>
      <c r="F10" s="458">
        <v>3757737</v>
      </c>
      <c r="G10" s="320">
        <f t="shared" si="0"/>
        <v>2147</v>
      </c>
      <c r="H10" s="458">
        <v>17538322</v>
      </c>
      <c r="I10" s="320">
        <f t="shared" si="13"/>
        <v>2396</v>
      </c>
      <c r="J10" s="458">
        <v>28547484</v>
      </c>
      <c r="K10" s="320">
        <f t="shared" si="14"/>
        <v>3566</v>
      </c>
      <c r="L10" s="458">
        <v>23299082</v>
      </c>
      <c r="M10" s="320">
        <f t="shared" si="15"/>
        <v>10244</v>
      </c>
      <c r="N10" s="318">
        <f t="shared" si="16"/>
        <v>23543</v>
      </c>
      <c r="O10" s="480">
        <f t="shared" ref="O10:O32" si="29">IF(B10&gt;0,N10/B10,0)</f>
        <v>1176.5617191404299</v>
      </c>
      <c r="P10" s="458">
        <v>15795</v>
      </c>
      <c r="Q10" s="462">
        <f t="shared" si="2"/>
        <v>15000</v>
      </c>
      <c r="R10" s="462">
        <f t="shared" si="21"/>
        <v>8543</v>
      </c>
      <c r="S10" s="458">
        <v>9025</v>
      </c>
      <c r="T10" s="482">
        <f t="shared" si="3"/>
        <v>24</v>
      </c>
      <c r="U10" s="458">
        <v>171163</v>
      </c>
      <c r="V10" s="462">
        <f t="shared" si="17"/>
        <v>5621</v>
      </c>
      <c r="W10" s="458">
        <v>31853</v>
      </c>
      <c r="X10" s="462">
        <f t="shared" si="27"/>
        <v>0</v>
      </c>
      <c r="Y10" s="458">
        <v>625865</v>
      </c>
      <c r="Z10" s="462">
        <f t="shared" si="23"/>
        <v>0</v>
      </c>
      <c r="AA10" s="458">
        <v>35253</v>
      </c>
      <c r="AB10" s="462">
        <f t="shared" si="19"/>
        <v>0</v>
      </c>
      <c r="AC10" s="458">
        <v>820459</v>
      </c>
      <c r="AD10" s="462">
        <f t="shared" si="20"/>
        <v>13</v>
      </c>
      <c r="AE10" s="485">
        <f t="shared" si="10"/>
        <v>24</v>
      </c>
      <c r="AF10" s="486">
        <f t="shared" si="11"/>
        <v>5634</v>
      </c>
      <c r="AG10" s="478">
        <f t="shared" ref="AG10:AG32" si="30">IF(AE10&gt;0,AF10/AE10,0)</f>
        <v>234.75</v>
      </c>
      <c r="AI10" s="479">
        <f>R10-'EDl log'!B8</f>
        <v>-115625</v>
      </c>
    </row>
    <row r="11" spans="1:115">
      <c r="A11" s="470">
        <f>'General information '!F14</f>
        <v>0.1087</v>
      </c>
      <c r="B11" s="464">
        <f>SUM(230*A11)</f>
        <v>25.001000000000001</v>
      </c>
      <c r="C11" s="471">
        <v>44021</v>
      </c>
      <c r="D11" s="458">
        <v>31909136</v>
      </c>
      <c r="E11" s="319">
        <f t="shared" si="12"/>
        <v>4328</v>
      </c>
      <c r="F11" s="458">
        <v>3759502</v>
      </c>
      <c r="G11" s="320">
        <f t="shared" si="0"/>
        <v>1765</v>
      </c>
      <c r="H11" s="458">
        <v>17540322</v>
      </c>
      <c r="I11" s="320">
        <f t="shared" si="13"/>
        <v>2000</v>
      </c>
      <c r="J11" s="458">
        <v>28549842</v>
      </c>
      <c r="K11" s="320">
        <f t="shared" si="14"/>
        <v>2358</v>
      </c>
      <c r="L11" s="458">
        <v>23306740</v>
      </c>
      <c r="M11" s="320">
        <f t="shared" si="15"/>
        <v>7658</v>
      </c>
      <c r="N11" s="318">
        <f>M11+K11+I11+G11+E11</f>
        <v>18109</v>
      </c>
      <c r="O11" s="480">
        <f t="shared" si="29"/>
        <v>724.33102675892962</v>
      </c>
      <c r="P11" s="458">
        <v>15815</v>
      </c>
      <c r="Q11" s="462">
        <f t="shared" si="2"/>
        <v>20000</v>
      </c>
      <c r="R11" s="462">
        <f t="shared" si="21"/>
        <v>-1891</v>
      </c>
      <c r="S11" s="458">
        <v>9046</v>
      </c>
      <c r="T11" s="482">
        <f t="shared" si="3"/>
        <v>21</v>
      </c>
      <c r="U11" s="458">
        <v>175732</v>
      </c>
      <c r="V11" s="462">
        <f t="shared" si="17"/>
        <v>4569</v>
      </c>
      <c r="W11" s="458">
        <v>31853</v>
      </c>
      <c r="X11" s="462">
        <f t="shared" si="27"/>
        <v>0</v>
      </c>
      <c r="Y11" s="458">
        <f t="shared" ref="Y11" si="31">Y10</f>
        <v>625865</v>
      </c>
      <c r="Z11" s="462">
        <f t="shared" si="23"/>
        <v>0</v>
      </c>
      <c r="AA11" s="458">
        <v>35254</v>
      </c>
      <c r="AB11" s="462">
        <f t="shared" si="19"/>
        <v>1</v>
      </c>
      <c r="AC11" s="458">
        <v>820817</v>
      </c>
      <c r="AD11" s="462">
        <f t="shared" si="20"/>
        <v>358</v>
      </c>
      <c r="AE11" s="485">
        <f t="shared" si="10"/>
        <v>22</v>
      </c>
      <c r="AF11" s="486">
        <f t="shared" si="11"/>
        <v>4927</v>
      </c>
      <c r="AG11" s="478">
        <f t="shared" si="30"/>
        <v>223.95454545454547</v>
      </c>
      <c r="AI11" s="479">
        <f>R11-'EDl log'!B9</f>
        <v>-127584</v>
      </c>
    </row>
    <row r="12" spans="1:115">
      <c r="A12" s="470">
        <f>'General information '!F15</f>
        <v>0.113</v>
      </c>
      <c r="B12" s="464">
        <f t="shared" si="6"/>
        <v>25.990000000000002</v>
      </c>
      <c r="C12" s="471">
        <v>44022</v>
      </c>
      <c r="D12" s="458">
        <v>31918636</v>
      </c>
      <c r="E12" s="319">
        <f t="shared" si="12"/>
        <v>9500</v>
      </c>
      <c r="F12" s="458">
        <v>3761429</v>
      </c>
      <c r="G12" s="320">
        <f t="shared" si="0"/>
        <v>1927</v>
      </c>
      <c r="H12" s="458">
        <v>17542698</v>
      </c>
      <c r="I12" s="320">
        <f t="shared" si="13"/>
        <v>2376</v>
      </c>
      <c r="J12" s="458">
        <v>28552374</v>
      </c>
      <c r="K12" s="320">
        <f t="shared" si="14"/>
        <v>2532</v>
      </c>
      <c r="L12" s="458">
        <v>23310458</v>
      </c>
      <c r="M12" s="320">
        <f t="shared" si="15"/>
        <v>3718</v>
      </c>
      <c r="N12" s="318">
        <f>M12+K12+I12+G12+E12</f>
        <v>20053</v>
      </c>
      <c r="O12" s="480">
        <f t="shared" si="29"/>
        <v>771.56598691804538</v>
      </c>
      <c r="P12" s="458">
        <v>15832</v>
      </c>
      <c r="Q12" s="462">
        <f t="shared" si="2"/>
        <v>17000</v>
      </c>
      <c r="R12" s="462">
        <f t="shared" si="21"/>
        <v>3053</v>
      </c>
      <c r="S12" s="458">
        <v>9046</v>
      </c>
      <c r="T12" s="482">
        <f t="shared" si="3"/>
        <v>0</v>
      </c>
      <c r="U12" s="458">
        <f>U11</f>
        <v>175732</v>
      </c>
      <c r="V12" s="462">
        <f t="shared" si="17"/>
        <v>0</v>
      </c>
      <c r="W12" s="458">
        <v>31853</v>
      </c>
      <c r="X12" s="462">
        <f t="shared" si="27"/>
        <v>0</v>
      </c>
      <c r="Y12" s="458">
        <f t="shared" ref="Y12" si="32">Y11</f>
        <v>625865</v>
      </c>
      <c r="Z12" s="462">
        <f t="shared" si="23"/>
        <v>0</v>
      </c>
      <c r="AA12" s="458">
        <v>35277</v>
      </c>
      <c r="AB12" s="462">
        <f t="shared" si="19"/>
        <v>23</v>
      </c>
      <c r="AC12" s="458">
        <v>825666</v>
      </c>
      <c r="AD12" s="462">
        <f t="shared" si="20"/>
        <v>4849</v>
      </c>
      <c r="AE12" s="485">
        <f t="shared" si="10"/>
        <v>23</v>
      </c>
      <c r="AF12" s="486">
        <f t="shared" si="11"/>
        <v>4849</v>
      </c>
      <c r="AG12" s="478">
        <f t="shared" si="30"/>
        <v>210.82608695652175</v>
      </c>
      <c r="AI12" s="479">
        <f>R12-'EDl log'!B10</f>
        <v>-122640</v>
      </c>
    </row>
    <row r="13" spans="1:115">
      <c r="A13" s="470">
        <f>'General information '!F16</f>
        <v>0.16500000000000001</v>
      </c>
      <c r="B13" s="464">
        <f t="shared" si="6"/>
        <v>37.950000000000003</v>
      </c>
      <c r="C13" s="471">
        <v>44023</v>
      </c>
      <c r="D13" s="458">
        <v>31925506</v>
      </c>
      <c r="E13" s="319">
        <f t="shared" si="12"/>
        <v>6870</v>
      </c>
      <c r="F13" s="458">
        <v>3763366</v>
      </c>
      <c r="G13" s="320">
        <f t="shared" si="0"/>
        <v>1937</v>
      </c>
      <c r="H13" s="458">
        <v>17545070</v>
      </c>
      <c r="I13" s="320">
        <f t="shared" si="13"/>
        <v>2372</v>
      </c>
      <c r="J13" s="458">
        <v>28555410</v>
      </c>
      <c r="K13" s="320">
        <f t="shared" si="14"/>
        <v>3036</v>
      </c>
      <c r="L13" s="458">
        <v>23317316</v>
      </c>
      <c r="M13" s="320">
        <f t="shared" si="15"/>
        <v>6858</v>
      </c>
      <c r="N13" s="318">
        <f t="shared" si="16"/>
        <v>21073</v>
      </c>
      <c r="O13" s="480">
        <f t="shared" si="29"/>
        <v>555.2832674571805</v>
      </c>
      <c r="P13" s="458">
        <v>15850</v>
      </c>
      <c r="Q13" s="462">
        <f t="shared" ref="Q13:Q31" si="33">(P13-P12)*1000</f>
        <v>18000</v>
      </c>
      <c r="R13" s="462">
        <f t="shared" si="21"/>
        <v>3073</v>
      </c>
      <c r="S13" s="458">
        <v>9058</v>
      </c>
      <c r="T13" s="482">
        <f t="shared" si="3"/>
        <v>12</v>
      </c>
      <c r="U13" s="458">
        <v>178830</v>
      </c>
      <c r="V13" s="462">
        <f t="shared" si="17"/>
        <v>3098</v>
      </c>
      <c r="W13" s="458">
        <v>31853</v>
      </c>
      <c r="X13" s="462">
        <f t="shared" si="27"/>
        <v>0</v>
      </c>
      <c r="Y13" s="458">
        <f t="shared" ref="Y13" si="34">Y12</f>
        <v>625865</v>
      </c>
      <c r="Z13" s="462">
        <f t="shared" si="23"/>
        <v>0</v>
      </c>
      <c r="AA13" s="458">
        <v>35288</v>
      </c>
      <c r="AB13" s="462">
        <f t="shared" si="19"/>
        <v>11</v>
      </c>
      <c r="AC13" s="458">
        <v>827959</v>
      </c>
      <c r="AD13" s="462">
        <f t="shared" si="20"/>
        <v>2293</v>
      </c>
      <c r="AE13" s="485">
        <f t="shared" si="10"/>
        <v>23</v>
      </c>
      <c r="AF13" s="486">
        <f t="shared" si="11"/>
        <v>5391</v>
      </c>
      <c r="AG13" s="478">
        <f t="shared" si="30"/>
        <v>234.39130434782609</v>
      </c>
      <c r="AI13" s="479">
        <f>R13-'EDl log'!B11</f>
        <v>-122620</v>
      </c>
    </row>
    <row r="14" spans="1:115">
      <c r="A14" s="470">
        <f>'General information '!F17</f>
        <v>0.1</v>
      </c>
      <c r="B14" s="464">
        <f t="shared" si="6"/>
        <v>23</v>
      </c>
      <c r="C14" s="471">
        <v>44024</v>
      </c>
      <c r="D14" s="458">
        <v>31929606</v>
      </c>
      <c r="E14" s="319">
        <f t="shared" si="12"/>
        <v>4100</v>
      </c>
      <c r="F14" s="458">
        <v>3765356</v>
      </c>
      <c r="G14" s="320">
        <f t="shared" si="0"/>
        <v>1990</v>
      </c>
      <c r="H14" s="458">
        <v>17547420</v>
      </c>
      <c r="I14" s="320">
        <f t="shared" si="13"/>
        <v>2350</v>
      </c>
      <c r="J14" s="458">
        <v>28558246</v>
      </c>
      <c r="K14" s="320">
        <f t="shared" si="14"/>
        <v>2836</v>
      </c>
      <c r="L14" s="458">
        <v>23326124</v>
      </c>
      <c r="M14" s="320">
        <f t="shared" si="15"/>
        <v>8808</v>
      </c>
      <c r="N14" s="318">
        <f t="shared" si="16"/>
        <v>20084</v>
      </c>
      <c r="O14" s="480">
        <f t="shared" si="29"/>
        <v>873.21739130434787</v>
      </c>
      <c r="P14" s="458">
        <v>15869</v>
      </c>
      <c r="Q14" s="462">
        <f t="shared" si="33"/>
        <v>19000</v>
      </c>
      <c r="R14" s="462">
        <f t="shared" si="21"/>
        <v>1084</v>
      </c>
      <c r="S14" s="458">
        <v>9081</v>
      </c>
      <c r="T14" s="482">
        <f t="shared" si="3"/>
        <v>23</v>
      </c>
      <c r="U14" s="458">
        <v>183861</v>
      </c>
      <c r="V14" s="462">
        <f t="shared" si="17"/>
        <v>5031</v>
      </c>
      <c r="W14" s="458">
        <v>31853</v>
      </c>
      <c r="X14" s="462">
        <f t="shared" si="27"/>
        <v>0</v>
      </c>
      <c r="Y14" s="458">
        <f t="shared" ref="Y14" si="35">Y13</f>
        <v>625865</v>
      </c>
      <c r="Z14" s="462">
        <f t="shared" si="23"/>
        <v>0</v>
      </c>
      <c r="AA14" s="458">
        <v>35288</v>
      </c>
      <c r="AB14" s="462">
        <f t="shared" si="19"/>
        <v>0</v>
      </c>
      <c r="AC14" s="458">
        <v>827989</v>
      </c>
      <c r="AD14" s="462">
        <f t="shared" si="20"/>
        <v>30</v>
      </c>
      <c r="AE14" s="485">
        <f t="shared" si="10"/>
        <v>23</v>
      </c>
      <c r="AF14" s="486">
        <f t="shared" si="11"/>
        <v>5061</v>
      </c>
      <c r="AG14" s="478">
        <f t="shared" si="30"/>
        <v>220.04347826086956</v>
      </c>
      <c r="AI14" s="479">
        <f>R14-'EDl log'!B12</f>
        <v>-132180</v>
      </c>
    </row>
    <row r="15" spans="1:115">
      <c r="A15" s="470">
        <f>'General information '!F18</f>
        <v>0.1217</v>
      </c>
      <c r="B15" s="464">
        <f t="shared" si="6"/>
        <v>27.991</v>
      </c>
      <c r="C15" s="471">
        <v>44025</v>
      </c>
      <c r="D15" s="458">
        <v>31934490</v>
      </c>
      <c r="E15" s="319">
        <f t="shared" si="12"/>
        <v>4884</v>
      </c>
      <c r="F15" s="458">
        <v>3767592</v>
      </c>
      <c r="G15" s="320">
        <f t="shared" si="0"/>
        <v>2236</v>
      </c>
      <c r="H15" s="458">
        <v>17549838</v>
      </c>
      <c r="I15" s="320">
        <f t="shared" si="13"/>
        <v>2418</v>
      </c>
      <c r="J15" s="458">
        <v>28560296</v>
      </c>
      <c r="K15" s="320">
        <f t="shared" si="14"/>
        <v>2050</v>
      </c>
      <c r="L15" s="458">
        <v>23334400</v>
      </c>
      <c r="M15" s="320">
        <f t="shared" si="15"/>
        <v>8276</v>
      </c>
      <c r="N15" s="318">
        <f t="shared" si="16"/>
        <v>19864</v>
      </c>
      <c r="O15" s="480">
        <f t="shared" si="29"/>
        <v>709.65667535993714</v>
      </c>
      <c r="P15" s="458">
        <v>15883</v>
      </c>
      <c r="Q15" s="462">
        <f>(P15-P14)*1000</f>
        <v>14000</v>
      </c>
      <c r="R15" s="462">
        <f t="shared" si="21"/>
        <v>5864</v>
      </c>
      <c r="S15" s="458">
        <v>9101</v>
      </c>
      <c r="T15" s="482">
        <f t="shared" si="3"/>
        <v>20</v>
      </c>
      <c r="U15" s="458">
        <v>188212</v>
      </c>
      <c r="V15" s="462">
        <f t="shared" si="17"/>
        <v>4351</v>
      </c>
      <c r="W15" s="458">
        <v>31853</v>
      </c>
      <c r="X15" s="462">
        <f t="shared" si="27"/>
        <v>0</v>
      </c>
      <c r="Y15" s="458">
        <v>625865</v>
      </c>
      <c r="Z15" s="462">
        <f t="shared" si="23"/>
        <v>0</v>
      </c>
      <c r="AA15" s="458">
        <v>35290</v>
      </c>
      <c r="AB15" s="462">
        <f t="shared" si="19"/>
        <v>2</v>
      </c>
      <c r="AC15" s="458">
        <v>828442</v>
      </c>
      <c r="AD15" s="462">
        <f t="shared" si="20"/>
        <v>453</v>
      </c>
      <c r="AE15" s="485">
        <f t="shared" si="10"/>
        <v>22</v>
      </c>
      <c r="AF15" s="486">
        <f t="shared" si="11"/>
        <v>4804</v>
      </c>
      <c r="AG15" s="478">
        <f t="shared" si="30"/>
        <v>218.36363636363637</v>
      </c>
      <c r="AI15" s="479">
        <f>R15-'EDl log'!B13</f>
        <v>-127800</v>
      </c>
    </row>
    <row r="16" spans="1:115">
      <c r="A16" s="470">
        <f>'General information '!F19</f>
        <v>0.12709999999999999</v>
      </c>
      <c r="B16" s="464">
        <f t="shared" si="6"/>
        <v>29.232999999999997</v>
      </c>
      <c r="C16" s="471">
        <v>44026</v>
      </c>
      <c r="D16" s="458">
        <v>31944038</v>
      </c>
      <c r="E16" s="319">
        <f t="shared" si="12"/>
        <v>9548</v>
      </c>
      <c r="F16" s="458">
        <v>3769558</v>
      </c>
      <c r="G16" s="320">
        <f t="shared" si="0"/>
        <v>1966</v>
      </c>
      <c r="H16" s="458">
        <v>17552096</v>
      </c>
      <c r="I16" s="320">
        <f t="shared" si="13"/>
        <v>2258</v>
      </c>
      <c r="J16" s="458">
        <v>28562678</v>
      </c>
      <c r="K16" s="320">
        <f t="shared" si="14"/>
        <v>2382</v>
      </c>
      <c r="L16" s="458">
        <v>23337998</v>
      </c>
      <c r="M16" s="320">
        <f t="shared" si="15"/>
        <v>3598</v>
      </c>
      <c r="N16" s="318">
        <f t="shared" si="16"/>
        <v>19752</v>
      </c>
      <c r="O16" s="480">
        <f t="shared" si="29"/>
        <v>675.6747511374133</v>
      </c>
      <c r="P16" s="458">
        <v>15901</v>
      </c>
      <c r="Q16" s="462">
        <f>(P16-P15)*1000</f>
        <v>18000</v>
      </c>
      <c r="R16" s="462">
        <f t="shared" si="21"/>
        <v>1752</v>
      </c>
      <c r="S16" s="458">
        <v>9101</v>
      </c>
      <c r="T16" s="482">
        <f t="shared" si="3"/>
        <v>0</v>
      </c>
      <c r="U16" s="458">
        <v>188213</v>
      </c>
      <c r="V16" s="462">
        <f t="shared" si="17"/>
        <v>1</v>
      </c>
      <c r="W16" s="458">
        <f t="shared" si="7"/>
        <v>31853</v>
      </c>
      <c r="X16" s="462">
        <f>W16-W15</f>
        <v>0</v>
      </c>
      <c r="Y16" s="458">
        <v>625865</v>
      </c>
      <c r="Z16" s="462">
        <f>Y16-Y15</f>
        <v>0</v>
      </c>
      <c r="AA16" s="458">
        <v>35314</v>
      </c>
      <c r="AB16" s="462">
        <f>AA16-AA15</f>
        <v>24</v>
      </c>
      <c r="AC16" s="458">
        <v>833458</v>
      </c>
      <c r="AD16" s="462">
        <f t="shared" si="20"/>
        <v>5016</v>
      </c>
      <c r="AE16" s="485">
        <f t="shared" si="10"/>
        <v>24</v>
      </c>
      <c r="AF16" s="486">
        <f t="shared" si="11"/>
        <v>5017</v>
      </c>
      <c r="AG16" s="478">
        <f t="shared" si="30"/>
        <v>209.04166666666666</v>
      </c>
      <c r="AI16" s="479">
        <f>R16-'EDl log'!B14</f>
        <v>-134253</v>
      </c>
    </row>
    <row r="17" spans="1:35">
      <c r="A17" s="470">
        <f>'General information '!F20</f>
        <v>0.1348</v>
      </c>
      <c r="B17" s="464">
        <f t="shared" si="6"/>
        <v>31.004000000000001</v>
      </c>
      <c r="C17" s="471">
        <v>44027</v>
      </c>
      <c r="D17" s="458">
        <v>31949588</v>
      </c>
      <c r="E17" s="319">
        <f t="shared" si="12"/>
        <v>5550</v>
      </c>
      <c r="F17" s="458">
        <v>3771812</v>
      </c>
      <c r="G17" s="320">
        <f t="shared" si="0"/>
        <v>2254</v>
      </c>
      <c r="H17" s="458">
        <v>17554498</v>
      </c>
      <c r="I17" s="320">
        <f t="shared" si="13"/>
        <v>2402</v>
      </c>
      <c r="J17" s="458">
        <v>28565690</v>
      </c>
      <c r="K17" s="320">
        <f t="shared" si="14"/>
        <v>3012</v>
      </c>
      <c r="L17" s="458">
        <v>23347120</v>
      </c>
      <c r="M17" s="320">
        <f t="shared" si="15"/>
        <v>9122</v>
      </c>
      <c r="N17" s="318">
        <f t="shared" si="16"/>
        <v>22340</v>
      </c>
      <c r="O17" s="480">
        <f t="shared" si="29"/>
        <v>720.55218681460451</v>
      </c>
      <c r="P17" s="458">
        <v>15918</v>
      </c>
      <c r="Q17" s="462">
        <f t="shared" si="33"/>
        <v>17000</v>
      </c>
      <c r="R17" s="462">
        <f t="shared" si="21"/>
        <v>5340</v>
      </c>
      <c r="S17" s="458">
        <v>9120</v>
      </c>
      <c r="T17" s="482">
        <f t="shared" si="3"/>
        <v>19</v>
      </c>
      <c r="U17" s="458">
        <v>192930</v>
      </c>
      <c r="V17" s="462">
        <f t="shared" si="17"/>
        <v>4717</v>
      </c>
      <c r="W17" s="458">
        <f>W16</f>
        <v>31853</v>
      </c>
      <c r="X17" s="462">
        <f t="shared" si="27"/>
        <v>0</v>
      </c>
      <c r="Y17" s="458">
        <f t="shared" ref="Y17" si="36">Y16</f>
        <v>625865</v>
      </c>
      <c r="Z17" s="462">
        <f t="shared" si="23"/>
        <v>0</v>
      </c>
      <c r="AA17" s="458">
        <v>35316</v>
      </c>
      <c r="AB17" s="462">
        <f t="shared" si="19"/>
        <v>2</v>
      </c>
      <c r="AC17" s="458">
        <v>834137</v>
      </c>
      <c r="AD17" s="462">
        <f t="shared" ref="AD17:AD32" si="37">AC17-AC16</f>
        <v>679</v>
      </c>
      <c r="AE17" s="485">
        <f t="shared" si="10"/>
        <v>21</v>
      </c>
      <c r="AF17" s="486">
        <f t="shared" si="11"/>
        <v>5396</v>
      </c>
      <c r="AG17" s="478">
        <f t="shared" si="30"/>
        <v>256.95238095238096</v>
      </c>
      <c r="AI17" s="479">
        <f>R17-'EDl log'!B15</f>
        <v>-131110</v>
      </c>
    </row>
    <row r="18" spans="1:35">
      <c r="A18" s="470">
        <f>'General information '!F21</f>
        <v>0.2</v>
      </c>
      <c r="B18" s="464">
        <f t="shared" si="6"/>
        <v>46</v>
      </c>
      <c r="C18" s="471">
        <v>44028</v>
      </c>
      <c r="D18" s="458">
        <v>31955118</v>
      </c>
      <c r="E18" s="319">
        <f t="shared" si="12"/>
        <v>5530</v>
      </c>
      <c r="F18" s="458">
        <v>3773880</v>
      </c>
      <c r="G18" s="320">
        <f t="shared" si="0"/>
        <v>2068</v>
      </c>
      <c r="H18" s="458">
        <v>17556730</v>
      </c>
      <c r="I18" s="320">
        <f t="shared" si="13"/>
        <v>2232</v>
      </c>
      <c r="J18" s="458">
        <v>28570926</v>
      </c>
      <c r="K18" s="320">
        <f t="shared" si="14"/>
        <v>5236</v>
      </c>
      <c r="L18" s="458">
        <v>23352798</v>
      </c>
      <c r="M18" s="320">
        <f t="shared" si="15"/>
        <v>5678</v>
      </c>
      <c r="N18" s="318">
        <f t="shared" si="16"/>
        <v>20744</v>
      </c>
      <c r="O18" s="480">
        <f t="shared" si="29"/>
        <v>450.95652173913044</v>
      </c>
      <c r="P18" s="458">
        <v>15937</v>
      </c>
      <c r="Q18" s="462">
        <f t="shared" si="33"/>
        <v>19000</v>
      </c>
      <c r="R18" s="462">
        <f t="shared" si="21"/>
        <v>1744</v>
      </c>
      <c r="S18" s="458">
        <v>9130</v>
      </c>
      <c r="T18" s="482">
        <f t="shared" si="3"/>
        <v>10</v>
      </c>
      <c r="U18" s="458">
        <v>195258</v>
      </c>
      <c r="V18" s="462">
        <f t="shared" si="17"/>
        <v>2328</v>
      </c>
      <c r="W18" s="458">
        <v>31862</v>
      </c>
      <c r="X18" s="462">
        <f t="shared" si="27"/>
        <v>9</v>
      </c>
      <c r="Y18" s="458">
        <v>628067</v>
      </c>
      <c r="Z18" s="462">
        <f t="shared" si="23"/>
        <v>2202</v>
      </c>
      <c r="AA18" s="458">
        <v>35320</v>
      </c>
      <c r="AB18" s="462">
        <f t="shared" si="19"/>
        <v>4</v>
      </c>
      <c r="AC18" s="458">
        <v>834917</v>
      </c>
      <c r="AD18" s="462">
        <f t="shared" si="37"/>
        <v>780</v>
      </c>
      <c r="AE18" s="485">
        <f t="shared" si="10"/>
        <v>23</v>
      </c>
      <c r="AF18" s="486">
        <f t="shared" si="11"/>
        <v>5310</v>
      </c>
      <c r="AG18" s="478">
        <f t="shared" si="30"/>
        <v>230.86956521739131</v>
      </c>
      <c r="AI18" s="479">
        <f>R18-'EDl log'!B16</f>
        <v>-134706</v>
      </c>
    </row>
    <row r="19" spans="1:35">
      <c r="A19" s="470">
        <f>'General information '!F22</f>
        <v>0</v>
      </c>
      <c r="B19" s="464">
        <f t="shared" si="6"/>
        <v>0</v>
      </c>
      <c r="C19" s="471">
        <v>44029</v>
      </c>
      <c r="D19" s="458">
        <f t="shared" ref="D19:L33" si="38">D18</f>
        <v>31955118</v>
      </c>
      <c r="E19" s="319">
        <f t="shared" si="12"/>
        <v>0</v>
      </c>
      <c r="F19" s="458">
        <f t="shared" si="38"/>
        <v>3773880</v>
      </c>
      <c r="G19" s="320">
        <f t="shared" si="0"/>
        <v>0</v>
      </c>
      <c r="H19" s="458">
        <f t="shared" si="38"/>
        <v>17556730</v>
      </c>
      <c r="I19" s="320">
        <f t="shared" si="13"/>
        <v>0</v>
      </c>
      <c r="J19" s="458">
        <f t="shared" si="38"/>
        <v>28570926</v>
      </c>
      <c r="K19" s="320">
        <f t="shared" si="14"/>
        <v>0</v>
      </c>
      <c r="L19" s="458">
        <f t="shared" si="38"/>
        <v>23352798</v>
      </c>
      <c r="M19" s="320">
        <f t="shared" si="15"/>
        <v>0</v>
      </c>
      <c r="N19" s="318">
        <f t="shared" si="16"/>
        <v>0</v>
      </c>
      <c r="O19" s="480">
        <f t="shared" si="29"/>
        <v>0</v>
      </c>
      <c r="P19" s="458">
        <f t="shared" ref="P19:P33" si="39">P18</f>
        <v>15937</v>
      </c>
      <c r="Q19" s="462">
        <f>(P19-P18)*1000</f>
        <v>0</v>
      </c>
      <c r="R19" s="462">
        <f t="shared" si="21"/>
        <v>0</v>
      </c>
      <c r="S19" s="458">
        <f t="shared" ref="S19:S33" si="40">S18</f>
        <v>9130</v>
      </c>
      <c r="T19" s="482">
        <f t="shared" si="3"/>
        <v>0</v>
      </c>
      <c r="U19" s="458">
        <f t="shared" ref="U19:U33" si="41">U18</f>
        <v>195258</v>
      </c>
      <c r="V19" s="462">
        <f t="shared" si="17"/>
        <v>0</v>
      </c>
      <c r="W19" s="458">
        <f t="shared" si="7"/>
        <v>31862</v>
      </c>
      <c r="X19" s="462">
        <f t="shared" si="27"/>
        <v>0</v>
      </c>
      <c r="Y19" s="458">
        <f t="shared" ref="Y19:AA19" si="42">Y18</f>
        <v>628067</v>
      </c>
      <c r="Z19" s="462">
        <f t="shared" si="23"/>
        <v>0</v>
      </c>
      <c r="AA19" s="458">
        <f t="shared" si="42"/>
        <v>35320</v>
      </c>
      <c r="AB19" s="462">
        <f t="shared" si="19"/>
        <v>0</v>
      </c>
      <c r="AC19" s="458">
        <f t="shared" ref="AC19" si="43">AC18</f>
        <v>834917</v>
      </c>
      <c r="AD19" s="462">
        <f t="shared" si="37"/>
        <v>0</v>
      </c>
      <c r="AE19" s="485">
        <f t="shared" si="10"/>
        <v>0</v>
      </c>
      <c r="AF19" s="486">
        <f t="shared" si="11"/>
        <v>0</v>
      </c>
      <c r="AG19" s="478">
        <f t="shared" si="30"/>
        <v>0</v>
      </c>
      <c r="AI19" s="479">
        <f>R19-'EDl log'!B17</f>
        <v>-140459</v>
      </c>
    </row>
    <row r="20" spans="1:35">
      <c r="A20" s="470">
        <f>'General information '!F23</f>
        <v>0</v>
      </c>
      <c r="B20" s="464">
        <f t="shared" si="6"/>
        <v>0</v>
      </c>
      <c r="C20" s="471">
        <v>44030</v>
      </c>
      <c r="D20" s="458">
        <f t="shared" si="38"/>
        <v>31955118</v>
      </c>
      <c r="E20" s="319">
        <f t="shared" si="12"/>
        <v>0</v>
      </c>
      <c r="F20" s="458">
        <f t="shared" si="38"/>
        <v>3773880</v>
      </c>
      <c r="G20" s="320">
        <f t="shared" si="0"/>
        <v>0</v>
      </c>
      <c r="H20" s="458">
        <f t="shared" si="38"/>
        <v>17556730</v>
      </c>
      <c r="I20" s="320">
        <f t="shared" si="13"/>
        <v>0</v>
      </c>
      <c r="J20" s="458">
        <f t="shared" si="38"/>
        <v>28570926</v>
      </c>
      <c r="K20" s="320">
        <f t="shared" si="14"/>
        <v>0</v>
      </c>
      <c r="L20" s="458">
        <f t="shared" si="38"/>
        <v>23352798</v>
      </c>
      <c r="M20" s="320">
        <f t="shared" si="15"/>
        <v>0</v>
      </c>
      <c r="N20" s="318">
        <f t="shared" si="16"/>
        <v>0</v>
      </c>
      <c r="O20" s="480">
        <f t="shared" si="29"/>
        <v>0</v>
      </c>
      <c r="P20" s="458">
        <f t="shared" si="39"/>
        <v>15937</v>
      </c>
      <c r="Q20" s="462">
        <f t="shared" si="33"/>
        <v>0</v>
      </c>
      <c r="R20" s="462">
        <f t="shared" si="21"/>
        <v>0</v>
      </c>
      <c r="S20" s="458">
        <f t="shared" si="40"/>
        <v>9130</v>
      </c>
      <c r="T20" s="482">
        <f t="shared" si="3"/>
        <v>0</v>
      </c>
      <c r="U20" s="458">
        <f t="shared" si="41"/>
        <v>195258</v>
      </c>
      <c r="V20" s="462">
        <f t="shared" si="17"/>
        <v>0</v>
      </c>
      <c r="W20" s="458">
        <f t="shared" si="7"/>
        <v>31862</v>
      </c>
      <c r="X20" s="462">
        <f t="shared" si="27"/>
        <v>0</v>
      </c>
      <c r="Y20" s="458">
        <f t="shared" ref="Y20:AA20" si="44">Y19</f>
        <v>628067</v>
      </c>
      <c r="Z20" s="462">
        <f t="shared" si="23"/>
        <v>0</v>
      </c>
      <c r="AA20" s="458">
        <f t="shared" si="44"/>
        <v>35320</v>
      </c>
      <c r="AB20" s="462">
        <f t="shared" si="19"/>
        <v>0</v>
      </c>
      <c r="AC20" s="458">
        <f t="shared" ref="AC20" si="45">AC19</f>
        <v>834917</v>
      </c>
      <c r="AD20" s="462">
        <f t="shared" si="37"/>
        <v>0</v>
      </c>
      <c r="AE20" s="485">
        <f t="shared" si="10"/>
        <v>0</v>
      </c>
      <c r="AF20" s="486">
        <f t="shared" si="11"/>
        <v>0</v>
      </c>
      <c r="AG20" s="478">
        <f t="shared" si="30"/>
        <v>0</v>
      </c>
      <c r="AI20" s="479">
        <f>R20-'EDl log'!B18</f>
        <v>-143143</v>
      </c>
    </row>
    <row r="21" spans="1:35">
      <c r="A21" s="470">
        <f>'General information '!F24</f>
        <v>0</v>
      </c>
      <c r="B21" s="464">
        <f t="shared" si="6"/>
        <v>0</v>
      </c>
      <c r="C21" s="471">
        <v>44031</v>
      </c>
      <c r="D21" s="458">
        <f t="shared" si="38"/>
        <v>31955118</v>
      </c>
      <c r="E21" s="319">
        <f t="shared" si="12"/>
        <v>0</v>
      </c>
      <c r="F21" s="458">
        <f t="shared" si="38"/>
        <v>3773880</v>
      </c>
      <c r="G21" s="320">
        <f t="shared" si="0"/>
        <v>0</v>
      </c>
      <c r="H21" s="458">
        <f t="shared" si="38"/>
        <v>17556730</v>
      </c>
      <c r="I21" s="320">
        <f t="shared" si="13"/>
        <v>0</v>
      </c>
      <c r="J21" s="458">
        <f t="shared" si="38"/>
        <v>28570926</v>
      </c>
      <c r="K21" s="320">
        <f t="shared" si="14"/>
        <v>0</v>
      </c>
      <c r="L21" s="458">
        <f t="shared" si="38"/>
        <v>23352798</v>
      </c>
      <c r="M21" s="320">
        <f t="shared" si="15"/>
        <v>0</v>
      </c>
      <c r="N21" s="318">
        <f t="shared" si="16"/>
        <v>0</v>
      </c>
      <c r="O21" s="480">
        <f t="shared" si="29"/>
        <v>0</v>
      </c>
      <c r="P21" s="458">
        <f t="shared" si="39"/>
        <v>15937</v>
      </c>
      <c r="Q21" s="462">
        <f>(P21-P20)*1000</f>
        <v>0</v>
      </c>
      <c r="R21" s="462">
        <f t="shared" si="21"/>
        <v>0</v>
      </c>
      <c r="S21" s="458">
        <f t="shared" si="40"/>
        <v>9130</v>
      </c>
      <c r="T21" s="482">
        <f t="shared" si="3"/>
        <v>0</v>
      </c>
      <c r="U21" s="458">
        <f t="shared" si="41"/>
        <v>195258</v>
      </c>
      <c r="V21" s="462">
        <f t="shared" si="17"/>
        <v>0</v>
      </c>
      <c r="W21" s="458">
        <f t="shared" si="7"/>
        <v>31862</v>
      </c>
      <c r="X21" s="462">
        <f t="shared" si="27"/>
        <v>0</v>
      </c>
      <c r="Y21" s="458">
        <f t="shared" ref="Y21:AA21" si="46">Y20</f>
        <v>628067</v>
      </c>
      <c r="Z21" s="462">
        <f t="shared" si="23"/>
        <v>0</v>
      </c>
      <c r="AA21" s="458">
        <f t="shared" si="46"/>
        <v>35320</v>
      </c>
      <c r="AB21" s="462">
        <f t="shared" si="19"/>
        <v>0</v>
      </c>
      <c r="AC21" s="458">
        <f t="shared" ref="AC21" si="47">AC20</f>
        <v>834917</v>
      </c>
      <c r="AD21" s="462">
        <f t="shared" si="37"/>
        <v>0</v>
      </c>
      <c r="AE21" s="485">
        <f t="shared" si="10"/>
        <v>0</v>
      </c>
      <c r="AF21" s="486">
        <f t="shared" si="11"/>
        <v>0</v>
      </c>
      <c r="AG21" s="478">
        <f t="shared" si="30"/>
        <v>0</v>
      </c>
      <c r="AI21" s="479">
        <f>R21-'EDl log'!B19</f>
        <v>-144480</v>
      </c>
    </row>
    <row r="22" spans="1:35">
      <c r="A22" s="470">
        <f>'General information '!F25</f>
        <v>0</v>
      </c>
      <c r="B22" s="464">
        <f t="shared" si="6"/>
        <v>0</v>
      </c>
      <c r="C22" s="471">
        <v>44032</v>
      </c>
      <c r="D22" s="458">
        <f t="shared" si="38"/>
        <v>31955118</v>
      </c>
      <c r="E22" s="319">
        <f t="shared" si="12"/>
        <v>0</v>
      </c>
      <c r="F22" s="458">
        <f t="shared" si="38"/>
        <v>3773880</v>
      </c>
      <c r="G22" s="320">
        <f t="shared" si="0"/>
        <v>0</v>
      </c>
      <c r="H22" s="458">
        <f t="shared" si="38"/>
        <v>17556730</v>
      </c>
      <c r="I22" s="320">
        <f t="shared" si="13"/>
        <v>0</v>
      </c>
      <c r="J22" s="458">
        <f t="shared" si="38"/>
        <v>28570926</v>
      </c>
      <c r="K22" s="320">
        <f t="shared" si="14"/>
        <v>0</v>
      </c>
      <c r="L22" s="458">
        <f t="shared" si="38"/>
        <v>23352798</v>
      </c>
      <c r="M22" s="320">
        <f t="shared" si="15"/>
        <v>0</v>
      </c>
      <c r="N22" s="318">
        <f t="shared" si="16"/>
        <v>0</v>
      </c>
      <c r="O22" s="480">
        <f t="shared" si="29"/>
        <v>0</v>
      </c>
      <c r="P22" s="458">
        <f t="shared" si="39"/>
        <v>15937</v>
      </c>
      <c r="Q22" s="462">
        <f t="shared" si="33"/>
        <v>0</v>
      </c>
      <c r="R22" s="462">
        <f t="shared" si="21"/>
        <v>0</v>
      </c>
      <c r="S22" s="458">
        <f t="shared" si="40"/>
        <v>9130</v>
      </c>
      <c r="T22" s="482">
        <f t="shared" si="3"/>
        <v>0</v>
      </c>
      <c r="U22" s="458">
        <f t="shared" si="41"/>
        <v>195258</v>
      </c>
      <c r="V22" s="462">
        <f t="shared" si="17"/>
        <v>0</v>
      </c>
      <c r="W22" s="458">
        <f t="shared" si="7"/>
        <v>31862</v>
      </c>
      <c r="X22" s="462">
        <f t="shared" si="27"/>
        <v>0</v>
      </c>
      <c r="Y22" s="458">
        <f t="shared" ref="Y22:AA22" si="48">Y21</f>
        <v>628067</v>
      </c>
      <c r="Z22" s="462">
        <f t="shared" si="23"/>
        <v>0</v>
      </c>
      <c r="AA22" s="458">
        <f t="shared" si="48"/>
        <v>35320</v>
      </c>
      <c r="AB22" s="462">
        <f t="shared" si="19"/>
        <v>0</v>
      </c>
      <c r="AC22" s="458">
        <f t="shared" ref="AC22" si="49">AC21</f>
        <v>834917</v>
      </c>
      <c r="AD22" s="462">
        <f t="shared" si="37"/>
        <v>0</v>
      </c>
      <c r="AE22" s="485">
        <f t="shared" si="10"/>
        <v>0</v>
      </c>
      <c r="AF22" s="486">
        <f t="shared" si="11"/>
        <v>0</v>
      </c>
      <c r="AG22" s="478">
        <f t="shared" si="30"/>
        <v>0</v>
      </c>
      <c r="AI22" s="479">
        <f>R22-'EDl log'!B20</f>
        <v>-144480</v>
      </c>
    </row>
    <row r="23" spans="1:35">
      <c r="A23" s="470">
        <f>'General information '!F26</f>
        <v>0</v>
      </c>
      <c r="B23" s="464">
        <f t="shared" si="6"/>
        <v>0</v>
      </c>
      <c r="C23" s="471">
        <v>44033</v>
      </c>
      <c r="D23" s="458">
        <f t="shared" si="38"/>
        <v>31955118</v>
      </c>
      <c r="E23" s="319">
        <f t="shared" si="12"/>
        <v>0</v>
      </c>
      <c r="F23" s="458">
        <f t="shared" si="38"/>
        <v>3773880</v>
      </c>
      <c r="G23" s="320">
        <f t="shared" si="0"/>
        <v>0</v>
      </c>
      <c r="H23" s="458">
        <f t="shared" si="38"/>
        <v>17556730</v>
      </c>
      <c r="I23" s="451">
        <f t="shared" si="13"/>
        <v>0</v>
      </c>
      <c r="J23" s="458">
        <f t="shared" si="38"/>
        <v>28570926</v>
      </c>
      <c r="K23" s="320">
        <f t="shared" si="14"/>
        <v>0</v>
      </c>
      <c r="L23" s="458">
        <f t="shared" si="38"/>
        <v>23352798</v>
      </c>
      <c r="M23" s="320">
        <f t="shared" si="15"/>
        <v>0</v>
      </c>
      <c r="N23" s="318">
        <f t="shared" si="16"/>
        <v>0</v>
      </c>
      <c r="O23" s="480">
        <f t="shared" si="29"/>
        <v>0</v>
      </c>
      <c r="P23" s="458">
        <f t="shared" si="39"/>
        <v>15937</v>
      </c>
      <c r="Q23" s="462">
        <f t="shared" si="33"/>
        <v>0</v>
      </c>
      <c r="R23" s="462">
        <f t="shared" si="21"/>
        <v>0</v>
      </c>
      <c r="S23" s="458">
        <f t="shared" si="40"/>
        <v>9130</v>
      </c>
      <c r="T23" s="482">
        <f t="shared" si="3"/>
        <v>0</v>
      </c>
      <c r="U23" s="458">
        <f t="shared" si="41"/>
        <v>195258</v>
      </c>
      <c r="V23" s="462">
        <f t="shared" si="17"/>
        <v>0</v>
      </c>
      <c r="W23" s="458">
        <f t="shared" si="7"/>
        <v>31862</v>
      </c>
      <c r="X23" s="462">
        <f t="shared" si="27"/>
        <v>0</v>
      </c>
      <c r="Y23" s="458">
        <f t="shared" ref="Y23:AA23" si="50">Y22</f>
        <v>628067</v>
      </c>
      <c r="Z23" s="462">
        <f t="shared" si="23"/>
        <v>0</v>
      </c>
      <c r="AA23" s="458">
        <f t="shared" si="50"/>
        <v>35320</v>
      </c>
      <c r="AB23" s="462">
        <f t="shared" si="19"/>
        <v>0</v>
      </c>
      <c r="AC23" s="458">
        <f t="shared" ref="AC23" si="51">AC22</f>
        <v>834917</v>
      </c>
      <c r="AD23" s="462">
        <f t="shared" si="37"/>
        <v>0</v>
      </c>
      <c r="AE23" s="485">
        <f t="shared" si="10"/>
        <v>0</v>
      </c>
      <c r="AF23" s="486">
        <f t="shared" si="11"/>
        <v>0</v>
      </c>
      <c r="AG23" s="478">
        <f t="shared" si="30"/>
        <v>0</v>
      </c>
      <c r="AI23" s="479">
        <f>R23-'EDl log'!B21</f>
        <v>-144480</v>
      </c>
    </row>
    <row r="24" spans="1:35">
      <c r="A24" s="470">
        <f>'General information '!F27</f>
        <v>0</v>
      </c>
      <c r="B24" s="464">
        <f t="shared" si="6"/>
        <v>0</v>
      </c>
      <c r="C24" s="471">
        <v>44034</v>
      </c>
      <c r="D24" s="458">
        <f t="shared" si="38"/>
        <v>31955118</v>
      </c>
      <c r="E24" s="319">
        <f t="shared" si="12"/>
        <v>0</v>
      </c>
      <c r="F24" s="458">
        <f t="shared" si="38"/>
        <v>3773880</v>
      </c>
      <c r="G24" s="320">
        <f t="shared" si="0"/>
        <v>0</v>
      </c>
      <c r="H24" s="458">
        <f t="shared" si="38"/>
        <v>17556730</v>
      </c>
      <c r="I24" s="320">
        <f t="shared" si="13"/>
        <v>0</v>
      </c>
      <c r="J24" s="458">
        <f t="shared" si="38"/>
        <v>28570926</v>
      </c>
      <c r="K24" s="320">
        <f t="shared" si="14"/>
        <v>0</v>
      </c>
      <c r="L24" s="458">
        <f t="shared" si="38"/>
        <v>23352798</v>
      </c>
      <c r="M24" s="320">
        <f t="shared" si="15"/>
        <v>0</v>
      </c>
      <c r="N24" s="318">
        <f t="shared" si="16"/>
        <v>0</v>
      </c>
      <c r="O24" s="480">
        <f t="shared" si="29"/>
        <v>0</v>
      </c>
      <c r="P24" s="458">
        <f t="shared" si="39"/>
        <v>15937</v>
      </c>
      <c r="Q24" s="462">
        <f t="shared" si="33"/>
        <v>0</v>
      </c>
      <c r="R24" s="462">
        <f t="shared" si="21"/>
        <v>0</v>
      </c>
      <c r="S24" s="458">
        <f t="shared" si="40"/>
        <v>9130</v>
      </c>
      <c r="T24" s="482">
        <f t="shared" si="3"/>
        <v>0</v>
      </c>
      <c r="U24" s="458">
        <f t="shared" si="41"/>
        <v>195258</v>
      </c>
      <c r="V24" s="462">
        <f t="shared" si="17"/>
        <v>0</v>
      </c>
      <c r="W24" s="458">
        <f t="shared" si="7"/>
        <v>31862</v>
      </c>
      <c r="X24" s="462">
        <f t="shared" si="27"/>
        <v>0</v>
      </c>
      <c r="Y24" s="458">
        <f t="shared" ref="Y24:AA24" si="52">Y23</f>
        <v>628067</v>
      </c>
      <c r="Z24" s="462">
        <f t="shared" si="23"/>
        <v>0</v>
      </c>
      <c r="AA24" s="458">
        <f t="shared" si="52"/>
        <v>35320</v>
      </c>
      <c r="AB24" s="462">
        <f t="shared" si="19"/>
        <v>0</v>
      </c>
      <c r="AC24" s="458">
        <f t="shared" ref="AC24" si="53">AC23</f>
        <v>834917</v>
      </c>
      <c r="AD24" s="462">
        <f t="shared" si="37"/>
        <v>0</v>
      </c>
      <c r="AE24" s="485">
        <f t="shared" si="10"/>
        <v>0</v>
      </c>
      <c r="AF24" s="486">
        <f t="shared" si="11"/>
        <v>0</v>
      </c>
      <c r="AG24" s="478">
        <f t="shared" si="30"/>
        <v>0</v>
      </c>
      <c r="AI24" s="479">
        <f>R24-'EDl log'!B22</f>
        <v>-144480</v>
      </c>
    </row>
    <row r="25" spans="1:35">
      <c r="A25" s="470">
        <f>'General information '!F28</f>
        <v>0</v>
      </c>
      <c r="B25" s="464">
        <f t="shared" si="6"/>
        <v>0</v>
      </c>
      <c r="C25" s="471">
        <v>44035</v>
      </c>
      <c r="D25" s="458">
        <f t="shared" si="38"/>
        <v>31955118</v>
      </c>
      <c r="E25" s="319">
        <f t="shared" si="12"/>
        <v>0</v>
      </c>
      <c r="F25" s="458">
        <f t="shared" si="38"/>
        <v>3773880</v>
      </c>
      <c r="G25" s="320">
        <f t="shared" si="0"/>
        <v>0</v>
      </c>
      <c r="H25" s="458">
        <f t="shared" si="38"/>
        <v>17556730</v>
      </c>
      <c r="I25" s="320">
        <f t="shared" si="13"/>
        <v>0</v>
      </c>
      <c r="J25" s="458">
        <f t="shared" si="38"/>
        <v>28570926</v>
      </c>
      <c r="K25" s="320">
        <f t="shared" si="14"/>
        <v>0</v>
      </c>
      <c r="L25" s="458">
        <f t="shared" si="38"/>
        <v>23352798</v>
      </c>
      <c r="M25" s="320">
        <f t="shared" si="15"/>
        <v>0</v>
      </c>
      <c r="N25" s="318">
        <f t="shared" si="16"/>
        <v>0</v>
      </c>
      <c r="O25" s="480">
        <f t="shared" si="29"/>
        <v>0</v>
      </c>
      <c r="P25" s="458">
        <f t="shared" si="39"/>
        <v>15937</v>
      </c>
      <c r="Q25" s="462">
        <f t="shared" si="33"/>
        <v>0</v>
      </c>
      <c r="R25" s="462">
        <f t="shared" si="21"/>
        <v>0</v>
      </c>
      <c r="S25" s="458">
        <f t="shared" si="40"/>
        <v>9130</v>
      </c>
      <c r="T25" s="482">
        <f t="shared" si="3"/>
        <v>0</v>
      </c>
      <c r="U25" s="458">
        <f t="shared" si="41"/>
        <v>195258</v>
      </c>
      <c r="V25" s="462">
        <f t="shared" si="17"/>
        <v>0</v>
      </c>
      <c r="W25" s="458">
        <f t="shared" si="7"/>
        <v>31862</v>
      </c>
      <c r="X25" s="462">
        <f t="shared" si="27"/>
        <v>0</v>
      </c>
      <c r="Y25" s="458">
        <f t="shared" ref="Y25:AA25" si="54">Y24</f>
        <v>628067</v>
      </c>
      <c r="Z25" s="462">
        <f t="shared" si="23"/>
        <v>0</v>
      </c>
      <c r="AA25" s="458">
        <f t="shared" si="54"/>
        <v>35320</v>
      </c>
      <c r="AB25" s="462">
        <f t="shared" si="19"/>
        <v>0</v>
      </c>
      <c r="AC25" s="458">
        <f t="shared" ref="AC25" si="55">AC24</f>
        <v>834917</v>
      </c>
      <c r="AD25" s="462">
        <f t="shared" si="37"/>
        <v>0</v>
      </c>
      <c r="AE25" s="485">
        <f t="shared" si="10"/>
        <v>0</v>
      </c>
      <c r="AF25" s="486">
        <f t="shared" si="11"/>
        <v>0</v>
      </c>
      <c r="AG25" s="478">
        <f t="shared" si="30"/>
        <v>0</v>
      </c>
      <c r="AI25" s="479">
        <f>R25-'EDl log'!B23</f>
        <v>-144480</v>
      </c>
    </row>
    <row r="26" spans="1:35">
      <c r="A26" s="470">
        <f>'General information '!F29</f>
        <v>0</v>
      </c>
      <c r="B26" s="464">
        <f t="shared" si="6"/>
        <v>0</v>
      </c>
      <c r="C26" s="471">
        <v>44036</v>
      </c>
      <c r="D26" s="458">
        <f t="shared" si="38"/>
        <v>31955118</v>
      </c>
      <c r="E26" s="319">
        <f t="shared" si="12"/>
        <v>0</v>
      </c>
      <c r="F26" s="458">
        <f t="shared" si="38"/>
        <v>3773880</v>
      </c>
      <c r="G26" s="320">
        <f t="shared" si="0"/>
        <v>0</v>
      </c>
      <c r="H26" s="458">
        <f t="shared" si="38"/>
        <v>17556730</v>
      </c>
      <c r="I26" s="320">
        <f t="shared" si="13"/>
        <v>0</v>
      </c>
      <c r="J26" s="458">
        <f t="shared" si="38"/>
        <v>28570926</v>
      </c>
      <c r="K26" s="320">
        <f t="shared" si="14"/>
        <v>0</v>
      </c>
      <c r="L26" s="458">
        <f t="shared" si="38"/>
        <v>23352798</v>
      </c>
      <c r="M26" s="320">
        <f t="shared" si="15"/>
        <v>0</v>
      </c>
      <c r="N26" s="318">
        <f t="shared" si="16"/>
        <v>0</v>
      </c>
      <c r="O26" s="480">
        <f t="shared" si="29"/>
        <v>0</v>
      </c>
      <c r="P26" s="458">
        <f t="shared" si="39"/>
        <v>15937</v>
      </c>
      <c r="Q26" s="462">
        <f t="shared" si="33"/>
        <v>0</v>
      </c>
      <c r="R26" s="487">
        <f>N26-Q26</f>
        <v>0</v>
      </c>
      <c r="S26" s="458">
        <f t="shared" si="40"/>
        <v>9130</v>
      </c>
      <c r="T26" s="482">
        <f t="shared" si="3"/>
        <v>0</v>
      </c>
      <c r="U26" s="458">
        <f t="shared" si="41"/>
        <v>195258</v>
      </c>
      <c r="V26" s="462">
        <f t="shared" si="17"/>
        <v>0</v>
      </c>
      <c r="W26" s="458">
        <f t="shared" si="7"/>
        <v>31862</v>
      </c>
      <c r="X26" s="462">
        <f t="shared" si="27"/>
        <v>0</v>
      </c>
      <c r="Y26" s="458">
        <f t="shared" ref="Y26:AA26" si="56">Y25</f>
        <v>628067</v>
      </c>
      <c r="Z26" s="462">
        <f t="shared" si="23"/>
        <v>0</v>
      </c>
      <c r="AA26" s="458">
        <f t="shared" si="56"/>
        <v>35320</v>
      </c>
      <c r="AB26" s="462">
        <f t="shared" si="19"/>
        <v>0</v>
      </c>
      <c r="AC26" s="458">
        <f t="shared" ref="AC26" si="57">AC25</f>
        <v>834917</v>
      </c>
      <c r="AD26" s="462">
        <f t="shared" si="37"/>
        <v>0</v>
      </c>
      <c r="AE26" s="485">
        <f t="shared" si="10"/>
        <v>0</v>
      </c>
      <c r="AF26" s="486">
        <f t="shared" si="11"/>
        <v>0</v>
      </c>
      <c r="AG26" s="478">
        <f t="shared" si="30"/>
        <v>0</v>
      </c>
      <c r="AI26" s="479">
        <f>R26-'EDl log'!B24</f>
        <v>-144480</v>
      </c>
    </row>
    <row r="27" spans="1:35">
      <c r="A27" s="470">
        <f>'General information '!F30</f>
        <v>0</v>
      </c>
      <c r="B27" s="464">
        <f t="shared" si="6"/>
        <v>0</v>
      </c>
      <c r="C27" s="471">
        <v>44037</v>
      </c>
      <c r="D27" s="458">
        <f t="shared" si="38"/>
        <v>31955118</v>
      </c>
      <c r="E27" s="319">
        <f t="shared" si="12"/>
        <v>0</v>
      </c>
      <c r="F27" s="458">
        <f t="shared" si="38"/>
        <v>3773880</v>
      </c>
      <c r="G27" s="320">
        <f>F27-F26</f>
        <v>0</v>
      </c>
      <c r="H27" s="458">
        <f t="shared" si="38"/>
        <v>17556730</v>
      </c>
      <c r="I27" s="320">
        <f t="shared" si="13"/>
        <v>0</v>
      </c>
      <c r="J27" s="458">
        <f t="shared" si="38"/>
        <v>28570926</v>
      </c>
      <c r="K27" s="320">
        <f t="shared" si="14"/>
        <v>0</v>
      </c>
      <c r="L27" s="458">
        <f t="shared" si="38"/>
        <v>23352798</v>
      </c>
      <c r="M27" s="320">
        <f t="shared" si="15"/>
        <v>0</v>
      </c>
      <c r="N27" s="318">
        <f t="shared" si="16"/>
        <v>0</v>
      </c>
      <c r="O27" s="480">
        <f t="shared" si="29"/>
        <v>0</v>
      </c>
      <c r="P27" s="458">
        <f t="shared" si="39"/>
        <v>15937</v>
      </c>
      <c r="Q27" s="462">
        <f t="shared" si="33"/>
        <v>0</v>
      </c>
      <c r="R27" s="462">
        <f t="shared" si="21"/>
        <v>0</v>
      </c>
      <c r="S27" s="458">
        <f t="shared" si="40"/>
        <v>9130</v>
      </c>
      <c r="T27" s="482">
        <f t="shared" si="3"/>
        <v>0</v>
      </c>
      <c r="U27" s="458">
        <f t="shared" si="41"/>
        <v>195258</v>
      </c>
      <c r="V27" s="462">
        <f t="shared" si="17"/>
        <v>0</v>
      </c>
      <c r="W27" s="458">
        <f t="shared" si="7"/>
        <v>31862</v>
      </c>
      <c r="X27" s="462">
        <f t="shared" si="27"/>
        <v>0</v>
      </c>
      <c r="Y27" s="458">
        <f t="shared" ref="Y27:AA27" si="58">Y26</f>
        <v>628067</v>
      </c>
      <c r="Z27" s="462">
        <f t="shared" si="23"/>
        <v>0</v>
      </c>
      <c r="AA27" s="458">
        <f t="shared" si="58"/>
        <v>35320</v>
      </c>
      <c r="AB27" s="462">
        <f t="shared" si="19"/>
        <v>0</v>
      </c>
      <c r="AC27" s="458">
        <f t="shared" ref="AC27" si="59">AC26</f>
        <v>834917</v>
      </c>
      <c r="AD27" s="462">
        <f t="shared" si="37"/>
        <v>0</v>
      </c>
      <c r="AE27" s="485">
        <f t="shared" si="10"/>
        <v>0</v>
      </c>
      <c r="AF27" s="486">
        <f t="shared" si="11"/>
        <v>0</v>
      </c>
      <c r="AG27" s="478">
        <f t="shared" si="30"/>
        <v>0</v>
      </c>
      <c r="AI27" s="479">
        <f>R27-'EDl log'!B25</f>
        <v>-144480</v>
      </c>
    </row>
    <row r="28" spans="1:35">
      <c r="A28" s="470">
        <f>'General information '!F31</f>
        <v>0</v>
      </c>
      <c r="B28" s="464">
        <f t="shared" si="6"/>
        <v>0</v>
      </c>
      <c r="C28" s="471">
        <v>44038</v>
      </c>
      <c r="D28" s="458">
        <f t="shared" si="38"/>
        <v>31955118</v>
      </c>
      <c r="E28" s="319">
        <f t="shared" si="12"/>
        <v>0</v>
      </c>
      <c r="F28" s="458">
        <f t="shared" si="38"/>
        <v>3773880</v>
      </c>
      <c r="G28" s="320">
        <f t="shared" si="0"/>
        <v>0</v>
      </c>
      <c r="H28" s="458">
        <f t="shared" si="38"/>
        <v>17556730</v>
      </c>
      <c r="I28" s="320">
        <f t="shared" si="13"/>
        <v>0</v>
      </c>
      <c r="J28" s="458">
        <f t="shared" si="38"/>
        <v>28570926</v>
      </c>
      <c r="K28" s="320">
        <f t="shared" si="14"/>
        <v>0</v>
      </c>
      <c r="L28" s="458">
        <f t="shared" si="38"/>
        <v>23352798</v>
      </c>
      <c r="M28" s="320">
        <f t="shared" si="15"/>
        <v>0</v>
      </c>
      <c r="N28" s="318">
        <f t="shared" si="16"/>
        <v>0</v>
      </c>
      <c r="O28" s="480">
        <f t="shared" si="29"/>
        <v>0</v>
      </c>
      <c r="P28" s="458">
        <f t="shared" si="39"/>
        <v>15937</v>
      </c>
      <c r="Q28" s="462">
        <f t="shared" si="33"/>
        <v>0</v>
      </c>
      <c r="R28" s="462">
        <f>N28-Q28</f>
        <v>0</v>
      </c>
      <c r="S28" s="458">
        <f t="shared" si="40"/>
        <v>9130</v>
      </c>
      <c r="T28" s="482">
        <f t="shared" si="3"/>
        <v>0</v>
      </c>
      <c r="U28" s="458">
        <f t="shared" si="41"/>
        <v>195258</v>
      </c>
      <c r="V28" s="462">
        <f t="shared" si="17"/>
        <v>0</v>
      </c>
      <c r="W28" s="458">
        <f t="shared" si="7"/>
        <v>31862</v>
      </c>
      <c r="X28" s="462">
        <f t="shared" si="27"/>
        <v>0</v>
      </c>
      <c r="Y28" s="458">
        <f t="shared" ref="Y28:AA28" si="60">Y27</f>
        <v>628067</v>
      </c>
      <c r="Z28" s="462">
        <f t="shared" si="23"/>
        <v>0</v>
      </c>
      <c r="AA28" s="458">
        <f t="shared" si="60"/>
        <v>35320</v>
      </c>
      <c r="AB28" s="462">
        <f t="shared" si="19"/>
        <v>0</v>
      </c>
      <c r="AC28" s="458">
        <f t="shared" ref="AC28" si="61">AC27</f>
        <v>834917</v>
      </c>
      <c r="AD28" s="462">
        <f t="shared" si="37"/>
        <v>0</v>
      </c>
      <c r="AE28" s="485">
        <f t="shared" si="10"/>
        <v>0</v>
      </c>
      <c r="AF28" s="486">
        <f t="shared" si="11"/>
        <v>0</v>
      </c>
      <c r="AG28" s="478">
        <f t="shared" si="30"/>
        <v>0</v>
      </c>
      <c r="AI28" s="479">
        <f>R28-'EDl log'!B26</f>
        <v>-144480</v>
      </c>
    </row>
    <row r="29" spans="1:35">
      <c r="A29" s="470">
        <f>'General information '!F32</f>
        <v>0</v>
      </c>
      <c r="B29" s="464">
        <f>SUM(230*A29)</f>
        <v>0</v>
      </c>
      <c r="C29" s="471">
        <v>44039</v>
      </c>
      <c r="D29" s="458">
        <f t="shared" si="38"/>
        <v>31955118</v>
      </c>
      <c r="E29" s="319">
        <f t="shared" si="12"/>
        <v>0</v>
      </c>
      <c r="F29" s="458">
        <f t="shared" si="38"/>
        <v>3773880</v>
      </c>
      <c r="G29" s="320">
        <f t="shared" si="0"/>
        <v>0</v>
      </c>
      <c r="H29" s="458">
        <f t="shared" si="38"/>
        <v>17556730</v>
      </c>
      <c r="I29" s="320">
        <f t="shared" si="13"/>
        <v>0</v>
      </c>
      <c r="J29" s="458">
        <f t="shared" si="38"/>
        <v>28570926</v>
      </c>
      <c r="K29" s="320">
        <f t="shared" si="14"/>
        <v>0</v>
      </c>
      <c r="L29" s="458">
        <f t="shared" si="38"/>
        <v>23352798</v>
      </c>
      <c r="M29" s="320">
        <f t="shared" si="15"/>
        <v>0</v>
      </c>
      <c r="N29" s="318">
        <f t="shared" si="16"/>
        <v>0</v>
      </c>
      <c r="O29" s="480">
        <f t="shared" si="29"/>
        <v>0</v>
      </c>
      <c r="P29" s="458">
        <f t="shared" si="39"/>
        <v>15937</v>
      </c>
      <c r="Q29" s="462">
        <f t="shared" si="33"/>
        <v>0</v>
      </c>
      <c r="R29" s="462">
        <f t="shared" si="21"/>
        <v>0</v>
      </c>
      <c r="S29" s="458">
        <f t="shared" si="40"/>
        <v>9130</v>
      </c>
      <c r="T29" s="482">
        <f t="shared" si="3"/>
        <v>0</v>
      </c>
      <c r="U29" s="458">
        <f t="shared" si="41"/>
        <v>195258</v>
      </c>
      <c r="V29" s="462">
        <f t="shared" si="17"/>
        <v>0</v>
      </c>
      <c r="W29" s="458">
        <f t="shared" si="7"/>
        <v>31862</v>
      </c>
      <c r="X29" s="462">
        <f t="shared" si="27"/>
        <v>0</v>
      </c>
      <c r="Y29" s="458">
        <f t="shared" ref="Y29:AA29" si="62">Y28</f>
        <v>628067</v>
      </c>
      <c r="Z29" s="462">
        <f t="shared" si="23"/>
        <v>0</v>
      </c>
      <c r="AA29" s="458">
        <f t="shared" si="62"/>
        <v>35320</v>
      </c>
      <c r="AB29" s="462">
        <f t="shared" si="19"/>
        <v>0</v>
      </c>
      <c r="AC29" s="458">
        <f t="shared" ref="AC29" si="63">AC28</f>
        <v>834917</v>
      </c>
      <c r="AD29" s="462">
        <f t="shared" si="37"/>
        <v>0</v>
      </c>
      <c r="AE29" s="485">
        <f t="shared" si="10"/>
        <v>0</v>
      </c>
      <c r="AF29" s="486">
        <f t="shared" si="11"/>
        <v>0</v>
      </c>
      <c r="AG29" s="478">
        <f t="shared" si="30"/>
        <v>0</v>
      </c>
      <c r="AI29" s="479">
        <f>R29-'EDl log'!B27</f>
        <v>-144480</v>
      </c>
    </row>
    <row r="30" spans="1:35">
      <c r="A30" s="470">
        <f>'General information '!F33</f>
        <v>0</v>
      </c>
      <c r="B30" s="464">
        <f t="shared" si="6"/>
        <v>0</v>
      </c>
      <c r="C30" s="471">
        <v>44040</v>
      </c>
      <c r="D30" s="458">
        <f t="shared" si="38"/>
        <v>31955118</v>
      </c>
      <c r="E30" s="319">
        <f t="shared" si="12"/>
        <v>0</v>
      </c>
      <c r="F30" s="458">
        <f t="shared" si="38"/>
        <v>3773880</v>
      </c>
      <c r="G30" s="320">
        <f t="shared" si="0"/>
        <v>0</v>
      </c>
      <c r="H30" s="458">
        <f t="shared" si="38"/>
        <v>17556730</v>
      </c>
      <c r="I30" s="320">
        <f t="shared" si="13"/>
        <v>0</v>
      </c>
      <c r="J30" s="458">
        <f t="shared" si="38"/>
        <v>28570926</v>
      </c>
      <c r="K30" s="320">
        <f t="shared" si="14"/>
        <v>0</v>
      </c>
      <c r="L30" s="458">
        <f t="shared" si="38"/>
        <v>23352798</v>
      </c>
      <c r="M30" s="320">
        <f t="shared" si="15"/>
        <v>0</v>
      </c>
      <c r="N30" s="318">
        <f t="shared" si="16"/>
        <v>0</v>
      </c>
      <c r="O30" s="480">
        <f t="shared" si="29"/>
        <v>0</v>
      </c>
      <c r="P30" s="458">
        <f t="shared" si="39"/>
        <v>15937</v>
      </c>
      <c r="Q30" s="462">
        <f t="shared" si="33"/>
        <v>0</v>
      </c>
      <c r="R30" s="462">
        <f t="shared" si="21"/>
        <v>0</v>
      </c>
      <c r="S30" s="458">
        <f t="shared" si="40"/>
        <v>9130</v>
      </c>
      <c r="T30" s="482">
        <f t="shared" si="3"/>
        <v>0</v>
      </c>
      <c r="U30" s="458">
        <f t="shared" si="41"/>
        <v>195258</v>
      </c>
      <c r="V30" s="462">
        <f t="shared" si="17"/>
        <v>0</v>
      </c>
      <c r="W30" s="458">
        <f t="shared" si="7"/>
        <v>31862</v>
      </c>
      <c r="X30" s="483">
        <f t="shared" si="27"/>
        <v>0</v>
      </c>
      <c r="Y30" s="458">
        <f t="shared" ref="Y30:AA30" si="64">Y29</f>
        <v>628067</v>
      </c>
      <c r="Z30" s="462">
        <f t="shared" si="23"/>
        <v>0</v>
      </c>
      <c r="AA30" s="458">
        <f t="shared" si="64"/>
        <v>35320</v>
      </c>
      <c r="AB30" s="462">
        <f t="shared" si="19"/>
        <v>0</v>
      </c>
      <c r="AC30" s="458">
        <f t="shared" ref="AC30" si="65">AC29</f>
        <v>834917</v>
      </c>
      <c r="AD30" s="462">
        <f t="shared" si="37"/>
        <v>0</v>
      </c>
      <c r="AE30" s="485">
        <f t="shared" si="10"/>
        <v>0</v>
      </c>
      <c r="AF30" s="486">
        <f t="shared" si="11"/>
        <v>0</v>
      </c>
      <c r="AG30" s="478">
        <f t="shared" si="30"/>
        <v>0</v>
      </c>
      <c r="AI30" s="479">
        <f>R30-'EDl log'!B28</f>
        <v>-144480</v>
      </c>
    </row>
    <row r="31" spans="1:35">
      <c r="A31" s="470">
        <f>'General information '!F34</f>
        <v>0</v>
      </c>
      <c r="B31" s="464">
        <f t="shared" si="6"/>
        <v>0</v>
      </c>
      <c r="C31" s="471">
        <v>44041</v>
      </c>
      <c r="D31" s="458">
        <f t="shared" si="38"/>
        <v>31955118</v>
      </c>
      <c r="E31" s="319">
        <f t="shared" si="12"/>
        <v>0</v>
      </c>
      <c r="F31" s="458">
        <f t="shared" si="38"/>
        <v>3773880</v>
      </c>
      <c r="G31" s="320">
        <f t="shared" si="0"/>
        <v>0</v>
      </c>
      <c r="H31" s="458">
        <f t="shared" si="38"/>
        <v>17556730</v>
      </c>
      <c r="I31" s="320">
        <f t="shared" si="13"/>
        <v>0</v>
      </c>
      <c r="J31" s="458">
        <f t="shared" si="38"/>
        <v>28570926</v>
      </c>
      <c r="K31" s="320">
        <f t="shared" si="14"/>
        <v>0</v>
      </c>
      <c r="L31" s="458">
        <f t="shared" si="38"/>
        <v>23352798</v>
      </c>
      <c r="M31" s="320">
        <f t="shared" si="15"/>
        <v>0</v>
      </c>
      <c r="N31" s="318">
        <f t="shared" si="16"/>
        <v>0</v>
      </c>
      <c r="O31" s="480">
        <f t="shared" si="29"/>
        <v>0</v>
      </c>
      <c r="P31" s="458">
        <f t="shared" si="39"/>
        <v>15937</v>
      </c>
      <c r="Q31" s="462">
        <f t="shared" si="33"/>
        <v>0</v>
      </c>
      <c r="R31" s="462">
        <f t="shared" si="21"/>
        <v>0</v>
      </c>
      <c r="S31" s="458">
        <f t="shared" si="40"/>
        <v>9130</v>
      </c>
      <c r="T31" s="482">
        <f t="shared" si="3"/>
        <v>0</v>
      </c>
      <c r="U31" s="458">
        <f t="shared" si="41"/>
        <v>195258</v>
      </c>
      <c r="V31" s="462">
        <f t="shared" si="17"/>
        <v>0</v>
      </c>
      <c r="W31" s="458">
        <f t="shared" si="7"/>
        <v>31862</v>
      </c>
      <c r="X31" s="483">
        <f t="shared" si="27"/>
        <v>0</v>
      </c>
      <c r="Y31" s="458">
        <f t="shared" ref="Y31:AA31" si="66">Y30</f>
        <v>628067</v>
      </c>
      <c r="Z31" s="484">
        <f>Y31-Y30</f>
        <v>0</v>
      </c>
      <c r="AA31" s="458">
        <f t="shared" si="66"/>
        <v>35320</v>
      </c>
      <c r="AB31" s="462">
        <f t="shared" si="19"/>
        <v>0</v>
      </c>
      <c r="AC31" s="458">
        <f t="shared" ref="AC31" si="67">AC30</f>
        <v>834917</v>
      </c>
      <c r="AD31" s="462">
        <f t="shared" si="37"/>
        <v>0</v>
      </c>
      <c r="AE31" s="485">
        <f t="shared" si="10"/>
        <v>0</v>
      </c>
      <c r="AF31" s="486">
        <f t="shared" si="11"/>
        <v>0</v>
      </c>
      <c r="AG31" s="478">
        <f t="shared" si="30"/>
        <v>0</v>
      </c>
      <c r="AI31" s="479">
        <f>R31-'EDl log'!B29</f>
        <v>-144480</v>
      </c>
    </row>
    <row r="32" spans="1:35">
      <c r="A32" s="470">
        <f>'General information '!F35</f>
        <v>0</v>
      </c>
      <c r="B32" s="464">
        <f>SUM(230*A32)</f>
        <v>0</v>
      </c>
      <c r="C32" s="471">
        <v>44042</v>
      </c>
      <c r="D32" s="458">
        <f t="shared" si="38"/>
        <v>31955118</v>
      </c>
      <c r="E32" s="319">
        <f t="shared" si="12"/>
        <v>0</v>
      </c>
      <c r="F32" s="458">
        <f t="shared" si="38"/>
        <v>3773880</v>
      </c>
      <c r="G32" s="320">
        <f>F32-F31</f>
        <v>0</v>
      </c>
      <c r="H32" s="458">
        <f t="shared" si="38"/>
        <v>17556730</v>
      </c>
      <c r="I32" s="320">
        <f>H32-H31</f>
        <v>0</v>
      </c>
      <c r="J32" s="458">
        <f t="shared" si="38"/>
        <v>28570926</v>
      </c>
      <c r="K32" s="320">
        <f>J32-J31</f>
        <v>0</v>
      </c>
      <c r="L32" s="458">
        <f t="shared" si="38"/>
        <v>23352798</v>
      </c>
      <c r="M32" s="320">
        <f>L32-L31</f>
        <v>0</v>
      </c>
      <c r="N32" s="318">
        <f>M32+K32+I32+G32+E32</f>
        <v>0</v>
      </c>
      <c r="O32" s="480">
        <f t="shared" si="29"/>
        <v>0</v>
      </c>
      <c r="P32" s="458">
        <f t="shared" si="39"/>
        <v>15937</v>
      </c>
      <c r="Q32" s="462">
        <f>(P32-P31)*1000</f>
        <v>0</v>
      </c>
      <c r="R32" s="462">
        <f>N32-Q32</f>
        <v>0</v>
      </c>
      <c r="S32" s="458">
        <f t="shared" si="40"/>
        <v>9130</v>
      </c>
      <c r="T32" s="482">
        <f t="shared" si="3"/>
        <v>0</v>
      </c>
      <c r="U32" s="458">
        <f t="shared" si="41"/>
        <v>195258</v>
      </c>
      <c r="V32" s="462">
        <f t="shared" si="17"/>
        <v>0</v>
      </c>
      <c r="W32" s="458">
        <f t="shared" si="7"/>
        <v>31862</v>
      </c>
      <c r="X32" s="462">
        <f t="shared" si="27"/>
        <v>0</v>
      </c>
      <c r="Y32" s="458">
        <f t="shared" ref="Y32:AA32" si="68">Y31</f>
        <v>628067</v>
      </c>
      <c r="Z32" s="484">
        <f>Y32-Y31</f>
        <v>0</v>
      </c>
      <c r="AA32" s="458">
        <f t="shared" si="68"/>
        <v>35320</v>
      </c>
      <c r="AB32" s="462">
        <f t="shared" si="19"/>
        <v>0</v>
      </c>
      <c r="AC32" s="458">
        <f t="shared" ref="AC32" si="69">AC31</f>
        <v>834917</v>
      </c>
      <c r="AD32" s="462">
        <f t="shared" si="37"/>
        <v>0</v>
      </c>
      <c r="AE32" s="485">
        <f t="shared" si="10"/>
        <v>0</v>
      </c>
      <c r="AF32" s="486">
        <f>V32+Z32+AD32</f>
        <v>0</v>
      </c>
      <c r="AG32" s="478">
        <f t="shared" si="30"/>
        <v>0</v>
      </c>
      <c r="AI32" s="479">
        <f>R32-'EDl log'!B30</f>
        <v>-144480</v>
      </c>
    </row>
    <row r="33" spans="1:35">
      <c r="A33" s="470">
        <f>'General information '!F37</f>
        <v>0.104125</v>
      </c>
      <c r="B33" s="464">
        <f>SUM(230*A33)</f>
        <v>23.94875</v>
      </c>
      <c r="C33" s="471">
        <v>44043</v>
      </c>
      <c r="D33" s="458">
        <f t="shared" si="38"/>
        <v>31955118</v>
      </c>
      <c r="E33" s="319">
        <f t="shared" ref="E33" si="70">D33-D32</f>
        <v>0</v>
      </c>
      <c r="F33" s="458">
        <f t="shared" si="38"/>
        <v>3773880</v>
      </c>
      <c r="G33" s="320">
        <f>F33-F32</f>
        <v>0</v>
      </c>
      <c r="H33" s="458">
        <f t="shared" si="38"/>
        <v>17556730</v>
      </c>
      <c r="I33" s="320">
        <f>H33-H32</f>
        <v>0</v>
      </c>
      <c r="J33" s="458">
        <f t="shared" si="38"/>
        <v>28570926</v>
      </c>
      <c r="K33" s="320">
        <f>J33-J32</f>
        <v>0</v>
      </c>
      <c r="L33" s="458">
        <f t="shared" si="38"/>
        <v>23352798</v>
      </c>
      <c r="M33" s="320">
        <f>L33-L32</f>
        <v>0</v>
      </c>
      <c r="N33" s="318">
        <f>M33+K33+I33+G33+E33</f>
        <v>0</v>
      </c>
      <c r="O33" s="480">
        <f t="shared" ref="O33" si="71">IF(B33&gt;0,N33/B33,0)</f>
        <v>0</v>
      </c>
      <c r="P33" s="458">
        <f t="shared" si="39"/>
        <v>15937</v>
      </c>
      <c r="Q33" s="462">
        <f>(P33-P32)*1000</f>
        <v>0</v>
      </c>
      <c r="R33" s="462">
        <f>N33-Q33</f>
        <v>0</v>
      </c>
      <c r="S33" s="458">
        <f t="shared" si="40"/>
        <v>9130</v>
      </c>
      <c r="T33" s="482">
        <f t="shared" ref="T33" si="72">S33-S32</f>
        <v>0</v>
      </c>
      <c r="U33" s="458">
        <f t="shared" si="41"/>
        <v>195258</v>
      </c>
      <c r="V33" s="462">
        <f t="shared" ref="V33" si="73">U33-U32</f>
        <v>0</v>
      </c>
      <c r="W33" s="458">
        <f t="shared" si="7"/>
        <v>31862</v>
      </c>
      <c r="X33" s="462">
        <f t="shared" ref="X33" si="74">W33-W32</f>
        <v>0</v>
      </c>
      <c r="Y33" s="458">
        <f t="shared" ref="Y33:AA33" si="75">Y32</f>
        <v>628067</v>
      </c>
      <c r="Z33" s="484">
        <f>Y33-Y32</f>
        <v>0</v>
      </c>
      <c r="AA33" s="458">
        <f t="shared" si="75"/>
        <v>35320</v>
      </c>
      <c r="AB33" s="462">
        <f t="shared" ref="AB33" si="76">AA33-AA32</f>
        <v>0</v>
      </c>
      <c r="AC33" s="458">
        <f t="shared" ref="AC33" si="77">AC32</f>
        <v>834917</v>
      </c>
      <c r="AD33" s="462">
        <f t="shared" ref="AD33" si="78">AC33-AC32</f>
        <v>0</v>
      </c>
      <c r="AE33" s="485">
        <f t="shared" ref="AE33" si="79">AB33+X33+T33</f>
        <v>0</v>
      </c>
      <c r="AF33" s="486">
        <f>V33+Z33+AD33</f>
        <v>0</v>
      </c>
      <c r="AG33" s="478">
        <f t="shared" ref="AG33" si="80">IF(AE33&gt;0,AF33/AE33,0)</f>
        <v>0</v>
      </c>
      <c r="AI33" s="479">
        <f>R33-'EDl log'!B31</f>
        <v>-144480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E1" zoomScale="90" zoomScaleNormal="90" workbookViewId="0">
      <pane ySplit="1" topLeftCell="A2" activePane="bottomLeft" state="frozen"/>
      <selection activeCell="K1" sqref="K1"/>
      <selection pane="bottomLeft" activeCell="AW21" sqref="AW21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20" t="s">
        <v>2</v>
      </c>
      <c r="G1" s="621"/>
      <c r="H1" s="621"/>
      <c r="I1" s="622"/>
      <c r="J1" s="290">
        <f>J36</f>
        <v>71.527777777777786</v>
      </c>
      <c r="K1" s="623" t="s">
        <v>4</v>
      </c>
      <c r="L1" s="624"/>
      <c r="M1" s="624"/>
      <c r="N1" s="624"/>
      <c r="O1" s="625"/>
      <c r="P1" s="614" t="s">
        <v>6</v>
      </c>
      <c r="Q1" s="615"/>
      <c r="R1" s="615"/>
      <c r="S1" s="615"/>
      <c r="T1" s="616"/>
      <c r="U1" s="407"/>
      <c r="V1" s="27" t="s">
        <v>104</v>
      </c>
      <c r="W1" s="408"/>
      <c r="X1" s="614" t="s">
        <v>8</v>
      </c>
      <c r="Y1" s="615"/>
      <c r="Z1" s="615"/>
      <c r="AA1" s="615"/>
      <c r="AB1" s="615"/>
      <c r="AC1" s="617" t="s">
        <v>10</v>
      </c>
      <c r="AD1" s="618"/>
      <c r="AE1" s="618"/>
      <c r="AF1" s="619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224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12"/>
      <c r="R2" s="613"/>
      <c r="S2" s="52" t="s">
        <v>7</v>
      </c>
      <c r="T2" s="53"/>
      <c r="U2" s="411" t="s">
        <v>384</v>
      </c>
      <c r="V2" s="54" t="s">
        <v>103</v>
      </c>
      <c r="W2" s="409"/>
      <c r="X2" s="55" t="s">
        <v>8</v>
      </c>
      <c r="Y2" s="46" t="s">
        <v>9</v>
      </c>
      <c r="Z2" s="400" t="s">
        <v>380</v>
      </c>
      <c r="AA2" s="401" t="s">
        <v>381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44012</v>
      </c>
      <c r="B4" s="405">
        <f>[1]B5!B34</f>
        <v>140</v>
      </c>
      <c r="C4" s="405">
        <f>[1]B5!C34</f>
        <v>147</v>
      </c>
      <c r="D4" s="405">
        <f>[1]B5!D34</f>
        <v>11</v>
      </c>
      <c r="E4" s="405">
        <f>[1]B5!E34</f>
        <v>92.18</v>
      </c>
      <c r="F4" s="405">
        <f>[1]B5!F34</f>
        <v>1602</v>
      </c>
      <c r="G4" s="405">
        <f>[1]B5!G34</f>
        <v>1</v>
      </c>
      <c r="H4" s="405">
        <f>[1]B5!H34</f>
        <v>354323</v>
      </c>
      <c r="I4" s="405">
        <f>[1]B5!I34</f>
        <v>50</v>
      </c>
      <c r="J4" s="405">
        <f>[1]B5!J34</f>
        <v>50</v>
      </c>
      <c r="K4" s="405">
        <f>[1]B5!K34</f>
        <v>2069</v>
      </c>
      <c r="L4" s="405">
        <f>[1]B5!L34</f>
        <v>3</v>
      </c>
      <c r="M4" s="405">
        <f>[1]B5!M34</f>
        <v>151781</v>
      </c>
      <c r="N4" s="405">
        <f>[1]B5!N34</f>
        <v>193</v>
      </c>
      <c r="O4" s="405">
        <f>[1]B5!O34</f>
        <v>211.87499999999994</v>
      </c>
      <c r="P4" s="405">
        <f>[1]B5!P34</f>
        <v>1807</v>
      </c>
      <c r="Q4" s="405">
        <f>[1]B5!Q34</f>
        <v>153299</v>
      </c>
      <c r="R4" s="405">
        <f>[1]B5!R34</f>
        <v>117</v>
      </c>
      <c r="S4" s="405">
        <f>[1]B5!S34</f>
        <v>1</v>
      </c>
      <c r="T4" s="405">
        <f>[1]B5!T34</f>
        <v>0</v>
      </c>
      <c r="U4" s="405">
        <f>[1]B5!U34</f>
        <v>5</v>
      </c>
      <c r="V4" s="405">
        <f>[1]B5!V34</f>
        <v>360</v>
      </c>
      <c r="W4" s="405">
        <f>[1]B5!W34</f>
        <v>0</v>
      </c>
      <c r="X4" s="405">
        <f>[1]B5!X34</f>
        <v>2418</v>
      </c>
      <c r="Y4" s="405">
        <f>[1]B5!Y34</f>
        <v>0</v>
      </c>
      <c r="Z4" s="405">
        <f>[1]B5!Z34</f>
        <v>135964.1</v>
      </c>
      <c r="AA4" s="405">
        <f>[1]B5!AA34</f>
        <v>0</v>
      </c>
      <c r="AB4" s="405">
        <f>[1]B5!AB34</f>
        <v>0</v>
      </c>
      <c r="AC4" s="405">
        <f>[1]B5!AC34</f>
        <v>1857</v>
      </c>
      <c r="AD4" s="405">
        <f>[1]B5!AD34</f>
        <v>0</v>
      </c>
      <c r="AE4" s="405">
        <f>[1]B5!AE34</f>
        <v>360818</v>
      </c>
      <c r="AF4" s="405">
        <f>[1]B5!AF34</f>
        <v>0</v>
      </c>
      <c r="AG4" s="405">
        <f>[1]B5!AG34</f>
        <v>0</v>
      </c>
      <c r="AH4" s="405">
        <f>[1]B5!AH34</f>
        <v>0</v>
      </c>
      <c r="AI4" s="405">
        <f>[1]B5!AI34</f>
        <v>360</v>
      </c>
      <c r="AJ4" s="405">
        <f>[1]B5!AJ34</f>
        <v>360</v>
      </c>
      <c r="AK4" s="405">
        <f>[1]B5!AK34</f>
        <v>0</v>
      </c>
      <c r="AL4" s="405">
        <f>[1]B5!AL34</f>
        <v>5</v>
      </c>
      <c r="AM4" s="405">
        <f>[1]B5!AM34</f>
        <v>0</v>
      </c>
      <c r="AN4" s="405">
        <f>[1]B5!AN34</f>
        <v>70</v>
      </c>
      <c r="AO4" s="405">
        <f>[1]B5!AO34</f>
        <v>2100</v>
      </c>
      <c r="AP4" s="405">
        <f>[1]B5!AP34</f>
        <v>77</v>
      </c>
      <c r="AQ4" s="405">
        <f>[1]B5!AQ34</f>
        <v>2310</v>
      </c>
      <c r="AR4" s="405">
        <f>[1]B5!AR34</f>
        <v>77</v>
      </c>
      <c r="AS4" s="405">
        <f>[1]B5!AS34</f>
        <v>2310</v>
      </c>
      <c r="AT4" s="405">
        <f>[1]B5!AT34</f>
        <v>6720</v>
      </c>
      <c r="AU4" s="405">
        <f>[1]B5!AU34</f>
        <v>150</v>
      </c>
      <c r="AV4" s="405">
        <f>[1]B5!AV34</f>
        <v>0</v>
      </c>
      <c r="AW4" s="405">
        <f>[1]B5!AW34</f>
        <v>0</v>
      </c>
      <c r="AX4" s="405">
        <f>[1]B5!AX34</f>
        <v>0.7</v>
      </c>
    </row>
    <row r="5" spans="1:52">
      <c r="A5" s="63">
        <f>ELEC!C3</f>
        <v>44013</v>
      </c>
      <c r="B5" s="64">
        <v>183</v>
      </c>
      <c r="C5" s="64">
        <v>190</v>
      </c>
      <c r="D5" s="45">
        <f>C4-C5</f>
        <v>-43</v>
      </c>
      <c r="E5" s="45">
        <f>D5*8.38</f>
        <v>-360.34000000000003</v>
      </c>
      <c r="F5" s="64">
        <v>1605</v>
      </c>
      <c r="G5" s="52">
        <f t="shared" ref="G5:G34" si="0">F5-F4</f>
        <v>3</v>
      </c>
      <c r="H5" s="64">
        <v>354564</v>
      </c>
      <c r="I5" s="406">
        <f t="shared" ref="I5:I34" si="1">SUM(H5-H4)</f>
        <v>241</v>
      </c>
      <c r="J5" s="66">
        <v>1</v>
      </c>
      <c r="K5" s="64">
        <f>K4</f>
        <v>2069</v>
      </c>
      <c r="L5" s="52">
        <f t="shared" ref="L5:L34" si="2">K5-K4</f>
        <v>0</v>
      </c>
      <c r="M5" s="64">
        <f>M4</f>
        <v>151781</v>
      </c>
      <c r="N5" s="406">
        <f t="shared" ref="N5:N34" si="3">M5-M4</f>
        <v>0</v>
      </c>
      <c r="O5" s="64">
        <f>O4</f>
        <v>211.87499999999994</v>
      </c>
      <c r="P5" s="64">
        <v>1809</v>
      </c>
      <c r="Q5" s="64">
        <v>153475</v>
      </c>
      <c r="R5" s="405">
        <f t="shared" ref="R5:R10" si="4">Q5-Q4</f>
        <v>176</v>
      </c>
      <c r="S5" s="52">
        <f t="shared" ref="S5:S34" si="5">SUM(P5-P4)</f>
        <v>2</v>
      </c>
      <c r="T5" s="67">
        <f>SUM(S5*$T$2)</f>
        <v>0</v>
      </c>
      <c r="U5" s="412">
        <f>SUM(G5+L5+S5)</f>
        <v>5</v>
      </c>
      <c r="V5" s="62">
        <f>R5+N5+I5:I5</f>
        <v>417</v>
      </c>
      <c r="W5" s="410">
        <f>SUM(V5/U5)</f>
        <v>83.4</v>
      </c>
      <c r="X5" s="64">
        <v>2418</v>
      </c>
      <c r="Y5" s="52">
        <f>X5-X4</f>
        <v>0</v>
      </c>
      <c r="Z5" s="64">
        <f>Z4</f>
        <v>135964.1</v>
      </c>
      <c r="AA5" s="65">
        <f t="shared" ref="AA5:AA34" si="6">Z5-Z4</f>
        <v>0</v>
      </c>
      <c r="AB5" s="292">
        <f>SUM(Y5*$AB$2)</f>
        <v>0</v>
      </c>
      <c r="AC5" s="64">
        <f>AC4</f>
        <v>1857</v>
      </c>
      <c r="AD5" s="45">
        <f t="shared" ref="AD5:AD34" si="7">AC5-AC4</f>
        <v>0</v>
      </c>
      <c r="AE5" s="64">
        <f>AE4</f>
        <v>360818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417</v>
      </c>
      <c r="AJ5" s="326">
        <f>-tanks!AW6</f>
        <v>417</v>
      </c>
      <c r="AK5" s="326">
        <f>SUM(AJ5-AI5)</f>
        <v>0</v>
      </c>
      <c r="AL5" s="326">
        <f t="shared" ref="AL5:AL18" si="8">S5+L5+G5</f>
        <v>5</v>
      </c>
      <c r="AM5" s="326">
        <f>Y5+AD5</f>
        <v>0</v>
      </c>
      <c r="AN5" s="64">
        <v>69</v>
      </c>
      <c r="AO5" s="328">
        <f>(AN5/100)*3000</f>
        <v>2070</v>
      </c>
      <c r="AP5" s="64">
        <v>76</v>
      </c>
      <c r="AQ5" s="328">
        <f>(AP5/100)*3000</f>
        <v>2280</v>
      </c>
      <c r="AR5" s="64">
        <v>76</v>
      </c>
      <c r="AS5" s="328">
        <f>(AR5/100)*3000</f>
        <v>2280</v>
      </c>
      <c r="AT5" s="328">
        <f>SUM(AO5+AQ5+AS5)</f>
        <v>6630</v>
      </c>
      <c r="AU5" s="328">
        <f>AT4-AT5+AV5</f>
        <v>90</v>
      </c>
      <c r="AV5" s="275"/>
      <c r="AW5" s="275"/>
      <c r="AX5" s="321">
        <f>IF(AV5&gt;0,AW5,AX4)</f>
        <v>0.7</v>
      </c>
    </row>
    <row r="6" spans="1:52">
      <c r="A6" s="63">
        <f>ELEC!C4</f>
        <v>44014</v>
      </c>
      <c r="B6" s="64">
        <v>165</v>
      </c>
      <c r="C6" s="64">
        <v>172</v>
      </c>
      <c r="D6" s="45">
        <f>C5-C6</f>
        <v>18</v>
      </c>
      <c r="E6" s="45">
        <f t="shared" ref="E6:E31" si="9">D6*8.38</f>
        <v>150.84</v>
      </c>
      <c r="F6" s="64">
        <f t="shared" ref="F6:H35" si="10">F5</f>
        <v>1605</v>
      </c>
      <c r="G6" s="52">
        <f t="shared" si="0"/>
        <v>0</v>
      </c>
      <c r="H6" s="64">
        <f t="shared" si="10"/>
        <v>354564</v>
      </c>
      <c r="I6" s="406">
        <f t="shared" si="1"/>
        <v>0</v>
      </c>
      <c r="J6" s="66">
        <f t="shared" ref="J6:J34" si="11">IF(G6&gt;0,I6/G6,0)</f>
        <v>0</v>
      </c>
      <c r="K6" s="64">
        <f t="shared" ref="K6:P35" si="12">K5</f>
        <v>2069</v>
      </c>
      <c r="L6" s="52">
        <f t="shared" si="2"/>
        <v>0</v>
      </c>
      <c r="M6" s="64">
        <f t="shared" ref="M6" si="13">M5</f>
        <v>151781</v>
      </c>
      <c r="N6" s="406">
        <f t="shared" si="3"/>
        <v>0</v>
      </c>
      <c r="O6" s="64">
        <f t="shared" si="12"/>
        <v>211.87499999999994</v>
      </c>
      <c r="P6" s="64">
        <v>1815</v>
      </c>
      <c r="Q6" s="64">
        <v>153940</v>
      </c>
      <c r="R6" s="405">
        <f t="shared" si="4"/>
        <v>465</v>
      </c>
      <c r="S6" s="52">
        <f t="shared" si="5"/>
        <v>6</v>
      </c>
      <c r="T6" s="67">
        <f>SUM(S6*$T$2)</f>
        <v>0</v>
      </c>
      <c r="U6" s="412">
        <f t="shared" ref="U6:U34" si="14">SUM(G6+L6+S6)</f>
        <v>6</v>
      </c>
      <c r="V6" s="62">
        <f t="shared" ref="V6:V34" si="15">R6+N6+I6:I6</f>
        <v>465</v>
      </c>
      <c r="W6" s="410">
        <f t="shared" ref="W6:W16" si="16">SUM(V6/U6)</f>
        <v>77.5</v>
      </c>
      <c r="X6" s="64">
        <f t="shared" ref="X6:Z35" si="17">X5</f>
        <v>2418</v>
      </c>
      <c r="Y6" s="52">
        <f t="shared" ref="Y6:Y34" si="18">X6-X5</f>
        <v>0</v>
      </c>
      <c r="Z6" s="64">
        <f t="shared" si="17"/>
        <v>135964.1</v>
      </c>
      <c r="AA6" s="65">
        <f t="shared" si="6"/>
        <v>0</v>
      </c>
      <c r="AB6" s="292">
        <f>SUM(Y6*$AB$2)</f>
        <v>0</v>
      </c>
      <c r="AC6" s="64">
        <v>1862</v>
      </c>
      <c r="AD6" s="45">
        <f t="shared" si="7"/>
        <v>5</v>
      </c>
      <c r="AE6" s="64">
        <v>361088</v>
      </c>
      <c r="AF6" s="314">
        <f t="shared" ref="AF6:AF34" si="19">AE6-AE5</f>
        <v>270</v>
      </c>
      <c r="AG6" s="212">
        <f>IF(AD6&gt;0,AF6/AD6,0)</f>
        <v>54</v>
      </c>
      <c r="AH6" s="62">
        <f>AF6+AA6</f>
        <v>270</v>
      </c>
      <c r="AI6" s="326">
        <f t="shared" ref="AI6:AI34" si="20">SUM(AH6+V6)</f>
        <v>735</v>
      </c>
      <c r="AJ6" s="326">
        <f>-tanks!AW7</f>
        <v>735</v>
      </c>
      <c r="AK6" s="326">
        <f t="shared" ref="AK6:AK34" si="21">SUM(AJ6-AI6)</f>
        <v>0</v>
      </c>
      <c r="AL6" s="326">
        <f t="shared" si="8"/>
        <v>6</v>
      </c>
      <c r="AM6" s="326">
        <f t="shared" ref="AM6:AM33" si="22">Y6+AD6</f>
        <v>5</v>
      </c>
      <c r="AN6" s="64">
        <v>80</v>
      </c>
      <c r="AO6" s="328">
        <f t="shared" ref="AO6:AO26" si="23">(AN6/100)*3000</f>
        <v>2400</v>
      </c>
      <c r="AP6" s="64">
        <v>80</v>
      </c>
      <c r="AQ6" s="328">
        <f t="shared" ref="AQ6:AQ24" si="24">(AP6/100)*3000</f>
        <v>2400</v>
      </c>
      <c r="AR6" s="64">
        <v>81</v>
      </c>
      <c r="AS6" s="328">
        <f>(AR6/100)*3000</f>
        <v>2430</v>
      </c>
      <c r="AT6" s="328">
        <f>SUM(AO6+AQ6+AS6)</f>
        <v>7230</v>
      </c>
      <c r="AU6" s="328">
        <f>AT5-AT6+AV6</f>
        <v>400</v>
      </c>
      <c r="AV6" s="275">
        <v>1000</v>
      </c>
      <c r="AW6" s="275">
        <v>0.7</v>
      </c>
      <c r="AX6" s="321">
        <f t="shared" ref="AX6:AX34" si="25">IF(AV6&gt;0,AW6,AX5)</f>
        <v>0.7</v>
      </c>
    </row>
    <row r="7" spans="1:52">
      <c r="A7" s="63">
        <f>ELEC!C5</f>
        <v>44015</v>
      </c>
      <c r="B7" s="64">
        <v>149</v>
      </c>
      <c r="C7" s="64">
        <v>158</v>
      </c>
      <c r="D7" s="45">
        <f t="shared" ref="D7:D34" si="26">C6-C7</f>
        <v>14</v>
      </c>
      <c r="E7" s="45">
        <f t="shared" si="9"/>
        <v>117.32000000000001</v>
      </c>
      <c r="F7" s="64">
        <v>1608</v>
      </c>
      <c r="G7" s="52">
        <f t="shared" si="0"/>
        <v>3</v>
      </c>
      <c r="H7" s="64">
        <v>354815</v>
      </c>
      <c r="I7" s="406">
        <f t="shared" si="1"/>
        <v>251</v>
      </c>
      <c r="J7" s="66">
        <f t="shared" si="11"/>
        <v>83.666666666666671</v>
      </c>
      <c r="K7" s="64">
        <f t="shared" si="12"/>
        <v>2069</v>
      </c>
      <c r="L7" s="52">
        <f t="shared" si="2"/>
        <v>0</v>
      </c>
      <c r="M7" s="64">
        <f t="shared" ref="M7" si="27">M6</f>
        <v>151781</v>
      </c>
      <c r="N7" s="406">
        <f t="shared" si="3"/>
        <v>0</v>
      </c>
      <c r="O7" s="64">
        <f t="shared" si="12"/>
        <v>211.87499999999994</v>
      </c>
      <c r="P7" s="64">
        <v>1817</v>
      </c>
      <c r="Q7" s="64">
        <v>154077</v>
      </c>
      <c r="R7" s="405">
        <f t="shared" si="4"/>
        <v>137</v>
      </c>
      <c r="S7" s="52">
        <f t="shared" si="5"/>
        <v>2</v>
      </c>
      <c r="T7" s="67">
        <f t="shared" ref="T7:T34" si="28">SUM(S7*$T$2)</f>
        <v>0</v>
      </c>
      <c r="U7" s="412">
        <f t="shared" si="14"/>
        <v>5</v>
      </c>
      <c r="V7" s="62">
        <f t="shared" si="15"/>
        <v>388</v>
      </c>
      <c r="W7" s="410">
        <f t="shared" si="16"/>
        <v>77.599999999999994</v>
      </c>
      <c r="X7" s="64">
        <f t="shared" si="17"/>
        <v>2418</v>
      </c>
      <c r="Y7" s="52">
        <f t="shared" si="18"/>
        <v>0</v>
      </c>
      <c r="Z7" s="64">
        <f t="shared" si="17"/>
        <v>135964.1</v>
      </c>
      <c r="AA7" s="65">
        <f t="shared" si="6"/>
        <v>0</v>
      </c>
      <c r="AB7" s="292">
        <f t="shared" ref="AB7:AB17" si="29">SUM(Y7*$AB$2)</f>
        <v>0</v>
      </c>
      <c r="AC7" s="64">
        <f t="shared" ref="AC7:AE7" si="30">AC6</f>
        <v>1862</v>
      </c>
      <c r="AD7" s="45">
        <f t="shared" si="7"/>
        <v>0</v>
      </c>
      <c r="AE7" s="64">
        <f t="shared" si="30"/>
        <v>361088</v>
      </c>
      <c r="AF7" s="314">
        <f t="shared" si="19"/>
        <v>0</v>
      </c>
      <c r="AG7" s="212">
        <f t="shared" ref="AG7:AG34" si="31">IF(AD7&gt;0,AF7/AD7,0)</f>
        <v>0</v>
      </c>
      <c r="AH7" s="62">
        <f t="shared" ref="AH7:AH34" si="32">AF7+AA7</f>
        <v>0</v>
      </c>
      <c r="AI7" s="326">
        <f t="shared" si="20"/>
        <v>388</v>
      </c>
      <c r="AJ7" s="326">
        <f>-tanks!AW8</f>
        <v>388</v>
      </c>
      <c r="AK7" s="326">
        <f t="shared" si="21"/>
        <v>0</v>
      </c>
      <c r="AL7" s="326">
        <f t="shared" si="8"/>
        <v>5</v>
      </c>
      <c r="AM7" s="326">
        <f t="shared" si="22"/>
        <v>0</v>
      </c>
      <c r="AN7" s="64">
        <v>78</v>
      </c>
      <c r="AO7" s="328">
        <f t="shared" si="23"/>
        <v>2340</v>
      </c>
      <c r="AP7" s="64">
        <v>79</v>
      </c>
      <c r="AQ7" s="328">
        <f t="shared" si="24"/>
        <v>2370</v>
      </c>
      <c r="AR7" s="64">
        <v>78</v>
      </c>
      <c r="AS7" s="328">
        <f t="shared" ref="AS7:AS34" si="33">(AR7/100)*3000</f>
        <v>2340</v>
      </c>
      <c r="AT7" s="328">
        <f t="shared" ref="AT7:AT23" si="34">SUM(AO7+AQ7+AS7)</f>
        <v>7050</v>
      </c>
      <c r="AU7" s="328">
        <f t="shared" ref="AU7:AU34" si="35">AT6-AT7+AV7</f>
        <v>180</v>
      </c>
      <c r="AV7" s="275"/>
      <c r="AW7" s="275"/>
      <c r="AX7" s="321">
        <f t="shared" si="25"/>
        <v>0.7</v>
      </c>
      <c r="AZ7" s="42" t="s">
        <v>416</v>
      </c>
    </row>
    <row r="8" spans="1:52">
      <c r="A8" s="63">
        <f>ELEC!C6</f>
        <v>44016</v>
      </c>
      <c r="B8" s="64">
        <v>131</v>
      </c>
      <c r="C8" s="64">
        <v>141.5</v>
      </c>
      <c r="D8" s="45">
        <f t="shared" si="26"/>
        <v>16.5</v>
      </c>
      <c r="E8" s="45">
        <f t="shared" si="9"/>
        <v>138.27000000000001</v>
      </c>
      <c r="F8" s="64">
        <v>1611</v>
      </c>
      <c r="G8" s="52">
        <f t="shared" si="0"/>
        <v>3</v>
      </c>
      <c r="H8" s="64">
        <v>355017</v>
      </c>
      <c r="I8" s="406">
        <f t="shared" si="1"/>
        <v>202</v>
      </c>
      <c r="J8" s="66">
        <f t="shared" si="11"/>
        <v>67.333333333333329</v>
      </c>
      <c r="K8" s="64">
        <v>2070</v>
      </c>
      <c r="L8" s="52">
        <f t="shared" si="2"/>
        <v>1</v>
      </c>
      <c r="M8" s="64">
        <v>151864</v>
      </c>
      <c r="N8" s="406">
        <f t="shared" si="3"/>
        <v>83</v>
      </c>
      <c r="O8" s="64">
        <f t="shared" si="12"/>
        <v>211.87499999999994</v>
      </c>
      <c r="P8" s="64">
        <v>1819</v>
      </c>
      <c r="Q8" s="64">
        <v>154326</v>
      </c>
      <c r="R8" s="405">
        <f t="shared" si="4"/>
        <v>249</v>
      </c>
      <c r="S8" s="52">
        <f t="shared" si="5"/>
        <v>2</v>
      </c>
      <c r="T8" s="67">
        <f t="shared" si="28"/>
        <v>0</v>
      </c>
      <c r="U8" s="412">
        <f t="shared" si="14"/>
        <v>6</v>
      </c>
      <c r="V8" s="62">
        <f t="shared" si="15"/>
        <v>534</v>
      </c>
      <c r="W8" s="410">
        <f t="shared" si="16"/>
        <v>89</v>
      </c>
      <c r="X8" s="64">
        <f t="shared" si="17"/>
        <v>2418</v>
      </c>
      <c r="Y8" s="52">
        <f t="shared" si="18"/>
        <v>0</v>
      </c>
      <c r="Z8" s="64">
        <f t="shared" si="17"/>
        <v>135964.1</v>
      </c>
      <c r="AA8" s="65">
        <f t="shared" si="6"/>
        <v>0</v>
      </c>
      <c r="AB8" s="292">
        <f t="shared" si="29"/>
        <v>0</v>
      </c>
      <c r="AC8" s="64">
        <f t="shared" ref="AC8:AE8" si="36">AC7</f>
        <v>1862</v>
      </c>
      <c r="AD8" s="45">
        <f t="shared" si="7"/>
        <v>0</v>
      </c>
      <c r="AE8" s="64">
        <f t="shared" si="36"/>
        <v>361088</v>
      </c>
      <c r="AF8" s="314">
        <f t="shared" si="19"/>
        <v>0</v>
      </c>
      <c r="AG8" s="212">
        <f t="shared" si="31"/>
        <v>0</v>
      </c>
      <c r="AH8" s="62">
        <f t="shared" si="32"/>
        <v>0</v>
      </c>
      <c r="AI8" s="326">
        <f t="shared" si="20"/>
        <v>534</v>
      </c>
      <c r="AJ8" s="326">
        <f>-tanks!AW9</f>
        <v>534</v>
      </c>
      <c r="AK8" s="326">
        <f t="shared" si="21"/>
        <v>0</v>
      </c>
      <c r="AL8" s="326">
        <f t="shared" si="8"/>
        <v>6</v>
      </c>
      <c r="AM8" s="326">
        <f t="shared" si="22"/>
        <v>0</v>
      </c>
      <c r="AN8" s="64">
        <v>78</v>
      </c>
      <c r="AO8" s="328">
        <f t="shared" si="23"/>
        <v>2340</v>
      </c>
      <c r="AP8" s="64">
        <v>79</v>
      </c>
      <c r="AQ8" s="328">
        <f t="shared" si="24"/>
        <v>2370</v>
      </c>
      <c r="AR8" s="64">
        <v>77</v>
      </c>
      <c r="AS8" s="328">
        <f t="shared" si="33"/>
        <v>2310</v>
      </c>
      <c r="AT8" s="328">
        <f t="shared" si="34"/>
        <v>7020</v>
      </c>
      <c r="AU8" s="328">
        <f t="shared" si="35"/>
        <v>30</v>
      </c>
      <c r="AV8" s="275"/>
      <c r="AW8" s="275"/>
      <c r="AX8" s="321">
        <f t="shared" si="25"/>
        <v>0.7</v>
      </c>
    </row>
    <row r="9" spans="1:52">
      <c r="A9" s="63">
        <f>ELEC!C7</f>
        <v>44017</v>
      </c>
      <c r="B9" s="64">
        <v>113</v>
      </c>
      <c r="C9" s="64">
        <v>125</v>
      </c>
      <c r="D9" s="45">
        <f t="shared" si="26"/>
        <v>16.5</v>
      </c>
      <c r="E9" s="45">
        <f t="shared" si="9"/>
        <v>138.27000000000001</v>
      </c>
      <c r="F9" s="64">
        <v>1611</v>
      </c>
      <c r="G9" s="52">
        <f t="shared" si="0"/>
        <v>0</v>
      </c>
      <c r="H9" s="64">
        <v>355017</v>
      </c>
      <c r="I9" s="406">
        <f t="shared" si="1"/>
        <v>0</v>
      </c>
      <c r="J9" s="66">
        <f t="shared" si="11"/>
        <v>0</v>
      </c>
      <c r="K9" s="64">
        <v>2071</v>
      </c>
      <c r="L9" s="52">
        <f t="shared" si="2"/>
        <v>1</v>
      </c>
      <c r="M9" s="64">
        <v>151957</v>
      </c>
      <c r="N9" s="406">
        <f t="shared" si="3"/>
        <v>93</v>
      </c>
      <c r="O9" s="64">
        <f t="shared" si="12"/>
        <v>211.87499999999994</v>
      </c>
      <c r="P9" s="64">
        <v>1823</v>
      </c>
      <c r="Q9" s="64">
        <v>154571</v>
      </c>
      <c r="R9" s="405">
        <f t="shared" si="4"/>
        <v>245</v>
      </c>
      <c r="S9" s="52">
        <f t="shared" si="5"/>
        <v>4</v>
      </c>
      <c r="T9" s="67">
        <f t="shared" si="28"/>
        <v>0</v>
      </c>
      <c r="U9" s="412">
        <f t="shared" si="14"/>
        <v>5</v>
      </c>
      <c r="V9" s="62">
        <f t="shared" si="15"/>
        <v>338</v>
      </c>
      <c r="W9" s="410">
        <f t="shared" si="16"/>
        <v>67.599999999999994</v>
      </c>
      <c r="X9" s="64">
        <v>2418</v>
      </c>
      <c r="Y9" s="52">
        <f t="shared" si="18"/>
        <v>0</v>
      </c>
      <c r="Z9" s="64">
        <f>Z8</f>
        <v>135964.1</v>
      </c>
      <c r="AA9" s="65">
        <f t="shared" si="6"/>
        <v>0</v>
      </c>
      <c r="AB9" s="292">
        <f t="shared" si="29"/>
        <v>0</v>
      </c>
      <c r="AC9" s="64">
        <v>1862</v>
      </c>
      <c r="AD9" s="45">
        <f t="shared" si="7"/>
        <v>0</v>
      </c>
      <c r="AE9" s="64">
        <v>361088</v>
      </c>
      <c r="AF9" s="314">
        <f t="shared" si="19"/>
        <v>0</v>
      </c>
      <c r="AG9" s="212">
        <f t="shared" si="31"/>
        <v>0</v>
      </c>
      <c r="AH9" s="62">
        <f t="shared" si="32"/>
        <v>0</v>
      </c>
      <c r="AI9" s="326">
        <f t="shared" si="20"/>
        <v>338</v>
      </c>
      <c r="AJ9" s="326">
        <f>-tanks!AW10</f>
        <v>338</v>
      </c>
      <c r="AK9" s="326">
        <f t="shared" si="21"/>
        <v>0</v>
      </c>
      <c r="AL9" s="326">
        <f t="shared" si="8"/>
        <v>5</v>
      </c>
      <c r="AM9" s="326">
        <f t="shared" si="22"/>
        <v>0</v>
      </c>
      <c r="AN9" s="64">
        <v>77</v>
      </c>
      <c r="AO9" s="328">
        <f t="shared" si="23"/>
        <v>2310</v>
      </c>
      <c r="AP9" s="64">
        <v>78</v>
      </c>
      <c r="AQ9" s="328">
        <f t="shared" si="24"/>
        <v>2340</v>
      </c>
      <c r="AR9" s="64">
        <v>75</v>
      </c>
      <c r="AS9" s="328">
        <f>(AR9/100)*3000</f>
        <v>2250</v>
      </c>
      <c r="AT9" s="328">
        <f t="shared" si="34"/>
        <v>6900</v>
      </c>
      <c r="AU9" s="328">
        <f t="shared" si="35"/>
        <v>120</v>
      </c>
      <c r="AV9" s="275"/>
      <c r="AW9" s="275"/>
      <c r="AX9" s="321">
        <f t="shared" si="25"/>
        <v>0.7</v>
      </c>
    </row>
    <row r="10" spans="1:52">
      <c r="A10" s="63">
        <f>ELEC!C8</f>
        <v>44018</v>
      </c>
      <c r="B10" s="64">
        <v>136</v>
      </c>
      <c r="C10" s="64">
        <v>143</v>
      </c>
      <c r="D10" s="45">
        <f t="shared" si="26"/>
        <v>-18</v>
      </c>
      <c r="E10" s="45">
        <f t="shared" si="9"/>
        <v>-150.84</v>
      </c>
      <c r="F10" s="64">
        <f t="shared" si="10"/>
        <v>1611</v>
      </c>
      <c r="G10" s="52">
        <f t="shared" si="0"/>
        <v>0</v>
      </c>
      <c r="H10" s="64">
        <v>355017</v>
      </c>
      <c r="I10" s="406">
        <f t="shared" si="1"/>
        <v>0</v>
      </c>
      <c r="J10" s="66">
        <f t="shared" si="11"/>
        <v>0</v>
      </c>
      <c r="K10" s="64">
        <v>2072</v>
      </c>
      <c r="L10" s="52">
        <f t="shared" si="2"/>
        <v>1</v>
      </c>
      <c r="M10" s="64">
        <v>152028</v>
      </c>
      <c r="N10" s="406">
        <f t="shared" si="3"/>
        <v>71</v>
      </c>
      <c r="O10" s="64">
        <f t="shared" si="12"/>
        <v>211.87499999999994</v>
      </c>
      <c r="P10" s="64">
        <v>1825</v>
      </c>
      <c r="Q10" s="64">
        <v>154746</v>
      </c>
      <c r="R10" s="405">
        <f t="shared" si="4"/>
        <v>175</v>
      </c>
      <c r="S10" s="52">
        <f t="shared" si="5"/>
        <v>2</v>
      </c>
      <c r="T10" s="67">
        <f t="shared" si="28"/>
        <v>0</v>
      </c>
      <c r="U10" s="412">
        <f t="shared" si="14"/>
        <v>3</v>
      </c>
      <c r="V10" s="62">
        <f t="shared" si="15"/>
        <v>246</v>
      </c>
      <c r="W10" s="410">
        <f t="shared" si="16"/>
        <v>82</v>
      </c>
      <c r="X10" s="64">
        <v>2418</v>
      </c>
      <c r="Y10" s="52">
        <f t="shared" si="18"/>
        <v>0</v>
      </c>
      <c r="Z10" s="64">
        <v>135964.1</v>
      </c>
      <c r="AA10" s="65">
        <f t="shared" si="6"/>
        <v>0</v>
      </c>
      <c r="AB10" s="292">
        <f t="shared" si="29"/>
        <v>0</v>
      </c>
      <c r="AC10" s="64">
        <v>1865</v>
      </c>
      <c r="AD10" s="45">
        <f t="shared" si="7"/>
        <v>3</v>
      </c>
      <c r="AE10" s="64">
        <v>361272</v>
      </c>
      <c r="AF10" s="314">
        <f t="shared" si="19"/>
        <v>184</v>
      </c>
      <c r="AG10" s="212">
        <f t="shared" si="31"/>
        <v>61.333333333333336</v>
      </c>
      <c r="AH10" s="62">
        <f t="shared" si="32"/>
        <v>184</v>
      </c>
      <c r="AI10" s="326">
        <f>SUM(AH10+V10)</f>
        <v>430</v>
      </c>
      <c r="AJ10" s="326">
        <f>-tanks!AW11</f>
        <v>430</v>
      </c>
      <c r="AK10" s="326">
        <f t="shared" si="21"/>
        <v>0</v>
      </c>
      <c r="AL10" s="326">
        <f t="shared" si="8"/>
        <v>3</v>
      </c>
      <c r="AM10" s="326">
        <f t="shared" si="22"/>
        <v>3</v>
      </c>
      <c r="AN10" s="64">
        <v>75</v>
      </c>
      <c r="AO10" s="328">
        <f t="shared" si="23"/>
        <v>2250</v>
      </c>
      <c r="AP10" s="64">
        <v>76</v>
      </c>
      <c r="AQ10" s="328">
        <f t="shared" si="24"/>
        <v>2280</v>
      </c>
      <c r="AR10" s="64">
        <v>74</v>
      </c>
      <c r="AS10" s="328">
        <f t="shared" si="33"/>
        <v>2220</v>
      </c>
      <c r="AT10" s="328">
        <f t="shared" si="34"/>
        <v>6750</v>
      </c>
      <c r="AU10" s="328">
        <f t="shared" si="35"/>
        <v>150</v>
      </c>
      <c r="AV10" s="275"/>
      <c r="AW10" s="275"/>
      <c r="AX10" s="321">
        <f t="shared" si="25"/>
        <v>0.7</v>
      </c>
    </row>
    <row r="11" spans="1:52">
      <c r="A11" s="63">
        <f>ELEC!C9</f>
        <v>44019</v>
      </c>
      <c r="B11" s="64">
        <v>118</v>
      </c>
      <c r="C11" s="64">
        <v>125.4</v>
      </c>
      <c r="D11" s="45">
        <f t="shared" si="26"/>
        <v>17.599999999999994</v>
      </c>
      <c r="E11" s="45">
        <f t="shared" si="9"/>
        <v>147.48799999999997</v>
      </c>
      <c r="F11" s="64">
        <v>1614</v>
      </c>
      <c r="G11" s="52">
        <f t="shared" si="0"/>
        <v>3</v>
      </c>
      <c r="H11" s="64">
        <v>355214</v>
      </c>
      <c r="I11" s="406">
        <f t="shared" si="1"/>
        <v>197</v>
      </c>
      <c r="J11" s="66">
        <f t="shared" si="11"/>
        <v>65.666666666666671</v>
      </c>
      <c r="K11" s="64">
        <v>2075</v>
      </c>
      <c r="L11" s="52">
        <f t="shared" si="2"/>
        <v>3</v>
      </c>
      <c r="M11" s="64">
        <v>152253</v>
      </c>
      <c r="N11" s="406">
        <f t="shared" si="3"/>
        <v>225</v>
      </c>
      <c r="O11" s="64">
        <f t="shared" si="12"/>
        <v>211.87499999999994</v>
      </c>
      <c r="P11" s="64">
        <v>1827</v>
      </c>
      <c r="Q11" s="64">
        <v>154981</v>
      </c>
      <c r="R11" s="405">
        <f t="shared" ref="R11:R34" si="37">Q11-Q10</f>
        <v>235</v>
      </c>
      <c r="S11" s="52">
        <f t="shared" si="5"/>
        <v>2</v>
      </c>
      <c r="T11" s="67">
        <f t="shared" si="28"/>
        <v>0</v>
      </c>
      <c r="U11" s="412">
        <f t="shared" si="14"/>
        <v>8</v>
      </c>
      <c r="V11" s="62">
        <f t="shared" si="15"/>
        <v>657</v>
      </c>
      <c r="W11" s="410">
        <f t="shared" si="16"/>
        <v>82.125</v>
      </c>
      <c r="X11" s="64">
        <v>2418</v>
      </c>
      <c r="Y11" s="52">
        <f t="shared" si="18"/>
        <v>0</v>
      </c>
      <c r="Z11" s="64">
        <f>Z10</f>
        <v>135964.1</v>
      </c>
      <c r="AA11" s="65">
        <f t="shared" si="6"/>
        <v>0</v>
      </c>
      <c r="AB11" s="292">
        <f t="shared" si="29"/>
        <v>0</v>
      </c>
      <c r="AC11" s="64">
        <v>1865</v>
      </c>
      <c r="AD11" s="45">
        <f t="shared" si="7"/>
        <v>0</v>
      </c>
      <c r="AE11" s="64">
        <v>361272</v>
      </c>
      <c r="AF11" s="314">
        <f t="shared" si="19"/>
        <v>0</v>
      </c>
      <c r="AG11" s="212">
        <f t="shared" si="31"/>
        <v>0</v>
      </c>
      <c r="AH11" s="62">
        <f>AF11+AA11</f>
        <v>0</v>
      </c>
      <c r="AI11" s="326">
        <f>SUM(AH11+V11)</f>
        <v>657</v>
      </c>
      <c r="AJ11" s="326">
        <f>-tanks!AW12</f>
        <v>657</v>
      </c>
      <c r="AK11" s="326">
        <f t="shared" si="21"/>
        <v>0</v>
      </c>
      <c r="AL11" s="326">
        <f t="shared" si="8"/>
        <v>8</v>
      </c>
      <c r="AM11" s="326">
        <f t="shared" si="22"/>
        <v>0</v>
      </c>
      <c r="AN11" s="64">
        <v>73</v>
      </c>
      <c r="AO11" s="328">
        <f t="shared" si="23"/>
        <v>2190</v>
      </c>
      <c r="AP11" s="64">
        <v>75</v>
      </c>
      <c r="AQ11" s="328">
        <f t="shared" si="24"/>
        <v>2250</v>
      </c>
      <c r="AR11" s="64">
        <v>72</v>
      </c>
      <c r="AS11" s="328">
        <f t="shared" si="33"/>
        <v>2160</v>
      </c>
      <c r="AT11" s="328">
        <f t="shared" si="34"/>
        <v>6600</v>
      </c>
      <c r="AU11" s="328">
        <f t="shared" si="35"/>
        <v>150</v>
      </c>
      <c r="AV11" s="275"/>
      <c r="AW11" s="275"/>
      <c r="AX11" s="321">
        <f t="shared" si="25"/>
        <v>0.7</v>
      </c>
    </row>
    <row r="12" spans="1:52">
      <c r="A12" s="63">
        <f>ELEC!C10</f>
        <v>44020</v>
      </c>
      <c r="B12" s="64">
        <v>138.19999999999999</v>
      </c>
      <c r="C12" s="64">
        <v>145.30000000000001</v>
      </c>
      <c r="D12" s="45">
        <f t="shared" si="26"/>
        <v>-19.900000000000006</v>
      </c>
      <c r="E12" s="45">
        <f t="shared" si="9"/>
        <v>-166.76200000000006</v>
      </c>
      <c r="F12" s="64">
        <v>1615</v>
      </c>
      <c r="G12" s="52">
        <f t="shared" si="0"/>
        <v>1</v>
      </c>
      <c r="H12" s="64">
        <v>355291</v>
      </c>
      <c r="I12" s="406">
        <f t="shared" si="1"/>
        <v>77</v>
      </c>
      <c r="J12" s="66">
        <f t="shared" si="11"/>
        <v>77</v>
      </c>
      <c r="K12" s="64">
        <v>2075</v>
      </c>
      <c r="L12" s="52">
        <f t="shared" si="2"/>
        <v>0</v>
      </c>
      <c r="M12" s="64">
        <v>152253</v>
      </c>
      <c r="N12" s="406">
        <f t="shared" si="3"/>
        <v>0</v>
      </c>
      <c r="O12" s="64">
        <f t="shared" si="12"/>
        <v>211.87499999999994</v>
      </c>
      <c r="P12" s="64">
        <v>1829</v>
      </c>
      <c r="Q12" s="64">
        <v>155136</v>
      </c>
      <c r="R12" s="405">
        <f t="shared" si="37"/>
        <v>155</v>
      </c>
      <c r="S12" s="52">
        <f t="shared" si="5"/>
        <v>2</v>
      </c>
      <c r="T12" s="67">
        <f t="shared" si="28"/>
        <v>0</v>
      </c>
      <c r="U12" s="412">
        <f t="shared" si="14"/>
        <v>3</v>
      </c>
      <c r="V12" s="62">
        <f t="shared" si="15"/>
        <v>232</v>
      </c>
      <c r="W12" s="410">
        <f t="shared" si="16"/>
        <v>77.333333333333329</v>
      </c>
      <c r="X12" s="64">
        <v>2418</v>
      </c>
      <c r="Y12" s="52">
        <f t="shared" si="18"/>
        <v>0</v>
      </c>
      <c r="Z12" s="64">
        <f>Z11</f>
        <v>135964.1</v>
      </c>
      <c r="AA12" s="65">
        <f t="shared" si="6"/>
        <v>0</v>
      </c>
      <c r="AB12" s="292">
        <f t="shared" si="29"/>
        <v>0</v>
      </c>
      <c r="AC12" s="64">
        <v>1869</v>
      </c>
      <c r="AD12" s="45">
        <f t="shared" si="7"/>
        <v>4</v>
      </c>
      <c r="AE12" s="64">
        <v>361552</v>
      </c>
      <c r="AF12" s="314">
        <f t="shared" si="19"/>
        <v>280</v>
      </c>
      <c r="AG12" s="212">
        <f t="shared" si="31"/>
        <v>70</v>
      </c>
      <c r="AH12" s="62">
        <f t="shared" si="32"/>
        <v>280</v>
      </c>
      <c r="AI12" s="326">
        <f t="shared" si="20"/>
        <v>512</v>
      </c>
      <c r="AJ12" s="326">
        <f>-tanks!AW13</f>
        <v>512</v>
      </c>
      <c r="AK12" s="326">
        <f t="shared" si="21"/>
        <v>0</v>
      </c>
      <c r="AL12" s="326">
        <f t="shared" si="8"/>
        <v>3</v>
      </c>
      <c r="AM12" s="326">
        <f t="shared" si="22"/>
        <v>4</v>
      </c>
      <c r="AN12" s="64">
        <v>70</v>
      </c>
      <c r="AO12" s="328">
        <f t="shared" si="23"/>
        <v>2100</v>
      </c>
      <c r="AP12" s="64">
        <v>73</v>
      </c>
      <c r="AQ12" s="328">
        <f t="shared" si="24"/>
        <v>2190</v>
      </c>
      <c r="AR12" s="64">
        <v>70</v>
      </c>
      <c r="AS12" s="328">
        <f t="shared" si="33"/>
        <v>2100</v>
      </c>
      <c r="AT12" s="328">
        <f t="shared" si="34"/>
        <v>6390</v>
      </c>
      <c r="AU12" s="328">
        <f t="shared" si="35"/>
        <v>210</v>
      </c>
      <c r="AV12" s="275"/>
      <c r="AW12" s="275"/>
      <c r="AX12" s="321">
        <f t="shared" si="25"/>
        <v>0.7</v>
      </c>
    </row>
    <row r="13" spans="1:52">
      <c r="A13" s="63">
        <f>ELEC!C11</f>
        <v>44021</v>
      </c>
      <c r="B13" s="64">
        <v>120.3</v>
      </c>
      <c r="C13" s="64">
        <v>127.2</v>
      </c>
      <c r="D13" s="45">
        <f t="shared" si="26"/>
        <v>18.100000000000009</v>
      </c>
      <c r="E13" s="45">
        <f t="shared" si="9"/>
        <v>151.67800000000008</v>
      </c>
      <c r="F13" s="64">
        <v>1618</v>
      </c>
      <c r="G13" s="52">
        <f t="shared" si="0"/>
        <v>3</v>
      </c>
      <c r="H13" s="64">
        <v>355545</v>
      </c>
      <c r="I13" s="406">
        <f t="shared" si="1"/>
        <v>254</v>
      </c>
      <c r="J13" s="66">
        <f t="shared" si="11"/>
        <v>84.666666666666671</v>
      </c>
      <c r="K13" s="64">
        <v>2075</v>
      </c>
      <c r="L13" s="52">
        <f t="shared" si="2"/>
        <v>0</v>
      </c>
      <c r="M13" s="64">
        <v>152253</v>
      </c>
      <c r="N13" s="406">
        <f t="shared" si="3"/>
        <v>0</v>
      </c>
      <c r="O13" s="64">
        <f t="shared" si="12"/>
        <v>211.87499999999994</v>
      </c>
      <c r="P13" s="64">
        <v>1829</v>
      </c>
      <c r="Q13" s="64">
        <v>155136</v>
      </c>
      <c r="R13" s="405">
        <f t="shared" si="37"/>
        <v>0</v>
      </c>
      <c r="S13" s="52">
        <f t="shared" si="5"/>
        <v>0</v>
      </c>
      <c r="T13" s="67">
        <f t="shared" si="28"/>
        <v>0</v>
      </c>
      <c r="U13" s="412">
        <f t="shared" si="14"/>
        <v>3</v>
      </c>
      <c r="V13" s="62">
        <f>R13+N13+I13:I13</f>
        <v>254</v>
      </c>
      <c r="W13" s="410">
        <f t="shared" si="16"/>
        <v>84.666666666666671</v>
      </c>
      <c r="X13" s="64">
        <v>2418</v>
      </c>
      <c r="Y13" s="52">
        <f t="shared" si="18"/>
        <v>0</v>
      </c>
      <c r="Z13" s="64">
        <v>135964</v>
      </c>
      <c r="AA13" s="292">
        <f t="shared" si="6"/>
        <v>-0.10000000000582077</v>
      </c>
      <c r="AB13" s="292">
        <f t="shared" si="29"/>
        <v>0</v>
      </c>
      <c r="AC13" s="64">
        <v>1869</v>
      </c>
      <c r="AD13" s="45">
        <f t="shared" si="7"/>
        <v>0</v>
      </c>
      <c r="AE13" s="64">
        <v>361554.1</v>
      </c>
      <c r="AF13" s="314">
        <f t="shared" si="19"/>
        <v>2.0999999999767169</v>
      </c>
      <c r="AG13" s="212">
        <f t="shared" si="31"/>
        <v>0</v>
      </c>
      <c r="AH13" s="62">
        <f t="shared" si="32"/>
        <v>1.9999999999708962</v>
      </c>
      <c r="AI13" s="326">
        <f t="shared" si="20"/>
        <v>255.9999999999709</v>
      </c>
      <c r="AJ13" s="326">
        <f>-tanks!AW14</f>
        <v>255.9999999999709</v>
      </c>
      <c r="AK13" s="326">
        <f t="shared" si="21"/>
        <v>0</v>
      </c>
      <c r="AL13" s="326">
        <f t="shared" si="8"/>
        <v>3</v>
      </c>
      <c r="AM13" s="326">
        <f t="shared" si="22"/>
        <v>0</v>
      </c>
      <c r="AN13" s="64">
        <v>79</v>
      </c>
      <c r="AO13" s="328">
        <f t="shared" si="23"/>
        <v>2370</v>
      </c>
      <c r="AP13" s="64">
        <v>80</v>
      </c>
      <c r="AQ13" s="328">
        <f t="shared" si="24"/>
        <v>2400</v>
      </c>
      <c r="AR13" s="64">
        <v>81</v>
      </c>
      <c r="AS13" s="328">
        <f t="shared" si="33"/>
        <v>2430</v>
      </c>
      <c r="AT13" s="328">
        <f t="shared" si="34"/>
        <v>7200</v>
      </c>
      <c r="AU13" s="328">
        <f t="shared" si="35"/>
        <v>390</v>
      </c>
      <c r="AV13" s="275">
        <v>1200</v>
      </c>
      <c r="AW13" s="275">
        <v>0.7</v>
      </c>
      <c r="AX13" s="321">
        <f t="shared" si="25"/>
        <v>0.7</v>
      </c>
    </row>
    <row r="14" spans="1:52">
      <c r="A14" s="63">
        <f>ELEC!C12</f>
        <v>44022</v>
      </c>
      <c r="B14" s="64">
        <v>178.2</v>
      </c>
      <c r="C14" s="64">
        <v>185</v>
      </c>
      <c r="D14" s="45">
        <f t="shared" si="26"/>
        <v>-57.8</v>
      </c>
      <c r="E14" s="45">
        <f t="shared" si="9"/>
        <v>-484.36400000000003</v>
      </c>
      <c r="F14" s="64">
        <v>1621</v>
      </c>
      <c r="G14" s="52">
        <f t="shared" si="0"/>
        <v>3</v>
      </c>
      <c r="H14" s="64">
        <v>355804</v>
      </c>
      <c r="I14" s="406">
        <f t="shared" si="1"/>
        <v>259</v>
      </c>
      <c r="J14" s="66">
        <f t="shared" si="11"/>
        <v>86.333333333333329</v>
      </c>
      <c r="K14" s="64">
        <v>2075</v>
      </c>
      <c r="L14" s="52">
        <f t="shared" si="2"/>
        <v>0</v>
      </c>
      <c r="M14" s="64">
        <v>152253</v>
      </c>
      <c r="N14" s="406">
        <f t="shared" si="3"/>
        <v>0</v>
      </c>
      <c r="O14" s="64">
        <f t="shared" si="12"/>
        <v>211.87499999999994</v>
      </c>
      <c r="P14" s="64">
        <v>1829</v>
      </c>
      <c r="Q14" s="64">
        <v>155219</v>
      </c>
      <c r="R14" s="405">
        <f t="shared" si="37"/>
        <v>83</v>
      </c>
      <c r="S14" s="52">
        <f t="shared" si="5"/>
        <v>0</v>
      </c>
      <c r="T14" s="67">
        <f t="shared" si="28"/>
        <v>0</v>
      </c>
      <c r="U14" s="412">
        <f t="shared" si="14"/>
        <v>3</v>
      </c>
      <c r="V14" s="62">
        <f t="shared" si="15"/>
        <v>342</v>
      </c>
      <c r="W14" s="410">
        <f t="shared" si="16"/>
        <v>114</v>
      </c>
      <c r="X14" s="64">
        <v>2418</v>
      </c>
      <c r="Y14" s="52">
        <f t="shared" si="18"/>
        <v>0</v>
      </c>
      <c r="Z14" s="64">
        <v>135964</v>
      </c>
      <c r="AA14" s="65">
        <f t="shared" si="6"/>
        <v>0</v>
      </c>
      <c r="AB14" s="292">
        <f t="shared" si="29"/>
        <v>0</v>
      </c>
      <c r="AC14" s="64">
        <v>1869</v>
      </c>
      <c r="AD14" s="45">
        <f t="shared" si="7"/>
        <v>0</v>
      </c>
      <c r="AE14" s="64">
        <v>361554.9</v>
      </c>
      <c r="AF14" s="314">
        <f>AE14-AE13</f>
        <v>0.80000000004656613</v>
      </c>
      <c r="AG14" s="212">
        <f t="shared" si="31"/>
        <v>0</v>
      </c>
      <c r="AH14" s="62">
        <f>AF14+AA14</f>
        <v>0.80000000004656613</v>
      </c>
      <c r="AI14" s="326">
        <f>SUM(AH14+V14)</f>
        <v>342.80000000004657</v>
      </c>
      <c r="AJ14" s="326">
        <f>-tanks!AW15</f>
        <v>342.80000000004657</v>
      </c>
      <c r="AK14" s="326">
        <f t="shared" si="21"/>
        <v>0</v>
      </c>
      <c r="AL14" s="326">
        <f t="shared" si="8"/>
        <v>3</v>
      </c>
      <c r="AM14" s="326">
        <f t="shared" si="22"/>
        <v>0</v>
      </c>
      <c r="AN14" s="64">
        <v>77</v>
      </c>
      <c r="AO14" s="328">
        <f t="shared" si="23"/>
        <v>2310</v>
      </c>
      <c r="AP14" s="64">
        <v>79</v>
      </c>
      <c r="AQ14" s="328">
        <f t="shared" si="24"/>
        <v>2370</v>
      </c>
      <c r="AR14" s="64">
        <v>78</v>
      </c>
      <c r="AS14" s="328">
        <f t="shared" si="33"/>
        <v>2340</v>
      </c>
      <c r="AT14" s="328">
        <f t="shared" si="34"/>
        <v>7020</v>
      </c>
      <c r="AU14" s="328">
        <f t="shared" si="35"/>
        <v>180</v>
      </c>
      <c r="AV14" s="275"/>
      <c r="AW14" s="275"/>
      <c r="AX14" s="321">
        <f t="shared" si="25"/>
        <v>0.7</v>
      </c>
    </row>
    <row r="15" spans="1:52" ht="15" customHeight="1">
      <c r="A15" s="63">
        <f>ELEC!C13</f>
        <v>44023</v>
      </c>
      <c r="B15" s="64">
        <v>159</v>
      </c>
      <c r="C15" s="64">
        <v>166</v>
      </c>
      <c r="D15" s="45">
        <f t="shared" si="26"/>
        <v>19</v>
      </c>
      <c r="E15" s="45">
        <f t="shared" si="9"/>
        <v>159.22000000000003</v>
      </c>
      <c r="F15" s="64">
        <f t="shared" si="10"/>
        <v>1621</v>
      </c>
      <c r="G15" s="52">
        <f t="shared" si="0"/>
        <v>0</v>
      </c>
      <c r="H15" s="64">
        <f t="shared" si="10"/>
        <v>355804</v>
      </c>
      <c r="I15" s="406">
        <f t="shared" si="1"/>
        <v>0</v>
      </c>
      <c r="J15" s="66">
        <f t="shared" si="11"/>
        <v>0</v>
      </c>
      <c r="K15" s="64">
        <f t="shared" si="12"/>
        <v>2075</v>
      </c>
      <c r="L15" s="52">
        <f t="shared" si="2"/>
        <v>0</v>
      </c>
      <c r="M15" s="64">
        <f t="shared" ref="M15" si="38">M14</f>
        <v>152253</v>
      </c>
      <c r="N15" s="406">
        <f t="shared" si="3"/>
        <v>0</v>
      </c>
      <c r="O15" s="64">
        <f t="shared" si="12"/>
        <v>211.87499999999994</v>
      </c>
      <c r="P15" s="64">
        <v>1830</v>
      </c>
      <c r="Q15" s="64">
        <v>155334</v>
      </c>
      <c r="R15" s="405">
        <f t="shared" si="37"/>
        <v>115</v>
      </c>
      <c r="S15" s="52">
        <f t="shared" si="5"/>
        <v>1</v>
      </c>
      <c r="T15" s="67">
        <f t="shared" si="28"/>
        <v>0</v>
      </c>
      <c r="U15" s="412">
        <f t="shared" si="14"/>
        <v>1</v>
      </c>
      <c r="V15" s="62">
        <f t="shared" si="15"/>
        <v>115</v>
      </c>
      <c r="W15" s="410">
        <f t="shared" si="16"/>
        <v>115</v>
      </c>
      <c r="X15" s="64">
        <f t="shared" si="17"/>
        <v>2418</v>
      </c>
      <c r="Y15" s="52">
        <f t="shared" si="18"/>
        <v>0</v>
      </c>
      <c r="Z15" s="64">
        <f t="shared" si="17"/>
        <v>135964</v>
      </c>
      <c r="AA15" s="65">
        <f t="shared" si="6"/>
        <v>0</v>
      </c>
      <c r="AB15" s="292">
        <f t="shared" si="29"/>
        <v>0</v>
      </c>
      <c r="AC15" s="64">
        <v>1873</v>
      </c>
      <c r="AD15" s="45">
        <f t="shared" si="7"/>
        <v>4</v>
      </c>
      <c r="AE15" s="64">
        <v>361774.9</v>
      </c>
      <c r="AF15" s="314">
        <f t="shared" si="19"/>
        <v>220</v>
      </c>
      <c r="AG15" s="212">
        <f t="shared" si="31"/>
        <v>55</v>
      </c>
      <c r="AH15" s="62">
        <f t="shared" si="32"/>
        <v>220</v>
      </c>
      <c r="AI15" s="326">
        <f t="shared" si="20"/>
        <v>335</v>
      </c>
      <c r="AJ15" s="326">
        <f>-tanks!AW16</f>
        <v>335</v>
      </c>
      <c r="AK15" s="326">
        <f t="shared" si="21"/>
        <v>0</v>
      </c>
      <c r="AL15" s="326">
        <f t="shared" si="8"/>
        <v>1</v>
      </c>
      <c r="AM15" s="326">
        <f t="shared" si="22"/>
        <v>4</v>
      </c>
      <c r="AN15" s="64">
        <v>76</v>
      </c>
      <c r="AO15" s="328">
        <f t="shared" si="23"/>
        <v>2280</v>
      </c>
      <c r="AP15" s="64">
        <v>78</v>
      </c>
      <c r="AQ15" s="328">
        <f t="shared" si="24"/>
        <v>2340</v>
      </c>
      <c r="AR15" s="64">
        <v>76</v>
      </c>
      <c r="AS15" s="328">
        <f t="shared" si="33"/>
        <v>2280</v>
      </c>
      <c r="AT15" s="328">
        <f t="shared" si="34"/>
        <v>6900</v>
      </c>
      <c r="AU15" s="328">
        <f t="shared" si="35"/>
        <v>120</v>
      </c>
      <c r="AV15" s="275"/>
      <c r="AW15" s="275"/>
      <c r="AX15" s="321">
        <f t="shared" si="25"/>
        <v>0.7</v>
      </c>
    </row>
    <row r="16" spans="1:52">
      <c r="A16" s="63">
        <f>ELEC!C14</f>
        <v>44024</v>
      </c>
      <c r="B16" s="64">
        <v>139</v>
      </c>
      <c r="C16" s="64">
        <v>146</v>
      </c>
      <c r="D16" s="45">
        <f t="shared" si="26"/>
        <v>20</v>
      </c>
      <c r="E16" s="45">
        <f t="shared" si="9"/>
        <v>167.60000000000002</v>
      </c>
      <c r="F16" s="64">
        <v>1623</v>
      </c>
      <c r="G16" s="52">
        <f t="shared" si="0"/>
        <v>2</v>
      </c>
      <c r="H16" s="64">
        <v>355940</v>
      </c>
      <c r="I16" s="406">
        <f t="shared" si="1"/>
        <v>136</v>
      </c>
      <c r="J16" s="66">
        <f t="shared" si="11"/>
        <v>68</v>
      </c>
      <c r="K16" s="64">
        <v>2076</v>
      </c>
      <c r="L16" s="52">
        <f t="shared" si="2"/>
        <v>1</v>
      </c>
      <c r="M16" s="64">
        <v>152337</v>
      </c>
      <c r="N16" s="406">
        <f t="shared" si="3"/>
        <v>84</v>
      </c>
      <c r="O16" s="64">
        <f t="shared" si="12"/>
        <v>211.87499999999994</v>
      </c>
      <c r="P16" s="64">
        <v>1830</v>
      </c>
      <c r="Q16" s="64">
        <v>155334</v>
      </c>
      <c r="R16" s="405">
        <f t="shared" si="37"/>
        <v>0</v>
      </c>
      <c r="S16" s="52">
        <f t="shared" si="5"/>
        <v>0</v>
      </c>
      <c r="T16" s="67">
        <f t="shared" si="28"/>
        <v>0</v>
      </c>
      <c r="U16" s="412">
        <f t="shared" si="14"/>
        <v>3</v>
      </c>
      <c r="V16" s="62">
        <f t="shared" si="15"/>
        <v>220</v>
      </c>
      <c r="W16" s="410">
        <f t="shared" si="16"/>
        <v>73.333333333333329</v>
      </c>
      <c r="X16" s="64">
        <v>2418</v>
      </c>
      <c r="Y16" s="52">
        <f t="shared" si="18"/>
        <v>0</v>
      </c>
      <c r="Z16" s="64">
        <v>135964</v>
      </c>
      <c r="AA16" s="65">
        <f t="shared" si="6"/>
        <v>0</v>
      </c>
      <c r="AB16" s="292">
        <f t="shared" si="29"/>
        <v>0</v>
      </c>
      <c r="AC16" s="64">
        <v>1873</v>
      </c>
      <c r="AD16" s="45">
        <f t="shared" si="7"/>
        <v>0</v>
      </c>
      <c r="AE16" s="64">
        <f>AE15</f>
        <v>361774.9</v>
      </c>
      <c r="AF16" s="314">
        <f t="shared" si="19"/>
        <v>0</v>
      </c>
      <c r="AG16" s="212">
        <f t="shared" si="31"/>
        <v>0</v>
      </c>
      <c r="AH16" s="62">
        <f t="shared" si="32"/>
        <v>0</v>
      </c>
      <c r="AI16" s="326">
        <f t="shared" si="20"/>
        <v>220</v>
      </c>
      <c r="AJ16" s="326">
        <f>-tanks!AW17</f>
        <v>220</v>
      </c>
      <c r="AK16" s="326">
        <f t="shared" si="21"/>
        <v>0</v>
      </c>
      <c r="AL16" s="326">
        <f t="shared" si="8"/>
        <v>3</v>
      </c>
      <c r="AM16" s="326">
        <f t="shared" si="22"/>
        <v>0</v>
      </c>
      <c r="AN16" s="64">
        <v>75</v>
      </c>
      <c r="AO16" s="328">
        <f t="shared" si="23"/>
        <v>2250</v>
      </c>
      <c r="AP16" s="64">
        <v>78</v>
      </c>
      <c r="AQ16" s="328">
        <f t="shared" si="24"/>
        <v>2340</v>
      </c>
      <c r="AR16" s="64">
        <v>76</v>
      </c>
      <c r="AS16" s="328">
        <f t="shared" si="33"/>
        <v>2280</v>
      </c>
      <c r="AT16" s="328">
        <f t="shared" si="34"/>
        <v>6870</v>
      </c>
      <c r="AU16" s="328">
        <f t="shared" si="35"/>
        <v>30</v>
      </c>
      <c r="AV16" s="275"/>
      <c r="AW16" s="275"/>
      <c r="AX16" s="321">
        <f t="shared" si="25"/>
        <v>0.7</v>
      </c>
    </row>
    <row r="17" spans="1:50">
      <c r="A17" s="63">
        <f>ELEC!C15</f>
        <v>44025</v>
      </c>
      <c r="B17" s="64">
        <v>122.2</v>
      </c>
      <c r="C17" s="64">
        <v>129</v>
      </c>
      <c r="D17" s="45">
        <f t="shared" si="26"/>
        <v>17</v>
      </c>
      <c r="E17" s="45">
        <f t="shared" si="9"/>
        <v>142.46</v>
      </c>
      <c r="F17" s="64">
        <v>1624</v>
      </c>
      <c r="G17" s="52">
        <f t="shared" si="0"/>
        <v>1</v>
      </c>
      <c r="H17" s="64">
        <v>356052</v>
      </c>
      <c r="I17" s="406">
        <f t="shared" si="1"/>
        <v>112</v>
      </c>
      <c r="J17" s="66">
        <f t="shared" si="11"/>
        <v>112</v>
      </c>
      <c r="K17" s="64">
        <v>2077</v>
      </c>
      <c r="L17" s="52">
        <f t="shared" si="2"/>
        <v>1</v>
      </c>
      <c r="M17" s="64">
        <v>152390</v>
      </c>
      <c r="N17" s="406">
        <f t="shared" si="3"/>
        <v>53</v>
      </c>
      <c r="O17" s="64">
        <f t="shared" si="12"/>
        <v>211.87499999999994</v>
      </c>
      <c r="P17" s="64">
        <v>1830</v>
      </c>
      <c r="Q17" s="64">
        <v>155334</v>
      </c>
      <c r="R17" s="405">
        <f t="shared" si="37"/>
        <v>0</v>
      </c>
      <c r="S17" s="52">
        <f t="shared" si="5"/>
        <v>0</v>
      </c>
      <c r="T17" s="67">
        <f t="shared" si="28"/>
        <v>0</v>
      </c>
      <c r="U17" s="412">
        <f t="shared" si="14"/>
        <v>2</v>
      </c>
      <c r="V17" s="62">
        <f t="shared" si="15"/>
        <v>165</v>
      </c>
      <c r="W17" s="410"/>
      <c r="X17" s="64">
        <v>2418</v>
      </c>
      <c r="Y17" s="52">
        <f t="shared" si="18"/>
        <v>0</v>
      </c>
      <c r="Z17" s="64">
        <v>135964</v>
      </c>
      <c r="AA17" s="65">
        <f t="shared" si="6"/>
        <v>0</v>
      </c>
      <c r="AB17" s="292">
        <f t="shared" si="29"/>
        <v>0</v>
      </c>
      <c r="AC17" s="64">
        <v>1873</v>
      </c>
      <c r="AD17" s="45">
        <f t="shared" si="7"/>
        <v>0</v>
      </c>
      <c r="AE17" s="64">
        <f>AE16</f>
        <v>361774.9</v>
      </c>
      <c r="AF17" s="314">
        <f t="shared" si="19"/>
        <v>0</v>
      </c>
      <c r="AG17" s="212">
        <f t="shared" si="31"/>
        <v>0</v>
      </c>
      <c r="AH17" s="62">
        <f t="shared" si="32"/>
        <v>0</v>
      </c>
      <c r="AI17" s="326">
        <f t="shared" si="20"/>
        <v>165</v>
      </c>
      <c r="AJ17" s="326">
        <f>-tanks!AW18</f>
        <v>165</v>
      </c>
      <c r="AK17" s="326">
        <f t="shared" si="21"/>
        <v>0</v>
      </c>
      <c r="AL17" s="326">
        <f t="shared" si="8"/>
        <v>2</v>
      </c>
      <c r="AM17" s="326">
        <f t="shared" si="22"/>
        <v>0</v>
      </c>
      <c r="AN17" s="64">
        <v>73</v>
      </c>
      <c r="AO17" s="328">
        <f t="shared" si="23"/>
        <v>2190</v>
      </c>
      <c r="AP17" s="64">
        <v>78</v>
      </c>
      <c r="AQ17" s="328">
        <f t="shared" si="24"/>
        <v>2340</v>
      </c>
      <c r="AR17" s="64">
        <v>76</v>
      </c>
      <c r="AS17" s="328">
        <f t="shared" si="33"/>
        <v>2280</v>
      </c>
      <c r="AT17" s="328">
        <f t="shared" si="34"/>
        <v>6810</v>
      </c>
      <c r="AU17" s="328">
        <f t="shared" si="35"/>
        <v>60</v>
      </c>
      <c r="AV17" s="275"/>
      <c r="AW17" s="275"/>
      <c r="AX17" s="321">
        <f t="shared" si="25"/>
        <v>0.7</v>
      </c>
    </row>
    <row r="18" spans="1:50">
      <c r="A18" s="63">
        <f>ELEC!C16</f>
        <v>44026</v>
      </c>
      <c r="B18" s="64">
        <v>137</v>
      </c>
      <c r="C18" s="64">
        <v>144</v>
      </c>
      <c r="D18" s="45">
        <f t="shared" si="26"/>
        <v>-15</v>
      </c>
      <c r="E18" s="45">
        <f t="shared" si="9"/>
        <v>-125.70000000000002</v>
      </c>
      <c r="F18" s="64">
        <v>1628</v>
      </c>
      <c r="G18" s="52">
        <f t="shared" si="0"/>
        <v>4</v>
      </c>
      <c r="H18" s="64">
        <v>356324</v>
      </c>
      <c r="I18" s="406">
        <f t="shared" si="1"/>
        <v>272</v>
      </c>
      <c r="J18" s="66">
        <f t="shared" si="11"/>
        <v>68</v>
      </c>
      <c r="K18" s="64">
        <v>2077</v>
      </c>
      <c r="L18" s="52">
        <f t="shared" si="2"/>
        <v>0</v>
      </c>
      <c r="M18" s="64">
        <v>152390</v>
      </c>
      <c r="N18" s="406">
        <f t="shared" si="3"/>
        <v>0</v>
      </c>
      <c r="O18" s="64">
        <f t="shared" si="12"/>
        <v>211.87499999999994</v>
      </c>
      <c r="P18" s="64">
        <v>1830</v>
      </c>
      <c r="Q18" s="64">
        <v>155334</v>
      </c>
      <c r="R18" s="405">
        <f t="shared" si="37"/>
        <v>0</v>
      </c>
      <c r="S18" s="52">
        <f t="shared" si="5"/>
        <v>0</v>
      </c>
      <c r="T18" s="67">
        <f t="shared" si="28"/>
        <v>0</v>
      </c>
      <c r="U18" s="412">
        <f t="shared" si="14"/>
        <v>4</v>
      </c>
      <c r="V18" s="62">
        <f t="shared" si="15"/>
        <v>272</v>
      </c>
      <c r="W18" s="410"/>
      <c r="X18" s="64">
        <v>2418</v>
      </c>
      <c r="Y18" s="52">
        <f t="shared" si="18"/>
        <v>0</v>
      </c>
      <c r="Z18" s="64">
        <v>135964</v>
      </c>
      <c r="AA18" s="65">
        <f t="shared" si="6"/>
        <v>0</v>
      </c>
      <c r="AB18" s="292">
        <f t="shared" ref="AB18:AB23" si="39">SUM(Y18*$AB$2)</f>
        <v>0</v>
      </c>
      <c r="AC18" s="64">
        <v>1875</v>
      </c>
      <c r="AD18" s="45">
        <f t="shared" si="7"/>
        <v>2</v>
      </c>
      <c r="AE18" s="64">
        <v>361937</v>
      </c>
      <c r="AF18" s="314">
        <f t="shared" si="19"/>
        <v>162.09999999997672</v>
      </c>
      <c r="AG18" s="212">
        <f t="shared" si="31"/>
        <v>81.049999999988358</v>
      </c>
      <c r="AH18" s="62">
        <f t="shared" si="32"/>
        <v>162.09999999997672</v>
      </c>
      <c r="AI18" s="326">
        <f t="shared" si="20"/>
        <v>434.09999999997672</v>
      </c>
      <c r="AJ18" s="326">
        <f>-tanks!AW19</f>
        <v>434.09999999997672</v>
      </c>
      <c r="AK18" s="326">
        <f t="shared" si="21"/>
        <v>0</v>
      </c>
      <c r="AL18" s="326">
        <f t="shared" si="8"/>
        <v>4</v>
      </c>
      <c r="AM18" s="326">
        <f t="shared" si="22"/>
        <v>2</v>
      </c>
      <c r="AN18" s="64">
        <v>71</v>
      </c>
      <c r="AO18" s="328">
        <f t="shared" si="23"/>
        <v>2130</v>
      </c>
      <c r="AP18" s="64">
        <v>76</v>
      </c>
      <c r="AQ18" s="328">
        <f t="shared" si="24"/>
        <v>2280</v>
      </c>
      <c r="AR18" s="64">
        <v>75</v>
      </c>
      <c r="AS18" s="328">
        <f t="shared" si="33"/>
        <v>2250</v>
      </c>
      <c r="AT18" s="328">
        <f t="shared" si="34"/>
        <v>6660</v>
      </c>
      <c r="AU18" s="328">
        <f t="shared" si="35"/>
        <v>150</v>
      </c>
      <c r="AV18" s="275"/>
      <c r="AW18" s="275"/>
      <c r="AX18" s="321">
        <f t="shared" si="25"/>
        <v>0.7</v>
      </c>
    </row>
    <row r="19" spans="1:50">
      <c r="A19" s="63">
        <f>ELEC!C17</f>
        <v>44027</v>
      </c>
      <c r="B19" s="64">
        <v>118.2</v>
      </c>
      <c r="C19" s="64">
        <v>125.2</v>
      </c>
      <c r="D19" s="45">
        <f t="shared" si="26"/>
        <v>18.799999999999997</v>
      </c>
      <c r="E19" s="45">
        <f t="shared" si="9"/>
        <v>157.54399999999998</v>
      </c>
      <c r="F19" s="64">
        <v>1630</v>
      </c>
      <c r="G19" s="52">
        <f t="shared" si="0"/>
        <v>2</v>
      </c>
      <c r="H19" s="64">
        <v>356492</v>
      </c>
      <c r="I19" s="406">
        <f t="shared" si="1"/>
        <v>168</v>
      </c>
      <c r="J19" s="66">
        <f t="shared" si="11"/>
        <v>84</v>
      </c>
      <c r="K19" s="64">
        <v>2077</v>
      </c>
      <c r="L19" s="52">
        <f t="shared" si="2"/>
        <v>0</v>
      </c>
      <c r="M19" s="64">
        <v>152390</v>
      </c>
      <c r="N19" s="406">
        <f t="shared" si="3"/>
        <v>0</v>
      </c>
      <c r="O19" s="64">
        <f t="shared" si="12"/>
        <v>211.87499999999994</v>
      </c>
      <c r="P19" s="64">
        <v>1830</v>
      </c>
      <c r="Q19" s="64">
        <v>155334</v>
      </c>
      <c r="R19" s="405">
        <f t="shared" si="37"/>
        <v>0</v>
      </c>
      <c r="S19" s="52">
        <f t="shared" si="5"/>
        <v>0</v>
      </c>
      <c r="T19" s="67">
        <f t="shared" si="28"/>
        <v>0</v>
      </c>
      <c r="U19" s="412">
        <f t="shared" si="14"/>
        <v>2</v>
      </c>
      <c r="V19" s="62">
        <f t="shared" si="15"/>
        <v>168</v>
      </c>
      <c r="W19" s="410"/>
      <c r="X19" s="64">
        <v>2418</v>
      </c>
      <c r="Y19" s="52">
        <f t="shared" si="18"/>
        <v>0</v>
      </c>
      <c r="Z19" s="64">
        <v>135964</v>
      </c>
      <c r="AA19" s="65">
        <f t="shared" si="6"/>
        <v>0</v>
      </c>
      <c r="AB19" s="292">
        <f t="shared" si="39"/>
        <v>0</v>
      </c>
      <c r="AC19" s="64">
        <v>1880</v>
      </c>
      <c r="AD19" s="45">
        <f t="shared" si="7"/>
        <v>5</v>
      </c>
      <c r="AE19" s="64">
        <v>362221</v>
      </c>
      <c r="AF19" s="314">
        <f t="shared" si="19"/>
        <v>284</v>
      </c>
      <c r="AG19" s="212">
        <f t="shared" si="31"/>
        <v>56.8</v>
      </c>
      <c r="AH19" s="62">
        <f t="shared" si="32"/>
        <v>284</v>
      </c>
      <c r="AI19" s="326">
        <f t="shared" si="20"/>
        <v>452</v>
      </c>
      <c r="AJ19" s="326">
        <f>-tanks!AW20</f>
        <v>452</v>
      </c>
      <c r="AK19" s="326">
        <f t="shared" si="21"/>
        <v>0</v>
      </c>
      <c r="AL19" s="326">
        <f>S19+L20+G19</f>
        <v>2</v>
      </c>
      <c r="AM19" s="326">
        <f t="shared" si="22"/>
        <v>5</v>
      </c>
      <c r="AN19" s="64">
        <v>69</v>
      </c>
      <c r="AO19" s="328">
        <f t="shared" si="23"/>
        <v>2070</v>
      </c>
      <c r="AP19" s="64">
        <v>73</v>
      </c>
      <c r="AQ19" s="328">
        <f t="shared" si="24"/>
        <v>2190</v>
      </c>
      <c r="AR19" s="64">
        <v>73</v>
      </c>
      <c r="AS19" s="328">
        <f t="shared" si="33"/>
        <v>2190</v>
      </c>
      <c r="AT19" s="328">
        <f t="shared" si="34"/>
        <v>6450</v>
      </c>
      <c r="AU19" s="328">
        <f t="shared" si="35"/>
        <v>210</v>
      </c>
      <c r="AV19" s="275"/>
      <c r="AW19" s="275"/>
      <c r="AX19" s="321">
        <f t="shared" si="25"/>
        <v>0.7</v>
      </c>
    </row>
    <row r="20" spans="1:50">
      <c r="A20" s="63">
        <f>ELEC!C18</f>
        <v>44028</v>
      </c>
      <c r="B20" s="64">
        <v>171.3</v>
      </c>
      <c r="C20" s="64">
        <v>178</v>
      </c>
      <c r="D20" s="45">
        <f>C19-C20</f>
        <v>-52.8</v>
      </c>
      <c r="E20" s="45">
        <f t="shared" si="9"/>
        <v>-442.464</v>
      </c>
      <c r="F20" s="64">
        <v>1633</v>
      </c>
      <c r="G20" s="52">
        <f t="shared" si="0"/>
        <v>3</v>
      </c>
      <c r="H20" s="64">
        <v>356674</v>
      </c>
      <c r="I20" s="406">
        <f t="shared" si="1"/>
        <v>182</v>
      </c>
      <c r="J20" s="66">
        <f t="shared" si="11"/>
        <v>60.666666666666664</v>
      </c>
      <c r="K20" s="64">
        <v>2077</v>
      </c>
      <c r="L20" s="52">
        <f t="shared" si="2"/>
        <v>0</v>
      </c>
      <c r="M20" s="64">
        <v>152390</v>
      </c>
      <c r="N20" s="406">
        <f t="shared" si="3"/>
        <v>0</v>
      </c>
      <c r="O20" s="64">
        <f t="shared" si="12"/>
        <v>211.87499999999994</v>
      </c>
      <c r="P20" s="64">
        <v>1830</v>
      </c>
      <c r="Q20" s="64">
        <v>155334</v>
      </c>
      <c r="R20" s="405">
        <f t="shared" si="37"/>
        <v>0</v>
      </c>
      <c r="S20" s="52">
        <f t="shared" si="5"/>
        <v>0</v>
      </c>
      <c r="T20" s="67">
        <f t="shared" si="28"/>
        <v>0</v>
      </c>
      <c r="U20" s="412">
        <f t="shared" si="14"/>
        <v>3</v>
      </c>
      <c r="V20" s="62">
        <f t="shared" si="15"/>
        <v>182</v>
      </c>
      <c r="W20" s="410"/>
      <c r="X20" s="64">
        <v>2418</v>
      </c>
      <c r="Y20" s="52">
        <f t="shared" si="18"/>
        <v>0</v>
      </c>
      <c r="Z20" s="64">
        <v>135964</v>
      </c>
      <c r="AA20" s="65">
        <f t="shared" si="6"/>
        <v>0</v>
      </c>
      <c r="AB20" s="292">
        <f t="shared" si="39"/>
        <v>0</v>
      </c>
      <c r="AC20" s="64">
        <v>1881</v>
      </c>
      <c r="AD20" s="45">
        <f t="shared" si="7"/>
        <v>1</v>
      </c>
      <c r="AE20" s="64">
        <v>362296</v>
      </c>
      <c r="AF20" s="314">
        <f t="shared" si="19"/>
        <v>75</v>
      </c>
      <c r="AG20" s="212">
        <f t="shared" si="31"/>
        <v>75</v>
      </c>
      <c r="AH20" s="62">
        <f t="shared" si="32"/>
        <v>75</v>
      </c>
      <c r="AI20" s="326">
        <f t="shared" si="20"/>
        <v>257</v>
      </c>
      <c r="AJ20" s="326">
        <f>-tanks!AW21</f>
        <v>257</v>
      </c>
      <c r="AK20" s="326">
        <f t="shared" si="21"/>
        <v>0</v>
      </c>
      <c r="AL20" s="326">
        <f>S20+L21+G20</f>
        <v>3</v>
      </c>
      <c r="AM20" s="326">
        <f t="shared" si="22"/>
        <v>1</v>
      </c>
      <c r="AN20" s="64">
        <v>83</v>
      </c>
      <c r="AO20" s="328">
        <f t="shared" si="23"/>
        <v>2490</v>
      </c>
      <c r="AP20" s="64">
        <v>83</v>
      </c>
      <c r="AQ20" s="328">
        <f t="shared" si="24"/>
        <v>2490</v>
      </c>
      <c r="AR20" s="64">
        <v>82</v>
      </c>
      <c r="AS20" s="328">
        <f t="shared" si="33"/>
        <v>2460</v>
      </c>
      <c r="AT20" s="328">
        <f t="shared" si="34"/>
        <v>7440</v>
      </c>
      <c r="AU20" s="328">
        <f t="shared" si="35"/>
        <v>310</v>
      </c>
      <c r="AV20" s="275">
        <v>1300</v>
      </c>
      <c r="AW20" s="275">
        <v>0.7</v>
      </c>
      <c r="AX20" s="321">
        <f t="shared" si="25"/>
        <v>0.7</v>
      </c>
    </row>
    <row r="21" spans="1:50">
      <c r="A21" s="63">
        <f>ELEC!C19</f>
        <v>44029</v>
      </c>
      <c r="B21" s="64">
        <f t="shared" ref="B21:B35" si="40">B20</f>
        <v>171.3</v>
      </c>
      <c r="C21" s="64">
        <f t="shared" ref="C21:C35" si="41">C20</f>
        <v>178</v>
      </c>
      <c r="D21" s="45">
        <f t="shared" ref="D21:D31" si="42">C20-C21</f>
        <v>0</v>
      </c>
      <c r="E21" s="45">
        <f t="shared" si="9"/>
        <v>0</v>
      </c>
      <c r="F21" s="64">
        <f t="shared" si="10"/>
        <v>1633</v>
      </c>
      <c r="G21" s="52">
        <f t="shared" si="0"/>
        <v>0</v>
      </c>
      <c r="H21" s="64">
        <f t="shared" si="10"/>
        <v>356674</v>
      </c>
      <c r="I21" s="406">
        <f t="shared" si="1"/>
        <v>0</v>
      </c>
      <c r="J21" s="66">
        <f t="shared" si="11"/>
        <v>0</v>
      </c>
      <c r="K21" s="64">
        <f t="shared" si="12"/>
        <v>2077</v>
      </c>
      <c r="L21" s="52">
        <f t="shared" si="2"/>
        <v>0</v>
      </c>
      <c r="M21" s="64">
        <f t="shared" ref="M21" si="43">M20</f>
        <v>152390</v>
      </c>
      <c r="N21" s="406">
        <f t="shared" si="3"/>
        <v>0</v>
      </c>
      <c r="O21" s="64">
        <f t="shared" si="12"/>
        <v>211.87499999999994</v>
      </c>
      <c r="P21" s="64">
        <f t="shared" si="12"/>
        <v>1830</v>
      </c>
      <c r="Q21" s="64">
        <f t="shared" ref="Q21" si="44">Q20</f>
        <v>155334</v>
      </c>
      <c r="R21" s="405">
        <f t="shared" si="37"/>
        <v>0</v>
      </c>
      <c r="S21" s="52">
        <f t="shared" si="5"/>
        <v>0</v>
      </c>
      <c r="T21" s="67">
        <f t="shared" si="28"/>
        <v>0</v>
      </c>
      <c r="U21" s="412">
        <f t="shared" si="14"/>
        <v>0</v>
      </c>
      <c r="V21" s="62">
        <f t="shared" si="15"/>
        <v>0</v>
      </c>
      <c r="W21" s="410"/>
      <c r="X21" s="64">
        <f t="shared" si="17"/>
        <v>2418</v>
      </c>
      <c r="Y21" s="52">
        <f t="shared" si="18"/>
        <v>0</v>
      </c>
      <c r="Z21" s="64">
        <f t="shared" si="17"/>
        <v>135964</v>
      </c>
      <c r="AA21" s="65">
        <f t="shared" si="6"/>
        <v>0</v>
      </c>
      <c r="AB21" s="292">
        <f t="shared" si="39"/>
        <v>0</v>
      </c>
      <c r="AC21" s="64">
        <f t="shared" ref="AC21:AE21" si="45">AC20</f>
        <v>1881</v>
      </c>
      <c r="AD21" s="45">
        <f t="shared" si="7"/>
        <v>0</v>
      </c>
      <c r="AE21" s="64">
        <f t="shared" si="45"/>
        <v>362296</v>
      </c>
      <c r="AF21" s="314">
        <f t="shared" si="19"/>
        <v>0</v>
      </c>
      <c r="AG21" s="212">
        <f t="shared" si="31"/>
        <v>0</v>
      </c>
      <c r="AH21" s="62">
        <f t="shared" si="32"/>
        <v>0</v>
      </c>
      <c r="AI21" s="326">
        <f t="shared" si="20"/>
        <v>0</v>
      </c>
      <c r="AJ21" s="326">
        <f>-tanks!AW22</f>
        <v>0</v>
      </c>
      <c r="AK21" s="326">
        <f t="shared" si="21"/>
        <v>0</v>
      </c>
      <c r="AL21" s="326">
        <f t="shared" ref="AL21:AL34" si="46">S21+L21+G21</f>
        <v>0</v>
      </c>
      <c r="AM21" s="326">
        <f t="shared" si="22"/>
        <v>0</v>
      </c>
      <c r="AN21" s="64">
        <f t="shared" ref="AN21:AR35" si="47">AN20</f>
        <v>83</v>
      </c>
      <c r="AO21" s="328">
        <f t="shared" si="23"/>
        <v>2490</v>
      </c>
      <c r="AP21" s="64">
        <f t="shared" si="47"/>
        <v>83</v>
      </c>
      <c r="AQ21" s="328">
        <f t="shared" si="24"/>
        <v>2490</v>
      </c>
      <c r="AR21" s="64">
        <f t="shared" si="47"/>
        <v>82</v>
      </c>
      <c r="AS21" s="328">
        <f t="shared" si="33"/>
        <v>2460</v>
      </c>
      <c r="AT21" s="328">
        <f t="shared" si="34"/>
        <v>7440</v>
      </c>
      <c r="AU21" s="328">
        <f t="shared" si="35"/>
        <v>0</v>
      </c>
      <c r="AV21" s="275"/>
      <c r="AW21" s="275"/>
      <c r="AX21" s="321">
        <f t="shared" si="25"/>
        <v>0.7</v>
      </c>
    </row>
    <row r="22" spans="1:50" ht="16.5" customHeight="1">
      <c r="A22" s="63">
        <f>ELEC!C20</f>
        <v>44030</v>
      </c>
      <c r="B22" s="64">
        <f t="shared" si="40"/>
        <v>171.3</v>
      </c>
      <c r="C22" s="64">
        <f t="shared" si="41"/>
        <v>178</v>
      </c>
      <c r="D22" s="45">
        <f t="shared" si="42"/>
        <v>0</v>
      </c>
      <c r="E22" s="45">
        <f t="shared" si="9"/>
        <v>0</v>
      </c>
      <c r="F22" s="64">
        <f t="shared" si="10"/>
        <v>1633</v>
      </c>
      <c r="G22" s="52">
        <f t="shared" si="0"/>
        <v>0</v>
      </c>
      <c r="H22" s="64">
        <f t="shared" si="10"/>
        <v>356674</v>
      </c>
      <c r="I22" s="406">
        <f t="shared" si="1"/>
        <v>0</v>
      </c>
      <c r="J22" s="66">
        <f t="shared" si="11"/>
        <v>0</v>
      </c>
      <c r="K22" s="64">
        <f t="shared" si="12"/>
        <v>2077</v>
      </c>
      <c r="L22" s="52">
        <f t="shared" si="2"/>
        <v>0</v>
      </c>
      <c r="M22" s="64">
        <f t="shared" ref="M22" si="48">M21</f>
        <v>152390</v>
      </c>
      <c r="N22" s="406">
        <f t="shared" si="3"/>
        <v>0</v>
      </c>
      <c r="O22" s="64">
        <f t="shared" si="12"/>
        <v>211.87499999999994</v>
      </c>
      <c r="P22" s="64">
        <f t="shared" si="12"/>
        <v>1830</v>
      </c>
      <c r="Q22" s="64">
        <f t="shared" ref="Q22" si="49">Q21</f>
        <v>155334</v>
      </c>
      <c r="R22" s="405">
        <f t="shared" si="37"/>
        <v>0</v>
      </c>
      <c r="S22" s="52">
        <f t="shared" si="5"/>
        <v>0</v>
      </c>
      <c r="T22" s="67">
        <f t="shared" si="28"/>
        <v>0</v>
      </c>
      <c r="U22" s="412">
        <f t="shared" si="14"/>
        <v>0</v>
      </c>
      <c r="V22" s="62">
        <f t="shared" si="15"/>
        <v>0</v>
      </c>
      <c r="W22" s="410"/>
      <c r="X22" s="64">
        <f t="shared" si="17"/>
        <v>2418</v>
      </c>
      <c r="Y22" s="52">
        <f t="shared" si="18"/>
        <v>0</v>
      </c>
      <c r="Z22" s="64">
        <f t="shared" si="17"/>
        <v>135964</v>
      </c>
      <c r="AA22" s="65">
        <f t="shared" si="6"/>
        <v>0</v>
      </c>
      <c r="AB22" s="292">
        <f t="shared" si="39"/>
        <v>0</v>
      </c>
      <c r="AC22" s="64">
        <f t="shared" ref="AC22:AE22" si="50">AC21</f>
        <v>1881</v>
      </c>
      <c r="AD22" s="45">
        <f t="shared" si="7"/>
        <v>0</v>
      </c>
      <c r="AE22" s="64">
        <f t="shared" si="50"/>
        <v>362296</v>
      </c>
      <c r="AF22" s="314">
        <f t="shared" si="19"/>
        <v>0</v>
      </c>
      <c r="AG22" s="212">
        <f t="shared" si="31"/>
        <v>0</v>
      </c>
      <c r="AH22" s="62">
        <f t="shared" si="32"/>
        <v>0</v>
      </c>
      <c r="AI22" s="326">
        <f t="shared" si="20"/>
        <v>0</v>
      </c>
      <c r="AJ22" s="326">
        <f>-tanks!AW23</f>
        <v>0</v>
      </c>
      <c r="AK22" s="326">
        <f t="shared" si="21"/>
        <v>0</v>
      </c>
      <c r="AL22" s="326">
        <f t="shared" si="46"/>
        <v>0</v>
      </c>
      <c r="AM22" s="326">
        <f t="shared" si="22"/>
        <v>0</v>
      </c>
      <c r="AN22" s="64">
        <f t="shared" si="47"/>
        <v>83</v>
      </c>
      <c r="AO22" s="328">
        <f t="shared" si="23"/>
        <v>2490</v>
      </c>
      <c r="AP22" s="64">
        <f t="shared" si="47"/>
        <v>83</v>
      </c>
      <c r="AQ22" s="328">
        <f t="shared" si="24"/>
        <v>2490</v>
      </c>
      <c r="AR22" s="64">
        <f t="shared" si="47"/>
        <v>82</v>
      </c>
      <c r="AS22" s="328">
        <f t="shared" si="33"/>
        <v>2460</v>
      </c>
      <c r="AT22" s="328">
        <f t="shared" si="34"/>
        <v>7440</v>
      </c>
      <c r="AU22" s="328">
        <f t="shared" si="35"/>
        <v>0</v>
      </c>
      <c r="AV22" s="275"/>
      <c r="AW22" s="275"/>
      <c r="AX22" s="321">
        <f t="shared" si="25"/>
        <v>0.7</v>
      </c>
    </row>
    <row r="23" spans="1:50">
      <c r="A23" s="63">
        <f>ELEC!C21</f>
        <v>44031</v>
      </c>
      <c r="B23" s="64">
        <f t="shared" si="40"/>
        <v>171.3</v>
      </c>
      <c r="C23" s="64">
        <f t="shared" si="41"/>
        <v>178</v>
      </c>
      <c r="D23" s="45">
        <f t="shared" si="42"/>
        <v>0</v>
      </c>
      <c r="E23" s="45">
        <f t="shared" si="9"/>
        <v>0</v>
      </c>
      <c r="F23" s="64">
        <f t="shared" si="10"/>
        <v>1633</v>
      </c>
      <c r="G23" s="52">
        <f t="shared" si="0"/>
        <v>0</v>
      </c>
      <c r="H23" s="64">
        <f t="shared" si="10"/>
        <v>356674</v>
      </c>
      <c r="I23" s="406">
        <f t="shared" si="1"/>
        <v>0</v>
      </c>
      <c r="J23" s="66">
        <f t="shared" si="11"/>
        <v>0</v>
      </c>
      <c r="K23" s="64">
        <f t="shared" si="12"/>
        <v>2077</v>
      </c>
      <c r="L23" s="52">
        <f t="shared" si="2"/>
        <v>0</v>
      </c>
      <c r="M23" s="64">
        <f t="shared" ref="M23" si="51">M22</f>
        <v>152390</v>
      </c>
      <c r="N23" s="406">
        <f t="shared" si="3"/>
        <v>0</v>
      </c>
      <c r="O23" s="64">
        <f t="shared" si="12"/>
        <v>211.87499999999994</v>
      </c>
      <c r="P23" s="64">
        <f t="shared" si="12"/>
        <v>1830</v>
      </c>
      <c r="Q23" s="64">
        <f t="shared" ref="Q23" si="52">Q22</f>
        <v>155334</v>
      </c>
      <c r="R23" s="405">
        <f t="shared" si="37"/>
        <v>0</v>
      </c>
      <c r="S23" s="52">
        <f t="shared" si="5"/>
        <v>0</v>
      </c>
      <c r="T23" s="67">
        <f t="shared" si="28"/>
        <v>0</v>
      </c>
      <c r="U23" s="412">
        <f t="shared" si="14"/>
        <v>0</v>
      </c>
      <c r="V23" s="62">
        <f t="shared" si="15"/>
        <v>0</v>
      </c>
      <c r="W23" s="410"/>
      <c r="X23" s="64">
        <f t="shared" si="17"/>
        <v>2418</v>
      </c>
      <c r="Y23" s="52">
        <f t="shared" si="18"/>
        <v>0</v>
      </c>
      <c r="Z23" s="64">
        <f t="shared" si="17"/>
        <v>135964</v>
      </c>
      <c r="AA23" s="65">
        <f t="shared" si="6"/>
        <v>0</v>
      </c>
      <c r="AB23" s="292">
        <f t="shared" si="39"/>
        <v>0</v>
      </c>
      <c r="AC23" s="64">
        <f t="shared" ref="AC23:AE23" si="53">AC22</f>
        <v>1881</v>
      </c>
      <c r="AD23" s="45">
        <f t="shared" si="7"/>
        <v>0</v>
      </c>
      <c r="AE23" s="64">
        <f t="shared" si="53"/>
        <v>362296</v>
      </c>
      <c r="AF23" s="314">
        <f t="shared" si="19"/>
        <v>0</v>
      </c>
      <c r="AG23" s="212">
        <f t="shared" si="31"/>
        <v>0</v>
      </c>
      <c r="AH23" s="62">
        <f t="shared" si="32"/>
        <v>0</v>
      </c>
      <c r="AI23" s="326">
        <f t="shared" si="20"/>
        <v>0</v>
      </c>
      <c r="AJ23" s="326">
        <f>-tanks!AW24</f>
        <v>0</v>
      </c>
      <c r="AK23" s="326">
        <f t="shared" si="21"/>
        <v>0</v>
      </c>
      <c r="AL23" s="326">
        <f t="shared" si="46"/>
        <v>0</v>
      </c>
      <c r="AM23" s="326">
        <f t="shared" si="22"/>
        <v>0</v>
      </c>
      <c r="AN23" s="64">
        <f t="shared" si="47"/>
        <v>83</v>
      </c>
      <c r="AO23" s="328">
        <f t="shared" si="23"/>
        <v>2490</v>
      </c>
      <c r="AP23" s="64">
        <f t="shared" si="47"/>
        <v>83</v>
      </c>
      <c r="AQ23" s="328">
        <f t="shared" si="24"/>
        <v>2490</v>
      </c>
      <c r="AR23" s="64">
        <f t="shared" si="47"/>
        <v>82</v>
      </c>
      <c r="AS23" s="328">
        <f t="shared" si="33"/>
        <v>2460</v>
      </c>
      <c r="AT23" s="328">
        <f t="shared" si="34"/>
        <v>7440</v>
      </c>
      <c r="AU23" s="328">
        <f t="shared" si="35"/>
        <v>0</v>
      </c>
      <c r="AV23" s="275"/>
      <c r="AW23" s="275"/>
      <c r="AX23" s="321">
        <f t="shared" si="25"/>
        <v>0.7</v>
      </c>
    </row>
    <row r="24" spans="1:50">
      <c r="A24" s="63">
        <f>ELEC!C22</f>
        <v>44032</v>
      </c>
      <c r="B24" s="64">
        <f t="shared" si="40"/>
        <v>171.3</v>
      </c>
      <c r="C24" s="64">
        <f t="shared" si="41"/>
        <v>178</v>
      </c>
      <c r="D24" s="45">
        <f t="shared" si="42"/>
        <v>0</v>
      </c>
      <c r="E24" s="45">
        <f t="shared" si="9"/>
        <v>0</v>
      </c>
      <c r="F24" s="64">
        <f t="shared" si="10"/>
        <v>1633</v>
      </c>
      <c r="G24" s="52">
        <f t="shared" si="0"/>
        <v>0</v>
      </c>
      <c r="H24" s="64">
        <f t="shared" si="10"/>
        <v>356674</v>
      </c>
      <c r="I24" s="406">
        <f t="shared" si="1"/>
        <v>0</v>
      </c>
      <c r="J24" s="66">
        <f t="shared" si="11"/>
        <v>0</v>
      </c>
      <c r="K24" s="64">
        <f t="shared" si="12"/>
        <v>2077</v>
      </c>
      <c r="L24" s="52">
        <f t="shared" si="2"/>
        <v>0</v>
      </c>
      <c r="M24" s="64">
        <f t="shared" ref="M24" si="54">M23</f>
        <v>152390</v>
      </c>
      <c r="N24" s="406">
        <f t="shared" si="3"/>
        <v>0</v>
      </c>
      <c r="O24" s="64">
        <f t="shared" si="12"/>
        <v>211.87499999999994</v>
      </c>
      <c r="P24" s="64">
        <f t="shared" si="12"/>
        <v>1830</v>
      </c>
      <c r="Q24" s="64">
        <f t="shared" ref="Q24" si="55">Q23</f>
        <v>155334</v>
      </c>
      <c r="R24" s="405">
        <f t="shared" si="37"/>
        <v>0</v>
      </c>
      <c r="S24" s="52">
        <f t="shared" si="5"/>
        <v>0</v>
      </c>
      <c r="T24" s="67">
        <f t="shared" si="28"/>
        <v>0</v>
      </c>
      <c r="U24" s="412">
        <f t="shared" si="14"/>
        <v>0</v>
      </c>
      <c r="V24" s="62">
        <f t="shared" si="15"/>
        <v>0</v>
      </c>
      <c r="W24" s="410"/>
      <c r="X24" s="64">
        <f t="shared" si="17"/>
        <v>2418</v>
      </c>
      <c r="Y24" s="52">
        <f t="shared" si="18"/>
        <v>0</v>
      </c>
      <c r="Z24" s="64">
        <f t="shared" si="17"/>
        <v>135964</v>
      </c>
      <c r="AA24" s="65">
        <f t="shared" si="6"/>
        <v>0</v>
      </c>
      <c r="AB24" s="292">
        <f t="shared" ref="AB24:AB34" si="56">SUM(Y24*$AB$2)</f>
        <v>0</v>
      </c>
      <c r="AC24" s="64">
        <f t="shared" ref="AC24:AE24" si="57">AC23</f>
        <v>1881</v>
      </c>
      <c r="AD24" s="45">
        <f t="shared" si="7"/>
        <v>0</v>
      </c>
      <c r="AE24" s="64">
        <f t="shared" si="57"/>
        <v>362296</v>
      </c>
      <c r="AF24" s="314">
        <f t="shared" si="19"/>
        <v>0</v>
      </c>
      <c r="AG24" s="212">
        <f t="shared" si="31"/>
        <v>0</v>
      </c>
      <c r="AH24" s="62">
        <f t="shared" si="32"/>
        <v>0</v>
      </c>
      <c r="AI24" s="326">
        <f t="shared" si="20"/>
        <v>0</v>
      </c>
      <c r="AJ24" s="326">
        <f>-tanks!AW25</f>
        <v>0</v>
      </c>
      <c r="AK24" s="326">
        <f t="shared" si="21"/>
        <v>0</v>
      </c>
      <c r="AL24" s="326">
        <f t="shared" si="46"/>
        <v>0</v>
      </c>
      <c r="AM24" s="326">
        <f t="shared" si="22"/>
        <v>0</v>
      </c>
      <c r="AN24" s="64">
        <f t="shared" si="47"/>
        <v>83</v>
      </c>
      <c r="AO24" s="328">
        <f t="shared" si="23"/>
        <v>2490</v>
      </c>
      <c r="AP24" s="64">
        <f t="shared" si="47"/>
        <v>83</v>
      </c>
      <c r="AQ24" s="328">
        <f t="shared" si="24"/>
        <v>2490</v>
      </c>
      <c r="AR24" s="64">
        <f t="shared" si="47"/>
        <v>82</v>
      </c>
      <c r="AS24" s="328">
        <f t="shared" si="33"/>
        <v>2460</v>
      </c>
      <c r="AT24" s="328">
        <f t="shared" ref="AT24:AT34" si="58">SUM(AO24+AQ24+AS24)</f>
        <v>7440</v>
      </c>
      <c r="AU24" s="328">
        <f t="shared" si="35"/>
        <v>0</v>
      </c>
      <c r="AV24" s="275"/>
      <c r="AW24" s="275"/>
      <c r="AX24" s="321">
        <f t="shared" si="25"/>
        <v>0.7</v>
      </c>
    </row>
    <row r="25" spans="1:50" ht="13.5" customHeight="1">
      <c r="A25" s="63">
        <f>ELEC!C23</f>
        <v>44033</v>
      </c>
      <c r="B25" s="64">
        <f t="shared" si="40"/>
        <v>171.3</v>
      </c>
      <c r="C25" s="64">
        <f t="shared" si="41"/>
        <v>178</v>
      </c>
      <c r="D25" s="45">
        <f t="shared" si="42"/>
        <v>0</v>
      </c>
      <c r="E25" s="45">
        <f t="shared" si="9"/>
        <v>0</v>
      </c>
      <c r="F25" s="64">
        <f t="shared" si="10"/>
        <v>1633</v>
      </c>
      <c r="G25" s="52">
        <f t="shared" si="0"/>
        <v>0</v>
      </c>
      <c r="H25" s="64">
        <f t="shared" si="10"/>
        <v>356674</v>
      </c>
      <c r="I25" s="406">
        <f t="shared" si="1"/>
        <v>0</v>
      </c>
      <c r="J25" s="66">
        <f t="shared" si="11"/>
        <v>0</v>
      </c>
      <c r="K25" s="64">
        <f t="shared" si="12"/>
        <v>2077</v>
      </c>
      <c r="L25" s="52">
        <f t="shared" si="2"/>
        <v>0</v>
      </c>
      <c r="M25" s="64">
        <f t="shared" ref="M25" si="59">M24</f>
        <v>152390</v>
      </c>
      <c r="N25" s="406">
        <f t="shared" si="3"/>
        <v>0</v>
      </c>
      <c r="O25" s="64">
        <f t="shared" si="12"/>
        <v>211.87499999999994</v>
      </c>
      <c r="P25" s="64">
        <f t="shared" si="12"/>
        <v>1830</v>
      </c>
      <c r="Q25" s="64">
        <f t="shared" ref="Q25" si="60">Q24</f>
        <v>155334</v>
      </c>
      <c r="R25" s="405">
        <f t="shared" si="37"/>
        <v>0</v>
      </c>
      <c r="S25" s="52">
        <f t="shared" si="5"/>
        <v>0</v>
      </c>
      <c r="T25" s="67">
        <f t="shared" si="28"/>
        <v>0</v>
      </c>
      <c r="U25" s="412">
        <f t="shared" si="14"/>
        <v>0</v>
      </c>
      <c r="V25" s="62">
        <f t="shared" si="15"/>
        <v>0</v>
      </c>
      <c r="W25" s="410"/>
      <c r="X25" s="64">
        <f t="shared" si="17"/>
        <v>2418</v>
      </c>
      <c r="Y25" s="52">
        <f t="shared" si="18"/>
        <v>0</v>
      </c>
      <c r="Z25" s="64">
        <f t="shared" si="17"/>
        <v>135964</v>
      </c>
      <c r="AA25" s="65">
        <f t="shared" si="6"/>
        <v>0</v>
      </c>
      <c r="AB25" s="292">
        <f t="shared" si="56"/>
        <v>0</v>
      </c>
      <c r="AC25" s="64">
        <f t="shared" ref="AC25:AE25" si="61">AC24</f>
        <v>1881</v>
      </c>
      <c r="AD25" s="45">
        <f t="shared" si="7"/>
        <v>0</v>
      </c>
      <c r="AE25" s="64">
        <f t="shared" si="61"/>
        <v>362296</v>
      </c>
      <c r="AF25" s="314">
        <f t="shared" si="19"/>
        <v>0</v>
      </c>
      <c r="AG25" s="212">
        <f t="shared" si="31"/>
        <v>0</v>
      </c>
      <c r="AH25" s="62">
        <f t="shared" si="32"/>
        <v>0</v>
      </c>
      <c r="AI25" s="326">
        <f t="shared" si="20"/>
        <v>0</v>
      </c>
      <c r="AJ25" s="326">
        <f>-tanks!AW26</f>
        <v>0</v>
      </c>
      <c r="AK25" s="326">
        <f t="shared" si="21"/>
        <v>0</v>
      </c>
      <c r="AL25" s="326">
        <f t="shared" si="46"/>
        <v>0</v>
      </c>
      <c r="AM25" s="326">
        <f t="shared" si="22"/>
        <v>0</v>
      </c>
      <c r="AN25" s="64">
        <f t="shared" si="47"/>
        <v>83</v>
      </c>
      <c r="AO25" s="328">
        <f t="shared" si="23"/>
        <v>2490</v>
      </c>
      <c r="AP25" s="64">
        <f t="shared" si="47"/>
        <v>83</v>
      </c>
      <c r="AQ25" s="328">
        <f t="shared" ref="AQ25:AQ34" si="62">(AP25/100)*3000</f>
        <v>2490</v>
      </c>
      <c r="AR25" s="64">
        <f t="shared" si="47"/>
        <v>82</v>
      </c>
      <c r="AS25" s="328">
        <f t="shared" si="33"/>
        <v>2460</v>
      </c>
      <c r="AT25" s="328">
        <f t="shared" si="58"/>
        <v>7440</v>
      </c>
      <c r="AU25" s="328">
        <f t="shared" si="35"/>
        <v>0</v>
      </c>
      <c r="AV25" s="275"/>
      <c r="AW25" s="275"/>
      <c r="AX25" s="321">
        <f t="shared" si="25"/>
        <v>0.7</v>
      </c>
    </row>
    <row r="26" spans="1:50" ht="14.25" customHeight="1">
      <c r="A26" s="63">
        <f>ELEC!C24</f>
        <v>44034</v>
      </c>
      <c r="B26" s="64">
        <f t="shared" si="40"/>
        <v>171.3</v>
      </c>
      <c r="C26" s="64">
        <f t="shared" si="41"/>
        <v>178</v>
      </c>
      <c r="D26" s="45">
        <f t="shared" si="42"/>
        <v>0</v>
      </c>
      <c r="E26" s="45">
        <f t="shared" si="9"/>
        <v>0</v>
      </c>
      <c r="F26" s="64">
        <f t="shared" si="10"/>
        <v>1633</v>
      </c>
      <c r="G26" s="52">
        <f t="shared" si="0"/>
        <v>0</v>
      </c>
      <c r="H26" s="64">
        <f t="shared" si="10"/>
        <v>356674</v>
      </c>
      <c r="I26" s="406">
        <f t="shared" si="1"/>
        <v>0</v>
      </c>
      <c r="J26" s="66">
        <f t="shared" si="11"/>
        <v>0</v>
      </c>
      <c r="K26" s="64">
        <f t="shared" si="12"/>
        <v>2077</v>
      </c>
      <c r="L26" s="52">
        <f t="shared" si="2"/>
        <v>0</v>
      </c>
      <c r="M26" s="64">
        <f t="shared" ref="M26" si="63">M25</f>
        <v>152390</v>
      </c>
      <c r="N26" s="406">
        <f t="shared" si="3"/>
        <v>0</v>
      </c>
      <c r="O26" s="64">
        <f t="shared" si="12"/>
        <v>211.87499999999994</v>
      </c>
      <c r="P26" s="64">
        <f t="shared" si="12"/>
        <v>1830</v>
      </c>
      <c r="Q26" s="64">
        <f t="shared" ref="Q26" si="64">Q25</f>
        <v>155334</v>
      </c>
      <c r="R26" s="405">
        <f t="shared" si="37"/>
        <v>0</v>
      </c>
      <c r="S26" s="52">
        <f t="shared" si="5"/>
        <v>0</v>
      </c>
      <c r="T26" s="67">
        <f t="shared" si="28"/>
        <v>0</v>
      </c>
      <c r="U26" s="412">
        <f t="shared" si="14"/>
        <v>0</v>
      </c>
      <c r="V26" s="62">
        <f t="shared" si="15"/>
        <v>0</v>
      </c>
      <c r="W26" s="410"/>
      <c r="X26" s="64">
        <f t="shared" si="17"/>
        <v>2418</v>
      </c>
      <c r="Y26" s="52">
        <f t="shared" si="18"/>
        <v>0</v>
      </c>
      <c r="Z26" s="64">
        <f t="shared" si="17"/>
        <v>135964</v>
      </c>
      <c r="AA26" s="65">
        <f t="shared" si="6"/>
        <v>0</v>
      </c>
      <c r="AB26" s="292">
        <f t="shared" si="56"/>
        <v>0</v>
      </c>
      <c r="AC26" s="64">
        <f t="shared" ref="AC26:AE26" si="65">AC25</f>
        <v>1881</v>
      </c>
      <c r="AD26" s="45">
        <f t="shared" si="7"/>
        <v>0</v>
      </c>
      <c r="AE26" s="64">
        <f t="shared" si="65"/>
        <v>362296</v>
      </c>
      <c r="AF26" s="314">
        <f t="shared" si="19"/>
        <v>0</v>
      </c>
      <c r="AG26" s="212">
        <f t="shared" si="31"/>
        <v>0</v>
      </c>
      <c r="AH26" s="62">
        <f t="shared" si="32"/>
        <v>0</v>
      </c>
      <c r="AI26" s="326">
        <f t="shared" si="20"/>
        <v>0</v>
      </c>
      <c r="AJ26" s="326">
        <f>-tanks!AW27</f>
        <v>0</v>
      </c>
      <c r="AK26" s="326">
        <f t="shared" si="21"/>
        <v>0</v>
      </c>
      <c r="AL26" s="326">
        <f t="shared" si="46"/>
        <v>0</v>
      </c>
      <c r="AM26" s="326">
        <f t="shared" si="22"/>
        <v>0</v>
      </c>
      <c r="AN26" s="64">
        <f t="shared" si="47"/>
        <v>83</v>
      </c>
      <c r="AO26" s="328">
        <f t="shared" si="23"/>
        <v>2490</v>
      </c>
      <c r="AP26" s="64">
        <f t="shared" si="47"/>
        <v>83</v>
      </c>
      <c r="AQ26" s="328">
        <f t="shared" si="62"/>
        <v>2490</v>
      </c>
      <c r="AR26" s="64">
        <f t="shared" si="47"/>
        <v>82</v>
      </c>
      <c r="AS26" s="328">
        <f t="shared" si="33"/>
        <v>2460</v>
      </c>
      <c r="AT26" s="328">
        <f t="shared" si="58"/>
        <v>7440</v>
      </c>
      <c r="AU26" s="328">
        <f t="shared" si="35"/>
        <v>0</v>
      </c>
      <c r="AV26" s="275"/>
      <c r="AW26" s="275"/>
      <c r="AX26" s="321">
        <f t="shared" si="25"/>
        <v>0.7</v>
      </c>
    </row>
    <row r="27" spans="1:50">
      <c r="A27" s="63">
        <f>ELEC!C25</f>
        <v>44035</v>
      </c>
      <c r="B27" s="64">
        <f t="shared" si="40"/>
        <v>171.3</v>
      </c>
      <c r="C27" s="64">
        <f t="shared" si="41"/>
        <v>178</v>
      </c>
      <c r="D27" s="45">
        <f t="shared" si="42"/>
        <v>0</v>
      </c>
      <c r="E27" s="45">
        <f t="shared" si="9"/>
        <v>0</v>
      </c>
      <c r="F27" s="64">
        <f t="shared" si="10"/>
        <v>1633</v>
      </c>
      <c r="G27" s="52">
        <f t="shared" si="0"/>
        <v>0</v>
      </c>
      <c r="H27" s="64">
        <f t="shared" si="10"/>
        <v>356674</v>
      </c>
      <c r="I27" s="406">
        <f t="shared" si="1"/>
        <v>0</v>
      </c>
      <c r="J27" s="66">
        <f t="shared" si="11"/>
        <v>0</v>
      </c>
      <c r="K27" s="64">
        <f t="shared" si="12"/>
        <v>2077</v>
      </c>
      <c r="L27" s="52">
        <f t="shared" si="2"/>
        <v>0</v>
      </c>
      <c r="M27" s="64">
        <f t="shared" ref="M27" si="66">M26</f>
        <v>152390</v>
      </c>
      <c r="N27" s="406">
        <f t="shared" si="3"/>
        <v>0</v>
      </c>
      <c r="O27" s="64">
        <f t="shared" si="12"/>
        <v>211.87499999999994</v>
      </c>
      <c r="P27" s="64">
        <f t="shared" si="12"/>
        <v>1830</v>
      </c>
      <c r="Q27" s="64">
        <f t="shared" ref="Q27" si="67">Q26</f>
        <v>155334</v>
      </c>
      <c r="R27" s="405">
        <f t="shared" si="37"/>
        <v>0</v>
      </c>
      <c r="S27" s="52">
        <f t="shared" si="5"/>
        <v>0</v>
      </c>
      <c r="T27" s="67">
        <f t="shared" si="28"/>
        <v>0</v>
      </c>
      <c r="U27" s="412">
        <f t="shared" si="14"/>
        <v>0</v>
      </c>
      <c r="V27" s="62">
        <f t="shared" si="15"/>
        <v>0</v>
      </c>
      <c r="W27" s="410"/>
      <c r="X27" s="64">
        <f t="shared" si="17"/>
        <v>2418</v>
      </c>
      <c r="Y27" s="52">
        <f t="shared" si="18"/>
        <v>0</v>
      </c>
      <c r="Z27" s="64">
        <f t="shared" si="17"/>
        <v>135964</v>
      </c>
      <c r="AA27" s="65">
        <f t="shared" si="6"/>
        <v>0</v>
      </c>
      <c r="AB27" s="292">
        <f t="shared" si="56"/>
        <v>0</v>
      </c>
      <c r="AC27" s="64">
        <f t="shared" ref="AC27:AE27" si="68">AC26</f>
        <v>1881</v>
      </c>
      <c r="AD27" s="45">
        <f t="shared" si="7"/>
        <v>0</v>
      </c>
      <c r="AE27" s="64">
        <f t="shared" si="68"/>
        <v>362296</v>
      </c>
      <c r="AF27" s="314">
        <f t="shared" si="19"/>
        <v>0</v>
      </c>
      <c r="AG27" s="212">
        <f t="shared" si="31"/>
        <v>0</v>
      </c>
      <c r="AH27" s="62">
        <f t="shared" si="32"/>
        <v>0</v>
      </c>
      <c r="AI27" s="326">
        <f t="shared" si="20"/>
        <v>0</v>
      </c>
      <c r="AJ27" s="326">
        <f>-tanks!AW28</f>
        <v>0</v>
      </c>
      <c r="AK27" s="326">
        <f t="shared" si="21"/>
        <v>0</v>
      </c>
      <c r="AL27" s="326">
        <f t="shared" si="46"/>
        <v>0</v>
      </c>
      <c r="AM27" s="326">
        <f t="shared" si="22"/>
        <v>0</v>
      </c>
      <c r="AN27" s="64">
        <f t="shared" si="47"/>
        <v>83</v>
      </c>
      <c r="AO27" s="328">
        <f>(AN27/100)*3000</f>
        <v>2490</v>
      </c>
      <c r="AP27" s="64">
        <f t="shared" si="47"/>
        <v>83</v>
      </c>
      <c r="AQ27" s="328">
        <f t="shared" si="62"/>
        <v>2490</v>
      </c>
      <c r="AR27" s="64">
        <f t="shared" si="47"/>
        <v>82</v>
      </c>
      <c r="AS27" s="328">
        <f t="shared" si="33"/>
        <v>2460</v>
      </c>
      <c r="AT27" s="328">
        <f t="shared" si="58"/>
        <v>7440</v>
      </c>
      <c r="AU27" s="328">
        <f t="shared" si="35"/>
        <v>0</v>
      </c>
      <c r="AV27" s="275"/>
      <c r="AW27" s="517"/>
      <c r="AX27" s="321">
        <f t="shared" si="25"/>
        <v>0.7</v>
      </c>
    </row>
    <row r="28" spans="1:50">
      <c r="A28" s="63">
        <f>ELEC!C26</f>
        <v>44036</v>
      </c>
      <c r="B28" s="64">
        <f t="shared" si="40"/>
        <v>171.3</v>
      </c>
      <c r="C28" s="64">
        <f t="shared" si="41"/>
        <v>178</v>
      </c>
      <c r="D28" s="45">
        <f t="shared" si="42"/>
        <v>0</v>
      </c>
      <c r="E28" s="45">
        <f t="shared" si="9"/>
        <v>0</v>
      </c>
      <c r="F28" s="64">
        <f t="shared" si="10"/>
        <v>1633</v>
      </c>
      <c r="G28" s="52">
        <f t="shared" si="0"/>
        <v>0</v>
      </c>
      <c r="H28" s="64">
        <f t="shared" si="10"/>
        <v>356674</v>
      </c>
      <c r="I28" s="406">
        <f t="shared" si="1"/>
        <v>0</v>
      </c>
      <c r="J28" s="66">
        <f t="shared" si="11"/>
        <v>0</v>
      </c>
      <c r="K28" s="64">
        <f t="shared" si="12"/>
        <v>2077</v>
      </c>
      <c r="L28" s="52">
        <f t="shared" si="2"/>
        <v>0</v>
      </c>
      <c r="M28" s="64">
        <f t="shared" ref="M28" si="69">M27</f>
        <v>152390</v>
      </c>
      <c r="N28" s="406">
        <f t="shared" si="3"/>
        <v>0</v>
      </c>
      <c r="O28" s="64">
        <f t="shared" si="12"/>
        <v>211.87499999999994</v>
      </c>
      <c r="P28" s="64">
        <f t="shared" si="12"/>
        <v>1830</v>
      </c>
      <c r="Q28" s="64">
        <f t="shared" ref="Q28" si="70">Q27</f>
        <v>155334</v>
      </c>
      <c r="R28" s="405">
        <f t="shared" si="37"/>
        <v>0</v>
      </c>
      <c r="S28" s="52">
        <f t="shared" si="5"/>
        <v>0</v>
      </c>
      <c r="T28" s="67">
        <f t="shared" si="28"/>
        <v>0</v>
      </c>
      <c r="U28" s="412">
        <f t="shared" si="14"/>
        <v>0</v>
      </c>
      <c r="V28" s="62">
        <f t="shared" si="15"/>
        <v>0</v>
      </c>
      <c r="W28" s="410"/>
      <c r="X28" s="64">
        <f t="shared" si="17"/>
        <v>2418</v>
      </c>
      <c r="Y28" s="52">
        <f t="shared" si="18"/>
        <v>0</v>
      </c>
      <c r="Z28" s="64">
        <f t="shared" si="17"/>
        <v>135964</v>
      </c>
      <c r="AA28" s="65">
        <f t="shared" si="6"/>
        <v>0</v>
      </c>
      <c r="AB28" s="292">
        <f t="shared" si="56"/>
        <v>0</v>
      </c>
      <c r="AC28" s="64">
        <f t="shared" ref="AC28:AE28" si="71">AC27</f>
        <v>1881</v>
      </c>
      <c r="AD28" s="45">
        <f t="shared" si="7"/>
        <v>0</v>
      </c>
      <c r="AE28" s="64">
        <f t="shared" si="71"/>
        <v>362296</v>
      </c>
      <c r="AF28" s="314">
        <f t="shared" si="19"/>
        <v>0</v>
      </c>
      <c r="AG28" s="212">
        <f t="shared" si="31"/>
        <v>0</v>
      </c>
      <c r="AH28" s="62">
        <f t="shared" si="32"/>
        <v>0</v>
      </c>
      <c r="AI28" s="326">
        <f t="shared" si="20"/>
        <v>0</v>
      </c>
      <c r="AJ28" s="326">
        <f>-tanks!AW29</f>
        <v>0</v>
      </c>
      <c r="AK28" s="326">
        <f t="shared" si="21"/>
        <v>0</v>
      </c>
      <c r="AL28" s="326">
        <f t="shared" si="46"/>
        <v>0</v>
      </c>
      <c r="AM28" s="326">
        <f t="shared" si="22"/>
        <v>0</v>
      </c>
      <c r="AN28" s="64">
        <f t="shared" si="47"/>
        <v>83</v>
      </c>
      <c r="AO28" s="328">
        <f t="shared" ref="AO28:AO34" si="72">(AN28/100)*3000</f>
        <v>2490</v>
      </c>
      <c r="AP28" s="64">
        <f t="shared" si="47"/>
        <v>83</v>
      </c>
      <c r="AQ28" s="328">
        <f t="shared" si="62"/>
        <v>2490</v>
      </c>
      <c r="AR28" s="64">
        <f t="shared" si="47"/>
        <v>82</v>
      </c>
      <c r="AS28" s="328">
        <f t="shared" si="33"/>
        <v>2460</v>
      </c>
      <c r="AT28" s="328">
        <f t="shared" si="58"/>
        <v>7440</v>
      </c>
      <c r="AU28" s="328">
        <f t="shared" si="35"/>
        <v>0</v>
      </c>
      <c r="AV28" s="275"/>
      <c r="AW28" s="275"/>
      <c r="AX28" s="321">
        <f t="shared" si="25"/>
        <v>0.7</v>
      </c>
    </row>
    <row r="29" spans="1:50">
      <c r="A29" s="63">
        <f>ELEC!C27</f>
        <v>44037</v>
      </c>
      <c r="B29" s="64">
        <f t="shared" si="40"/>
        <v>171.3</v>
      </c>
      <c r="C29" s="64">
        <f t="shared" si="41"/>
        <v>178</v>
      </c>
      <c r="D29" s="45">
        <f t="shared" si="42"/>
        <v>0</v>
      </c>
      <c r="E29" s="45">
        <f t="shared" si="9"/>
        <v>0</v>
      </c>
      <c r="F29" s="64">
        <f t="shared" si="10"/>
        <v>1633</v>
      </c>
      <c r="G29" s="52">
        <f t="shared" si="0"/>
        <v>0</v>
      </c>
      <c r="H29" s="64">
        <f t="shared" si="10"/>
        <v>356674</v>
      </c>
      <c r="I29" s="406">
        <f t="shared" si="1"/>
        <v>0</v>
      </c>
      <c r="J29" s="66">
        <f t="shared" si="11"/>
        <v>0</v>
      </c>
      <c r="K29" s="64">
        <f t="shared" si="12"/>
        <v>2077</v>
      </c>
      <c r="L29" s="52">
        <f t="shared" si="2"/>
        <v>0</v>
      </c>
      <c r="M29" s="64">
        <f t="shared" ref="M29" si="73">M28</f>
        <v>152390</v>
      </c>
      <c r="N29" s="406">
        <f t="shared" si="3"/>
        <v>0</v>
      </c>
      <c r="O29" s="64">
        <f t="shared" si="12"/>
        <v>211.87499999999994</v>
      </c>
      <c r="P29" s="64">
        <f t="shared" si="12"/>
        <v>1830</v>
      </c>
      <c r="Q29" s="64">
        <f t="shared" ref="Q29" si="74">Q28</f>
        <v>155334</v>
      </c>
      <c r="R29" s="405">
        <f t="shared" si="37"/>
        <v>0</v>
      </c>
      <c r="S29" s="52">
        <f t="shared" si="5"/>
        <v>0</v>
      </c>
      <c r="T29" s="67">
        <f t="shared" si="28"/>
        <v>0</v>
      </c>
      <c r="U29" s="412">
        <f t="shared" si="14"/>
        <v>0</v>
      </c>
      <c r="V29" s="62">
        <f t="shared" si="15"/>
        <v>0</v>
      </c>
      <c r="W29" s="410"/>
      <c r="X29" s="64">
        <f t="shared" si="17"/>
        <v>2418</v>
      </c>
      <c r="Y29" s="52">
        <f t="shared" si="18"/>
        <v>0</v>
      </c>
      <c r="Z29" s="64">
        <f t="shared" si="17"/>
        <v>135964</v>
      </c>
      <c r="AA29" s="65">
        <f t="shared" si="6"/>
        <v>0</v>
      </c>
      <c r="AB29" s="292">
        <f t="shared" si="56"/>
        <v>0</v>
      </c>
      <c r="AC29" s="64">
        <f t="shared" ref="AC29:AE29" si="75">AC28</f>
        <v>1881</v>
      </c>
      <c r="AD29" s="45">
        <f t="shared" si="7"/>
        <v>0</v>
      </c>
      <c r="AE29" s="64">
        <f t="shared" si="75"/>
        <v>362296</v>
      </c>
      <c r="AF29" s="314">
        <f t="shared" si="19"/>
        <v>0</v>
      </c>
      <c r="AG29" s="212">
        <f t="shared" si="31"/>
        <v>0</v>
      </c>
      <c r="AH29" s="62">
        <f t="shared" si="32"/>
        <v>0</v>
      </c>
      <c r="AI29" s="326">
        <f t="shared" si="20"/>
        <v>0</v>
      </c>
      <c r="AJ29" s="326">
        <f>-tanks!AW30</f>
        <v>0</v>
      </c>
      <c r="AK29" s="326">
        <f t="shared" si="21"/>
        <v>0</v>
      </c>
      <c r="AL29" s="326">
        <f t="shared" si="46"/>
        <v>0</v>
      </c>
      <c r="AM29" s="326">
        <f t="shared" si="22"/>
        <v>0</v>
      </c>
      <c r="AN29" s="64">
        <f t="shared" si="47"/>
        <v>83</v>
      </c>
      <c r="AO29" s="328">
        <f t="shared" si="72"/>
        <v>2490</v>
      </c>
      <c r="AP29" s="64">
        <f t="shared" si="47"/>
        <v>83</v>
      </c>
      <c r="AQ29" s="328">
        <f t="shared" si="62"/>
        <v>2490</v>
      </c>
      <c r="AR29" s="64">
        <f t="shared" si="47"/>
        <v>82</v>
      </c>
      <c r="AS29" s="328">
        <f t="shared" si="33"/>
        <v>2460</v>
      </c>
      <c r="AT29" s="328">
        <f>SUM(AO29+AQ29+AS29)</f>
        <v>7440</v>
      </c>
      <c r="AU29" s="328">
        <f>AT28-AT29+AV29</f>
        <v>0</v>
      </c>
      <c r="AV29" s="275"/>
      <c r="AW29" s="275"/>
      <c r="AX29" s="321">
        <f t="shared" si="25"/>
        <v>0.7</v>
      </c>
    </row>
    <row r="30" spans="1:50">
      <c r="A30" s="63">
        <f>ELEC!C28</f>
        <v>44038</v>
      </c>
      <c r="B30" s="64">
        <f t="shared" si="40"/>
        <v>171.3</v>
      </c>
      <c r="C30" s="64">
        <f t="shared" si="41"/>
        <v>178</v>
      </c>
      <c r="D30" s="45">
        <f t="shared" si="42"/>
        <v>0</v>
      </c>
      <c r="E30" s="45">
        <f t="shared" si="9"/>
        <v>0</v>
      </c>
      <c r="F30" s="64">
        <f t="shared" si="10"/>
        <v>1633</v>
      </c>
      <c r="G30" s="52">
        <f t="shared" si="0"/>
        <v>0</v>
      </c>
      <c r="H30" s="64">
        <f t="shared" si="10"/>
        <v>356674</v>
      </c>
      <c r="I30" s="406">
        <f t="shared" si="1"/>
        <v>0</v>
      </c>
      <c r="J30" s="66">
        <f t="shared" si="11"/>
        <v>0</v>
      </c>
      <c r="K30" s="64">
        <f t="shared" si="12"/>
        <v>2077</v>
      </c>
      <c r="L30" s="52">
        <f t="shared" si="2"/>
        <v>0</v>
      </c>
      <c r="M30" s="64">
        <f t="shared" ref="M30" si="76">M29</f>
        <v>152390</v>
      </c>
      <c r="N30" s="406">
        <f t="shared" si="3"/>
        <v>0</v>
      </c>
      <c r="O30" s="64">
        <f t="shared" si="12"/>
        <v>211.87499999999994</v>
      </c>
      <c r="P30" s="64">
        <f t="shared" si="12"/>
        <v>1830</v>
      </c>
      <c r="Q30" s="64">
        <f t="shared" ref="Q30" si="77">Q29</f>
        <v>155334</v>
      </c>
      <c r="R30" s="405">
        <f t="shared" si="37"/>
        <v>0</v>
      </c>
      <c r="S30" s="52">
        <f t="shared" si="5"/>
        <v>0</v>
      </c>
      <c r="T30" s="67">
        <f t="shared" si="28"/>
        <v>0</v>
      </c>
      <c r="U30" s="412">
        <f t="shared" si="14"/>
        <v>0</v>
      </c>
      <c r="V30" s="62">
        <f t="shared" si="15"/>
        <v>0</v>
      </c>
      <c r="W30" s="410"/>
      <c r="X30" s="64">
        <f t="shared" si="17"/>
        <v>2418</v>
      </c>
      <c r="Y30" s="52">
        <f t="shared" si="18"/>
        <v>0</v>
      </c>
      <c r="Z30" s="64">
        <f t="shared" si="17"/>
        <v>135964</v>
      </c>
      <c r="AA30" s="65">
        <f t="shared" si="6"/>
        <v>0</v>
      </c>
      <c r="AB30" s="292">
        <f t="shared" si="56"/>
        <v>0</v>
      </c>
      <c r="AC30" s="64">
        <f t="shared" ref="AC30:AE30" si="78">AC29</f>
        <v>1881</v>
      </c>
      <c r="AD30" s="45">
        <f t="shared" si="7"/>
        <v>0</v>
      </c>
      <c r="AE30" s="64">
        <f t="shared" si="78"/>
        <v>362296</v>
      </c>
      <c r="AF30" s="314">
        <f t="shared" si="19"/>
        <v>0</v>
      </c>
      <c r="AG30" s="212">
        <f t="shared" si="31"/>
        <v>0</v>
      </c>
      <c r="AH30" s="62">
        <f t="shared" si="32"/>
        <v>0</v>
      </c>
      <c r="AI30" s="326">
        <f t="shared" si="20"/>
        <v>0</v>
      </c>
      <c r="AJ30" s="326">
        <f>-tanks!AW31</f>
        <v>0</v>
      </c>
      <c r="AK30" s="326">
        <f t="shared" si="21"/>
        <v>0</v>
      </c>
      <c r="AL30" s="326">
        <f t="shared" si="46"/>
        <v>0</v>
      </c>
      <c r="AM30" s="326">
        <f t="shared" si="22"/>
        <v>0</v>
      </c>
      <c r="AN30" s="64">
        <f t="shared" si="47"/>
        <v>83</v>
      </c>
      <c r="AO30" s="328">
        <f t="shared" si="72"/>
        <v>2490</v>
      </c>
      <c r="AP30" s="64">
        <f t="shared" si="47"/>
        <v>83</v>
      </c>
      <c r="AQ30" s="328">
        <f t="shared" si="62"/>
        <v>2490</v>
      </c>
      <c r="AR30" s="64">
        <f t="shared" si="47"/>
        <v>82</v>
      </c>
      <c r="AS30" s="328">
        <f t="shared" si="33"/>
        <v>2460</v>
      </c>
      <c r="AT30" s="328">
        <f t="shared" si="58"/>
        <v>7440</v>
      </c>
      <c r="AU30" s="328">
        <f t="shared" si="35"/>
        <v>0</v>
      </c>
      <c r="AV30" s="275"/>
      <c r="AW30" s="275"/>
      <c r="AX30" s="321">
        <f t="shared" si="25"/>
        <v>0.7</v>
      </c>
    </row>
    <row r="31" spans="1:50">
      <c r="A31" s="63">
        <f>ELEC!C29</f>
        <v>44039</v>
      </c>
      <c r="B31" s="64">
        <f t="shared" si="40"/>
        <v>171.3</v>
      </c>
      <c r="C31" s="64">
        <f t="shared" si="41"/>
        <v>178</v>
      </c>
      <c r="D31" s="45">
        <f t="shared" si="42"/>
        <v>0</v>
      </c>
      <c r="E31" s="45">
        <f t="shared" si="9"/>
        <v>0</v>
      </c>
      <c r="F31" s="64">
        <f t="shared" si="10"/>
        <v>1633</v>
      </c>
      <c r="G31" s="52">
        <f t="shared" si="0"/>
        <v>0</v>
      </c>
      <c r="H31" s="64">
        <f t="shared" si="10"/>
        <v>356674</v>
      </c>
      <c r="I31" s="406">
        <f t="shared" si="1"/>
        <v>0</v>
      </c>
      <c r="J31" s="66">
        <f t="shared" si="11"/>
        <v>0</v>
      </c>
      <c r="K31" s="64">
        <f t="shared" si="12"/>
        <v>2077</v>
      </c>
      <c r="L31" s="52">
        <f t="shared" si="2"/>
        <v>0</v>
      </c>
      <c r="M31" s="64">
        <f t="shared" ref="M31" si="79">M30</f>
        <v>152390</v>
      </c>
      <c r="N31" s="406">
        <f t="shared" si="3"/>
        <v>0</v>
      </c>
      <c r="O31" s="64">
        <f t="shared" si="12"/>
        <v>211.87499999999994</v>
      </c>
      <c r="P31" s="64">
        <f t="shared" si="12"/>
        <v>1830</v>
      </c>
      <c r="Q31" s="64">
        <f t="shared" ref="Q31" si="80">Q30</f>
        <v>155334</v>
      </c>
      <c r="R31" s="405">
        <f t="shared" si="37"/>
        <v>0</v>
      </c>
      <c r="S31" s="52">
        <f t="shared" si="5"/>
        <v>0</v>
      </c>
      <c r="T31" s="67">
        <f t="shared" si="28"/>
        <v>0</v>
      </c>
      <c r="U31" s="412">
        <f t="shared" si="14"/>
        <v>0</v>
      </c>
      <c r="V31" s="62">
        <f t="shared" si="15"/>
        <v>0</v>
      </c>
      <c r="W31" s="410"/>
      <c r="X31" s="64">
        <f t="shared" si="17"/>
        <v>2418</v>
      </c>
      <c r="Y31" s="52">
        <f t="shared" si="18"/>
        <v>0</v>
      </c>
      <c r="Z31" s="64">
        <f t="shared" si="17"/>
        <v>135964</v>
      </c>
      <c r="AA31" s="65">
        <f t="shared" si="6"/>
        <v>0</v>
      </c>
      <c r="AB31" s="292">
        <f t="shared" si="56"/>
        <v>0</v>
      </c>
      <c r="AC31" s="64">
        <f t="shared" ref="AC31:AE31" si="81">AC30</f>
        <v>1881</v>
      </c>
      <c r="AD31" s="275">
        <f t="shared" si="7"/>
        <v>0</v>
      </c>
      <c r="AE31" s="64">
        <f t="shared" si="81"/>
        <v>362296</v>
      </c>
      <c r="AF31" s="314">
        <f t="shared" si="19"/>
        <v>0</v>
      </c>
      <c r="AG31" s="212">
        <f t="shared" si="31"/>
        <v>0</v>
      </c>
      <c r="AH31" s="62">
        <f t="shared" si="32"/>
        <v>0</v>
      </c>
      <c r="AI31" s="326">
        <f t="shared" si="20"/>
        <v>0</v>
      </c>
      <c r="AJ31" s="326">
        <f>-tanks!AW32</f>
        <v>0</v>
      </c>
      <c r="AK31" s="326">
        <f t="shared" si="21"/>
        <v>0</v>
      </c>
      <c r="AL31" s="326">
        <f t="shared" si="46"/>
        <v>0</v>
      </c>
      <c r="AM31" s="326">
        <f t="shared" si="22"/>
        <v>0</v>
      </c>
      <c r="AN31" s="64">
        <f t="shared" si="47"/>
        <v>83</v>
      </c>
      <c r="AO31" s="328">
        <f t="shared" si="72"/>
        <v>2490</v>
      </c>
      <c r="AP31" s="64">
        <f t="shared" si="47"/>
        <v>83</v>
      </c>
      <c r="AQ31" s="328">
        <f t="shared" si="62"/>
        <v>2490</v>
      </c>
      <c r="AR31" s="64">
        <f t="shared" si="47"/>
        <v>82</v>
      </c>
      <c r="AS31" s="328">
        <f t="shared" si="33"/>
        <v>2460</v>
      </c>
      <c r="AT31" s="328">
        <f t="shared" si="58"/>
        <v>7440</v>
      </c>
      <c r="AU31" s="328">
        <f t="shared" si="35"/>
        <v>0</v>
      </c>
      <c r="AV31" s="275"/>
      <c r="AW31" s="275"/>
      <c r="AX31" s="321">
        <f t="shared" si="25"/>
        <v>0.7</v>
      </c>
    </row>
    <row r="32" spans="1:50">
      <c r="A32" s="63">
        <f>ELEC!C30</f>
        <v>44040</v>
      </c>
      <c r="B32" s="64">
        <f t="shared" si="40"/>
        <v>171.3</v>
      </c>
      <c r="C32" s="64">
        <f t="shared" si="41"/>
        <v>178</v>
      </c>
      <c r="D32" s="45">
        <f t="shared" si="26"/>
        <v>0</v>
      </c>
      <c r="E32" s="45">
        <f t="shared" ref="E32:E34" si="82">D32*8.38</f>
        <v>0</v>
      </c>
      <c r="F32" s="64">
        <f t="shared" si="10"/>
        <v>1633</v>
      </c>
      <c r="G32" s="52">
        <f t="shared" si="0"/>
        <v>0</v>
      </c>
      <c r="H32" s="64">
        <f t="shared" si="10"/>
        <v>356674</v>
      </c>
      <c r="I32" s="406">
        <f t="shared" si="1"/>
        <v>0</v>
      </c>
      <c r="J32" s="66">
        <f t="shared" si="11"/>
        <v>0</v>
      </c>
      <c r="K32" s="64">
        <f t="shared" si="12"/>
        <v>2077</v>
      </c>
      <c r="L32" s="52">
        <f t="shared" si="2"/>
        <v>0</v>
      </c>
      <c r="M32" s="64">
        <f t="shared" ref="M32" si="83">M31</f>
        <v>152390</v>
      </c>
      <c r="N32" s="406">
        <f t="shared" si="3"/>
        <v>0</v>
      </c>
      <c r="O32" s="64">
        <f t="shared" si="12"/>
        <v>211.87499999999994</v>
      </c>
      <c r="P32" s="64">
        <f t="shared" si="12"/>
        <v>1830</v>
      </c>
      <c r="Q32" s="64">
        <f t="shared" ref="Q32" si="84">Q31</f>
        <v>155334</v>
      </c>
      <c r="R32" s="405">
        <f t="shared" si="37"/>
        <v>0</v>
      </c>
      <c r="S32" s="52">
        <f t="shared" si="5"/>
        <v>0</v>
      </c>
      <c r="T32" s="67">
        <f t="shared" si="28"/>
        <v>0</v>
      </c>
      <c r="U32" s="412">
        <f t="shared" si="14"/>
        <v>0</v>
      </c>
      <c r="V32" s="62">
        <f t="shared" si="15"/>
        <v>0</v>
      </c>
      <c r="W32" s="410"/>
      <c r="X32" s="64">
        <f t="shared" si="17"/>
        <v>2418</v>
      </c>
      <c r="Y32" s="52">
        <f t="shared" si="18"/>
        <v>0</v>
      </c>
      <c r="Z32" s="64">
        <f t="shared" si="17"/>
        <v>135964</v>
      </c>
      <c r="AA32" s="65">
        <f t="shared" si="6"/>
        <v>0</v>
      </c>
      <c r="AB32" s="292">
        <f t="shared" si="56"/>
        <v>0</v>
      </c>
      <c r="AC32" s="64">
        <f t="shared" ref="AC32:AE32" si="85">AC31</f>
        <v>1881</v>
      </c>
      <c r="AD32" s="275">
        <f t="shared" si="7"/>
        <v>0</v>
      </c>
      <c r="AE32" s="64">
        <f t="shared" si="85"/>
        <v>362296</v>
      </c>
      <c r="AF32" s="314">
        <f t="shared" si="19"/>
        <v>0</v>
      </c>
      <c r="AG32" s="212">
        <f t="shared" si="31"/>
        <v>0</v>
      </c>
      <c r="AH32" s="62">
        <f t="shared" si="32"/>
        <v>0</v>
      </c>
      <c r="AI32" s="326">
        <f t="shared" si="20"/>
        <v>0</v>
      </c>
      <c r="AJ32" s="326">
        <f>-tanks!AW33</f>
        <v>0</v>
      </c>
      <c r="AK32" s="326">
        <f t="shared" si="21"/>
        <v>0</v>
      </c>
      <c r="AL32" s="326">
        <f t="shared" si="46"/>
        <v>0</v>
      </c>
      <c r="AM32" s="326">
        <f t="shared" si="22"/>
        <v>0</v>
      </c>
      <c r="AN32" s="64">
        <f t="shared" si="47"/>
        <v>83</v>
      </c>
      <c r="AO32" s="328">
        <f t="shared" si="72"/>
        <v>2490</v>
      </c>
      <c r="AP32" s="64">
        <f t="shared" si="47"/>
        <v>83</v>
      </c>
      <c r="AQ32" s="328">
        <f t="shared" si="62"/>
        <v>2490</v>
      </c>
      <c r="AR32" s="64">
        <f t="shared" si="47"/>
        <v>82</v>
      </c>
      <c r="AS32" s="328">
        <f t="shared" si="33"/>
        <v>2460</v>
      </c>
      <c r="AT32" s="328">
        <f t="shared" si="58"/>
        <v>7440</v>
      </c>
      <c r="AU32" s="328">
        <f t="shared" si="35"/>
        <v>0</v>
      </c>
      <c r="AV32" s="275"/>
      <c r="AW32" s="275"/>
      <c r="AX32" s="321">
        <f t="shared" si="25"/>
        <v>0.7</v>
      </c>
    </row>
    <row r="33" spans="1:50">
      <c r="A33" s="63">
        <f>ELEC!C31</f>
        <v>44041</v>
      </c>
      <c r="B33" s="64">
        <f t="shared" si="40"/>
        <v>171.3</v>
      </c>
      <c r="C33" s="64">
        <f t="shared" si="41"/>
        <v>178</v>
      </c>
      <c r="D33" s="45">
        <f t="shared" si="26"/>
        <v>0</v>
      </c>
      <c r="E33" s="45">
        <f t="shared" si="82"/>
        <v>0</v>
      </c>
      <c r="F33" s="64">
        <f t="shared" si="10"/>
        <v>1633</v>
      </c>
      <c r="G33" s="52">
        <f t="shared" si="0"/>
        <v>0</v>
      </c>
      <c r="H33" s="64">
        <f t="shared" si="10"/>
        <v>356674</v>
      </c>
      <c r="I33" s="406">
        <f t="shared" si="1"/>
        <v>0</v>
      </c>
      <c r="J33" s="66">
        <f t="shared" si="11"/>
        <v>0</v>
      </c>
      <c r="K33" s="64">
        <f t="shared" si="12"/>
        <v>2077</v>
      </c>
      <c r="L33" s="52">
        <f t="shared" si="2"/>
        <v>0</v>
      </c>
      <c r="M33" s="64">
        <f t="shared" ref="M33" si="86">M32</f>
        <v>152390</v>
      </c>
      <c r="N33" s="406">
        <f t="shared" si="3"/>
        <v>0</v>
      </c>
      <c r="O33" s="64">
        <f t="shared" si="12"/>
        <v>211.87499999999994</v>
      </c>
      <c r="P33" s="64">
        <f t="shared" si="12"/>
        <v>1830</v>
      </c>
      <c r="Q33" s="64">
        <f t="shared" ref="Q33" si="87">Q32</f>
        <v>155334</v>
      </c>
      <c r="R33" s="405">
        <f t="shared" si="37"/>
        <v>0</v>
      </c>
      <c r="S33" s="52">
        <f t="shared" si="5"/>
        <v>0</v>
      </c>
      <c r="T33" s="67">
        <f t="shared" si="28"/>
        <v>0</v>
      </c>
      <c r="U33" s="412">
        <f t="shared" si="14"/>
        <v>0</v>
      </c>
      <c r="V33" s="62">
        <f t="shared" si="15"/>
        <v>0</v>
      </c>
      <c r="W33" s="410"/>
      <c r="X33" s="64">
        <f t="shared" si="17"/>
        <v>2418</v>
      </c>
      <c r="Y33" s="52">
        <f t="shared" si="18"/>
        <v>0</v>
      </c>
      <c r="Z33" s="64">
        <f t="shared" si="17"/>
        <v>135964</v>
      </c>
      <c r="AA33" s="65">
        <f t="shared" si="6"/>
        <v>0</v>
      </c>
      <c r="AB33" s="292">
        <f t="shared" si="56"/>
        <v>0</v>
      </c>
      <c r="AC33" s="64">
        <f t="shared" ref="AC33:AE33" si="88">AC32</f>
        <v>1881</v>
      </c>
      <c r="AD33" s="45">
        <f t="shared" si="7"/>
        <v>0</v>
      </c>
      <c r="AE33" s="64">
        <f t="shared" si="88"/>
        <v>362296</v>
      </c>
      <c r="AF33" s="314">
        <f t="shared" si="19"/>
        <v>0</v>
      </c>
      <c r="AG33" s="212">
        <f t="shared" si="31"/>
        <v>0</v>
      </c>
      <c r="AH33" s="62">
        <f t="shared" si="32"/>
        <v>0</v>
      </c>
      <c r="AI33" s="326">
        <f t="shared" si="20"/>
        <v>0</v>
      </c>
      <c r="AJ33" s="326">
        <f>-tanks!AW34</f>
        <v>0</v>
      </c>
      <c r="AK33" s="326">
        <f t="shared" si="21"/>
        <v>0</v>
      </c>
      <c r="AL33" s="326">
        <f t="shared" si="46"/>
        <v>0</v>
      </c>
      <c r="AM33" s="326">
        <f t="shared" si="22"/>
        <v>0</v>
      </c>
      <c r="AN33" s="64">
        <f t="shared" si="47"/>
        <v>83</v>
      </c>
      <c r="AO33" s="328">
        <f t="shared" si="72"/>
        <v>2490</v>
      </c>
      <c r="AP33" s="64">
        <f t="shared" si="47"/>
        <v>83</v>
      </c>
      <c r="AQ33" s="328">
        <f t="shared" si="62"/>
        <v>2490</v>
      </c>
      <c r="AR33" s="64">
        <f t="shared" si="47"/>
        <v>82</v>
      </c>
      <c r="AS33" s="328">
        <f t="shared" si="33"/>
        <v>2460</v>
      </c>
      <c r="AT33" s="328">
        <f t="shared" si="58"/>
        <v>7440</v>
      </c>
      <c r="AU33" s="328">
        <f t="shared" si="35"/>
        <v>0</v>
      </c>
      <c r="AV33" s="275"/>
      <c r="AW33" s="275"/>
      <c r="AX33" s="321">
        <f t="shared" si="25"/>
        <v>0.7</v>
      </c>
    </row>
    <row r="34" spans="1:50">
      <c r="A34" s="63">
        <f>ELEC!C32</f>
        <v>44042</v>
      </c>
      <c r="B34" s="64">
        <f t="shared" si="40"/>
        <v>171.3</v>
      </c>
      <c r="C34" s="64">
        <f t="shared" si="41"/>
        <v>178</v>
      </c>
      <c r="D34" s="45">
        <f t="shared" si="26"/>
        <v>0</v>
      </c>
      <c r="E34" s="45">
        <f t="shared" si="82"/>
        <v>0</v>
      </c>
      <c r="F34" s="64">
        <f t="shared" si="10"/>
        <v>1633</v>
      </c>
      <c r="G34" s="52">
        <f t="shared" si="0"/>
        <v>0</v>
      </c>
      <c r="H34" s="64">
        <f t="shared" si="10"/>
        <v>356674</v>
      </c>
      <c r="I34" s="406">
        <f t="shared" si="1"/>
        <v>0</v>
      </c>
      <c r="J34" s="66">
        <f t="shared" si="11"/>
        <v>0</v>
      </c>
      <c r="K34" s="64">
        <f t="shared" si="12"/>
        <v>2077</v>
      </c>
      <c r="L34" s="52">
        <f t="shared" si="2"/>
        <v>0</v>
      </c>
      <c r="M34" s="64">
        <f t="shared" ref="M34" si="89">M33</f>
        <v>152390</v>
      </c>
      <c r="N34" s="406">
        <f t="shared" si="3"/>
        <v>0</v>
      </c>
      <c r="O34" s="64">
        <f t="shared" si="12"/>
        <v>211.87499999999994</v>
      </c>
      <c r="P34" s="64">
        <f t="shared" si="12"/>
        <v>1830</v>
      </c>
      <c r="Q34" s="64">
        <f t="shared" ref="Q34" si="90">Q33</f>
        <v>155334</v>
      </c>
      <c r="R34" s="405">
        <f t="shared" si="37"/>
        <v>0</v>
      </c>
      <c r="S34" s="52">
        <f t="shared" si="5"/>
        <v>0</v>
      </c>
      <c r="T34" s="67">
        <f t="shared" si="28"/>
        <v>0</v>
      </c>
      <c r="U34" s="412">
        <f t="shared" si="14"/>
        <v>0</v>
      </c>
      <c r="V34" s="62">
        <f t="shared" si="15"/>
        <v>0</v>
      </c>
      <c r="W34" s="410"/>
      <c r="X34" s="64">
        <f t="shared" si="17"/>
        <v>2418</v>
      </c>
      <c r="Y34" s="52">
        <f t="shared" si="18"/>
        <v>0</v>
      </c>
      <c r="Z34" s="64">
        <f t="shared" si="17"/>
        <v>135964</v>
      </c>
      <c r="AA34" s="65">
        <f t="shared" si="6"/>
        <v>0</v>
      </c>
      <c r="AB34" s="292">
        <f t="shared" si="56"/>
        <v>0</v>
      </c>
      <c r="AC34" s="64">
        <f t="shared" ref="AC34:AE34" si="91">AC33</f>
        <v>1881</v>
      </c>
      <c r="AD34" s="45">
        <f t="shared" si="7"/>
        <v>0</v>
      </c>
      <c r="AE34" s="64">
        <f t="shared" si="91"/>
        <v>362296</v>
      </c>
      <c r="AF34" s="314">
        <f t="shared" si="19"/>
        <v>0</v>
      </c>
      <c r="AG34" s="212">
        <f t="shared" si="31"/>
        <v>0</v>
      </c>
      <c r="AH34" s="62">
        <f t="shared" si="32"/>
        <v>0</v>
      </c>
      <c r="AI34" s="326">
        <f t="shared" si="20"/>
        <v>0</v>
      </c>
      <c r="AJ34" s="326">
        <f>-tanks!AW35</f>
        <v>0</v>
      </c>
      <c r="AK34" s="326">
        <f t="shared" si="21"/>
        <v>0</v>
      </c>
      <c r="AL34" s="326">
        <f t="shared" si="46"/>
        <v>0</v>
      </c>
      <c r="AM34" s="326">
        <f>Y34+AD34</f>
        <v>0</v>
      </c>
      <c r="AN34" s="64">
        <f t="shared" si="47"/>
        <v>83</v>
      </c>
      <c r="AO34" s="328">
        <f t="shared" si="72"/>
        <v>2490</v>
      </c>
      <c r="AP34" s="64">
        <f t="shared" si="47"/>
        <v>83</v>
      </c>
      <c r="AQ34" s="328">
        <f t="shared" si="62"/>
        <v>2490</v>
      </c>
      <c r="AR34" s="64">
        <f t="shared" si="47"/>
        <v>82</v>
      </c>
      <c r="AS34" s="328">
        <f t="shared" si="33"/>
        <v>2460</v>
      </c>
      <c r="AT34" s="328">
        <f t="shared" si="58"/>
        <v>7440</v>
      </c>
      <c r="AU34" s="328">
        <f t="shared" si="35"/>
        <v>0</v>
      </c>
      <c r="AV34" s="275"/>
      <c r="AW34" s="275"/>
      <c r="AX34" s="321">
        <f t="shared" si="25"/>
        <v>0.7</v>
      </c>
    </row>
    <row r="35" spans="1:50">
      <c r="A35" s="63">
        <f>ELEC!C33</f>
        <v>44043</v>
      </c>
      <c r="B35" s="64">
        <f t="shared" si="40"/>
        <v>171.3</v>
      </c>
      <c r="C35" s="64">
        <f t="shared" si="41"/>
        <v>178</v>
      </c>
      <c r="D35" s="45">
        <f t="shared" ref="D35" si="92">C34-C35</f>
        <v>0</v>
      </c>
      <c r="E35" s="45">
        <f t="shared" ref="E35" si="93">D35*8.38</f>
        <v>0</v>
      </c>
      <c r="F35" s="64">
        <f t="shared" si="10"/>
        <v>1633</v>
      </c>
      <c r="G35" s="52">
        <f t="shared" ref="G35" si="94">F35-F34</f>
        <v>0</v>
      </c>
      <c r="H35" s="64">
        <f t="shared" si="10"/>
        <v>356674</v>
      </c>
      <c r="I35" s="406">
        <f t="shared" ref="I35" si="95">SUM(H35-H34)</f>
        <v>0</v>
      </c>
      <c r="J35" s="66">
        <f t="shared" ref="J35" si="96">IF(G35&gt;0,I35/G35,0)</f>
        <v>0</v>
      </c>
      <c r="K35" s="64">
        <f t="shared" si="12"/>
        <v>2077</v>
      </c>
      <c r="L35" s="52">
        <f t="shared" ref="L35" si="97">K35-K34</f>
        <v>0</v>
      </c>
      <c r="M35" s="64">
        <f t="shared" ref="M35" si="98">M34</f>
        <v>152390</v>
      </c>
      <c r="N35" s="406">
        <f t="shared" ref="N35" si="99">M35-M34</f>
        <v>0</v>
      </c>
      <c r="O35" s="64">
        <f t="shared" si="12"/>
        <v>211.87499999999994</v>
      </c>
      <c r="P35" s="64">
        <f t="shared" si="12"/>
        <v>1830</v>
      </c>
      <c r="Q35" s="64">
        <f t="shared" ref="Q35" si="100">Q34</f>
        <v>155334</v>
      </c>
      <c r="R35" s="405">
        <f t="shared" ref="R35" si="101">Q35-Q34</f>
        <v>0</v>
      </c>
      <c r="S35" s="52">
        <f t="shared" ref="S35" si="102">SUM(P35-P34)</f>
        <v>0</v>
      </c>
      <c r="T35" s="67">
        <f t="shared" ref="T35" si="103">SUM(S35*$T$2)</f>
        <v>0</v>
      </c>
      <c r="U35" s="412">
        <f t="shared" ref="U35" si="104">SUM(G35+L35+S35)</f>
        <v>0</v>
      </c>
      <c r="V35" s="62">
        <f t="shared" ref="V35" si="105">R35+N35+I35:I35</f>
        <v>0</v>
      </c>
      <c r="W35" s="410"/>
      <c r="X35" s="64">
        <f t="shared" si="17"/>
        <v>2418</v>
      </c>
      <c r="Y35" s="52">
        <f t="shared" ref="Y35" si="106">X35-X34</f>
        <v>0</v>
      </c>
      <c r="Z35" s="64">
        <f t="shared" si="17"/>
        <v>135964</v>
      </c>
      <c r="AA35" s="65">
        <f t="shared" ref="AA35" si="107">Z35-Z34</f>
        <v>0</v>
      </c>
      <c r="AB35" s="292">
        <f t="shared" ref="AB35" si="108">SUM(Y35*$AB$2)</f>
        <v>0</v>
      </c>
      <c r="AC35" s="64">
        <f t="shared" ref="AC35:AE35" si="109">AC34</f>
        <v>1881</v>
      </c>
      <c r="AD35" s="45">
        <f t="shared" ref="AD35" si="110">AC35-AC34</f>
        <v>0</v>
      </c>
      <c r="AE35" s="64">
        <f t="shared" si="109"/>
        <v>362296</v>
      </c>
      <c r="AF35" s="314">
        <f t="shared" ref="AF35" si="111">AE35-AE34</f>
        <v>0</v>
      </c>
      <c r="AG35" s="212">
        <f t="shared" ref="AG35" si="112">IF(AD35&gt;0,AF35/AD35,0)</f>
        <v>0</v>
      </c>
      <c r="AH35" s="62">
        <f t="shared" ref="AH35" si="113">AF35+AA35</f>
        <v>0</v>
      </c>
      <c r="AI35" s="326">
        <f t="shared" ref="AI35" si="114">SUM(AH35+V35)</f>
        <v>0</v>
      </c>
      <c r="AJ35" s="326">
        <f>-tanks!AW37</f>
        <v>0</v>
      </c>
      <c r="AK35" s="326">
        <f t="shared" ref="AK35" si="115">SUM(AJ35-AI35)</f>
        <v>0</v>
      </c>
      <c r="AL35" s="326">
        <f t="shared" ref="AL35" si="116">S35+L35+G35</f>
        <v>0</v>
      </c>
      <c r="AM35" s="326">
        <f>Y35+AD35</f>
        <v>0</v>
      </c>
      <c r="AN35" s="64">
        <f t="shared" si="47"/>
        <v>83</v>
      </c>
      <c r="AO35" s="328">
        <f t="shared" ref="AO35" si="117">(AN35/100)*3000</f>
        <v>2490</v>
      </c>
      <c r="AP35" s="64">
        <f t="shared" si="47"/>
        <v>83</v>
      </c>
      <c r="AQ35" s="328">
        <f t="shared" ref="AQ35" si="118">(AP35/100)*3000</f>
        <v>2490</v>
      </c>
      <c r="AR35" s="64">
        <f t="shared" si="47"/>
        <v>82</v>
      </c>
      <c r="AS35" s="328">
        <f t="shared" ref="AS35" si="119">(AR35/100)*3000</f>
        <v>2460</v>
      </c>
      <c r="AT35" s="328">
        <f t="shared" ref="AT35" si="120">SUM(AO35+AQ35+AS35)</f>
        <v>7440</v>
      </c>
      <c r="AU35" s="328">
        <f t="shared" ref="AU35" si="121">AT34-AT35+AV35</f>
        <v>0</v>
      </c>
      <c r="AV35" s="275"/>
      <c r="AW35" s="275"/>
      <c r="AX35" s="321">
        <f t="shared" ref="AX35" si="122">IF(AV35&gt;0,AW35,AX34)</f>
        <v>0.7</v>
      </c>
    </row>
    <row r="36" spans="1:50">
      <c r="J36" s="291">
        <f>SUM(J5:J34)/(COUNT(J5:J34)-COUNTIF(J5:J34,0))</f>
        <v>71.527777777777786</v>
      </c>
      <c r="V36" s="62">
        <f>SUM(V5:V35)</f>
        <v>4995</v>
      </c>
      <c r="AE36" s="71" t="s">
        <v>386</v>
      </c>
      <c r="AG36" s="354"/>
      <c r="AH36" s="62">
        <f>SUM(AH5:AH35)</f>
        <v>1477.8999999999942</v>
      </c>
      <c r="AL36" s="62">
        <f>SUM(AL5:AL35)</f>
        <v>62</v>
      </c>
      <c r="AM36" s="62">
        <f>SUM(AM5:AM35)</f>
        <v>24</v>
      </c>
      <c r="AP36" s="321"/>
      <c r="AQ36" s="321"/>
      <c r="AR36" s="321" t="s">
        <v>225</v>
      </c>
      <c r="AS36" s="321">
        <f>COUNT(AW5:AW34)</f>
        <v>3</v>
      </c>
      <c r="AT36" s="321"/>
      <c r="AU36" s="321">
        <f>SUM(AU5:AU34)</f>
        <v>2780</v>
      </c>
      <c r="AV36" s="71">
        <f>SUM(AV5:AV34)</f>
        <v>3500</v>
      </c>
      <c r="AW36" s="321">
        <f>SUM(AW5:AW34)/AS36</f>
        <v>0.69999999999999984</v>
      </c>
    </row>
    <row r="37" spans="1:50">
      <c r="AH37" s="62">
        <f>AF37+AA37</f>
        <v>0</v>
      </c>
      <c r="AI37" s="329">
        <f>SUM(AI5:AI34)</f>
        <v>6472.8999999999942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1417.8</v>
      </c>
      <c r="AV38" s="321">
        <f>AV36/0.51</f>
        <v>6862.7450980392159</v>
      </c>
      <c r="AW38" s="321">
        <f>SUM(AW5:AW34)/AS36</f>
        <v>0.69999999999999984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1785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Normal="100" workbookViewId="0">
      <pane ySplit="3" topLeftCell="A7" activePane="bottomLeft" state="frozen"/>
      <selection pane="bottomLeft" activeCell="BD21" sqref="BD2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9051615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9" t="s">
        <v>95</v>
      </c>
      <c r="AS2" s="630"/>
      <c r="AT2" s="630"/>
      <c r="AU2" s="630"/>
      <c r="AV2" s="631"/>
      <c r="AW2" s="629" t="s">
        <v>96</v>
      </c>
      <c r="AX2" s="630"/>
      <c r="AY2" s="631"/>
      <c r="AZ2" s="629" t="s">
        <v>98</v>
      </c>
      <c r="BA2" s="630"/>
      <c r="BB2" s="631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395</v>
      </c>
      <c r="L3" s="382" t="s">
        <v>330</v>
      </c>
      <c r="M3" s="526" t="s">
        <v>402</v>
      </c>
      <c r="N3" s="527"/>
      <c r="O3" s="528" t="s">
        <v>403</v>
      </c>
      <c r="P3" s="528"/>
      <c r="Q3" s="528" t="s">
        <v>399</v>
      </c>
      <c r="R3" s="528" t="s">
        <v>401</v>
      </c>
      <c r="S3" s="528" t="s">
        <v>400</v>
      </c>
      <c r="T3" s="379" t="s">
        <v>383</v>
      </c>
      <c r="U3" s="379" t="s">
        <v>385</v>
      </c>
      <c r="V3" s="383" t="s">
        <v>334</v>
      </c>
      <c r="W3" s="384" t="s">
        <v>335</v>
      </c>
      <c r="X3" s="383" t="s">
        <v>338</v>
      </c>
      <c r="Y3" s="384" t="s">
        <v>339</v>
      </c>
      <c r="Z3" s="385" t="s">
        <v>340</v>
      </c>
      <c r="AA3" s="386" t="s">
        <v>398</v>
      </c>
      <c r="AB3" s="454" t="s">
        <v>397</v>
      </c>
      <c r="AC3" s="452" t="s">
        <v>396</v>
      </c>
      <c r="AD3" s="452"/>
      <c r="AE3" s="387" t="s">
        <v>407</v>
      </c>
      <c r="AF3" s="387" t="s">
        <v>408</v>
      </c>
      <c r="AG3" s="387" t="s">
        <v>409</v>
      </c>
      <c r="AH3" s="387" t="s">
        <v>410</v>
      </c>
      <c r="AI3" s="386" t="s">
        <v>411</v>
      </c>
      <c r="AJ3" s="386" t="s">
        <v>341</v>
      </c>
      <c r="AK3" s="387" t="s">
        <v>343</v>
      </c>
      <c r="AL3" s="387" t="s">
        <v>342</v>
      </c>
      <c r="AM3" s="388" t="s">
        <v>125</v>
      </c>
      <c r="AN3" s="626" t="s">
        <v>126</v>
      </c>
      <c r="AO3" s="627"/>
      <c r="AP3" s="628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[1]WATER!$A$35</f>
        <v>44012</v>
      </c>
      <c r="B5" s="421">
        <f>[1]WATER!B35</f>
        <v>108535</v>
      </c>
      <c r="C5" s="421">
        <f>[1]WATER!C35</f>
        <v>0</v>
      </c>
      <c r="D5" s="421">
        <f>[1]WATER!D35</f>
        <v>0</v>
      </c>
      <c r="E5" s="421">
        <f>[1]WATER!E35</f>
        <v>250</v>
      </c>
      <c r="F5" s="421">
        <f>[1]WATER!F35</f>
        <v>0</v>
      </c>
      <c r="G5" s="421">
        <f>[1]WATER!G35</f>
        <v>601246</v>
      </c>
      <c r="H5" s="421">
        <f>[1]WATER!H35</f>
        <v>413</v>
      </c>
      <c r="I5" s="421">
        <f>[1]WATER!I35</f>
        <v>413</v>
      </c>
      <c r="J5" s="421">
        <f>[1]WATER!J35</f>
        <v>0.60532687651331718</v>
      </c>
      <c r="K5" s="421">
        <f>[1]WATER!K35</f>
        <v>6366</v>
      </c>
      <c r="L5" s="421">
        <f>[1]WATER!L35</f>
        <v>10</v>
      </c>
      <c r="M5" s="421">
        <f>[1]WATER!M35</f>
        <v>457.44</v>
      </c>
      <c r="N5" s="421">
        <f>[1]WATER!N35</f>
        <v>0</v>
      </c>
      <c r="O5" s="421">
        <f>[1]WATER!O35</f>
        <v>529.52</v>
      </c>
      <c r="P5" s="421">
        <f>[1]WATER!P35</f>
        <v>0</v>
      </c>
      <c r="Q5" s="421">
        <f>[1]WATER!Q35</f>
        <v>0</v>
      </c>
      <c r="R5" s="421">
        <f>[1]WATER!R35</f>
        <v>0</v>
      </c>
      <c r="S5" s="421">
        <f>[1]WATER!S35</f>
        <v>0</v>
      </c>
      <c r="T5" s="421">
        <f>[1]WATER!T35</f>
        <v>4899</v>
      </c>
      <c r="U5" s="421">
        <f>[1]WATER!U35</f>
        <v>2</v>
      </c>
      <c r="V5" s="421">
        <f>[1]WATER!V35</f>
        <v>410</v>
      </c>
      <c r="W5" s="421">
        <f>[1]WATER!W35</f>
        <v>0</v>
      </c>
      <c r="X5" s="421">
        <f>[1]WATER!X35</f>
        <v>144569</v>
      </c>
      <c r="Y5" s="421">
        <f>[1]WATER!Y35</f>
        <v>108</v>
      </c>
      <c r="Z5" s="421">
        <f>[1]WATER!Z35</f>
        <v>95357</v>
      </c>
      <c r="AA5" s="421">
        <f>[1]WATER!AA35</f>
        <v>36</v>
      </c>
      <c r="AB5" s="421">
        <f>[1]WATER!AB35</f>
        <v>259</v>
      </c>
      <c r="AC5" s="421">
        <f>[1]WATER!AC35</f>
        <v>670</v>
      </c>
      <c r="AD5" s="421">
        <f>[1]WATER!AD35</f>
        <v>0</v>
      </c>
      <c r="AE5" s="421">
        <f>[1]WATER!AE35</f>
        <v>162.18</v>
      </c>
      <c r="AF5" s="421">
        <f>[1]WATER!AF35</f>
        <v>0</v>
      </c>
      <c r="AG5" s="421">
        <f>[1]WATER!AG35</f>
        <v>1697.9</v>
      </c>
      <c r="AH5" s="421">
        <f>[1]WATER!AH35</f>
        <v>0</v>
      </c>
      <c r="AI5" s="421">
        <f>[1]WATER!AI35</f>
        <v>0</v>
      </c>
      <c r="AJ5" s="421">
        <f>[1]WATER!AJ35</f>
        <v>36</v>
      </c>
      <c r="AK5" s="421">
        <f>[1]WATER!AK35</f>
        <v>98</v>
      </c>
      <c r="AL5" s="421">
        <f>[1]WATER!AL35</f>
        <v>36</v>
      </c>
      <c r="AM5" s="421">
        <f>[1]WATER!AM35</f>
        <v>26</v>
      </c>
      <c r="AN5" s="421">
        <f>[1]WATER!AN35</f>
        <v>0</v>
      </c>
      <c r="AO5" s="421">
        <f>[1]WATER!AO35</f>
        <v>0</v>
      </c>
      <c r="AP5" s="421">
        <f>[1]WATER!AP35</f>
        <v>203</v>
      </c>
      <c r="AQ5" s="421">
        <f>[1]WATER!AQ35</f>
        <v>0</v>
      </c>
      <c r="AR5" s="421">
        <f>[1]WATER!AR35</f>
        <v>44012</v>
      </c>
      <c r="AS5" s="421">
        <f>[1]WATER!AS35</f>
        <v>0.9</v>
      </c>
      <c r="AT5" s="421">
        <f>[1]WATER!AT35</f>
        <v>150</v>
      </c>
      <c r="AU5" s="421">
        <f>[1]WATER!AU35</f>
        <v>1.1000000000000001</v>
      </c>
      <c r="AV5" s="421">
        <f>[1]WATER!AV35</f>
        <v>100</v>
      </c>
      <c r="AW5" s="421">
        <f>[1]WATER!AW35</f>
        <v>2.9</v>
      </c>
      <c r="AX5" s="421">
        <f>[1]WATER!AX35</f>
        <v>103</v>
      </c>
      <c r="AY5" s="421">
        <f>[1]WATER!AY35</f>
        <v>135</v>
      </c>
      <c r="AZ5" s="421">
        <f>[1]WATER!AZ35</f>
        <v>110.00000000000001</v>
      </c>
      <c r="BA5" s="421">
        <f>[1]WATER!BA35</f>
        <v>298.7</v>
      </c>
      <c r="BB5" s="421">
        <f>[1]WATER!BB35</f>
        <v>72</v>
      </c>
      <c r="BC5" s="421">
        <f>[1]WATER!BC35</f>
        <v>15.400000000000006</v>
      </c>
      <c r="BD5" s="421">
        <f>[1]WATER!BD35</f>
        <v>92.799999999999983</v>
      </c>
      <c r="BE5" s="421">
        <f>[1]WATER!BE35</f>
        <v>180.2</v>
      </c>
      <c r="BF5" s="421">
        <f>[1]WATER!BF35</f>
        <v>232.8</v>
      </c>
      <c r="BG5" s="421">
        <f>[1]WATER!BG35</f>
        <v>180.2</v>
      </c>
    </row>
    <row r="6" spans="1:65" ht="15.75" thickBot="1">
      <c r="A6" s="6">
        <f>ELEC!C3</f>
        <v>44013</v>
      </c>
      <c r="B6" s="5">
        <v>108535</v>
      </c>
      <c r="C6" s="5">
        <f>B6-B5</f>
        <v>0</v>
      </c>
      <c r="D6" s="430">
        <f>C6/27</f>
        <v>0</v>
      </c>
      <c r="E6" s="341">
        <f>SUM((C6*$E$4)+(7500/'EDl log'!$A$39))</f>
        <v>241.93548387096774</v>
      </c>
      <c r="F6" s="429"/>
      <c r="G6" s="5">
        <v>601246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6366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4902</v>
      </c>
      <c r="U6" s="5">
        <f t="shared" ref="U6:U35" si="4">SUM(T6-T5)</f>
        <v>3</v>
      </c>
      <c r="V6" s="5">
        <v>410</v>
      </c>
      <c r="W6" s="332">
        <f>+V6-V5</f>
        <v>0</v>
      </c>
      <c r="X6" s="5">
        <v>144684</v>
      </c>
      <c r="Y6" s="332">
        <f>SUM(X6-X5)</f>
        <v>115</v>
      </c>
      <c r="Z6" s="5">
        <v>95367</v>
      </c>
      <c r="AA6" s="83">
        <f>Z6-Z5</f>
        <v>10</v>
      </c>
      <c r="AB6" s="5">
        <f>AB5</f>
        <v>259</v>
      </c>
      <c r="AC6" s="5">
        <f>AC5</f>
        <v>670</v>
      </c>
      <c r="AD6" s="83">
        <v>0</v>
      </c>
      <c r="AE6" s="5">
        <f>AE5</f>
        <v>162.18</v>
      </c>
      <c r="AF6" s="83">
        <f>AE6-AE5</f>
        <v>0</v>
      </c>
      <c r="AG6" s="5">
        <f>AG5</f>
        <v>1697.9</v>
      </c>
      <c r="AH6" s="83">
        <f>AG6-AG5</f>
        <v>0</v>
      </c>
      <c r="AI6" s="83">
        <f>AF6+AH6</f>
        <v>0</v>
      </c>
      <c r="AJ6" s="334">
        <f>+Z6-Z5</f>
        <v>10</v>
      </c>
      <c r="AK6" s="335">
        <f t="shared" ref="AK6:AK38" si="5">SUM(Y6-L6)</f>
        <v>115</v>
      </c>
      <c r="AL6" s="335">
        <f>SUM(AJ6-W6)</f>
        <v>10</v>
      </c>
      <c r="AM6" s="335">
        <f>'General information '!D6</f>
        <v>26</v>
      </c>
      <c r="AN6" s="84">
        <f>'General information '!H6</f>
        <v>0</v>
      </c>
      <c r="AO6" s="84"/>
      <c r="AP6" s="84">
        <f>'General information '!J6</f>
        <v>196</v>
      </c>
      <c r="AQ6" s="81"/>
      <c r="AR6" s="283">
        <f>A6</f>
        <v>44013</v>
      </c>
      <c r="AS6" s="435">
        <f t="shared" ref="AS6:AS21" si="6">AS5</f>
        <v>0.9</v>
      </c>
      <c r="AT6" s="204">
        <v>50</v>
      </c>
      <c r="AU6" s="436">
        <f>AU5</f>
        <v>1.1000000000000001</v>
      </c>
      <c r="AV6" s="204">
        <v>95</v>
      </c>
      <c r="AW6" s="5">
        <v>2.9</v>
      </c>
      <c r="AX6" s="204">
        <v>110</v>
      </c>
      <c r="AY6" s="439">
        <f t="shared" ref="AY6:AY35" si="7">AS6*AT6</f>
        <v>45</v>
      </c>
      <c r="AZ6" s="439">
        <f>AU6*AV6</f>
        <v>104.50000000000001</v>
      </c>
      <c r="BA6" s="439">
        <f>AW6*AX6</f>
        <v>319</v>
      </c>
      <c r="BB6" s="21">
        <f>AY6-AY5</f>
        <v>-90</v>
      </c>
      <c r="BC6" s="21">
        <f>AZ6-AZ5</f>
        <v>-5.5</v>
      </c>
      <c r="BD6" s="21">
        <f>BA6-BA5</f>
        <v>20.300000000000011</v>
      </c>
      <c r="BE6" s="24">
        <f>SUM(BB6:BD6)</f>
        <v>-75.199999999999989</v>
      </c>
      <c r="BF6" s="96">
        <f t="shared" ref="BF6:BF35" si="8">SUM(I6-BE6)</f>
        <v>75.199999999999989</v>
      </c>
      <c r="BG6" s="82">
        <f t="shared" ref="BG6:BG35" si="9">SUM(I6-BF6)</f>
        <v>-75.199999999999989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44014</v>
      </c>
      <c r="B7" s="5">
        <f t="shared" ref="B7:B36" si="10">B6</f>
        <v>108535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log'!$A$39))</f>
        <v>241.93548387096774</v>
      </c>
      <c r="F7" s="429"/>
      <c r="G7" s="5">
        <v>601639</v>
      </c>
      <c r="H7" s="5">
        <f t="shared" ref="H7:H35" si="13">G7-G6</f>
        <v>393</v>
      </c>
      <c r="I7" s="5">
        <f t="shared" si="0"/>
        <v>393</v>
      </c>
      <c r="J7" s="342">
        <f t="shared" si="1"/>
        <v>0.61561191824673722</v>
      </c>
      <c r="K7" s="5">
        <f>'Swimming Pool quality check '!H7</f>
        <v>6366</v>
      </c>
      <c r="L7" s="83">
        <f>K7-K6</f>
        <v>0</v>
      </c>
      <c r="M7" s="421">
        <f t="shared" ref="M7:M36" si="14">M6</f>
        <v>457.44</v>
      </c>
      <c r="N7" s="529">
        <f t="shared" si="2"/>
        <v>0</v>
      </c>
      <c r="O7" s="421">
        <f t="shared" ref="O7:O36" si="15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v>4906</v>
      </c>
      <c r="U7" s="5">
        <f t="shared" si="4"/>
        <v>4</v>
      </c>
      <c r="V7" s="5">
        <f t="shared" ref="T7:AG36" si="16">V6</f>
        <v>410</v>
      </c>
      <c r="W7" s="332">
        <f t="shared" ref="W7:W35" si="17">+V7-V6</f>
        <v>0</v>
      </c>
      <c r="X7" s="5">
        <v>144753</v>
      </c>
      <c r="Y7" s="332">
        <f t="shared" ref="Y7:Y35" si="18">SUM(X7-X6)</f>
        <v>69</v>
      </c>
      <c r="Z7" s="5">
        <v>95415</v>
      </c>
      <c r="AA7" s="83">
        <f t="shared" ref="AA7:AA35" si="19">Z7-Z6</f>
        <v>48</v>
      </c>
      <c r="AB7" s="5">
        <f t="shared" si="16"/>
        <v>259</v>
      </c>
      <c r="AC7" s="5">
        <f t="shared" si="16"/>
        <v>670</v>
      </c>
      <c r="AD7" s="83">
        <f>AC7-AC6</f>
        <v>0</v>
      </c>
      <c r="AE7" s="5">
        <v>163.58000000000001</v>
      </c>
      <c r="AF7" s="83">
        <f t="shared" ref="AF7:AF35" si="20">AE7-AE6</f>
        <v>1.4000000000000057</v>
      </c>
      <c r="AG7" s="5">
        <v>1716.5</v>
      </c>
      <c r="AH7" s="83">
        <f t="shared" ref="AH7:AH35" si="21">AG7-AG6</f>
        <v>18.599999999999909</v>
      </c>
      <c r="AI7" s="83">
        <f t="shared" ref="AI7:AI35" si="22">AF7+AH7</f>
        <v>19.999999999999915</v>
      </c>
      <c r="AJ7" s="334">
        <f t="shared" ref="AJ7:AJ35" si="23">+Z7-Z6</f>
        <v>48</v>
      </c>
      <c r="AK7" s="335">
        <f t="shared" si="5"/>
        <v>69</v>
      </c>
      <c r="AL7" s="335">
        <f t="shared" ref="AL7:AL35" si="24">SUM(AJ7-W7)</f>
        <v>48</v>
      </c>
      <c r="AM7" s="335">
        <f>'General information '!D7</f>
        <v>26</v>
      </c>
      <c r="AN7" s="84">
        <f>'General information '!H7</f>
        <v>0</v>
      </c>
      <c r="AO7" s="84"/>
      <c r="AP7" s="84">
        <f>'General information '!J7</f>
        <v>262</v>
      </c>
      <c r="AQ7" s="81"/>
      <c r="AR7" s="283">
        <f t="shared" ref="AR7:AR35" si="25">A7</f>
        <v>44014</v>
      </c>
      <c r="AS7" s="435">
        <f t="shared" si="6"/>
        <v>0.9</v>
      </c>
      <c r="AT7" s="204">
        <v>170</v>
      </c>
      <c r="AU7" s="436">
        <f>AU6</f>
        <v>1.1000000000000001</v>
      </c>
      <c r="AV7" s="204">
        <v>100</v>
      </c>
      <c r="AW7" s="5">
        <v>2.9</v>
      </c>
      <c r="AX7" s="204">
        <v>113</v>
      </c>
      <c r="AY7" s="439">
        <f t="shared" si="7"/>
        <v>153</v>
      </c>
      <c r="AZ7" s="439">
        <f t="shared" ref="AZ7:AZ35" si="26">AU7*AV7</f>
        <v>110.00000000000001</v>
      </c>
      <c r="BA7" s="439">
        <f t="shared" ref="BA7:BA35" si="27">AW7*AX7</f>
        <v>327.7</v>
      </c>
      <c r="BB7" s="21">
        <f t="shared" ref="BB7:BD35" si="28">AY7-AY6</f>
        <v>108</v>
      </c>
      <c r="BC7" s="21">
        <f t="shared" ref="BC7:BD21" si="29">AZ7-AZ6</f>
        <v>5.5</v>
      </c>
      <c r="BD7" s="21">
        <f t="shared" si="29"/>
        <v>8.6999999999999886</v>
      </c>
      <c r="BE7" s="24">
        <f t="shared" ref="BE7:BE35" si="30">SUM(BB7:BD7)</f>
        <v>122.19999999999999</v>
      </c>
      <c r="BF7" s="96">
        <f t="shared" si="8"/>
        <v>270.8</v>
      </c>
      <c r="BG7" s="82">
        <f t="shared" si="9"/>
        <v>122.19999999999999</v>
      </c>
      <c r="BI7" s="86"/>
      <c r="BJ7" s="17"/>
      <c r="BK7" s="17"/>
      <c r="BL7" s="17"/>
      <c r="BM7" s="17"/>
    </row>
    <row r="8" spans="1:65" ht="15.75" thickBot="1">
      <c r="A8" s="6">
        <f>ELEC!C5</f>
        <v>44015</v>
      </c>
      <c r="B8" s="5">
        <f t="shared" si="10"/>
        <v>108535</v>
      </c>
      <c r="C8" s="5">
        <f>B8-B7</f>
        <v>0</v>
      </c>
      <c r="D8" s="430">
        <f t="shared" si="12"/>
        <v>0</v>
      </c>
      <c r="E8" s="341">
        <f>SUM((C8*$E$4)+(7500/'EDl log'!$A$39))</f>
        <v>241.93548387096774</v>
      </c>
      <c r="F8" s="429"/>
      <c r="G8" s="5">
        <f t="shared" ref="G8:G36" si="31">G7</f>
        <v>601639</v>
      </c>
      <c r="H8" s="5">
        <f t="shared" si="13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6368</v>
      </c>
      <c r="L8" s="83">
        <f>K8-K7</f>
        <v>2</v>
      </c>
      <c r="M8" s="421">
        <f t="shared" si="14"/>
        <v>457.44</v>
      </c>
      <c r="N8" s="529">
        <f t="shared" si="2"/>
        <v>0</v>
      </c>
      <c r="O8" s="421">
        <f t="shared" si="15"/>
        <v>529.52</v>
      </c>
      <c r="P8" s="529">
        <f t="shared" si="3"/>
        <v>0</v>
      </c>
      <c r="Q8" s="530">
        <f>P8+N8</f>
        <v>0</v>
      </c>
      <c r="R8" s="529"/>
      <c r="S8" s="529"/>
      <c r="T8" s="5">
        <v>4908</v>
      </c>
      <c r="U8" s="5">
        <f t="shared" si="4"/>
        <v>2</v>
      </c>
      <c r="V8" s="5">
        <v>411</v>
      </c>
      <c r="W8" s="332">
        <f t="shared" si="17"/>
        <v>1</v>
      </c>
      <c r="X8" s="5">
        <v>144801</v>
      </c>
      <c r="Y8" s="332">
        <f t="shared" si="18"/>
        <v>48</v>
      </c>
      <c r="Z8" s="5">
        <v>95467</v>
      </c>
      <c r="AA8" s="83">
        <f t="shared" si="19"/>
        <v>52</v>
      </c>
      <c r="AB8" s="5">
        <f t="shared" si="16"/>
        <v>259</v>
      </c>
      <c r="AC8" s="5">
        <f t="shared" si="16"/>
        <v>670</v>
      </c>
      <c r="AD8" s="83">
        <f t="shared" ref="AD8:AD35" si="32">AC8-AC7</f>
        <v>0</v>
      </c>
      <c r="AE8" s="5">
        <f t="shared" si="16"/>
        <v>163.58000000000001</v>
      </c>
      <c r="AF8" s="83">
        <f t="shared" si="20"/>
        <v>0</v>
      </c>
      <c r="AG8" s="5">
        <v>1718</v>
      </c>
      <c r="AH8" s="83">
        <f t="shared" si="21"/>
        <v>1.5</v>
      </c>
      <c r="AI8" s="83">
        <f t="shared" si="22"/>
        <v>1.5</v>
      </c>
      <c r="AJ8" s="334">
        <f t="shared" si="23"/>
        <v>52</v>
      </c>
      <c r="AK8" s="335">
        <f t="shared" si="5"/>
        <v>46</v>
      </c>
      <c r="AL8" s="335">
        <f t="shared" si="24"/>
        <v>51</v>
      </c>
      <c r="AM8" s="335">
        <f>'General information '!D8</f>
        <v>26.5</v>
      </c>
      <c r="AN8" s="84">
        <f>'General information '!H8</f>
        <v>0</v>
      </c>
      <c r="AO8" s="84"/>
      <c r="AP8" s="84">
        <f>'General information '!J8</f>
        <v>263</v>
      </c>
      <c r="AQ8" s="81"/>
      <c r="AR8" s="283">
        <f t="shared" si="25"/>
        <v>44015</v>
      </c>
      <c r="AS8" s="435">
        <f t="shared" si="6"/>
        <v>0.9</v>
      </c>
      <c r="AT8" s="204">
        <v>59</v>
      </c>
      <c r="AU8" s="436">
        <v>1.1000000000000001</v>
      </c>
      <c r="AV8" s="204">
        <v>121</v>
      </c>
      <c r="AW8" s="5">
        <v>2.9</v>
      </c>
      <c r="AX8" s="204">
        <v>117</v>
      </c>
      <c r="AY8" s="439">
        <f t="shared" si="7"/>
        <v>53.1</v>
      </c>
      <c r="AZ8" s="439">
        <f t="shared" si="26"/>
        <v>133.10000000000002</v>
      </c>
      <c r="BA8" s="439">
        <f t="shared" si="27"/>
        <v>339.3</v>
      </c>
      <c r="BB8" s="21">
        <f t="shared" si="28"/>
        <v>-99.9</v>
      </c>
      <c r="BC8" s="21">
        <f t="shared" si="29"/>
        <v>23.100000000000009</v>
      </c>
      <c r="BD8" s="21">
        <f t="shared" si="29"/>
        <v>11.600000000000023</v>
      </c>
      <c r="BE8" s="24">
        <f t="shared" si="30"/>
        <v>-65.199999999999974</v>
      </c>
      <c r="BF8" s="96">
        <f t="shared" si="8"/>
        <v>65.199999999999974</v>
      </c>
      <c r="BG8" s="82">
        <f t="shared" si="9"/>
        <v>-65.199999999999974</v>
      </c>
      <c r="BI8" s="86"/>
      <c r="BJ8" s="17"/>
      <c r="BK8" s="17"/>
    </row>
    <row r="9" spans="1:65" ht="15.75" thickBot="1">
      <c r="A9" s="6">
        <f>ELEC!C6</f>
        <v>44016</v>
      </c>
      <c r="B9" s="5">
        <v>108535</v>
      </c>
      <c r="C9" s="5">
        <f t="shared" si="11"/>
        <v>0</v>
      </c>
      <c r="D9" s="430">
        <f t="shared" si="12"/>
        <v>0</v>
      </c>
      <c r="E9" s="341">
        <f>SUM((C9*$E$4)+(7500/'EDl log'!$A$39))</f>
        <v>241.93548387096774</v>
      </c>
      <c r="F9" s="429"/>
      <c r="G9" s="5">
        <v>602202</v>
      </c>
      <c r="H9" s="5">
        <f t="shared" si="13"/>
        <v>563</v>
      </c>
      <c r="I9" s="5">
        <f t="shared" si="0"/>
        <v>563</v>
      </c>
      <c r="J9" s="342">
        <f t="shared" si="1"/>
        <v>0.42972554861628376</v>
      </c>
      <c r="K9" s="5">
        <f>'Swimming Pool quality check '!H9</f>
        <v>6378</v>
      </c>
      <c r="L9" s="83">
        <f t="shared" ref="L9:L35" si="33">K9-K8</f>
        <v>10</v>
      </c>
      <c r="M9" s="421">
        <f t="shared" si="14"/>
        <v>457.44</v>
      </c>
      <c r="N9" s="529">
        <f t="shared" si="2"/>
        <v>0</v>
      </c>
      <c r="O9" s="421">
        <f t="shared" si="15"/>
        <v>529.52</v>
      </c>
      <c r="P9" s="529">
        <f t="shared" si="3"/>
        <v>0</v>
      </c>
      <c r="Q9" s="530">
        <f>P9+N9</f>
        <v>0</v>
      </c>
      <c r="R9" s="529"/>
      <c r="S9" s="529"/>
      <c r="T9" s="5">
        <v>4911</v>
      </c>
      <c r="U9" s="5">
        <f t="shared" si="4"/>
        <v>3</v>
      </c>
      <c r="V9" s="5">
        <f t="shared" si="16"/>
        <v>411</v>
      </c>
      <c r="W9" s="332">
        <f t="shared" si="17"/>
        <v>0</v>
      </c>
      <c r="X9" s="5">
        <v>144981</v>
      </c>
      <c r="Y9" s="332">
        <f t="shared" si="18"/>
        <v>180</v>
      </c>
      <c r="Z9" s="5">
        <v>95540</v>
      </c>
      <c r="AA9" s="83">
        <f t="shared" si="19"/>
        <v>73</v>
      </c>
      <c r="AB9" s="5">
        <f t="shared" si="16"/>
        <v>259</v>
      </c>
      <c r="AC9" s="5">
        <f t="shared" si="16"/>
        <v>670</v>
      </c>
      <c r="AD9" s="83">
        <f t="shared" si="32"/>
        <v>0</v>
      </c>
      <c r="AE9" s="5">
        <v>163.63999999999999</v>
      </c>
      <c r="AF9" s="83">
        <f t="shared" si="20"/>
        <v>5.9999999999973852E-2</v>
      </c>
      <c r="AG9" s="5">
        <v>1721.76</v>
      </c>
      <c r="AH9" s="83">
        <f t="shared" si="21"/>
        <v>3.7599999999999909</v>
      </c>
      <c r="AI9" s="83">
        <f t="shared" si="22"/>
        <v>3.8199999999999648</v>
      </c>
      <c r="AJ9" s="334">
        <f t="shared" si="23"/>
        <v>73</v>
      </c>
      <c r="AK9" s="335">
        <f t="shared" si="5"/>
        <v>170</v>
      </c>
      <c r="AL9" s="335">
        <f t="shared" si="24"/>
        <v>73</v>
      </c>
      <c r="AM9" s="335">
        <f>'General information '!D9</f>
        <v>26</v>
      </c>
      <c r="AN9" s="84">
        <f>'General information '!H9</f>
        <v>0</v>
      </c>
      <c r="AO9" s="84"/>
      <c r="AP9" s="84">
        <f>'General information '!J9</f>
        <v>258</v>
      </c>
      <c r="AQ9" s="81"/>
      <c r="AR9" s="283">
        <f t="shared" si="25"/>
        <v>44016</v>
      </c>
      <c r="AS9" s="435">
        <f t="shared" si="6"/>
        <v>0.9</v>
      </c>
      <c r="AT9" s="204">
        <v>152</v>
      </c>
      <c r="AU9" s="436">
        <f t="shared" ref="AU9:AV36" si="34">AU8</f>
        <v>1.1000000000000001</v>
      </c>
      <c r="AV9" s="204">
        <v>170</v>
      </c>
      <c r="AW9" s="5">
        <v>2.9</v>
      </c>
      <c r="AX9" s="204">
        <v>140</v>
      </c>
      <c r="AY9" s="439">
        <f t="shared" si="7"/>
        <v>136.80000000000001</v>
      </c>
      <c r="AZ9" s="439">
        <f t="shared" si="26"/>
        <v>187.00000000000003</v>
      </c>
      <c r="BA9" s="439">
        <f t="shared" si="27"/>
        <v>406</v>
      </c>
      <c r="BB9" s="21">
        <f t="shared" si="28"/>
        <v>83.700000000000017</v>
      </c>
      <c r="BC9" s="21">
        <f t="shared" si="29"/>
        <v>53.900000000000006</v>
      </c>
      <c r="BD9" s="21">
        <f t="shared" si="29"/>
        <v>66.699999999999989</v>
      </c>
      <c r="BE9" s="24">
        <f t="shared" si="30"/>
        <v>204.3</v>
      </c>
      <c r="BF9" s="355">
        <f t="shared" si="8"/>
        <v>358.7</v>
      </c>
      <c r="BG9" s="82">
        <f t="shared" si="9"/>
        <v>204.3</v>
      </c>
    </row>
    <row r="10" spans="1:65" ht="15.75" thickBot="1">
      <c r="A10" s="6">
        <f>ELEC!C7</f>
        <v>44017</v>
      </c>
      <c r="B10" s="5">
        <v>108535</v>
      </c>
      <c r="C10" s="5">
        <f t="shared" si="11"/>
        <v>0</v>
      </c>
      <c r="D10" s="430">
        <f t="shared" si="12"/>
        <v>0</v>
      </c>
      <c r="E10" s="341">
        <f>SUM((C10*$E$4)+(7500/'EDl log'!$A$39))</f>
        <v>241.93548387096774</v>
      </c>
      <c r="F10" s="429"/>
      <c r="G10" s="5">
        <v>602247</v>
      </c>
      <c r="H10" s="5">
        <f t="shared" si="13"/>
        <v>45</v>
      </c>
      <c r="I10" s="5">
        <f t="shared" si="0"/>
        <v>45</v>
      </c>
      <c r="J10" s="342">
        <f t="shared" si="1"/>
        <v>5.376344086021505</v>
      </c>
      <c r="K10" s="5">
        <f>'Swimming Pool quality check '!H10</f>
        <v>6386</v>
      </c>
      <c r="L10" s="83">
        <f>K10-K9</f>
        <v>8</v>
      </c>
      <c r="M10" s="421">
        <f t="shared" si="14"/>
        <v>457.44</v>
      </c>
      <c r="N10" s="529">
        <f t="shared" si="2"/>
        <v>0</v>
      </c>
      <c r="O10" s="421">
        <f t="shared" si="15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4915</v>
      </c>
      <c r="U10" s="5">
        <f t="shared" si="4"/>
        <v>4</v>
      </c>
      <c r="V10" s="5">
        <v>411</v>
      </c>
      <c r="W10" s="332">
        <f t="shared" si="17"/>
        <v>0</v>
      </c>
      <c r="X10" s="5">
        <v>144983</v>
      </c>
      <c r="Y10" s="332">
        <f t="shared" si="18"/>
        <v>2</v>
      </c>
      <c r="Z10" s="5">
        <v>95541</v>
      </c>
      <c r="AA10" s="83">
        <f t="shared" si="19"/>
        <v>1</v>
      </c>
      <c r="AB10" s="5">
        <f t="shared" si="16"/>
        <v>259</v>
      </c>
      <c r="AC10" s="5">
        <f t="shared" si="16"/>
        <v>670</v>
      </c>
      <c r="AD10" s="83">
        <f t="shared" si="32"/>
        <v>0</v>
      </c>
      <c r="AE10" s="5">
        <v>163.77000000000001</v>
      </c>
      <c r="AF10" s="83">
        <f t="shared" si="20"/>
        <v>0.13000000000002387</v>
      </c>
      <c r="AG10" s="5">
        <v>1724.45</v>
      </c>
      <c r="AH10" s="83">
        <f t="shared" si="21"/>
        <v>2.6900000000000546</v>
      </c>
      <c r="AI10" s="83">
        <f t="shared" si="22"/>
        <v>2.8200000000000784</v>
      </c>
      <c r="AJ10" s="334">
        <f t="shared" si="23"/>
        <v>1</v>
      </c>
      <c r="AK10" s="335">
        <f t="shared" si="5"/>
        <v>-6</v>
      </c>
      <c r="AL10" s="335">
        <f t="shared" si="24"/>
        <v>1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801</v>
      </c>
      <c r="AQ10" s="81"/>
      <c r="AR10" s="283">
        <f t="shared" si="25"/>
        <v>44017</v>
      </c>
      <c r="AS10" s="435">
        <f t="shared" si="6"/>
        <v>0.9</v>
      </c>
      <c r="AT10" s="204">
        <v>185</v>
      </c>
      <c r="AU10" s="436">
        <f t="shared" si="34"/>
        <v>1.1000000000000001</v>
      </c>
      <c r="AV10" s="204">
        <v>143</v>
      </c>
      <c r="AW10" s="5">
        <v>2.9</v>
      </c>
      <c r="AX10" s="204">
        <v>134</v>
      </c>
      <c r="AY10" s="439">
        <f t="shared" si="7"/>
        <v>166.5</v>
      </c>
      <c r="AZ10" s="439">
        <f t="shared" si="26"/>
        <v>157.30000000000001</v>
      </c>
      <c r="BA10" s="439">
        <f t="shared" si="27"/>
        <v>388.59999999999997</v>
      </c>
      <c r="BB10" s="21">
        <f t="shared" si="28"/>
        <v>29.699999999999989</v>
      </c>
      <c r="BC10" s="21">
        <f t="shared" si="29"/>
        <v>-29.700000000000017</v>
      </c>
      <c r="BD10" s="21">
        <f t="shared" si="29"/>
        <v>-17.400000000000034</v>
      </c>
      <c r="BE10" s="24">
        <f t="shared" si="30"/>
        <v>-17.400000000000063</v>
      </c>
      <c r="BF10" s="96">
        <f t="shared" si="8"/>
        <v>62.400000000000063</v>
      </c>
      <c r="BG10" s="82">
        <f t="shared" si="9"/>
        <v>-17.400000000000063</v>
      </c>
    </row>
    <row r="11" spans="1:65" ht="15.75" thickBot="1">
      <c r="A11" s="6">
        <f>ELEC!C8</f>
        <v>44018</v>
      </c>
      <c r="B11" s="5">
        <v>108535</v>
      </c>
      <c r="C11" s="5">
        <f t="shared" si="11"/>
        <v>0</v>
      </c>
      <c r="D11" s="430">
        <f t="shared" si="12"/>
        <v>0</v>
      </c>
      <c r="E11" s="341">
        <f>SUM((C11*$E$4)+(7500/'EDl log'!$A$39))</f>
        <v>241.93548387096774</v>
      </c>
      <c r="F11" s="429"/>
      <c r="G11" s="5">
        <v>602474</v>
      </c>
      <c r="H11" s="5">
        <f t="shared" si="13"/>
        <v>227</v>
      </c>
      <c r="I11" s="5">
        <f t="shared" si="0"/>
        <v>227</v>
      </c>
      <c r="J11" s="342">
        <f t="shared" si="1"/>
        <v>1.0657950831320164</v>
      </c>
      <c r="K11" s="5">
        <f>'Swimming Pool quality check '!H11</f>
        <v>6392</v>
      </c>
      <c r="L11" s="83">
        <f t="shared" si="33"/>
        <v>6</v>
      </c>
      <c r="M11" s="421">
        <f t="shared" si="14"/>
        <v>457.44</v>
      </c>
      <c r="N11" s="529">
        <f t="shared" si="2"/>
        <v>0</v>
      </c>
      <c r="O11" s="421">
        <f t="shared" si="15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v>4918</v>
      </c>
      <c r="U11" s="5">
        <f t="shared" si="4"/>
        <v>3</v>
      </c>
      <c r="V11" s="5">
        <v>412</v>
      </c>
      <c r="W11" s="332">
        <f t="shared" si="17"/>
        <v>1</v>
      </c>
      <c r="X11" s="5">
        <v>145093</v>
      </c>
      <c r="Y11" s="332">
        <f t="shared" si="18"/>
        <v>110</v>
      </c>
      <c r="Z11" s="5">
        <v>95584</v>
      </c>
      <c r="AA11" s="83">
        <f t="shared" si="19"/>
        <v>43</v>
      </c>
      <c r="AB11" s="5">
        <v>259</v>
      </c>
      <c r="AC11" s="5">
        <v>670</v>
      </c>
      <c r="AD11" s="83">
        <f t="shared" si="32"/>
        <v>0</v>
      </c>
      <c r="AE11" s="5">
        <v>164.76</v>
      </c>
      <c r="AF11" s="83">
        <f t="shared" si="20"/>
        <v>0.98999999999998067</v>
      </c>
      <c r="AG11" s="5">
        <v>1736.06</v>
      </c>
      <c r="AH11" s="83">
        <f t="shared" si="21"/>
        <v>11.6099999999999</v>
      </c>
      <c r="AI11" s="83">
        <f t="shared" si="22"/>
        <v>12.599999999999881</v>
      </c>
      <c r="AJ11" s="334">
        <f t="shared" si="23"/>
        <v>43</v>
      </c>
      <c r="AK11" s="335">
        <f t="shared" si="5"/>
        <v>104</v>
      </c>
      <c r="AL11" s="335">
        <f t="shared" si="24"/>
        <v>42</v>
      </c>
      <c r="AM11" s="335">
        <f>'General information '!D11</f>
        <v>27</v>
      </c>
      <c r="AN11" s="84">
        <f>'General information '!H11</f>
        <v>0</v>
      </c>
      <c r="AO11" s="84"/>
      <c r="AP11" s="84">
        <f>'General information '!J11</f>
        <v>230</v>
      </c>
      <c r="AQ11" s="81"/>
      <c r="AR11" s="283">
        <f t="shared" si="25"/>
        <v>44018</v>
      </c>
      <c r="AS11" s="435">
        <f t="shared" si="6"/>
        <v>0.9</v>
      </c>
      <c r="AT11" s="204">
        <v>181</v>
      </c>
      <c r="AU11" s="436">
        <f t="shared" si="34"/>
        <v>1.1000000000000001</v>
      </c>
      <c r="AV11" s="204">
        <v>152</v>
      </c>
      <c r="AW11" s="5">
        <v>2.9</v>
      </c>
      <c r="AX11" s="204">
        <v>148</v>
      </c>
      <c r="AY11" s="439">
        <f t="shared" si="7"/>
        <v>162.9</v>
      </c>
      <c r="AZ11" s="439">
        <f t="shared" si="26"/>
        <v>167.20000000000002</v>
      </c>
      <c r="BA11" s="439">
        <f t="shared" si="27"/>
        <v>429.2</v>
      </c>
      <c r="BB11" s="21">
        <f t="shared" si="28"/>
        <v>-3.5999999999999943</v>
      </c>
      <c r="BC11" s="21">
        <f t="shared" si="29"/>
        <v>9.9000000000000057</v>
      </c>
      <c r="BD11" s="21">
        <f t="shared" si="29"/>
        <v>40.600000000000023</v>
      </c>
      <c r="BE11" s="24">
        <f t="shared" si="30"/>
        <v>46.900000000000034</v>
      </c>
      <c r="BF11" s="96">
        <f t="shared" si="8"/>
        <v>180.09999999999997</v>
      </c>
      <c r="BG11" s="82">
        <f t="shared" si="9"/>
        <v>46.900000000000034</v>
      </c>
    </row>
    <row r="12" spans="1:65" ht="15.75" thickBot="1">
      <c r="A12" s="6">
        <f>ELEC!C9</f>
        <v>44019</v>
      </c>
      <c r="B12" s="5">
        <v>108535</v>
      </c>
      <c r="C12" s="5">
        <f>B12-B11</f>
        <v>0</v>
      </c>
      <c r="D12" s="430">
        <f t="shared" si="12"/>
        <v>0</v>
      </c>
      <c r="E12" s="341">
        <f>SUM((C12*$E$4)+(7500/'EDl log'!$A$39))</f>
        <v>241.93548387096774</v>
      </c>
      <c r="F12" s="429"/>
      <c r="G12" s="5">
        <v>602675</v>
      </c>
      <c r="H12" s="5">
        <f t="shared" si="13"/>
        <v>201</v>
      </c>
      <c r="I12" s="5">
        <f t="shared" si="0"/>
        <v>201</v>
      </c>
      <c r="J12" s="342">
        <f t="shared" si="1"/>
        <v>1.203659123736158</v>
      </c>
      <c r="K12" s="5">
        <f>'Swimming Pool quality check '!H12</f>
        <v>6400</v>
      </c>
      <c r="L12" s="83">
        <f t="shared" si="33"/>
        <v>8</v>
      </c>
      <c r="M12" s="421">
        <f t="shared" si="14"/>
        <v>457.44</v>
      </c>
      <c r="N12" s="529">
        <f t="shared" si="2"/>
        <v>0</v>
      </c>
      <c r="O12" s="421">
        <f t="shared" si="15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v>4925</v>
      </c>
      <c r="U12" s="5">
        <f t="shared" si="4"/>
        <v>7</v>
      </c>
      <c r="V12" s="5">
        <v>413</v>
      </c>
      <c r="W12" s="332">
        <f t="shared" si="17"/>
        <v>1</v>
      </c>
      <c r="X12" s="5">
        <v>145204</v>
      </c>
      <c r="Y12" s="332">
        <f t="shared" si="18"/>
        <v>111</v>
      </c>
      <c r="Z12" s="5">
        <v>95637</v>
      </c>
      <c r="AA12" s="83">
        <f t="shared" si="19"/>
        <v>53</v>
      </c>
      <c r="AB12" s="5">
        <f t="shared" si="16"/>
        <v>259</v>
      </c>
      <c r="AC12" s="5">
        <f t="shared" si="16"/>
        <v>670</v>
      </c>
      <c r="AD12" s="83">
        <f t="shared" si="32"/>
        <v>0</v>
      </c>
      <c r="AE12" s="5">
        <v>166.34</v>
      </c>
      <c r="AF12" s="83">
        <f t="shared" si="20"/>
        <v>1.5800000000000125</v>
      </c>
      <c r="AG12" s="5">
        <v>1753.68</v>
      </c>
      <c r="AH12" s="83">
        <f t="shared" si="21"/>
        <v>17.620000000000118</v>
      </c>
      <c r="AI12" s="83">
        <f t="shared" si="22"/>
        <v>19.200000000000131</v>
      </c>
      <c r="AJ12" s="334">
        <f t="shared" si="23"/>
        <v>53</v>
      </c>
      <c r="AK12" s="335">
        <f t="shared" si="5"/>
        <v>103</v>
      </c>
      <c r="AL12" s="335">
        <f t="shared" si="24"/>
        <v>52</v>
      </c>
      <c r="AM12" s="335">
        <f>'General information '!D12</f>
        <v>26</v>
      </c>
      <c r="AN12" s="84">
        <f>'General information '!H12</f>
        <v>0</v>
      </c>
      <c r="AO12" s="84"/>
      <c r="AP12" s="84">
        <f>'General information '!J12</f>
        <v>268</v>
      </c>
      <c r="AQ12" s="81"/>
      <c r="AR12" s="283">
        <f t="shared" si="25"/>
        <v>44019</v>
      </c>
      <c r="AS12" s="435">
        <f t="shared" si="6"/>
        <v>0.9</v>
      </c>
      <c r="AT12" s="204">
        <v>162</v>
      </c>
      <c r="AU12" s="436">
        <f t="shared" si="34"/>
        <v>1.1000000000000001</v>
      </c>
      <c r="AV12" s="204">
        <v>135</v>
      </c>
      <c r="AW12" s="5">
        <v>2.9</v>
      </c>
      <c r="AX12" s="204">
        <v>133</v>
      </c>
      <c r="AY12" s="439">
        <f t="shared" si="7"/>
        <v>145.80000000000001</v>
      </c>
      <c r="AZ12" s="439">
        <f t="shared" si="26"/>
        <v>148.5</v>
      </c>
      <c r="BA12" s="439">
        <f t="shared" si="27"/>
        <v>385.7</v>
      </c>
      <c r="BB12" s="21">
        <f t="shared" si="28"/>
        <v>-17.099999999999994</v>
      </c>
      <c r="BC12" s="21">
        <f t="shared" si="29"/>
        <v>-18.700000000000017</v>
      </c>
      <c r="BD12" s="21">
        <f t="shared" si="29"/>
        <v>-43.5</v>
      </c>
      <c r="BE12" s="24">
        <f t="shared" si="30"/>
        <v>-79.300000000000011</v>
      </c>
      <c r="BF12" s="96">
        <f t="shared" si="8"/>
        <v>280.3</v>
      </c>
      <c r="BG12" s="82">
        <f t="shared" si="9"/>
        <v>-79.300000000000011</v>
      </c>
    </row>
    <row r="13" spans="1:65" ht="15.75" thickBot="1">
      <c r="A13" s="6">
        <f>ELEC!C10</f>
        <v>44020</v>
      </c>
      <c r="B13" s="5">
        <v>108535</v>
      </c>
      <c r="C13" s="5">
        <f t="shared" si="11"/>
        <v>0</v>
      </c>
      <c r="D13" s="430">
        <f t="shared" si="12"/>
        <v>0</v>
      </c>
      <c r="E13" s="341">
        <f>SUM((C13*$E$4)+(7500/'EDl log'!$A$39))</f>
        <v>241.93548387096774</v>
      </c>
      <c r="F13" s="429"/>
      <c r="G13" s="5">
        <v>602675</v>
      </c>
      <c r="H13" s="5">
        <f t="shared" si="13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6405</v>
      </c>
      <c r="L13" s="83">
        <f t="shared" si="33"/>
        <v>5</v>
      </c>
      <c r="M13" s="421">
        <f t="shared" si="14"/>
        <v>457.44</v>
      </c>
      <c r="N13" s="529">
        <f t="shared" si="2"/>
        <v>0</v>
      </c>
      <c r="O13" s="421">
        <f t="shared" si="15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v>4929</v>
      </c>
      <c r="U13" s="5">
        <f t="shared" si="4"/>
        <v>4</v>
      </c>
      <c r="V13" s="5">
        <v>413</v>
      </c>
      <c r="W13" s="332">
        <f t="shared" si="17"/>
        <v>0</v>
      </c>
      <c r="X13" s="5">
        <v>145204</v>
      </c>
      <c r="Y13" s="332">
        <f t="shared" si="18"/>
        <v>0</v>
      </c>
      <c r="Z13" s="5">
        <v>95637</v>
      </c>
      <c r="AA13" s="83">
        <f t="shared" si="19"/>
        <v>0</v>
      </c>
      <c r="AB13" s="5">
        <v>259</v>
      </c>
      <c r="AC13" s="5">
        <f t="shared" si="16"/>
        <v>670</v>
      </c>
      <c r="AD13" s="83">
        <f t="shared" si="32"/>
        <v>0</v>
      </c>
      <c r="AE13" s="5">
        <f t="shared" si="16"/>
        <v>166.34</v>
      </c>
      <c r="AF13" s="83">
        <f t="shared" si="20"/>
        <v>0</v>
      </c>
      <c r="AG13" s="5">
        <f t="shared" si="16"/>
        <v>1753.68</v>
      </c>
      <c r="AH13" s="83">
        <f t="shared" si="21"/>
        <v>0</v>
      </c>
      <c r="AI13" s="83">
        <f t="shared" si="22"/>
        <v>0</v>
      </c>
      <c r="AJ13" s="334">
        <f t="shared" si="23"/>
        <v>0</v>
      </c>
      <c r="AK13" s="335">
        <f t="shared" si="5"/>
        <v>-5</v>
      </c>
      <c r="AL13" s="335">
        <f t="shared" si="24"/>
        <v>0</v>
      </c>
      <c r="AM13" s="335">
        <f>'General information '!D13</f>
        <v>26</v>
      </c>
      <c r="AN13" s="84">
        <f>'General information '!J13</f>
        <v>336</v>
      </c>
      <c r="AO13" s="84"/>
      <c r="AP13" s="84">
        <f>'General information '!J13</f>
        <v>336</v>
      </c>
      <c r="AQ13" s="95"/>
      <c r="AR13" s="283">
        <f t="shared" si="25"/>
        <v>44020</v>
      </c>
      <c r="AS13" s="435">
        <f t="shared" si="6"/>
        <v>0.9</v>
      </c>
      <c r="AT13" s="204">
        <v>127</v>
      </c>
      <c r="AU13" s="436">
        <f t="shared" si="34"/>
        <v>1.1000000000000001</v>
      </c>
      <c r="AV13" s="204">
        <v>149</v>
      </c>
      <c r="AW13" s="5">
        <v>2.9</v>
      </c>
      <c r="AX13" s="204">
        <v>145</v>
      </c>
      <c r="AY13" s="439">
        <f t="shared" si="7"/>
        <v>114.3</v>
      </c>
      <c r="AZ13" s="439">
        <f t="shared" si="26"/>
        <v>163.9</v>
      </c>
      <c r="BA13" s="439">
        <f t="shared" si="27"/>
        <v>420.5</v>
      </c>
      <c r="BB13" s="21">
        <f t="shared" si="28"/>
        <v>-31.500000000000014</v>
      </c>
      <c r="BC13" s="21">
        <f t="shared" si="29"/>
        <v>15.400000000000006</v>
      </c>
      <c r="BD13" s="21">
        <f t="shared" si="29"/>
        <v>34.800000000000011</v>
      </c>
      <c r="BE13" s="24">
        <f t="shared" si="30"/>
        <v>18.700000000000003</v>
      </c>
      <c r="BF13" s="96">
        <f t="shared" si="8"/>
        <v>-18.700000000000003</v>
      </c>
      <c r="BG13" s="82">
        <f t="shared" si="9"/>
        <v>18.700000000000003</v>
      </c>
    </row>
    <row r="14" spans="1:65" ht="15.75" thickBot="1">
      <c r="A14" s="6">
        <f>ELEC!C11</f>
        <v>44021</v>
      </c>
      <c r="B14" s="5">
        <f t="shared" si="10"/>
        <v>108535</v>
      </c>
      <c r="C14" s="5">
        <f t="shared" si="11"/>
        <v>0</v>
      </c>
      <c r="D14" s="430">
        <f t="shared" si="12"/>
        <v>0</v>
      </c>
      <c r="E14" s="341">
        <f>SUM((C14*$E$4)+(7500/'EDl log'!$A$39))</f>
        <v>241.93548387096774</v>
      </c>
      <c r="F14" s="429"/>
      <c r="G14" s="5">
        <f t="shared" si="31"/>
        <v>602675</v>
      </c>
      <c r="H14" s="5">
        <f t="shared" si="13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6412</v>
      </c>
      <c r="L14" s="83">
        <f t="shared" si="33"/>
        <v>7</v>
      </c>
      <c r="M14" s="421">
        <f t="shared" si="14"/>
        <v>457.44</v>
      </c>
      <c r="N14" s="529">
        <f t="shared" ref="N14:N35" si="35">SUM(M14-M13)</f>
        <v>0</v>
      </c>
      <c r="O14" s="421">
        <f t="shared" si="15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6"/>
        <v>4929</v>
      </c>
      <c r="U14" s="5">
        <f t="shared" si="4"/>
        <v>0</v>
      </c>
      <c r="V14" s="5">
        <f t="shared" si="16"/>
        <v>413</v>
      </c>
      <c r="W14" s="332">
        <f t="shared" si="17"/>
        <v>0</v>
      </c>
      <c r="X14" s="5">
        <f t="shared" si="16"/>
        <v>145204</v>
      </c>
      <c r="Y14" s="332">
        <f t="shared" si="18"/>
        <v>0</v>
      </c>
      <c r="Z14" s="5">
        <v>95637</v>
      </c>
      <c r="AA14" s="83">
        <f t="shared" si="19"/>
        <v>0</v>
      </c>
      <c r="AB14" s="5">
        <f t="shared" si="16"/>
        <v>259</v>
      </c>
      <c r="AC14" s="5">
        <f t="shared" si="16"/>
        <v>670</v>
      </c>
      <c r="AD14" s="83">
        <f t="shared" si="32"/>
        <v>0</v>
      </c>
      <c r="AE14" s="5">
        <v>166.34</v>
      </c>
      <c r="AF14" s="83">
        <f t="shared" si="20"/>
        <v>0</v>
      </c>
      <c r="AG14" s="5">
        <v>1757.69</v>
      </c>
      <c r="AH14" s="83">
        <f t="shared" si="21"/>
        <v>4.0099999999999909</v>
      </c>
      <c r="AI14" s="83">
        <f t="shared" si="22"/>
        <v>4.0099999999999909</v>
      </c>
      <c r="AJ14" s="334">
        <f t="shared" si="23"/>
        <v>0</v>
      </c>
      <c r="AK14" s="335">
        <f t="shared" si="5"/>
        <v>-7</v>
      </c>
      <c r="AL14" s="335">
        <f t="shared" si="24"/>
        <v>0</v>
      </c>
      <c r="AM14" s="335">
        <f>'General information '!D14</f>
        <v>26</v>
      </c>
      <c r="AN14" s="84">
        <f>'General information '!H14</f>
        <v>0</v>
      </c>
      <c r="AO14" s="84"/>
      <c r="AP14" s="84">
        <f>'General information '!J14</f>
        <v>375</v>
      </c>
      <c r="AQ14" s="81"/>
      <c r="AR14" s="283">
        <f t="shared" si="25"/>
        <v>44021</v>
      </c>
      <c r="AS14" s="435">
        <f t="shared" si="6"/>
        <v>0.9</v>
      </c>
      <c r="AT14" s="204">
        <v>127</v>
      </c>
      <c r="AU14" s="436">
        <f t="shared" si="34"/>
        <v>1.1000000000000001</v>
      </c>
      <c r="AV14" s="204">
        <v>128</v>
      </c>
      <c r="AW14" s="5">
        <v>2.9</v>
      </c>
      <c r="AX14" s="204">
        <v>128</v>
      </c>
      <c r="AY14" s="439">
        <f t="shared" si="7"/>
        <v>114.3</v>
      </c>
      <c r="AZ14" s="439">
        <f t="shared" si="26"/>
        <v>140.80000000000001</v>
      </c>
      <c r="BA14" s="439">
        <f t="shared" si="27"/>
        <v>371.2</v>
      </c>
      <c r="BB14" s="21">
        <f t="shared" si="28"/>
        <v>0</v>
      </c>
      <c r="BC14" s="21">
        <f t="shared" si="29"/>
        <v>-23.099999999999994</v>
      </c>
      <c r="BD14" s="21">
        <f t="shared" si="29"/>
        <v>-49.300000000000011</v>
      </c>
      <c r="BE14" s="24">
        <f t="shared" si="30"/>
        <v>-72.400000000000006</v>
      </c>
      <c r="BF14" s="96">
        <f t="shared" si="8"/>
        <v>72.400000000000006</v>
      </c>
      <c r="BG14" s="82">
        <f t="shared" si="9"/>
        <v>-72.400000000000006</v>
      </c>
    </row>
    <row r="15" spans="1:65" ht="16.5" customHeight="1" thickBot="1">
      <c r="A15" s="6">
        <f>ELEC!C12</f>
        <v>44022</v>
      </c>
      <c r="B15" s="5">
        <v>108535</v>
      </c>
      <c r="C15" s="5">
        <f t="shared" si="11"/>
        <v>0</v>
      </c>
      <c r="D15" s="430">
        <f t="shared" si="12"/>
        <v>0</v>
      </c>
      <c r="E15" s="341">
        <f>SUM((C15*$E$4)+(7500/'EDl log'!$A$39))</f>
        <v>241.93548387096774</v>
      </c>
      <c r="F15" s="429"/>
      <c r="G15" s="5">
        <v>602787</v>
      </c>
      <c r="H15" s="5">
        <f t="shared" si="13"/>
        <v>112</v>
      </c>
      <c r="I15" s="5">
        <f t="shared" si="0"/>
        <v>112</v>
      </c>
      <c r="J15" s="342">
        <f t="shared" si="1"/>
        <v>2.1601382488479262</v>
      </c>
      <c r="K15" s="5">
        <f>'Swimming Pool quality check '!H15</f>
        <v>6419</v>
      </c>
      <c r="L15" s="83">
        <f t="shared" si="33"/>
        <v>7</v>
      </c>
      <c r="M15" s="421">
        <f t="shared" si="14"/>
        <v>457.44</v>
      </c>
      <c r="N15" s="529">
        <f t="shared" si="35"/>
        <v>0</v>
      </c>
      <c r="O15" s="421">
        <f t="shared" si="15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v>4932</v>
      </c>
      <c r="U15" s="5">
        <f t="shared" si="4"/>
        <v>3</v>
      </c>
      <c r="V15" s="5">
        <v>413</v>
      </c>
      <c r="W15" s="332">
        <f t="shared" si="17"/>
        <v>0</v>
      </c>
      <c r="X15" s="5">
        <v>145295</v>
      </c>
      <c r="Y15" s="332">
        <f t="shared" si="18"/>
        <v>91</v>
      </c>
      <c r="Z15" s="5">
        <v>95661</v>
      </c>
      <c r="AA15" s="83">
        <f t="shared" si="19"/>
        <v>24</v>
      </c>
      <c r="AB15" s="5">
        <f t="shared" si="16"/>
        <v>259</v>
      </c>
      <c r="AC15" s="5">
        <f t="shared" si="16"/>
        <v>670</v>
      </c>
      <c r="AD15" s="83">
        <f t="shared" si="32"/>
        <v>0</v>
      </c>
      <c r="AE15" s="5">
        <v>166.96</v>
      </c>
      <c r="AF15" s="83">
        <f t="shared" si="20"/>
        <v>0.62000000000000455</v>
      </c>
      <c r="AG15" s="5">
        <v>1762.96</v>
      </c>
      <c r="AH15" s="83">
        <f t="shared" si="21"/>
        <v>5.2699999999999818</v>
      </c>
      <c r="AI15" s="83">
        <f t="shared" si="22"/>
        <v>5.8899999999999864</v>
      </c>
      <c r="AJ15" s="334">
        <f t="shared" si="23"/>
        <v>24</v>
      </c>
      <c r="AK15" s="335">
        <f t="shared" si="5"/>
        <v>84</v>
      </c>
      <c r="AL15" s="335">
        <f t="shared" si="24"/>
        <v>24</v>
      </c>
      <c r="AM15" s="335">
        <f>'General information '!D15</f>
        <v>26</v>
      </c>
      <c r="AN15" s="84">
        <f>'General information '!H15</f>
        <v>0</v>
      </c>
      <c r="AO15" s="84"/>
      <c r="AP15" s="84">
        <f>'General information '!J15</f>
        <v>329</v>
      </c>
      <c r="AQ15" s="81"/>
      <c r="AR15" s="283">
        <f t="shared" si="25"/>
        <v>44022</v>
      </c>
      <c r="AS15" s="435">
        <f t="shared" si="6"/>
        <v>0.9</v>
      </c>
      <c r="AT15" s="204">
        <v>70</v>
      </c>
      <c r="AU15" s="436">
        <f t="shared" si="34"/>
        <v>1.1000000000000001</v>
      </c>
      <c r="AV15" s="204">
        <v>127</v>
      </c>
      <c r="AW15" s="5">
        <v>2.9</v>
      </c>
      <c r="AX15" s="204">
        <v>139</v>
      </c>
      <c r="AY15" s="439">
        <f t="shared" si="7"/>
        <v>63</v>
      </c>
      <c r="AZ15" s="439">
        <f t="shared" si="26"/>
        <v>139.70000000000002</v>
      </c>
      <c r="BA15" s="439">
        <f t="shared" si="27"/>
        <v>403.09999999999997</v>
      </c>
      <c r="BB15" s="21">
        <f t="shared" si="28"/>
        <v>-51.3</v>
      </c>
      <c r="BC15" s="21">
        <f t="shared" si="29"/>
        <v>-1.0999999999999943</v>
      </c>
      <c r="BD15" s="21">
        <f t="shared" si="29"/>
        <v>31.899999999999977</v>
      </c>
      <c r="BE15" s="24">
        <f t="shared" si="30"/>
        <v>-20.500000000000014</v>
      </c>
      <c r="BF15" s="96">
        <f t="shared" si="8"/>
        <v>132.5</v>
      </c>
      <c r="BG15" s="82">
        <f t="shared" si="9"/>
        <v>-20.5</v>
      </c>
    </row>
    <row r="16" spans="1:65" ht="15.75" thickBot="1">
      <c r="A16" s="6">
        <f>ELEC!C13</f>
        <v>44023</v>
      </c>
      <c r="B16" s="5">
        <v>108535</v>
      </c>
      <c r="C16" s="5">
        <f t="shared" si="11"/>
        <v>0</v>
      </c>
      <c r="D16" s="430">
        <f t="shared" si="12"/>
        <v>0</v>
      </c>
      <c r="E16" s="341">
        <f>SUM((C16*$E$4)+(7500/'EDl log'!$A$39))</f>
        <v>241.93548387096774</v>
      </c>
      <c r="F16" s="429"/>
      <c r="G16" s="5">
        <f t="shared" si="31"/>
        <v>602787</v>
      </c>
      <c r="H16" s="5">
        <f t="shared" si="13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6423</v>
      </c>
      <c r="L16" s="280">
        <f t="shared" si="33"/>
        <v>4</v>
      </c>
      <c r="M16" s="421">
        <f t="shared" si="14"/>
        <v>457.44</v>
      </c>
      <c r="N16" s="529">
        <f t="shared" si="35"/>
        <v>0</v>
      </c>
      <c r="O16" s="421">
        <f t="shared" si="15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v>4935</v>
      </c>
      <c r="U16" s="5">
        <f t="shared" si="4"/>
        <v>3</v>
      </c>
      <c r="V16" s="5">
        <f t="shared" si="16"/>
        <v>413</v>
      </c>
      <c r="W16" s="332">
        <f t="shared" si="17"/>
        <v>0</v>
      </c>
      <c r="X16" s="5">
        <v>145295</v>
      </c>
      <c r="Y16" s="332">
        <f t="shared" si="18"/>
        <v>0</v>
      </c>
      <c r="Z16" s="5">
        <v>95661</v>
      </c>
      <c r="AA16" s="83">
        <f t="shared" si="19"/>
        <v>0</v>
      </c>
      <c r="AB16" s="5">
        <v>258</v>
      </c>
      <c r="AC16" s="5">
        <f t="shared" si="16"/>
        <v>670</v>
      </c>
      <c r="AD16" s="83">
        <f t="shared" si="32"/>
        <v>0</v>
      </c>
      <c r="AE16" s="5">
        <v>168.16</v>
      </c>
      <c r="AF16" s="83">
        <f t="shared" si="20"/>
        <v>1.1999999999999886</v>
      </c>
      <c r="AG16" s="5">
        <v>1774.6</v>
      </c>
      <c r="AH16" s="83">
        <f t="shared" si="21"/>
        <v>11.639999999999873</v>
      </c>
      <c r="AI16" s="83">
        <f t="shared" si="22"/>
        <v>12.839999999999861</v>
      </c>
      <c r="AJ16" s="334">
        <f t="shared" si="23"/>
        <v>0</v>
      </c>
      <c r="AK16" s="335">
        <f t="shared" si="5"/>
        <v>-4</v>
      </c>
      <c r="AL16" s="335">
        <f t="shared" si="24"/>
        <v>0</v>
      </c>
      <c r="AM16" s="335">
        <f>'General information '!D16</f>
        <v>28</v>
      </c>
      <c r="AN16" s="84">
        <f>'General information '!H16</f>
        <v>0</v>
      </c>
      <c r="AO16" s="84"/>
      <c r="AP16" s="84">
        <f>'General information '!J16</f>
        <v>323</v>
      </c>
      <c r="AQ16" s="81"/>
      <c r="AR16" s="283">
        <f t="shared" si="25"/>
        <v>44023</v>
      </c>
      <c r="AS16" s="435">
        <f t="shared" si="6"/>
        <v>0.9</v>
      </c>
      <c r="AT16" s="204">
        <v>53</v>
      </c>
      <c r="AU16" s="436">
        <f t="shared" si="34"/>
        <v>1.1000000000000001</v>
      </c>
      <c r="AV16" s="204">
        <v>101</v>
      </c>
      <c r="AW16" s="5">
        <v>2.9</v>
      </c>
      <c r="AX16" s="204">
        <v>124</v>
      </c>
      <c r="AY16" s="439">
        <f t="shared" si="7"/>
        <v>47.7</v>
      </c>
      <c r="AZ16" s="439">
        <f t="shared" si="26"/>
        <v>111.10000000000001</v>
      </c>
      <c r="BA16" s="439">
        <f t="shared" si="27"/>
        <v>359.59999999999997</v>
      </c>
      <c r="BB16" s="21">
        <f t="shared" si="28"/>
        <v>-15.299999999999997</v>
      </c>
      <c r="BC16" s="21">
        <f t="shared" si="29"/>
        <v>-28.600000000000009</v>
      </c>
      <c r="BD16" s="21">
        <f t="shared" si="29"/>
        <v>-43.5</v>
      </c>
      <c r="BE16" s="24">
        <f t="shared" si="30"/>
        <v>-87.4</v>
      </c>
      <c r="BF16" s="96">
        <f t="shared" si="8"/>
        <v>87.4</v>
      </c>
      <c r="BG16" s="82">
        <f t="shared" si="9"/>
        <v>-87.4</v>
      </c>
    </row>
    <row r="17" spans="1:61" ht="15.75" thickBot="1">
      <c r="A17" s="6">
        <f>ELEC!C14</f>
        <v>44024</v>
      </c>
      <c r="B17" s="5">
        <v>108535</v>
      </c>
      <c r="C17" s="5">
        <f t="shared" si="11"/>
        <v>0</v>
      </c>
      <c r="D17" s="430">
        <f t="shared" si="12"/>
        <v>0</v>
      </c>
      <c r="E17" s="341">
        <f>SUM((C17*$E$4)+(7500/'EDl log'!$A$39))</f>
        <v>241.93548387096774</v>
      </c>
      <c r="F17" s="429"/>
      <c r="G17" s="5">
        <v>603058</v>
      </c>
      <c r="H17" s="5">
        <f t="shared" si="13"/>
        <v>271</v>
      </c>
      <c r="I17" s="5">
        <f t="shared" si="0"/>
        <v>271</v>
      </c>
      <c r="J17" s="342">
        <f t="shared" si="1"/>
        <v>0.89275086299250095</v>
      </c>
      <c r="K17" s="5">
        <f>'Swimming Pool quality check '!H17</f>
        <v>6434</v>
      </c>
      <c r="L17" s="83">
        <f t="shared" si="33"/>
        <v>11</v>
      </c>
      <c r="M17" s="421">
        <f t="shared" si="14"/>
        <v>457.44</v>
      </c>
      <c r="N17" s="529">
        <f t="shared" si="35"/>
        <v>0</v>
      </c>
      <c r="O17" s="421">
        <f t="shared" si="15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v>4938</v>
      </c>
      <c r="U17" s="5">
        <f t="shared" si="4"/>
        <v>3</v>
      </c>
      <c r="V17" s="5">
        <v>413</v>
      </c>
      <c r="W17" s="332">
        <f t="shared" si="17"/>
        <v>0</v>
      </c>
      <c r="X17" s="5">
        <v>145337</v>
      </c>
      <c r="Y17" s="332">
        <f t="shared" si="18"/>
        <v>42</v>
      </c>
      <c r="Z17" s="5">
        <v>95727</v>
      </c>
      <c r="AA17" s="83">
        <f t="shared" si="19"/>
        <v>66</v>
      </c>
      <c r="AB17" s="5">
        <v>258</v>
      </c>
      <c r="AC17" s="5">
        <v>670</v>
      </c>
      <c r="AD17" s="83">
        <f t="shared" si="32"/>
        <v>0</v>
      </c>
      <c r="AE17" s="5">
        <f>AE16</f>
        <v>168.16</v>
      </c>
      <c r="AF17" s="83">
        <f t="shared" si="20"/>
        <v>0</v>
      </c>
      <c r="AG17" s="5">
        <v>1778.62</v>
      </c>
      <c r="AH17" s="83">
        <f t="shared" si="21"/>
        <v>4.0199999999999818</v>
      </c>
      <c r="AI17" s="83">
        <f t="shared" si="22"/>
        <v>4.0199999999999818</v>
      </c>
      <c r="AJ17" s="334">
        <f t="shared" si="23"/>
        <v>66</v>
      </c>
      <c r="AK17" s="335">
        <f t="shared" si="5"/>
        <v>31</v>
      </c>
      <c r="AL17" s="335">
        <f t="shared" si="24"/>
        <v>66</v>
      </c>
      <c r="AM17" s="335">
        <f>'General information '!D17</f>
        <v>26</v>
      </c>
      <c r="AN17" s="84">
        <f>'General information '!H17</f>
        <v>0</v>
      </c>
      <c r="AO17" s="84"/>
      <c r="AP17" s="84">
        <f>'General information '!J17</f>
        <v>357</v>
      </c>
      <c r="AQ17" s="95"/>
      <c r="AR17" s="283">
        <f t="shared" si="25"/>
        <v>44024</v>
      </c>
      <c r="AS17" s="435">
        <f t="shared" si="6"/>
        <v>0.9</v>
      </c>
      <c r="AT17" s="204">
        <v>117</v>
      </c>
      <c r="AU17" s="436">
        <f t="shared" si="34"/>
        <v>1.1000000000000001</v>
      </c>
      <c r="AV17" s="204">
        <v>122</v>
      </c>
      <c r="AW17" s="5">
        <v>2.9</v>
      </c>
      <c r="AX17" s="204">
        <v>122</v>
      </c>
      <c r="AY17" s="439">
        <f t="shared" si="7"/>
        <v>105.3</v>
      </c>
      <c r="AZ17" s="439">
        <f t="shared" si="26"/>
        <v>134.20000000000002</v>
      </c>
      <c r="BA17" s="439">
        <f t="shared" si="27"/>
        <v>353.8</v>
      </c>
      <c r="BB17" s="21">
        <f t="shared" si="28"/>
        <v>57.599999999999994</v>
      </c>
      <c r="BC17" s="21">
        <f t="shared" si="29"/>
        <v>23.100000000000009</v>
      </c>
      <c r="BD17" s="21">
        <f t="shared" si="29"/>
        <v>-5.7999999999999545</v>
      </c>
      <c r="BE17" s="24">
        <f t="shared" si="30"/>
        <v>74.900000000000048</v>
      </c>
      <c r="BF17" s="96">
        <f t="shared" si="8"/>
        <v>196.09999999999997</v>
      </c>
      <c r="BG17" s="82">
        <f t="shared" si="9"/>
        <v>74.900000000000034</v>
      </c>
    </row>
    <row r="18" spans="1:61" ht="15.75" thickBot="1">
      <c r="A18" s="6">
        <f>ELEC!C15</f>
        <v>44025</v>
      </c>
      <c r="B18" s="5">
        <v>108535</v>
      </c>
      <c r="C18" s="5">
        <f t="shared" si="11"/>
        <v>0</v>
      </c>
      <c r="D18" s="430">
        <f t="shared" si="12"/>
        <v>0</v>
      </c>
      <c r="E18" s="341">
        <f>SUM((C18*$E$4)+(7500/'EDl log'!$A$39))</f>
        <v>241.93548387096774</v>
      </c>
      <c r="F18" s="429"/>
      <c r="G18" s="5">
        <v>603058</v>
      </c>
      <c r="H18" s="5">
        <f t="shared" si="13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6438</v>
      </c>
      <c r="L18" s="83">
        <f t="shared" si="33"/>
        <v>4</v>
      </c>
      <c r="M18" s="421">
        <f t="shared" si="14"/>
        <v>457.44</v>
      </c>
      <c r="N18" s="529">
        <f t="shared" si="35"/>
        <v>0</v>
      </c>
      <c r="O18" s="421">
        <f t="shared" si="15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v>4942</v>
      </c>
      <c r="U18" s="5">
        <f t="shared" si="4"/>
        <v>4</v>
      </c>
      <c r="V18" s="5">
        <v>413</v>
      </c>
      <c r="W18" s="332">
        <f t="shared" si="17"/>
        <v>0</v>
      </c>
      <c r="X18" s="5">
        <v>145340</v>
      </c>
      <c r="Y18" s="332">
        <f t="shared" si="18"/>
        <v>3</v>
      </c>
      <c r="Z18" s="5">
        <v>95727</v>
      </c>
      <c r="AA18" s="83">
        <f t="shared" si="19"/>
        <v>0</v>
      </c>
      <c r="AB18" s="5">
        <f t="shared" si="16"/>
        <v>258</v>
      </c>
      <c r="AC18" s="5">
        <f t="shared" si="16"/>
        <v>670</v>
      </c>
      <c r="AD18" s="83">
        <f t="shared" si="32"/>
        <v>0</v>
      </c>
      <c r="AE18" s="5">
        <v>169.11</v>
      </c>
      <c r="AF18" s="83">
        <f t="shared" si="20"/>
        <v>0.95000000000001705</v>
      </c>
      <c r="AG18" s="5">
        <v>1791.61</v>
      </c>
      <c r="AH18" s="83">
        <f t="shared" si="21"/>
        <v>12.990000000000009</v>
      </c>
      <c r="AI18" s="83">
        <f t="shared" si="22"/>
        <v>13.940000000000026</v>
      </c>
      <c r="AJ18" s="334">
        <f t="shared" si="23"/>
        <v>0</v>
      </c>
      <c r="AK18" s="335">
        <f t="shared" si="5"/>
        <v>-1</v>
      </c>
      <c r="AL18" s="335">
        <f t="shared" si="24"/>
        <v>0</v>
      </c>
      <c r="AM18" s="335">
        <f>'General information '!D18</f>
        <v>26.5</v>
      </c>
      <c r="AN18" s="84">
        <f>'General information '!H18</f>
        <v>0</v>
      </c>
      <c r="AO18" s="84"/>
      <c r="AP18" s="84">
        <f>'General information '!J18</f>
        <v>297</v>
      </c>
      <c r="AQ18" s="95"/>
      <c r="AR18" s="283">
        <f t="shared" si="25"/>
        <v>44025</v>
      </c>
      <c r="AS18" s="435">
        <f t="shared" si="6"/>
        <v>0.9</v>
      </c>
      <c r="AT18" s="204">
        <v>112</v>
      </c>
      <c r="AU18" s="436">
        <f t="shared" si="34"/>
        <v>1.1000000000000001</v>
      </c>
      <c r="AV18" s="204">
        <v>110</v>
      </c>
      <c r="AW18" s="5">
        <v>2.9</v>
      </c>
      <c r="AX18" s="204">
        <v>108</v>
      </c>
      <c r="AY18" s="439">
        <f t="shared" si="7"/>
        <v>100.8</v>
      </c>
      <c r="AZ18" s="439">
        <f t="shared" si="26"/>
        <v>121.00000000000001</v>
      </c>
      <c r="BA18" s="439">
        <f t="shared" si="27"/>
        <v>313.2</v>
      </c>
      <c r="BB18" s="21">
        <f t="shared" si="28"/>
        <v>-4.5</v>
      </c>
      <c r="BC18" s="21">
        <f t="shared" si="29"/>
        <v>-13.200000000000003</v>
      </c>
      <c r="BD18" s="21">
        <f t="shared" si="29"/>
        <v>-40.600000000000023</v>
      </c>
      <c r="BE18" s="24">
        <f t="shared" si="30"/>
        <v>-58.300000000000026</v>
      </c>
      <c r="BF18" s="96">
        <f t="shared" si="8"/>
        <v>58.300000000000026</v>
      </c>
      <c r="BG18" s="82">
        <f t="shared" si="9"/>
        <v>-58.300000000000026</v>
      </c>
    </row>
    <row r="19" spans="1:61" ht="15.75" thickBot="1">
      <c r="A19" s="6">
        <f>ELEC!C16</f>
        <v>44026</v>
      </c>
      <c r="B19" s="5">
        <v>108535</v>
      </c>
      <c r="C19" s="5">
        <f t="shared" si="11"/>
        <v>0</v>
      </c>
      <c r="D19" s="430">
        <f t="shared" si="12"/>
        <v>0</v>
      </c>
      <c r="E19" s="341">
        <f>SUM((C19*$E$4)+(7500/'EDl log'!$A$39))</f>
        <v>241.93548387096774</v>
      </c>
      <c r="F19" s="429"/>
      <c r="G19" s="5">
        <v>603282</v>
      </c>
      <c r="H19" s="5">
        <f t="shared" si="13"/>
        <v>224</v>
      </c>
      <c r="I19" s="5">
        <f t="shared" si="0"/>
        <v>224</v>
      </c>
      <c r="J19" s="342">
        <f t="shared" si="1"/>
        <v>1.0800691244239631</v>
      </c>
      <c r="K19" s="5">
        <f>'Swimming Pool quality check '!H19</f>
        <v>6443</v>
      </c>
      <c r="L19" s="83">
        <f t="shared" si="33"/>
        <v>5</v>
      </c>
      <c r="M19" s="421">
        <f t="shared" si="14"/>
        <v>457.44</v>
      </c>
      <c r="N19" s="529">
        <f t="shared" si="35"/>
        <v>0</v>
      </c>
      <c r="O19" s="421">
        <f t="shared" si="15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v>4945</v>
      </c>
      <c r="U19" s="5">
        <f t="shared" si="4"/>
        <v>3</v>
      </c>
      <c r="V19" s="5">
        <v>413</v>
      </c>
      <c r="W19" s="332">
        <f t="shared" si="17"/>
        <v>0</v>
      </c>
      <c r="X19" s="5">
        <v>145490</v>
      </c>
      <c r="Y19" s="332">
        <f t="shared" si="18"/>
        <v>150</v>
      </c>
      <c r="Z19" s="5">
        <v>95769</v>
      </c>
      <c r="AA19" s="83">
        <f t="shared" si="19"/>
        <v>42</v>
      </c>
      <c r="AB19" s="5">
        <f t="shared" si="16"/>
        <v>258</v>
      </c>
      <c r="AC19" s="5">
        <f t="shared" si="16"/>
        <v>670</v>
      </c>
      <c r="AD19" s="83">
        <f t="shared" si="32"/>
        <v>0</v>
      </c>
      <c r="AE19" s="5">
        <v>169.11</v>
      </c>
      <c r="AF19" s="83">
        <f t="shared" si="20"/>
        <v>0</v>
      </c>
      <c r="AG19" s="5">
        <v>1793.62</v>
      </c>
      <c r="AH19" s="83">
        <f t="shared" si="21"/>
        <v>2.0099999999999909</v>
      </c>
      <c r="AI19" s="83">
        <f t="shared" si="22"/>
        <v>2.0099999999999909</v>
      </c>
      <c r="AJ19" s="334">
        <f t="shared" si="23"/>
        <v>42</v>
      </c>
      <c r="AK19" s="335">
        <f t="shared" si="5"/>
        <v>145</v>
      </c>
      <c r="AL19" s="335">
        <f t="shared" si="24"/>
        <v>42</v>
      </c>
      <c r="AM19" s="335">
        <f>'General information '!D19</f>
        <v>27.5</v>
      </c>
      <c r="AN19" s="84">
        <f>'General information '!H19</f>
        <v>0</v>
      </c>
      <c r="AO19" s="84"/>
      <c r="AP19" s="84">
        <f>'General information '!J19</f>
        <v>332</v>
      </c>
      <c r="AQ19" s="81"/>
      <c r="AR19" s="283">
        <f t="shared" si="25"/>
        <v>44026</v>
      </c>
      <c r="AS19" s="435">
        <f t="shared" si="6"/>
        <v>0.9</v>
      </c>
      <c r="AT19" s="204">
        <v>53</v>
      </c>
      <c r="AU19" s="436">
        <f t="shared" si="34"/>
        <v>1.1000000000000001</v>
      </c>
      <c r="AV19" s="204">
        <v>114</v>
      </c>
      <c r="AW19" s="5">
        <v>2.9</v>
      </c>
      <c r="AX19" s="204">
        <v>130</v>
      </c>
      <c r="AY19" s="439">
        <f t="shared" si="7"/>
        <v>47.7</v>
      </c>
      <c r="AZ19" s="439">
        <f t="shared" si="26"/>
        <v>125.4</v>
      </c>
      <c r="BA19" s="439">
        <f t="shared" si="27"/>
        <v>377</v>
      </c>
      <c r="BB19" s="21">
        <f t="shared" si="28"/>
        <v>-53.099999999999994</v>
      </c>
      <c r="BC19" s="21">
        <f t="shared" si="29"/>
        <v>4.3999999999999915</v>
      </c>
      <c r="BD19" s="21">
        <f t="shared" si="29"/>
        <v>63.800000000000011</v>
      </c>
      <c r="BE19" s="24">
        <f t="shared" si="30"/>
        <v>15.100000000000009</v>
      </c>
      <c r="BF19" s="96">
        <f t="shared" si="8"/>
        <v>208.89999999999998</v>
      </c>
      <c r="BG19" s="82">
        <f t="shared" si="9"/>
        <v>15.100000000000023</v>
      </c>
    </row>
    <row r="20" spans="1:61" ht="15.75" thickBot="1">
      <c r="A20" s="6">
        <f>ELEC!C17</f>
        <v>44027</v>
      </c>
      <c r="B20" s="5">
        <v>108535</v>
      </c>
      <c r="C20" s="5">
        <f t="shared" si="11"/>
        <v>0</v>
      </c>
      <c r="D20" s="430">
        <f t="shared" si="12"/>
        <v>0</v>
      </c>
      <c r="E20" s="341">
        <f>SUM((C20*$E$4)+(7500/'EDl log'!$A$39))</f>
        <v>241.93548387096774</v>
      </c>
      <c r="F20" s="429"/>
      <c r="G20" s="5">
        <v>603282</v>
      </c>
      <c r="H20" s="5">
        <f t="shared" si="13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6443</v>
      </c>
      <c r="L20" s="83">
        <f t="shared" si="33"/>
        <v>0</v>
      </c>
      <c r="M20" s="421">
        <f t="shared" si="14"/>
        <v>457.44</v>
      </c>
      <c r="N20" s="529">
        <f t="shared" si="35"/>
        <v>0</v>
      </c>
      <c r="O20" s="421">
        <f t="shared" si="15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v>4949</v>
      </c>
      <c r="U20" s="5">
        <f t="shared" si="4"/>
        <v>4</v>
      </c>
      <c r="V20" s="5">
        <v>415</v>
      </c>
      <c r="W20" s="332">
        <f t="shared" si="17"/>
        <v>2</v>
      </c>
      <c r="X20" s="5">
        <v>145527</v>
      </c>
      <c r="Y20" s="332">
        <f t="shared" si="18"/>
        <v>37</v>
      </c>
      <c r="Z20" s="5">
        <v>95780</v>
      </c>
      <c r="AA20" s="83">
        <f t="shared" si="19"/>
        <v>11</v>
      </c>
      <c r="AB20" s="5">
        <f t="shared" si="16"/>
        <v>258</v>
      </c>
      <c r="AC20" s="5">
        <f t="shared" si="16"/>
        <v>670</v>
      </c>
      <c r="AD20" s="83">
        <f t="shared" si="32"/>
        <v>0</v>
      </c>
      <c r="AE20" s="5">
        <v>171.25</v>
      </c>
      <c r="AF20" s="83">
        <f t="shared" si="20"/>
        <v>2.1399999999999864</v>
      </c>
      <c r="AG20" s="5">
        <v>1813.38</v>
      </c>
      <c r="AH20" s="83">
        <f t="shared" si="21"/>
        <v>19.760000000000218</v>
      </c>
      <c r="AI20" s="83">
        <f t="shared" si="22"/>
        <v>21.900000000000205</v>
      </c>
      <c r="AJ20" s="334">
        <f t="shared" si="23"/>
        <v>11</v>
      </c>
      <c r="AK20" s="335">
        <f t="shared" si="5"/>
        <v>37</v>
      </c>
      <c r="AL20" s="335">
        <f t="shared" si="24"/>
        <v>9</v>
      </c>
      <c r="AM20" s="335">
        <f>'General information '!D20</f>
        <v>26.5</v>
      </c>
      <c r="AN20" s="84">
        <f>'General information '!H20</f>
        <v>0</v>
      </c>
      <c r="AO20" s="84"/>
      <c r="AP20" s="84">
        <f>'General information '!J20</f>
        <v>350</v>
      </c>
      <c r="AQ20" s="81"/>
      <c r="AR20" s="283">
        <f t="shared" si="25"/>
        <v>44027</v>
      </c>
      <c r="AS20" s="435">
        <f t="shared" si="6"/>
        <v>0.9</v>
      </c>
      <c r="AT20" s="204">
        <v>0</v>
      </c>
      <c r="AU20" s="436">
        <f t="shared" si="34"/>
        <v>1.1000000000000001</v>
      </c>
      <c r="AV20" s="204">
        <v>90</v>
      </c>
      <c r="AW20" s="5">
        <v>2.9</v>
      </c>
      <c r="AX20" s="204">
        <v>121</v>
      </c>
      <c r="AY20" s="439">
        <f t="shared" si="7"/>
        <v>0</v>
      </c>
      <c r="AZ20" s="439">
        <f t="shared" si="26"/>
        <v>99.000000000000014</v>
      </c>
      <c r="BA20" s="439">
        <f t="shared" si="27"/>
        <v>350.9</v>
      </c>
      <c r="BB20" s="21">
        <f t="shared" si="28"/>
        <v>-47.7</v>
      </c>
      <c r="BC20" s="21">
        <f t="shared" si="29"/>
        <v>-26.399999999999991</v>
      </c>
      <c r="BD20" s="21">
        <f t="shared" si="29"/>
        <v>-26.100000000000023</v>
      </c>
      <c r="BE20" s="24">
        <f t="shared" si="30"/>
        <v>-100.20000000000002</v>
      </c>
      <c r="BF20" s="96">
        <f t="shared" si="8"/>
        <v>100.20000000000002</v>
      </c>
      <c r="BG20" s="82">
        <f t="shared" si="9"/>
        <v>-100.20000000000002</v>
      </c>
    </row>
    <row r="21" spans="1:61" ht="15.75" thickBot="1">
      <c r="A21" s="6">
        <f>ELEC!C18</f>
        <v>44028</v>
      </c>
      <c r="B21" s="5">
        <v>108535</v>
      </c>
      <c r="C21" s="5">
        <f t="shared" si="11"/>
        <v>0</v>
      </c>
      <c r="D21" s="430">
        <f t="shared" si="12"/>
        <v>0</v>
      </c>
      <c r="E21" s="341">
        <f>SUM((C21*$E$4)+(7500/'EDl log'!$A$39))</f>
        <v>241.93548387096774</v>
      </c>
      <c r="F21" s="335"/>
      <c r="G21" s="5">
        <v>603441</v>
      </c>
      <c r="H21" s="5">
        <f t="shared" si="13"/>
        <v>159</v>
      </c>
      <c r="I21" s="5">
        <f t="shared" si="0"/>
        <v>159</v>
      </c>
      <c r="J21" s="342">
        <f t="shared" si="1"/>
        <v>1.5216068167985393</v>
      </c>
      <c r="K21" s="5">
        <f>'Swimming Pool quality check '!H21</f>
        <v>6451</v>
      </c>
      <c r="L21" s="83">
        <f t="shared" si="33"/>
        <v>8</v>
      </c>
      <c r="M21" s="421">
        <f t="shared" si="14"/>
        <v>457.44</v>
      </c>
      <c r="N21" s="529">
        <f t="shared" si="35"/>
        <v>0</v>
      </c>
      <c r="O21" s="421">
        <f t="shared" si="15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v>4952</v>
      </c>
      <c r="U21" s="5">
        <f t="shared" si="4"/>
        <v>3</v>
      </c>
      <c r="V21" s="5">
        <v>415</v>
      </c>
      <c r="W21" s="332">
        <f t="shared" si="17"/>
        <v>0</v>
      </c>
      <c r="X21" s="5">
        <v>145527</v>
      </c>
      <c r="Y21" s="332">
        <f>SUM(X21-X20)</f>
        <v>0</v>
      </c>
      <c r="Z21" s="5">
        <v>95780</v>
      </c>
      <c r="AA21" s="83">
        <f t="shared" si="19"/>
        <v>0</v>
      </c>
      <c r="AB21" s="5">
        <v>258</v>
      </c>
      <c r="AC21" s="5">
        <f t="shared" si="16"/>
        <v>670</v>
      </c>
      <c r="AD21" s="83">
        <f t="shared" si="32"/>
        <v>0</v>
      </c>
      <c r="AE21" s="5">
        <v>171.62</v>
      </c>
      <c r="AF21" s="83">
        <f t="shared" si="20"/>
        <v>0.37000000000000455</v>
      </c>
      <c r="AG21" s="5">
        <v>1816.13</v>
      </c>
      <c r="AH21" s="83">
        <f t="shared" si="21"/>
        <v>2.75</v>
      </c>
      <c r="AI21" s="83">
        <f t="shared" si="22"/>
        <v>3.1200000000000045</v>
      </c>
      <c r="AJ21" s="334">
        <f t="shared" si="23"/>
        <v>0</v>
      </c>
      <c r="AK21" s="335">
        <f t="shared" si="5"/>
        <v>-8</v>
      </c>
      <c r="AL21" s="335">
        <f t="shared" si="24"/>
        <v>0</v>
      </c>
      <c r="AM21" s="335">
        <f>'General information '!D21</f>
        <v>27.5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5"/>
        <v>44028</v>
      </c>
      <c r="AS21" s="435">
        <f t="shared" si="6"/>
        <v>0.9</v>
      </c>
      <c r="AT21" s="204">
        <v>93</v>
      </c>
      <c r="AU21" s="436">
        <f t="shared" si="34"/>
        <v>1.1000000000000001</v>
      </c>
      <c r="AV21" s="204">
        <v>83</v>
      </c>
      <c r="AW21" s="5">
        <v>2.9</v>
      </c>
      <c r="AX21" s="204">
        <v>90</v>
      </c>
      <c r="AY21" s="439">
        <f t="shared" si="7"/>
        <v>83.7</v>
      </c>
      <c r="AZ21" s="439">
        <f t="shared" si="26"/>
        <v>91.300000000000011</v>
      </c>
      <c r="BA21" s="439">
        <f t="shared" si="27"/>
        <v>261</v>
      </c>
      <c r="BB21" s="21">
        <f t="shared" si="28"/>
        <v>83.7</v>
      </c>
      <c r="BC21" s="21">
        <f t="shared" si="29"/>
        <v>-7.7000000000000028</v>
      </c>
      <c r="BD21" s="21">
        <f t="shared" si="29"/>
        <v>-89.899999999999977</v>
      </c>
      <c r="BE21" s="24">
        <f t="shared" si="30"/>
        <v>-13.899999999999977</v>
      </c>
      <c r="BF21" s="96">
        <f t="shared" si="8"/>
        <v>172.89999999999998</v>
      </c>
      <c r="BG21" s="82">
        <f t="shared" si="9"/>
        <v>-13.899999999999977</v>
      </c>
    </row>
    <row r="22" spans="1:61" ht="15.75" thickBot="1">
      <c r="A22" s="6">
        <f>ELEC!C19</f>
        <v>44029</v>
      </c>
      <c r="B22" s="5">
        <f t="shared" si="10"/>
        <v>108535</v>
      </c>
      <c r="C22" s="5">
        <f t="shared" si="11"/>
        <v>0</v>
      </c>
      <c r="D22" s="430">
        <f t="shared" si="12"/>
        <v>0</v>
      </c>
      <c r="E22" s="341">
        <f>SUM((C22*$E$4)+(7500/'EDl log'!$A$39))</f>
        <v>241.93548387096774</v>
      </c>
      <c r="F22" s="335"/>
      <c r="G22" s="5">
        <f t="shared" si="31"/>
        <v>603441</v>
      </c>
      <c r="H22" s="5">
        <f t="shared" si="13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6451</v>
      </c>
      <c r="L22" s="83">
        <f t="shared" si="33"/>
        <v>0</v>
      </c>
      <c r="M22" s="421">
        <f t="shared" si="14"/>
        <v>457.44</v>
      </c>
      <c r="N22" s="529">
        <f t="shared" si="35"/>
        <v>0</v>
      </c>
      <c r="O22" s="421">
        <f t="shared" si="15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f t="shared" si="16"/>
        <v>4952</v>
      </c>
      <c r="U22" s="5">
        <f t="shared" si="4"/>
        <v>0</v>
      </c>
      <c r="V22" s="5">
        <f t="shared" si="16"/>
        <v>415</v>
      </c>
      <c r="W22" s="332">
        <f t="shared" si="17"/>
        <v>0</v>
      </c>
      <c r="X22" s="5">
        <f t="shared" si="16"/>
        <v>145527</v>
      </c>
      <c r="Y22" s="332">
        <f t="shared" si="18"/>
        <v>0</v>
      </c>
      <c r="Z22" s="5">
        <f t="shared" si="16"/>
        <v>95780</v>
      </c>
      <c r="AA22" s="83">
        <f t="shared" si="19"/>
        <v>0</v>
      </c>
      <c r="AB22" s="5">
        <f t="shared" si="16"/>
        <v>258</v>
      </c>
      <c r="AC22" s="5">
        <f t="shared" si="16"/>
        <v>670</v>
      </c>
      <c r="AD22" s="83">
        <f t="shared" si="32"/>
        <v>0</v>
      </c>
      <c r="AE22" s="5">
        <f t="shared" si="16"/>
        <v>171.62</v>
      </c>
      <c r="AF22" s="83">
        <f t="shared" si="20"/>
        <v>0</v>
      </c>
      <c r="AG22" s="5">
        <f t="shared" si="16"/>
        <v>1816.13</v>
      </c>
      <c r="AH22" s="83">
        <f t="shared" si="21"/>
        <v>0</v>
      </c>
      <c r="AI22" s="83">
        <f t="shared" si="22"/>
        <v>0</v>
      </c>
      <c r="AJ22" s="334">
        <f t="shared" si="23"/>
        <v>0</v>
      </c>
      <c r="AK22" s="335">
        <f t="shared" si="5"/>
        <v>0</v>
      </c>
      <c r="AL22" s="335">
        <f t="shared" si="24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5"/>
        <v>44029</v>
      </c>
      <c r="AS22" s="435">
        <f t="shared" ref="AS22:AT36" si="38">AS21</f>
        <v>0.9</v>
      </c>
      <c r="AT22" s="204">
        <f t="shared" si="38"/>
        <v>93</v>
      </c>
      <c r="AU22" s="436">
        <f t="shared" si="34"/>
        <v>1.1000000000000001</v>
      </c>
      <c r="AV22" s="204">
        <f t="shared" si="34"/>
        <v>83</v>
      </c>
      <c r="AW22" s="5">
        <v>2.9</v>
      </c>
      <c r="AX22" s="204">
        <f t="shared" ref="AX22" si="39">AX21</f>
        <v>90</v>
      </c>
      <c r="AY22" s="439">
        <f t="shared" si="7"/>
        <v>83.7</v>
      </c>
      <c r="AZ22" s="439">
        <f t="shared" si="26"/>
        <v>91.300000000000011</v>
      </c>
      <c r="BA22" s="439">
        <f t="shared" si="27"/>
        <v>261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44030</v>
      </c>
      <c r="B23" s="5">
        <f t="shared" si="10"/>
        <v>108535</v>
      </c>
      <c r="C23" s="5">
        <f t="shared" si="11"/>
        <v>0</v>
      </c>
      <c r="D23" s="430">
        <f t="shared" si="12"/>
        <v>0</v>
      </c>
      <c r="E23" s="341">
        <f>SUM((C23*$E$4)+(7500/'EDl log'!$A$39))</f>
        <v>241.93548387096774</v>
      </c>
      <c r="F23" s="335"/>
      <c r="G23" s="5">
        <f t="shared" si="31"/>
        <v>603441</v>
      </c>
      <c r="H23" s="5">
        <f t="shared" si="13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6451</v>
      </c>
      <c r="L23" s="280">
        <f t="shared" si="33"/>
        <v>0</v>
      </c>
      <c r="M23" s="421">
        <f t="shared" si="14"/>
        <v>457.44</v>
      </c>
      <c r="N23" s="529">
        <f t="shared" si="35"/>
        <v>0</v>
      </c>
      <c r="O23" s="421">
        <f t="shared" si="15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f t="shared" si="16"/>
        <v>4952</v>
      </c>
      <c r="U23" s="5">
        <f t="shared" si="4"/>
        <v>0</v>
      </c>
      <c r="V23" s="5">
        <f t="shared" si="16"/>
        <v>415</v>
      </c>
      <c r="W23" s="332">
        <f t="shared" si="17"/>
        <v>0</v>
      </c>
      <c r="X23" s="5">
        <f t="shared" si="16"/>
        <v>145527</v>
      </c>
      <c r="Y23" s="332">
        <f t="shared" si="18"/>
        <v>0</v>
      </c>
      <c r="Z23" s="5">
        <f t="shared" si="16"/>
        <v>95780</v>
      </c>
      <c r="AA23" s="83">
        <f t="shared" si="19"/>
        <v>0</v>
      </c>
      <c r="AB23" s="5">
        <f t="shared" si="16"/>
        <v>258</v>
      </c>
      <c r="AC23" s="5">
        <f t="shared" si="16"/>
        <v>670</v>
      </c>
      <c r="AD23" s="83">
        <f t="shared" si="32"/>
        <v>0</v>
      </c>
      <c r="AE23" s="5">
        <f t="shared" si="16"/>
        <v>171.62</v>
      </c>
      <c r="AF23" s="83">
        <f t="shared" si="20"/>
        <v>0</v>
      </c>
      <c r="AG23" s="5">
        <f t="shared" si="16"/>
        <v>1816.13</v>
      </c>
      <c r="AH23" s="83">
        <f t="shared" si="21"/>
        <v>0</v>
      </c>
      <c r="AI23" s="83">
        <f t="shared" si="22"/>
        <v>0</v>
      </c>
      <c r="AJ23" s="334">
        <f t="shared" si="23"/>
        <v>0</v>
      </c>
      <c r="AK23" s="335">
        <f t="shared" si="5"/>
        <v>0</v>
      </c>
      <c r="AL23" s="335">
        <f t="shared" si="24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5"/>
        <v>44030</v>
      </c>
      <c r="AS23" s="435">
        <f t="shared" si="38"/>
        <v>0.9</v>
      </c>
      <c r="AT23" s="204">
        <f t="shared" si="38"/>
        <v>93</v>
      </c>
      <c r="AU23" s="436">
        <f t="shared" si="34"/>
        <v>1.1000000000000001</v>
      </c>
      <c r="AV23" s="204">
        <f t="shared" si="34"/>
        <v>83</v>
      </c>
      <c r="AW23" s="5">
        <v>2.9</v>
      </c>
      <c r="AX23" s="204">
        <f t="shared" ref="AX23" si="40">AX22</f>
        <v>90</v>
      </c>
      <c r="AY23" s="439">
        <f t="shared" si="7"/>
        <v>83.7</v>
      </c>
      <c r="AZ23" s="439">
        <f t="shared" si="26"/>
        <v>91.300000000000011</v>
      </c>
      <c r="BA23" s="439">
        <f t="shared" si="27"/>
        <v>261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44031</v>
      </c>
      <c r="B24" s="5">
        <f t="shared" si="10"/>
        <v>108535</v>
      </c>
      <c r="C24" s="5">
        <f t="shared" si="11"/>
        <v>0</v>
      </c>
      <c r="D24" s="430">
        <f t="shared" si="12"/>
        <v>0</v>
      </c>
      <c r="E24" s="341">
        <f>SUM((C24*$E$4)+(7500/'EDl log'!$A$39))</f>
        <v>241.93548387096774</v>
      </c>
      <c r="F24" s="335"/>
      <c r="G24" s="5">
        <f t="shared" si="31"/>
        <v>603441</v>
      </c>
      <c r="H24" s="5">
        <f t="shared" si="13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6451</v>
      </c>
      <c r="L24" s="280">
        <f t="shared" si="33"/>
        <v>0</v>
      </c>
      <c r="M24" s="421">
        <f t="shared" si="14"/>
        <v>457.44</v>
      </c>
      <c r="N24" s="529">
        <f t="shared" si="35"/>
        <v>0</v>
      </c>
      <c r="O24" s="421">
        <f t="shared" si="15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f t="shared" si="16"/>
        <v>4952</v>
      </c>
      <c r="U24" s="5">
        <f t="shared" si="4"/>
        <v>0</v>
      </c>
      <c r="V24" s="5">
        <f t="shared" si="16"/>
        <v>415</v>
      </c>
      <c r="W24" s="332">
        <f t="shared" si="17"/>
        <v>0</v>
      </c>
      <c r="X24" s="5">
        <f t="shared" si="16"/>
        <v>145527</v>
      </c>
      <c r="Y24" s="332">
        <f t="shared" si="18"/>
        <v>0</v>
      </c>
      <c r="Z24" s="5">
        <f t="shared" si="16"/>
        <v>95780</v>
      </c>
      <c r="AA24" s="83">
        <f t="shared" si="19"/>
        <v>0</v>
      </c>
      <c r="AB24" s="5">
        <f t="shared" si="16"/>
        <v>258</v>
      </c>
      <c r="AC24" s="5">
        <f t="shared" si="16"/>
        <v>670</v>
      </c>
      <c r="AD24" s="83">
        <f t="shared" si="32"/>
        <v>0</v>
      </c>
      <c r="AE24" s="5">
        <f t="shared" si="16"/>
        <v>171.62</v>
      </c>
      <c r="AF24" s="83">
        <f t="shared" si="20"/>
        <v>0</v>
      </c>
      <c r="AG24" s="5">
        <f t="shared" si="16"/>
        <v>1816.13</v>
      </c>
      <c r="AH24" s="83">
        <f t="shared" si="21"/>
        <v>0</v>
      </c>
      <c r="AI24" s="83">
        <f t="shared" si="22"/>
        <v>0</v>
      </c>
      <c r="AJ24" s="334">
        <f t="shared" si="23"/>
        <v>0</v>
      </c>
      <c r="AK24" s="335">
        <f t="shared" si="5"/>
        <v>0</v>
      </c>
      <c r="AL24" s="335">
        <f t="shared" si="24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5"/>
        <v>44031</v>
      </c>
      <c r="AS24" s="435">
        <f t="shared" si="38"/>
        <v>0.9</v>
      </c>
      <c r="AT24" s="204">
        <f t="shared" si="38"/>
        <v>93</v>
      </c>
      <c r="AU24" s="436">
        <f t="shared" si="34"/>
        <v>1.1000000000000001</v>
      </c>
      <c r="AV24" s="204">
        <f t="shared" si="34"/>
        <v>83</v>
      </c>
      <c r="AW24" s="5">
        <v>2.9</v>
      </c>
      <c r="AX24" s="204">
        <f t="shared" ref="AX24" si="41">AX23</f>
        <v>90</v>
      </c>
      <c r="AY24" s="439">
        <f t="shared" si="7"/>
        <v>83.7</v>
      </c>
      <c r="AZ24" s="439">
        <f t="shared" si="26"/>
        <v>91.300000000000011</v>
      </c>
      <c r="BA24" s="439">
        <f t="shared" si="27"/>
        <v>261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44032</v>
      </c>
      <c r="B25" s="5">
        <f t="shared" si="10"/>
        <v>108535</v>
      </c>
      <c r="C25" s="5">
        <f t="shared" si="11"/>
        <v>0</v>
      </c>
      <c r="D25" s="430">
        <f t="shared" si="12"/>
        <v>0</v>
      </c>
      <c r="E25" s="341">
        <f>SUM((C25*$E$4)+(7500/'EDl log'!$A$39))</f>
        <v>241.93548387096774</v>
      </c>
      <c r="F25" s="335"/>
      <c r="G25" s="5">
        <f t="shared" si="31"/>
        <v>603441</v>
      </c>
      <c r="H25" s="5">
        <f t="shared" si="13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6451</v>
      </c>
      <c r="L25" s="280">
        <f t="shared" si="33"/>
        <v>0</v>
      </c>
      <c r="M25" s="421">
        <f t="shared" si="14"/>
        <v>457.44</v>
      </c>
      <c r="N25" s="529">
        <f t="shared" si="35"/>
        <v>0</v>
      </c>
      <c r="O25" s="421">
        <f t="shared" si="15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f t="shared" si="16"/>
        <v>4952</v>
      </c>
      <c r="U25" s="5">
        <f t="shared" si="4"/>
        <v>0</v>
      </c>
      <c r="V25" s="5">
        <f t="shared" si="16"/>
        <v>415</v>
      </c>
      <c r="W25" s="332">
        <f t="shared" si="17"/>
        <v>0</v>
      </c>
      <c r="X25" s="5">
        <f t="shared" si="16"/>
        <v>145527</v>
      </c>
      <c r="Y25" s="332">
        <f t="shared" si="18"/>
        <v>0</v>
      </c>
      <c r="Z25" s="5">
        <f t="shared" si="16"/>
        <v>95780</v>
      </c>
      <c r="AA25" s="83">
        <f t="shared" si="19"/>
        <v>0</v>
      </c>
      <c r="AB25" s="5">
        <f t="shared" si="16"/>
        <v>258</v>
      </c>
      <c r="AC25" s="5">
        <f t="shared" si="16"/>
        <v>670</v>
      </c>
      <c r="AD25" s="83">
        <f t="shared" si="32"/>
        <v>0</v>
      </c>
      <c r="AE25" s="5">
        <f t="shared" si="16"/>
        <v>171.62</v>
      </c>
      <c r="AF25" s="83">
        <f t="shared" si="20"/>
        <v>0</v>
      </c>
      <c r="AG25" s="5">
        <f t="shared" si="16"/>
        <v>1816.13</v>
      </c>
      <c r="AH25" s="83">
        <f t="shared" si="21"/>
        <v>0</v>
      </c>
      <c r="AI25" s="83">
        <f t="shared" si="22"/>
        <v>0</v>
      </c>
      <c r="AJ25" s="334">
        <f t="shared" si="23"/>
        <v>0</v>
      </c>
      <c r="AK25" s="335">
        <f t="shared" si="5"/>
        <v>0</v>
      </c>
      <c r="AL25" s="335">
        <f t="shared" si="24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5"/>
        <v>44032</v>
      </c>
      <c r="AS25" s="435">
        <f t="shared" si="38"/>
        <v>0.9</v>
      </c>
      <c r="AT25" s="204">
        <f t="shared" si="38"/>
        <v>93</v>
      </c>
      <c r="AU25" s="436">
        <f t="shared" si="34"/>
        <v>1.1000000000000001</v>
      </c>
      <c r="AV25" s="204">
        <f t="shared" si="34"/>
        <v>83</v>
      </c>
      <c r="AW25" s="5">
        <v>2.9</v>
      </c>
      <c r="AX25" s="204">
        <f t="shared" ref="AX25" si="42">AX24</f>
        <v>90</v>
      </c>
      <c r="AY25" s="439">
        <f t="shared" si="7"/>
        <v>83.7</v>
      </c>
      <c r="AZ25" s="439">
        <f t="shared" si="26"/>
        <v>91.300000000000011</v>
      </c>
      <c r="BA25" s="439">
        <f t="shared" si="27"/>
        <v>261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44033</v>
      </c>
      <c r="B26" s="5">
        <f t="shared" si="10"/>
        <v>108535</v>
      </c>
      <c r="C26" s="5">
        <f t="shared" si="11"/>
        <v>0</v>
      </c>
      <c r="D26" s="430">
        <f t="shared" si="12"/>
        <v>0</v>
      </c>
      <c r="E26" s="341">
        <f>SUM((C26*$E$4)+(7500/'EDl log'!$A$39))</f>
        <v>241.93548387096774</v>
      </c>
      <c r="F26" s="335"/>
      <c r="G26" s="5">
        <f t="shared" si="31"/>
        <v>603441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6451</v>
      </c>
      <c r="L26" s="280">
        <f t="shared" si="33"/>
        <v>0</v>
      </c>
      <c r="M26" s="421">
        <f t="shared" si="14"/>
        <v>457.44</v>
      </c>
      <c r="N26" s="529">
        <f t="shared" si="35"/>
        <v>0</v>
      </c>
      <c r="O26" s="421">
        <f t="shared" si="15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f t="shared" si="16"/>
        <v>4952</v>
      </c>
      <c r="U26" s="5">
        <f t="shared" si="4"/>
        <v>0</v>
      </c>
      <c r="V26" s="5">
        <f t="shared" si="16"/>
        <v>415</v>
      </c>
      <c r="W26" s="332">
        <f t="shared" si="17"/>
        <v>0</v>
      </c>
      <c r="X26" s="5">
        <f t="shared" si="16"/>
        <v>145527</v>
      </c>
      <c r="Y26" s="332">
        <f t="shared" si="18"/>
        <v>0</v>
      </c>
      <c r="Z26" s="5">
        <f t="shared" si="16"/>
        <v>95780</v>
      </c>
      <c r="AA26" s="83">
        <f t="shared" si="19"/>
        <v>0</v>
      </c>
      <c r="AB26" s="5">
        <f t="shared" si="16"/>
        <v>258</v>
      </c>
      <c r="AC26" s="5">
        <f t="shared" si="16"/>
        <v>670</v>
      </c>
      <c r="AD26" s="83">
        <f t="shared" si="32"/>
        <v>0</v>
      </c>
      <c r="AE26" s="5">
        <f t="shared" si="16"/>
        <v>171.62</v>
      </c>
      <c r="AF26" s="83">
        <f t="shared" si="20"/>
        <v>0</v>
      </c>
      <c r="AG26" s="5">
        <f t="shared" si="16"/>
        <v>1816.13</v>
      </c>
      <c r="AH26" s="83">
        <f t="shared" si="21"/>
        <v>0</v>
      </c>
      <c r="AI26" s="83">
        <f t="shared" si="22"/>
        <v>0</v>
      </c>
      <c r="AJ26" s="334">
        <f t="shared" si="23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5"/>
        <v>44033</v>
      </c>
      <c r="AS26" s="435">
        <f t="shared" si="38"/>
        <v>0.9</v>
      </c>
      <c r="AT26" s="204">
        <f t="shared" si="38"/>
        <v>93</v>
      </c>
      <c r="AU26" s="436">
        <f t="shared" si="34"/>
        <v>1.1000000000000001</v>
      </c>
      <c r="AV26" s="204">
        <f t="shared" si="34"/>
        <v>83</v>
      </c>
      <c r="AW26" s="5">
        <v>2.9</v>
      </c>
      <c r="AX26" s="204">
        <f t="shared" ref="AX26" si="43">AX25</f>
        <v>90</v>
      </c>
      <c r="AY26" s="439">
        <f t="shared" si="7"/>
        <v>83.7</v>
      </c>
      <c r="AZ26" s="439">
        <f t="shared" si="26"/>
        <v>91.300000000000011</v>
      </c>
      <c r="BA26" s="439">
        <f t="shared" si="27"/>
        <v>261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44034</v>
      </c>
      <c r="B27" s="5">
        <f t="shared" si="10"/>
        <v>108535</v>
      </c>
      <c r="C27" s="5">
        <f t="shared" si="11"/>
        <v>0</v>
      </c>
      <c r="D27" s="430">
        <f t="shared" si="12"/>
        <v>0</v>
      </c>
      <c r="E27" s="341">
        <f>SUM((C27*$E$4)+(7500/'EDl log'!$A$39))</f>
        <v>241.93548387096774</v>
      </c>
      <c r="F27" s="335"/>
      <c r="G27" s="5">
        <f t="shared" si="31"/>
        <v>603441</v>
      </c>
      <c r="H27" s="5">
        <f t="shared" si="13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6451</v>
      </c>
      <c r="L27" s="280">
        <f t="shared" si="33"/>
        <v>0</v>
      </c>
      <c r="M27" s="421">
        <f t="shared" si="14"/>
        <v>457.44</v>
      </c>
      <c r="N27" s="529">
        <f t="shared" si="35"/>
        <v>0</v>
      </c>
      <c r="O27" s="421">
        <f t="shared" si="15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f t="shared" si="16"/>
        <v>4952</v>
      </c>
      <c r="U27" s="5">
        <f t="shared" si="4"/>
        <v>0</v>
      </c>
      <c r="V27" s="5">
        <f t="shared" si="16"/>
        <v>415</v>
      </c>
      <c r="W27" s="332">
        <f t="shared" si="17"/>
        <v>0</v>
      </c>
      <c r="X27" s="5">
        <f t="shared" si="16"/>
        <v>145527</v>
      </c>
      <c r="Y27" s="332">
        <f>SUM(X27-X26)</f>
        <v>0</v>
      </c>
      <c r="Z27" s="5">
        <f t="shared" si="16"/>
        <v>95780</v>
      </c>
      <c r="AA27" s="83">
        <f t="shared" si="19"/>
        <v>0</v>
      </c>
      <c r="AB27" s="5">
        <f t="shared" si="16"/>
        <v>258</v>
      </c>
      <c r="AC27" s="5">
        <f t="shared" si="16"/>
        <v>670</v>
      </c>
      <c r="AD27" s="83">
        <f t="shared" si="32"/>
        <v>0</v>
      </c>
      <c r="AE27" s="5">
        <f t="shared" si="16"/>
        <v>171.62</v>
      </c>
      <c r="AF27" s="83">
        <f t="shared" si="20"/>
        <v>0</v>
      </c>
      <c r="AG27" s="5">
        <f t="shared" si="16"/>
        <v>1816.13</v>
      </c>
      <c r="AH27" s="83">
        <f t="shared" si="21"/>
        <v>0</v>
      </c>
      <c r="AI27" s="83">
        <f t="shared" si="22"/>
        <v>0</v>
      </c>
      <c r="AJ27" s="334">
        <f t="shared" si="23"/>
        <v>0</v>
      </c>
      <c r="AK27" s="335">
        <f t="shared" si="5"/>
        <v>0</v>
      </c>
      <c r="AL27" s="335">
        <f t="shared" si="24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5"/>
        <v>44034</v>
      </c>
      <c r="AS27" s="435">
        <f t="shared" si="38"/>
        <v>0.9</v>
      </c>
      <c r="AT27" s="204">
        <f t="shared" si="38"/>
        <v>93</v>
      </c>
      <c r="AU27" s="436">
        <f t="shared" si="34"/>
        <v>1.1000000000000001</v>
      </c>
      <c r="AV27" s="204">
        <f t="shared" si="34"/>
        <v>83</v>
      </c>
      <c r="AW27" s="5">
        <v>2.9</v>
      </c>
      <c r="AX27" s="204">
        <f t="shared" ref="AX27" si="44">AX26</f>
        <v>90</v>
      </c>
      <c r="AY27" s="439">
        <f t="shared" si="7"/>
        <v>83.7</v>
      </c>
      <c r="AZ27" s="439">
        <f t="shared" si="26"/>
        <v>91.300000000000011</v>
      </c>
      <c r="BA27" s="439">
        <f t="shared" si="27"/>
        <v>261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44035</v>
      </c>
      <c r="B28" s="5">
        <f t="shared" si="10"/>
        <v>108535</v>
      </c>
      <c r="C28" s="5">
        <f t="shared" si="11"/>
        <v>0</v>
      </c>
      <c r="D28" s="430">
        <f t="shared" si="12"/>
        <v>0</v>
      </c>
      <c r="E28" s="341">
        <f>SUM((C28*$E$4)+(7500/'EDl log'!$A$39))</f>
        <v>241.93548387096774</v>
      </c>
      <c r="F28" s="335"/>
      <c r="G28" s="5">
        <f t="shared" si="31"/>
        <v>603441</v>
      </c>
      <c r="H28" s="5">
        <f t="shared" si="13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6451</v>
      </c>
      <c r="L28" s="280">
        <f t="shared" si="33"/>
        <v>0</v>
      </c>
      <c r="M28" s="421">
        <f t="shared" si="14"/>
        <v>457.44</v>
      </c>
      <c r="N28" s="529">
        <f t="shared" si="35"/>
        <v>0</v>
      </c>
      <c r="O28" s="421">
        <f t="shared" si="15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f t="shared" si="16"/>
        <v>4952</v>
      </c>
      <c r="U28" s="5">
        <f t="shared" si="4"/>
        <v>0</v>
      </c>
      <c r="V28" s="5">
        <f t="shared" si="16"/>
        <v>415</v>
      </c>
      <c r="W28" s="332">
        <f t="shared" si="17"/>
        <v>0</v>
      </c>
      <c r="X28" s="5">
        <f t="shared" si="16"/>
        <v>145527</v>
      </c>
      <c r="Y28" s="332">
        <f t="shared" si="18"/>
        <v>0</v>
      </c>
      <c r="Z28" s="5">
        <f t="shared" si="16"/>
        <v>95780</v>
      </c>
      <c r="AA28" s="83">
        <f t="shared" si="19"/>
        <v>0</v>
      </c>
      <c r="AB28" s="5">
        <f t="shared" si="16"/>
        <v>258</v>
      </c>
      <c r="AC28" s="5">
        <f t="shared" si="16"/>
        <v>670</v>
      </c>
      <c r="AD28" s="83">
        <f t="shared" si="32"/>
        <v>0</v>
      </c>
      <c r="AE28" s="5">
        <f t="shared" si="16"/>
        <v>171.62</v>
      </c>
      <c r="AF28" s="83">
        <f t="shared" si="20"/>
        <v>0</v>
      </c>
      <c r="AG28" s="5">
        <f t="shared" si="16"/>
        <v>1816.13</v>
      </c>
      <c r="AH28" s="83">
        <f t="shared" si="21"/>
        <v>0</v>
      </c>
      <c r="AI28" s="83">
        <f t="shared" si="22"/>
        <v>0</v>
      </c>
      <c r="AJ28" s="334">
        <f t="shared" si="23"/>
        <v>0</v>
      </c>
      <c r="AK28" s="335">
        <f t="shared" si="5"/>
        <v>0</v>
      </c>
      <c r="AL28" s="335">
        <f t="shared" si="24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5"/>
        <v>44035</v>
      </c>
      <c r="AS28" s="435">
        <f t="shared" si="38"/>
        <v>0.9</v>
      </c>
      <c r="AT28" s="204">
        <f t="shared" si="38"/>
        <v>93</v>
      </c>
      <c r="AU28" s="436">
        <f t="shared" si="34"/>
        <v>1.1000000000000001</v>
      </c>
      <c r="AV28" s="204">
        <f t="shared" si="34"/>
        <v>83</v>
      </c>
      <c r="AW28" s="5">
        <v>2.9</v>
      </c>
      <c r="AX28" s="204">
        <f t="shared" ref="AX28" si="45">AX27</f>
        <v>90</v>
      </c>
      <c r="AY28" s="439">
        <f t="shared" si="7"/>
        <v>83.7</v>
      </c>
      <c r="AZ28" s="439">
        <f t="shared" si="26"/>
        <v>91.300000000000011</v>
      </c>
      <c r="BA28" s="439">
        <f t="shared" si="27"/>
        <v>261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44036</v>
      </c>
      <c r="B29" s="5">
        <f t="shared" si="10"/>
        <v>108535</v>
      </c>
      <c r="C29" s="5">
        <f t="shared" si="11"/>
        <v>0</v>
      </c>
      <c r="D29" s="430">
        <f t="shared" si="12"/>
        <v>0</v>
      </c>
      <c r="E29" s="341">
        <f>SUM((C29*$E$4)+(7500/'EDl log'!$A$39))</f>
        <v>241.93548387096774</v>
      </c>
      <c r="F29" s="335"/>
      <c r="G29" s="5">
        <f t="shared" si="31"/>
        <v>603441</v>
      </c>
      <c r="H29" s="5">
        <f t="shared" si="13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6451</v>
      </c>
      <c r="L29" s="280">
        <f t="shared" si="33"/>
        <v>0</v>
      </c>
      <c r="M29" s="421">
        <f t="shared" si="14"/>
        <v>457.44</v>
      </c>
      <c r="N29" s="529">
        <f t="shared" si="35"/>
        <v>0</v>
      </c>
      <c r="O29" s="421">
        <f t="shared" si="15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6"/>
        <v>4952</v>
      </c>
      <c r="U29" s="5">
        <f t="shared" si="4"/>
        <v>0</v>
      </c>
      <c r="V29" s="5">
        <f t="shared" si="16"/>
        <v>415</v>
      </c>
      <c r="W29" s="332">
        <f t="shared" si="17"/>
        <v>0</v>
      </c>
      <c r="X29" s="5">
        <f t="shared" si="16"/>
        <v>145527</v>
      </c>
      <c r="Y29" s="332">
        <f t="shared" si="18"/>
        <v>0</v>
      </c>
      <c r="Z29" s="5">
        <f t="shared" si="16"/>
        <v>95780</v>
      </c>
      <c r="AA29" s="83">
        <f t="shared" si="19"/>
        <v>0</v>
      </c>
      <c r="AB29" s="5">
        <f t="shared" si="16"/>
        <v>258</v>
      </c>
      <c r="AC29" s="5">
        <f t="shared" si="16"/>
        <v>670</v>
      </c>
      <c r="AD29" s="83">
        <f t="shared" si="32"/>
        <v>0</v>
      </c>
      <c r="AE29" s="5">
        <f t="shared" si="16"/>
        <v>171.62</v>
      </c>
      <c r="AF29" s="83">
        <f t="shared" si="20"/>
        <v>0</v>
      </c>
      <c r="AG29" s="5">
        <f t="shared" si="16"/>
        <v>1816.13</v>
      </c>
      <c r="AH29" s="83">
        <f t="shared" si="21"/>
        <v>0</v>
      </c>
      <c r="AI29" s="83">
        <f t="shared" si="22"/>
        <v>0</v>
      </c>
      <c r="AJ29" s="334">
        <f t="shared" si="23"/>
        <v>0</v>
      </c>
      <c r="AK29" s="335">
        <f t="shared" si="5"/>
        <v>0</v>
      </c>
      <c r="AL29" s="335">
        <f t="shared" si="24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5"/>
        <v>44036</v>
      </c>
      <c r="AS29" s="435">
        <f t="shared" si="38"/>
        <v>0.9</v>
      </c>
      <c r="AT29" s="204">
        <f t="shared" si="38"/>
        <v>93</v>
      </c>
      <c r="AU29" s="436">
        <f t="shared" si="34"/>
        <v>1.1000000000000001</v>
      </c>
      <c r="AV29" s="204">
        <f t="shared" si="34"/>
        <v>83</v>
      </c>
      <c r="AW29" s="5">
        <v>2.9</v>
      </c>
      <c r="AX29" s="204">
        <f t="shared" ref="AX29" si="46">AX28</f>
        <v>90</v>
      </c>
      <c r="AY29" s="439">
        <f t="shared" si="7"/>
        <v>83.7</v>
      </c>
      <c r="AZ29" s="439">
        <f t="shared" si="26"/>
        <v>91.300000000000011</v>
      </c>
      <c r="BA29" s="439">
        <f t="shared" si="27"/>
        <v>261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44037</v>
      </c>
      <c r="B30" s="5">
        <f t="shared" si="10"/>
        <v>108535</v>
      </c>
      <c r="C30" s="5">
        <f t="shared" si="11"/>
        <v>0</v>
      </c>
      <c r="D30" s="430">
        <f t="shared" si="12"/>
        <v>0</v>
      </c>
      <c r="E30" s="341">
        <f>SUM((C30*$E$4)+(7500/'EDl log'!$A$39))</f>
        <v>241.93548387096774</v>
      </c>
      <c r="F30" s="335"/>
      <c r="G30" s="5">
        <f t="shared" si="31"/>
        <v>603441</v>
      </c>
      <c r="H30" s="5">
        <f t="shared" si="13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6451</v>
      </c>
      <c r="L30" s="280">
        <f t="shared" si="33"/>
        <v>0</v>
      </c>
      <c r="M30" s="421">
        <f t="shared" si="14"/>
        <v>457.44</v>
      </c>
      <c r="N30" s="529">
        <f t="shared" si="35"/>
        <v>0</v>
      </c>
      <c r="O30" s="421">
        <f t="shared" si="15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6"/>
        <v>4952</v>
      </c>
      <c r="U30" s="5">
        <f t="shared" si="4"/>
        <v>0</v>
      </c>
      <c r="V30" s="5">
        <f t="shared" si="16"/>
        <v>415</v>
      </c>
      <c r="W30" s="332">
        <f t="shared" si="17"/>
        <v>0</v>
      </c>
      <c r="X30" s="5">
        <f t="shared" si="16"/>
        <v>145527</v>
      </c>
      <c r="Y30" s="332">
        <f t="shared" si="18"/>
        <v>0</v>
      </c>
      <c r="Z30" s="5">
        <f t="shared" si="16"/>
        <v>95780</v>
      </c>
      <c r="AA30" s="83">
        <f t="shared" si="19"/>
        <v>0</v>
      </c>
      <c r="AB30" s="5">
        <f t="shared" si="16"/>
        <v>258</v>
      </c>
      <c r="AC30" s="5">
        <f t="shared" si="16"/>
        <v>670</v>
      </c>
      <c r="AD30" s="83">
        <f t="shared" si="32"/>
        <v>0</v>
      </c>
      <c r="AE30" s="5">
        <f t="shared" si="16"/>
        <v>171.62</v>
      </c>
      <c r="AF30" s="83">
        <f t="shared" si="20"/>
        <v>0</v>
      </c>
      <c r="AG30" s="5">
        <f t="shared" si="16"/>
        <v>1816.13</v>
      </c>
      <c r="AH30" s="83">
        <f t="shared" si="21"/>
        <v>0</v>
      </c>
      <c r="AI30" s="83">
        <f t="shared" si="22"/>
        <v>0</v>
      </c>
      <c r="AJ30" s="334">
        <f t="shared" si="23"/>
        <v>0</v>
      </c>
      <c r="AK30" s="335">
        <f t="shared" si="5"/>
        <v>0</v>
      </c>
      <c r="AL30" s="335">
        <f t="shared" si="24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5"/>
        <v>44037</v>
      </c>
      <c r="AS30" s="435">
        <f t="shared" si="38"/>
        <v>0.9</v>
      </c>
      <c r="AT30" s="204">
        <f t="shared" si="38"/>
        <v>93</v>
      </c>
      <c r="AU30" s="436">
        <f t="shared" si="34"/>
        <v>1.1000000000000001</v>
      </c>
      <c r="AV30" s="204">
        <f t="shared" si="34"/>
        <v>83</v>
      </c>
      <c r="AW30" s="5">
        <v>2.9</v>
      </c>
      <c r="AX30" s="204">
        <f t="shared" ref="AX30" si="47">AX29</f>
        <v>90</v>
      </c>
      <c r="AY30" s="439">
        <f t="shared" si="7"/>
        <v>83.7</v>
      </c>
      <c r="AZ30" s="439">
        <f t="shared" si="26"/>
        <v>91.300000000000011</v>
      </c>
      <c r="BA30" s="439">
        <f t="shared" si="27"/>
        <v>261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44038</v>
      </c>
      <c r="B31" s="5">
        <f t="shared" si="10"/>
        <v>108535</v>
      </c>
      <c r="C31" s="5">
        <f t="shared" si="11"/>
        <v>0</v>
      </c>
      <c r="D31" s="430">
        <f t="shared" si="12"/>
        <v>0</v>
      </c>
      <c r="E31" s="341">
        <f>SUM((C31*$E$4)+(7500/'EDl log'!$A$39))</f>
        <v>241.93548387096774</v>
      </c>
      <c r="F31" s="335"/>
      <c r="G31" s="5">
        <f t="shared" si="31"/>
        <v>603441</v>
      </c>
      <c r="H31" s="5">
        <f t="shared" si="13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6451</v>
      </c>
      <c r="L31" s="280">
        <f t="shared" si="33"/>
        <v>0</v>
      </c>
      <c r="M31" s="421">
        <f t="shared" si="14"/>
        <v>457.44</v>
      </c>
      <c r="N31" s="529">
        <f t="shared" si="35"/>
        <v>0</v>
      </c>
      <c r="O31" s="421">
        <f t="shared" si="15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f t="shared" si="16"/>
        <v>4952</v>
      </c>
      <c r="U31" s="5">
        <f t="shared" si="4"/>
        <v>0</v>
      </c>
      <c r="V31" s="5">
        <f t="shared" si="16"/>
        <v>415</v>
      </c>
      <c r="W31" s="332">
        <f t="shared" si="17"/>
        <v>0</v>
      </c>
      <c r="X31" s="5">
        <f t="shared" si="16"/>
        <v>145527</v>
      </c>
      <c r="Y31" s="332">
        <f t="shared" si="18"/>
        <v>0</v>
      </c>
      <c r="Z31" s="5">
        <f t="shared" si="16"/>
        <v>95780</v>
      </c>
      <c r="AA31" s="83">
        <f t="shared" si="19"/>
        <v>0</v>
      </c>
      <c r="AB31" s="5">
        <f t="shared" si="16"/>
        <v>258</v>
      </c>
      <c r="AC31" s="5">
        <f t="shared" si="16"/>
        <v>670</v>
      </c>
      <c r="AD31" s="83">
        <f t="shared" si="32"/>
        <v>0</v>
      </c>
      <c r="AE31" s="5">
        <f t="shared" si="16"/>
        <v>171.62</v>
      </c>
      <c r="AF31" s="83">
        <f t="shared" si="20"/>
        <v>0</v>
      </c>
      <c r="AG31" s="5">
        <f t="shared" si="16"/>
        <v>1816.13</v>
      </c>
      <c r="AH31" s="83">
        <f>AG31-AG30</f>
        <v>0</v>
      </c>
      <c r="AI31" s="83">
        <f>AF31+AH31</f>
        <v>0</v>
      </c>
      <c r="AJ31" s="334">
        <f t="shared" si="23"/>
        <v>0</v>
      </c>
      <c r="AK31" s="335">
        <f>SUM(Y31-L31)</f>
        <v>0</v>
      </c>
      <c r="AL31" s="335">
        <f t="shared" si="24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5"/>
        <v>44038</v>
      </c>
      <c r="AS31" s="435">
        <f t="shared" si="38"/>
        <v>0.9</v>
      </c>
      <c r="AT31" s="204">
        <f t="shared" si="38"/>
        <v>93</v>
      </c>
      <c r="AU31" s="436">
        <f t="shared" si="34"/>
        <v>1.1000000000000001</v>
      </c>
      <c r="AV31" s="204">
        <f t="shared" si="34"/>
        <v>83</v>
      </c>
      <c r="AW31" s="5">
        <v>2.9</v>
      </c>
      <c r="AX31" s="204">
        <f t="shared" ref="AX31" si="48">AX30</f>
        <v>90</v>
      </c>
      <c r="AY31" s="439">
        <f t="shared" si="7"/>
        <v>83.7</v>
      </c>
      <c r="AZ31" s="439">
        <f t="shared" si="26"/>
        <v>91.300000000000011</v>
      </c>
      <c r="BA31" s="439">
        <f t="shared" si="27"/>
        <v>261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44039</v>
      </c>
      <c r="B32" s="5">
        <f t="shared" si="10"/>
        <v>108535</v>
      </c>
      <c r="C32" s="5">
        <f t="shared" si="11"/>
        <v>0</v>
      </c>
      <c r="D32" s="430">
        <f t="shared" si="12"/>
        <v>0</v>
      </c>
      <c r="E32" s="341">
        <f>SUM((C32*$E$4)+(7500/'EDl log'!$A$39))</f>
        <v>241.93548387096774</v>
      </c>
      <c r="F32" s="335"/>
      <c r="G32" s="5">
        <f t="shared" si="31"/>
        <v>603441</v>
      </c>
      <c r="H32" s="5">
        <f t="shared" si="13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6451</v>
      </c>
      <c r="L32" s="280">
        <f t="shared" si="33"/>
        <v>0</v>
      </c>
      <c r="M32" s="421">
        <f t="shared" si="14"/>
        <v>457.44</v>
      </c>
      <c r="N32" s="529">
        <f t="shared" si="35"/>
        <v>0</v>
      </c>
      <c r="O32" s="421">
        <f t="shared" si="15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6"/>
        <v>4952</v>
      </c>
      <c r="U32" s="5">
        <f t="shared" si="4"/>
        <v>0</v>
      </c>
      <c r="V32" s="5">
        <f t="shared" si="16"/>
        <v>415</v>
      </c>
      <c r="W32" s="332">
        <f t="shared" si="17"/>
        <v>0</v>
      </c>
      <c r="X32" s="5">
        <f t="shared" si="16"/>
        <v>145527</v>
      </c>
      <c r="Y32" s="332">
        <f t="shared" si="18"/>
        <v>0</v>
      </c>
      <c r="Z32" s="5">
        <f t="shared" si="16"/>
        <v>95780</v>
      </c>
      <c r="AA32" s="83">
        <f t="shared" si="19"/>
        <v>0</v>
      </c>
      <c r="AB32" s="5">
        <f t="shared" si="16"/>
        <v>258</v>
      </c>
      <c r="AC32" s="5">
        <f t="shared" si="16"/>
        <v>670</v>
      </c>
      <c r="AD32" s="83">
        <f t="shared" si="32"/>
        <v>0</v>
      </c>
      <c r="AE32" s="5">
        <f t="shared" si="16"/>
        <v>171.62</v>
      </c>
      <c r="AF32" s="83">
        <f t="shared" si="20"/>
        <v>0</v>
      </c>
      <c r="AG32" s="5">
        <f t="shared" si="16"/>
        <v>1816.13</v>
      </c>
      <c r="AH32" s="83">
        <f t="shared" si="21"/>
        <v>0</v>
      </c>
      <c r="AI32" s="83">
        <f t="shared" si="22"/>
        <v>0</v>
      </c>
      <c r="AJ32" s="334">
        <f t="shared" si="23"/>
        <v>0</v>
      </c>
      <c r="AK32" s="335">
        <v>0</v>
      </c>
      <c r="AL32" s="335">
        <f t="shared" si="24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5"/>
        <v>44039</v>
      </c>
      <c r="AS32" s="435">
        <f t="shared" si="38"/>
        <v>0.9</v>
      </c>
      <c r="AT32" s="204">
        <f t="shared" si="38"/>
        <v>93</v>
      </c>
      <c r="AU32" s="436">
        <f t="shared" si="34"/>
        <v>1.1000000000000001</v>
      </c>
      <c r="AV32" s="204">
        <f t="shared" si="34"/>
        <v>83</v>
      </c>
      <c r="AW32" s="5">
        <v>2.9</v>
      </c>
      <c r="AX32" s="204">
        <f t="shared" ref="AX32" si="49">AX31</f>
        <v>90</v>
      </c>
      <c r="AY32" s="439">
        <f t="shared" si="7"/>
        <v>83.7</v>
      </c>
      <c r="AZ32" s="439">
        <f t="shared" si="26"/>
        <v>91.300000000000011</v>
      </c>
      <c r="BA32" s="439">
        <f t="shared" si="27"/>
        <v>261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44040</v>
      </c>
      <c r="B33" s="5">
        <f t="shared" si="10"/>
        <v>108535</v>
      </c>
      <c r="C33" s="5">
        <f t="shared" si="11"/>
        <v>0</v>
      </c>
      <c r="D33" s="430">
        <f t="shared" si="12"/>
        <v>0</v>
      </c>
      <c r="E33" s="341">
        <f>SUM((C33*$E$4)+(7500/'EDl log'!$A$39))</f>
        <v>241.93548387096774</v>
      </c>
      <c r="F33" s="335"/>
      <c r="G33" s="5">
        <f t="shared" si="31"/>
        <v>603441</v>
      </c>
      <c r="H33" s="5">
        <f t="shared" si="13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6451</v>
      </c>
      <c r="L33" s="280">
        <f t="shared" si="33"/>
        <v>0</v>
      </c>
      <c r="M33" s="421">
        <f t="shared" si="14"/>
        <v>457.44</v>
      </c>
      <c r="N33" s="529">
        <f t="shared" si="35"/>
        <v>0</v>
      </c>
      <c r="O33" s="421">
        <f t="shared" si="15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6"/>
        <v>4952</v>
      </c>
      <c r="U33" s="5">
        <f t="shared" si="4"/>
        <v>0</v>
      </c>
      <c r="V33" s="5">
        <f t="shared" si="16"/>
        <v>415</v>
      </c>
      <c r="W33" s="332">
        <f t="shared" si="17"/>
        <v>0</v>
      </c>
      <c r="X33" s="5">
        <f t="shared" si="16"/>
        <v>145527</v>
      </c>
      <c r="Y33" s="332">
        <f t="shared" si="18"/>
        <v>0</v>
      </c>
      <c r="Z33" s="5">
        <f t="shared" si="16"/>
        <v>95780</v>
      </c>
      <c r="AA33" s="83">
        <f t="shared" si="19"/>
        <v>0</v>
      </c>
      <c r="AB33" s="5">
        <f t="shared" si="16"/>
        <v>258</v>
      </c>
      <c r="AC33" s="5">
        <f t="shared" si="16"/>
        <v>670</v>
      </c>
      <c r="AD33" s="83">
        <f t="shared" si="32"/>
        <v>0</v>
      </c>
      <c r="AE33" s="5">
        <f t="shared" si="16"/>
        <v>171.62</v>
      </c>
      <c r="AF33" s="83">
        <f>AE33-AE32</f>
        <v>0</v>
      </c>
      <c r="AG33" s="5">
        <f t="shared" si="16"/>
        <v>1816.13</v>
      </c>
      <c r="AH33" s="83">
        <f t="shared" si="21"/>
        <v>0</v>
      </c>
      <c r="AI33" s="83">
        <f t="shared" si="22"/>
        <v>0</v>
      </c>
      <c r="AJ33" s="334">
        <f t="shared" si="23"/>
        <v>0</v>
      </c>
      <c r="AK33" s="335">
        <f>SUM(Y33-L33)</f>
        <v>0</v>
      </c>
      <c r="AL33" s="335">
        <f t="shared" si="24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5"/>
        <v>44040</v>
      </c>
      <c r="AS33" s="435">
        <f t="shared" si="38"/>
        <v>0.9</v>
      </c>
      <c r="AT33" s="204">
        <f t="shared" si="38"/>
        <v>93</v>
      </c>
      <c r="AU33" s="436">
        <f t="shared" si="34"/>
        <v>1.1000000000000001</v>
      </c>
      <c r="AV33" s="204">
        <f t="shared" si="34"/>
        <v>83</v>
      </c>
      <c r="AW33" s="5">
        <v>2.9</v>
      </c>
      <c r="AX33" s="204">
        <f t="shared" ref="AX33" si="50">AX32</f>
        <v>90</v>
      </c>
      <c r="AY33" s="439">
        <f t="shared" si="7"/>
        <v>83.7</v>
      </c>
      <c r="AZ33" s="439">
        <f t="shared" si="26"/>
        <v>91.300000000000011</v>
      </c>
      <c r="BA33" s="439">
        <f t="shared" si="27"/>
        <v>261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44041</v>
      </c>
      <c r="B34" s="5">
        <f t="shared" si="10"/>
        <v>108535</v>
      </c>
      <c r="C34" s="5">
        <f t="shared" si="11"/>
        <v>0</v>
      </c>
      <c r="D34" s="430">
        <f t="shared" si="12"/>
        <v>0</v>
      </c>
      <c r="E34" s="341">
        <f>SUM((C34*$E$4)+(7500/'EDl log'!$A$39))</f>
        <v>241.93548387096774</v>
      </c>
      <c r="F34" s="335"/>
      <c r="G34" s="5">
        <f t="shared" si="31"/>
        <v>603441</v>
      </c>
      <c r="H34" s="5">
        <f t="shared" si="13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6451</v>
      </c>
      <c r="L34" s="280">
        <f t="shared" si="33"/>
        <v>0</v>
      </c>
      <c r="M34" s="421">
        <f t="shared" si="14"/>
        <v>457.44</v>
      </c>
      <c r="N34" s="529">
        <f t="shared" si="35"/>
        <v>0</v>
      </c>
      <c r="O34" s="421">
        <f t="shared" si="15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6"/>
        <v>4952</v>
      </c>
      <c r="U34" s="5">
        <f t="shared" si="4"/>
        <v>0</v>
      </c>
      <c r="V34" s="5">
        <f t="shared" si="16"/>
        <v>415</v>
      </c>
      <c r="W34" s="332">
        <f t="shared" si="17"/>
        <v>0</v>
      </c>
      <c r="X34" s="5">
        <f t="shared" si="16"/>
        <v>145527</v>
      </c>
      <c r="Y34" s="332">
        <f t="shared" si="18"/>
        <v>0</v>
      </c>
      <c r="Z34" s="5">
        <f t="shared" si="16"/>
        <v>95780</v>
      </c>
      <c r="AA34" s="83">
        <f t="shared" si="19"/>
        <v>0</v>
      </c>
      <c r="AB34" s="5">
        <f t="shared" si="16"/>
        <v>258</v>
      </c>
      <c r="AC34" s="5">
        <f t="shared" si="16"/>
        <v>670</v>
      </c>
      <c r="AD34" s="83">
        <f t="shared" si="32"/>
        <v>0</v>
      </c>
      <c r="AE34" s="5">
        <f t="shared" si="16"/>
        <v>171.62</v>
      </c>
      <c r="AF34" s="83">
        <f t="shared" si="20"/>
        <v>0</v>
      </c>
      <c r="AG34" s="5">
        <f t="shared" si="16"/>
        <v>1816.13</v>
      </c>
      <c r="AH34" s="83">
        <f t="shared" si="21"/>
        <v>0</v>
      </c>
      <c r="AI34" s="83">
        <f t="shared" si="22"/>
        <v>0</v>
      </c>
      <c r="AJ34" s="334">
        <f t="shared" si="23"/>
        <v>0</v>
      </c>
      <c r="AK34" s="335">
        <f t="shared" si="5"/>
        <v>0</v>
      </c>
      <c r="AL34" s="335">
        <f t="shared" si="24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5"/>
        <v>44041</v>
      </c>
      <c r="AS34" s="435">
        <f t="shared" si="38"/>
        <v>0.9</v>
      </c>
      <c r="AT34" s="204">
        <f t="shared" si="38"/>
        <v>93</v>
      </c>
      <c r="AU34" s="437">
        <f t="shared" si="34"/>
        <v>1.1000000000000001</v>
      </c>
      <c r="AV34" s="204">
        <f t="shared" si="34"/>
        <v>83</v>
      </c>
      <c r="AW34" s="5">
        <v>2.9</v>
      </c>
      <c r="AX34" s="204">
        <f t="shared" ref="AX34" si="51">AX33</f>
        <v>90</v>
      </c>
      <c r="AY34" s="439">
        <f t="shared" si="7"/>
        <v>83.7</v>
      </c>
      <c r="AZ34" s="439">
        <f t="shared" si="26"/>
        <v>91.300000000000011</v>
      </c>
      <c r="BA34" s="439">
        <f t="shared" si="27"/>
        <v>261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44042</v>
      </c>
      <c r="B35" s="5">
        <f t="shared" si="10"/>
        <v>108535</v>
      </c>
      <c r="C35" s="5">
        <f t="shared" si="11"/>
        <v>0</v>
      </c>
      <c r="D35" s="430">
        <f t="shared" si="12"/>
        <v>0</v>
      </c>
      <c r="E35" s="341">
        <f>SUM((C35*$E$4)+(7500/'EDl log'!$A$39))</f>
        <v>241.93548387096774</v>
      </c>
      <c r="F35" s="335"/>
      <c r="G35" s="5">
        <f t="shared" si="31"/>
        <v>603441</v>
      </c>
      <c r="H35" s="5">
        <f t="shared" si="13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6451</v>
      </c>
      <c r="L35" s="83">
        <f t="shared" si="33"/>
        <v>0</v>
      </c>
      <c r="M35" s="421">
        <f t="shared" si="14"/>
        <v>457.44</v>
      </c>
      <c r="N35" s="529">
        <f t="shared" si="35"/>
        <v>0</v>
      </c>
      <c r="O35" s="421">
        <f t="shared" si="15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6"/>
        <v>4952</v>
      </c>
      <c r="U35" s="5">
        <f t="shared" si="4"/>
        <v>0</v>
      </c>
      <c r="V35" s="5">
        <f t="shared" si="16"/>
        <v>415</v>
      </c>
      <c r="W35" s="332">
        <f t="shared" si="17"/>
        <v>0</v>
      </c>
      <c r="X35" s="5">
        <f t="shared" si="16"/>
        <v>145527</v>
      </c>
      <c r="Y35" s="332">
        <f t="shared" si="18"/>
        <v>0</v>
      </c>
      <c r="Z35" s="5">
        <f t="shared" si="16"/>
        <v>95780</v>
      </c>
      <c r="AA35" s="83">
        <f t="shared" si="19"/>
        <v>0</v>
      </c>
      <c r="AB35" s="5">
        <f t="shared" si="16"/>
        <v>258</v>
      </c>
      <c r="AC35" s="5">
        <f t="shared" si="16"/>
        <v>670</v>
      </c>
      <c r="AD35" s="83">
        <f t="shared" si="32"/>
        <v>0</v>
      </c>
      <c r="AE35" s="5">
        <f t="shared" si="16"/>
        <v>171.62</v>
      </c>
      <c r="AF35" s="83">
        <f t="shared" si="20"/>
        <v>0</v>
      </c>
      <c r="AG35" s="5">
        <f t="shared" si="16"/>
        <v>1816.13</v>
      </c>
      <c r="AH35" s="83">
        <f t="shared" si="21"/>
        <v>0</v>
      </c>
      <c r="AI35" s="83">
        <f t="shared" si="22"/>
        <v>0</v>
      </c>
      <c r="AJ35" s="334">
        <f t="shared" si="23"/>
        <v>0</v>
      </c>
      <c r="AK35" s="335">
        <f t="shared" si="5"/>
        <v>0</v>
      </c>
      <c r="AL35" s="335">
        <f t="shared" si="24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5"/>
        <v>44042</v>
      </c>
      <c r="AS35" s="435">
        <f t="shared" si="38"/>
        <v>0.9</v>
      </c>
      <c r="AT35" s="204">
        <f t="shared" si="38"/>
        <v>93</v>
      </c>
      <c r="AU35" s="438">
        <f t="shared" si="34"/>
        <v>1.1000000000000001</v>
      </c>
      <c r="AV35" s="204">
        <f t="shared" si="34"/>
        <v>83</v>
      </c>
      <c r="AW35" s="5">
        <v>2.9</v>
      </c>
      <c r="AX35" s="204">
        <f t="shared" ref="AX35" si="52">AX34</f>
        <v>90</v>
      </c>
      <c r="AY35" s="439">
        <f t="shared" si="7"/>
        <v>83.7</v>
      </c>
      <c r="AZ35" s="439">
        <f t="shared" si="26"/>
        <v>91.300000000000011</v>
      </c>
      <c r="BA35" s="439">
        <f t="shared" si="27"/>
        <v>261</v>
      </c>
      <c r="BB35" s="21">
        <f t="shared" si="28"/>
        <v>0</v>
      </c>
      <c r="BC35" s="230">
        <f t="shared" si="28"/>
        <v>0</v>
      </c>
      <c r="BD35" s="230">
        <f t="shared" si="28"/>
        <v>0</v>
      </c>
      <c r="BE35" s="24">
        <f t="shared" si="30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44043</v>
      </c>
      <c r="B36" s="5">
        <f t="shared" si="10"/>
        <v>108535</v>
      </c>
      <c r="C36" s="5">
        <f t="shared" ref="C36" si="53">B36-B35</f>
        <v>0</v>
      </c>
      <c r="D36" s="430">
        <f t="shared" ref="D36" si="54">C36/27</f>
        <v>0</v>
      </c>
      <c r="E36" s="341">
        <f>SUM((C36*$E$4)+(7500/'EDl log'!$A$39))</f>
        <v>241.93548387096774</v>
      </c>
      <c r="F36" s="335"/>
      <c r="G36" s="5">
        <f t="shared" si="31"/>
        <v>603441</v>
      </c>
      <c r="H36" s="5">
        <f t="shared" ref="H36" si="55">G36-G35</f>
        <v>0</v>
      </c>
      <c r="I36" s="5">
        <f t="shared" ref="I36" si="56">C36+H36</f>
        <v>0</v>
      </c>
      <c r="J36" s="342">
        <f t="shared" ref="J36" si="57">IF(I36&gt;0,E36/I36,0)</f>
        <v>0</v>
      </c>
      <c r="K36" s="5">
        <f>'Swimming Pool quality check '!H37</f>
        <v>0</v>
      </c>
      <c r="L36" s="83">
        <f t="shared" ref="L36" si="58">K36-K35</f>
        <v>-6451</v>
      </c>
      <c r="M36" s="421">
        <f t="shared" si="14"/>
        <v>457.44</v>
      </c>
      <c r="N36" s="529">
        <f t="shared" ref="N36" si="59">SUM(M36-M35)</f>
        <v>0</v>
      </c>
      <c r="O36" s="421">
        <f t="shared" si="15"/>
        <v>529.52</v>
      </c>
      <c r="P36" s="529">
        <f t="shared" ref="P36" si="60">SUM(O36-O35)</f>
        <v>0</v>
      </c>
      <c r="Q36" s="529">
        <f t="shared" ref="Q36" si="61">SUM(P36+N36)</f>
        <v>0</v>
      </c>
      <c r="R36" s="529"/>
      <c r="S36" s="529"/>
      <c r="T36" s="5">
        <f t="shared" si="16"/>
        <v>4952</v>
      </c>
      <c r="U36" s="5">
        <f t="shared" ref="U36" si="62">SUM(T36-T35)</f>
        <v>0</v>
      </c>
      <c r="V36" s="5">
        <f t="shared" si="16"/>
        <v>415</v>
      </c>
      <c r="W36" s="332">
        <f t="shared" ref="W36" si="63">+V36-V35</f>
        <v>0</v>
      </c>
      <c r="X36" s="5">
        <f t="shared" si="16"/>
        <v>145527</v>
      </c>
      <c r="Y36" s="332">
        <f t="shared" ref="Y36" si="64">SUM(X36-X35)</f>
        <v>0</v>
      </c>
      <c r="Z36" s="5">
        <f t="shared" si="16"/>
        <v>95780</v>
      </c>
      <c r="AA36" s="83">
        <f t="shared" ref="AA36" si="65">Z36-Z35</f>
        <v>0</v>
      </c>
      <c r="AB36" s="5">
        <f t="shared" si="16"/>
        <v>258</v>
      </c>
      <c r="AC36" s="5">
        <f t="shared" si="16"/>
        <v>670</v>
      </c>
      <c r="AD36" s="83">
        <f t="shared" ref="AD36" si="66">AC36-AC35</f>
        <v>0</v>
      </c>
      <c r="AE36" s="5">
        <f t="shared" si="16"/>
        <v>171.62</v>
      </c>
      <c r="AF36" s="83">
        <f t="shared" ref="AF36" si="67">AE36-AE35</f>
        <v>0</v>
      </c>
      <c r="AG36" s="5">
        <f t="shared" si="16"/>
        <v>1816.13</v>
      </c>
      <c r="AH36" s="83">
        <f t="shared" ref="AH36" si="68">AG36-AG35</f>
        <v>0</v>
      </c>
      <c r="AI36" s="83">
        <f t="shared" ref="AI36" si="69">AF36+AH36</f>
        <v>0</v>
      </c>
      <c r="AJ36" s="334">
        <f t="shared" ref="AJ36" si="70">+Z36-Z35</f>
        <v>0</v>
      </c>
      <c r="AK36" s="335">
        <f t="shared" ref="AK36" si="71">SUM(Y36-L36)</f>
        <v>6451</v>
      </c>
      <c r="AL36" s="335">
        <f t="shared" ref="AL36" si="72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73">A36</f>
        <v>44043</v>
      </c>
      <c r="AS36" s="435">
        <f t="shared" si="38"/>
        <v>0.9</v>
      </c>
      <c r="AT36" s="204">
        <f t="shared" si="38"/>
        <v>93</v>
      </c>
      <c r="AU36" s="438">
        <f t="shared" si="34"/>
        <v>1.1000000000000001</v>
      </c>
      <c r="AV36" s="204">
        <f t="shared" si="34"/>
        <v>83</v>
      </c>
      <c r="AW36" s="5">
        <v>2.9</v>
      </c>
      <c r="AX36" s="204">
        <f t="shared" ref="AX36" si="74">AX35</f>
        <v>90</v>
      </c>
      <c r="AY36" s="439">
        <f t="shared" ref="AY36" si="75">AS36*AT36</f>
        <v>83.7</v>
      </c>
      <c r="AZ36" s="439">
        <f t="shared" ref="AZ36" si="76">AU36*AV36</f>
        <v>91.300000000000011</v>
      </c>
      <c r="BA36" s="439">
        <f t="shared" ref="BA36" si="77">AW36*AX36</f>
        <v>261</v>
      </c>
      <c r="BB36" s="21">
        <f t="shared" ref="BB36" si="78">AY36-AY35</f>
        <v>0</v>
      </c>
      <c r="BC36" s="230">
        <f t="shared" ref="BC36" si="79">AZ36-AZ35</f>
        <v>0</v>
      </c>
      <c r="BD36" s="230">
        <f t="shared" ref="BD36" si="80">BA36-BA35</f>
        <v>0</v>
      </c>
      <c r="BE36" s="24">
        <f t="shared" ref="BE36" si="81">SUM(BB36:BD36)</f>
        <v>0</v>
      </c>
      <c r="BF36" s="96">
        <f t="shared" ref="BF36" si="82">SUM(I36-BE36)</f>
        <v>0</v>
      </c>
      <c r="BG36" s="82">
        <f t="shared" ref="BG36" si="83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0</v>
      </c>
      <c r="H37" s="423">
        <f>SUM(H6:H35)</f>
        <v>2195</v>
      </c>
      <c r="I37" s="423">
        <f>SUM(I6:I35)</f>
        <v>2195</v>
      </c>
      <c r="L37" s="274">
        <f>SUM(L7:L35)</f>
        <v>85</v>
      </c>
      <c r="Q37" s="510">
        <f>SUM(Q5:Q35)</f>
        <v>0</v>
      </c>
      <c r="U37" s="420">
        <f>SUM(U6:U35)</f>
        <v>53</v>
      </c>
      <c r="X37" s="331"/>
      <c r="Y37" s="330" t="e">
        <f>SUM(Y35,Y33,Y31,Y29,Y27,Y25,Y23,Y21,Y19,Y17,Y15,Y13,Y11,Y9,Y7+#REF!)</f>
        <v>#REF!</v>
      </c>
      <c r="AJ37" s="330">
        <f>SUM(AJ6:AJ35)</f>
        <v>423</v>
      </c>
      <c r="AK37" s="335" t="e">
        <f t="shared" si="5"/>
        <v>#REF!</v>
      </c>
      <c r="AL37" s="330">
        <f>SUM(AL6:AL35)</f>
        <v>418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7258.0645161290331</v>
      </c>
      <c r="F38" s="428">
        <f>SUM(F6:F35)</f>
        <v>0</v>
      </c>
      <c r="H38" s="157">
        <v>7500</v>
      </c>
      <c r="I38" s="424">
        <f>SUM('General information '!G37/WATER!I37)</f>
        <v>0.17456947608200457</v>
      </c>
      <c r="L38" s="157"/>
      <c r="O38" s="507">
        <f>SUM(Q37+I37)</f>
        <v>2195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0</v>
      </c>
      <c r="G39" s="1">
        <f>SUM(I37)</f>
        <v>2195</v>
      </c>
      <c r="H39" s="1">
        <f>SUM(H38+C38)</f>
        <v>7500</v>
      </c>
      <c r="K39" s="1">
        <f>SUM(H39/G39)</f>
        <v>3.416856492027335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8" activePane="bottomLeft" state="frozen"/>
      <selection pane="bottomLeft" activeCell="E21" sqref="E21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2" t="s">
        <v>193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ht="15.75" customHeight="1" thickBot="1">
      <c r="A2" s="635"/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7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390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44012</v>
      </c>
      <c r="B5" s="366">
        <f>'[1]General information '!B35</f>
        <v>30</v>
      </c>
      <c r="C5" s="366">
        <f>'[1]General information '!C35</f>
        <v>22</v>
      </c>
      <c r="D5" s="366">
        <f>'[1]General information '!D35</f>
        <v>26</v>
      </c>
      <c r="E5" s="366">
        <f>'[1]General information '!E35</f>
        <v>0.75</v>
      </c>
      <c r="F5" s="366">
        <f>'[1]General information '!F35</f>
        <v>4.7800000000000002E-2</v>
      </c>
      <c r="G5" s="366">
        <f>'[1]General information '!G35</f>
        <v>10.994</v>
      </c>
      <c r="H5" s="366">
        <f>'[1]General information '!H35</f>
        <v>0</v>
      </c>
      <c r="I5" s="366">
        <f>'[1]General information '!I35</f>
        <v>0</v>
      </c>
      <c r="J5" s="366">
        <f>'[1]General information '!J35</f>
        <v>203</v>
      </c>
      <c r="K5" s="366">
        <f>'[1]General information '!K35</f>
        <v>203</v>
      </c>
      <c r="L5" s="366">
        <f>'[1]General information '!L35</f>
        <v>0</v>
      </c>
      <c r="M5" s="366">
        <f>'[1]General information '!M35</f>
        <v>0</v>
      </c>
      <c r="N5" s="366">
        <f>'[1]General information '!N35</f>
        <v>0</v>
      </c>
      <c r="O5" s="366">
        <f>'[1]General information '!O35</f>
        <v>0</v>
      </c>
    </row>
    <row r="6" spans="1:15">
      <c r="A6" s="497">
        <f>ELEC!C3</f>
        <v>44013</v>
      </c>
      <c r="B6" s="37">
        <v>28</v>
      </c>
      <c r="C6" s="37">
        <v>24</v>
      </c>
      <c r="D6" s="26">
        <f t="shared" ref="D6:D12" si="0">(C6+B6)/2</f>
        <v>26</v>
      </c>
      <c r="E6" s="348">
        <v>0.7</v>
      </c>
      <c r="F6" s="353">
        <v>5.6500000000000002E-2</v>
      </c>
      <c r="G6" s="245">
        <f t="shared" ref="G6:G12" si="1">F6*230</f>
        <v>12.995000000000001</v>
      </c>
      <c r="H6" s="3"/>
      <c r="I6" s="3"/>
      <c r="J6" s="37">
        <v>196</v>
      </c>
      <c r="K6" s="269">
        <f t="shared" ref="K6:K26" si="2">+J6+H6</f>
        <v>196</v>
      </c>
      <c r="L6" s="3"/>
      <c r="M6" s="3"/>
      <c r="N6" s="155"/>
      <c r="O6" s="3"/>
    </row>
    <row r="7" spans="1:15">
      <c r="A7" s="497">
        <f>ELEC!C4</f>
        <v>44014</v>
      </c>
      <c r="B7" s="37">
        <v>29</v>
      </c>
      <c r="C7" s="37">
        <v>23</v>
      </c>
      <c r="D7" s="26">
        <f t="shared" si="0"/>
        <v>26</v>
      </c>
      <c r="E7" s="348">
        <v>0.62</v>
      </c>
      <c r="F7" s="353">
        <v>3.9E-2</v>
      </c>
      <c r="G7" s="245">
        <f t="shared" si="1"/>
        <v>8.9700000000000006</v>
      </c>
      <c r="H7" s="3"/>
      <c r="I7" s="3"/>
      <c r="J7" s="37">
        <v>262</v>
      </c>
      <c r="K7" s="269">
        <f t="shared" si="2"/>
        <v>262</v>
      </c>
      <c r="L7" s="3"/>
      <c r="M7" s="3"/>
      <c r="N7" s="155"/>
      <c r="O7" s="3"/>
    </row>
    <row r="8" spans="1:15">
      <c r="A8" s="497">
        <f>ELEC!C5</f>
        <v>44015</v>
      </c>
      <c r="B8" s="37">
        <v>29</v>
      </c>
      <c r="C8" s="37">
        <v>24</v>
      </c>
      <c r="D8" s="26">
        <f t="shared" si="0"/>
        <v>26.5</v>
      </c>
      <c r="E8" s="348">
        <v>0.65</v>
      </c>
      <c r="F8" s="348">
        <v>8.6999999999999994E-2</v>
      </c>
      <c r="G8" s="245">
        <f t="shared" si="1"/>
        <v>20.009999999999998</v>
      </c>
      <c r="H8" s="3"/>
      <c r="I8" s="3"/>
      <c r="J8" s="37">
        <v>263</v>
      </c>
      <c r="K8" s="269">
        <f t="shared" si="2"/>
        <v>263</v>
      </c>
      <c r="L8" s="3"/>
      <c r="M8" s="170"/>
      <c r="N8" s="155"/>
      <c r="O8" s="3"/>
    </row>
    <row r="9" spans="1:15">
      <c r="A9" s="497">
        <f>ELEC!C6</f>
        <v>44016</v>
      </c>
      <c r="B9" s="37">
        <v>28</v>
      </c>
      <c r="C9" s="37">
        <v>24</v>
      </c>
      <c r="D9" s="26">
        <f>(C9+B9)/2</f>
        <v>26</v>
      </c>
      <c r="E9" s="404">
        <v>0.66</v>
      </c>
      <c r="F9" s="404">
        <v>8.6999999999999994E-2</v>
      </c>
      <c r="G9" s="245">
        <f>F9*230</f>
        <v>20.009999999999998</v>
      </c>
      <c r="H9" s="3"/>
      <c r="I9" s="3"/>
      <c r="J9" s="37">
        <v>258</v>
      </c>
      <c r="K9" s="269">
        <f>+J9+H9</f>
        <v>258</v>
      </c>
      <c r="L9" s="3"/>
      <c r="M9" s="3"/>
      <c r="N9" s="155"/>
      <c r="O9" s="3"/>
    </row>
    <row r="10" spans="1:15">
      <c r="A10" s="497">
        <f>ELEC!C7</f>
        <v>44017</v>
      </c>
      <c r="B10" s="37">
        <v>30</v>
      </c>
      <c r="C10" s="37">
        <v>26</v>
      </c>
      <c r="D10" s="26">
        <f t="shared" si="0"/>
        <v>28</v>
      </c>
      <c r="E10" s="364">
        <v>0.7</v>
      </c>
      <c r="F10" s="348">
        <v>7.8299999999999995E-2</v>
      </c>
      <c r="G10" s="245">
        <f t="shared" si="1"/>
        <v>18.009</v>
      </c>
      <c r="H10" s="3"/>
      <c r="I10" s="3"/>
      <c r="J10" s="37">
        <v>801</v>
      </c>
      <c r="K10" s="269">
        <f t="shared" si="2"/>
        <v>801</v>
      </c>
      <c r="L10" s="3"/>
      <c r="M10" s="3"/>
      <c r="N10" s="155"/>
      <c r="O10" s="3"/>
    </row>
    <row r="11" spans="1:15">
      <c r="A11" s="497">
        <f>ELEC!C8</f>
        <v>44018</v>
      </c>
      <c r="B11" s="37">
        <v>29</v>
      </c>
      <c r="C11" s="37">
        <v>25</v>
      </c>
      <c r="D11" s="26">
        <f t="shared" si="0"/>
        <v>27</v>
      </c>
      <c r="E11" s="404">
        <v>0.69</v>
      </c>
      <c r="F11" s="348">
        <v>8.2600000000000007E-2</v>
      </c>
      <c r="G11" s="245">
        <f t="shared" si="1"/>
        <v>18.998000000000001</v>
      </c>
      <c r="H11" s="3"/>
      <c r="I11" s="3"/>
      <c r="J11" s="37">
        <v>230</v>
      </c>
      <c r="K11" s="269">
        <f>+J11+H11</f>
        <v>230</v>
      </c>
      <c r="L11" s="3"/>
      <c r="M11" s="3"/>
      <c r="N11" s="155"/>
      <c r="O11" s="3"/>
    </row>
    <row r="12" spans="1:15">
      <c r="A12" s="497">
        <f>ELEC!C9</f>
        <v>44019</v>
      </c>
      <c r="B12" s="37">
        <v>30</v>
      </c>
      <c r="C12" s="37">
        <v>22</v>
      </c>
      <c r="D12" s="26">
        <f t="shared" si="0"/>
        <v>26</v>
      </c>
      <c r="E12" s="404">
        <v>0.68</v>
      </c>
      <c r="F12" s="404">
        <v>7.8299999999999995E-2</v>
      </c>
      <c r="G12" s="245">
        <f t="shared" si="1"/>
        <v>18.009</v>
      </c>
      <c r="H12" s="3"/>
      <c r="I12" s="3"/>
      <c r="J12" s="37">
        <v>268</v>
      </c>
      <c r="K12" s="269">
        <f t="shared" si="2"/>
        <v>268</v>
      </c>
      <c r="L12" s="3"/>
      <c r="M12" s="3"/>
      <c r="N12" s="155"/>
      <c r="O12" s="3"/>
    </row>
    <row r="13" spans="1:15">
      <c r="A13" s="497">
        <f>ELEC!C10</f>
        <v>44020</v>
      </c>
      <c r="B13" s="37">
        <v>30</v>
      </c>
      <c r="C13" s="37">
        <v>22</v>
      </c>
      <c r="D13" s="26">
        <f>(C13+B13)/2</f>
        <v>26</v>
      </c>
      <c r="E13" s="364">
        <v>0.7</v>
      </c>
      <c r="F13" s="364">
        <v>8.6999999999999994E-2</v>
      </c>
      <c r="G13" s="245">
        <f>F13*230</f>
        <v>20.009999999999998</v>
      </c>
      <c r="H13" s="3"/>
      <c r="I13" s="3"/>
      <c r="J13" s="37">
        <v>336</v>
      </c>
      <c r="K13" s="269">
        <f t="shared" si="2"/>
        <v>336</v>
      </c>
      <c r="L13" s="3"/>
      <c r="M13" s="3"/>
      <c r="N13" s="155"/>
      <c r="O13" s="3"/>
    </row>
    <row r="14" spans="1:15">
      <c r="A14" s="497">
        <f>ELEC!C11</f>
        <v>44021</v>
      </c>
      <c r="B14" s="37">
        <v>30</v>
      </c>
      <c r="C14" s="37">
        <v>22</v>
      </c>
      <c r="D14" s="26">
        <f t="shared" ref="D14:D35" si="3">(C14+B14)/2</f>
        <v>26</v>
      </c>
      <c r="E14" s="348">
        <v>0.65</v>
      </c>
      <c r="F14" s="348">
        <v>0.1087</v>
      </c>
      <c r="G14" s="245">
        <f t="shared" ref="G14:G35" si="4">F14*230</f>
        <v>25.001000000000001</v>
      </c>
      <c r="H14" s="3"/>
      <c r="I14" s="3"/>
      <c r="J14" s="37">
        <v>375</v>
      </c>
      <c r="K14" s="269">
        <f t="shared" si="2"/>
        <v>375</v>
      </c>
      <c r="L14" s="3"/>
      <c r="M14" s="3"/>
      <c r="N14" s="155"/>
      <c r="O14" s="3"/>
    </row>
    <row r="15" spans="1:15">
      <c r="A15" s="497">
        <f>ELEC!C12</f>
        <v>44022</v>
      </c>
      <c r="B15" s="37">
        <v>30</v>
      </c>
      <c r="C15" s="37">
        <v>22</v>
      </c>
      <c r="D15" s="26">
        <f t="shared" si="3"/>
        <v>26</v>
      </c>
      <c r="E15" s="348">
        <v>0.7</v>
      </c>
      <c r="F15" s="348">
        <v>0.113</v>
      </c>
      <c r="G15" s="245">
        <f>F15*230</f>
        <v>25.990000000000002</v>
      </c>
      <c r="H15" s="3"/>
      <c r="I15" s="3"/>
      <c r="J15" s="37">
        <v>329</v>
      </c>
      <c r="K15" s="269">
        <f>+J15+H15</f>
        <v>329</v>
      </c>
      <c r="L15" s="3"/>
      <c r="M15" s="3"/>
      <c r="N15" s="155"/>
      <c r="O15" s="3"/>
    </row>
    <row r="16" spans="1:15">
      <c r="A16" s="497">
        <f>ELEC!C13</f>
        <v>44023</v>
      </c>
      <c r="B16" s="37">
        <v>30</v>
      </c>
      <c r="C16" s="37">
        <v>26</v>
      </c>
      <c r="D16" s="26">
        <f t="shared" si="3"/>
        <v>28</v>
      </c>
      <c r="E16" s="348">
        <v>0.56000000000000005</v>
      </c>
      <c r="F16" s="348">
        <v>0.16500000000000001</v>
      </c>
      <c r="G16" s="245">
        <f t="shared" si="4"/>
        <v>37.950000000000003</v>
      </c>
      <c r="H16" s="3"/>
      <c r="I16" s="3"/>
      <c r="J16" s="37">
        <v>323</v>
      </c>
      <c r="K16" s="269">
        <f>+J16+H16</f>
        <v>323</v>
      </c>
      <c r="L16" s="3"/>
      <c r="M16" s="3"/>
      <c r="N16" s="155"/>
      <c r="O16" s="3"/>
    </row>
    <row r="17" spans="1:15">
      <c r="A17" s="497">
        <f>ELEC!C14</f>
        <v>44024</v>
      </c>
      <c r="B17" s="37">
        <v>30</v>
      </c>
      <c r="C17" s="37">
        <v>22</v>
      </c>
      <c r="D17" s="26">
        <f t="shared" si="3"/>
        <v>26</v>
      </c>
      <c r="E17" s="348">
        <v>0.62</v>
      </c>
      <c r="F17" s="348">
        <v>0.1</v>
      </c>
      <c r="G17" s="245">
        <f t="shared" si="4"/>
        <v>23</v>
      </c>
      <c r="H17" s="3"/>
      <c r="I17" s="3"/>
      <c r="J17" s="37">
        <v>357</v>
      </c>
      <c r="K17" s="269">
        <f t="shared" si="2"/>
        <v>357</v>
      </c>
      <c r="L17" s="3"/>
      <c r="M17" s="3"/>
      <c r="N17" s="155"/>
      <c r="O17" s="3"/>
    </row>
    <row r="18" spans="1:15">
      <c r="A18" s="497">
        <f>ELEC!C15</f>
        <v>44025</v>
      </c>
      <c r="B18" s="37">
        <v>30</v>
      </c>
      <c r="C18" s="37">
        <v>23</v>
      </c>
      <c r="D18" s="26">
        <f t="shared" si="3"/>
        <v>26.5</v>
      </c>
      <c r="E18" s="440">
        <v>0.65</v>
      </c>
      <c r="F18" s="348">
        <v>0.1217</v>
      </c>
      <c r="G18" s="245">
        <f t="shared" si="4"/>
        <v>27.991</v>
      </c>
      <c r="H18" s="3"/>
      <c r="I18" s="3"/>
      <c r="J18" s="37">
        <v>297</v>
      </c>
      <c r="K18" s="269">
        <f t="shared" si="2"/>
        <v>297</v>
      </c>
      <c r="L18" s="3"/>
      <c r="M18" s="3"/>
      <c r="N18" s="155"/>
      <c r="O18" s="3"/>
    </row>
    <row r="19" spans="1:15">
      <c r="A19" s="497">
        <f>ELEC!C16</f>
        <v>44026</v>
      </c>
      <c r="B19" s="37">
        <v>30</v>
      </c>
      <c r="C19" s="37">
        <v>25</v>
      </c>
      <c r="D19" s="26">
        <f t="shared" si="3"/>
        <v>27.5</v>
      </c>
      <c r="E19" s="348">
        <v>0.65</v>
      </c>
      <c r="F19" s="348">
        <v>0.12709999999999999</v>
      </c>
      <c r="G19" s="245">
        <f t="shared" si="4"/>
        <v>29.232999999999997</v>
      </c>
      <c r="H19" s="3"/>
      <c r="I19" s="3"/>
      <c r="J19" s="37">
        <v>332</v>
      </c>
      <c r="K19" s="269">
        <f t="shared" si="2"/>
        <v>332</v>
      </c>
      <c r="L19" s="3"/>
      <c r="M19" s="3"/>
      <c r="N19" s="155"/>
      <c r="O19" s="3"/>
    </row>
    <row r="20" spans="1:15">
      <c r="A20" s="497">
        <f>ELEC!C17</f>
        <v>44027</v>
      </c>
      <c r="B20" s="37">
        <v>30</v>
      </c>
      <c r="C20" s="37">
        <v>23</v>
      </c>
      <c r="D20" s="26">
        <f t="shared" si="3"/>
        <v>26.5</v>
      </c>
      <c r="E20" s="348">
        <v>0.66</v>
      </c>
      <c r="F20" s="348">
        <v>0.1348</v>
      </c>
      <c r="G20" s="245">
        <f t="shared" si="4"/>
        <v>31.004000000000001</v>
      </c>
      <c r="H20" s="3"/>
      <c r="I20" s="3"/>
      <c r="J20" s="37">
        <v>350</v>
      </c>
      <c r="K20" s="269">
        <f t="shared" si="2"/>
        <v>350</v>
      </c>
      <c r="L20" s="3"/>
      <c r="M20" s="3"/>
      <c r="N20" s="155"/>
      <c r="O20" s="3"/>
    </row>
    <row r="21" spans="1:15">
      <c r="A21" s="497">
        <f>ELEC!C18</f>
        <v>44028</v>
      </c>
      <c r="B21" s="37">
        <v>30</v>
      </c>
      <c r="C21" s="37">
        <v>25</v>
      </c>
      <c r="D21" s="26">
        <f>(C21+B21)/2</f>
        <v>27.5</v>
      </c>
      <c r="E21" s="348">
        <v>0.68</v>
      </c>
      <c r="F21" s="348">
        <v>0.2</v>
      </c>
      <c r="G21" s="245">
        <f t="shared" si="4"/>
        <v>46</v>
      </c>
      <c r="H21" s="3"/>
      <c r="I21" s="3"/>
      <c r="J21" s="37">
        <v>0</v>
      </c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44029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44030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44031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44032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44033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44034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44035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5" si="5">+J28+H28+I28</f>
        <v>0</v>
      </c>
      <c r="L28" s="3"/>
      <c r="M28" s="3"/>
      <c r="N28" s="155"/>
      <c r="O28" s="3"/>
    </row>
    <row r="29" spans="1:15">
      <c r="A29" s="497">
        <f>ELEC!C26</f>
        <v>44036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44037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44038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44039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44040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44041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44042</v>
      </c>
      <c r="B35" s="37"/>
      <c r="C35" s="37"/>
      <c r="D35" s="26">
        <f t="shared" si="3"/>
        <v>0</v>
      </c>
      <c r="E35" s="364"/>
      <c r="F35" s="364"/>
      <c r="G35" s="245">
        <f t="shared" si="4"/>
        <v>0</v>
      </c>
      <c r="H35" s="3"/>
      <c r="I35" s="3"/>
      <c r="J35" s="37"/>
      <c r="K35" s="269">
        <f t="shared" si="5"/>
        <v>0</v>
      </c>
      <c r="L35" s="3"/>
      <c r="M35" s="3"/>
      <c r="N35" s="155"/>
      <c r="O35" s="3"/>
    </row>
    <row r="36" spans="1:15">
      <c r="A36" s="497">
        <f>ELEC!C33</f>
        <v>44043</v>
      </c>
      <c r="B36" s="37"/>
      <c r="C36" s="37"/>
      <c r="D36" s="26">
        <f t="shared" ref="D36" si="6">(C36+B36)/2</f>
        <v>0</v>
      </c>
      <c r="E36" s="404"/>
      <c r="F36" s="404"/>
      <c r="G36" s="245">
        <f t="shared" ref="G36" si="7">F36*230</f>
        <v>0</v>
      </c>
      <c r="H36" s="3"/>
      <c r="I36" s="3"/>
      <c r="J36" s="37"/>
      <c r="K36" s="269">
        <f t="shared" ref="K36" si="8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0.104125</v>
      </c>
      <c r="G37" s="206">
        <f>SUM(G6:G35)</f>
        <v>383.18</v>
      </c>
    </row>
    <row r="38" spans="1:15">
      <c r="D38" s="267">
        <f>SUM(D6:D35)/'EDl log'!A37</f>
        <v>32.730769230769234</v>
      </c>
      <c r="F38" s="214"/>
    </row>
    <row r="41" spans="1:15">
      <c r="I41" s="422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9" zoomScale="90" zoomScaleNormal="90" workbookViewId="0">
      <pane xSplit="1" topLeftCell="AP1" activePane="topRight" state="frozen"/>
      <selection pane="topRight" activeCell="AT21" sqref="AT21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0" t="s">
        <v>108</v>
      </c>
      <c r="AS3" s="640" t="s">
        <v>234</v>
      </c>
      <c r="AT3" s="638" t="s">
        <v>302</v>
      </c>
      <c r="AU3" s="639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1"/>
      <c r="AS4" s="641"/>
      <c r="AT4" s="3" t="s">
        <v>71</v>
      </c>
      <c r="AU4" s="3" t="s">
        <v>222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44012</v>
      </c>
      <c r="B5" s="548">
        <f>[1]tanks!B35</f>
        <v>140</v>
      </c>
      <c r="C5" s="548">
        <f>[1]tanks!C35</f>
        <v>3012.2580645161288</v>
      </c>
      <c r="D5" s="548">
        <f>[1]tanks!D35</f>
        <v>140</v>
      </c>
      <c r="E5" s="548">
        <f>[1]tanks!E35</f>
        <v>3012.2580645161288</v>
      </c>
      <c r="F5" s="548">
        <f>[1]tanks!F35</f>
        <v>140</v>
      </c>
      <c r="G5" s="548">
        <f>[1]tanks!G35</f>
        <v>3012.2580645161288</v>
      </c>
      <c r="H5" s="548">
        <f>[1]tanks!H35</f>
        <v>140</v>
      </c>
      <c r="I5" s="548">
        <f>[1]tanks!I35</f>
        <v>3012.2580645161288</v>
      </c>
      <c r="J5" s="548">
        <f>[1]tanks!J35</f>
        <v>140</v>
      </c>
      <c r="K5" s="548">
        <f>[1]tanks!K35</f>
        <v>3012.2580645161288</v>
      </c>
      <c r="L5" s="548">
        <f>[1]tanks!L35</f>
        <v>140</v>
      </c>
      <c r="M5" s="548">
        <f>[1]tanks!M35</f>
        <v>3012.2580645161288</v>
      </c>
      <c r="N5" s="548">
        <f>[1]tanks!N35</f>
        <v>140</v>
      </c>
      <c r="O5" s="548">
        <f>[1]tanks!O35</f>
        <v>3012.2580645161288</v>
      </c>
      <c r="P5" s="548">
        <f>[1]tanks!P35</f>
        <v>140</v>
      </c>
      <c r="Q5" s="548">
        <f>[1]tanks!Q35</f>
        <v>3012.2580645161288</v>
      </c>
      <c r="R5" s="548">
        <f>[1]tanks!R35</f>
        <v>140</v>
      </c>
      <c r="S5" s="548">
        <f>[1]tanks!S35</f>
        <v>3012.2580645161288</v>
      </c>
      <c r="T5" s="548">
        <f>[1]tanks!T35</f>
        <v>140</v>
      </c>
      <c r="U5" s="548">
        <f>[1]tanks!U35</f>
        <v>3012.2580645161288</v>
      </c>
      <c r="V5" s="548">
        <f>[1]tanks!V35</f>
        <v>140</v>
      </c>
      <c r="W5" s="548">
        <f>[1]tanks!W35</f>
        <v>3012.2580645161288</v>
      </c>
      <c r="X5" s="520">
        <f>[1]tanks!X35</f>
        <v>0.45161290322580644</v>
      </c>
      <c r="Y5" s="548">
        <f>[1]tanks!Y35</f>
        <v>33134.838709677417</v>
      </c>
      <c r="Z5" s="548">
        <f>[1]tanks!Z35</f>
        <v>147</v>
      </c>
      <c r="AA5" s="548">
        <f>[1]tanks!AA35</f>
        <v>1470</v>
      </c>
      <c r="AB5" s="548">
        <f>[1]tanks!AB35</f>
        <v>147</v>
      </c>
      <c r="AC5" s="548">
        <f>[1]tanks!AC35</f>
        <v>1470</v>
      </c>
      <c r="AD5" s="548">
        <f>[1]tanks!AD35</f>
        <v>147</v>
      </c>
      <c r="AE5" s="548">
        <f>[1]tanks!AE35</f>
        <v>1470</v>
      </c>
      <c r="AF5" s="548">
        <f>[1]tanks!AF35</f>
        <v>147</v>
      </c>
      <c r="AG5" s="548">
        <f>[1]tanks!AG35</f>
        <v>1470</v>
      </c>
      <c r="AH5" s="548">
        <f>[1]tanks!AH35</f>
        <v>147</v>
      </c>
      <c r="AI5" s="548">
        <f>[1]tanks!AI35</f>
        <v>1470</v>
      </c>
      <c r="AJ5" s="548">
        <f>[1]tanks!AJ35</f>
        <v>147</v>
      </c>
      <c r="AK5" s="548">
        <f>[1]tanks!AK35</f>
        <v>1470</v>
      </c>
      <c r="AL5" s="548">
        <f>[1]tanks!AL35</f>
        <v>147</v>
      </c>
      <c r="AM5" s="548">
        <f>[1]tanks!AM35</f>
        <v>1470</v>
      </c>
      <c r="AN5" s="520">
        <f>[1]tanks!AN35</f>
        <v>0.52500000000000002</v>
      </c>
      <c r="AO5" s="548">
        <f>[1]tanks!AO35</f>
        <v>10290</v>
      </c>
      <c r="AP5" s="548">
        <f>[1]tanks!AP35</f>
        <v>0</v>
      </c>
      <c r="AQ5" s="520">
        <f>[1]tanks!AQ35</f>
        <v>0.46708442196060468</v>
      </c>
      <c r="AR5" s="548">
        <f>[1]tanks!AR35</f>
        <v>43424.838709677417</v>
      </c>
      <c r="AS5" s="548">
        <f>[1]tanks!AS35</f>
        <v>-3373.4516129032345</v>
      </c>
      <c r="AT5" s="548">
        <f>[1]tanks!AT35</f>
        <v>0</v>
      </c>
      <c r="AU5" s="548">
        <f>[1]tanks!AU35</f>
        <v>0</v>
      </c>
      <c r="AV5" s="548">
        <f>[1]tanks!AV35</f>
        <v>0.4128</v>
      </c>
      <c r="AW5" s="548">
        <f>[1]tanks!AW35</f>
        <v>-360</v>
      </c>
      <c r="AX5" s="548">
        <f>[1]tanks!AX35</f>
        <v>-3013.4516129032345</v>
      </c>
      <c r="AY5" s="548">
        <f>[1]tanks!AY35</f>
        <v>-3373.4516129032345</v>
      </c>
      <c r="AZ5" s="520">
        <f>[1]tanks!AZ35</f>
        <v>4.7800000000000002E-2</v>
      </c>
      <c r="BA5" s="548">
        <f>[1]tanks!BA35</f>
        <v>26</v>
      </c>
      <c r="BB5" s="520">
        <f>[1]tanks!BB35</f>
        <v>0.75</v>
      </c>
      <c r="BC5" s="548">
        <f>[2]tanks!BC36</f>
        <v>0</v>
      </c>
      <c r="BD5" s="548">
        <f>[2]tanks!BD36</f>
        <v>0</v>
      </c>
      <c r="BE5" s="548">
        <f>[2]tanks!BE36</f>
        <v>0</v>
      </c>
      <c r="BF5" s="548">
        <f>[2]tanks!BF36</f>
        <v>0</v>
      </c>
      <c r="BG5" s="548">
        <f>[2]tanks!BG36</f>
        <v>0</v>
      </c>
      <c r="BH5" s="548">
        <f>[2]tanks!BH36</f>
        <v>0</v>
      </c>
      <c r="BI5" s="206"/>
    </row>
    <row r="6" spans="1:61">
      <c r="A6" s="457">
        <f>ELEC!C3</f>
        <v>44013</v>
      </c>
      <c r="B6">
        <f>'B5'!B5</f>
        <v>183</v>
      </c>
      <c r="C6" s="206">
        <f>B6*$B$4</f>
        <v>3937.4516129032259</v>
      </c>
      <c r="D6">
        <f>SUM(B6)</f>
        <v>183</v>
      </c>
      <c r="E6" s="206">
        <f>D6*$B$4</f>
        <v>3937.4516129032259</v>
      </c>
      <c r="F6">
        <f>SUM(D6)</f>
        <v>183</v>
      </c>
      <c r="G6" s="206">
        <f t="shared" ref="G6:G35" si="1">F6*$B$4</f>
        <v>3937.4516129032259</v>
      </c>
      <c r="H6" s="206">
        <f>SUM(F6)</f>
        <v>183</v>
      </c>
      <c r="I6" s="206">
        <f t="shared" ref="I6:I35" si="2">H6*$B$4</f>
        <v>3937.4516129032259</v>
      </c>
      <c r="J6" s="206">
        <f>SUM(H6)</f>
        <v>183</v>
      </c>
      <c r="K6" s="206">
        <f t="shared" ref="K6:K35" si="3">J6*$B$4</f>
        <v>3937.4516129032259</v>
      </c>
      <c r="L6" s="206">
        <f>SUM(J6)</f>
        <v>183</v>
      </c>
      <c r="M6" s="206">
        <f t="shared" ref="M6:M35" si="4">L6*$B$4</f>
        <v>3937.4516129032259</v>
      </c>
      <c r="N6" s="206">
        <f>SUM(L6)</f>
        <v>183</v>
      </c>
      <c r="O6" s="206">
        <f t="shared" ref="O6:O35" si="5">N6*$B$4</f>
        <v>3937.4516129032259</v>
      </c>
      <c r="P6" s="206">
        <f>SUM(N6)</f>
        <v>183</v>
      </c>
      <c r="Q6" s="206">
        <f t="shared" ref="Q6:Q35" si="6">P6*$B$4</f>
        <v>3937.4516129032259</v>
      </c>
      <c r="R6" s="206">
        <f>SUM(P6)</f>
        <v>183</v>
      </c>
      <c r="S6" s="206">
        <f t="shared" ref="S6:S35" si="7">R6*$B$4</f>
        <v>3937.4516129032259</v>
      </c>
      <c r="T6" s="206">
        <f>SUM(R6)</f>
        <v>183</v>
      </c>
      <c r="U6" s="206">
        <f t="shared" ref="U6:U35" si="8">T6*$B$4</f>
        <v>3937.4516129032259</v>
      </c>
      <c r="V6" s="206">
        <f>SUM(T6)</f>
        <v>183</v>
      </c>
      <c r="W6" s="206">
        <f t="shared" ref="W6:W35" si="9">V6*$B$4</f>
        <v>3937.4516129032259</v>
      </c>
      <c r="X6" s="35">
        <f t="shared" ref="X6:X29" si="10">SUM(Y6/73370)</f>
        <v>0.59032258064516141</v>
      </c>
      <c r="Y6" s="36">
        <f>SUM(C6+E6+G6+I6+K6+M6+O6+Q6+S6+U6+W6)</f>
        <v>43311.967741935492</v>
      </c>
      <c r="Z6" s="206">
        <f>'B5'!C5</f>
        <v>190</v>
      </c>
      <c r="AA6" s="206">
        <f>SUM(Z6*$Z$4)</f>
        <v>1900</v>
      </c>
      <c r="AB6" s="206">
        <f>SUM(Z6)</f>
        <v>190</v>
      </c>
      <c r="AC6" s="206">
        <f>SUM(AB6*$Z$4)</f>
        <v>1900</v>
      </c>
      <c r="AD6" s="206">
        <f>SUM(AB6)</f>
        <v>190</v>
      </c>
      <c r="AE6" s="206">
        <f t="shared" ref="AE6:AE35" si="11">SUM(AD6*$Z$4)</f>
        <v>1900</v>
      </c>
      <c r="AF6" s="206">
        <f>SUM(AD6)</f>
        <v>190</v>
      </c>
      <c r="AG6" s="206">
        <f t="shared" ref="AG6:AG35" si="12">SUM(AF6*$Z$4)</f>
        <v>1900</v>
      </c>
      <c r="AH6" s="206">
        <f>SUM(AF6)</f>
        <v>190</v>
      </c>
      <c r="AI6" s="206">
        <f t="shared" ref="AI6:AI35" si="13">SUM(AH6*$Z$4)</f>
        <v>1900</v>
      </c>
      <c r="AJ6" s="206">
        <f>SUM(AH6)</f>
        <v>190</v>
      </c>
      <c r="AK6" s="206">
        <f t="shared" ref="AK6:AK35" si="14">SUM(AJ6*$Z$4)</f>
        <v>1900</v>
      </c>
      <c r="AL6" s="206">
        <f>SUM(AJ6)</f>
        <v>190</v>
      </c>
      <c r="AM6" s="206">
        <f t="shared" ref="AM6:AM35" si="15">SUM(AL6*$Z$4)</f>
        <v>1900</v>
      </c>
      <c r="AN6" s="35">
        <f t="shared" ref="AN6:AN29" si="16">SUM(AO6/19600)</f>
        <v>0.6785714285714286</v>
      </c>
      <c r="AO6" s="36">
        <f t="shared" ref="AO6:AO29" si="17">SUM(AA6+AC6+AE6+AG6+AI6+AK6+AM6)</f>
        <v>13300</v>
      </c>
      <c r="AQ6" s="226">
        <f>SUM(AR6/92970)</f>
        <v>0.60892726408449493</v>
      </c>
      <c r="AR6" s="38">
        <f>SUM(AO6+Y6)</f>
        <v>56611.967741935492</v>
      </c>
      <c r="AS6" s="200">
        <f>SUM(AR6-AR5-AT6)</f>
        <v>-2560.8709677419247</v>
      </c>
      <c r="AT6" s="365">
        <v>15748</v>
      </c>
      <c r="AU6" s="449">
        <v>0.46239999999999998</v>
      </c>
      <c r="AV6" s="533">
        <f>IF(AT6&gt;0,AU6,AV5)</f>
        <v>0.46239999999999998</v>
      </c>
      <c r="AW6" s="298">
        <f>-SUM('B5'!AI5)</f>
        <v>-417</v>
      </c>
      <c r="AX6" s="298">
        <f>-SUM(AW6-AS6)</f>
        <v>-2143.8709677419247</v>
      </c>
      <c r="AY6" s="37">
        <f>SUM(AX6+AW6)</f>
        <v>-2560.8709677419247</v>
      </c>
      <c r="AZ6" s="100">
        <f>ELEC!A3</f>
        <v>5.6500000000000002E-2</v>
      </c>
      <c r="BA6" s="118">
        <f>'General information '!D6</f>
        <v>26</v>
      </c>
      <c r="BB6" s="288">
        <f>SUM('General information '!E6)</f>
        <v>0.7</v>
      </c>
      <c r="BC6" s="3">
        <f>IF(AR3&gt;=AR6,0,1)</f>
        <v>0</v>
      </c>
      <c r="BD6" s="102">
        <v>19222</v>
      </c>
      <c r="BE6" s="14">
        <f>(305/1185)*ELEC!Q4</f>
        <v>3345.9915611814349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44014</v>
      </c>
      <c r="B7">
        <f>'B5'!B6</f>
        <v>165</v>
      </c>
      <c r="C7" s="206">
        <f t="shared" ref="C7:E35" si="18">B7*$B$4</f>
        <v>3550.1612903225805</v>
      </c>
      <c r="D7">
        <f t="shared" ref="D7:D29" si="19">SUM(B7)</f>
        <v>165</v>
      </c>
      <c r="E7" s="206">
        <f t="shared" si="18"/>
        <v>3550.1612903225805</v>
      </c>
      <c r="F7">
        <f t="shared" ref="F7:F29" si="20">SUM(D7)</f>
        <v>165</v>
      </c>
      <c r="G7" s="206">
        <f t="shared" si="1"/>
        <v>3550.1612903225805</v>
      </c>
      <c r="H7" s="206">
        <f t="shared" ref="H7:H29" si="21">SUM(F7)</f>
        <v>165</v>
      </c>
      <c r="I7" s="206">
        <f t="shared" si="2"/>
        <v>3550.1612903225805</v>
      </c>
      <c r="J7" s="206">
        <f t="shared" ref="J7:J29" si="22">SUM(H7)</f>
        <v>165</v>
      </c>
      <c r="K7" s="206">
        <f t="shared" si="3"/>
        <v>3550.1612903225805</v>
      </c>
      <c r="L7" s="206">
        <f t="shared" ref="L7:L29" si="23">SUM(J7)</f>
        <v>165</v>
      </c>
      <c r="M7" s="206">
        <f t="shared" si="4"/>
        <v>3550.1612903225805</v>
      </c>
      <c r="N7" s="206">
        <f t="shared" ref="N7:N29" si="24">SUM(L7)</f>
        <v>165</v>
      </c>
      <c r="O7" s="206">
        <f t="shared" si="5"/>
        <v>3550.1612903225805</v>
      </c>
      <c r="P7" s="206">
        <f t="shared" ref="P7:P29" si="25">SUM(N7)</f>
        <v>165</v>
      </c>
      <c r="Q7" s="206">
        <f t="shared" si="6"/>
        <v>3550.1612903225805</v>
      </c>
      <c r="R7" s="206">
        <f t="shared" ref="R7:R29" si="26">SUM(P7)</f>
        <v>165</v>
      </c>
      <c r="S7" s="206">
        <f t="shared" si="7"/>
        <v>3550.1612903225805</v>
      </c>
      <c r="T7" s="206">
        <f t="shared" ref="T7:T29" si="27">SUM(R7)</f>
        <v>165</v>
      </c>
      <c r="U7" s="206">
        <f t="shared" si="8"/>
        <v>3550.1612903225805</v>
      </c>
      <c r="V7" s="206">
        <f t="shared" ref="V7:V29" si="28">SUM(T7)</f>
        <v>165</v>
      </c>
      <c r="W7" s="206">
        <f t="shared" si="9"/>
        <v>3550.1612903225805</v>
      </c>
      <c r="X7" s="35">
        <f t="shared" si="10"/>
        <v>0.532258064516129</v>
      </c>
      <c r="Y7" s="36">
        <f t="shared" ref="Y7:Y29" si="29">SUM(C7+E7+G7+I7+K7+M7+O7+Q7+S7+U7+W7)</f>
        <v>39051.774193548386</v>
      </c>
      <c r="Z7" s="206">
        <f>'B5'!C6</f>
        <v>172</v>
      </c>
      <c r="AA7" s="206">
        <f t="shared" ref="AA7:AC35" si="30">SUM(Z7*$Z$4)</f>
        <v>1720</v>
      </c>
      <c r="AB7" s="206">
        <f t="shared" ref="AB7:AB29" si="31">SUM(Z7)</f>
        <v>172</v>
      </c>
      <c r="AC7" s="206">
        <f t="shared" si="30"/>
        <v>1720</v>
      </c>
      <c r="AD7" s="206">
        <f t="shared" ref="AD7:AD29" si="32">SUM(AB7)</f>
        <v>172</v>
      </c>
      <c r="AE7" s="206">
        <f t="shared" si="11"/>
        <v>1720</v>
      </c>
      <c r="AF7" s="206">
        <f t="shared" ref="AF7:AF29" si="33">SUM(AD7)</f>
        <v>172</v>
      </c>
      <c r="AG7" s="206">
        <f t="shared" si="12"/>
        <v>1720</v>
      </c>
      <c r="AH7" s="206">
        <f t="shared" ref="AH7:AH29" si="34">SUM(AF7)</f>
        <v>172</v>
      </c>
      <c r="AI7" s="206">
        <f t="shared" si="13"/>
        <v>1720</v>
      </c>
      <c r="AJ7" s="206">
        <f t="shared" ref="AJ7:AJ29" si="35">SUM(AH7)</f>
        <v>172</v>
      </c>
      <c r="AK7" s="206">
        <f t="shared" si="14"/>
        <v>1720</v>
      </c>
      <c r="AL7" s="206">
        <f t="shared" ref="AL7:AL29" si="36">SUM(AJ7)</f>
        <v>172</v>
      </c>
      <c r="AM7" s="206">
        <f t="shared" si="15"/>
        <v>1720</v>
      </c>
      <c r="AN7" s="35">
        <f t="shared" si="16"/>
        <v>0.61428571428571432</v>
      </c>
      <c r="AO7" s="36">
        <f t="shared" si="17"/>
        <v>12040</v>
      </c>
      <c r="AQ7" s="226">
        <f t="shared" ref="AQ7:AQ33" si="37">SUM(AR7/92970)</f>
        <v>0.54955119063728497</v>
      </c>
      <c r="AR7" s="38">
        <f>SUM(AO7+Y7)</f>
        <v>51091.774193548386</v>
      </c>
      <c r="AS7" s="200">
        <f t="shared" ref="AS7:AS35" si="38">SUM(AR7-AR6-AT7)</f>
        <v>-5520.1935483871057</v>
      </c>
      <c r="AT7" s="277"/>
      <c r="AU7" s="506"/>
      <c r="AV7" s="533">
        <f>IF(AT7&gt;0,AU7,AV6)</f>
        <v>0.46239999999999998</v>
      </c>
      <c r="AW7" s="298">
        <f>-SUM('B5'!AI6)</f>
        <v>-735</v>
      </c>
      <c r="AX7" s="298">
        <f t="shared" ref="AX7:AX35" si="39">-SUM(AW7-AS7)</f>
        <v>-4785.1935483871057</v>
      </c>
      <c r="AY7" s="37">
        <f t="shared" ref="AY7:AY35" si="40">SUM(AX7+AW7)</f>
        <v>-5520.1935483871057</v>
      </c>
      <c r="AZ7" s="100">
        <f>ELEC!A4</f>
        <v>3.9E-2</v>
      </c>
      <c r="BA7" s="118">
        <f>'General information '!D7</f>
        <v>26</v>
      </c>
      <c r="BB7" s="404">
        <f>SUM('General information '!E7)</f>
        <v>0.62</v>
      </c>
      <c r="BC7" s="3">
        <v>0</v>
      </c>
      <c r="BD7" s="102">
        <v>19222</v>
      </c>
      <c r="BE7" s="14">
        <f>(305/1185)*ELEC!Q5</f>
        <v>3603.3755274261607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44015</v>
      </c>
      <c r="B8">
        <f>'B5'!B7</f>
        <v>149</v>
      </c>
      <c r="C8" s="206">
        <f t="shared" si="18"/>
        <v>3205.9032258064517</v>
      </c>
      <c r="D8">
        <f t="shared" si="19"/>
        <v>149</v>
      </c>
      <c r="E8" s="206">
        <f t="shared" si="18"/>
        <v>3205.9032258064517</v>
      </c>
      <c r="F8">
        <f t="shared" si="20"/>
        <v>149</v>
      </c>
      <c r="G8" s="206">
        <f t="shared" si="1"/>
        <v>3205.9032258064517</v>
      </c>
      <c r="H8" s="206">
        <f t="shared" si="21"/>
        <v>149</v>
      </c>
      <c r="I8" s="206">
        <f t="shared" si="2"/>
        <v>3205.9032258064517</v>
      </c>
      <c r="J8" s="206">
        <f t="shared" si="22"/>
        <v>149</v>
      </c>
      <c r="K8" s="206">
        <f t="shared" si="3"/>
        <v>3205.9032258064517</v>
      </c>
      <c r="L8" s="206">
        <f t="shared" si="23"/>
        <v>149</v>
      </c>
      <c r="M8" s="206">
        <f t="shared" si="4"/>
        <v>3205.9032258064517</v>
      </c>
      <c r="N8" s="206">
        <f t="shared" si="24"/>
        <v>149</v>
      </c>
      <c r="O8" s="206">
        <f t="shared" si="5"/>
        <v>3205.9032258064517</v>
      </c>
      <c r="P8" s="206">
        <f t="shared" si="25"/>
        <v>149</v>
      </c>
      <c r="Q8" s="206">
        <f t="shared" si="6"/>
        <v>3205.9032258064517</v>
      </c>
      <c r="R8" s="206">
        <f t="shared" si="26"/>
        <v>149</v>
      </c>
      <c r="S8" s="206">
        <f t="shared" si="7"/>
        <v>3205.9032258064517</v>
      </c>
      <c r="T8" s="206">
        <f t="shared" si="27"/>
        <v>149</v>
      </c>
      <c r="U8" s="206">
        <f t="shared" si="8"/>
        <v>3205.9032258064517</v>
      </c>
      <c r="V8" s="206">
        <f t="shared" si="28"/>
        <v>149</v>
      </c>
      <c r="W8" s="206">
        <f t="shared" si="9"/>
        <v>3205.9032258064517</v>
      </c>
      <c r="X8" s="35">
        <f t="shared" si="10"/>
        <v>0.48064516129032253</v>
      </c>
      <c r="Y8" s="36">
        <f t="shared" si="29"/>
        <v>35264.935483870962</v>
      </c>
      <c r="Z8" s="206">
        <f>'B5'!C7</f>
        <v>158</v>
      </c>
      <c r="AA8" s="206">
        <f t="shared" si="30"/>
        <v>1580</v>
      </c>
      <c r="AB8" s="206">
        <f t="shared" si="31"/>
        <v>158</v>
      </c>
      <c r="AC8" s="206">
        <f t="shared" si="30"/>
        <v>1580</v>
      </c>
      <c r="AD8" s="206">
        <f t="shared" si="32"/>
        <v>158</v>
      </c>
      <c r="AE8" s="206">
        <f t="shared" si="11"/>
        <v>1580</v>
      </c>
      <c r="AF8" s="206">
        <f t="shared" si="33"/>
        <v>158</v>
      </c>
      <c r="AG8" s="206">
        <f t="shared" si="12"/>
        <v>1580</v>
      </c>
      <c r="AH8" s="206">
        <f t="shared" si="34"/>
        <v>158</v>
      </c>
      <c r="AI8" s="206">
        <f t="shared" si="13"/>
        <v>1580</v>
      </c>
      <c r="AJ8" s="206">
        <f t="shared" si="35"/>
        <v>158</v>
      </c>
      <c r="AK8" s="206">
        <f t="shared" si="14"/>
        <v>1580</v>
      </c>
      <c r="AL8" s="206">
        <f t="shared" si="36"/>
        <v>158</v>
      </c>
      <c r="AM8" s="206">
        <f t="shared" si="15"/>
        <v>1580</v>
      </c>
      <c r="AN8" s="35">
        <f t="shared" si="16"/>
        <v>0.56428571428571428</v>
      </c>
      <c r="AO8" s="36">
        <f t="shared" si="17"/>
        <v>11060</v>
      </c>
      <c r="AQ8" s="226">
        <f t="shared" si="37"/>
        <v>0.49827832079026529</v>
      </c>
      <c r="AR8" s="38">
        <f t="shared" ref="AR8:AR35" si="41">SUM(AO8+Y8)</f>
        <v>46324.935483870962</v>
      </c>
      <c r="AS8" s="200">
        <f t="shared" si="38"/>
        <v>-4766.838709677424</v>
      </c>
      <c r="AT8" s="365"/>
      <c r="AU8" s="449"/>
      <c r="AV8" s="533">
        <f t="shared" ref="AV8:AV34" si="42">IF(AT8&gt;0,AU8,AV7)</f>
        <v>0.46239999999999998</v>
      </c>
      <c r="AW8" s="298">
        <f>-SUM('B5'!AI7)</f>
        <v>-388</v>
      </c>
      <c r="AX8" s="298">
        <f t="shared" si="39"/>
        <v>-4378.838709677424</v>
      </c>
      <c r="AY8" s="37">
        <f t="shared" si="40"/>
        <v>-4766.838709677424</v>
      </c>
      <c r="AZ8" s="100">
        <f>ELEC!A5</f>
        <v>8.6999999999999994E-2</v>
      </c>
      <c r="BA8" s="118">
        <f>'General information '!D8</f>
        <v>26.5</v>
      </c>
      <c r="BB8" s="40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4118.1434599156119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44016</v>
      </c>
      <c r="B9">
        <f>'B5'!B8</f>
        <v>131</v>
      </c>
      <c r="C9" s="206">
        <f t="shared" si="18"/>
        <v>2818.6129032258063</v>
      </c>
      <c r="D9">
        <f t="shared" si="19"/>
        <v>131</v>
      </c>
      <c r="E9" s="206">
        <f t="shared" si="18"/>
        <v>2818.6129032258063</v>
      </c>
      <c r="F9">
        <f t="shared" si="20"/>
        <v>131</v>
      </c>
      <c r="G9" s="206">
        <f t="shared" si="1"/>
        <v>2818.6129032258063</v>
      </c>
      <c r="H9" s="206">
        <f t="shared" si="21"/>
        <v>131</v>
      </c>
      <c r="I9" s="206">
        <f t="shared" si="2"/>
        <v>2818.6129032258063</v>
      </c>
      <c r="J9" s="206">
        <f t="shared" si="22"/>
        <v>131</v>
      </c>
      <c r="K9" s="206">
        <f t="shared" si="3"/>
        <v>2818.6129032258063</v>
      </c>
      <c r="L9" s="206">
        <f t="shared" si="23"/>
        <v>131</v>
      </c>
      <c r="M9" s="206">
        <f t="shared" si="4"/>
        <v>2818.6129032258063</v>
      </c>
      <c r="N9" s="206">
        <f t="shared" si="24"/>
        <v>131</v>
      </c>
      <c r="O9" s="206">
        <f t="shared" si="5"/>
        <v>2818.6129032258063</v>
      </c>
      <c r="P9" s="206">
        <f t="shared" si="25"/>
        <v>131</v>
      </c>
      <c r="Q9" s="206">
        <f t="shared" si="6"/>
        <v>2818.6129032258063</v>
      </c>
      <c r="R9" s="206">
        <f t="shared" si="26"/>
        <v>131</v>
      </c>
      <c r="S9" s="206">
        <f t="shared" si="7"/>
        <v>2818.6129032258063</v>
      </c>
      <c r="T9" s="206">
        <f t="shared" si="27"/>
        <v>131</v>
      </c>
      <c r="U9" s="206">
        <f t="shared" si="8"/>
        <v>2818.6129032258063</v>
      </c>
      <c r="V9" s="206">
        <f t="shared" si="28"/>
        <v>131</v>
      </c>
      <c r="W9" s="206">
        <f t="shared" si="9"/>
        <v>2818.6129032258063</v>
      </c>
      <c r="X9" s="35">
        <f t="shared" si="10"/>
        <v>0.42258064516129035</v>
      </c>
      <c r="Y9" s="36">
        <f t="shared" si="29"/>
        <v>31004.741935483871</v>
      </c>
      <c r="Z9" s="206">
        <f>'B5'!C8</f>
        <v>141.5</v>
      </c>
      <c r="AA9" s="206">
        <f t="shared" si="30"/>
        <v>1415</v>
      </c>
      <c r="AB9" s="206">
        <f t="shared" si="31"/>
        <v>141.5</v>
      </c>
      <c r="AC9" s="206">
        <f t="shared" si="30"/>
        <v>1415</v>
      </c>
      <c r="AD9" s="206">
        <f t="shared" si="32"/>
        <v>141.5</v>
      </c>
      <c r="AE9" s="206">
        <f t="shared" si="11"/>
        <v>1415</v>
      </c>
      <c r="AF9" s="206">
        <f t="shared" si="33"/>
        <v>141.5</v>
      </c>
      <c r="AG9" s="206">
        <f t="shared" si="12"/>
        <v>1415</v>
      </c>
      <c r="AH9" s="206">
        <f t="shared" si="34"/>
        <v>141.5</v>
      </c>
      <c r="AI9" s="206">
        <f t="shared" si="13"/>
        <v>1415</v>
      </c>
      <c r="AJ9" s="206">
        <f t="shared" si="35"/>
        <v>141.5</v>
      </c>
      <c r="AK9" s="206">
        <f t="shared" si="14"/>
        <v>1415</v>
      </c>
      <c r="AL9" s="206">
        <f t="shared" si="36"/>
        <v>141.5</v>
      </c>
      <c r="AM9" s="206">
        <f t="shared" si="15"/>
        <v>1415</v>
      </c>
      <c r="AN9" s="35">
        <f t="shared" si="16"/>
        <v>0.50535714285714284</v>
      </c>
      <c r="AO9" s="36">
        <f>SUM(AA9+AC9+AE9+AG9+AI9+AK9+AM9)</f>
        <v>9905</v>
      </c>
      <c r="AQ9" s="226">
        <f t="shared" si="37"/>
        <v>0.4400316439225973</v>
      </c>
      <c r="AR9" s="38">
        <f t="shared" si="41"/>
        <v>40909.741935483871</v>
      </c>
      <c r="AS9" s="200">
        <f t="shared" si="38"/>
        <v>-5415.1935483870911</v>
      </c>
      <c r="AT9" s="365"/>
      <c r="AU9" s="449"/>
      <c r="AV9" s="533">
        <f t="shared" si="42"/>
        <v>0.46239999999999998</v>
      </c>
      <c r="AW9" s="298">
        <f>-SUM('B5'!AI8)</f>
        <v>-534</v>
      </c>
      <c r="AX9" s="298">
        <f>-SUM(AW9-AS9)</f>
        <v>-4881.1935483870911</v>
      </c>
      <c r="AY9" s="37">
        <f t="shared" si="40"/>
        <v>-5415.1935483870911</v>
      </c>
      <c r="AZ9" s="100">
        <f>ELEC!A6</f>
        <v>8.6999999999999994E-2</v>
      </c>
      <c r="BA9" s="118">
        <f>'General information '!D9</f>
        <v>26</v>
      </c>
      <c r="BB9" s="404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3860.7594936708865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44017</v>
      </c>
      <c r="B10">
        <f>'B5'!B9</f>
        <v>113</v>
      </c>
      <c r="C10" s="206">
        <f t="shared" si="18"/>
        <v>2431.3225806451615</v>
      </c>
      <c r="D10">
        <f t="shared" si="19"/>
        <v>113</v>
      </c>
      <c r="E10" s="206">
        <f t="shared" si="18"/>
        <v>2431.3225806451615</v>
      </c>
      <c r="F10">
        <f t="shared" si="20"/>
        <v>113</v>
      </c>
      <c r="G10" s="206">
        <f t="shared" si="1"/>
        <v>2431.3225806451615</v>
      </c>
      <c r="H10" s="206">
        <f t="shared" si="21"/>
        <v>113</v>
      </c>
      <c r="I10" s="206">
        <f t="shared" si="2"/>
        <v>2431.3225806451615</v>
      </c>
      <c r="J10" s="206">
        <f t="shared" si="22"/>
        <v>113</v>
      </c>
      <c r="K10" s="206">
        <f t="shared" si="3"/>
        <v>2431.3225806451615</v>
      </c>
      <c r="L10" s="206">
        <f t="shared" si="23"/>
        <v>113</v>
      </c>
      <c r="M10" s="206">
        <f t="shared" si="4"/>
        <v>2431.3225806451615</v>
      </c>
      <c r="N10" s="206">
        <f t="shared" si="24"/>
        <v>113</v>
      </c>
      <c r="O10" s="206">
        <f t="shared" si="5"/>
        <v>2431.3225806451615</v>
      </c>
      <c r="P10" s="206">
        <f t="shared" si="25"/>
        <v>113</v>
      </c>
      <c r="Q10" s="206">
        <f t="shared" si="6"/>
        <v>2431.3225806451615</v>
      </c>
      <c r="R10" s="206">
        <f t="shared" si="26"/>
        <v>113</v>
      </c>
      <c r="S10" s="206">
        <f t="shared" si="7"/>
        <v>2431.3225806451615</v>
      </c>
      <c r="T10" s="206">
        <f t="shared" si="27"/>
        <v>113</v>
      </c>
      <c r="U10" s="206">
        <f t="shared" si="8"/>
        <v>2431.3225806451615</v>
      </c>
      <c r="V10" s="206">
        <f t="shared" si="28"/>
        <v>113</v>
      </c>
      <c r="W10" s="206">
        <f t="shared" si="9"/>
        <v>2431.3225806451615</v>
      </c>
      <c r="X10" s="35">
        <f t="shared" si="10"/>
        <v>0.36451612903225816</v>
      </c>
      <c r="Y10" s="36">
        <f t="shared" si="29"/>
        <v>26744.54838709678</v>
      </c>
      <c r="Z10" s="206">
        <f>'B5'!C9</f>
        <v>125</v>
      </c>
      <c r="AA10" s="206">
        <f t="shared" si="30"/>
        <v>1250</v>
      </c>
      <c r="AB10" s="206">
        <f t="shared" si="31"/>
        <v>125</v>
      </c>
      <c r="AC10" s="206">
        <f t="shared" si="30"/>
        <v>1250</v>
      </c>
      <c r="AD10" s="206">
        <f t="shared" si="32"/>
        <v>125</v>
      </c>
      <c r="AE10" s="206">
        <f t="shared" si="11"/>
        <v>1250</v>
      </c>
      <c r="AF10" s="206">
        <f t="shared" si="33"/>
        <v>125</v>
      </c>
      <c r="AG10" s="206">
        <f t="shared" si="12"/>
        <v>1250</v>
      </c>
      <c r="AH10" s="206">
        <f t="shared" si="34"/>
        <v>125</v>
      </c>
      <c r="AI10" s="206">
        <f t="shared" si="13"/>
        <v>1250</v>
      </c>
      <c r="AJ10" s="206">
        <f t="shared" si="35"/>
        <v>125</v>
      </c>
      <c r="AK10" s="206">
        <f t="shared" si="14"/>
        <v>1250</v>
      </c>
      <c r="AL10" s="206">
        <f t="shared" si="36"/>
        <v>125</v>
      </c>
      <c r="AM10" s="206">
        <f t="shared" si="15"/>
        <v>1250</v>
      </c>
      <c r="AN10" s="35">
        <f t="shared" si="16"/>
        <v>0.44642857142857145</v>
      </c>
      <c r="AO10" s="36">
        <f t="shared" si="17"/>
        <v>8750</v>
      </c>
      <c r="AQ10" s="226">
        <f t="shared" si="37"/>
        <v>0.38178496705492931</v>
      </c>
      <c r="AR10" s="38">
        <f t="shared" si="41"/>
        <v>35494.54838709678</v>
      </c>
      <c r="AS10" s="200">
        <f>SUM(AR10-AR9-AT10)</f>
        <v>-5415.1935483870911</v>
      </c>
      <c r="AT10" s="365"/>
      <c r="AU10" s="449"/>
      <c r="AV10" s="533">
        <f>IF(AT10&gt;0,AU10,AV9)</f>
        <v>0.46239999999999998</v>
      </c>
      <c r="AW10" s="298">
        <f>-SUM('B5'!AI9)</f>
        <v>-338</v>
      </c>
      <c r="AX10" s="298">
        <f>-SUM(AW10-AS10)</f>
        <v>-5077.1935483870911</v>
      </c>
      <c r="AY10" s="37">
        <f t="shared" si="40"/>
        <v>-5415.1935483870911</v>
      </c>
      <c r="AZ10" s="100">
        <f>ELEC!A7</f>
        <v>7.8299999999999995E-2</v>
      </c>
      <c r="BA10" s="118">
        <f>'General information '!D10</f>
        <v>28</v>
      </c>
      <c r="BB10" s="404">
        <f>SUM('General information '!E10)</f>
        <v>0.7</v>
      </c>
      <c r="BC10" s="3">
        <f t="shared" si="43"/>
        <v>0</v>
      </c>
      <c r="BD10" s="102">
        <v>19222</v>
      </c>
      <c r="BE10" s="14">
        <f>(305/1185)*ELEC!Q8</f>
        <v>4632.9113924050635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44018</v>
      </c>
      <c r="B11">
        <f>'B5'!B10</f>
        <v>136</v>
      </c>
      <c r="C11" s="206">
        <f t="shared" si="18"/>
        <v>2926.1935483870966</v>
      </c>
      <c r="D11">
        <f>SUM(B11)</f>
        <v>136</v>
      </c>
      <c r="E11" s="206">
        <f t="shared" si="18"/>
        <v>2926.1935483870966</v>
      </c>
      <c r="F11">
        <f>SUM(D11)</f>
        <v>136</v>
      </c>
      <c r="G11" s="206">
        <f t="shared" si="1"/>
        <v>2926.1935483870966</v>
      </c>
      <c r="H11" s="206">
        <f>SUM(F11)</f>
        <v>136</v>
      </c>
      <c r="I11" s="206">
        <f t="shared" si="2"/>
        <v>2926.1935483870966</v>
      </c>
      <c r="J11" s="206">
        <f>SUM(H11)</f>
        <v>136</v>
      </c>
      <c r="K11" s="206">
        <f t="shared" si="3"/>
        <v>2926.1935483870966</v>
      </c>
      <c r="L11" s="206">
        <f>SUM(J11)</f>
        <v>136</v>
      </c>
      <c r="M11" s="206">
        <f t="shared" si="4"/>
        <v>2926.1935483870966</v>
      </c>
      <c r="N11" s="206">
        <f>SUM(L11)</f>
        <v>136</v>
      </c>
      <c r="O11" s="206">
        <f t="shared" si="5"/>
        <v>2926.1935483870966</v>
      </c>
      <c r="P11" s="206">
        <f>SUM(N11)</f>
        <v>136</v>
      </c>
      <c r="Q11" s="206">
        <f t="shared" si="6"/>
        <v>2926.1935483870966</v>
      </c>
      <c r="R11" s="206">
        <f>SUM(P11)</f>
        <v>136</v>
      </c>
      <c r="S11" s="206">
        <f t="shared" si="7"/>
        <v>2926.1935483870966</v>
      </c>
      <c r="T11" s="206">
        <f>SUM(R11)</f>
        <v>136</v>
      </c>
      <c r="U11" s="206">
        <f t="shared" si="8"/>
        <v>2926.1935483870966</v>
      </c>
      <c r="V11" s="206">
        <f>SUM(T11)</f>
        <v>136</v>
      </c>
      <c r="W11" s="206">
        <f t="shared" si="9"/>
        <v>2926.1935483870966</v>
      </c>
      <c r="X11" s="35">
        <f>SUM(Y11/73370)</f>
        <v>0.4387096774193549</v>
      </c>
      <c r="Y11" s="36">
        <f>SUM(C11+E11+G11+I11+K11+M11+O11+Q11+S11+U11+W11)</f>
        <v>32188.129032258068</v>
      </c>
      <c r="Z11" s="206">
        <f>'B5'!C10</f>
        <v>143</v>
      </c>
      <c r="AA11" s="206">
        <f t="shared" si="30"/>
        <v>1430</v>
      </c>
      <c r="AB11" s="206">
        <f>SUM(Z11)</f>
        <v>143</v>
      </c>
      <c r="AC11" s="206">
        <f t="shared" si="30"/>
        <v>1430</v>
      </c>
      <c r="AD11" s="206">
        <f>SUM(AB11)</f>
        <v>143</v>
      </c>
      <c r="AE11" s="206">
        <f t="shared" si="11"/>
        <v>1430</v>
      </c>
      <c r="AF11" s="206">
        <f>SUM(AD11)</f>
        <v>143</v>
      </c>
      <c r="AG11" s="206">
        <f t="shared" si="12"/>
        <v>1430</v>
      </c>
      <c r="AH11" s="206">
        <f>SUM(AF11)</f>
        <v>143</v>
      </c>
      <c r="AI11" s="206">
        <f t="shared" si="13"/>
        <v>1430</v>
      </c>
      <c r="AJ11" s="206">
        <f>SUM(AH11)</f>
        <v>143</v>
      </c>
      <c r="AK11" s="206">
        <f t="shared" si="14"/>
        <v>1430</v>
      </c>
      <c r="AL11" s="206">
        <f>SUM(AJ11)</f>
        <v>143</v>
      </c>
      <c r="AM11" s="206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609"/>
      <c r="AQ11" s="226">
        <f t="shared" si="37"/>
        <v>0.45388973897233592</v>
      </c>
      <c r="AR11" s="38">
        <f t="shared" si="41"/>
        <v>42198.129032258068</v>
      </c>
      <c r="AS11" s="200">
        <f>SUM(AR11-AR10-AT11)</f>
        <v>-4633.419354838712</v>
      </c>
      <c r="AT11" s="365">
        <v>11337</v>
      </c>
      <c r="AU11" s="449">
        <v>0.46239999999999998</v>
      </c>
      <c r="AV11" s="533">
        <f>IF(AT11&gt;0,AU11,AV10)</f>
        <v>0.46239999999999998</v>
      </c>
      <c r="AW11" s="298">
        <f>-SUM('B5'!AI10)</f>
        <v>-430</v>
      </c>
      <c r="AX11" s="298">
        <f>-SUM(AW11-AS11)</f>
        <v>-4203.419354838712</v>
      </c>
      <c r="AY11" s="37">
        <f t="shared" si="40"/>
        <v>-4633.419354838712</v>
      </c>
      <c r="AZ11" s="100">
        <f>ELEC!A8</f>
        <v>8.2600000000000007E-2</v>
      </c>
      <c r="BA11" s="118">
        <f>'General information '!D11</f>
        <v>27</v>
      </c>
      <c r="BB11" s="404">
        <f>SUM('General information '!E11)</f>
        <v>0.69</v>
      </c>
      <c r="BC11" s="3">
        <f t="shared" si="43"/>
        <v>1</v>
      </c>
      <c r="BD11" s="102">
        <v>19222</v>
      </c>
      <c r="BE11" s="14">
        <f>(305/1185)*ELEC!Q9</f>
        <v>3860.7594936708865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44019</v>
      </c>
      <c r="B12">
        <f>'B5'!B11</f>
        <v>118</v>
      </c>
      <c r="C12" s="206">
        <f t="shared" si="18"/>
        <v>2538.9032258064517</v>
      </c>
      <c r="D12">
        <f t="shared" si="19"/>
        <v>118</v>
      </c>
      <c r="E12" s="206">
        <f t="shared" si="18"/>
        <v>2538.9032258064517</v>
      </c>
      <c r="F12">
        <f t="shared" si="20"/>
        <v>118</v>
      </c>
      <c r="G12" s="206">
        <f t="shared" si="1"/>
        <v>2538.9032258064517</v>
      </c>
      <c r="H12" s="206">
        <f t="shared" si="21"/>
        <v>118</v>
      </c>
      <c r="I12" s="206">
        <f t="shared" si="2"/>
        <v>2538.9032258064517</v>
      </c>
      <c r="J12" s="206">
        <f t="shared" si="22"/>
        <v>118</v>
      </c>
      <c r="K12" s="206">
        <f t="shared" si="3"/>
        <v>2538.9032258064517</v>
      </c>
      <c r="L12" s="206">
        <f t="shared" si="23"/>
        <v>118</v>
      </c>
      <c r="M12" s="206">
        <f t="shared" si="4"/>
        <v>2538.9032258064517</v>
      </c>
      <c r="N12" s="206">
        <f t="shared" si="24"/>
        <v>118</v>
      </c>
      <c r="O12" s="206">
        <f t="shared" si="5"/>
        <v>2538.9032258064517</v>
      </c>
      <c r="P12" s="206">
        <f t="shared" si="25"/>
        <v>118</v>
      </c>
      <c r="Q12" s="206">
        <f t="shared" si="6"/>
        <v>2538.9032258064517</v>
      </c>
      <c r="R12" s="206">
        <f t="shared" si="26"/>
        <v>118</v>
      </c>
      <c r="S12" s="206">
        <f t="shared" si="7"/>
        <v>2538.9032258064517</v>
      </c>
      <c r="T12" s="206">
        <f t="shared" si="27"/>
        <v>118</v>
      </c>
      <c r="U12" s="206">
        <f t="shared" si="8"/>
        <v>2538.9032258064517</v>
      </c>
      <c r="V12" s="206">
        <f t="shared" si="28"/>
        <v>118</v>
      </c>
      <c r="W12" s="206">
        <f t="shared" si="9"/>
        <v>2538.9032258064517</v>
      </c>
      <c r="X12" s="35">
        <f t="shared" si="10"/>
        <v>0.3806451612903225</v>
      </c>
      <c r="Y12" s="36">
        <f t="shared" si="29"/>
        <v>27927.935483870962</v>
      </c>
      <c r="Z12" s="206">
        <f>'B5'!C11</f>
        <v>125.4</v>
      </c>
      <c r="AA12" s="206">
        <f t="shared" si="30"/>
        <v>1254</v>
      </c>
      <c r="AB12" s="206">
        <f t="shared" si="31"/>
        <v>125.4</v>
      </c>
      <c r="AC12" s="206">
        <f t="shared" si="30"/>
        <v>1254</v>
      </c>
      <c r="AD12" s="206">
        <f t="shared" si="32"/>
        <v>125.4</v>
      </c>
      <c r="AE12" s="206">
        <f t="shared" si="11"/>
        <v>1254</v>
      </c>
      <c r="AF12" s="206">
        <f t="shared" si="33"/>
        <v>125.4</v>
      </c>
      <c r="AG12" s="206">
        <f t="shared" si="12"/>
        <v>1254</v>
      </c>
      <c r="AH12" s="206">
        <f t="shared" si="34"/>
        <v>125.4</v>
      </c>
      <c r="AI12" s="206">
        <f t="shared" si="13"/>
        <v>1254</v>
      </c>
      <c r="AJ12" s="206">
        <f t="shared" si="35"/>
        <v>125.4</v>
      </c>
      <c r="AK12" s="206">
        <f t="shared" si="14"/>
        <v>1254</v>
      </c>
      <c r="AL12" s="206">
        <f t="shared" si="36"/>
        <v>125.4</v>
      </c>
      <c r="AM12" s="206">
        <f t="shared" si="15"/>
        <v>1254</v>
      </c>
      <c r="AN12" s="35">
        <f t="shared" si="16"/>
        <v>0.44785714285714284</v>
      </c>
      <c r="AO12" s="36">
        <f t="shared" si="17"/>
        <v>8778</v>
      </c>
      <c r="AP12" s="609"/>
      <c r="AQ12" s="226">
        <f t="shared" si="37"/>
        <v>0.39481483794633715</v>
      </c>
      <c r="AR12" s="38">
        <f t="shared" si="41"/>
        <v>36705.935483870962</v>
      </c>
      <c r="AS12" s="200">
        <f t="shared" si="38"/>
        <v>-5492.1935483871057</v>
      </c>
      <c r="AT12" s="277"/>
      <c r="AU12" s="492"/>
      <c r="AV12" s="533">
        <f t="shared" si="42"/>
        <v>0.46239999999999998</v>
      </c>
      <c r="AW12" s="298">
        <f>-SUM('B5'!AI11)</f>
        <v>-657</v>
      </c>
      <c r="AX12" s="298">
        <f t="shared" si="39"/>
        <v>-4835.1935483871057</v>
      </c>
      <c r="AY12" s="37">
        <f t="shared" si="40"/>
        <v>-5492.1935483871057</v>
      </c>
      <c r="AZ12" s="100">
        <f>ELEC!A9</f>
        <v>7.8299999999999995E-2</v>
      </c>
      <c r="BA12" s="118">
        <f>'General information '!D12</f>
        <v>26</v>
      </c>
      <c r="BB12" s="404">
        <f>SUM('General information '!E12)</f>
        <v>0.68</v>
      </c>
      <c r="BC12" s="3">
        <f t="shared" si="43"/>
        <v>0</v>
      </c>
      <c r="BD12" s="102">
        <v>19222</v>
      </c>
      <c r="BE12" s="14">
        <f>(305/1185)*ELEC!Q10</f>
        <v>3860.7594936708865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44020</v>
      </c>
      <c r="B13">
        <f>'B5'!B12</f>
        <v>138.19999999999999</v>
      </c>
      <c r="C13" s="206">
        <f t="shared" si="18"/>
        <v>2973.529032258064</v>
      </c>
      <c r="D13">
        <f t="shared" si="19"/>
        <v>138.19999999999999</v>
      </c>
      <c r="E13" s="206">
        <f t="shared" si="18"/>
        <v>2973.529032258064</v>
      </c>
      <c r="F13">
        <f t="shared" si="20"/>
        <v>138.19999999999999</v>
      </c>
      <c r="G13" s="206">
        <f t="shared" si="1"/>
        <v>2973.529032258064</v>
      </c>
      <c r="H13" s="206">
        <f t="shared" si="21"/>
        <v>138.19999999999999</v>
      </c>
      <c r="I13" s="206">
        <f t="shared" si="2"/>
        <v>2973.529032258064</v>
      </c>
      <c r="J13" s="206">
        <f t="shared" si="22"/>
        <v>138.19999999999999</v>
      </c>
      <c r="K13" s="206">
        <f t="shared" si="3"/>
        <v>2973.529032258064</v>
      </c>
      <c r="L13" s="206">
        <f t="shared" si="23"/>
        <v>138.19999999999999</v>
      </c>
      <c r="M13" s="206">
        <f t="shared" si="4"/>
        <v>2973.529032258064</v>
      </c>
      <c r="N13" s="206">
        <f t="shared" si="24"/>
        <v>138.19999999999999</v>
      </c>
      <c r="O13" s="206">
        <f t="shared" si="5"/>
        <v>2973.529032258064</v>
      </c>
      <c r="P13" s="206">
        <f t="shared" si="25"/>
        <v>138.19999999999999</v>
      </c>
      <c r="Q13" s="206">
        <f t="shared" si="6"/>
        <v>2973.529032258064</v>
      </c>
      <c r="R13" s="206">
        <f t="shared" si="26"/>
        <v>138.19999999999999</v>
      </c>
      <c r="S13" s="206">
        <f t="shared" si="7"/>
        <v>2973.529032258064</v>
      </c>
      <c r="T13" s="206">
        <f t="shared" si="27"/>
        <v>138.19999999999999</v>
      </c>
      <c r="U13" s="206">
        <f t="shared" si="8"/>
        <v>2973.529032258064</v>
      </c>
      <c r="V13" s="206">
        <f t="shared" si="28"/>
        <v>138.19999999999999</v>
      </c>
      <c r="W13" s="206">
        <f t="shared" si="9"/>
        <v>2973.529032258064</v>
      </c>
      <c r="X13" s="35">
        <f t="shared" si="10"/>
        <v>0.44580645161290305</v>
      </c>
      <c r="Y13" s="36">
        <f t="shared" si="29"/>
        <v>32708.819354838699</v>
      </c>
      <c r="Z13" s="206">
        <f>'B5'!C12</f>
        <v>145.30000000000001</v>
      </c>
      <c r="AA13" s="206">
        <f t="shared" si="30"/>
        <v>1453</v>
      </c>
      <c r="AB13" s="206">
        <f t="shared" si="31"/>
        <v>145.30000000000001</v>
      </c>
      <c r="AC13" s="206">
        <f t="shared" si="30"/>
        <v>1453</v>
      </c>
      <c r="AD13" s="206">
        <f t="shared" si="32"/>
        <v>145.30000000000001</v>
      </c>
      <c r="AE13" s="206">
        <f t="shared" si="11"/>
        <v>1453</v>
      </c>
      <c r="AF13" s="206">
        <f t="shared" si="33"/>
        <v>145.30000000000001</v>
      </c>
      <c r="AG13" s="206">
        <f t="shared" si="12"/>
        <v>1453</v>
      </c>
      <c r="AH13" s="206">
        <f t="shared" si="34"/>
        <v>145.30000000000001</v>
      </c>
      <c r="AI13" s="206">
        <f t="shared" si="13"/>
        <v>1453</v>
      </c>
      <c r="AJ13" s="206">
        <f t="shared" si="35"/>
        <v>145.30000000000001</v>
      </c>
      <c r="AK13" s="206">
        <f t="shared" si="14"/>
        <v>1453</v>
      </c>
      <c r="AL13" s="206">
        <f t="shared" si="36"/>
        <v>145.30000000000001</v>
      </c>
      <c r="AM13" s="206">
        <f t="shared" si="15"/>
        <v>1453</v>
      </c>
      <c r="AN13" s="35">
        <f t="shared" si="16"/>
        <v>0.51892857142857141</v>
      </c>
      <c r="AO13" s="36">
        <f t="shared" si="17"/>
        <v>10171</v>
      </c>
      <c r="AP13" s="609"/>
      <c r="AQ13" s="226">
        <f t="shared" si="37"/>
        <v>0.46122210772118638</v>
      </c>
      <c r="AR13" s="38">
        <f t="shared" si="41"/>
        <v>42879.819354838699</v>
      </c>
      <c r="AS13" s="200">
        <f t="shared" si="38"/>
        <v>-5102.1161290322634</v>
      </c>
      <c r="AT13" s="277">
        <v>11276</v>
      </c>
      <c r="AU13" s="449">
        <v>0.52839999999999998</v>
      </c>
      <c r="AV13" s="533">
        <f t="shared" si="42"/>
        <v>0.52839999999999998</v>
      </c>
      <c r="AW13" s="298">
        <f>-SUM('B5'!AI12)</f>
        <v>-512</v>
      </c>
      <c r="AX13" s="298">
        <f t="shared" si="39"/>
        <v>-4590.1161290322634</v>
      </c>
      <c r="AY13" s="37">
        <f t="shared" si="40"/>
        <v>-5102.1161290322634</v>
      </c>
      <c r="AZ13" s="100">
        <f>ELEC!A10</f>
        <v>8.6999999999999994E-2</v>
      </c>
      <c r="BA13" s="118">
        <f>'General information '!D13</f>
        <v>26</v>
      </c>
      <c r="BB13" s="404">
        <f>SUM('General information '!E13)</f>
        <v>0.7</v>
      </c>
      <c r="BC13" s="3">
        <f t="shared" si="43"/>
        <v>1</v>
      </c>
      <c r="BD13" s="102">
        <v>19222</v>
      </c>
      <c r="BE13" s="14">
        <f>(305/1185)*ELEC!Q11</f>
        <v>5147.679324894515</v>
      </c>
      <c r="BF13" s="14"/>
      <c r="BG13" s="14" t="e">
        <f>#REF!-BE13</f>
        <v>#REF!</v>
      </c>
      <c r="BH13" s="11"/>
    </row>
    <row r="14" spans="1:61">
      <c r="A14" s="457">
        <f>ELEC!C11</f>
        <v>44021</v>
      </c>
      <c r="B14">
        <f>'B5'!B13</f>
        <v>120.3</v>
      </c>
      <c r="C14" s="206">
        <f t="shared" si="18"/>
        <v>2588.3903225806453</v>
      </c>
      <c r="D14">
        <f t="shared" si="19"/>
        <v>120.3</v>
      </c>
      <c r="E14" s="206">
        <f t="shared" si="18"/>
        <v>2588.3903225806453</v>
      </c>
      <c r="F14">
        <f t="shared" si="20"/>
        <v>120.3</v>
      </c>
      <c r="G14" s="206">
        <f t="shared" si="1"/>
        <v>2588.3903225806453</v>
      </c>
      <c r="H14" s="206">
        <f t="shared" si="21"/>
        <v>120.3</v>
      </c>
      <c r="I14" s="206">
        <f t="shared" si="2"/>
        <v>2588.3903225806453</v>
      </c>
      <c r="J14" s="206">
        <f t="shared" si="22"/>
        <v>120.3</v>
      </c>
      <c r="K14" s="206">
        <f t="shared" si="3"/>
        <v>2588.3903225806453</v>
      </c>
      <c r="L14" s="206">
        <f t="shared" si="23"/>
        <v>120.3</v>
      </c>
      <c r="M14" s="206">
        <f t="shared" si="4"/>
        <v>2588.3903225806453</v>
      </c>
      <c r="N14" s="206">
        <f t="shared" si="24"/>
        <v>120.3</v>
      </c>
      <c r="O14" s="206">
        <f t="shared" si="5"/>
        <v>2588.3903225806453</v>
      </c>
      <c r="P14" s="206">
        <f t="shared" si="25"/>
        <v>120.3</v>
      </c>
      <c r="Q14" s="206">
        <f t="shared" si="6"/>
        <v>2588.3903225806453</v>
      </c>
      <c r="R14" s="206">
        <f t="shared" si="26"/>
        <v>120.3</v>
      </c>
      <c r="S14" s="206">
        <f t="shared" si="7"/>
        <v>2588.3903225806453</v>
      </c>
      <c r="T14" s="206">
        <f t="shared" si="27"/>
        <v>120.3</v>
      </c>
      <c r="U14" s="206">
        <f t="shared" si="8"/>
        <v>2588.3903225806453</v>
      </c>
      <c r="V14" s="206">
        <f t="shared" si="28"/>
        <v>120.3</v>
      </c>
      <c r="W14" s="206">
        <f t="shared" si="9"/>
        <v>2588.3903225806453</v>
      </c>
      <c r="X14" s="35">
        <f t="shared" si="10"/>
        <v>0.38806451612903237</v>
      </c>
      <c r="Y14" s="36">
        <f t="shared" si="29"/>
        <v>28472.293548387104</v>
      </c>
      <c r="Z14" s="206">
        <f>'B5'!C13</f>
        <v>127.2</v>
      </c>
      <c r="AA14" s="206">
        <f t="shared" si="30"/>
        <v>1272</v>
      </c>
      <c r="AB14" s="206">
        <f t="shared" si="31"/>
        <v>127.2</v>
      </c>
      <c r="AC14" s="206">
        <f t="shared" si="30"/>
        <v>1272</v>
      </c>
      <c r="AD14" s="206">
        <f t="shared" si="32"/>
        <v>127.2</v>
      </c>
      <c r="AE14" s="206">
        <f t="shared" si="11"/>
        <v>1272</v>
      </c>
      <c r="AF14" s="206">
        <f t="shared" si="33"/>
        <v>127.2</v>
      </c>
      <c r="AG14" s="206">
        <f t="shared" si="12"/>
        <v>1272</v>
      </c>
      <c r="AH14" s="206">
        <f t="shared" si="34"/>
        <v>127.2</v>
      </c>
      <c r="AI14" s="206">
        <f t="shared" si="13"/>
        <v>1272</v>
      </c>
      <c r="AJ14" s="206">
        <f t="shared" si="35"/>
        <v>127.2</v>
      </c>
      <c r="AK14" s="206">
        <f t="shared" si="14"/>
        <v>1272</v>
      </c>
      <c r="AL14" s="206">
        <f t="shared" si="36"/>
        <v>127.2</v>
      </c>
      <c r="AM14" s="206">
        <f t="shared" si="15"/>
        <v>1272</v>
      </c>
      <c r="AN14" s="35">
        <f t="shared" si="16"/>
        <v>0.45428571428571429</v>
      </c>
      <c r="AO14" s="36">
        <f t="shared" si="17"/>
        <v>8904</v>
      </c>
      <c r="AQ14" s="226">
        <f t="shared" si="37"/>
        <v>0.40202531513807793</v>
      </c>
      <c r="AR14" s="38">
        <f t="shared" si="41"/>
        <v>37376.293548387104</v>
      </c>
      <c r="AS14" s="200">
        <f t="shared" si="38"/>
        <v>-5503.5258064515947</v>
      </c>
      <c r="AT14" s="277"/>
      <c r="AU14" s="492"/>
      <c r="AV14" s="533">
        <f t="shared" si="42"/>
        <v>0.52839999999999998</v>
      </c>
      <c r="AW14" s="298">
        <f>-SUM('B5'!AI13)</f>
        <v>-255.9999999999709</v>
      </c>
      <c r="AX14" s="298">
        <f t="shared" si="39"/>
        <v>-5247.5258064516238</v>
      </c>
      <c r="AY14" s="37">
        <f t="shared" si="40"/>
        <v>-5503.5258064515947</v>
      </c>
      <c r="AZ14" s="100">
        <f>ELEC!A11</f>
        <v>0.1087</v>
      </c>
      <c r="BA14" s="118">
        <f>'General information '!D14</f>
        <v>26</v>
      </c>
      <c r="BB14" s="404">
        <f>SUM('General information '!E14)</f>
        <v>0.65</v>
      </c>
      <c r="BC14" s="3">
        <f t="shared" si="43"/>
        <v>0</v>
      </c>
      <c r="BD14" s="102">
        <v>19222</v>
      </c>
      <c r="BE14" s="14">
        <f>(305/1185)*ELEC!Q12</f>
        <v>4375.5274261603381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44022</v>
      </c>
      <c r="B15">
        <f>'B5'!B14</f>
        <v>178.2</v>
      </c>
      <c r="C15" s="206">
        <f t="shared" si="18"/>
        <v>3834.1741935483869</v>
      </c>
      <c r="D15">
        <f t="shared" si="19"/>
        <v>178.2</v>
      </c>
      <c r="E15" s="206">
        <f t="shared" si="18"/>
        <v>3834.1741935483869</v>
      </c>
      <c r="F15">
        <f t="shared" si="20"/>
        <v>178.2</v>
      </c>
      <c r="G15" s="206">
        <f t="shared" si="1"/>
        <v>3834.1741935483869</v>
      </c>
      <c r="H15" s="206">
        <f t="shared" si="21"/>
        <v>178.2</v>
      </c>
      <c r="I15" s="206">
        <f t="shared" si="2"/>
        <v>3834.1741935483869</v>
      </c>
      <c r="J15" s="206">
        <f t="shared" si="22"/>
        <v>178.2</v>
      </c>
      <c r="K15" s="206">
        <f t="shared" si="3"/>
        <v>3834.1741935483869</v>
      </c>
      <c r="L15" s="206">
        <f t="shared" si="23"/>
        <v>178.2</v>
      </c>
      <c r="M15" s="206">
        <f t="shared" si="4"/>
        <v>3834.1741935483869</v>
      </c>
      <c r="N15" s="206">
        <f t="shared" si="24"/>
        <v>178.2</v>
      </c>
      <c r="O15" s="206">
        <f t="shared" si="5"/>
        <v>3834.1741935483869</v>
      </c>
      <c r="P15" s="206">
        <f t="shared" si="25"/>
        <v>178.2</v>
      </c>
      <c r="Q15" s="206">
        <f t="shared" si="6"/>
        <v>3834.1741935483869</v>
      </c>
      <c r="R15" s="206">
        <f t="shared" si="26"/>
        <v>178.2</v>
      </c>
      <c r="S15" s="206">
        <f t="shared" si="7"/>
        <v>3834.1741935483869</v>
      </c>
      <c r="T15" s="206">
        <f t="shared" si="27"/>
        <v>178.2</v>
      </c>
      <c r="U15" s="206">
        <f t="shared" si="8"/>
        <v>3834.1741935483869</v>
      </c>
      <c r="V15" s="206">
        <f t="shared" si="28"/>
        <v>178.2</v>
      </c>
      <c r="W15" s="206">
        <f t="shared" si="9"/>
        <v>3834.1741935483869</v>
      </c>
      <c r="X15" s="35">
        <f t="shared" si="10"/>
        <v>0.57483870967741935</v>
      </c>
      <c r="Y15" s="36">
        <f t="shared" si="29"/>
        <v>42175.916129032259</v>
      </c>
      <c r="Z15" s="206">
        <f>'B5'!C14</f>
        <v>185</v>
      </c>
      <c r="AA15" s="206">
        <f t="shared" si="30"/>
        <v>1850</v>
      </c>
      <c r="AB15" s="206">
        <f t="shared" si="31"/>
        <v>185</v>
      </c>
      <c r="AC15" s="206">
        <f t="shared" si="30"/>
        <v>1850</v>
      </c>
      <c r="AD15" s="206">
        <f t="shared" si="32"/>
        <v>185</v>
      </c>
      <c r="AE15" s="206">
        <f t="shared" si="11"/>
        <v>1850</v>
      </c>
      <c r="AF15" s="206">
        <f t="shared" si="33"/>
        <v>185</v>
      </c>
      <c r="AG15" s="206">
        <f t="shared" si="12"/>
        <v>1850</v>
      </c>
      <c r="AH15" s="206">
        <f t="shared" si="34"/>
        <v>185</v>
      </c>
      <c r="AI15" s="206">
        <f t="shared" si="13"/>
        <v>1850</v>
      </c>
      <c r="AJ15" s="206">
        <f t="shared" si="35"/>
        <v>185</v>
      </c>
      <c r="AK15" s="206">
        <f t="shared" si="14"/>
        <v>1850</v>
      </c>
      <c r="AL15" s="206">
        <f t="shared" si="36"/>
        <v>185</v>
      </c>
      <c r="AM15" s="206">
        <f t="shared" si="15"/>
        <v>1850</v>
      </c>
      <c r="AN15" s="35">
        <f t="shared" si="16"/>
        <v>0.6607142857142857</v>
      </c>
      <c r="AO15" s="36">
        <f t="shared" si="17"/>
        <v>12950</v>
      </c>
      <c r="AQ15" s="226">
        <f t="shared" si="37"/>
        <v>0.59294305828796667</v>
      </c>
      <c r="AR15" s="38">
        <f t="shared" si="41"/>
        <v>55125.916129032259</v>
      </c>
      <c r="AS15" s="200">
        <f>SUM(AR15-AR14-AT15)</f>
        <v>-2293.3774193548452</v>
      </c>
      <c r="AT15" s="277">
        <v>20043</v>
      </c>
      <c r="AU15" s="449">
        <v>0.52839999999999998</v>
      </c>
      <c r="AV15" s="533">
        <f>IF(AT15&gt;0,AU15,AV14)</f>
        <v>0.52839999999999998</v>
      </c>
      <c r="AW15" s="298">
        <f>-SUM('B5'!AI14)</f>
        <v>-342.80000000004657</v>
      </c>
      <c r="AX15" s="298">
        <f>-SUM(AW15-AS15)</f>
        <v>-1950.5774193547986</v>
      </c>
      <c r="AY15" s="37">
        <f t="shared" si="40"/>
        <v>-2293.3774193548452</v>
      </c>
      <c r="AZ15" s="100">
        <f>ELEC!A12</f>
        <v>0.113</v>
      </c>
      <c r="BA15" s="118">
        <f>'General information '!D15</f>
        <v>26</v>
      </c>
      <c r="BB15" s="404">
        <f>SUM('General information '!E15)</f>
        <v>0.7</v>
      </c>
      <c r="BC15" s="3">
        <f t="shared" si="43"/>
        <v>1</v>
      </c>
      <c r="BD15" s="102">
        <v>19222</v>
      </c>
      <c r="BE15" s="14">
        <f>(305/1185)*ELEC!Q13</f>
        <v>4632.9113924050635</v>
      </c>
      <c r="BF15" s="14"/>
      <c r="BG15" s="14" t="e">
        <f>#REF!-BE15</f>
        <v>#REF!</v>
      </c>
      <c r="BH15" s="11"/>
    </row>
    <row r="16" spans="1:61">
      <c r="A16" s="457">
        <f>ELEC!C13</f>
        <v>44023</v>
      </c>
      <c r="B16">
        <f>'B5'!B15</f>
        <v>159</v>
      </c>
      <c r="C16" s="206">
        <f t="shared" si="18"/>
        <v>3421.0645161290322</v>
      </c>
      <c r="D16">
        <f t="shared" si="19"/>
        <v>159</v>
      </c>
      <c r="E16" s="206">
        <f t="shared" si="18"/>
        <v>3421.0645161290322</v>
      </c>
      <c r="F16">
        <f t="shared" si="20"/>
        <v>159</v>
      </c>
      <c r="G16" s="206">
        <f t="shared" si="1"/>
        <v>3421.0645161290322</v>
      </c>
      <c r="H16" s="206">
        <f t="shared" si="21"/>
        <v>159</v>
      </c>
      <c r="I16" s="206">
        <f t="shared" si="2"/>
        <v>3421.0645161290322</v>
      </c>
      <c r="J16" s="206">
        <f t="shared" si="22"/>
        <v>159</v>
      </c>
      <c r="K16" s="206">
        <f t="shared" si="3"/>
        <v>3421.0645161290322</v>
      </c>
      <c r="L16" s="206">
        <f t="shared" si="23"/>
        <v>159</v>
      </c>
      <c r="M16" s="206">
        <f t="shared" si="4"/>
        <v>3421.0645161290322</v>
      </c>
      <c r="N16" s="206">
        <f t="shared" si="24"/>
        <v>159</v>
      </c>
      <c r="O16" s="206">
        <f t="shared" si="5"/>
        <v>3421.0645161290322</v>
      </c>
      <c r="P16" s="206">
        <f t="shared" si="25"/>
        <v>159</v>
      </c>
      <c r="Q16" s="206">
        <f t="shared" si="6"/>
        <v>3421.0645161290322</v>
      </c>
      <c r="R16" s="206">
        <f t="shared" si="26"/>
        <v>159</v>
      </c>
      <c r="S16" s="206">
        <f t="shared" si="7"/>
        <v>3421.0645161290322</v>
      </c>
      <c r="T16" s="206">
        <f t="shared" si="27"/>
        <v>159</v>
      </c>
      <c r="U16" s="206">
        <f t="shared" si="8"/>
        <v>3421.0645161290322</v>
      </c>
      <c r="V16" s="206">
        <f t="shared" si="28"/>
        <v>159</v>
      </c>
      <c r="W16" s="206">
        <f t="shared" si="9"/>
        <v>3421.0645161290322</v>
      </c>
      <c r="X16" s="35">
        <f t="shared" si="10"/>
        <v>0.51290322580645142</v>
      </c>
      <c r="Y16" s="36">
        <f t="shared" si="29"/>
        <v>37631.709677419341</v>
      </c>
      <c r="Z16" s="206">
        <f>'B5'!C15</f>
        <v>166</v>
      </c>
      <c r="AA16" s="206">
        <f t="shared" si="30"/>
        <v>1660</v>
      </c>
      <c r="AB16" s="206">
        <f t="shared" si="31"/>
        <v>166</v>
      </c>
      <c r="AC16" s="206">
        <f t="shared" si="30"/>
        <v>1660</v>
      </c>
      <c r="AD16" s="206">
        <f t="shared" si="32"/>
        <v>166</v>
      </c>
      <c r="AE16" s="206">
        <f t="shared" si="11"/>
        <v>1660</v>
      </c>
      <c r="AF16" s="206">
        <f t="shared" si="33"/>
        <v>166</v>
      </c>
      <c r="AG16" s="206">
        <f t="shared" si="12"/>
        <v>1660</v>
      </c>
      <c r="AH16" s="206">
        <f t="shared" si="34"/>
        <v>166</v>
      </c>
      <c r="AI16" s="206">
        <f t="shared" si="13"/>
        <v>1660</v>
      </c>
      <c r="AJ16" s="206">
        <f t="shared" si="35"/>
        <v>166</v>
      </c>
      <c r="AK16" s="206">
        <f t="shared" si="14"/>
        <v>1660</v>
      </c>
      <c r="AL16" s="206">
        <f t="shared" si="36"/>
        <v>166</v>
      </c>
      <c r="AM16" s="206">
        <f t="shared" si="15"/>
        <v>1660</v>
      </c>
      <c r="AN16" s="35">
        <f t="shared" si="16"/>
        <v>0.59285714285714286</v>
      </c>
      <c r="AO16" s="36">
        <f t="shared" si="17"/>
        <v>11620</v>
      </c>
      <c r="AQ16" s="226">
        <f t="shared" si="37"/>
        <v>0.52975916615488161</v>
      </c>
      <c r="AR16" s="38">
        <f t="shared" si="41"/>
        <v>49251.709677419341</v>
      </c>
      <c r="AS16" s="200">
        <f>SUM(AR16-AR15-AT16)</f>
        <v>-5874.2064516129176</v>
      </c>
      <c r="AT16" s="277"/>
      <c r="AU16" s="449"/>
      <c r="AV16" s="533">
        <f>IF(AT16&gt;0,AU16,AV15)</f>
        <v>0.52839999999999998</v>
      </c>
      <c r="AW16" s="298">
        <f>-SUM('B5'!AI15)</f>
        <v>-335</v>
      </c>
      <c r="AX16" s="298">
        <f>-SUM(AW16-AS16)</f>
        <v>-5539.2064516129176</v>
      </c>
      <c r="AY16" s="37">
        <f t="shared" si="40"/>
        <v>-5874.2064516129176</v>
      </c>
      <c r="AZ16" s="100">
        <f>ELEC!A13</f>
        <v>0.16500000000000001</v>
      </c>
      <c r="BA16" s="118">
        <f>'General information '!D16</f>
        <v>28</v>
      </c>
      <c r="BB16" s="404">
        <f>SUM('General information '!E16)</f>
        <v>0.56000000000000005</v>
      </c>
      <c r="BC16" s="3">
        <f t="shared" si="43"/>
        <v>0</v>
      </c>
      <c r="BD16" s="102">
        <v>19222</v>
      </c>
      <c r="BE16" s="14">
        <f>(305/1185)*ELEC!Q14</f>
        <v>4890.2953586497897</v>
      </c>
      <c r="BF16" s="14"/>
      <c r="BG16" s="14" t="e">
        <f>#REF!-BE16</f>
        <v>#REF!</v>
      </c>
      <c r="BH16" s="11"/>
    </row>
    <row r="17" spans="1:61">
      <c r="A17" s="457">
        <f>ELEC!C14</f>
        <v>44024</v>
      </c>
      <c r="B17">
        <f>'B5'!B16</f>
        <v>139</v>
      </c>
      <c r="C17" s="206">
        <f t="shared" si="18"/>
        <v>2990.7419354838707</v>
      </c>
      <c r="D17">
        <f t="shared" si="19"/>
        <v>139</v>
      </c>
      <c r="E17" s="206">
        <f t="shared" si="18"/>
        <v>2990.7419354838707</v>
      </c>
      <c r="F17">
        <f t="shared" si="20"/>
        <v>139</v>
      </c>
      <c r="G17" s="206">
        <f t="shared" si="1"/>
        <v>2990.7419354838707</v>
      </c>
      <c r="H17" s="206">
        <f t="shared" si="21"/>
        <v>139</v>
      </c>
      <c r="I17" s="206">
        <f t="shared" si="2"/>
        <v>2990.7419354838707</v>
      </c>
      <c r="J17" s="206">
        <f t="shared" si="22"/>
        <v>139</v>
      </c>
      <c r="K17" s="206">
        <f t="shared" si="3"/>
        <v>2990.7419354838707</v>
      </c>
      <c r="L17" s="206">
        <f t="shared" si="23"/>
        <v>139</v>
      </c>
      <c r="M17" s="206">
        <f t="shared" si="4"/>
        <v>2990.7419354838707</v>
      </c>
      <c r="N17" s="206">
        <f t="shared" si="24"/>
        <v>139</v>
      </c>
      <c r="O17" s="206">
        <f t="shared" si="5"/>
        <v>2990.7419354838707</v>
      </c>
      <c r="P17" s="206">
        <f t="shared" si="25"/>
        <v>139</v>
      </c>
      <c r="Q17" s="206">
        <f t="shared" si="6"/>
        <v>2990.7419354838707</v>
      </c>
      <c r="R17" s="206">
        <f t="shared" si="26"/>
        <v>139</v>
      </c>
      <c r="S17" s="206">
        <f t="shared" si="7"/>
        <v>2990.7419354838707</v>
      </c>
      <c r="T17" s="206">
        <f t="shared" si="27"/>
        <v>139</v>
      </c>
      <c r="U17" s="206">
        <f t="shared" si="8"/>
        <v>2990.7419354838707</v>
      </c>
      <c r="V17" s="206">
        <f t="shared" si="28"/>
        <v>139</v>
      </c>
      <c r="W17" s="206">
        <f t="shared" si="9"/>
        <v>2990.7419354838707</v>
      </c>
      <c r="X17" s="35">
        <f t="shared" si="10"/>
        <v>0.44838709677419347</v>
      </c>
      <c r="Y17" s="36">
        <f t="shared" si="29"/>
        <v>32898.161290322576</v>
      </c>
      <c r="Z17" s="206">
        <f>'B5'!C16</f>
        <v>146</v>
      </c>
      <c r="AA17" s="206">
        <f t="shared" si="30"/>
        <v>1460</v>
      </c>
      <c r="AB17" s="206">
        <f t="shared" si="31"/>
        <v>146</v>
      </c>
      <c r="AC17" s="206">
        <f t="shared" si="30"/>
        <v>1460</v>
      </c>
      <c r="AD17" s="206">
        <f t="shared" si="32"/>
        <v>146</v>
      </c>
      <c r="AE17" s="206">
        <f t="shared" si="11"/>
        <v>1460</v>
      </c>
      <c r="AF17" s="206">
        <f t="shared" si="33"/>
        <v>146</v>
      </c>
      <c r="AG17" s="206">
        <f t="shared" si="12"/>
        <v>1460</v>
      </c>
      <c r="AH17" s="206">
        <f t="shared" si="34"/>
        <v>146</v>
      </c>
      <c r="AI17" s="206">
        <f t="shared" si="13"/>
        <v>1460</v>
      </c>
      <c r="AJ17" s="206">
        <f t="shared" si="35"/>
        <v>146</v>
      </c>
      <c r="AK17" s="206">
        <f t="shared" si="14"/>
        <v>1460</v>
      </c>
      <c r="AL17" s="206">
        <f t="shared" si="36"/>
        <v>146</v>
      </c>
      <c r="AM17" s="206">
        <f t="shared" si="15"/>
        <v>1460</v>
      </c>
      <c r="AN17" s="35">
        <f t="shared" si="16"/>
        <v>0.52142857142857146</v>
      </c>
      <c r="AO17" s="36">
        <f>SUM(AA17+AC17+AE17+AG17+AI17+AK17+AM17)</f>
        <v>10220</v>
      </c>
      <c r="AQ17" s="226">
        <f t="shared" si="37"/>
        <v>0.46378575121353743</v>
      </c>
      <c r="AR17" s="38">
        <f t="shared" si="41"/>
        <v>43118.161290322576</v>
      </c>
      <c r="AS17" s="200">
        <f t="shared" si="38"/>
        <v>-6133.5483870967655</v>
      </c>
      <c r="AT17" s="365"/>
      <c r="AU17" s="492"/>
      <c r="AV17" s="533">
        <f t="shared" si="42"/>
        <v>0.52839999999999998</v>
      </c>
      <c r="AW17" s="298">
        <f>-SUM('B5'!AI16)</f>
        <v>-220</v>
      </c>
      <c r="AX17" s="298">
        <f t="shared" si="39"/>
        <v>-5913.5483870967655</v>
      </c>
      <c r="AY17" s="37">
        <f t="shared" si="40"/>
        <v>-6133.5483870967655</v>
      </c>
      <c r="AZ17" s="100">
        <f>ELEC!A14</f>
        <v>0.1</v>
      </c>
      <c r="BA17" s="118">
        <f>'General information '!D17</f>
        <v>26</v>
      </c>
      <c r="BB17" s="404">
        <f>SUM('General information '!E17)</f>
        <v>0.62</v>
      </c>
      <c r="BC17" s="3">
        <f t="shared" si="43"/>
        <v>0</v>
      </c>
      <c r="BD17" s="102">
        <v>19222</v>
      </c>
      <c r="BE17" s="14">
        <f>(305/1185)*ELEC!Q15</f>
        <v>3603.3755274261607</v>
      </c>
      <c r="BF17" s="14"/>
      <c r="BG17" s="14" t="e">
        <f>#REF!-BE17</f>
        <v>#REF!</v>
      </c>
      <c r="BH17" s="11"/>
    </row>
    <row r="18" spans="1:61">
      <c r="A18" s="457">
        <f>ELEC!C15</f>
        <v>44025</v>
      </c>
      <c r="B18">
        <f>'B5'!B17</f>
        <v>122.2</v>
      </c>
      <c r="C18" s="206">
        <f t="shared" si="18"/>
        <v>2629.2709677419357</v>
      </c>
      <c r="D18">
        <f t="shared" si="19"/>
        <v>122.2</v>
      </c>
      <c r="E18" s="206">
        <f t="shared" si="18"/>
        <v>2629.2709677419357</v>
      </c>
      <c r="F18">
        <f t="shared" si="20"/>
        <v>122.2</v>
      </c>
      <c r="G18" s="206">
        <f t="shared" si="1"/>
        <v>2629.2709677419357</v>
      </c>
      <c r="H18" s="206">
        <f t="shared" si="21"/>
        <v>122.2</v>
      </c>
      <c r="I18" s="206">
        <f t="shared" si="2"/>
        <v>2629.2709677419357</v>
      </c>
      <c r="J18" s="206">
        <f t="shared" si="22"/>
        <v>122.2</v>
      </c>
      <c r="K18" s="206">
        <f t="shared" si="3"/>
        <v>2629.2709677419357</v>
      </c>
      <c r="L18" s="206">
        <f t="shared" si="23"/>
        <v>122.2</v>
      </c>
      <c r="M18" s="206">
        <f t="shared" si="4"/>
        <v>2629.2709677419357</v>
      </c>
      <c r="N18" s="206">
        <f t="shared" si="24"/>
        <v>122.2</v>
      </c>
      <c r="O18" s="206">
        <f t="shared" si="5"/>
        <v>2629.2709677419357</v>
      </c>
      <c r="P18" s="206">
        <f t="shared" si="25"/>
        <v>122.2</v>
      </c>
      <c r="Q18" s="206">
        <f t="shared" si="6"/>
        <v>2629.2709677419357</v>
      </c>
      <c r="R18" s="206">
        <f t="shared" si="26"/>
        <v>122.2</v>
      </c>
      <c r="S18" s="206">
        <f t="shared" si="7"/>
        <v>2629.2709677419357</v>
      </c>
      <c r="T18" s="206">
        <f t="shared" si="27"/>
        <v>122.2</v>
      </c>
      <c r="U18" s="206">
        <f t="shared" si="8"/>
        <v>2629.2709677419357</v>
      </c>
      <c r="V18" s="206">
        <f t="shared" si="28"/>
        <v>122.2</v>
      </c>
      <c r="W18" s="206">
        <f t="shared" si="9"/>
        <v>2629.2709677419357</v>
      </c>
      <c r="X18" s="35">
        <f t="shared" si="10"/>
        <v>0.39419354838709686</v>
      </c>
      <c r="Y18" s="36">
        <f t="shared" si="29"/>
        <v>28921.980645161297</v>
      </c>
      <c r="Z18" s="206">
        <f>'B5'!C17</f>
        <v>129</v>
      </c>
      <c r="AA18" s="206">
        <f t="shared" si="30"/>
        <v>1290</v>
      </c>
      <c r="AB18" s="206">
        <f t="shared" si="31"/>
        <v>129</v>
      </c>
      <c r="AC18" s="206">
        <f t="shared" si="30"/>
        <v>1290</v>
      </c>
      <c r="AD18" s="206">
        <f t="shared" si="32"/>
        <v>129</v>
      </c>
      <c r="AE18" s="206">
        <f t="shared" si="11"/>
        <v>1290</v>
      </c>
      <c r="AF18" s="206">
        <f t="shared" si="33"/>
        <v>129</v>
      </c>
      <c r="AG18" s="206">
        <f t="shared" si="12"/>
        <v>1290</v>
      </c>
      <c r="AH18" s="206">
        <f t="shared" si="34"/>
        <v>129</v>
      </c>
      <c r="AI18" s="206">
        <f t="shared" si="13"/>
        <v>1290</v>
      </c>
      <c r="AJ18" s="206">
        <f t="shared" si="35"/>
        <v>129</v>
      </c>
      <c r="AK18" s="206">
        <f t="shared" si="14"/>
        <v>1290</v>
      </c>
      <c r="AL18" s="206">
        <f t="shared" si="36"/>
        <v>129</v>
      </c>
      <c r="AM18" s="206">
        <f t="shared" si="15"/>
        <v>1290</v>
      </c>
      <c r="AN18" s="35">
        <f t="shared" si="16"/>
        <v>0.46071428571428569</v>
      </c>
      <c r="AO18" s="36">
        <f t="shared" si="17"/>
        <v>9030</v>
      </c>
      <c r="AQ18" s="226">
        <f t="shared" si="37"/>
        <v>0.40821749645220284</v>
      </c>
      <c r="AR18" s="38">
        <f t="shared" si="41"/>
        <v>37951.980645161297</v>
      </c>
      <c r="AS18" s="200">
        <f t="shared" si="38"/>
        <v>-5166.1806451612792</v>
      </c>
      <c r="AT18" s="277"/>
      <c r="AU18" s="449"/>
      <c r="AV18" s="533">
        <f>IF(AT18&gt;0,AU18,AV17)</f>
        <v>0.52839999999999998</v>
      </c>
      <c r="AW18" s="298">
        <f>-SUM('B5'!AI17)</f>
        <v>-165</v>
      </c>
      <c r="AX18" s="298">
        <f t="shared" si="39"/>
        <v>-5001.1806451612792</v>
      </c>
      <c r="AY18" s="37">
        <f t="shared" si="40"/>
        <v>-5166.1806451612792</v>
      </c>
      <c r="AZ18" s="100">
        <f>ELEC!A15</f>
        <v>0.1217</v>
      </c>
      <c r="BA18" s="118">
        <f>'General information '!D18</f>
        <v>26.5</v>
      </c>
      <c r="BB18" s="404">
        <f>SUM('General information '!E18)</f>
        <v>0.65</v>
      </c>
      <c r="BC18" s="3">
        <f t="shared" si="43"/>
        <v>0</v>
      </c>
      <c r="BD18" s="102">
        <v>19222</v>
      </c>
      <c r="BE18" s="14">
        <f>(305/1185)*ELEC!Q16</f>
        <v>4632.9113924050635</v>
      </c>
      <c r="BF18" s="14"/>
      <c r="BG18" s="14" t="e">
        <f>#REF!-BE18</f>
        <v>#REF!</v>
      </c>
      <c r="BH18" s="11"/>
    </row>
    <row r="19" spans="1:61">
      <c r="A19" s="457">
        <f>ELEC!C16</f>
        <v>44026</v>
      </c>
      <c r="B19">
        <f>'B5'!B18</f>
        <v>137</v>
      </c>
      <c r="C19" s="206">
        <f t="shared" si="18"/>
        <v>2947.7096774193546</v>
      </c>
      <c r="D19">
        <f t="shared" si="19"/>
        <v>137</v>
      </c>
      <c r="E19" s="206">
        <f t="shared" si="18"/>
        <v>2947.7096774193546</v>
      </c>
      <c r="F19">
        <f t="shared" si="20"/>
        <v>137</v>
      </c>
      <c r="G19" s="206">
        <f t="shared" si="1"/>
        <v>2947.7096774193546</v>
      </c>
      <c r="H19" s="206">
        <f t="shared" si="21"/>
        <v>137</v>
      </c>
      <c r="I19" s="206">
        <f t="shared" si="2"/>
        <v>2947.7096774193546</v>
      </c>
      <c r="J19" s="206">
        <f t="shared" si="22"/>
        <v>137</v>
      </c>
      <c r="K19" s="206">
        <f t="shared" si="3"/>
        <v>2947.7096774193546</v>
      </c>
      <c r="L19" s="206">
        <f t="shared" si="23"/>
        <v>137</v>
      </c>
      <c r="M19" s="206">
        <f t="shared" si="4"/>
        <v>2947.7096774193546</v>
      </c>
      <c r="N19" s="206">
        <f t="shared" si="24"/>
        <v>137</v>
      </c>
      <c r="O19" s="206">
        <f t="shared" si="5"/>
        <v>2947.7096774193546</v>
      </c>
      <c r="P19" s="206">
        <f t="shared" si="25"/>
        <v>137</v>
      </c>
      <c r="Q19" s="206">
        <f t="shared" si="6"/>
        <v>2947.7096774193546</v>
      </c>
      <c r="R19" s="206">
        <f t="shared" si="26"/>
        <v>137</v>
      </c>
      <c r="S19" s="206">
        <f t="shared" si="7"/>
        <v>2947.7096774193546</v>
      </c>
      <c r="T19" s="206">
        <f t="shared" si="27"/>
        <v>137</v>
      </c>
      <c r="U19" s="206">
        <f t="shared" si="8"/>
        <v>2947.7096774193546</v>
      </c>
      <c r="V19" s="206">
        <f t="shared" si="28"/>
        <v>137</v>
      </c>
      <c r="W19" s="206">
        <f t="shared" si="9"/>
        <v>2947.7096774193546</v>
      </c>
      <c r="X19" s="35">
        <f t="shared" si="10"/>
        <v>0.44193548387096782</v>
      </c>
      <c r="Y19" s="36">
        <f t="shared" si="29"/>
        <v>32424.806451612909</v>
      </c>
      <c r="Z19" s="206">
        <f>'B5'!C18</f>
        <v>144</v>
      </c>
      <c r="AA19" s="206">
        <f t="shared" si="30"/>
        <v>1440</v>
      </c>
      <c r="AB19" s="206">
        <f t="shared" si="31"/>
        <v>144</v>
      </c>
      <c r="AC19" s="206">
        <f t="shared" si="30"/>
        <v>1440</v>
      </c>
      <c r="AD19" s="206">
        <f t="shared" si="32"/>
        <v>144</v>
      </c>
      <c r="AE19" s="206">
        <f t="shared" si="11"/>
        <v>1440</v>
      </c>
      <c r="AF19" s="206">
        <f t="shared" si="33"/>
        <v>144</v>
      </c>
      <c r="AG19" s="206">
        <f t="shared" si="12"/>
        <v>1440</v>
      </c>
      <c r="AH19" s="206">
        <f t="shared" si="34"/>
        <v>144</v>
      </c>
      <c r="AI19" s="206">
        <f t="shared" si="13"/>
        <v>1440</v>
      </c>
      <c r="AJ19" s="206">
        <f t="shared" si="35"/>
        <v>144</v>
      </c>
      <c r="AK19" s="206">
        <f t="shared" si="14"/>
        <v>1440</v>
      </c>
      <c r="AL19" s="206">
        <f t="shared" si="36"/>
        <v>144</v>
      </c>
      <c r="AM19" s="206">
        <f t="shared" si="15"/>
        <v>1440</v>
      </c>
      <c r="AN19" s="35">
        <f t="shared" si="16"/>
        <v>0.51428571428571423</v>
      </c>
      <c r="AO19" s="36">
        <f t="shared" si="17"/>
        <v>10080</v>
      </c>
      <c r="AQ19" s="226">
        <f t="shared" si="37"/>
        <v>0.45718840971940311</v>
      </c>
      <c r="AR19" s="38">
        <f t="shared" si="41"/>
        <v>42504.806451612909</v>
      </c>
      <c r="AS19" s="200">
        <f t="shared" si="38"/>
        <v>-4216.1741935483878</v>
      </c>
      <c r="AT19" s="277">
        <v>8769</v>
      </c>
      <c r="AU19" s="449">
        <v>0.52839999999999998</v>
      </c>
      <c r="AV19" s="533">
        <f t="shared" si="42"/>
        <v>0.52839999999999998</v>
      </c>
      <c r="AW19" s="298">
        <f>-SUM('B5'!AI18)</f>
        <v>-434.09999999997672</v>
      </c>
      <c r="AX19" s="298">
        <f t="shared" si="39"/>
        <v>-3782.0741935484111</v>
      </c>
      <c r="AY19" s="37">
        <f t="shared" si="40"/>
        <v>-4216.1741935483878</v>
      </c>
      <c r="AZ19" s="100">
        <f>ELEC!A16</f>
        <v>0.12709999999999999</v>
      </c>
      <c r="BA19" s="118">
        <f>'General information '!D19</f>
        <v>27.5</v>
      </c>
      <c r="BB19" s="404">
        <f>SUM('General information '!E19)</f>
        <v>0.65</v>
      </c>
      <c r="BC19" s="3">
        <f t="shared" si="43"/>
        <v>1</v>
      </c>
      <c r="BD19" s="102">
        <v>19222</v>
      </c>
      <c r="BE19" s="14">
        <f>(305/1185)*ELEC!Q17</f>
        <v>4375.5274261603381</v>
      </c>
      <c r="BF19" s="14"/>
      <c r="BG19" s="14" t="e">
        <f>#REF!-BE19</f>
        <v>#REF!</v>
      </c>
      <c r="BH19" s="11"/>
    </row>
    <row r="20" spans="1:61">
      <c r="A20" s="457">
        <f>ELEC!C17</f>
        <v>44027</v>
      </c>
      <c r="B20">
        <f>'B5'!B19</f>
        <v>118.2</v>
      </c>
      <c r="C20" s="206">
        <f t="shared" si="18"/>
        <v>2543.206451612903</v>
      </c>
      <c r="D20">
        <f t="shared" si="19"/>
        <v>118.2</v>
      </c>
      <c r="E20" s="206">
        <f t="shared" si="18"/>
        <v>2543.206451612903</v>
      </c>
      <c r="F20">
        <f t="shared" si="20"/>
        <v>118.2</v>
      </c>
      <c r="G20" s="206">
        <f t="shared" si="1"/>
        <v>2543.206451612903</v>
      </c>
      <c r="H20" s="206">
        <f t="shared" si="21"/>
        <v>118.2</v>
      </c>
      <c r="I20" s="206">
        <f t="shared" si="2"/>
        <v>2543.206451612903</v>
      </c>
      <c r="J20" s="206">
        <f t="shared" si="22"/>
        <v>118.2</v>
      </c>
      <c r="K20" s="206">
        <f t="shared" si="3"/>
        <v>2543.206451612903</v>
      </c>
      <c r="L20" s="206">
        <f t="shared" si="23"/>
        <v>118.2</v>
      </c>
      <c r="M20" s="206">
        <f t="shared" si="4"/>
        <v>2543.206451612903</v>
      </c>
      <c r="N20" s="206">
        <f t="shared" si="24"/>
        <v>118.2</v>
      </c>
      <c r="O20" s="206">
        <f t="shared" si="5"/>
        <v>2543.206451612903</v>
      </c>
      <c r="P20" s="206">
        <f t="shared" si="25"/>
        <v>118.2</v>
      </c>
      <c r="Q20" s="206">
        <f t="shared" si="6"/>
        <v>2543.206451612903</v>
      </c>
      <c r="R20" s="206">
        <f t="shared" si="26"/>
        <v>118.2</v>
      </c>
      <c r="S20" s="206">
        <f t="shared" si="7"/>
        <v>2543.206451612903</v>
      </c>
      <c r="T20" s="206">
        <f t="shared" si="27"/>
        <v>118.2</v>
      </c>
      <c r="U20" s="206">
        <f t="shared" si="8"/>
        <v>2543.206451612903</v>
      </c>
      <c r="V20" s="206">
        <f t="shared" si="28"/>
        <v>118.2</v>
      </c>
      <c r="W20" s="206">
        <f t="shared" si="9"/>
        <v>2543.206451612903</v>
      </c>
      <c r="X20" s="35">
        <f t="shared" si="10"/>
        <v>0.38129032258064516</v>
      </c>
      <c r="Y20" s="36">
        <f t="shared" si="29"/>
        <v>27975.270967741933</v>
      </c>
      <c r="Z20" s="206">
        <f>'B5'!C19</f>
        <v>125.2</v>
      </c>
      <c r="AA20" s="206">
        <f t="shared" si="30"/>
        <v>1252</v>
      </c>
      <c r="AB20" s="206">
        <f t="shared" si="31"/>
        <v>125.2</v>
      </c>
      <c r="AC20" s="206">
        <f t="shared" si="30"/>
        <v>1252</v>
      </c>
      <c r="AD20" s="206">
        <f t="shared" si="32"/>
        <v>125.2</v>
      </c>
      <c r="AE20" s="206">
        <f t="shared" si="11"/>
        <v>1252</v>
      </c>
      <c r="AF20" s="206">
        <f t="shared" si="33"/>
        <v>125.2</v>
      </c>
      <c r="AG20" s="206">
        <f t="shared" si="12"/>
        <v>1252</v>
      </c>
      <c r="AH20" s="206">
        <f t="shared" si="34"/>
        <v>125.2</v>
      </c>
      <c r="AI20" s="206">
        <f t="shared" si="13"/>
        <v>1252</v>
      </c>
      <c r="AJ20" s="206">
        <f t="shared" si="35"/>
        <v>125.2</v>
      </c>
      <c r="AK20" s="206">
        <f t="shared" si="14"/>
        <v>1252</v>
      </c>
      <c r="AL20" s="206">
        <f t="shared" si="36"/>
        <v>125.2</v>
      </c>
      <c r="AM20" s="206">
        <f t="shared" si="15"/>
        <v>1252</v>
      </c>
      <c r="AN20" s="35">
        <f t="shared" si="16"/>
        <v>0.44714285714285712</v>
      </c>
      <c r="AO20" s="36">
        <f t="shared" si="17"/>
        <v>8764</v>
      </c>
      <c r="AQ20" s="226">
        <f t="shared" si="37"/>
        <v>0.39517339967453946</v>
      </c>
      <c r="AR20" s="38">
        <f t="shared" si="41"/>
        <v>36739.270967741933</v>
      </c>
      <c r="AS20" s="200">
        <f t="shared" si="38"/>
        <v>-5765.5354838709754</v>
      </c>
      <c r="AT20" s="277"/>
      <c r="AU20" s="449"/>
      <c r="AV20" s="533">
        <f t="shared" si="42"/>
        <v>0.52839999999999998</v>
      </c>
      <c r="AW20" s="298">
        <f>-SUM('B5'!AI19)</f>
        <v>-452</v>
      </c>
      <c r="AX20" s="298">
        <f t="shared" si="39"/>
        <v>-5313.5354838709754</v>
      </c>
      <c r="AY20" s="37">
        <f t="shared" si="40"/>
        <v>-5765.5354838709754</v>
      </c>
      <c r="AZ20" s="100">
        <f>ELEC!A17</f>
        <v>0.1348</v>
      </c>
      <c r="BA20" s="118">
        <f>'General information '!D20</f>
        <v>26.5</v>
      </c>
      <c r="BB20" s="404">
        <f>SUM('General information '!E20)</f>
        <v>0.66</v>
      </c>
      <c r="BC20" s="3">
        <f t="shared" si="43"/>
        <v>0</v>
      </c>
      <c r="BD20" s="102">
        <v>19222</v>
      </c>
      <c r="BE20" s="14">
        <f>(305/1185)*ELEC!Q18</f>
        <v>4890.2953586497897</v>
      </c>
      <c r="BF20" s="14"/>
      <c r="BG20" s="14" t="e">
        <f>#REF!-BE20</f>
        <v>#REF!</v>
      </c>
      <c r="BH20" s="11"/>
    </row>
    <row r="21" spans="1:61">
      <c r="A21" s="457">
        <f>ELEC!C18</f>
        <v>44028</v>
      </c>
      <c r="B21">
        <f>'B5'!B20</f>
        <v>171.3</v>
      </c>
      <c r="C21" s="206">
        <f t="shared" si="18"/>
        <v>3685.7129032258067</v>
      </c>
      <c r="D21">
        <f t="shared" si="19"/>
        <v>171.3</v>
      </c>
      <c r="E21" s="206">
        <f t="shared" si="18"/>
        <v>3685.7129032258067</v>
      </c>
      <c r="F21">
        <f t="shared" si="20"/>
        <v>171.3</v>
      </c>
      <c r="G21" s="206">
        <f t="shared" si="1"/>
        <v>3685.7129032258067</v>
      </c>
      <c r="H21" s="206">
        <f t="shared" si="21"/>
        <v>171.3</v>
      </c>
      <c r="I21" s="206">
        <f t="shared" si="2"/>
        <v>3685.7129032258067</v>
      </c>
      <c r="J21" s="206">
        <f t="shared" si="22"/>
        <v>171.3</v>
      </c>
      <c r="K21" s="206">
        <f t="shared" si="3"/>
        <v>3685.7129032258067</v>
      </c>
      <c r="L21" s="206">
        <f t="shared" si="23"/>
        <v>171.3</v>
      </c>
      <c r="M21" s="206">
        <f t="shared" si="4"/>
        <v>3685.7129032258067</v>
      </c>
      <c r="N21" s="206">
        <f t="shared" si="24"/>
        <v>171.3</v>
      </c>
      <c r="O21" s="206">
        <f t="shared" si="5"/>
        <v>3685.7129032258067</v>
      </c>
      <c r="P21" s="206">
        <f t="shared" si="25"/>
        <v>171.3</v>
      </c>
      <c r="Q21" s="206">
        <f t="shared" si="6"/>
        <v>3685.7129032258067</v>
      </c>
      <c r="R21" s="206">
        <f t="shared" si="26"/>
        <v>171.3</v>
      </c>
      <c r="S21" s="206">
        <f t="shared" si="7"/>
        <v>3685.7129032258067</v>
      </c>
      <c r="T21" s="206">
        <f t="shared" si="27"/>
        <v>171.3</v>
      </c>
      <c r="U21" s="206">
        <f t="shared" si="8"/>
        <v>3685.7129032258067</v>
      </c>
      <c r="V21" s="206">
        <f t="shared" si="28"/>
        <v>171.3</v>
      </c>
      <c r="W21" s="206">
        <f t="shared" si="9"/>
        <v>3685.7129032258067</v>
      </c>
      <c r="X21" s="35">
        <f t="shared" si="10"/>
        <v>0.55258064516129035</v>
      </c>
      <c r="Y21" s="36">
        <f t="shared" si="29"/>
        <v>40542.841935483877</v>
      </c>
      <c r="Z21" s="206">
        <f>'B5'!C20</f>
        <v>178</v>
      </c>
      <c r="AA21" s="206">
        <f t="shared" si="30"/>
        <v>1780</v>
      </c>
      <c r="AB21" s="206">
        <f t="shared" si="31"/>
        <v>178</v>
      </c>
      <c r="AC21" s="206">
        <f t="shared" si="30"/>
        <v>1780</v>
      </c>
      <c r="AD21" s="206">
        <f t="shared" si="32"/>
        <v>178</v>
      </c>
      <c r="AE21" s="206">
        <f t="shared" si="11"/>
        <v>1780</v>
      </c>
      <c r="AF21" s="206">
        <f t="shared" si="33"/>
        <v>178</v>
      </c>
      <c r="AG21" s="206">
        <f t="shared" si="12"/>
        <v>1780</v>
      </c>
      <c r="AH21" s="206">
        <f t="shared" si="34"/>
        <v>178</v>
      </c>
      <c r="AI21" s="206">
        <f t="shared" si="13"/>
        <v>1780</v>
      </c>
      <c r="AJ21" s="206">
        <f t="shared" si="35"/>
        <v>178</v>
      </c>
      <c r="AK21" s="206">
        <f t="shared" si="14"/>
        <v>1780</v>
      </c>
      <c r="AL21" s="206">
        <f t="shared" si="36"/>
        <v>178</v>
      </c>
      <c r="AM21" s="206">
        <f t="shared" si="15"/>
        <v>1780</v>
      </c>
      <c r="AN21" s="35">
        <f t="shared" si="16"/>
        <v>0.63571428571428568</v>
      </c>
      <c r="AO21" s="36">
        <f t="shared" si="17"/>
        <v>12460</v>
      </c>
      <c r="AQ21" s="226">
        <f t="shared" si="37"/>
        <v>0.57010693702790016</v>
      </c>
      <c r="AR21" s="38">
        <f t="shared" si="41"/>
        <v>53002.841935483877</v>
      </c>
      <c r="AS21" s="200">
        <f>SUM(AR21-AR20-AT21)</f>
        <v>-3442.4290322580564</v>
      </c>
      <c r="AT21" s="277">
        <v>19706</v>
      </c>
      <c r="AU21" s="449">
        <v>0.5383</v>
      </c>
      <c r="AV21" s="533">
        <f t="shared" si="42"/>
        <v>0.5383</v>
      </c>
      <c r="AW21" s="298">
        <f>-SUM('B5'!AI20)</f>
        <v>-257</v>
      </c>
      <c r="AX21" s="298">
        <f t="shared" si="39"/>
        <v>-3185.4290322580564</v>
      </c>
      <c r="AY21" s="37">
        <f t="shared" si="40"/>
        <v>-3442.4290322580564</v>
      </c>
      <c r="AZ21" s="100">
        <f>ELEC!A18</f>
        <v>0.2</v>
      </c>
      <c r="BA21" s="118">
        <f>'General information '!D21</f>
        <v>27.5</v>
      </c>
      <c r="BB21" s="404">
        <f>SUM('General information '!E21)</f>
        <v>0.68</v>
      </c>
      <c r="BC21" s="3">
        <f t="shared" si="43"/>
        <v>1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44029</v>
      </c>
      <c r="B22">
        <f>'B5'!B21</f>
        <v>171.3</v>
      </c>
      <c r="C22" s="206">
        <f t="shared" si="18"/>
        <v>3685.7129032258067</v>
      </c>
      <c r="D22">
        <f t="shared" si="19"/>
        <v>171.3</v>
      </c>
      <c r="E22" s="206">
        <f t="shared" si="18"/>
        <v>3685.7129032258067</v>
      </c>
      <c r="F22">
        <f t="shared" si="20"/>
        <v>171.3</v>
      </c>
      <c r="G22" s="206">
        <f t="shared" si="1"/>
        <v>3685.7129032258067</v>
      </c>
      <c r="H22" s="206">
        <f t="shared" si="21"/>
        <v>171.3</v>
      </c>
      <c r="I22" s="206">
        <f t="shared" si="2"/>
        <v>3685.7129032258067</v>
      </c>
      <c r="J22" s="206">
        <f t="shared" si="22"/>
        <v>171.3</v>
      </c>
      <c r="K22" s="206">
        <f t="shared" si="3"/>
        <v>3685.7129032258067</v>
      </c>
      <c r="L22" s="206">
        <f t="shared" si="23"/>
        <v>171.3</v>
      </c>
      <c r="M22" s="206">
        <f t="shared" si="4"/>
        <v>3685.7129032258067</v>
      </c>
      <c r="N22" s="206">
        <f t="shared" si="24"/>
        <v>171.3</v>
      </c>
      <c r="O22" s="206">
        <f t="shared" si="5"/>
        <v>3685.7129032258067</v>
      </c>
      <c r="P22" s="206">
        <f t="shared" si="25"/>
        <v>171.3</v>
      </c>
      <c r="Q22" s="206">
        <f t="shared" si="6"/>
        <v>3685.7129032258067</v>
      </c>
      <c r="R22" s="206">
        <f t="shared" si="26"/>
        <v>171.3</v>
      </c>
      <c r="S22" s="206">
        <f t="shared" si="7"/>
        <v>3685.7129032258067</v>
      </c>
      <c r="T22" s="206">
        <f t="shared" si="27"/>
        <v>171.3</v>
      </c>
      <c r="U22" s="206">
        <f t="shared" si="8"/>
        <v>3685.7129032258067</v>
      </c>
      <c r="V22" s="206">
        <f t="shared" si="28"/>
        <v>171.3</v>
      </c>
      <c r="W22" s="206">
        <f t="shared" si="9"/>
        <v>3685.7129032258067</v>
      </c>
      <c r="X22" s="35">
        <f t="shared" si="10"/>
        <v>0.55258064516129035</v>
      </c>
      <c r="Y22" s="36">
        <f t="shared" si="29"/>
        <v>40542.841935483877</v>
      </c>
      <c r="Z22" s="206">
        <f>'B5'!C21</f>
        <v>178</v>
      </c>
      <c r="AA22" s="206">
        <f t="shared" si="30"/>
        <v>1780</v>
      </c>
      <c r="AB22" s="206">
        <f t="shared" si="31"/>
        <v>178</v>
      </c>
      <c r="AC22" s="206">
        <f t="shared" si="30"/>
        <v>1780</v>
      </c>
      <c r="AD22" s="206">
        <f t="shared" si="32"/>
        <v>178</v>
      </c>
      <c r="AE22" s="206">
        <f t="shared" si="11"/>
        <v>1780</v>
      </c>
      <c r="AF22" s="206">
        <f t="shared" si="33"/>
        <v>178</v>
      </c>
      <c r="AG22" s="206">
        <f t="shared" si="12"/>
        <v>1780</v>
      </c>
      <c r="AH22" s="206">
        <f t="shared" si="34"/>
        <v>178</v>
      </c>
      <c r="AI22" s="206">
        <f t="shared" si="13"/>
        <v>1780</v>
      </c>
      <c r="AJ22" s="206">
        <f t="shared" si="35"/>
        <v>178</v>
      </c>
      <c r="AK22" s="206">
        <f t="shared" si="14"/>
        <v>1780</v>
      </c>
      <c r="AL22" s="206">
        <f t="shared" si="36"/>
        <v>178</v>
      </c>
      <c r="AM22" s="206">
        <f t="shared" si="15"/>
        <v>1780</v>
      </c>
      <c r="AN22" s="35">
        <f t="shared" si="16"/>
        <v>0.63571428571428568</v>
      </c>
      <c r="AO22" s="36">
        <f t="shared" si="17"/>
        <v>12460</v>
      </c>
      <c r="AQ22" s="226">
        <f t="shared" si="37"/>
        <v>0.57010693702790016</v>
      </c>
      <c r="AR22" s="38">
        <f t="shared" si="41"/>
        <v>53002.841935483877</v>
      </c>
      <c r="AS22" s="200">
        <f t="shared" si="38"/>
        <v>0</v>
      </c>
      <c r="AT22" s="277"/>
      <c r="AU22" s="449"/>
      <c r="AV22" s="533">
        <f t="shared" si="42"/>
        <v>0.5383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44030</v>
      </c>
      <c r="B23">
        <f>'B5'!B22</f>
        <v>171.3</v>
      </c>
      <c r="C23" s="206">
        <f t="shared" si="18"/>
        <v>3685.7129032258067</v>
      </c>
      <c r="D23">
        <f t="shared" si="19"/>
        <v>171.3</v>
      </c>
      <c r="E23" s="206">
        <f t="shared" si="18"/>
        <v>3685.7129032258067</v>
      </c>
      <c r="F23">
        <f t="shared" si="20"/>
        <v>171.3</v>
      </c>
      <c r="G23" s="206">
        <f t="shared" si="1"/>
        <v>3685.7129032258067</v>
      </c>
      <c r="H23" s="206">
        <f t="shared" si="21"/>
        <v>171.3</v>
      </c>
      <c r="I23" s="206">
        <f t="shared" si="2"/>
        <v>3685.7129032258067</v>
      </c>
      <c r="J23" s="206">
        <f t="shared" si="22"/>
        <v>171.3</v>
      </c>
      <c r="K23" s="206">
        <f t="shared" si="3"/>
        <v>3685.7129032258067</v>
      </c>
      <c r="L23" s="206">
        <f t="shared" si="23"/>
        <v>171.3</v>
      </c>
      <c r="M23" s="206">
        <f t="shared" si="4"/>
        <v>3685.7129032258067</v>
      </c>
      <c r="N23" s="206">
        <f t="shared" si="24"/>
        <v>171.3</v>
      </c>
      <c r="O23" s="206">
        <f t="shared" si="5"/>
        <v>3685.7129032258067</v>
      </c>
      <c r="P23" s="206">
        <f t="shared" si="25"/>
        <v>171.3</v>
      </c>
      <c r="Q23" s="206">
        <f t="shared" si="6"/>
        <v>3685.7129032258067</v>
      </c>
      <c r="R23" s="206">
        <f t="shared" si="26"/>
        <v>171.3</v>
      </c>
      <c r="S23" s="206">
        <f t="shared" si="7"/>
        <v>3685.7129032258067</v>
      </c>
      <c r="T23" s="206">
        <f t="shared" si="27"/>
        <v>171.3</v>
      </c>
      <c r="U23" s="206">
        <f t="shared" si="8"/>
        <v>3685.7129032258067</v>
      </c>
      <c r="V23" s="206">
        <f t="shared" si="28"/>
        <v>171.3</v>
      </c>
      <c r="W23" s="206">
        <f t="shared" si="9"/>
        <v>3685.7129032258067</v>
      </c>
      <c r="X23" s="35">
        <f t="shared" si="10"/>
        <v>0.55258064516129035</v>
      </c>
      <c r="Y23" s="36">
        <f t="shared" si="29"/>
        <v>40542.841935483877</v>
      </c>
      <c r="Z23" s="206">
        <f>'B5'!C22</f>
        <v>178</v>
      </c>
      <c r="AA23" s="206">
        <f t="shared" si="30"/>
        <v>1780</v>
      </c>
      <c r="AB23" s="206">
        <f t="shared" si="31"/>
        <v>178</v>
      </c>
      <c r="AC23" s="206">
        <f t="shared" si="30"/>
        <v>1780</v>
      </c>
      <c r="AD23" s="206">
        <f t="shared" si="32"/>
        <v>178</v>
      </c>
      <c r="AE23" s="206">
        <f t="shared" si="11"/>
        <v>1780</v>
      </c>
      <c r="AF23" s="206">
        <f t="shared" si="33"/>
        <v>178</v>
      </c>
      <c r="AG23" s="206">
        <f t="shared" si="12"/>
        <v>1780</v>
      </c>
      <c r="AH23" s="206">
        <f t="shared" si="34"/>
        <v>178</v>
      </c>
      <c r="AI23" s="206">
        <f t="shared" si="13"/>
        <v>1780</v>
      </c>
      <c r="AJ23" s="206">
        <f t="shared" si="35"/>
        <v>178</v>
      </c>
      <c r="AK23" s="206">
        <f t="shared" si="14"/>
        <v>1780</v>
      </c>
      <c r="AL23" s="206">
        <f t="shared" si="36"/>
        <v>178</v>
      </c>
      <c r="AM23" s="206">
        <f t="shared" si="15"/>
        <v>1780</v>
      </c>
      <c r="AN23" s="35">
        <f t="shared" si="16"/>
        <v>0.63571428571428568</v>
      </c>
      <c r="AO23" s="36">
        <f t="shared" si="17"/>
        <v>12460</v>
      </c>
      <c r="AQ23" s="226">
        <f t="shared" si="37"/>
        <v>0.57010693702790016</v>
      </c>
      <c r="AR23" s="38">
        <f t="shared" si="41"/>
        <v>53002.841935483877</v>
      </c>
      <c r="AS23" s="200">
        <f t="shared" si="38"/>
        <v>0</v>
      </c>
      <c r="AT23" s="277"/>
      <c r="AU23" s="449"/>
      <c r="AV23" s="533">
        <f t="shared" si="42"/>
        <v>0.5383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44031</v>
      </c>
      <c r="B24">
        <f>'B5'!B23</f>
        <v>171.3</v>
      </c>
      <c r="C24" s="206">
        <f t="shared" si="18"/>
        <v>3685.7129032258067</v>
      </c>
      <c r="D24">
        <f t="shared" si="19"/>
        <v>171.3</v>
      </c>
      <c r="E24" s="206">
        <f t="shared" si="18"/>
        <v>3685.7129032258067</v>
      </c>
      <c r="F24">
        <f t="shared" si="20"/>
        <v>171.3</v>
      </c>
      <c r="G24" s="206">
        <f t="shared" si="1"/>
        <v>3685.7129032258067</v>
      </c>
      <c r="H24" s="206">
        <f t="shared" si="21"/>
        <v>171.3</v>
      </c>
      <c r="I24" s="206">
        <f t="shared" si="2"/>
        <v>3685.7129032258067</v>
      </c>
      <c r="J24" s="206">
        <f t="shared" si="22"/>
        <v>171.3</v>
      </c>
      <c r="K24" s="206">
        <f t="shared" si="3"/>
        <v>3685.7129032258067</v>
      </c>
      <c r="L24" s="206">
        <f t="shared" si="23"/>
        <v>171.3</v>
      </c>
      <c r="M24" s="206">
        <f t="shared" si="4"/>
        <v>3685.7129032258067</v>
      </c>
      <c r="N24" s="206">
        <f t="shared" si="24"/>
        <v>171.3</v>
      </c>
      <c r="O24" s="206">
        <f t="shared" si="5"/>
        <v>3685.7129032258067</v>
      </c>
      <c r="P24" s="206">
        <f t="shared" si="25"/>
        <v>171.3</v>
      </c>
      <c r="Q24" s="206">
        <f t="shared" si="6"/>
        <v>3685.7129032258067</v>
      </c>
      <c r="R24" s="206">
        <f t="shared" si="26"/>
        <v>171.3</v>
      </c>
      <c r="S24" s="206">
        <f t="shared" si="7"/>
        <v>3685.7129032258067</v>
      </c>
      <c r="T24" s="206">
        <f t="shared" si="27"/>
        <v>171.3</v>
      </c>
      <c r="U24" s="206">
        <f t="shared" si="8"/>
        <v>3685.7129032258067</v>
      </c>
      <c r="V24" s="206">
        <f t="shared" si="28"/>
        <v>171.3</v>
      </c>
      <c r="W24" s="206">
        <f t="shared" si="9"/>
        <v>3685.7129032258067</v>
      </c>
      <c r="X24" s="35">
        <f t="shared" si="10"/>
        <v>0.55258064516129035</v>
      </c>
      <c r="Y24" s="36">
        <f t="shared" si="29"/>
        <v>40542.841935483877</v>
      </c>
      <c r="Z24" s="206">
        <f>'B5'!C23</f>
        <v>178</v>
      </c>
      <c r="AA24" s="206">
        <f t="shared" si="30"/>
        <v>1780</v>
      </c>
      <c r="AB24" s="206">
        <f t="shared" si="31"/>
        <v>178</v>
      </c>
      <c r="AC24" s="206">
        <f t="shared" si="30"/>
        <v>1780</v>
      </c>
      <c r="AD24" s="206">
        <f t="shared" si="32"/>
        <v>178</v>
      </c>
      <c r="AE24" s="206">
        <f t="shared" si="11"/>
        <v>1780</v>
      </c>
      <c r="AF24" s="206">
        <f t="shared" si="33"/>
        <v>178</v>
      </c>
      <c r="AG24" s="206">
        <f t="shared" si="12"/>
        <v>1780</v>
      </c>
      <c r="AH24" s="206">
        <f t="shared" si="34"/>
        <v>178</v>
      </c>
      <c r="AI24" s="206">
        <f t="shared" si="13"/>
        <v>1780</v>
      </c>
      <c r="AJ24" s="206">
        <f t="shared" si="35"/>
        <v>178</v>
      </c>
      <c r="AK24" s="206">
        <f t="shared" si="14"/>
        <v>1780</v>
      </c>
      <c r="AL24" s="206">
        <f t="shared" si="36"/>
        <v>178</v>
      </c>
      <c r="AM24" s="206">
        <f t="shared" si="15"/>
        <v>1780</v>
      </c>
      <c r="AN24" s="35">
        <f t="shared" si="16"/>
        <v>0.63571428571428568</v>
      </c>
      <c r="AO24" s="36">
        <f t="shared" si="17"/>
        <v>12460</v>
      </c>
      <c r="AQ24" s="226">
        <f t="shared" si="37"/>
        <v>0.57010693702790016</v>
      </c>
      <c r="AR24" s="38">
        <f t="shared" si="41"/>
        <v>53002.841935483877</v>
      </c>
      <c r="AS24" s="200">
        <f t="shared" si="38"/>
        <v>0</v>
      </c>
      <c r="AT24" s="277"/>
      <c r="AU24" s="449"/>
      <c r="AV24" s="533">
        <f t="shared" si="42"/>
        <v>0.5383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57">
        <f>ELEC!C22</f>
        <v>44032</v>
      </c>
      <c r="B25">
        <f>'B5'!B24</f>
        <v>171.3</v>
      </c>
      <c r="C25" s="206">
        <f t="shared" si="18"/>
        <v>3685.7129032258067</v>
      </c>
      <c r="D25">
        <f t="shared" si="19"/>
        <v>171.3</v>
      </c>
      <c r="E25" s="206">
        <f t="shared" si="18"/>
        <v>3685.7129032258067</v>
      </c>
      <c r="F25">
        <f t="shared" si="20"/>
        <v>171.3</v>
      </c>
      <c r="G25" s="206">
        <f t="shared" si="1"/>
        <v>3685.7129032258067</v>
      </c>
      <c r="H25" s="206">
        <f t="shared" si="21"/>
        <v>171.3</v>
      </c>
      <c r="I25" s="206">
        <f t="shared" si="2"/>
        <v>3685.7129032258067</v>
      </c>
      <c r="J25" s="206">
        <f t="shared" si="22"/>
        <v>171.3</v>
      </c>
      <c r="K25" s="206">
        <f t="shared" si="3"/>
        <v>3685.7129032258067</v>
      </c>
      <c r="L25" s="206">
        <f t="shared" si="23"/>
        <v>171.3</v>
      </c>
      <c r="M25" s="206">
        <f t="shared" si="4"/>
        <v>3685.7129032258067</v>
      </c>
      <c r="N25" s="206">
        <f t="shared" si="24"/>
        <v>171.3</v>
      </c>
      <c r="O25" s="206">
        <f t="shared" si="5"/>
        <v>3685.7129032258067</v>
      </c>
      <c r="P25" s="206">
        <f t="shared" si="25"/>
        <v>171.3</v>
      </c>
      <c r="Q25" s="206">
        <f t="shared" si="6"/>
        <v>3685.7129032258067</v>
      </c>
      <c r="R25" s="206">
        <f t="shared" si="26"/>
        <v>171.3</v>
      </c>
      <c r="S25" s="206">
        <f t="shared" si="7"/>
        <v>3685.7129032258067</v>
      </c>
      <c r="T25" s="206">
        <f t="shared" si="27"/>
        <v>171.3</v>
      </c>
      <c r="U25" s="206">
        <f t="shared" si="8"/>
        <v>3685.7129032258067</v>
      </c>
      <c r="V25" s="206">
        <f t="shared" si="28"/>
        <v>171.3</v>
      </c>
      <c r="W25" s="206">
        <f t="shared" si="9"/>
        <v>3685.7129032258067</v>
      </c>
      <c r="X25" s="35">
        <f t="shared" si="10"/>
        <v>0.55258064516129035</v>
      </c>
      <c r="Y25" s="36">
        <f t="shared" si="29"/>
        <v>40542.841935483877</v>
      </c>
      <c r="Z25" s="206">
        <f>'B5'!C24</f>
        <v>178</v>
      </c>
      <c r="AA25" s="206">
        <f t="shared" si="30"/>
        <v>1780</v>
      </c>
      <c r="AB25" s="206">
        <f t="shared" si="31"/>
        <v>178</v>
      </c>
      <c r="AC25" s="206">
        <f t="shared" si="30"/>
        <v>1780</v>
      </c>
      <c r="AD25" s="206">
        <f t="shared" si="32"/>
        <v>178</v>
      </c>
      <c r="AE25" s="206">
        <f t="shared" si="11"/>
        <v>1780</v>
      </c>
      <c r="AF25" s="206">
        <f t="shared" si="33"/>
        <v>178</v>
      </c>
      <c r="AG25" s="206">
        <f t="shared" si="12"/>
        <v>1780</v>
      </c>
      <c r="AH25" s="206">
        <f t="shared" si="34"/>
        <v>178</v>
      </c>
      <c r="AI25" s="206">
        <f t="shared" si="13"/>
        <v>1780</v>
      </c>
      <c r="AJ25" s="206">
        <f t="shared" si="35"/>
        <v>178</v>
      </c>
      <c r="AK25" s="206">
        <f t="shared" si="14"/>
        <v>1780</v>
      </c>
      <c r="AL25" s="206">
        <f t="shared" si="36"/>
        <v>178</v>
      </c>
      <c r="AM25" s="206">
        <f t="shared" si="15"/>
        <v>1780</v>
      </c>
      <c r="AN25" s="35">
        <f t="shared" si="16"/>
        <v>0.63571428571428568</v>
      </c>
      <c r="AO25" s="36">
        <f t="shared" si="17"/>
        <v>12460</v>
      </c>
      <c r="AQ25" s="226">
        <f t="shared" si="37"/>
        <v>0.57010693702790016</v>
      </c>
      <c r="AR25" s="38">
        <f t="shared" si="41"/>
        <v>53002.841935483877</v>
      </c>
      <c r="AS25" s="200">
        <f t="shared" si="38"/>
        <v>0</v>
      </c>
      <c r="AT25" s="277"/>
      <c r="AU25" s="449"/>
      <c r="AV25" s="533">
        <f t="shared" si="42"/>
        <v>0.5383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44033</v>
      </c>
      <c r="B26">
        <f>'B5'!B25</f>
        <v>171.3</v>
      </c>
      <c r="C26" s="206">
        <f t="shared" si="18"/>
        <v>3685.7129032258067</v>
      </c>
      <c r="D26">
        <f t="shared" si="19"/>
        <v>171.3</v>
      </c>
      <c r="E26" s="206">
        <f t="shared" si="18"/>
        <v>3685.7129032258067</v>
      </c>
      <c r="F26">
        <f t="shared" si="20"/>
        <v>171.3</v>
      </c>
      <c r="G26" s="206">
        <f t="shared" si="1"/>
        <v>3685.7129032258067</v>
      </c>
      <c r="H26" s="206">
        <f t="shared" si="21"/>
        <v>171.3</v>
      </c>
      <c r="I26" s="206">
        <f t="shared" si="2"/>
        <v>3685.7129032258067</v>
      </c>
      <c r="J26" s="206">
        <f t="shared" si="22"/>
        <v>171.3</v>
      </c>
      <c r="K26" s="206">
        <f t="shared" si="3"/>
        <v>3685.7129032258067</v>
      </c>
      <c r="L26" s="206">
        <f t="shared" si="23"/>
        <v>171.3</v>
      </c>
      <c r="M26" s="206">
        <f t="shared" si="4"/>
        <v>3685.7129032258067</v>
      </c>
      <c r="N26" s="206">
        <f t="shared" si="24"/>
        <v>171.3</v>
      </c>
      <c r="O26" s="206">
        <f t="shared" si="5"/>
        <v>3685.7129032258067</v>
      </c>
      <c r="P26" s="206">
        <f t="shared" si="25"/>
        <v>171.3</v>
      </c>
      <c r="Q26" s="206">
        <f t="shared" si="6"/>
        <v>3685.7129032258067</v>
      </c>
      <c r="R26" s="206">
        <f t="shared" si="26"/>
        <v>171.3</v>
      </c>
      <c r="S26" s="206">
        <f t="shared" si="7"/>
        <v>3685.7129032258067</v>
      </c>
      <c r="T26" s="206">
        <f t="shared" si="27"/>
        <v>171.3</v>
      </c>
      <c r="U26" s="206">
        <f t="shared" si="8"/>
        <v>3685.7129032258067</v>
      </c>
      <c r="V26" s="206">
        <f t="shared" si="28"/>
        <v>171.3</v>
      </c>
      <c r="W26" s="206">
        <f t="shared" si="9"/>
        <v>3685.7129032258067</v>
      </c>
      <c r="X26" s="35">
        <f t="shared" si="10"/>
        <v>0.55258064516129035</v>
      </c>
      <c r="Y26" s="36">
        <f t="shared" si="29"/>
        <v>40542.841935483877</v>
      </c>
      <c r="Z26" s="206">
        <f>'B5'!C25</f>
        <v>178</v>
      </c>
      <c r="AA26" s="206">
        <f t="shared" si="30"/>
        <v>1780</v>
      </c>
      <c r="AB26" s="206">
        <f t="shared" si="31"/>
        <v>178</v>
      </c>
      <c r="AC26" s="206">
        <f t="shared" si="30"/>
        <v>1780</v>
      </c>
      <c r="AD26" s="206">
        <f t="shared" si="32"/>
        <v>178</v>
      </c>
      <c r="AE26" s="206">
        <f t="shared" si="11"/>
        <v>1780</v>
      </c>
      <c r="AF26" s="206">
        <f t="shared" si="33"/>
        <v>178</v>
      </c>
      <c r="AG26" s="206">
        <f t="shared" si="12"/>
        <v>1780</v>
      </c>
      <c r="AH26" s="206">
        <f t="shared" si="34"/>
        <v>178</v>
      </c>
      <c r="AI26" s="206">
        <f t="shared" si="13"/>
        <v>1780</v>
      </c>
      <c r="AJ26" s="206">
        <f t="shared" si="35"/>
        <v>178</v>
      </c>
      <c r="AK26" s="206">
        <f t="shared" si="14"/>
        <v>1780</v>
      </c>
      <c r="AL26" s="206">
        <f t="shared" si="36"/>
        <v>178</v>
      </c>
      <c r="AM26" s="206">
        <f t="shared" si="15"/>
        <v>1780</v>
      </c>
      <c r="AN26" s="35">
        <f t="shared" si="16"/>
        <v>0.63571428571428568</v>
      </c>
      <c r="AO26" s="36">
        <f t="shared" si="17"/>
        <v>12460</v>
      </c>
      <c r="AQ26" s="226">
        <f t="shared" si="37"/>
        <v>0.57010693702790016</v>
      </c>
      <c r="AR26" s="38">
        <f t="shared" si="41"/>
        <v>53002.841935483877</v>
      </c>
      <c r="AS26" s="200">
        <f t="shared" si="38"/>
        <v>0</v>
      </c>
      <c r="AT26" s="277"/>
      <c r="AU26" s="449"/>
      <c r="AV26" s="533">
        <f t="shared" si="42"/>
        <v>0.5383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44034</v>
      </c>
      <c r="B27">
        <f>'B5'!B26</f>
        <v>171.3</v>
      </c>
      <c r="C27" s="206">
        <f t="shared" si="18"/>
        <v>3685.7129032258067</v>
      </c>
      <c r="D27">
        <f t="shared" si="19"/>
        <v>171.3</v>
      </c>
      <c r="E27" s="206">
        <f t="shared" si="18"/>
        <v>3685.7129032258067</v>
      </c>
      <c r="F27">
        <f t="shared" si="20"/>
        <v>171.3</v>
      </c>
      <c r="G27" s="206">
        <f t="shared" si="1"/>
        <v>3685.7129032258067</v>
      </c>
      <c r="H27" s="206">
        <f t="shared" si="21"/>
        <v>171.3</v>
      </c>
      <c r="I27" s="206">
        <f t="shared" si="2"/>
        <v>3685.7129032258067</v>
      </c>
      <c r="J27" s="206">
        <f t="shared" si="22"/>
        <v>171.3</v>
      </c>
      <c r="K27" s="206">
        <f t="shared" si="3"/>
        <v>3685.7129032258067</v>
      </c>
      <c r="L27" s="206">
        <f t="shared" si="23"/>
        <v>171.3</v>
      </c>
      <c r="M27" s="206">
        <f t="shared" si="4"/>
        <v>3685.7129032258067</v>
      </c>
      <c r="N27" s="206">
        <f t="shared" si="24"/>
        <v>171.3</v>
      </c>
      <c r="O27" s="206">
        <f t="shared" si="5"/>
        <v>3685.7129032258067</v>
      </c>
      <c r="P27" s="206">
        <f t="shared" si="25"/>
        <v>171.3</v>
      </c>
      <c r="Q27" s="206">
        <f t="shared" si="6"/>
        <v>3685.7129032258067</v>
      </c>
      <c r="R27" s="206">
        <f t="shared" si="26"/>
        <v>171.3</v>
      </c>
      <c r="S27" s="206">
        <f t="shared" si="7"/>
        <v>3685.7129032258067</v>
      </c>
      <c r="T27" s="206">
        <f t="shared" si="27"/>
        <v>171.3</v>
      </c>
      <c r="U27" s="206">
        <f t="shared" si="8"/>
        <v>3685.7129032258067</v>
      </c>
      <c r="V27" s="206">
        <f t="shared" si="28"/>
        <v>171.3</v>
      </c>
      <c r="W27" s="206">
        <f t="shared" si="9"/>
        <v>3685.7129032258067</v>
      </c>
      <c r="X27" s="35">
        <f t="shared" si="10"/>
        <v>0.55258064516129035</v>
      </c>
      <c r="Y27" s="36">
        <f t="shared" si="29"/>
        <v>40542.841935483877</v>
      </c>
      <c r="Z27" s="206">
        <f>'B5'!C26</f>
        <v>178</v>
      </c>
      <c r="AA27" s="206">
        <f t="shared" si="30"/>
        <v>1780</v>
      </c>
      <c r="AB27" s="206">
        <f t="shared" si="31"/>
        <v>178</v>
      </c>
      <c r="AC27" s="206">
        <f t="shared" si="30"/>
        <v>1780</v>
      </c>
      <c r="AD27" s="206">
        <f t="shared" si="32"/>
        <v>178</v>
      </c>
      <c r="AE27" s="206">
        <f t="shared" si="11"/>
        <v>1780</v>
      </c>
      <c r="AF27" s="206">
        <f t="shared" si="33"/>
        <v>178</v>
      </c>
      <c r="AG27" s="206">
        <f t="shared" si="12"/>
        <v>1780</v>
      </c>
      <c r="AH27" s="206">
        <f t="shared" si="34"/>
        <v>178</v>
      </c>
      <c r="AI27" s="206">
        <f t="shared" si="13"/>
        <v>1780</v>
      </c>
      <c r="AJ27" s="206">
        <f t="shared" si="35"/>
        <v>178</v>
      </c>
      <c r="AK27" s="206">
        <f t="shared" si="14"/>
        <v>1780</v>
      </c>
      <c r="AL27" s="206">
        <f t="shared" si="36"/>
        <v>178</v>
      </c>
      <c r="AM27" s="206">
        <f t="shared" si="15"/>
        <v>1780</v>
      </c>
      <c r="AN27" s="35">
        <f t="shared" si="16"/>
        <v>0.63571428571428568</v>
      </c>
      <c r="AO27" s="36">
        <f t="shared" si="17"/>
        <v>12460</v>
      </c>
      <c r="AQ27" s="226">
        <f t="shared" si="37"/>
        <v>0.57010693702790016</v>
      </c>
      <c r="AR27" s="38">
        <f t="shared" si="41"/>
        <v>53002.841935483877</v>
      </c>
      <c r="AS27" s="200">
        <f t="shared" si="38"/>
        <v>0</v>
      </c>
      <c r="AT27" s="277"/>
      <c r="AU27" s="449"/>
      <c r="AV27" s="533">
        <f t="shared" si="42"/>
        <v>0.5383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44035</v>
      </c>
      <c r="B28">
        <f>'B5'!B27</f>
        <v>171.3</v>
      </c>
      <c r="C28" s="206">
        <f t="shared" si="18"/>
        <v>3685.7129032258067</v>
      </c>
      <c r="D28">
        <f t="shared" si="19"/>
        <v>171.3</v>
      </c>
      <c r="E28" s="206">
        <f t="shared" si="18"/>
        <v>3685.7129032258067</v>
      </c>
      <c r="F28">
        <f t="shared" si="20"/>
        <v>171.3</v>
      </c>
      <c r="G28" s="206">
        <f t="shared" si="1"/>
        <v>3685.7129032258067</v>
      </c>
      <c r="H28" s="206">
        <f t="shared" si="21"/>
        <v>171.3</v>
      </c>
      <c r="I28" s="206">
        <f t="shared" si="2"/>
        <v>3685.7129032258067</v>
      </c>
      <c r="J28" s="206">
        <f t="shared" si="22"/>
        <v>171.3</v>
      </c>
      <c r="K28" s="206">
        <f t="shared" si="3"/>
        <v>3685.7129032258067</v>
      </c>
      <c r="L28" s="206">
        <f t="shared" si="23"/>
        <v>171.3</v>
      </c>
      <c r="M28" s="206">
        <f t="shared" si="4"/>
        <v>3685.7129032258067</v>
      </c>
      <c r="N28" s="206">
        <f t="shared" si="24"/>
        <v>171.3</v>
      </c>
      <c r="O28" s="206">
        <f t="shared" si="5"/>
        <v>3685.7129032258067</v>
      </c>
      <c r="P28" s="206">
        <f t="shared" si="25"/>
        <v>171.3</v>
      </c>
      <c r="Q28" s="206">
        <f t="shared" si="6"/>
        <v>3685.7129032258067</v>
      </c>
      <c r="R28" s="206">
        <f t="shared" si="26"/>
        <v>171.3</v>
      </c>
      <c r="S28" s="206">
        <f t="shared" si="7"/>
        <v>3685.7129032258067</v>
      </c>
      <c r="T28" s="206">
        <f t="shared" si="27"/>
        <v>171.3</v>
      </c>
      <c r="U28" s="206">
        <f t="shared" si="8"/>
        <v>3685.7129032258067</v>
      </c>
      <c r="V28" s="206">
        <f t="shared" si="28"/>
        <v>171.3</v>
      </c>
      <c r="W28" s="206">
        <f t="shared" si="9"/>
        <v>3685.7129032258067</v>
      </c>
      <c r="X28" s="35">
        <f t="shared" si="10"/>
        <v>0.55258064516129035</v>
      </c>
      <c r="Y28" s="36">
        <f t="shared" si="29"/>
        <v>40542.841935483877</v>
      </c>
      <c r="Z28" s="206">
        <f>'B5'!C27</f>
        <v>178</v>
      </c>
      <c r="AA28" s="206">
        <f t="shared" si="30"/>
        <v>1780</v>
      </c>
      <c r="AB28" s="206">
        <f t="shared" si="31"/>
        <v>178</v>
      </c>
      <c r="AC28" s="206">
        <f t="shared" si="30"/>
        <v>1780</v>
      </c>
      <c r="AD28" s="206">
        <f t="shared" si="32"/>
        <v>178</v>
      </c>
      <c r="AE28" s="206">
        <f t="shared" si="11"/>
        <v>1780</v>
      </c>
      <c r="AF28" s="206">
        <f t="shared" si="33"/>
        <v>178</v>
      </c>
      <c r="AG28" s="206">
        <f t="shared" si="12"/>
        <v>1780</v>
      </c>
      <c r="AH28" s="206">
        <f t="shared" si="34"/>
        <v>178</v>
      </c>
      <c r="AI28" s="206">
        <f t="shared" si="13"/>
        <v>1780</v>
      </c>
      <c r="AJ28" s="206">
        <f t="shared" si="35"/>
        <v>178</v>
      </c>
      <c r="AK28" s="206">
        <f t="shared" si="14"/>
        <v>1780</v>
      </c>
      <c r="AL28" s="206">
        <f t="shared" si="36"/>
        <v>178</v>
      </c>
      <c r="AM28" s="206">
        <f t="shared" si="15"/>
        <v>1780</v>
      </c>
      <c r="AN28" s="35">
        <f t="shared" si="16"/>
        <v>0.63571428571428568</v>
      </c>
      <c r="AO28" s="36">
        <f t="shared" si="17"/>
        <v>12460</v>
      </c>
      <c r="AQ28" s="226">
        <f t="shared" si="37"/>
        <v>0.57010693702790016</v>
      </c>
      <c r="AR28" s="38">
        <f t="shared" si="41"/>
        <v>53002.841935483877</v>
      </c>
      <c r="AS28" s="200">
        <f t="shared" si="38"/>
        <v>0</v>
      </c>
      <c r="AT28" s="365"/>
      <c r="AU28" s="449"/>
      <c r="AV28" s="533">
        <f t="shared" si="42"/>
        <v>0.5383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44036</v>
      </c>
      <c r="B29">
        <f>'B5'!B28</f>
        <v>171.3</v>
      </c>
      <c r="C29" s="206">
        <f t="shared" si="18"/>
        <v>3685.7129032258067</v>
      </c>
      <c r="D29">
        <f t="shared" si="19"/>
        <v>171.3</v>
      </c>
      <c r="E29" s="206">
        <f t="shared" si="18"/>
        <v>3685.7129032258067</v>
      </c>
      <c r="F29">
        <f t="shared" si="20"/>
        <v>171.3</v>
      </c>
      <c r="G29" s="206">
        <f t="shared" si="1"/>
        <v>3685.7129032258067</v>
      </c>
      <c r="H29" s="206">
        <f t="shared" si="21"/>
        <v>171.3</v>
      </c>
      <c r="I29" s="206">
        <f t="shared" si="2"/>
        <v>3685.7129032258067</v>
      </c>
      <c r="J29" s="206">
        <f t="shared" si="22"/>
        <v>171.3</v>
      </c>
      <c r="K29" s="206">
        <f t="shared" si="3"/>
        <v>3685.7129032258067</v>
      </c>
      <c r="L29" s="206">
        <f t="shared" si="23"/>
        <v>171.3</v>
      </c>
      <c r="M29" s="206">
        <f t="shared" si="4"/>
        <v>3685.7129032258067</v>
      </c>
      <c r="N29" s="206">
        <f t="shared" si="24"/>
        <v>171.3</v>
      </c>
      <c r="O29" s="206">
        <f t="shared" si="5"/>
        <v>3685.7129032258067</v>
      </c>
      <c r="P29" s="206">
        <f t="shared" si="25"/>
        <v>171.3</v>
      </c>
      <c r="Q29" s="206">
        <f t="shared" si="6"/>
        <v>3685.7129032258067</v>
      </c>
      <c r="R29" s="206">
        <f t="shared" si="26"/>
        <v>171.3</v>
      </c>
      <c r="S29" s="206">
        <f t="shared" si="7"/>
        <v>3685.7129032258067</v>
      </c>
      <c r="T29" s="206">
        <f t="shared" si="27"/>
        <v>171.3</v>
      </c>
      <c r="U29" s="206">
        <f t="shared" si="8"/>
        <v>3685.7129032258067</v>
      </c>
      <c r="V29" s="206">
        <f t="shared" si="28"/>
        <v>171.3</v>
      </c>
      <c r="W29" s="206">
        <f t="shared" si="9"/>
        <v>3685.7129032258067</v>
      </c>
      <c r="X29" s="35">
        <f t="shared" si="10"/>
        <v>0.55258064516129035</v>
      </c>
      <c r="Y29" s="36">
        <f t="shared" si="29"/>
        <v>40542.841935483877</v>
      </c>
      <c r="Z29" s="206">
        <f>'B5'!C28</f>
        <v>178</v>
      </c>
      <c r="AA29" s="206">
        <f t="shared" si="30"/>
        <v>1780</v>
      </c>
      <c r="AB29" s="206">
        <f t="shared" si="31"/>
        <v>178</v>
      </c>
      <c r="AC29" s="206">
        <f t="shared" si="30"/>
        <v>1780</v>
      </c>
      <c r="AD29" s="206">
        <f t="shared" si="32"/>
        <v>178</v>
      </c>
      <c r="AE29" s="206">
        <f t="shared" si="11"/>
        <v>1780</v>
      </c>
      <c r="AF29" s="206">
        <f t="shared" si="33"/>
        <v>178</v>
      </c>
      <c r="AG29" s="206">
        <f t="shared" si="12"/>
        <v>1780</v>
      </c>
      <c r="AH29" s="206">
        <f t="shared" si="34"/>
        <v>178</v>
      </c>
      <c r="AI29" s="206">
        <f t="shared" si="13"/>
        <v>1780</v>
      </c>
      <c r="AJ29" s="206">
        <f t="shared" si="35"/>
        <v>178</v>
      </c>
      <c r="AK29" s="206">
        <f t="shared" si="14"/>
        <v>1780</v>
      </c>
      <c r="AL29" s="206">
        <f t="shared" si="36"/>
        <v>178</v>
      </c>
      <c r="AM29" s="206">
        <f t="shared" si="15"/>
        <v>1780</v>
      </c>
      <c r="AN29" s="35">
        <f t="shared" si="16"/>
        <v>0.63571428571428568</v>
      </c>
      <c r="AO29" s="36">
        <f t="shared" si="17"/>
        <v>12460</v>
      </c>
      <c r="AQ29" s="226">
        <f t="shared" si="37"/>
        <v>0.57010693702790016</v>
      </c>
      <c r="AR29" s="38">
        <f t="shared" si="41"/>
        <v>53002.841935483877</v>
      </c>
      <c r="AS29" s="200">
        <f t="shared" si="38"/>
        <v>0</v>
      </c>
      <c r="AT29" s="365"/>
      <c r="AU29" s="449"/>
      <c r="AV29" s="533">
        <f t="shared" si="42"/>
        <v>0.5383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44037</v>
      </c>
      <c r="B30">
        <f>'B5'!B29</f>
        <v>171.3</v>
      </c>
      <c r="C30" s="206">
        <f t="shared" si="18"/>
        <v>3685.7129032258067</v>
      </c>
      <c r="D30">
        <f t="shared" ref="D30:D35" si="44">SUM(B30)</f>
        <v>171.3</v>
      </c>
      <c r="E30" s="206">
        <f t="shared" si="18"/>
        <v>3685.7129032258067</v>
      </c>
      <c r="F30">
        <f t="shared" ref="F30:F35" si="45">SUM(D30)</f>
        <v>171.3</v>
      </c>
      <c r="G30" s="206">
        <f t="shared" si="1"/>
        <v>3685.7129032258067</v>
      </c>
      <c r="H30" s="206">
        <f t="shared" ref="H30:H35" si="46">SUM(F30)</f>
        <v>171.3</v>
      </c>
      <c r="I30" s="206">
        <f t="shared" si="2"/>
        <v>3685.7129032258067</v>
      </c>
      <c r="J30" s="206">
        <f t="shared" ref="J30:J35" si="47">SUM(H30)</f>
        <v>171.3</v>
      </c>
      <c r="K30" s="206">
        <f t="shared" si="3"/>
        <v>3685.7129032258067</v>
      </c>
      <c r="L30" s="206">
        <f t="shared" ref="L30:L35" si="48">SUM(J30)</f>
        <v>171.3</v>
      </c>
      <c r="M30" s="206">
        <f t="shared" si="4"/>
        <v>3685.7129032258067</v>
      </c>
      <c r="N30" s="206">
        <f t="shared" ref="N30:N35" si="49">SUM(L30)</f>
        <v>171.3</v>
      </c>
      <c r="O30" s="206">
        <f t="shared" si="5"/>
        <v>3685.7129032258067</v>
      </c>
      <c r="P30" s="206">
        <f t="shared" ref="P30:P35" si="50">SUM(N30)</f>
        <v>171.3</v>
      </c>
      <c r="Q30" s="206">
        <f t="shared" si="6"/>
        <v>3685.7129032258067</v>
      </c>
      <c r="R30" s="206">
        <f t="shared" ref="R30:R35" si="51">SUM(P30)</f>
        <v>171.3</v>
      </c>
      <c r="S30" s="206">
        <f t="shared" si="7"/>
        <v>3685.7129032258067</v>
      </c>
      <c r="T30" s="206">
        <f t="shared" ref="T30:T35" si="52">SUM(R30)</f>
        <v>171.3</v>
      </c>
      <c r="U30" s="206">
        <f t="shared" si="8"/>
        <v>3685.7129032258067</v>
      </c>
      <c r="V30" s="206">
        <f t="shared" ref="V30:V35" si="53">SUM(T30)</f>
        <v>171.3</v>
      </c>
      <c r="W30" s="206">
        <f t="shared" si="9"/>
        <v>3685.7129032258067</v>
      </c>
      <c r="X30" s="35">
        <f t="shared" ref="X30:X35" si="54">SUM(Y30/73370)</f>
        <v>0.55258064516129035</v>
      </c>
      <c r="Y30" s="36">
        <f t="shared" ref="Y30:Y35" si="55">SUM(C30+E30+G30+I30+K30+M30+O30+Q30+S30+U30+W30)</f>
        <v>40542.841935483877</v>
      </c>
      <c r="Z30" s="206">
        <f>'B5'!C29</f>
        <v>178</v>
      </c>
      <c r="AA30" s="206">
        <f t="shared" si="30"/>
        <v>1780</v>
      </c>
      <c r="AB30" s="206">
        <f t="shared" ref="AB30:AB35" si="56">SUM(Z30)</f>
        <v>178</v>
      </c>
      <c r="AC30" s="206">
        <f t="shared" si="30"/>
        <v>1780</v>
      </c>
      <c r="AD30" s="206">
        <f t="shared" ref="AD30:AD35" si="57">SUM(AB30)</f>
        <v>178</v>
      </c>
      <c r="AE30" s="206">
        <f t="shared" si="11"/>
        <v>1780</v>
      </c>
      <c r="AF30" s="206">
        <f t="shared" ref="AF30:AF35" si="58">SUM(AD30)</f>
        <v>178</v>
      </c>
      <c r="AG30" s="206">
        <f t="shared" si="12"/>
        <v>1780</v>
      </c>
      <c r="AH30" s="206">
        <f t="shared" ref="AH30:AH35" si="59">SUM(AF30)</f>
        <v>178</v>
      </c>
      <c r="AI30" s="206">
        <f t="shared" si="13"/>
        <v>1780</v>
      </c>
      <c r="AJ30" s="206">
        <f t="shared" ref="AJ30:AJ35" si="60">SUM(AH30)</f>
        <v>178</v>
      </c>
      <c r="AK30" s="206">
        <f t="shared" si="14"/>
        <v>1780</v>
      </c>
      <c r="AL30" s="206">
        <f t="shared" ref="AL30:AL35" si="61">SUM(AJ30)</f>
        <v>178</v>
      </c>
      <c r="AM30" s="206">
        <f t="shared" si="15"/>
        <v>1780</v>
      </c>
      <c r="AN30" s="35">
        <f t="shared" ref="AN30:AN35" si="62">SUM(AO30/19600)</f>
        <v>0.63571428571428568</v>
      </c>
      <c r="AO30" s="36">
        <f t="shared" ref="AO30:AO35" si="63">SUM(AA30+AC30+AE30+AG30+AI30+AK30+AM30)</f>
        <v>12460</v>
      </c>
      <c r="AQ30" s="226">
        <f t="shared" si="37"/>
        <v>0.57010693702790016</v>
      </c>
      <c r="AR30" s="38">
        <f t="shared" si="41"/>
        <v>53002.841935483877</v>
      </c>
      <c r="AS30" s="200">
        <f t="shared" si="38"/>
        <v>0</v>
      </c>
      <c r="AT30" s="365"/>
      <c r="AU30" s="449"/>
      <c r="AV30" s="533">
        <f t="shared" si="42"/>
        <v>0.5383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44038</v>
      </c>
      <c r="B31">
        <f>'B5'!B30</f>
        <v>171.3</v>
      </c>
      <c r="C31" s="206">
        <f t="shared" si="18"/>
        <v>3685.7129032258067</v>
      </c>
      <c r="D31">
        <f t="shared" si="44"/>
        <v>171.3</v>
      </c>
      <c r="E31" s="206">
        <f t="shared" si="18"/>
        <v>3685.7129032258067</v>
      </c>
      <c r="F31">
        <f t="shared" si="45"/>
        <v>171.3</v>
      </c>
      <c r="G31" s="206">
        <f t="shared" si="1"/>
        <v>3685.7129032258067</v>
      </c>
      <c r="H31" s="206">
        <f t="shared" si="46"/>
        <v>171.3</v>
      </c>
      <c r="I31" s="206">
        <f t="shared" si="2"/>
        <v>3685.7129032258067</v>
      </c>
      <c r="J31" s="206">
        <f t="shared" si="47"/>
        <v>171.3</v>
      </c>
      <c r="K31" s="206">
        <f t="shared" si="3"/>
        <v>3685.7129032258067</v>
      </c>
      <c r="L31" s="206">
        <f t="shared" si="48"/>
        <v>171.3</v>
      </c>
      <c r="M31" s="206">
        <f t="shared" si="4"/>
        <v>3685.7129032258067</v>
      </c>
      <c r="N31" s="206">
        <f t="shared" si="49"/>
        <v>171.3</v>
      </c>
      <c r="O31" s="206">
        <f t="shared" si="5"/>
        <v>3685.7129032258067</v>
      </c>
      <c r="P31" s="206">
        <f t="shared" si="50"/>
        <v>171.3</v>
      </c>
      <c r="Q31" s="206">
        <f t="shared" si="6"/>
        <v>3685.7129032258067</v>
      </c>
      <c r="R31" s="206">
        <f t="shared" si="51"/>
        <v>171.3</v>
      </c>
      <c r="S31" s="206">
        <f t="shared" si="7"/>
        <v>3685.7129032258067</v>
      </c>
      <c r="T31" s="206">
        <f t="shared" si="52"/>
        <v>171.3</v>
      </c>
      <c r="U31" s="206">
        <f t="shared" si="8"/>
        <v>3685.7129032258067</v>
      </c>
      <c r="V31" s="206">
        <f t="shared" si="53"/>
        <v>171.3</v>
      </c>
      <c r="W31" s="206">
        <f t="shared" si="9"/>
        <v>3685.7129032258067</v>
      </c>
      <c r="X31" s="35">
        <f t="shared" si="54"/>
        <v>0.55258064516129035</v>
      </c>
      <c r="Y31" s="36">
        <f t="shared" si="55"/>
        <v>40542.841935483877</v>
      </c>
      <c r="Z31" s="206">
        <f>'B5'!C30</f>
        <v>178</v>
      </c>
      <c r="AA31" s="206">
        <f t="shared" si="30"/>
        <v>1780</v>
      </c>
      <c r="AB31" s="206">
        <f t="shared" si="56"/>
        <v>178</v>
      </c>
      <c r="AC31" s="206">
        <f t="shared" si="30"/>
        <v>1780</v>
      </c>
      <c r="AD31" s="206">
        <f t="shared" si="57"/>
        <v>178</v>
      </c>
      <c r="AE31" s="206">
        <f t="shared" si="11"/>
        <v>1780</v>
      </c>
      <c r="AF31" s="206">
        <f t="shared" si="58"/>
        <v>178</v>
      </c>
      <c r="AG31" s="206">
        <f t="shared" si="12"/>
        <v>1780</v>
      </c>
      <c r="AH31" s="206">
        <f t="shared" si="59"/>
        <v>178</v>
      </c>
      <c r="AI31" s="206">
        <f t="shared" si="13"/>
        <v>1780</v>
      </c>
      <c r="AJ31" s="206">
        <f t="shared" si="60"/>
        <v>178</v>
      </c>
      <c r="AK31" s="206">
        <f t="shared" si="14"/>
        <v>1780</v>
      </c>
      <c r="AL31" s="206">
        <f t="shared" si="61"/>
        <v>178</v>
      </c>
      <c r="AM31" s="206">
        <f t="shared" si="15"/>
        <v>1780</v>
      </c>
      <c r="AN31" s="35">
        <f t="shared" si="62"/>
        <v>0.63571428571428568</v>
      </c>
      <c r="AO31" s="36">
        <f t="shared" si="63"/>
        <v>12460</v>
      </c>
      <c r="AQ31" s="226">
        <f t="shared" si="37"/>
        <v>0.57010693702790016</v>
      </c>
      <c r="AR31" s="38">
        <f t="shared" si="41"/>
        <v>53002.841935483877</v>
      </c>
      <c r="AS31" s="200">
        <f>SUM(AR31-AR30-AT31)</f>
        <v>0</v>
      </c>
      <c r="AT31" s="365"/>
      <c r="AU31" s="449"/>
      <c r="AV31" s="533">
        <f t="shared" si="42"/>
        <v>0.5383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44039</v>
      </c>
      <c r="B32">
        <f>'B5'!B31</f>
        <v>171.3</v>
      </c>
      <c r="C32" s="206">
        <f t="shared" si="18"/>
        <v>3685.7129032258067</v>
      </c>
      <c r="D32">
        <f t="shared" si="44"/>
        <v>171.3</v>
      </c>
      <c r="E32" s="206">
        <f t="shared" si="18"/>
        <v>3685.7129032258067</v>
      </c>
      <c r="F32">
        <f t="shared" si="45"/>
        <v>171.3</v>
      </c>
      <c r="G32" s="206">
        <f t="shared" si="1"/>
        <v>3685.7129032258067</v>
      </c>
      <c r="H32" s="206">
        <f t="shared" si="46"/>
        <v>171.3</v>
      </c>
      <c r="I32" s="206">
        <f t="shared" si="2"/>
        <v>3685.7129032258067</v>
      </c>
      <c r="J32" s="206">
        <f t="shared" si="47"/>
        <v>171.3</v>
      </c>
      <c r="K32" s="206">
        <f t="shared" si="3"/>
        <v>3685.7129032258067</v>
      </c>
      <c r="L32" s="206">
        <f t="shared" si="48"/>
        <v>171.3</v>
      </c>
      <c r="M32" s="206">
        <f t="shared" si="4"/>
        <v>3685.7129032258067</v>
      </c>
      <c r="N32" s="206">
        <f t="shared" si="49"/>
        <v>171.3</v>
      </c>
      <c r="O32" s="206">
        <f t="shared" si="5"/>
        <v>3685.7129032258067</v>
      </c>
      <c r="P32" s="206">
        <f t="shared" si="50"/>
        <v>171.3</v>
      </c>
      <c r="Q32" s="206">
        <f t="shared" si="6"/>
        <v>3685.7129032258067</v>
      </c>
      <c r="R32" s="206">
        <f t="shared" si="51"/>
        <v>171.3</v>
      </c>
      <c r="S32" s="206">
        <f t="shared" si="7"/>
        <v>3685.7129032258067</v>
      </c>
      <c r="T32" s="206">
        <f t="shared" si="52"/>
        <v>171.3</v>
      </c>
      <c r="U32" s="206">
        <f t="shared" si="8"/>
        <v>3685.7129032258067</v>
      </c>
      <c r="V32" s="206">
        <f t="shared" si="53"/>
        <v>171.3</v>
      </c>
      <c r="W32" s="206">
        <f t="shared" si="9"/>
        <v>3685.7129032258067</v>
      </c>
      <c r="X32" s="35">
        <f t="shared" si="54"/>
        <v>0.55258064516129035</v>
      </c>
      <c r="Y32" s="36">
        <f t="shared" si="55"/>
        <v>40542.841935483877</v>
      </c>
      <c r="Z32" s="206">
        <f>'B5'!C31</f>
        <v>178</v>
      </c>
      <c r="AA32" s="206">
        <f t="shared" si="30"/>
        <v>1780</v>
      </c>
      <c r="AB32" s="206">
        <f t="shared" si="56"/>
        <v>178</v>
      </c>
      <c r="AC32" s="206">
        <f t="shared" si="30"/>
        <v>1780</v>
      </c>
      <c r="AD32" s="206">
        <f t="shared" si="57"/>
        <v>178</v>
      </c>
      <c r="AE32" s="206">
        <f t="shared" si="11"/>
        <v>1780</v>
      </c>
      <c r="AF32" s="206">
        <f t="shared" si="58"/>
        <v>178</v>
      </c>
      <c r="AG32" s="206">
        <f t="shared" si="12"/>
        <v>1780</v>
      </c>
      <c r="AH32" s="206">
        <f t="shared" si="59"/>
        <v>178</v>
      </c>
      <c r="AI32" s="206">
        <f t="shared" si="13"/>
        <v>1780</v>
      </c>
      <c r="AJ32" s="206">
        <f t="shared" si="60"/>
        <v>178</v>
      </c>
      <c r="AK32" s="206">
        <f t="shared" si="14"/>
        <v>1780</v>
      </c>
      <c r="AL32" s="206">
        <f t="shared" si="61"/>
        <v>178</v>
      </c>
      <c r="AM32" s="206">
        <f t="shared" si="15"/>
        <v>1780</v>
      </c>
      <c r="AN32" s="35">
        <f t="shared" si="62"/>
        <v>0.63571428571428568</v>
      </c>
      <c r="AO32" s="36">
        <f t="shared" si="63"/>
        <v>12460</v>
      </c>
      <c r="AQ32" s="226">
        <f t="shared" si="37"/>
        <v>0.57010693702790016</v>
      </c>
      <c r="AR32" s="38">
        <f t="shared" si="41"/>
        <v>53002.841935483877</v>
      </c>
      <c r="AS32" s="200">
        <f t="shared" si="38"/>
        <v>0</v>
      </c>
      <c r="AT32" s="365"/>
      <c r="AU32" s="449"/>
      <c r="AV32" s="533">
        <f>IF(AT32&gt;0,AU32,AV31)</f>
        <v>0.5383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44040</v>
      </c>
      <c r="B33">
        <f>'B5'!B32</f>
        <v>171.3</v>
      </c>
      <c r="C33" s="206">
        <f t="shared" si="18"/>
        <v>3685.7129032258067</v>
      </c>
      <c r="D33">
        <f t="shared" si="44"/>
        <v>171.3</v>
      </c>
      <c r="E33" s="206">
        <f t="shared" si="18"/>
        <v>3685.7129032258067</v>
      </c>
      <c r="F33">
        <f t="shared" si="45"/>
        <v>171.3</v>
      </c>
      <c r="G33" s="206">
        <f t="shared" si="1"/>
        <v>3685.7129032258067</v>
      </c>
      <c r="H33" s="206">
        <f t="shared" si="46"/>
        <v>171.3</v>
      </c>
      <c r="I33" s="206">
        <f t="shared" si="2"/>
        <v>3685.7129032258067</v>
      </c>
      <c r="J33" s="206">
        <f t="shared" si="47"/>
        <v>171.3</v>
      </c>
      <c r="K33" s="206">
        <f t="shared" si="3"/>
        <v>3685.7129032258067</v>
      </c>
      <c r="L33" s="206">
        <f t="shared" si="48"/>
        <v>171.3</v>
      </c>
      <c r="M33" s="206">
        <f t="shared" si="4"/>
        <v>3685.7129032258067</v>
      </c>
      <c r="N33" s="206">
        <f t="shared" si="49"/>
        <v>171.3</v>
      </c>
      <c r="O33" s="206">
        <f t="shared" si="5"/>
        <v>3685.7129032258067</v>
      </c>
      <c r="P33" s="206">
        <f t="shared" si="50"/>
        <v>171.3</v>
      </c>
      <c r="Q33" s="206">
        <f t="shared" si="6"/>
        <v>3685.7129032258067</v>
      </c>
      <c r="R33" s="206">
        <f t="shared" si="51"/>
        <v>171.3</v>
      </c>
      <c r="S33" s="206">
        <f t="shared" si="7"/>
        <v>3685.7129032258067</v>
      </c>
      <c r="T33" s="206">
        <f t="shared" si="52"/>
        <v>171.3</v>
      </c>
      <c r="U33" s="206">
        <f t="shared" si="8"/>
        <v>3685.7129032258067</v>
      </c>
      <c r="V33" s="206">
        <f t="shared" si="53"/>
        <v>171.3</v>
      </c>
      <c r="W33" s="206">
        <f t="shared" si="9"/>
        <v>3685.7129032258067</v>
      </c>
      <c r="X33" s="35">
        <f t="shared" si="54"/>
        <v>0.55258064516129035</v>
      </c>
      <c r="Y33" s="36">
        <f t="shared" si="55"/>
        <v>40542.841935483877</v>
      </c>
      <c r="Z33" s="206">
        <f>'B5'!C32</f>
        <v>178</v>
      </c>
      <c r="AA33" s="206">
        <f t="shared" si="30"/>
        <v>1780</v>
      </c>
      <c r="AB33" s="206">
        <f t="shared" si="56"/>
        <v>178</v>
      </c>
      <c r="AC33" s="206">
        <f t="shared" si="30"/>
        <v>1780</v>
      </c>
      <c r="AD33" s="206">
        <f t="shared" si="57"/>
        <v>178</v>
      </c>
      <c r="AE33" s="206">
        <f t="shared" si="11"/>
        <v>1780</v>
      </c>
      <c r="AF33" s="206">
        <f t="shared" si="58"/>
        <v>178</v>
      </c>
      <c r="AG33" s="206">
        <f t="shared" si="12"/>
        <v>1780</v>
      </c>
      <c r="AH33" s="206">
        <f t="shared" si="59"/>
        <v>178</v>
      </c>
      <c r="AI33" s="206">
        <f t="shared" si="13"/>
        <v>1780</v>
      </c>
      <c r="AJ33" s="206">
        <f t="shared" si="60"/>
        <v>178</v>
      </c>
      <c r="AK33" s="206">
        <f t="shared" si="14"/>
        <v>1780</v>
      </c>
      <c r="AL33" s="206">
        <f t="shared" si="61"/>
        <v>178</v>
      </c>
      <c r="AM33" s="206">
        <f t="shared" si="15"/>
        <v>1780</v>
      </c>
      <c r="AN33" s="35">
        <f t="shared" si="62"/>
        <v>0.63571428571428568</v>
      </c>
      <c r="AO33" s="36">
        <f t="shared" si="63"/>
        <v>12460</v>
      </c>
      <c r="AQ33" s="226">
        <f t="shared" si="37"/>
        <v>0.57010693702790016</v>
      </c>
      <c r="AR33" s="38">
        <f t="shared" si="41"/>
        <v>53002.841935483877</v>
      </c>
      <c r="AS33" s="200">
        <f t="shared" si="38"/>
        <v>0</v>
      </c>
      <c r="AT33" s="365"/>
      <c r="AU33" s="449"/>
      <c r="AV33" s="533">
        <f>IF(AT33&gt;0,AU33,AV32)</f>
        <v>0.5383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44041</v>
      </c>
      <c r="B34">
        <f>'B5'!B33</f>
        <v>171.3</v>
      </c>
      <c r="C34" s="206">
        <f t="shared" si="18"/>
        <v>3685.7129032258067</v>
      </c>
      <c r="D34">
        <f t="shared" si="44"/>
        <v>171.3</v>
      </c>
      <c r="E34" s="206">
        <f t="shared" si="18"/>
        <v>3685.7129032258067</v>
      </c>
      <c r="F34">
        <f t="shared" si="45"/>
        <v>171.3</v>
      </c>
      <c r="G34" s="206">
        <f t="shared" si="1"/>
        <v>3685.7129032258067</v>
      </c>
      <c r="H34" s="206">
        <f t="shared" si="46"/>
        <v>171.3</v>
      </c>
      <c r="I34" s="206">
        <f t="shared" si="2"/>
        <v>3685.7129032258067</v>
      </c>
      <c r="J34" s="206">
        <f t="shared" si="47"/>
        <v>171.3</v>
      </c>
      <c r="K34" s="206">
        <f t="shared" si="3"/>
        <v>3685.7129032258067</v>
      </c>
      <c r="L34" s="206">
        <f t="shared" si="48"/>
        <v>171.3</v>
      </c>
      <c r="M34" s="206">
        <f t="shared" si="4"/>
        <v>3685.7129032258067</v>
      </c>
      <c r="N34" s="206">
        <f t="shared" si="49"/>
        <v>171.3</v>
      </c>
      <c r="O34" s="206">
        <f t="shared" si="5"/>
        <v>3685.7129032258067</v>
      </c>
      <c r="P34" s="206">
        <f t="shared" si="50"/>
        <v>171.3</v>
      </c>
      <c r="Q34" s="206">
        <f t="shared" si="6"/>
        <v>3685.7129032258067</v>
      </c>
      <c r="R34" s="206">
        <f t="shared" si="51"/>
        <v>171.3</v>
      </c>
      <c r="S34" s="206">
        <f t="shared" si="7"/>
        <v>3685.7129032258067</v>
      </c>
      <c r="T34" s="206">
        <f t="shared" si="52"/>
        <v>171.3</v>
      </c>
      <c r="U34" s="206">
        <f t="shared" si="8"/>
        <v>3685.7129032258067</v>
      </c>
      <c r="V34" s="206">
        <f t="shared" si="53"/>
        <v>171.3</v>
      </c>
      <c r="W34" s="206">
        <f t="shared" si="9"/>
        <v>3685.7129032258067</v>
      </c>
      <c r="X34" s="35">
        <f t="shared" si="54"/>
        <v>0.55258064516129035</v>
      </c>
      <c r="Y34" s="36">
        <f t="shared" si="55"/>
        <v>40542.841935483877</v>
      </c>
      <c r="Z34" s="206">
        <f>'B5'!C33</f>
        <v>178</v>
      </c>
      <c r="AA34" s="206">
        <f t="shared" si="30"/>
        <v>1780</v>
      </c>
      <c r="AB34" s="206">
        <f t="shared" si="56"/>
        <v>178</v>
      </c>
      <c r="AC34" s="206">
        <f t="shared" si="30"/>
        <v>1780</v>
      </c>
      <c r="AD34" s="206">
        <f t="shared" si="57"/>
        <v>178</v>
      </c>
      <c r="AE34" s="206">
        <f t="shared" si="11"/>
        <v>1780</v>
      </c>
      <c r="AF34" s="206">
        <f t="shared" si="58"/>
        <v>178</v>
      </c>
      <c r="AG34" s="206">
        <f t="shared" si="12"/>
        <v>1780</v>
      </c>
      <c r="AH34" s="206">
        <f t="shared" si="59"/>
        <v>178</v>
      </c>
      <c r="AI34" s="206">
        <f t="shared" si="13"/>
        <v>1780</v>
      </c>
      <c r="AJ34" s="206">
        <f t="shared" si="60"/>
        <v>178</v>
      </c>
      <c r="AK34" s="206">
        <f t="shared" si="14"/>
        <v>1780</v>
      </c>
      <c r="AL34" s="206">
        <f t="shared" si="61"/>
        <v>178</v>
      </c>
      <c r="AM34" s="206">
        <f t="shared" si="15"/>
        <v>1780</v>
      </c>
      <c r="AN34" s="35">
        <f t="shared" si="62"/>
        <v>0.63571428571428568</v>
      </c>
      <c r="AO34" s="36">
        <f t="shared" si="63"/>
        <v>12460</v>
      </c>
      <c r="AQ34" s="226">
        <f>SUM(AR34/92970)</f>
        <v>0.57010693702790016</v>
      </c>
      <c r="AR34" s="38">
        <f t="shared" si="41"/>
        <v>53002.841935483877</v>
      </c>
      <c r="AS34" s="200">
        <f t="shared" si="38"/>
        <v>0</v>
      </c>
      <c r="AT34" s="365"/>
      <c r="AU34" s="449"/>
      <c r="AV34" s="533">
        <f t="shared" si="42"/>
        <v>0.5383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44042</v>
      </c>
      <c r="B35">
        <f>'B5'!B34</f>
        <v>171.3</v>
      </c>
      <c r="C35" s="206">
        <f t="shared" si="18"/>
        <v>3685.7129032258067</v>
      </c>
      <c r="D35">
        <f t="shared" si="44"/>
        <v>171.3</v>
      </c>
      <c r="E35" s="206">
        <f t="shared" si="18"/>
        <v>3685.7129032258067</v>
      </c>
      <c r="F35">
        <f t="shared" si="45"/>
        <v>171.3</v>
      </c>
      <c r="G35" s="206">
        <f t="shared" si="1"/>
        <v>3685.7129032258067</v>
      </c>
      <c r="H35" s="206">
        <f t="shared" si="46"/>
        <v>171.3</v>
      </c>
      <c r="I35" s="206">
        <f t="shared" si="2"/>
        <v>3685.7129032258067</v>
      </c>
      <c r="J35" s="206">
        <f t="shared" si="47"/>
        <v>171.3</v>
      </c>
      <c r="K35" s="206">
        <f t="shared" si="3"/>
        <v>3685.7129032258067</v>
      </c>
      <c r="L35" s="206">
        <f t="shared" si="48"/>
        <v>171.3</v>
      </c>
      <c r="M35" s="206">
        <f t="shared" si="4"/>
        <v>3685.7129032258067</v>
      </c>
      <c r="N35" s="206">
        <f t="shared" si="49"/>
        <v>171.3</v>
      </c>
      <c r="O35" s="206">
        <f t="shared" si="5"/>
        <v>3685.7129032258067</v>
      </c>
      <c r="P35" s="206">
        <f t="shared" si="50"/>
        <v>171.3</v>
      </c>
      <c r="Q35" s="206">
        <f t="shared" si="6"/>
        <v>3685.7129032258067</v>
      </c>
      <c r="R35" s="206">
        <f t="shared" si="51"/>
        <v>171.3</v>
      </c>
      <c r="S35" s="206">
        <f t="shared" si="7"/>
        <v>3685.7129032258067</v>
      </c>
      <c r="T35" s="206">
        <f t="shared" si="52"/>
        <v>171.3</v>
      </c>
      <c r="U35" s="206">
        <f t="shared" si="8"/>
        <v>3685.7129032258067</v>
      </c>
      <c r="V35" s="206">
        <f t="shared" si="53"/>
        <v>171.3</v>
      </c>
      <c r="W35" s="206">
        <f t="shared" si="9"/>
        <v>3685.7129032258067</v>
      </c>
      <c r="X35" s="35">
        <f t="shared" si="54"/>
        <v>0.55258064516129035</v>
      </c>
      <c r="Y35" s="36">
        <f t="shared" si="55"/>
        <v>40542.841935483877</v>
      </c>
      <c r="Z35" s="206">
        <f>'B5'!C34</f>
        <v>178</v>
      </c>
      <c r="AA35" s="206">
        <f t="shared" si="30"/>
        <v>1780</v>
      </c>
      <c r="AB35" s="206">
        <f t="shared" si="56"/>
        <v>178</v>
      </c>
      <c r="AC35" s="206">
        <f t="shared" si="30"/>
        <v>1780</v>
      </c>
      <c r="AD35" s="206">
        <f t="shared" si="57"/>
        <v>178</v>
      </c>
      <c r="AE35" s="206">
        <f t="shared" si="11"/>
        <v>1780</v>
      </c>
      <c r="AF35" s="206">
        <f t="shared" si="58"/>
        <v>178</v>
      </c>
      <c r="AG35" s="206">
        <f t="shared" si="12"/>
        <v>1780</v>
      </c>
      <c r="AH35" s="206">
        <f t="shared" si="59"/>
        <v>178</v>
      </c>
      <c r="AI35" s="206">
        <f t="shared" si="13"/>
        <v>1780</v>
      </c>
      <c r="AJ35" s="206">
        <f t="shared" si="60"/>
        <v>178</v>
      </c>
      <c r="AK35" s="206">
        <f t="shared" si="14"/>
        <v>1780</v>
      </c>
      <c r="AL35" s="206">
        <f t="shared" si="61"/>
        <v>178</v>
      </c>
      <c r="AM35" s="206">
        <f t="shared" si="15"/>
        <v>1780</v>
      </c>
      <c r="AN35" s="35">
        <f t="shared" si="62"/>
        <v>0.63571428571428568</v>
      </c>
      <c r="AO35" s="36">
        <f t="shared" si="63"/>
        <v>12460</v>
      </c>
      <c r="AQ35" s="226">
        <f>SUM(AR35/92970)</f>
        <v>0.57010693702790016</v>
      </c>
      <c r="AR35" s="38">
        <f t="shared" si="41"/>
        <v>53002.841935483877</v>
      </c>
      <c r="AS35" s="200">
        <f t="shared" si="38"/>
        <v>0</v>
      </c>
      <c r="AT35" s="365"/>
      <c r="AU35" s="449"/>
      <c r="AV35" s="533">
        <f>IF(AT35&gt;0,AU35,AV34)</f>
        <v>0.5383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44043</v>
      </c>
      <c r="B36">
        <f>'B5'!B35</f>
        <v>171.3</v>
      </c>
      <c r="C36" s="206">
        <f t="shared" ref="C36" si="64">B36*$B$4</f>
        <v>3685.7129032258067</v>
      </c>
      <c r="D36">
        <f t="shared" ref="D36" si="65">SUM(B36)</f>
        <v>171.3</v>
      </c>
      <c r="E36" s="206">
        <f t="shared" ref="E36" si="66">D36*$B$4</f>
        <v>3685.7129032258067</v>
      </c>
      <c r="F36">
        <f t="shared" ref="F36" si="67">SUM(D36)</f>
        <v>171.3</v>
      </c>
      <c r="G36" s="206">
        <f t="shared" ref="G36" si="68">F36*$B$4</f>
        <v>3685.7129032258067</v>
      </c>
      <c r="H36" s="206">
        <f t="shared" ref="H36" si="69">SUM(F36)</f>
        <v>171.3</v>
      </c>
      <c r="I36" s="206">
        <f t="shared" ref="I36" si="70">H36*$B$4</f>
        <v>3685.7129032258067</v>
      </c>
      <c r="J36" s="206">
        <f t="shared" ref="J36" si="71">SUM(H36)</f>
        <v>171.3</v>
      </c>
      <c r="K36" s="206">
        <f t="shared" ref="K36" si="72">J36*$B$4</f>
        <v>3685.7129032258067</v>
      </c>
      <c r="L36" s="206">
        <f t="shared" ref="L36" si="73">SUM(J36)</f>
        <v>171.3</v>
      </c>
      <c r="M36" s="206">
        <f t="shared" ref="M36" si="74">L36*$B$4</f>
        <v>3685.7129032258067</v>
      </c>
      <c r="N36" s="206">
        <f t="shared" ref="N36" si="75">SUM(L36)</f>
        <v>171.3</v>
      </c>
      <c r="O36" s="206">
        <f t="shared" ref="O36" si="76">N36*$B$4</f>
        <v>3685.7129032258067</v>
      </c>
      <c r="P36" s="206">
        <f t="shared" ref="P36" si="77">SUM(N36)</f>
        <v>171.3</v>
      </c>
      <c r="Q36" s="206">
        <f t="shared" ref="Q36" si="78">P36*$B$4</f>
        <v>3685.7129032258067</v>
      </c>
      <c r="R36" s="206">
        <f t="shared" ref="R36" si="79">SUM(P36)</f>
        <v>171.3</v>
      </c>
      <c r="S36" s="206">
        <f t="shared" ref="S36" si="80">R36*$B$4</f>
        <v>3685.7129032258067</v>
      </c>
      <c r="T36" s="206">
        <f t="shared" ref="T36" si="81">SUM(R36)</f>
        <v>171.3</v>
      </c>
      <c r="U36" s="206">
        <f t="shared" ref="U36" si="82">T36*$B$4</f>
        <v>3685.7129032258067</v>
      </c>
      <c r="V36" s="206">
        <f t="shared" ref="V36" si="83">SUM(T36)</f>
        <v>171.3</v>
      </c>
      <c r="W36" s="206">
        <f t="shared" ref="W36" si="84">V36*$B$4</f>
        <v>3685.7129032258067</v>
      </c>
      <c r="X36" s="35">
        <f t="shared" ref="X36" si="85">SUM(Y36/73370)</f>
        <v>0.55258064516129035</v>
      </c>
      <c r="Y36" s="36">
        <f t="shared" ref="Y36" si="86">SUM(C36+E36+G36+I36+K36+M36+O36+Q36+S36+U36+W36)</f>
        <v>40542.841935483877</v>
      </c>
      <c r="Z36" s="206">
        <f>'B5'!C35</f>
        <v>178</v>
      </c>
      <c r="AA36" s="206">
        <f t="shared" ref="AA36" si="87">SUM(Z36*$Z$4)</f>
        <v>1780</v>
      </c>
      <c r="AB36" s="206">
        <f t="shared" ref="AB36" si="88">SUM(Z36)</f>
        <v>178</v>
      </c>
      <c r="AC36" s="206">
        <f t="shared" ref="AC36" si="89">SUM(AB36*$Z$4)</f>
        <v>1780</v>
      </c>
      <c r="AD36" s="206">
        <f t="shared" ref="AD36" si="90">SUM(AB36)</f>
        <v>178</v>
      </c>
      <c r="AE36" s="206">
        <f t="shared" ref="AE36" si="91">SUM(AD36*$Z$4)</f>
        <v>1780</v>
      </c>
      <c r="AF36" s="206">
        <f t="shared" ref="AF36" si="92">SUM(AD36)</f>
        <v>178</v>
      </c>
      <c r="AG36" s="206">
        <f t="shared" ref="AG36" si="93">SUM(AF36*$Z$4)</f>
        <v>1780</v>
      </c>
      <c r="AH36" s="206">
        <f t="shared" ref="AH36" si="94">SUM(AF36)</f>
        <v>178</v>
      </c>
      <c r="AI36" s="206">
        <f t="shared" ref="AI36" si="95">SUM(AH36*$Z$4)</f>
        <v>1780</v>
      </c>
      <c r="AJ36" s="206">
        <f t="shared" ref="AJ36" si="96">SUM(AH36)</f>
        <v>178</v>
      </c>
      <c r="AK36" s="206">
        <f t="shared" ref="AK36" si="97">SUM(AJ36*$Z$4)</f>
        <v>1780</v>
      </c>
      <c r="AL36" s="206">
        <f t="shared" ref="AL36" si="98">SUM(AJ36)</f>
        <v>178</v>
      </c>
      <c r="AM36" s="206">
        <f t="shared" ref="AM36" si="99">SUM(AL36*$Z$4)</f>
        <v>1780</v>
      </c>
      <c r="AN36" s="35">
        <f t="shared" ref="AN36" si="100">SUM(AO36/19600)</f>
        <v>0.63571428571428568</v>
      </c>
      <c r="AO36" s="36">
        <f t="shared" ref="AO36" si="101">SUM(AA36+AC36+AE36+AG36+AI36+AK36+AM36)</f>
        <v>12460</v>
      </c>
      <c r="AQ36" s="226">
        <f>SUM(AR36/92970)</f>
        <v>0.57010693702790016</v>
      </c>
      <c r="AR36" s="38">
        <f t="shared" ref="AR36" si="102">SUM(AO36+Y36)</f>
        <v>53002.841935483877</v>
      </c>
      <c r="AS36" s="200">
        <f t="shared" ref="AS36" si="103">SUM(AR36-AR35-AT36)</f>
        <v>0</v>
      </c>
      <c r="AT36" s="365"/>
      <c r="AU36" s="449"/>
      <c r="AV36" s="533">
        <f>IF(AT36&gt;0,AU36,AV35)</f>
        <v>0.5383</v>
      </c>
      <c r="AW36" s="298">
        <f>-SUM('B5'!AI35)</f>
        <v>0</v>
      </c>
      <c r="AX36" s="298">
        <f t="shared" ref="AX36" si="104">-SUM(AW36-AS36)</f>
        <v>0</v>
      </c>
      <c r="AY36" s="37">
        <f t="shared" ref="AY36" si="105">SUM(AX36+AW36)</f>
        <v>0</v>
      </c>
      <c r="AZ36" s="100">
        <f>ELEC!A33</f>
        <v>0.104125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226</v>
      </c>
      <c r="AS37" s="499">
        <f>COUNT(AT6:AT35)</f>
        <v>6</v>
      </c>
      <c r="AT37" s="206">
        <f>SUM(AT6:AT35)</f>
        <v>86879</v>
      </c>
      <c r="AU37">
        <f>SUM(AU6:AU35)/AS37</f>
        <v>0.50805</v>
      </c>
      <c r="AX37" s="206">
        <f>SUM(AX6:AX35)</f>
        <v>-70828.096774193546</v>
      </c>
      <c r="AY37" s="206">
        <f>SUM(AY6:AY35)</f>
        <v>-77300.99677419354</v>
      </c>
    </row>
    <row r="38" spans="1:60">
      <c r="AS38" s="209"/>
      <c r="AT38">
        <f>+AT37*AU37</f>
        <v>44138.875950000001</v>
      </c>
    </row>
    <row r="40" spans="1:60">
      <c r="AS40" s="165">
        <f>SUM(AS6:AS35)/'EDl log'!A37</f>
        <v>-5946.2305210918112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M1" zoomScaleNormal="100" workbookViewId="0">
      <pane ySplit="1" topLeftCell="A3" activePane="bottomLeft" state="frozen"/>
      <selection pane="bottomLeft" activeCell="AF18" sqref="AF1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4" t="s">
        <v>375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301</v>
      </c>
      <c r="AK1" s="20" t="s">
        <v>377</v>
      </c>
    </row>
    <row r="2" spans="1:37" ht="15.75" thickBot="1">
      <c r="A2" s="4">
        <f>ELEC!C2</f>
        <v>44012</v>
      </c>
      <c r="B2" s="276">
        <f>[1]GEN!B32</f>
        <v>8777</v>
      </c>
      <c r="C2" s="276">
        <f>[1]GEN!C32</f>
        <v>15</v>
      </c>
      <c r="D2" s="276">
        <f>[1]GEN!D32</f>
        <v>171037</v>
      </c>
      <c r="E2" s="276">
        <f>[1]GEN!E32</f>
        <v>2409</v>
      </c>
      <c r="F2" s="276">
        <f>[1]GEN!F32</f>
        <v>160.6</v>
      </c>
      <c r="G2" s="276">
        <f>[1]GEN!G32</f>
        <v>0</v>
      </c>
      <c r="H2" s="276">
        <f>[1]GEN!H32</f>
        <v>8770</v>
      </c>
      <c r="I2" s="276" t="str">
        <f>[1]GEN!I32</f>
        <v>oil change</v>
      </c>
      <c r="J2" s="276">
        <f>[1]GEN!J32</f>
        <v>10698</v>
      </c>
      <c r="K2" s="276">
        <f>[1]GEN!K32</f>
        <v>0</v>
      </c>
      <c r="L2" s="276">
        <f>[1]GEN!L32</f>
        <v>238499</v>
      </c>
      <c r="M2" s="276">
        <f>[1]GEN!M32</f>
        <v>2</v>
      </c>
      <c r="N2" s="276">
        <f>[1]GEN!N32</f>
        <v>0</v>
      </c>
      <c r="O2" s="276">
        <f>[1]GEN!O32</f>
        <v>0</v>
      </c>
      <c r="P2" s="276">
        <f>[1]GEN!P32</f>
        <v>10873</v>
      </c>
      <c r="Q2" s="276" t="str">
        <f>[1]GEN!Q32</f>
        <v>ok</v>
      </c>
      <c r="R2" s="276">
        <f>[1]GEN!R32</f>
        <v>11252</v>
      </c>
      <c r="S2" s="276">
        <f>[1]GEN!S32</f>
        <v>0</v>
      </c>
      <c r="T2" s="276">
        <f>[1]GEN!T32</f>
        <v>264828</v>
      </c>
      <c r="U2" s="276">
        <f>[1]GEN!U32</f>
        <v>47</v>
      </c>
      <c r="V2" s="276">
        <f>[1]GEN!V32</f>
        <v>0</v>
      </c>
      <c r="W2" s="276">
        <f>[1]GEN!W32</f>
        <v>0</v>
      </c>
      <c r="X2" s="276">
        <f>[1]GEN!X32</f>
        <v>12069</v>
      </c>
      <c r="Y2" s="276" t="str">
        <f>[1]GEN!Y32</f>
        <v>ok</v>
      </c>
      <c r="Z2" s="276">
        <f>[1]GEN!Z32</f>
        <v>15</v>
      </c>
      <c r="AA2" s="276">
        <f>[1]GEN!AA32</f>
        <v>2458</v>
      </c>
      <c r="AB2" s="276">
        <f>[1]GEN!AB32</f>
        <v>160.6</v>
      </c>
      <c r="AC2" s="276">
        <f>[1]GEN!AC32</f>
        <v>163.86666666666667</v>
      </c>
      <c r="AD2" s="276">
        <f>[1]GEN!AD32</f>
        <v>12000</v>
      </c>
      <c r="AE2" s="276">
        <f>[1]GEN!AE32</f>
        <v>800</v>
      </c>
      <c r="AF2" s="276">
        <f>[1]GEN!AF32</f>
        <v>0.5</v>
      </c>
      <c r="AG2" s="276">
        <f>[1]GEN!AG32</f>
        <v>160</v>
      </c>
      <c r="AH2" s="276">
        <f>[1]GEN!AH32</f>
        <v>3.8666666666666742</v>
      </c>
      <c r="AI2" s="276">
        <f>[1]GEN!AI32</f>
        <v>3088.6075949367091</v>
      </c>
      <c r="AJ2" s="276">
        <f>[1]GEN!AJ32</f>
        <v>0.25738396624472576</v>
      </c>
      <c r="AK2" s="276">
        <f>[1]GEN!AK32</f>
        <v>205.9071729957806</v>
      </c>
    </row>
    <row r="3" spans="1:37" ht="15.75" thickBot="1">
      <c r="A3" s="4">
        <f>ELEC!C3</f>
        <v>44013</v>
      </c>
      <c r="B3" s="574">
        <v>8789</v>
      </c>
      <c r="C3" s="295">
        <f>B3-B2</f>
        <v>12</v>
      </c>
      <c r="D3" s="575">
        <v>172770</v>
      </c>
      <c r="E3" s="295">
        <f>SUM(D3-D2)</f>
        <v>1733</v>
      </c>
      <c r="F3" s="295">
        <f t="shared" ref="F3:F32" si="0">IF(C3&gt;0,E3/C3,0)</f>
        <v>144.41666666666666</v>
      </c>
      <c r="G3" s="276">
        <f>[3]GEN!G32</f>
        <v>0</v>
      </c>
      <c r="H3" s="296">
        <f>H2</f>
        <v>8770</v>
      </c>
      <c r="I3" s="295" t="str">
        <f t="shared" ref="I3:I32" si="1">IF(B3-H3&lt;=0,"ok","oil change")</f>
        <v>oil change</v>
      </c>
      <c r="J3" s="276">
        <f>J2</f>
        <v>10698</v>
      </c>
      <c r="K3" s="295">
        <f t="shared" ref="K3:K31" si="2">J3-J2</f>
        <v>0</v>
      </c>
      <c r="L3" s="575">
        <f>L2</f>
        <v>238499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276">
        <v>11260</v>
      </c>
      <c r="S3" s="295">
        <f t="shared" ref="S3:S32" si="5">R3-R2</f>
        <v>8</v>
      </c>
      <c r="T3" s="575">
        <f>T2</f>
        <v>264828</v>
      </c>
      <c r="U3" s="295">
        <f t="shared" ref="U3:U19" si="6">SUM(T3-T2)</f>
        <v>0</v>
      </c>
      <c r="V3" s="295">
        <f>IF(S3&gt;0,U3/S3,0)</f>
        <v>0</v>
      </c>
      <c r="W3" s="276">
        <f>[3]GEN!W32</f>
        <v>0</v>
      </c>
      <c r="X3" s="296">
        <f>X2</f>
        <v>12069</v>
      </c>
      <c r="Y3" s="295" t="str">
        <f t="shared" ref="Y3:Y20" si="7">IF(R3-X3&lt;=0,"ok","oil change")</f>
        <v>ok</v>
      </c>
      <c r="Z3" s="295">
        <f t="shared" ref="Z3:Z32" si="8">C3+K3+S3</f>
        <v>20</v>
      </c>
      <c r="AA3" s="295">
        <f>U3+M3+E3</f>
        <v>1733</v>
      </c>
      <c r="AB3" s="295">
        <f>V3+N3+F3</f>
        <v>144.41666666666666</v>
      </c>
      <c r="AC3" s="295">
        <f>IF(Z3&gt;0,AA3/Z3,0)</f>
        <v>86.65</v>
      </c>
      <c r="AD3" s="73">
        <f>ELEC!Q3</f>
        <v>14000</v>
      </c>
      <c r="AE3" s="73">
        <f>SUM(AD3/Z3)</f>
        <v>700</v>
      </c>
      <c r="AF3" s="413">
        <f>SUM(AE3/1600)</f>
        <v>0.4375</v>
      </c>
      <c r="AG3" s="414">
        <f>SUM(360*AF3)</f>
        <v>157.5</v>
      </c>
      <c r="AH3" s="414">
        <f>SUM(AC3-AG3)</f>
        <v>-70.849999999999994</v>
      </c>
      <c r="AI3" s="73">
        <f>AD3*AJ3</f>
        <v>3603.3755274261607</v>
      </c>
      <c r="AJ3" s="297">
        <f t="shared" ref="AJ3:AJ33" si="9">305/1185</f>
        <v>0.25738396624472576</v>
      </c>
      <c r="AK3" s="297">
        <f t="shared" ref="AK3:AK8" si="10">AI3/Z3</f>
        <v>180.16877637130804</v>
      </c>
    </row>
    <row r="4" spans="1:37" ht="15.75" thickBot="1">
      <c r="A4" s="4">
        <f>ELEC!C4</f>
        <v>44014</v>
      </c>
      <c r="B4" s="574">
        <v>8789</v>
      </c>
      <c r="C4" s="295">
        <f t="shared" ref="C4:C32" si="11">B4-B3</f>
        <v>0</v>
      </c>
      <c r="D4" s="575">
        <v>172771</v>
      </c>
      <c r="E4" s="295">
        <f t="shared" ref="E4:E32" si="12">SUM(D4-D3)</f>
        <v>1</v>
      </c>
      <c r="F4" s="295">
        <f t="shared" si="0"/>
        <v>0</v>
      </c>
      <c r="G4" s="199"/>
      <c r="H4" s="296">
        <f t="shared" ref="H4:H33" si="13">H3</f>
        <v>8770</v>
      </c>
      <c r="I4" s="295" t="str">
        <f t="shared" si="1"/>
        <v>oil change</v>
      </c>
      <c r="J4" s="276">
        <f t="shared" ref="J4:J33" si="14">J3</f>
        <v>10698</v>
      </c>
      <c r="K4" s="295">
        <f t="shared" si="2"/>
        <v>0</v>
      </c>
      <c r="L4" s="575">
        <f t="shared" ref="L4:L33" si="15">L3</f>
        <v>238499</v>
      </c>
      <c r="M4" s="295">
        <f t="shared" si="3"/>
        <v>0</v>
      </c>
      <c r="N4" s="295">
        <f t="shared" ref="N4:N32" si="16">IF(K4&gt;0,M4/K4,0)</f>
        <v>0</v>
      </c>
      <c r="O4" s="199"/>
      <c r="P4" s="296">
        <f t="shared" ref="P4:P33" si="17">P3</f>
        <v>10873</v>
      </c>
      <c r="Q4" s="295" t="str">
        <f t="shared" si="4"/>
        <v>ok</v>
      </c>
      <c r="R4" s="276">
        <v>11276</v>
      </c>
      <c r="S4" s="295">
        <f t="shared" si="5"/>
        <v>16</v>
      </c>
      <c r="T4" s="575">
        <v>269562</v>
      </c>
      <c r="U4" s="295">
        <f t="shared" si="6"/>
        <v>4734</v>
      </c>
      <c r="V4" s="295">
        <f t="shared" ref="V4:V32" si="18">IF(S4&gt;0,U4/S4,0)</f>
        <v>295.875</v>
      </c>
      <c r="W4" s="199"/>
      <c r="X4" s="296">
        <f t="shared" ref="X4:X33" si="19">X3</f>
        <v>12069</v>
      </c>
      <c r="Y4" s="295" t="str">
        <f t="shared" si="7"/>
        <v>ok</v>
      </c>
      <c r="Z4" s="295">
        <f>C4+K4+S4</f>
        <v>16</v>
      </c>
      <c r="AA4" s="295">
        <f t="shared" ref="AA4:AA32" si="20">U4+M4+E4</f>
        <v>4735</v>
      </c>
      <c r="AB4" s="295">
        <f t="shared" ref="AB4:AB32" si="21">V4+N4+F4</f>
        <v>295.875</v>
      </c>
      <c r="AC4" s="295">
        <f t="shared" ref="AC4:AC32" si="22">IF(Z4&gt;0,AA4/Z4,0)</f>
        <v>295.9375</v>
      </c>
      <c r="AD4" s="73">
        <f>ELEC!Q4</f>
        <v>13000</v>
      </c>
      <c r="AE4" s="73">
        <f>SUM(AD4/Z4)</f>
        <v>812.5</v>
      </c>
      <c r="AF4" s="413">
        <f>SUM(AE4/1600)</f>
        <v>0.5078125</v>
      </c>
      <c r="AG4" s="414">
        <f>SUM(360*AF4)</f>
        <v>182.8125</v>
      </c>
      <c r="AH4" s="414">
        <f t="shared" ref="AH4:AH32" si="23">SUM(AC4-AG4)</f>
        <v>113.125</v>
      </c>
      <c r="AI4" s="73">
        <f>AD4*AJ4</f>
        <v>3345.9915611814349</v>
      </c>
      <c r="AJ4" s="297">
        <f t="shared" si="9"/>
        <v>0.25738396624472576</v>
      </c>
      <c r="AK4" s="297">
        <f t="shared" si="10"/>
        <v>209.12447257383968</v>
      </c>
    </row>
    <row r="5" spans="1:37" ht="15.75" thickBot="1">
      <c r="A5" s="4">
        <f>ELEC!C5</f>
        <v>44015</v>
      </c>
      <c r="B5" s="574">
        <v>8806</v>
      </c>
      <c r="C5" s="295">
        <f t="shared" si="11"/>
        <v>17</v>
      </c>
      <c r="D5" s="575">
        <v>175464</v>
      </c>
      <c r="E5" s="295">
        <f t="shared" si="12"/>
        <v>2693</v>
      </c>
      <c r="F5" s="295">
        <f t="shared" si="0"/>
        <v>158.41176470588235</v>
      </c>
      <c r="G5" s="293"/>
      <c r="H5" s="296">
        <f>H4</f>
        <v>8770</v>
      </c>
      <c r="I5" s="295" t="str">
        <f t="shared" si="1"/>
        <v>oil change</v>
      </c>
      <c r="J5" s="276">
        <f t="shared" si="14"/>
        <v>10698</v>
      </c>
      <c r="K5" s="295">
        <f t="shared" si="2"/>
        <v>0</v>
      </c>
      <c r="L5" s="575">
        <f t="shared" si="15"/>
        <v>238499</v>
      </c>
      <c r="M5" s="295">
        <f t="shared" si="3"/>
        <v>0</v>
      </c>
      <c r="N5" s="295">
        <f t="shared" si="16"/>
        <v>0</v>
      </c>
      <c r="O5" s="199"/>
      <c r="P5" s="296">
        <f>P4</f>
        <v>10873</v>
      </c>
      <c r="Q5" s="295" t="str">
        <f t="shared" si="4"/>
        <v>ok</v>
      </c>
      <c r="R5" s="276">
        <v>11277</v>
      </c>
      <c r="S5" s="295">
        <f t="shared" si="5"/>
        <v>1</v>
      </c>
      <c r="T5" s="575">
        <v>269762</v>
      </c>
      <c r="U5" s="295">
        <f t="shared" si="6"/>
        <v>200</v>
      </c>
      <c r="V5" s="295">
        <f>IF(S5&gt;0,U5/S5,0)</f>
        <v>200</v>
      </c>
      <c r="W5" s="199"/>
      <c r="X5" s="296">
        <f t="shared" si="19"/>
        <v>12069</v>
      </c>
      <c r="Y5" s="295" t="str">
        <f t="shared" si="7"/>
        <v>ok</v>
      </c>
      <c r="Z5" s="295">
        <f t="shared" si="8"/>
        <v>18</v>
      </c>
      <c r="AA5" s="295">
        <f t="shared" si="20"/>
        <v>2893</v>
      </c>
      <c r="AB5" s="295">
        <f t="shared" si="21"/>
        <v>358.41176470588232</v>
      </c>
      <c r="AC5" s="295">
        <f t="shared" si="22"/>
        <v>160.72222222222223</v>
      </c>
      <c r="AD5" s="73">
        <f>ELEC!Q5</f>
        <v>14000</v>
      </c>
      <c r="AE5" s="73">
        <f t="shared" ref="AE5:AE32" si="24">SUM(AD5/Z5)</f>
        <v>777.77777777777783</v>
      </c>
      <c r="AF5" s="413">
        <f t="shared" ref="AF5:AF32" si="25">SUM(AE5/1600)</f>
        <v>0.48611111111111116</v>
      </c>
      <c r="AG5" s="414">
        <f t="shared" ref="AG5:AG32" si="26">SUM(320*AF5)</f>
        <v>155.55555555555557</v>
      </c>
      <c r="AH5" s="414">
        <f t="shared" si="23"/>
        <v>5.1666666666666572</v>
      </c>
      <c r="AI5" s="73">
        <f t="shared" ref="AI5:AI32" si="27">AD5*AJ5</f>
        <v>3603.3755274261607</v>
      </c>
      <c r="AJ5" s="297">
        <f t="shared" si="9"/>
        <v>0.25738396624472576</v>
      </c>
      <c r="AK5" s="297">
        <f t="shared" si="10"/>
        <v>200.18752930145337</v>
      </c>
    </row>
    <row r="6" spans="1:37" ht="15.75" thickBot="1">
      <c r="A6" s="4">
        <f>ELEC!C6</f>
        <v>44016</v>
      </c>
      <c r="B6" s="574">
        <v>8814</v>
      </c>
      <c r="C6" s="295">
        <f t="shared" si="11"/>
        <v>8</v>
      </c>
      <c r="D6" s="575">
        <v>176540</v>
      </c>
      <c r="E6" s="295">
        <f t="shared" si="12"/>
        <v>1076</v>
      </c>
      <c r="F6" s="295">
        <f t="shared" si="0"/>
        <v>134.5</v>
      </c>
      <c r="G6" s="199"/>
      <c r="H6" s="296">
        <f t="shared" si="13"/>
        <v>8770</v>
      </c>
      <c r="I6" s="295" t="str">
        <f t="shared" si="1"/>
        <v>oil change</v>
      </c>
      <c r="J6" s="276">
        <f t="shared" si="14"/>
        <v>10698</v>
      </c>
      <c r="K6" s="295">
        <f t="shared" si="2"/>
        <v>0</v>
      </c>
      <c r="L6" s="575">
        <f t="shared" si="15"/>
        <v>238499</v>
      </c>
      <c r="M6" s="295">
        <f t="shared" si="3"/>
        <v>0</v>
      </c>
      <c r="N6" s="295">
        <f t="shared" si="16"/>
        <v>0</v>
      </c>
      <c r="O6" s="315"/>
      <c r="P6" s="296">
        <f t="shared" si="17"/>
        <v>10873</v>
      </c>
      <c r="Q6" s="295" t="str">
        <f t="shared" si="4"/>
        <v>ok</v>
      </c>
      <c r="R6" s="276">
        <v>11290</v>
      </c>
      <c r="S6" s="295">
        <f t="shared" si="5"/>
        <v>13</v>
      </c>
      <c r="T6" s="575">
        <v>272338</v>
      </c>
      <c r="U6" s="295">
        <f t="shared" si="6"/>
        <v>2576</v>
      </c>
      <c r="V6" s="295">
        <f t="shared" si="18"/>
        <v>198.15384615384616</v>
      </c>
      <c r="W6" s="315"/>
      <c r="X6" s="296">
        <f t="shared" si="19"/>
        <v>12069</v>
      </c>
      <c r="Y6" s="295" t="str">
        <f t="shared" si="7"/>
        <v>ok</v>
      </c>
      <c r="Z6" s="295">
        <f t="shared" si="8"/>
        <v>21</v>
      </c>
      <c r="AA6" s="295">
        <f t="shared" si="20"/>
        <v>3652</v>
      </c>
      <c r="AB6" s="295">
        <f t="shared" si="21"/>
        <v>332.65384615384619</v>
      </c>
      <c r="AC6" s="295">
        <f t="shared" si="22"/>
        <v>173.9047619047619</v>
      </c>
      <c r="AD6" s="73">
        <f>ELEC!Q6</f>
        <v>16000</v>
      </c>
      <c r="AE6" s="73">
        <f>SUM(AD6/Z6)</f>
        <v>761.90476190476193</v>
      </c>
      <c r="AF6" s="413">
        <f t="shared" si="25"/>
        <v>0.47619047619047622</v>
      </c>
      <c r="AG6" s="414">
        <f>SUM(320*AF6)</f>
        <v>152.38095238095238</v>
      </c>
      <c r="AH6" s="414">
        <f t="shared" si="23"/>
        <v>21.523809523809518</v>
      </c>
      <c r="AI6" s="73">
        <f t="shared" si="27"/>
        <v>4118.1434599156119</v>
      </c>
      <c r="AJ6" s="297">
        <f t="shared" si="9"/>
        <v>0.25738396624472576</v>
      </c>
      <c r="AK6" s="297">
        <f t="shared" si="10"/>
        <v>196.10206951979103</v>
      </c>
    </row>
    <row r="7" spans="1:37" ht="15.75" thickBot="1">
      <c r="A7" s="4">
        <f>ELEC!C7</f>
        <v>44017</v>
      </c>
      <c r="B7" s="574">
        <v>8814</v>
      </c>
      <c r="C7" s="295">
        <f t="shared" si="11"/>
        <v>0</v>
      </c>
      <c r="D7" s="575">
        <v>176540</v>
      </c>
      <c r="E7" s="295">
        <f t="shared" si="12"/>
        <v>0</v>
      </c>
      <c r="F7" s="295">
        <f t="shared" si="0"/>
        <v>0</v>
      </c>
      <c r="G7" s="199"/>
      <c r="H7" s="296">
        <f t="shared" si="13"/>
        <v>8770</v>
      </c>
      <c r="I7" s="295" t="str">
        <f t="shared" si="1"/>
        <v>oil change</v>
      </c>
      <c r="J7" s="276">
        <f t="shared" si="14"/>
        <v>10698</v>
      </c>
      <c r="K7" s="295">
        <f t="shared" si="2"/>
        <v>0</v>
      </c>
      <c r="L7" s="575">
        <f t="shared" si="15"/>
        <v>238499</v>
      </c>
      <c r="M7" s="295">
        <f t="shared" si="3"/>
        <v>0</v>
      </c>
      <c r="N7" s="295">
        <f t="shared" si="16"/>
        <v>0</v>
      </c>
      <c r="O7" s="315"/>
      <c r="P7" s="296">
        <f t="shared" si="17"/>
        <v>10873</v>
      </c>
      <c r="Q7" s="295" t="str">
        <f t="shared" si="4"/>
        <v>ok</v>
      </c>
      <c r="R7" s="276">
        <v>11308</v>
      </c>
      <c r="S7" s="295">
        <f t="shared" si="5"/>
        <v>18</v>
      </c>
      <c r="T7" s="575">
        <v>276502</v>
      </c>
      <c r="U7" s="295">
        <f t="shared" si="6"/>
        <v>4164</v>
      </c>
      <c r="V7" s="295">
        <f t="shared" si="18"/>
        <v>231.33333333333334</v>
      </c>
      <c r="W7" s="199"/>
      <c r="X7" s="296">
        <f t="shared" si="19"/>
        <v>12069</v>
      </c>
      <c r="Y7" s="295" t="str">
        <f t="shared" si="7"/>
        <v>ok</v>
      </c>
      <c r="Z7" s="295">
        <f t="shared" si="8"/>
        <v>18</v>
      </c>
      <c r="AA7" s="295">
        <f>U7+M7+E7</f>
        <v>4164</v>
      </c>
      <c r="AB7" s="295">
        <f t="shared" si="21"/>
        <v>231.33333333333334</v>
      </c>
      <c r="AC7" s="295">
        <f t="shared" si="22"/>
        <v>231.33333333333334</v>
      </c>
      <c r="AD7" s="73">
        <f>ELEC!Q7</f>
        <v>15000</v>
      </c>
      <c r="AE7" s="73">
        <f t="shared" si="24"/>
        <v>833.33333333333337</v>
      </c>
      <c r="AF7" s="413">
        <f t="shared" si="25"/>
        <v>0.52083333333333337</v>
      </c>
      <c r="AG7" s="519" t="s">
        <v>406</v>
      </c>
      <c r="AH7" s="414" t="e">
        <f t="shared" si="23"/>
        <v>#VALUE!</v>
      </c>
      <c r="AI7" s="73">
        <f t="shared" si="27"/>
        <v>3860.7594936708865</v>
      </c>
      <c r="AJ7" s="297">
        <f t="shared" si="9"/>
        <v>0.25738396624472576</v>
      </c>
      <c r="AK7" s="297">
        <f t="shared" si="10"/>
        <v>214.48663853727146</v>
      </c>
    </row>
    <row r="8" spans="1:37" ht="15.75" thickBot="1">
      <c r="A8" s="4">
        <f>ELEC!C8</f>
        <v>44018</v>
      </c>
      <c r="B8" s="574">
        <v>8814</v>
      </c>
      <c r="C8" s="295">
        <f t="shared" si="11"/>
        <v>0</v>
      </c>
      <c r="D8" s="575">
        <v>176540</v>
      </c>
      <c r="E8" s="295">
        <f t="shared" si="12"/>
        <v>0</v>
      </c>
      <c r="F8" s="295">
        <f t="shared" si="0"/>
        <v>0</v>
      </c>
      <c r="G8" s="199"/>
      <c r="H8" s="296">
        <f t="shared" si="13"/>
        <v>8770</v>
      </c>
      <c r="I8" s="295" t="str">
        <f t="shared" si="1"/>
        <v>oil change</v>
      </c>
      <c r="J8" s="276">
        <v>10698</v>
      </c>
      <c r="K8" s="295">
        <f t="shared" si="2"/>
        <v>0</v>
      </c>
      <c r="L8" s="575">
        <v>238500</v>
      </c>
      <c r="M8" s="295">
        <f t="shared" si="3"/>
        <v>1</v>
      </c>
      <c r="N8" s="295">
        <f t="shared" si="16"/>
        <v>0</v>
      </c>
      <c r="O8" s="199"/>
      <c r="P8" s="296">
        <f t="shared" si="17"/>
        <v>10873</v>
      </c>
      <c r="Q8" s="295" t="str">
        <f t="shared" si="4"/>
        <v>ok</v>
      </c>
      <c r="R8" s="276">
        <v>11329</v>
      </c>
      <c r="S8" s="295">
        <f t="shared" si="5"/>
        <v>21</v>
      </c>
      <c r="T8" s="575">
        <v>280205</v>
      </c>
      <c r="U8" s="295">
        <f t="shared" si="6"/>
        <v>3703</v>
      </c>
      <c r="V8" s="295">
        <f t="shared" si="18"/>
        <v>176.33333333333334</v>
      </c>
      <c r="W8" s="199"/>
      <c r="X8" s="296">
        <f t="shared" si="19"/>
        <v>12069</v>
      </c>
      <c r="Y8" s="295" t="str">
        <f t="shared" si="7"/>
        <v>ok</v>
      </c>
      <c r="Z8" s="295">
        <f t="shared" si="8"/>
        <v>21</v>
      </c>
      <c r="AA8" s="295">
        <f t="shared" si="20"/>
        <v>3704</v>
      </c>
      <c r="AB8" s="295">
        <f t="shared" si="21"/>
        <v>176.33333333333334</v>
      </c>
      <c r="AC8" s="295">
        <f t="shared" si="22"/>
        <v>176.38095238095238</v>
      </c>
      <c r="AD8" s="73">
        <f>ELEC!Q8</f>
        <v>18000</v>
      </c>
      <c r="AE8" s="73">
        <f t="shared" si="24"/>
        <v>857.14285714285711</v>
      </c>
      <c r="AF8" s="413">
        <f t="shared" si="25"/>
        <v>0.5357142857142857</v>
      </c>
      <c r="AG8" s="414">
        <f t="shared" si="26"/>
        <v>171.42857142857142</v>
      </c>
      <c r="AH8" s="414">
        <f t="shared" si="23"/>
        <v>4.9523809523809632</v>
      </c>
      <c r="AI8" s="73">
        <f t="shared" si="27"/>
        <v>4632.9113924050635</v>
      </c>
      <c r="AJ8" s="297">
        <f t="shared" si="9"/>
        <v>0.25738396624472576</v>
      </c>
      <c r="AK8" s="297">
        <f t="shared" si="10"/>
        <v>220.61482820976494</v>
      </c>
    </row>
    <row r="9" spans="1:37" ht="15.75" thickBot="1">
      <c r="A9" s="4">
        <f>ELEC!C9</f>
        <v>44019</v>
      </c>
      <c r="B9" s="574">
        <v>8814</v>
      </c>
      <c r="C9" s="295">
        <f t="shared" si="11"/>
        <v>0</v>
      </c>
      <c r="D9" s="575">
        <v>176540</v>
      </c>
      <c r="E9" s="295">
        <f t="shared" si="12"/>
        <v>0</v>
      </c>
      <c r="F9" s="295">
        <f t="shared" si="0"/>
        <v>0</v>
      </c>
      <c r="G9" s="199"/>
      <c r="H9" s="296">
        <f t="shared" si="13"/>
        <v>8770</v>
      </c>
      <c r="I9" s="295" t="str">
        <f t="shared" si="1"/>
        <v>oil change</v>
      </c>
      <c r="J9" s="276">
        <v>10698</v>
      </c>
      <c r="K9" s="295">
        <f t="shared" si="2"/>
        <v>0</v>
      </c>
      <c r="L9" s="575">
        <f t="shared" si="15"/>
        <v>238500</v>
      </c>
      <c r="M9" s="295">
        <f t="shared" si="3"/>
        <v>0</v>
      </c>
      <c r="N9" s="295">
        <f t="shared" si="16"/>
        <v>0</v>
      </c>
      <c r="O9" s="199"/>
      <c r="P9" s="296">
        <f t="shared" si="17"/>
        <v>10873</v>
      </c>
      <c r="Q9" s="295" t="str">
        <f t="shared" si="4"/>
        <v>ok</v>
      </c>
      <c r="R9" s="276">
        <v>11347</v>
      </c>
      <c r="S9" s="295">
        <f t="shared" si="5"/>
        <v>18</v>
      </c>
      <c r="T9" s="575">
        <v>283947</v>
      </c>
      <c r="U9" s="295">
        <f t="shared" si="6"/>
        <v>3742</v>
      </c>
      <c r="V9" s="295">
        <f t="shared" si="18"/>
        <v>207.88888888888889</v>
      </c>
      <c r="W9" s="199"/>
      <c r="X9" s="296">
        <f t="shared" si="19"/>
        <v>12069</v>
      </c>
      <c r="Y9" s="295" t="str">
        <f t="shared" si="7"/>
        <v>ok</v>
      </c>
      <c r="Z9" s="295">
        <f t="shared" si="8"/>
        <v>18</v>
      </c>
      <c r="AA9" s="295">
        <f t="shared" si="20"/>
        <v>3742</v>
      </c>
      <c r="AB9" s="295">
        <f t="shared" si="21"/>
        <v>207.88888888888889</v>
      </c>
      <c r="AC9" s="295">
        <f t="shared" si="22"/>
        <v>207.88888888888889</v>
      </c>
      <c r="AD9" s="73">
        <f>ELEC!Q9</f>
        <v>15000</v>
      </c>
      <c r="AE9" s="73">
        <f t="shared" si="24"/>
        <v>833.33333333333337</v>
      </c>
      <c r="AF9" s="413">
        <f t="shared" si="25"/>
        <v>0.52083333333333337</v>
      </c>
      <c r="AG9" s="414">
        <f t="shared" si="26"/>
        <v>166.66666666666669</v>
      </c>
      <c r="AH9" s="414">
        <f t="shared" si="23"/>
        <v>41.2222222222222</v>
      </c>
      <c r="AI9" s="73">
        <f t="shared" si="27"/>
        <v>3860.7594936708865</v>
      </c>
      <c r="AJ9" s="297">
        <v>0.25738396624472576</v>
      </c>
      <c r="AK9" s="297">
        <f t="shared" ref="AK9:AK16" si="28">IF(Z9&gt;0,AI9/Z9,0)</f>
        <v>214.48663853727146</v>
      </c>
    </row>
    <row r="10" spans="1:37" ht="15.75" thickBot="1">
      <c r="A10" s="4">
        <f>ELEC!C10</f>
        <v>44020</v>
      </c>
      <c r="B10" s="574">
        <v>8816</v>
      </c>
      <c r="C10" s="295">
        <f t="shared" si="11"/>
        <v>2</v>
      </c>
      <c r="D10" s="575">
        <v>177318</v>
      </c>
      <c r="E10" s="295">
        <f t="shared" si="12"/>
        <v>778</v>
      </c>
      <c r="F10" s="295">
        <f t="shared" si="0"/>
        <v>389</v>
      </c>
      <c r="G10" s="199"/>
      <c r="H10" s="296">
        <f t="shared" si="13"/>
        <v>8770</v>
      </c>
      <c r="I10" s="295" t="str">
        <f t="shared" si="1"/>
        <v>oil change</v>
      </c>
      <c r="J10" s="276">
        <v>10698</v>
      </c>
      <c r="K10" s="295">
        <f t="shared" si="2"/>
        <v>0</v>
      </c>
      <c r="L10" s="575">
        <v>238500</v>
      </c>
      <c r="M10" s="295">
        <f t="shared" si="3"/>
        <v>0</v>
      </c>
      <c r="N10" s="295">
        <f t="shared" si="16"/>
        <v>0</v>
      </c>
      <c r="O10" s="199"/>
      <c r="P10" s="296">
        <v>10873</v>
      </c>
      <c r="Q10" s="295" t="str">
        <f t="shared" si="4"/>
        <v>ok</v>
      </c>
      <c r="R10" s="276">
        <v>11369</v>
      </c>
      <c r="S10" s="295">
        <f t="shared" si="5"/>
        <v>22</v>
      </c>
      <c r="T10" s="575">
        <v>287489</v>
      </c>
      <c r="U10" s="295">
        <f t="shared" si="6"/>
        <v>3542</v>
      </c>
      <c r="V10" s="295">
        <f t="shared" si="18"/>
        <v>161</v>
      </c>
      <c r="W10" s="199"/>
      <c r="X10" s="296">
        <f t="shared" si="19"/>
        <v>12069</v>
      </c>
      <c r="Y10" s="295" t="str">
        <f t="shared" si="7"/>
        <v>ok</v>
      </c>
      <c r="Z10" s="295">
        <f t="shared" si="8"/>
        <v>24</v>
      </c>
      <c r="AA10" s="295">
        <f t="shared" si="20"/>
        <v>4320</v>
      </c>
      <c r="AB10" s="295">
        <f t="shared" si="21"/>
        <v>550</v>
      </c>
      <c r="AC10" s="295">
        <f t="shared" si="22"/>
        <v>180</v>
      </c>
      <c r="AD10" s="73">
        <f>ELEC!Q10</f>
        <v>15000</v>
      </c>
      <c r="AE10" s="73">
        <f t="shared" si="24"/>
        <v>625</v>
      </c>
      <c r="AF10" s="413">
        <f t="shared" si="25"/>
        <v>0.390625</v>
      </c>
      <c r="AG10" s="414">
        <f t="shared" si="26"/>
        <v>125</v>
      </c>
      <c r="AH10" s="414">
        <f t="shared" si="23"/>
        <v>55</v>
      </c>
      <c r="AI10" s="73">
        <f t="shared" si="27"/>
        <v>3860.7594936708865</v>
      </c>
      <c r="AJ10" s="297">
        <f t="shared" si="9"/>
        <v>0.25738396624472576</v>
      </c>
      <c r="AK10" s="297">
        <f t="shared" si="28"/>
        <v>160.8649789029536</v>
      </c>
    </row>
    <row r="11" spans="1:37" ht="15.75" thickBot="1">
      <c r="A11" s="4">
        <f>ELEC!C11</f>
        <v>44021</v>
      </c>
      <c r="B11" s="574">
        <v>8828</v>
      </c>
      <c r="C11" s="295">
        <f t="shared" si="11"/>
        <v>12</v>
      </c>
      <c r="D11" s="575">
        <v>178121</v>
      </c>
      <c r="E11" s="295">
        <f t="shared" si="12"/>
        <v>803</v>
      </c>
      <c r="F11" s="295">
        <f t="shared" si="0"/>
        <v>66.916666666666671</v>
      </c>
      <c r="G11" s="199"/>
      <c r="H11" s="296">
        <f t="shared" si="13"/>
        <v>8770</v>
      </c>
      <c r="I11" s="295" t="str">
        <f t="shared" si="1"/>
        <v>oil change</v>
      </c>
      <c r="J11" s="276">
        <v>10698</v>
      </c>
      <c r="K11" s="295">
        <f t="shared" si="2"/>
        <v>0</v>
      </c>
      <c r="L11" s="575">
        <v>238500</v>
      </c>
      <c r="M11" s="295">
        <f t="shared" si="3"/>
        <v>0</v>
      </c>
      <c r="N11" s="295">
        <f t="shared" si="16"/>
        <v>0</v>
      </c>
      <c r="O11" s="199"/>
      <c r="P11" s="296">
        <f t="shared" si="17"/>
        <v>10873</v>
      </c>
      <c r="Q11" s="295" t="str">
        <f t="shared" si="4"/>
        <v>ok</v>
      </c>
      <c r="R11" s="276">
        <v>11375</v>
      </c>
      <c r="S11" s="295">
        <f t="shared" si="5"/>
        <v>6</v>
      </c>
      <c r="T11" s="575">
        <v>289463</v>
      </c>
      <c r="U11" s="295">
        <f t="shared" si="6"/>
        <v>1974</v>
      </c>
      <c r="V11" s="295">
        <f t="shared" si="18"/>
        <v>329</v>
      </c>
      <c r="W11" s="199"/>
      <c r="X11" s="296">
        <f t="shared" si="19"/>
        <v>12069</v>
      </c>
      <c r="Y11" s="295" t="str">
        <f t="shared" si="7"/>
        <v>ok</v>
      </c>
      <c r="Z11" s="295">
        <f t="shared" si="8"/>
        <v>18</v>
      </c>
      <c r="AA11" s="295">
        <f t="shared" si="20"/>
        <v>2777</v>
      </c>
      <c r="AB11" s="295">
        <f t="shared" si="21"/>
        <v>395.91666666666669</v>
      </c>
      <c r="AC11" s="295">
        <f t="shared" si="22"/>
        <v>154.27777777777777</v>
      </c>
      <c r="AD11" s="73">
        <f>ELEC!Q11</f>
        <v>20000</v>
      </c>
      <c r="AE11" s="73">
        <f t="shared" si="24"/>
        <v>1111.1111111111111</v>
      </c>
      <c r="AF11" s="413">
        <f t="shared" si="25"/>
        <v>0.69444444444444442</v>
      </c>
      <c r="AG11" s="414">
        <f t="shared" si="26"/>
        <v>222.22222222222223</v>
      </c>
      <c r="AH11" s="414">
        <f t="shared" si="23"/>
        <v>-67.944444444444457</v>
      </c>
      <c r="AI11" s="73">
        <f t="shared" si="27"/>
        <v>5147.679324894515</v>
      </c>
      <c r="AJ11" s="297">
        <f t="shared" si="9"/>
        <v>0.25738396624472576</v>
      </c>
      <c r="AK11" s="297">
        <f t="shared" si="28"/>
        <v>285.98218471636193</v>
      </c>
    </row>
    <row r="12" spans="1:37" ht="15.75" thickBot="1">
      <c r="A12" s="4">
        <f>ELEC!C12</f>
        <v>44022</v>
      </c>
      <c r="B12" s="574">
        <v>8830</v>
      </c>
      <c r="C12" s="295">
        <f t="shared" si="11"/>
        <v>2</v>
      </c>
      <c r="D12" s="575">
        <v>178272</v>
      </c>
      <c r="E12" s="295">
        <f t="shared" si="12"/>
        <v>151</v>
      </c>
      <c r="F12" s="295">
        <f t="shared" si="0"/>
        <v>75.5</v>
      </c>
      <c r="G12" s="199"/>
      <c r="H12" s="296">
        <f t="shared" si="13"/>
        <v>8770</v>
      </c>
      <c r="I12" s="295" t="str">
        <f t="shared" si="1"/>
        <v>oil change</v>
      </c>
      <c r="J12" s="276">
        <f t="shared" si="14"/>
        <v>10698</v>
      </c>
      <c r="K12" s="295">
        <f t="shared" si="2"/>
        <v>0</v>
      </c>
      <c r="L12" s="575">
        <f t="shared" si="15"/>
        <v>238500</v>
      </c>
      <c r="M12" s="295">
        <f t="shared" si="3"/>
        <v>0</v>
      </c>
      <c r="N12" s="295">
        <f t="shared" si="16"/>
        <v>0</v>
      </c>
      <c r="O12" s="199"/>
      <c r="P12" s="296">
        <f t="shared" si="17"/>
        <v>10873</v>
      </c>
      <c r="Q12" s="295" t="str">
        <f t="shared" si="4"/>
        <v>ok</v>
      </c>
      <c r="R12" s="276">
        <v>11394</v>
      </c>
      <c r="S12" s="295">
        <f t="shared" si="5"/>
        <v>19</v>
      </c>
      <c r="T12" s="575">
        <v>292548</v>
      </c>
      <c r="U12" s="295">
        <f t="shared" si="6"/>
        <v>3085</v>
      </c>
      <c r="V12" s="295">
        <f t="shared" si="18"/>
        <v>162.36842105263159</v>
      </c>
      <c r="W12" s="199"/>
      <c r="X12" s="296">
        <f t="shared" si="19"/>
        <v>12069</v>
      </c>
      <c r="Y12" s="295" t="str">
        <f t="shared" si="7"/>
        <v>ok</v>
      </c>
      <c r="Z12" s="295">
        <f t="shared" si="8"/>
        <v>21</v>
      </c>
      <c r="AA12" s="295">
        <f t="shared" si="20"/>
        <v>3236</v>
      </c>
      <c r="AB12" s="295">
        <f t="shared" si="21"/>
        <v>237.86842105263159</v>
      </c>
      <c r="AC12" s="295">
        <f t="shared" si="22"/>
        <v>154.0952380952381</v>
      </c>
      <c r="AD12" s="73">
        <f>ELEC!Q12</f>
        <v>17000</v>
      </c>
      <c r="AE12" s="73">
        <f t="shared" si="24"/>
        <v>809.52380952380952</v>
      </c>
      <c r="AF12" s="413">
        <f t="shared" si="25"/>
        <v>0.50595238095238093</v>
      </c>
      <c r="AG12" s="414">
        <f t="shared" si="26"/>
        <v>161.9047619047619</v>
      </c>
      <c r="AH12" s="414">
        <f t="shared" si="23"/>
        <v>-7.809523809523796</v>
      </c>
      <c r="AI12" s="73">
        <f t="shared" si="27"/>
        <v>4375.5274261603381</v>
      </c>
      <c r="AJ12" s="297">
        <f t="shared" si="9"/>
        <v>0.25738396624472576</v>
      </c>
      <c r="AK12" s="297">
        <f t="shared" si="28"/>
        <v>208.35844886477801</v>
      </c>
    </row>
    <row r="13" spans="1:37" ht="15.75" thickBot="1">
      <c r="A13" s="4">
        <f>ELEC!C13</f>
        <v>44023</v>
      </c>
      <c r="B13" s="574">
        <v>8834</v>
      </c>
      <c r="C13" s="295">
        <f t="shared" si="11"/>
        <v>4</v>
      </c>
      <c r="D13" s="575">
        <v>179136</v>
      </c>
      <c r="E13" s="295">
        <f t="shared" si="12"/>
        <v>864</v>
      </c>
      <c r="F13" s="295">
        <f t="shared" si="0"/>
        <v>216</v>
      </c>
      <c r="G13" s="199"/>
      <c r="H13" s="296">
        <f t="shared" si="13"/>
        <v>8770</v>
      </c>
      <c r="I13" s="295" t="str">
        <f t="shared" si="1"/>
        <v>oil change</v>
      </c>
      <c r="J13" s="276">
        <f t="shared" si="14"/>
        <v>10698</v>
      </c>
      <c r="K13" s="295">
        <f t="shared" si="2"/>
        <v>0</v>
      </c>
      <c r="L13" s="575">
        <f t="shared" si="15"/>
        <v>238500</v>
      </c>
      <c r="M13" s="295">
        <f t="shared" si="3"/>
        <v>0</v>
      </c>
      <c r="N13" s="295">
        <f t="shared" si="16"/>
        <v>0</v>
      </c>
      <c r="O13" s="199"/>
      <c r="P13" s="296">
        <f t="shared" si="17"/>
        <v>10873</v>
      </c>
      <c r="Q13" s="295" t="str">
        <f t="shared" si="4"/>
        <v>ok</v>
      </c>
      <c r="R13" s="276">
        <v>11409</v>
      </c>
      <c r="S13" s="295">
        <f t="shared" si="5"/>
        <v>15</v>
      </c>
      <c r="T13" s="575">
        <v>295054</v>
      </c>
      <c r="U13" s="295">
        <f t="shared" si="6"/>
        <v>2506</v>
      </c>
      <c r="V13" s="295">
        <f t="shared" si="18"/>
        <v>167.06666666666666</v>
      </c>
      <c r="W13" s="199"/>
      <c r="X13" s="296">
        <f>X12+180</f>
        <v>12249</v>
      </c>
      <c r="Y13" s="295" t="str">
        <f t="shared" si="7"/>
        <v>ok</v>
      </c>
      <c r="Z13" s="295">
        <f t="shared" si="8"/>
        <v>19</v>
      </c>
      <c r="AA13" s="295">
        <f t="shared" si="20"/>
        <v>3370</v>
      </c>
      <c r="AB13" s="295">
        <f t="shared" si="21"/>
        <v>383.06666666666666</v>
      </c>
      <c r="AC13" s="295">
        <f t="shared" si="22"/>
        <v>177.36842105263159</v>
      </c>
      <c r="AD13" s="73">
        <f>ELEC!Q13</f>
        <v>18000</v>
      </c>
      <c r="AE13" s="73">
        <f t="shared" si="24"/>
        <v>947.36842105263156</v>
      </c>
      <c r="AF13" s="413">
        <f t="shared" si="25"/>
        <v>0.59210526315789469</v>
      </c>
      <c r="AG13" s="414">
        <f t="shared" si="26"/>
        <v>189.4736842105263</v>
      </c>
      <c r="AH13" s="414">
        <f t="shared" si="23"/>
        <v>-12.105263157894711</v>
      </c>
      <c r="AI13" s="73">
        <f t="shared" si="27"/>
        <v>4632.9113924050635</v>
      </c>
      <c r="AJ13" s="297">
        <f t="shared" si="9"/>
        <v>0.25738396624472576</v>
      </c>
      <c r="AK13" s="297">
        <f t="shared" si="28"/>
        <v>243.83744170552964</v>
      </c>
    </row>
    <row r="14" spans="1:37" ht="15.75" thickBot="1">
      <c r="A14" s="4">
        <f>ELEC!C14</f>
        <v>44024</v>
      </c>
      <c r="B14" s="574">
        <v>8850</v>
      </c>
      <c r="C14" s="295">
        <f t="shared" si="11"/>
        <v>16</v>
      </c>
      <c r="D14" s="575">
        <v>180221</v>
      </c>
      <c r="E14" s="295">
        <f t="shared" si="12"/>
        <v>1085</v>
      </c>
      <c r="F14" s="295">
        <f t="shared" si="0"/>
        <v>67.8125</v>
      </c>
      <c r="G14" s="199"/>
      <c r="H14" s="296">
        <f t="shared" si="13"/>
        <v>8770</v>
      </c>
      <c r="I14" s="295" t="str">
        <f t="shared" si="1"/>
        <v>oil change</v>
      </c>
      <c r="J14" s="276">
        <v>10698</v>
      </c>
      <c r="K14" s="295">
        <f t="shared" si="2"/>
        <v>0</v>
      </c>
      <c r="L14" s="575">
        <f t="shared" si="15"/>
        <v>238500</v>
      </c>
      <c r="M14" s="295">
        <f t="shared" si="3"/>
        <v>0</v>
      </c>
      <c r="N14" s="295">
        <f t="shared" si="16"/>
        <v>0</v>
      </c>
      <c r="O14" s="199"/>
      <c r="P14" s="296">
        <f t="shared" si="17"/>
        <v>10873</v>
      </c>
      <c r="Q14" s="295" t="str">
        <f t="shared" si="4"/>
        <v>ok</v>
      </c>
      <c r="R14" s="276">
        <v>11415</v>
      </c>
      <c r="S14" s="295">
        <f t="shared" si="5"/>
        <v>6</v>
      </c>
      <c r="T14" s="575">
        <v>296420</v>
      </c>
      <c r="U14" s="295">
        <f t="shared" si="6"/>
        <v>1366</v>
      </c>
      <c r="V14" s="295">
        <f t="shared" si="18"/>
        <v>227.66666666666666</v>
      </c>
      <c r="W14" s="199"/>
      <c r="X14" s="296">
        <f t="shared" si="19"/>
        <v>12249</v>
      </c>
      <c r="Y14" s="295" t="str">
        <f t="shared" si="7"/>
        <v>ok</v>
      </c>
      <c r="Z14" s="295">
        <f t="shared" si="8"/>
        <v>22</v>
      </c>
      <c r="AA14" s="295">
        <f t="shared" si="20"/>
        <v>2451</v>
      </c>
      <c r="AB14" s="295">
        <f t="shared" si="21"/>
        <v>295.47916666666663</v>
      </c>
      <c r="AC14" s="295">
        <f t="shared" si="22"/>
        <v>111.40909090909091</v>
      </c>
      <c r="AD14" s="73">
        <f>ELEC!Q14</f>
        <v>19000</v>
      </c>
      <c r="AE14" s="73">
        <f t="shared" si="24"/>
        <v>863.63636363636363</v>
      </c>
      <c r="AF14" s="413">
        <f t="shared" si="25"/>
        <v>0.53977272727272729</v>
      </c>
      <c r="AG14" s="414">
        <f t="shared" si="26"/>
        <v>172.72727272727275</v>
      </c>
      <c r="AH14" s="414">
        <f t="shared" si="23"/>
        <v>-61.318181818181841</v>
      </c>
      <c r="AI14" s="73">
        <f t="shared" si="27"/>
        <v>4890.2953586497897</v>
      </c>
      <c r="AJ14" s="297">
        <f t="shared" si="9"/>
        <v>0.25738396624472576</v>
      </c>
      <c r="AK14" s="297">
        <f t="shared" si="28"/>
        <v>222.28615266589952</v>
      </c>
    </row>
    <row r="15" spans="1:37" ht="15.75" thickBot="1">
      <c r="A15" s="4">
        <f>ELEC!C15</f>
        <v>44025</v>
      </c>
      <c r="B15" s="574">
        <v>8853</v>
      </c>
      <c r="C15" s="295">
        <f t="shared" si="11"/>
        <v>3</v>
      </c>
      <c r="D15" s="575">
        <v>180547</v>
      </c>
      <c r="E15" s="295">
        <f t="shared" si="12"/>
        <v>326</v>
      </c>
      <c r="F15" s="295">
        <f t="shared" si="0"/>
        <v>108.66666666666667</v>
      </c>
      <c r="G15" s="199"/>
      <c r="H15" s="296">
        <f t="shared" si="13"/>
        <v>8770</v>
      </c>
      <c r="I15" s="295" t="str">
        <f t="shared" si="1"/>
        <v>oil change</v>
      </c>
      <c r="J15" s="276">
        <v>10698</v>
      </c>
      <c r="K15" s="295">
        <f t="shared" si="2"/>
        <v>0</v>
      </c>
      <c r="L15" s="575">
        <f t="shared" si="15"/>
        <v>238500</v>
      </c>
      <c r="M15" s="295">
        <f t="shared" si="3"/>
        <v>0</v>
      </c>
      <c r="N15" s="295">
        <f t="shared" si="16"/>
        <v>0</v>
      </c>
      <c r="O15" s="199"/>
      <c r="P15" s="296">
        <f t="shared" si="17"/>
        <v>10873</v>
      </c>
      <c r="Q15" s="295" t="str">
        <f t="shared" si="4"/>
        <v>ok</v>
      </c>
      <c r="R15" s="276">
        <v>11430</v>
      </c>
      <c r="S15" s="295">
        <f t="shared" si="5"/>
        <v>15</v>
      </c>
      <c r="T15" s="575">
        <v>298881</v>
      </c>
      <c r="U15" s="295">
        <f t="shared" si="6"/>
        <v>2461</v>
      </c>
      <c r="V15" s="295">
        <f t="shared" si="18"/>
        <v>164.06666666666666</v>
      </c>
      <c r="W15" s="199"/>
      <c r="X15" s="296">
        <f t="shared" si="19"/>
        <v>12249</v>
      </c>
      <c r="Y15" s="295" t="str">
        <f t="shared" si="7"/>
        <v>ok</v>
      </c>
      <c r="Z15" s="295">
        <f t="shared" si="8"/>
        <v>18</v>
      </c>
      <c r="AA15" s="295">
        <f t="shared" si="20"/>
        <v>2787</v>
      </c>
      <c r="AB15" s="295">
        <f t="shared" si="21"/>
        <v>272.73333333333335</v>
      </c>
      <c r="AC15" s="295">
        <f t="shared" si="22"/>
        <v>154.83333333333334</v>
      </c>
      <c r="AD15" s="73">
        <f>ELEC!Q15</f>
        <v>14000</v>
      </c>
      <c r="AE15" s="73">
        <f t="shared" si="24"/>
        <v>777.77777777777783</v>
      </c>
      <c r="AF15" s="413">
        <f t="shared" si="25"/>
        <v>0.48611111111111116</v>
      </c>
      <c r="AG15" s="414">
        <f t="shared" si="26"/>
        <v>155.55555555555557</v>
      </c>
      <c r="AH15" s="414">
        <f t="shared" si="23"/>
        <v>-0.72222222222222854</v>
      </c>
      <c r="AI15" s="73">
        <f t="shared" si="27"/>
        <v>3603.3755274261607</v>
      </c>
      <c r="AJ15" s="297">
        <f t="shared" si="9"/>
        <v>0.25738396624472576</v>
      </c>
      <c r="AK15" s="297">
        <f t="shared" si="28"/>
        <v>200.18752930145337</v>
      </c>
    </row>
    <row r="16" spans="1:37" ht="15.75" thickBot="1">
      <c r="A16" s="4">
        <f>ELEC!C16</f>
        <v>44026</v>
      </c>
      <c r="B16" s="574">
        <v>8860</v>
      </c>
      <c r="C16" s="295">
        <f t="shared" si="11"/>
        <v>7</v>
      </c>
      <c r="D16" s="575">
        <v>181036</v>
      </c>
      <c r="E16" s="295">
        <f t="shared" si="12"/>
        <v>489</v>
      </c>
      <c r="F16" s="295">
        <f t="shared" si="0"/>
        <v>69.857142857142861</v>
      </c>
      <c r="G16" s="199"/>
      <c r="H16" s="296">
        <f t="shared" si="13"/>
        <v>8770</v>
      </c>
      <c r="I16" s="295" t="str">
        <f t="shared" si="1"/>
        <v>oil change</v>
      </c>
      <c r="J16" s="276">
        <f t="shared" si="14"/>
        <v>10698</v>
      </c>
      <c r="K16" s="295">
        <f t="shared" si="2"/>
        <v>0</v>
      </c>
      <c r="L16" s="575">
        <f t="shared" si="15"/>
        <v>238500</v>
      </c>
      <c r="M16" s="295">
        <f t="shared" si="3"/>
        <v>0</v>
      </c>
      <c r="N16" s="295">
        <f t="shared" si="16"/>
        <v>0</v>
      </c>
      <c r="O16" s="199"/>
      <c r="P16" s="296">
        <f t="shared" si="17"/>
        <v>10873</v>
      </c>
      <c r="Q16" s="295" t="str">
        <f t="shared" si="4"/>
        <v>ok</v>
      </c>
      <c r="R16" s="276">
        <v>11445</v>
      </c>
      <c r="S16" s="610">
        <f t="shared" si="5"/>
        <v>15</v>
      </c>
      <c r="T16" s="575">
        <v>301793</v>
      </c>
      <c r="U16" s="295">
        <f t="shared" si="6"/>
        <v>2912</v>
      </c>
      <c r="V16" s="295">
        <f t="shared" si="18"/>
        <v>194.13333333333333</v>
      </c>
      <c r="W16" s="199"/>
      <c r="X16" s="296">
        <f t="shared" si="19"/>
        <v>12249</v>
      </c>
      <c r="Y16" s="295" t="str">
        <f t="shared" si="7"/>
        <v>ok</v>
      </c>
      <c r="Z16" s="295">
        <f t="shared" si="8"/>
        <v>22</v>
      </c>
      <c r="AA16" s="295">
        <f t="shared" si="20"/>
        <v>3401</v>
      </c>
      <c r="AB16" s="295">
        <f t="shared" si="21"/>
        <v>263.99047619047622</v>
      </c>
      <c r="AC16" s="295">
        <f t="shared" si="22"/>
        <v>154.59090909090909</v>
      </c>
      <c r="AD16" s="73">
        <f>ELEC!Q16</f>
        <v>18000</v>
      </c>
      <c r="AE16" s="73">
        <f t="shared" si="24"/>
        <v>818.18181818181813</v>
      </c>
      <c r="AF16" s="413">
        <f t="shared" si="25"/>
        <v>0.51136363636363635</v>
      </c>
      <c r="AG16" s="414">
        <f t="shared" si="26"/>
        <v>163.63636363636363</v>
      </c>
      <c r="AH16" s="414">
        <f t="shared" si="23"/>
        <v>-9.0454545454545325</v>
      </c>
      <c r="AI16" s="73">
        <f t="shared" si="27"/>
        <v>4632.9113924050635</v>
      </c>
      <c r="AJ16" s="297">
        <f t="shared" si="9"/>
        <v>0.25738396624472576</v>
      </c>
      <c r="AK16" s="297">
        <f t="shared" si="28"/>
        <v>210.58688147295743</v>
      </c>
    </row>
    <row r="17" spans="1:37" ht="15.75" thickBot="1">
      <c r="A17" s="4">
        <f>ELEC!C17</f>
        <v>44027</v>
      </c>
      <c r="B17" s="574">
        <v>8871</v>
      </c>
      <c r="C17" s="295">
        <f t="shared" si="11"/>
        <v>11</v>
      </c>
      <c r="D17" s="575">
        <v>182388</v>
      </c>
      <c r="E17" s="295">
        <f t="shared" si="12"/>
        <v>1352</v>
      </c>
      <c r="F17" s="295">
        <f t="shared" si="0"/>
        <v>122.90909090909091</v>
      </c>
      <c r="G17" s="199"/>
      <c r="H17" s="296">
        <f t="shared" si="13"/>
        <v>8770</v>
      </c>
      <c r="I17" s="295" t="str">
        <f t="shared" si="1"/>
        <v>oil change</v>
      </c>
      <c r="J17" s="276">
        <v>10698</v>
      </c>
      <c r="K17" s="295">
        <f t="shared" si="2"/>
        <v>0</v>
      </c>
      <c r="L17" s="575">
        <v>238500</v>
      </c>
      <c r="M17" s="295">
        <f t="shared" si="3"/>
        <v>0</v>
      </c>
      <c r="N17" s="295">
        <f t="shared" si="16"/>
        <v>0</v>
      </c>
      <c r="O17" s="199"/>
      <c r="P17" s="296">
        <f t="shared" si="17"/>
        <v>10873</v>
      </c>
      <c r="Q17" s="295" t="str">
        <f t="shared" si="4"/>
        <v>ok</v>
      </c>
      <c r="R17" s="276">
        <v>11452</v>
      </c>
      <c r="S17" s="295">
        <f t="shared" si="5"/>
        <v>7</v>
      </c>
      <c r="T17" s="575">
        <v>303591</v>
      </c>
      <c r="U17" s="295">
        <f t="shared" si="6"/>
        <v>1798</v>
      </c>
      <c r="V17" s="295">
        <f t="shared" si="18"/>
        <v>256.85714285714283</v>
      </c>
      <c r="W17" s="199"/>
      <c r="X17" s="296">
        <f t="shared" si="19"/>
        <v>12249</v>
      </c>
      <c r="Y17" s="295" t="str">
        <f t="shared" si="7"/>
        <v>ok</v>
      </c>
      <c r="Z17" s="295">
        <f t="shared" si="8"/>
        <v>18</v>
      </c>
      <c r="AA17" s="295">
        <f t="shared" si="20"/>
        <v>3150</v>
      </c>
      <c r="AB17" s="295">
        <f t="shared" si="21"/>
        <v>379.76623376623377</v>
      </c>
      <c r="AC17" s="295">
        <f t="shared" si="22"/>
        <v>175</v>
      </c>
      <c r="AD17" s="73">
        <f>ELEC!Q17</f>
        <v>17000</v>
      </c>
      <c r="AE17" s="73">
        <f t="shared" si="24"/>
        <v>944.44444444444446</v>
      </c>
      <c r="AF17" s="413">
        <f t="shared" si="25"/>
        <v>0.59027777777777779</v>
      </c>
      <c r="AG17" s="414">
        <f t="shared" si="26"/>
        <v>188.88888888888889</v>
      </c>
      <c r="AH17" s="414">
        <f t="shared" si="23"/>
        <v>-13.888888888888886</v>
      </c>
      <c r="AI17" s="73">
        <f t="shared" si="27"/>
        <v>4375.5274261603381</v>
      </c>
      <c r="AJ17" s="297">
        <f t="shared" si="9"/>
        <v>0.25738396624472576</v>
      </c>
      <c r="AK17" s="297">
        <f t="shared" ref="AK17:AK32" si="29">IF(Z17&gt;0,AI17/Z17,0)</f>
        <v>243.08485700890768</v>
      </c>
    </row>
    <row r="18" spans="1:37" ht="15.75" thickBot="1">
      <c r="A18" s="4">
        <f>ELEC!C18</f>
        <v>44028</v>
      </c>
      <c r="B18" s="574">
        <v>8879</v>
      </c>
      <c r="C18" s="295">
        <f t="shared" si="11"/>
        <v>8</v>
      </c>
      <c r="D18" s="575">
        <v>183419</v>
      </c>
      <c r="E18" s="295">
        <f t="shared" si="12"/>
        <v>1031</v>
      </c>
      <c r="F18" s="295">
        <f t="shared" si="0"/>
        <v>128.875</v>
      </c>
      <c r="G18" s="199"/>
      <c r="H18" s="296">
        <f t="shared" si="13"/>
        <v>8770</v>
      </c>
      <c r="I18" s="295" t="str">
        <f t="shared" si="1"/>
        <v>oil change</v>
      </c>
      <c r="J18" s="276">
        <v>10698</v>
      </c>
      <c r="K18" s="295">
        <f t="shared" si="2"/>
        <v>0</v>
      </c>
      <c r="L18" s="575">
        <f t="shared" si="15"/>
        <v>238500</v>
      </c>
      <c r="M18" s="295">
        <f t="shared" si="3"/>
        <v>0</v>
      </c>
      <c r="N18" s="295">
        <f t="shared" si="16"/>
        <v>0</v>
      </c>
      <c r="O18" s="199"/>
      <c r="P18" s="296">
        <f t="shared" si="17"/>
        <v>10873</v>
      </c>
      <c r="Q18" s="295" t="str">
        <f>IF(J18-P14&lt;=0,"ok","oil change")</f>
        <v>ok</v>
      </c>
      <c r="R18" s="276">
        <v>11465</v>
      </c>
      <c r="S18" s="295">
        <f t="shared" si="5"/>
        <v>13</v>
      </c>
      <c r="T18" s="575">
        <v>305926</v>
      </c>
      <c r="U18" s="295">
        <f t="shared" si="6"/>
        <v>2335</v>
      </c>
      <c r="V18" s="295">
        <f t="shared" si="18"/>
        <v>179.61538461538461</v>
      </c>
      <c r="W18" s="346"/>
      <c r="X18" s="296">
        <f t="shared" si="19"/>
        <v>12249</v>
      </c>
      <c r="Y18" s="295" t="str">
        <f t="shared" si="7"/>
        <v>ok</v>
      </c>
      <c r="Z18" s="295">
        <f t="shared" si="8"/>
        <v>21</v>
      </c>
      <c r="AA18" s="295">
        <f t="shared" si="20"/>
        <v>3366</v>
      </c>
      <c r="AB18" s="295">
        <f t="shared" si="21"/>
        <v>308.49038461538464</v>
      </c>
      <c r="AC18" s="295">
        <f t="shared" si="22"/>
        <v>160.28571428571428</v>
      </c>
      <c r="AD18" s="73">
        <f>ELEC!Q18</f>
        <v>19000</v>
      </c>
      <c r="AE18" s="73">
        <f t="shared" si="24"/>
        <v>904.76190476190482</v>
      </c>
      <c r="AF18" s="413">
        <f t="shared" si="25"/>
        <v>0.56547619047619047</v>
      </c>
      <c r="AG18" s="414">
        <f t="shared" si="26"/>
        <v>180.95238095238096</v>
      </c>
      <c r="AH18" s="414">
        <f t="shared" si="23"/>
        <v>-20.666666666666686</v>
      </c>
      <c r="AI18" s="73">
        <f t="shared" si="27"/>
        <v>4890.2953586497897</v>
      </c>
      <c r="AJ18" s="297">
        <f t="shared" si="9"/>
        <v>0.25738396624472576</v>
      </c>
      <c r="AK18" s="297">
        <f t="shared" si="29"/>
        <v>232.87120755475189</v>
      </c>
    </row>
    <row r="19" spans="1:37" ht="15.75" thickBot="1">
      <c r="A19" s="4">
        <f>ELEC!C19</f>
        <v>44029</v>
      </c>
      <c r="B19" s="574">
        <f t="shared" ref="B19:B33" si="30">B18</f>
        <v>8879</v>
      </c>
      <c r="C19" s="295">
        <f t="shared" si="11"/>
        <v>0</v>
      </c>
      <c r="D19" s="575">
        <f t="shared" ref="D19:D33" si="31">D18</f>
        <v>183419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8770</v>
      </c>
      <c r="I19" s="295" t="str">
        <f t="shared" si="1"/>
        <v>oil change</v>
      </c>
      <c r="J19" s="276">
        <f t="shared" si="14"/>
        <v>10698</v>
      </c>
      <c r="K19" s="295">
        <f t="shared" si="2"/>
        <v>0</v>
      </c>
      <c r="L19" s="575">
        <f t="shared" si="15"/>
        <v>238500</v>
      </c>
      <c r="M19" s="295">
        <f t="shared" si="3"/>
        <v>0</v>
      </c>
      <c r="N19" s="295">
        <f t="shared" si="16"/>
        <v>0</v>
      </c>
      <c r="O19" s="199"/>
      <c r="P19" s="296">
        <f t="shared" si="17"/>
        <v>10873</v>
      </c>
      <c r="Q19" s="295" t="str">
        <f t="shared" ref="Q19:Q32" si="32">IF(J19-P19&lt;=0,"ok","oil change")</f>
        <v>ok</v>
      </c>
      <c r="R19" s="276">
        <f t="shared" ref="R19:R33" si="33">R18</f>
        <v>11465</v>
      </c>
      <c r="S19" s="295">
        <f t="shared" si="5"/>
        <v>0</v>
      </c>
      <c r="T19" s="575">
        <f t="shared" ref="T19:T33" si="34">T18</f>
        <v>305926</v>
      </c>
      <c r="U19" s="295">
        <f t="shared" si="6"/>
        <v>0</v>
      </c>
      <c r="V19" s="295">
        <f t="shared" si="18"/>
        <v>0</v>
      </c>
      <c r="W19" s="199"/>
      <c r="X19" s="296">
        <f t="shared" si="19"/>
        <v>12249</v>
      </c>
      <c r="Y19" s="295" t="str">
        <f t="shared" si="7"/>
        <v>ok</v>
      </c>
      <c r="Z19" s="295">
        <f t="shared" si="8"/>
        <v>0</v>
      </c>
      <c r="AA19" s="295">
        <f t="shared" si="20"/>
        <v>0</v>
      </c>
      <c r="AB19" s="295">
        <f t="shared" si="21"/>
        <v>0</v>
      </c>
      <c r="AC19" s="295">
        <f t="shared" si="22"/>
        <v>0</v>
      </c>
      <c r="AD19" s="73">
        <f>ELEC!Q19</f>
        <v>0</v>
      </c>
      <c r="AE19" s="73" t="e">
        <f t="shared" si="24"/>
        <v>#DIV/0!</v>
      </c>
      <c r="AF19" s="413" t="e">
        <f t="shared" si="25"/>
        <v>#DIV/0!</v>
      </c>
      <c r="AG19" s="414" t="e">
        <f t="shared" si="26"/>
        <v>#DIV/0!</v>
      </c>
      <c r="AH19" s="414" t="e">
        <f t="shared" si="23"/>
        <v>#DIV/0!</v>
      </c>
      <c r="AI19" s="73">
        <f t="shared" si="27"/>
        <v>0</v>
      </c>
      <c r="AJ19" s="297">
        <f t="shared" si="9"/>
        <v>0.25738396624472576</v>
      </c>
      <c r="AK19" s="297">
        <f t="shared" si="29"/>
        <v>0</v>
      </c>
    </row>
    <row r="20" spans="1:37" ht="15.75" thickBot="1">
      <c r="A20" s="4">
        <f>ELEC!C20</f>
        <v>44030</v>
      </c>
      <c r="B20" s="574">
        <f t="shared" si="30"/>
        <v>8879</v>
      </c>
      <c r="C20" s="295">
        <f>B20-B19</f>
        <v>0</v>
      </c>
      <c r="D20" s="575">
        <f t="shared" si="31"/>
        <v>183419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8770</v>
      </c>
      <c r="I20" s="295" t="str">
        <f t="shared" si="1"/>
        <v>oil change</v>
      </c>
      <c r="J20" s="276">
        <f t="shared" si="14"/>
        <v>10698</v>
      </c>
      <c r="K20" s="295">
        <f t="shared" si="2"/>
        <v>0</v>
      </c>
      <c r="L20" s="575">
        <f t="shared" si="15"/>
        <v>238500</v>
      </c>
      <c r="M20" s="295">
        <f t="shared" si="3"/>
        <v>0</v>
      </c>
      <c r="N20" s="295">
        <f t="shared" si="16"/>
        <v>0</v>
      </c>
      <c r="O20" s="199"/>
      <c r="P20" s="296">
        <f t="shared" si="17"/>
        <v>10873</v>
      </c>
      <c r="Q20" s="295" t="str">
        <f t="shared" si="32"/>
        <v>ok</v>
      </c>
      <c r="R20" s="276">
        <f t="shared" si="33"/>
        <v>11465</v>
      </c>
      <c r="S20" s="295">
        <f t="shared" si="5"/>
        <v>0</v>
      </c>
      <c r="T20" s="575">
        <f t="shared" si="34"/>
        <v>305926</v>
      </c>
      <c r="U20" s="295">
        <f t="shared" ref="U20:U32" si="35">SUM(T20-T19)</f>
        <v>0</v>
      </c>
      <c r="V20" s="295">
        <f t="shared" si="18"/>
        <v>0</v>
      </c>
      <c r="W20" s="199"/>
      <c r="X20" s="296">
        <f t="shared" si="19"/>
        <v>12249</v>
      </c>
      <c r="Y20" s="295" t="str">
        <f t="shared" si="7"/>
        <v>ok</v>
      </c>
      <c r="Z20" s="295">
        <f t="shared" si="8"/>
        <v>0</v>
      </c>
      <c r="AA20" s="295">
        <f t="shared" si="20"/>
        <v>0</v>
      </c>
      <c r="AB20" s="295">
        <f t="shared" si="21"/>
        <v>0</v>
      </c>
      <c r="AC20" s="295">
        <f t="shared" si="22"/>
        <v>0</v>
      </c>
      <c r="AD20" s="73">
        <f>ELEC!Q20</f>
        <v>0</v>
      </c>
      <c r="AE20" s="73" t="e">
        <f t="shared" si="24"/>
        <v>#DIV/0!</v>
      </c>
      <c r="AF20" s="413" t="e">
        <f t="shared" si="25"/>
        <v>#DIV/0!</v>
      </c>
      <c r="AG20" s="414" t="e">
        <f t="shared" si="26"/>
        <v>#DIV/0!</v>
      </c>
      <c r="AH20" s="414" t="e">
        <f t="shared" si="23"/>
        <v>#DIV/0!</v>
      </c>
      <c r="AI20" s="73">
        <f>AD20*AJ20</f>
        <v>0</v>
      </c>
      <c r="AJ20" s="297">
        <f t="shared" si="9"/>
        <v>0.25738396624472576</v>
      </c>
      <c r="AK20" s="297">
        <f t="shared" si="29"/>
        <v>0</v>
      </c>
    </row>
    <row r="21" spans="1:37" ht="15.75" thickBot="1">
      <c r="A21" s="4">
        <f>ELEC!C21</f>
        <v>44031</v>
      </c>
      <c r="B21" s="574">
        <f t="shared" si="30"/>
        <v>8879</v>
      </c>
      <c r="C21" s="295">
        <f t="shared" si="11"/>
        <v>0</v>
      </c>
      <c r="D21" s="575">
        <f t="shared" si="31"/>
        <v>183419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8770</v>
      </c>
      <c r="I21" s="295" t="str">
        <f t="shared" si="1"/>
        <v>oil change</v>
      </c>
      <c r="J21" s="276">
        <f t="shared" si="14"/>
        <v>10698</v>
      </c>
      <c r="K21" s="295">
        <f t="shared" si="2"/>
        <v>0</v>
      </c>
      <c r="L21" s="575">
        <f t="shared" si="15"/>
        <v>238500</v>
      </c>
      <c r="M21" s="295">
        <f t="shared" si="3"/>
        <v>0</v>
      </c>
      <c r="N21" s="295">
        <f t="shared" si="16"/>
        <v>0</v>
      </c>
      <c r="O21" s="199"/>
      <c r="P21" s="296">
        <f t="shared" si="17"/>
        <v>10873</v>
      </c>
      <c r="Q21" s="295" t="str">
        <f t="shared" si="32"/>
        <v>ok</v>
      </c>
      <c r="R21" s="276">
        <f t="shared" si="33"/>
        <v>11465</v>
      </c>
      <c r="S21" s="295">
        <f t="shared" si="5"/>
        <v>0</v>
      </c>
      <c r="T21" s="575">
        <f t="shared" si="34"/>
        <v>305926</v>
      </c>
      <c r="U21" s="295">
        <f t="shared" si="35"/>
        <v>0</v>
      </c>
      <c r="V21" s="295">
        <f t="shared" si="18"/>
        <v>0</v>
      </c>
      <c r="W21" s="199"/>
      <c r="X21" s="296">
        <f t="shared" si="19"/>
        <v>12249</v>
      </c>
      <c r="Y21" s="295" t="str">
        <f>Y20</f>
        <v>ok</v>
      </c>
      <c r="Z21" s="295">
        <f t="shared" si="8"/>
        <v>0</v>
      </c>
      <c r="AA21" s="295">
        <f t="shared" si="20"/>
        <v>0</v>
      </c>
      <c r="AB21" s="295">
        <f t="shared" si="21"/>
        <v>0</v>
      </c>
      <c r="AC21" s="295">
        <f t="shared" si="22"/>
        <v>0</v>
      </c>
      <c r="AD21" s="73">
        <f>ELEC!Q21</f>
        <v>0</v>
      </c>
      <c r="AE21" s="73" t="e">
        <f t="shared" si="24"/>
        <v>#DIV/0!</v>
      </c>
      <c r="AF21" s="413" t="e">
        <f t="shared" si="25"/>
        <v>#DIV/0!</v>
      </c>
      <c r="AG21" s="414" t="e">
        <f t="shared" si="26"/>
        <v>#DIV/0!</v>
      </c>
      <c r="AH21" s="414" t="e">
        <f t="shared" si="23"/>
        <v>#DIV/0!</v>
      </c>
      <c r="AI21" s="73">
        <f t="shared" si="27"/>
        <v>0</v>
      </c>
      <c r="AJ21" s="297">
        <f t="shared" si="9"/>
        <v>0.25738396624472576</v>
      </c>
      <c r="AK21" s="297">
        <f t="shared" si="29"/>
        <v>0</v>
      </c>
    </row>
    <row r="22" spans="1:37" ht="15.75" thickBot="1">
      <c r="A22" s="4">
        <f>ELEC!C22</f>
        <v>44032</v>
      </c>
      <c r="B22" s="574">
        <f t="shared" si="30"/>
        <v>8879</v>
      </c>
      <c r="C22" s="295">
        <f t="shared" si="11"/>
        <v>0</v>
      </c>
      <c r="D22" s="575">
        <f t="shared" si="31"/>
        <v>183419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8770</v>
      </c>
      <c r="I22" s="295" t="str">
        <f t="shared" si="1"/>
        <v>oil change</v>
      </c>
      <c r="J22" s="276">
        <f t="shared" si="14"/>
        <v>10698</v>
      </c>
      <c r="K22" s="295">
        <f t="shared" si="2"/>
        <v>0</v>
      </c>
      <c r="L22" s="575">
        <f t="shared" si="15"/>
        <v>238500</v>
      </c>
      <c r="M22" s="295">
        <f t="shared" si="3"/>
        <v>0</v>
      </c>
      <c r="N22" s="295">
        <f t="shared" si="16"/>
        <v>0</v>
      </c>
      <c r="O22" s="199"/>
      <c r="P22" s="296">
        <f t="shared" si="17"/>
        <v>10873</v>
      </c>
      <c r="Q22" s="295" t="str">
        <f t="shared" si="32"/>
        <v>ok</v>
      </c>
      <c r="R22" s="276">
        <f t="shared" si="33"/>
        <v>11465</v>
      </c>
      <c r="S22" s="295">
        <f t="shared" si="5"/>
        <v>0</v>
      </c>
      <c r="T22" s="575">
        <f t="shared" si="34"/>
        <v>305926</v>
      </c>
      <c r="U22" s="295">
        <f t="shared" si="35"/>
        <v>0</v>
      </c>
      <c r="V22" s="295">
        <f t="shared" si="18"/>
        <v>0</v>
      </c>
      <c r="W22" s="199"/>
      <c r="X22" s="296">
        <f t="shared" si="19"/>
        <v>12249</v>
      </c>
      <c r="Y22" s="295" t="str">
        <f t="shared" ref="Y22:Y32" si="36">IF(R22-X22&lt;=0,"ok","oil change")</f>
        <v>ok</v>
      </c>
      <c r="Z22" s="295">
        <f t="shared" si="8"/>
        <v>0</v>
      </c>
      <c r="AA22" s="295">
        <f t="shared" si="20"/>
        <v>0</v>
      </c>
      <c r="AB22" s="295">
        <f t="shared" si="21"/>
        <v>0</v>
      </c>
      <c r="AC22" s="295">
        <f t="shared" si="22"/>
        <v>0</v>
      </c>
      <c r="AD22" s="73">
        <f>ELEC!Q22</f>
        <v>0</v>
      </c>
      <c r="AE22" s="73" t="e">
        <f t="shared" si="24"/>
        <v>#DIV/0!</v>
      </c>
      <c r="AF22" s="413" t="e">
        <f t="shared" si="25"/>
        <v>#DIV/0!</v>
      </c>
      <c r="AG22" s="414" t="e">
        <f t="shared" si="26"/>
        <v>#DIV/0!</v>
      </c>
      <c r="AH22" s="414" t="e">
        <f t="shared" si="23"/>
        <v>#DIV/0!</v>
      </c>
      <c r="AI22" s="73">
        <f t="shared" si="27"/>
        <v>0</v>
      </c>
      <c r="AJ22" s="297">
        <f t="shared" si="9"/>
        <v>0.25738396624472576</v>
      </c>
      <c r="AK22" s="297">
        <f t="shared" si="29"/>
        <v>0</v>
      </c>
    </row>
    <row r="23" spans="1:37" ht="15.75" thickBot="1">
      <c r="A23" s="4">
        <f>ELEC!C23</f>
        <v>44033</v>
      </c>
      <c r="B23" s="574">
        <f t="shared" si="30"/>
        <v>8879</v>
      </c>
      <c r="C23" s="295">
        <f t="shared" si="11"/>
        <v>0</v>
      </c>
      <c r="D23" s="575">
        <f t="shared" si="31"/>
        <v>183419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8770</v>
      </c>
      <c r="I23" s="295" t="str">
        <f t="shared" si="1"/>
        <v>oil change</v>
      </c>
      <c r="J23" s="276">
        <f t="shared" si="14"/>
        <v>10698</v>
      </c>
      <c r="K23" s="295">
        <f t="shared" si="2"/>
        <v>0</v>
      </c>
      <c r="L23" s="575">
        <f t="shared" si="15"/>
        <v>238500</v>
      </c>
      <c r="M23" s="295">
        <f t="shared" si="3"/>
        <v>0</v>
      </c>
      <c r="N23" s="295">
        <f t="shared" si="16"/>
        <v>0</v>
      </c>
      <c r="O23" s="199"/>
      <c r="P23" s="296">
        <f t="shared" si="17"/>
        <v>10873</v>
      </c>
      <c r="Q23" s="295" t="str">
        <f t="shared" si="32"/>
        <v>ok</v>
      </c>
      <c r="R23" s="276">
        <f t="shared" si="33"/>
        <v>11465</v>
      </c>
      <c r="S23" s="295">
        <f t="shared" si="5"/>
        <v>0</v>
      </c>
      <c r="T23" s="575">
        <f t="shared" si="34"/>
        <v>305926</v>
      </c>
      <c r="U23" s="295">
        <f t="shared" si="35"/>
        <v>0</v>
      </c>
      <c r="V23" s="295">
        <f t="shared" si="18"/>
        <v>0</v>
      </c>
      <c r="W23" s="199"/>
      <c r="X23" s="296">
        <f t="shared" si="19"/>
        <v>12249</v>
      </c>
      <c r="Y23" s="295" t="str">
        <f t="shared" si="36"/>
        <v>ok</v>
      </c>
      <c r="Z23" s="295">
        <f t="shared" si="8"/>
        <v>0</v>
      </c>
      <c r="AA23" s="295">
        <f t="shared" si="20"/>
        <v>0</v>
      </c>
      <c r="AB23" s="295">
        <f t="shared" si="21"/>
        <v>0</v>
      </c>
      <c r="AC23" s="295">
        <f t="shared" si="22"/>
        <v>0</v>
      </c>
      <c r="AD23" s="73">
        <f>ELEC!Q23</f>
        <v>0</v>
      </c>
      <c r="AE23" s="73" t="e">
        <f t="shared" si="24"/>
        <v>#DIV/0!</v>
      </c>
      <c r="AF23" s="413" t="e">
        <f t="shared" si="25"/>
        <v>#DIV/0!</v>
      </c>
      <c r="AG23" s="414" t="e">
        <f t="shared" si="26"/>
        <v>#DIV/0!</v>
      </c>
      <c r="AH23" s="414" t="e">
        <f t="shared" si="23"/>
        <v>#DIV/0!</v>
      </c>
      <c r="AI23" s="73">
        <f t="shared" si="27"/>
        <v>0</v>
      </c>
      <c r="AJ23" s="297">
        <f t="shared" si="9"/>
        <v>0.25738396624472576</v>
      </c>
      <c r="AK23" s="297">
        <f t="shared" si="29"/>
        <v>0</v>
      </c>
    </row>
    <row r="24" spans="1:37" ht="15.75" thickBot="1">
      <c r="A24" s="4">
        <f>ELEC!C24</f>
        <v>44034</v>
      </c>
      <c r="B24" s="574">
        <f t="shared" si="30"/>
        <v>8879</v>
      </c>
      <c r="C24" s="295">
        <f t="shared" si="11"/>
        <v>0</v>
      </c>
      <c r="D24" s="575">
        <f t="shared" si="31"/>
        <v>183419</v>
      </c>
      <c r="E24" s="295">
        <f t="shared" si="12"/>
        <v>0</v>
      </c>
      <c r="F24" s="295">
        <f t="shared" si="0"/>
        <v>0</v>
      </c>
      <c r="G24" s="199"/>
      <c r="H24" s="296">
        <f t="shared" si="13"/>
        <v>8770</v>
      </c>
      <c r="I24" s="295" t="str">
        <f t="shared" si="1"/>
        <v>oil change</v>
      </c>
      <c r="J24" s="276">
        <f t="shared" si="14"/>
        <v>10698</v>
      </c>
      <c r="K24" s="295">
        <f t="shared" si="2"/>
        <v>0</v>
      </c>
      <c r="L24" s="575">
        <f t="shared" si="15"/>
        <v>238500</v>
      </c>
      <c r="M24" s="295">
        <f t="shared" si="3"/>
        <v>0</v>
      </c>
      <c r="N24" s="295">
        <f t="shared" si="16"/>
        <v>0</v>
      </c>
      <c r="O24" s="199"/>
      <c r="P24" s="296">
        <f>P23</f>
        <v>10873</v>
      </c>
      <c r="Q24" s="295" t="str">
        <f t="shared" si="32"/>
        <v>ok</v>
      </c>
      <c r="R24" s="276">
        <f t="shared" si="33"/>
        <v>11465</v>
      </c>
      <c r="S24" s="295">
        <f t="shared" si="5"/>
        <v>0</v>
      </c>
      <c r="T24" s="575">
        <f t="shared" si="34"/>
        <v>305926</v>
      </c>
      <c r="U24" s="295">
        <f t="shared" si="35"/>
        <v>0</v>
      </c>
      <c r="V24" s="295">
        <f t="shared" si="18"/>
        <v>0</v>
      </c>
      <c r="W24" s="199"/>
      <c r="X24" s="296">
        <f t="shared" si="19"/>
        <v>12249</v>
      </c>
      <c r="Y24" s="295" t="str">
        <f t="shared" si="36"/>
        <v>ok</v>
      </c>
      <c r="Z24" s="295">
        <f t="shared" si="8"/>
        <v>0</v>
      </c>
      <c r="AA24" s="295">
        <f t="shared" si="20"/>
        <v>0</v>
      </c>
      <c r="AB24" s="295">
        <f t="shared" si="21"/>
        <v>0</v>
      </c>
      <c r="AC24" s="295">
        <f t="shared" si="22"/>
        <v>0</v>
      </c>
      <c r="AD24" s="73">
        <f>ELEC!Q24</f>
        <v>0</v>
      </c>
      <c r="AE24" s="73" t="e">
        <f t="shared" si="24"/>
        <v>#DIV/0!</v>
      </c>
      <c r="AF24" s="413" t="e">
        <f t="shared" si="25"/>
        <v>#DIV/0!</v>
      </c>
      <c r="AG24" s="414" t="e">
        <f t="shared" si="26"/>
        <v>#DIV/0!</v>
      </c>
      <c r="AH24" s="414" t="e">
        <f t="shared" si="23"/>
        <v>#DIV/0!</v>
      </c>
      <c r="AI24" s="73">
        <f t="shared" si="27"/>
        <v>0</v>
      </c>
      <c r="AJ24" s="297">
        <f t="shared" si="9"/>
        <v>0.25738396624472576</v>
      </c>
      <c r="AK24" s="297">
        <f t="shared" si="29"/>
        <v>0</v>
      </c>
    </row>
    <row r="25" spans="1:37" ht="15.75" thickBot="1">
      <c r="A25" s="4">
        <f>ELEC!C25</f>
        <v>44035</v>
      </c>
      <c r="B25" s="574">
        <f t="shared" si="30"/>
        <v>8879</v>
      </c>
      <c r="C25" s="295">
        <f t="shared" si="11"/>
        <v>0</v>
      </c>
      <c r="D25" s="575">
        <f t="shared" si="31"/>
        <v>183419</v>
      </c>
      <c r="E25" s="295">
        <f t="shared" si="12"/>
        <v>0</v>
      </c>
      <c r="F25" s="295">
        <f t="shared" si="0"/>
        <v>0</v>
      </c>
      <c r="G25" s="199"/>
      <c r="H25" s="296">
        <v>8770</v>
      </c>
      <c r="I25" s="295" t="str">
        <f t="shared" si="1"/>
        <v>oil change</v>
      </c>
      <c r="J25" s="276">
        <f t="shared" si="14"/>
        <v>10698</v>
      </c>
      <c r="K25" s="295">
        <f t="shared" si="2"/>
        <v>0</v>
      </c>
      <c r="L25" s="575">
        <f t="shared" si="15"/>
        <v>238500</v>
      </c>
      <c r="M25" s="295">
        <f t="shared" si="3"/>
        <v>0</v>
      </c>
      <c r="N25" s="295">
        <f t="shared" si="16"/>
        <v>0</v>
      </c>
      <c r="O25" s="199"/>
      <c r="P25" s="296">
        <f t="shared" si="17"/>
        <v>10873</v>
      </c>
      <c r="Q25" s="295" t="str">
        <f t="shared" si="32"/>
        <v>ok</v>
      </c>
      <c r="R25" s="276">
        <f t="shared" si="33"/>
        <v>11465</v>
      </c>
      <c r="S25" s="295">
        <f t="shared" si="5"/>
        <v>0</v>
      </c>
      <c r="T25" s="575">
        <f t="shared" si="34"/>
        <v>305926</v>
      </c>
      <c r="U25" s="295">
        <f t="shared" si="35"/>
        <v>0</v>
      </c>
      <c r="V25" s="295">
        <f t="shared" si="18"/>
        <v>0</v>
      </c>
      <c r="W25" s="199"/>
      <c r="X25" s="296">
        <f t="shared" si="19"/>
        <v>12249</v>
      </c>
      <c r="Y25" s="295" t="str">
        <f t="shared" si="36"/>
        <v>ok</v>
      </c>
      <c r="Z25" s="295">
        <f t="shared" si="8"/>
        <v>0</v>
      </c>
      <c r="AA25" s="295">
        <f t="shared" si="20"/>
        <v>0</v>
      </c>
      <c r="AB25" s="295">
        <f t="shared" si="21"/>
        <v>0</v>
      </c>
      <c r="AC25" s="295">
        <f t="shared" si="22"/>
        <v>0</v>
      </c>
      <c r="AD25" s="73">
        <f>ELEC!Q25</f>
        <v>0</v>
      </c>
      <c r="AE25" s="73" t="e">
        <f t="shared" si="24"/>
        <v>#DIV/0!</v>
      </c>
      <c r="AF25" s="413" t="e">
        <f t="shared" si="25"/>
        <v>#DIV/0!</v>
      </c>
      <c r="AG25" s="414" t="e">
        <f t="shared" si="26"/>
        <v>#DIV/0!</v>
      </c>
      <c r="AH25" s="414" t="e">
        <f t="shared" si="23"/>
        <v>#DIV/0!</v>
      </c>
      <c r="AI25" s="73">
        <f t="shared" si="27"/>
        <v>0</v>
      </c>
      <c r="AJ25" s="297">
        <f t="shared" si="9"/>
        <v>0.25738396624472576</v>
      </c>
      <c r="AK25" s="297">
        <f t="shared" si="29"/>
        <v>0</v>
      </c>
    </row>
    <row r="26" spans="1:37" ht="15.75" thickBot="1">
      <c r="A26" s="4">
        <f>ELEC!C26</f>
        <v>44036</v>
      </c>
      <c r="B26" s="574">
        <f t="shared" si="30"/>
        <v>8879</v>
      </c>
      <c r="C26" s="295">
        <f t="shared" si="11"/>
        <v>0</v>
      </c>
      <c r="D26" s="575">
        <f t="shared" si="31"/>
        <v>183419</v>
      </c>
      <c r="E26" s="295">
        <f t="shared" si="12"/>
        <v>0</v>
      </c>
      <c r="F26" s="295">
        <f t="shared" si="0"/>
        <v>0</v>
      </c>
      <c r="G26" s="199"/>
      <c r="H26" s="296">
        <f t="shared" si="13"/>
        <v>8770</v>
      </c>
      <c r="I26" s="295" t="str">
        <f t="shared" si="1"/>
        <v>oil change</v>
      </c>
      <c r="J26" s="276">
        <f t="shared" si="14"/>
        <v>10698</v>
      </c>
      <c r="K26" s="295">
        <f t="shared" si="2"/>
        <v>0</v>
      </c>
      <c r="L26" s="575">
        <f t="shared" si="15"/>
        <v>238500</v>
      </c>
      <c r="M26" s="295">
        <f t="shared" si="3"/>
        <v>0</v>
      </c>
      <c r="N26" s="295">
        <f t="shared" si="16"/>
        <v>0</v>
      </c>
      <c r="O26" s="199"/>
      <c r="P26" s="296">
        <f t="shared" si="17"/>
        <v>10873</v>
      </c>
      <c r="Q26" s="295" t="str">
        <f t="shared" si="32"/>
        <v>ok</v>
      </c>
      <c r="R26" s="276">
        <f t="shared" si="33"/>
        <v>11465</v>
      </c>
      <c r="S26" s="295">
        <f t="shared" si="5"/>
        <v>0</v>
      </c>
      <c r="T26" s="575">
        <f t="shared" si="34"/>
        <v>305926</v>
      </c>
      <c r="U26" s="295">
        <f t="shared" si="35"/>
        <v>0</v>
      </c>
      <c r="V26" s="295">
        <f t="shared" si="18"/>
        <v>0</v>
      </c>
      <c r="W26" s="199"/>
      <c r="X26" s="296">
        <f t="shared" si="19"/>
        <v>12249</v>
      </c>
      <c r="Y26" s="295" t="str">
        <f t="shared" si="36"/>
        <v>ok</v>
      </c>
      <c r="Z26" s="295">
        <f t="shared" si="8"/>
        <v>0</v>
      </c>
      <c r="AA26" s="295">
        <f t="shared" si="20"/>
        <v>0</v>
      </c>
      <c r="AB26" s="295">
        <f t="shared" si="21"/>
        <v>0</v>
      </c>
      <c r="AC26" s="295">
        <f t="shared" si="22"/>
        <v>0</v>
      </c>
      <c r="AD26" s="73">
        <f>ELEC!Q26</f>
        <v>0</v>
      </c>
      <c r="AE26" s="73" t="e">
        <f t="shared" si="24"/>
        <v>#DIV/0!</v>
      </c>
      <c r="AF26" s="413" t="e">
        <f t="shared" si="25"/>
        <v>#DIV/0!</v>
      </c>
      <c r="AG26" s="414" t="e">
        <f t="shared" si="26"/>
        <v>#DIV/0!</v>
      </c>
      <c r="AH26" s="414" t="e">
        <f t="shared" si="23"/>
        <v>#DIV/0!</v>
      </c>
      <c r="AI26" s="73">
        <f t="shared" si="27"/>
        <v>0</v>
      </c>
      <c r="AJ26" s="297">
        <f t="shared" si="9"/>
        <v>0.25738396624472576</v>
      </c>
      <c r="AK26" s="297">
        <f t="shared" si="29"/>
        <v>0</v>
      </c>
    </row>
    <row r="27" spans="1:37" ht="15.75" thickBot="1">
      <c r="A27" s="4">
        <f>ELEC!C27</f>
        <v>44037</v>
      </c>
      <c r="B27" s="574">
        <f t="shared" si="30"/>
        <v>8879</v>
      </c>
      <c r="C27" s="295">
        <f t="shared" si="11"/>
        <v>0</v>
      </c>
      <c r="D27" s="575">
        <f t="shared" si="31"/>
        <v>183419</v>
      </c>
      <c r="E27" s="295">
        <f t="shared" si="12"/>
        <v>0</v>
      </c>
      <c r="F27" s="295">
        <f t="shared" si="0"/>
        <v>0</v>
      </c>
      <c r="G27" s="199"/>
      <c r="H27" s="296">
        <f t="shared" si="13"/>
        <v>8770</v>
      </c>
      <c r="I27" s="295" t="str">
        <f>IF(B27-H27&lt;=0,"ok","oil change")</f>
        <v>oil change</v>
      </c>
      <c r="J27" s="276">
        <f t="shared" si="14"/>
        <v>10698</v>
      </c>
      <c r="K27" s="295">
        <f t="shared" si="2"/>
        <v>0</v>
      </c>
      <c r="L27" s="575">
        <f t="shared" si="15"/>
        <v>238500</v>
      </c>
      <c r="M27" s="295">
        <f t="shared" si="3"/>
        <v>0</v>
      </c>
      <c r="N27" s="295">
        <f t="shared" si="16"/>
        <v>0</v>
      </c>
      <c r="O27" s="199"/>
      <c r="P27" s="296">
        <f t="shared" si="17"/>
        <v>10873</v>
      </c>
      <c r="Q27" s="295" t="str">
        <f t="shared" si="32"/>
        <v>ok</v>
      </c>
      <c r="R27" s="276">
        <f t="shared" si="33"/>
        <v>11465</v>
      </c>
      <c r="S27" s="295">
        <f t="shared" si="5"/>
        <v>0</v>
      </c>
      <c r="T27" s="575">
        <f t="shared" si="34"/>
        <v>305926</v>
      </c>
      <c r="U27" s="295">
        <f t="shared" si="35"/>
        <v>0</v>
      </c>
      <c r="V27" s="295">
        <f t="shared" si="18"/>
        <v>0</v>
      </c>
      <c r="W27" s="199"/>
      <c r="X27" s="296">
        <f t="shared" si="19"/>
        <v>12249</v>
      </c>
      <c r="Y27" s="295" t="str">
        <f t="shared" si="36"/>
        <v>ok</v>
      </c>
      <c r="Z27" s="295">
        <f t="shared" si="8"/>
        <v>0</v>
      </c>
      <c r="AA27" s="295">
        <f t="shared" si="20"/>
        <v>0</v>
      </c>
      <c r="AB27" s="295">
        <f t="shared" si="21"/>
        <v>0</v>
      </c>
      <c r="AC27" s="295">
        <f t="shared" si="22"/>
        <v>0</v>
      </c>
      <c r="AD27" s="73">
        <f>ELEC!Q27</f>
        <v>0</v>
      </c>
      <c r="AE27" s="73" t="e">
        <f t="shared" si="24"/>
        <v>#DIV/0!</v>
      </c>
      <c r="AF27" s="413" t="e">
        <f t="shared" si="25"/>
        <v>#DIV/0!</v>
      </c>
      <c r="AG27" s="414" t="e">
        <f t="shared" si="26"/>
        <v>#DIV/0!</v>
      </c>
      <c r="AH27" s="414" t="e">
        <f t="shared" si="23"/>
        <v>#DIV/0!</v>
      </c>
      <c r="AI27" s="73">
        <f t="shared" si="27"/>
        <v>0</v>
      </c>
      <c r="AJ27" s="297">
        <f t="shared" si="9"/>
        <v>0.25738396624472576</v>
      </c>
      <c r="AK27" s="297">
        <f t="shared" si="29"/>
        <v>0</v>
      </c>
    </row>
    <row r="28" spans="1:37" ht="15.75" thickBot="1">
      <c r="A28" s="4">
        <f>ELEC!C28</f>
        <v>44038</v>
      </c>
      <c r="B28" s="574">
        <f t="shared" si="30"/>
        <v>8879</v>
      </c>
      <c r="C28" s="295">
        <f t="shared" si="11"/>
        <v>0</v>
      </c>
      <c r="D28" s="575">
        <f t="shared" si="31"/>
        <v>183419</v>
      </c>
      <c r="E28" s="295">
        <f t="shared" si="12"/>
        <v>0</v>
      </c>
      <c r="F28" s="295">
        <f t="shared" si="0"/>
        <v>0</v>
      </c>
      <c r="G28" s="293"/>
      <c r="H28" s="296">
        <f t="shared" si="13"/>
        <v>8770</v>
      </c>
      <c r="I28" s="295" t="str">
        <f t="shared" si="1"/>
        <v>oil change</v>
      </c>
      <c r="J28" s="276">
        <f t="shared" si="14"/>
        <v>10698</v>
      </c>
      <c r="K28" s="295">
        <f t="shared" si="2"/>
        <v>0</v>
      </c>
      <c r="L28" s="575">
        <f t="shared" si="15"/>
        <v>238500</v>
      </c>
      <c r="M28" s="295">
        <f t="shared" si="3"/>
        <v>0</v>
      </c>
      <c r="N28" s="295">
        <f t="shared" si="16"/>
        <v>0</v>
      </c>
      <c r="O28" s="199"/>
      <c r="P28" s="296">
        <f t="shared" si="17"/>
        <v>10873</v>
      </c>
      <c r="Q28" s="295" t="str">
        <f t="shared" si="32"/>
        <v>ok</v>
      </c>
      <c r="R28" s="276">
        <f t="shared" si="33"/>
        <v>11465</v>
      </c>
      <c r="S28" s="295">
        <f t="shared" si="5"/>
        <v>0</v>
      </c>
      <c r="T28" s="575">
        <f t="shared" si="34"/>
        <v>305926</v>
      </c>
      <c r="U28" s="295">
        <f t="shared" si="35"/>
        <v>0</v>
      </c>
      <c r="V28" s="295">
        <f t="shared" si="18"/>
        <v>0</v>
      </c>
      <c r="W28" s="199"/>
      <c r="X28" s="296">
        <f t="shared" si="19"/>
        <v>12249</v>
      </c>
      <c r="Y28" s="295" t="str">
        <f t="shared" si="36"/>
        <v>ok</v>
      </c>
      <c r="Z28" s="295">
        <f t="shared" si="8"/>
        <v>0</v>
      </c>
      <c r="AA28" s="295">
        <f t="shared" si="20"/>
        <v>0</v>
      </c>
      <c r="AB28" s="295">
        <f t="shared" si="21"/>
        <v>0</v>
      </c>
      <c r="AC28" s="295">
        <f t="shared" si="22"/>
        <v>0</v>
      </c>
      <c r="AD28" s="73">
        <f>ELEC!Q28</f>
        <v>0</v>
      </c>
      <c r="AE28" s="73" t="e">
        <f t="shared" si="24"/>
        <v>#DIV/0!</v>
      </c>
      <c r="AF28" s="413" t="e">
        <f t="shared" si="25"/>
        <v>#DIV/0!</v>
      </c>
      <c r="AG28" s="414" t="e">
        <f t="shared" si="26"/>
        <v>#DIV/0!</v>
      </c>
      <c r="AH28" s="414" t="e">
        <f t="shared" si="23"/>
        <v>#DIV/0!</v>
      </c>
      <c r="AI28" s="73">
        <f t="shared" si="27"/>
        <v>0</v>
      </c>
      <c r="AJ28" s="297">
        <f t="shared" si="9"/>
        <v>0.25738396624472576</v>
      </c>
      <c r="AK28" s="297">
        <f t="shared" si="29"/>
        <v>0</v>
      </c>
    </row>
    <row r="29" spans="1:37" ht="15.75" thickBot="1">
      <c r="A29" s="4">
        <f>ELEC!C29</f>
        <v>44039</v>
      </c>
      <c r="B29" s="574">
        <f t="shared" si="30"/>
        <v>8879</v>
      </c>
      <c r="C29" s="295">
        <f t="shared" si="11"/>
        <v>0</v>
      </c>
      <c r="D29" s="575">
        <f t="shared" si="31"/>
        <v>183419</v>
      </c>
      <c r="E29" s="295">
        <f>SUM(D29-D28)</f>
        <v>0</v>
      </c>
      <c r="F29" s="295">
        <f t="shared" si="0"/>
        <v>0</v>
      </c>
      <c r="G29" s="199"/>
      <c r="H29" s="296">
        <f t="shared" si="13"/>
        <v>8770</v>
      </c>
      <c r="I29" s="295" t="str">
        <f t="shared" si="1"/>
        <v>oil change</v>
      </c>
      <c r="J29" s="276">
        <f t="shared" si="14"/>
        <v>10698</v>
      </c>
      <c r="K29" s="295">
        <f t="shared" si="2"/>
        <v>0</v>
      </c>
      <c r="L29" s="575">
        <f t="shared" si="15"/>
        <v>238500</v>
      </c>
      <c r="M29" s="295">
        <f t="shared" si="3"/>
        <v>0</v>
      </c>
      <c r="N29" s="295">
        <f t="shared" si="16"/>
        <v>0</v>
      </c>
      <c r="O29" s="199"/>
      <c r="P29" s="296">
        <f t="shared" si="17"/>
        <v>10873</v>
      </c>
      <c r="Q29" s="295" t="str">
        <f t="shared" si="32"/>
        <v>ok</v>
      </c>
      <c r="R29" s="276">
        <f t="shared" si="33"/>
        <v>11465</v>
      </c>
      <c r="S29" s="295">
        <f t="shared" si="5"/>
        <v>0</v>
      </c>
      <c r="T29" s="575">
        <f t="shared" si="34"/>
        <v>305926</v>
      </c>
      <c r="U29" s="295">
        <f t="shared" si="35"/>
        <v>0</v>
      </c>
      <c r="V29" s="295">
        <f t="shared" si="18"/>
        <v>0</v>
      </c>
      <c r="W29" s="199"/>
      <c r="X29" s="296">
        <f t="shared" si="19"/>
        <v>12249</v>
      </c>
      <c r="Y29" s="295" t="str">
        <f t="shared" si="36"/>
        <v>ok</v>
      </c>
      <c r="Z29" s="295">
        <f t="shared" si="8"/>
        <v>0</v>
      </c>
      <c r="AA29" s="295">
        <f t="shared" si="20"/>
        <v>0</v>
      </c>
      <c r="AB29" s="295">
        <f t="shared" si="21"/>
        <v>0</v>
      </c>
      <c r="AC29" s="295">
        <f t="shared" si="22"/>
        <v>0</v>
      </c>
      <c r="AD29" s="73">
        <f>ELEC!Q29</f>
        <v>0</v>
      </c>
      <c r="AE29" s="73" t="e">
        <f t="shared" si="24"/>
        <v>#DIV/0!</v>
      </c>
      <c r="AF29" s="413" t="e">
        <f t="shared" si="25"/>
        <v>#DIV/0!</v>
      </c>
      <c r="AG29" s="414" t="e">
        <f t="shared" si="26"/>
        <v>#DIV/0!</v>
      </c>
      <c r="AH29" s="414" t="e">
        <f t="shared" si="23"/>
        <v>#DIV/0!</v>
      </c>
      <c r="AI29" s="73">
        <f t="shared" si="27"/>
        <v>0</v>
      </c>
      <c r="AJ29" s="297">
        <f t="shared" si="9"/>
        <v>0.25738396624472576</v>
      </c>
      <c r="AK29" s="297">
        <f t="shared" si="29"/>
        <v>0</v>
      </c>
    </row>
    <row r="30" spans="1:37" ht="15.75" thickBot="1">
      <c r="A30" s="4">
        <f>ELEC!C30</f>
        <v>44040</v>
      </c>
      <c r="B30" s="574">
        <f t="shared" si="30"/>
        <v>8879</v>
      </c>
      <c r="C30" s="295">
        <f t="shared" si="11"/>
        <v>0</v>
      </c>
      <c r="D30" s="575">
        <f t="shared" si="31"/>
        <v>183419</v>
      </c>
      <c r="E30" s="295">
        <f t="shared" si="12"/>
        <v>0</v>
      </c>
      <c r="F30" s="295">
        <f t="shared" si="0"/>
        <v>0</v>
      </c>
      <c r="G30" s="199"/>
      <c r="H30" s="296">
        <f t="shared" si="13"/>
        <v>8770</v>
      </c>
      <c r="I30" s="295" t="str">
        <f t="shared" si="1"/>
        <v>oil change</v>
      </c>
      <c r="J30" s="276">
        <f t="shared" si="14"/>
        <v>10698</v>
      </c>
      <c r="K30" s="295">
        <f t="shared" si="2"/>
        <v>0</v>
      </c>
      <c r="L30" s="575">
        <f t="shared" si="15"/>
        <v>238500</v>
      </c>
      <c r="M30" s="295">
        <f t="shared" si="3"/>
        <v>0</v>
      </c>
      <c r="N30" s="295">
        <f t="shared" si="16"/>
        <v>0</v>
      </c>
      <c r="O30" s="199"/>
      <c r="P30" s="296">
        <f t="shared" si="17"/>
        <v>10873</v>
      </c>
      <c r="Q30" s="295" t="str">
        <f t="shared" si="32"/>
        <v>ok</v>
      </c>
      <c r="R30" s="276">
        <f t="shared" si="33"/>
        <v>11465</v>
      </c>
      <c r="S30" s="295">
        <f t="shared" si="5"/>
        <v>0</v>
      </c>
      <c r="T30" s="575">
        <f t="shared" si="34"/>
        <v>305926</v>
      </c>
      <c r="U30" s="295">
        <f t="shared" si="35"/>
        <v>0</v>
      </c>
      <c r="V30" s="295">
        <f t="shared" si="18"/>
        <v>0</v>
      </c>
      <c r="W30" s="293"/>
      <c r="X30" s="296">
        <f t="shared" si="19"/>
        <v>12249</v>
      </c>
      <c r="Y30" s="295" t="str">
        <f t="shared" si="36"/>
        <v>ok</v>
      </c>
      <c r="Z30" s="295">
        <f t="shared" si="8"/>
        <v>0</v>
      </c>
      <c r="AA30" s="295">
        <f t="shared" si="20"/>
        <v>0</v>
      </c>
      <c r="AB30" s="295">
        <f t="shared" si="21"/>
        <v>0</v>
      </c>
      <c r="AC30" s="295">
        <f t="shared" si="22"/>
        <v>0</v>
      </c>
      <c r="AD30" s="73">
        <f>ELEC!Q30</f>
        <v>0</v>
      </c>
      <c r="AE30" s="73" t="e">
        <f t="shared" si="24"/>
        <v>#DIV/0!</v>
      </c>
      <c r="AF30" s="413" t="e">
        <f t="shared" si="25"/>
        <v>#DIV/0!</v>
      </c>
      <c r="AG30" s="414" t="e">
        <f t="shared" si="26"/>
        <v>#DIV/0!</v>
      </c>
      <c r="AH30" s="414" t="e">
        <f t="shared" si="23"/>
        <v>#DIV/0!</v>
      </c>
      <c r="AI30" s="73">
        <f t="shared" si="27"/>
        <v>0</v>
      </c>
      <c r="AJ30" s="297">
        <f t="shared" si="9"/>
        <v>0.25738396624472576</v>
      </c>
      <c r="AK30" s="297">
        <f t="shared" si="29"/>
        <v>0</v>
      </c>
    </row>
    <row r="31" spans="1:37" ht="15.75" thickBot="1">
      <c r="A31" s="4">
        <f>ELEC!C31</f>
        <v>44041</v>
      </c>
      <c r="B31" s="574">
        <f t="shared" si="30"/>
        <v>8879</v>
      </c>
      <c r="C31" s="295">
        <f t="shared" si="11"/>
        <v>0</v>
      </c>
      <c r="D31" s="575">
        <f t="shared" si="31"/>
        <v>183419</v>
      </c>
      <c r="E31" s="295">
        <f t="shared" si="12"/>
        <v>0</v>
      </c>
      <c r="F31" s="295">
        <f t="shared" si="0"/>
        <v>0</v>
      </c>
      <c r="G31" s="199"/>
      <c r="H31" s="296">
        <f t="shared" si="13"/>
        <v>8770</v>
      </c>
      <c r="I31" s="295" t="str">
        <f t="shared" si="1"/>
        <v>oil change</v>
      </c>
      <c r="J31" s="276">
        <f t="shared" si="14"/>
        <v>10698</v>
      </c>
      <c r="K31" s="295">
        <f t="shared" si="2"/>
        <v>0</v>
      </c>
      <c r="L31" s="575">
        <f t="shared" si="15"/>
        <v>238500</v>
      </c>
      <c r="M31" s="295">
        <f t="shared" si="3"/>
        <v>0</v>
      </c>
      <c r="N31" s="295">
        <f t="shared" si="16"/>
        <v>0</v>
      </c>
      <c r="O31" s="199"/>
      <c r="P31" s="296">
        <f t="shared" si="17"/>
        <v>10873</v>
      </c>
      <c r="Q31" s="295" t="str">
        <f t="shared" si="32"/>
        <v>ok</v>
      </c>
      <c r="R31" s="276">
        <f t="shared" si="33"/>
        <v>11465</v>
      </c>
      <c r="S31" s="295">
        <f t="shared" si="5"/>
        <v>0</v>
      </c>
      <c r="T31" s="575">
        <f t="shared" si="34"/>
        <v>305926</v>
      </c>
      <c r="U31" s="295">
        <f t="shared" si="35"/>
        <v>0</v>
      </c>
      <c r="V31" s="295">
        <f t="shared" si="18"/>
        <v>0</v>
      </c>
      <c r="W31" s="199"/>
      <c r="X31" s="296">
        <f t="shared" si="19"/>
        <v>12249</v>
      </c>
      <c r="Y31" s="295" t="str">
        <f t="shared" si="36"/>
        <v>ok</v>
      </c>
      <c r="Z31" s="295">
        <f t="shared" si="8"/>
        <v>0</v>
      </c>
      <c r="AA31" s="295">
        <f t="shared" si="20"/>
        <v>0</v>
      </c>
      <c r="AB31" s="295">
        <f t="shared" si="21"/>
        <v>0</v>
      </c>
      <c r="AC31" s="295">
        <f t="shared" si="22"/>
        <v>0</v>
      </c>
      <c r="AD31" s="73">
        <f>ELEC!Q31</f>
        <v>0</v>
      </c>
      <c r="AE31" s="73" t="e">
        <f t="shared" si="24"/>
        <v>#DIV/0!</v>
      </c>
      <c r="AF31" s="413" t="e">
        <f t="shared" si="25"/>
        <v>#DIV/0!</v>
      </c>
      <c r="AG31" s="414" t="e">
        <f t="shared" si="26"/>
        <v>#DIV/0!</v>
      </c>
      <c r="AH31" s="414" t="e">
        <f t="shared" si="23"/>
        <v>#DIV/0!</v>
      </c>
      <c r="AI31" s="73">
        <f t="shared" si="27"/>
        <v>0</v>
      </c>
      <c r="AJ31" s="297">
        <f t="shared" si="9"/>
        <v>0.25738396624472576</v>
      </c>
      <c r="AK31" s="297">
        <f t="shared" si="29"/>
        <v>0</v>
      </c>
    </row>
    <row r="32" spans="1:37" ht="15.75" thickBot="1">
      <c r="A32" s="4">
        <f>ELEC!C32</f>
        <v>44042</v>
      </c>
      <c r="B32" s="574">
        <f t="shared" si="30"/>
        <v>8879</v>
      </c>
      <c r="C32" s="295">
        <f t="shared" si="11"/>
        <v>0</v>
      </c>
      <c r="D32" s="575">
        <f t="shared" si="31"/>
        <v>183419</v>
      </c>
      <c r="E32" s="295">
        <f t="shared" si="12"/>
        <v>0</v>
      </c>
      <c r="F32" s="295">
        <f t="shared" si="0"/>
        <v>0</v>
      </c>
      <c r="G32" s="199"/>
      <c r="H32" s="296">
        <f t="shared" si="13"/>
        <v>8770</v>
      </c>
      <c r="I32" s="295" t="str">
        <f t="shared" si="1"/>
        <v>oil change</v>
      </c>
      <c r="J32" s="276">
        <f t="shared" si="14"/>
        <v>10698</v>
      </c>
      <c r="K32" s="295">
        <f>J32-J31</f>
        <v>0</v>
      </c>
      <c r="L32" s="575">
        <f t="shared" si="15"/>
        <v>238500</v>
      </c>
      <c r="M32" s="295">
        <f t="shared" si="3"/>
        <v>0</v>
      </c>
      <c r="N32" s="295">
        <f t="shared" si="16"/>
        <v>0</v>
      </c>
      <c r="O32" s="199"/>
      <c r="P32" s="296">
        <f t="shared" si="17"/>
        <v>10873</v>
      </c>
      <c r="Q32" s="295" t="str">
        <f t="shared" si="32"/>
        <v>ok</v>
      </c>
      <c r="R32" s="276">
        <f t="shared" si="33"/>
        <v>11465</v>
      </c>
      <c r="S32" s="295">
        <f t="shared" si="5"/>
        <v>0</v>
      </c>
      <c r="T32" s="575">
        <f t="shared" si="34"/>
        <v>305926</v>
      </c>
      <c r="U32" s="295">
        <f t="shared" si="35"/>
        <v>0</v>
      </c>
      <c r="V32" s="295">
        <f t="shared" si="18"/>
        <v>0</v>
      </c>
      <c r="W32" s="199"/>
      <c r="X32" s="296">
        <f t="shared" si="19"/>
        <v>12249</v>
      </c>
      <c r="Y32" s="295" t="str">
        <f t="shared" si="36"/>
        <v>ok</v>
      </c>
      <c r="Z32" s="295">
        <f t="shared" si="8"/>
        <v>0</v>
      </c>
      <c r="AA32" s="295">
        <f t="shared" si="20"/>
        <v>0</v>
      </c>
      <c r="AB32" s="295">
        <f t="shared" si="21"/>
        <v>0</v>
      </c>
      <c r="AC32" s="295">
        <f t="shared" si="22"/>
        <v>0</v>
      </c>
      <c r="AD32" s="73">
        <f>ELEC!Q32</f>
        <v>0</v>
      </c>
      <c r="AE32" s="73" t="e">
        <f t="shared" si="24"/>
        <v>#DIV/0!</v>
      </c>
      <c r="AF32" s="413" t="e">
        <f t="shared" si="25"/>
        <v>#DIV/0!</v>
      </c>
      <c r="AG32" s="414" t="e">
        <f t="shared" si="26"/>
        <v>#DIV/0!</v>
      </c>
      <c r="AH32" s="414" t="e">
        <f t="shared" si="23"/>
        <v>#DIV/0!</v>
      </c>
      <c r="AI32" s="73">
        <f t="shared" si="27"/>
        <v>0</v>
      </c>
      <c r="AJ32" s="297">
        <f t="shared" si="9"/>
        <v>0.25738396624472576</v>
      </c>
      <c r="AK32" s="297">
        <f t="shared" si="29"/>
        <v>0</v>
      </c>
    </row>
    <row r="33" spans="1:37">
      <c r="A33" s="4">
        <f>ELEC!C33</f>
        <v>44043</v>
      </c>
      <c r="B33" s="574">
        <f t="shared" si="30"/>
        <v>8879</v>
      </c>
      <c r="C33" s="295">
        <f t="shared" ref="C33" si="37">B33-B32</f>
        <v>0</v>
      </c>
      <c r="D33" s="575">
        <f t="shared" si="31"/>
        <v>183419</v>
      </c>
      <c r="E33" s="295">
        <f t="shared" ref="E33" si="38">SUM(D33-D32)</f>
        <v>0</v>
      </c>
      <c r="F33" s="295">
        <f t="shared" ref="F33" si="39">IF(C33&gt;0,E33/C33,0)</f>
        <v>0</v>
      </c>
      <c r="G33" s="346"/>
      <c r="H33" s="296">
        <f t="shared" si="13"/>
        <v>8770</v>
      </c>
      <c r="I33" s="295" t="str">
        <f t="shared" ref="I33" si="40">IF(B33-H33&lt;=0,"ok","oil change")</f>
        <v>oil change</v>
      </c>
      <c r="J33" s="276">
        <f t="shared" si="14"/>
        <v>10698</v>
      </c>
      <c r="K33" s="295">
        <f>J33-J32</f>
        <v>0</v>
      </c>
      <c r="L33" s="575">
        <f t="shared" si="15"/>
        <v>238500</v>
      </c>
      <c r="M33" s="295">
        <f t="shared" ref="M33" si="41">SUM(L33-L32)</f>
        <v>0</v>
      </c>
      <c r="N33" s="295">
        <f t="shared" ref="N33" si="42">IF(K33&gt;0,M33/K33,0)</f>
        <v>0</v>
      </c>
      <c r="O33" s="346"/>
      <c r="P33" s="296">
        <f t="shared" si="17"/>
        <v>10873</v>
      </c>
      <c r="Q33" s="295" t="str">
        <f t="shared" ref="Q33" si="43">IF(J33-P33&lt;=0,"ok","oil change")</f>
        <v>ok</v>
      </c>
      <c r="R33" s="276">
        <f t="shared" si="33"/>
        <v>11465</v>
      </c>
      <c r="S33" s="295">
        <f t="shared" ref="S33" si="44">R33-R32</f>
        <v>0</v>
      </c>
      <c r="T33" s="575">
        <f t="shared" si="34"/>
        <v>305926</v>
      </c>
      <c r="U33" s="295">
        <f t="shared" ref="U33" si="45">SUM(T33-T32)</f>
        <v>0</v>
      </c>
      <c r="V33" s="295">
        <f t="shared" ref="V33" si="46">IF(S33&gt;0,U33/S33,0)</f>
        <v>0</v>
      </c>
      <c r="W33" s="346"/>
      <c r="X33" s="296">
        <f t="shared" si="19"/>
        <v>12249</v>
      </c>
      <c r="Y33" s="295" t="str">
        <f t="shared" ref="Y33" si="47">IF(R33-X33&lt;=0,"ok","oil change")</f>
        <v>ok</v>
      </c>
      <c r="Z33" s="295">
        <f t="shared" ref="Z33" si="48">C33+K33+S33</f>
        <v>0</v>
      </c>
      <c r="AA33" s="295">
        <f t="shared" ref="AA33" si="49">U33+M33+E33</f>
        <v>0</v>
      </c>
      <c r="AB33" s="295">
        <f t="shared" ref="AB33" si="50">V33+N33+F33</f>
        <v>0</v>
      </c>
      <c r="AC33" s="295">
        <f t="shared" ref="AC33" si="51">IF(Z33&gt;0,AA33/Z33,0)</f>
        <v>0</v>
      </c>
      <c r="AD33" s="73">
        <f>ELEC!Q33</f>
        <v>0</v>
      </c>
      <c r="AE33" s="73" t="e">
        <f t="shared" ref="AE33" si="52">SUM(AD33/Z33)</f>
        <v>#DIV/0!</v>
      </c>
      <c r="AF33" s="413" t="e">
        <f t="shared" ref="AF33" si="53">SUM(AE33/1600)</f>
        <v>#DIV/0!</v>
      </c>
      <c r="AG33" s="519" t="e">
        <f t="shared" ref="AG33" si="54">SUM(320*AF33)</f>
        <v>#DIV/0!</v>
      </c>
      <c r="AH33" s="519" t="e">
        <f t="shared" ref="AH33" si="55">SUM(AC33-AG33)</f>
        <v>#DIV/0!</v>
      </c>
      <c r="AI33" s="73">
        <f t="shared" ref="AI33" si="56">AD33*AJ33</f>
        <v>0</v>
      </c>
      <c r="AJ33" s="297">
        <f t="shared" si="9"/>
        <v>0.25738396624472576</v>
      </c>
      <c r="AK33" s="297">
        <f t="shared" ref="AK33" si="57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315</v>
      </c>
      <c r="V34" s="40"/>
      <c r="X34">
        <v>341</v>
      </c>
      <c r="Z34" s="432">
        <f>SUM(Z3:Z32)</f>
        <v>315</v>
      </c>
    </row>
    <row r="35" spans="1:37">
      <c r="C35" s="40">
        <f>SUM(C3:C32)</f>
        <v>102</v>
      </c>
      <c r="K35" s="40">
        <f>SUM(K3:K32)</f>
        <v>0</v>
      </c>
      <c r="S35" s="40">
        <f>SUM(S3:S32)</f>
        <v>213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3740</v>
      </c>
      <c r="C2" s="3">
        <f>ELEC!N3</f>
        <v>18028</v>
      </c>
      <c r="D2" s="3">
        <f>C2-E2</f>
        <v>4028</v>
      </c>
      <c r="E2" s="3">
        <f>ELEC!Q3</f>
        <v>14000</v>
      </c>
      <c r="F2" s="3">
        <f>GEN!Z2</f>
        <v>15</v>
      </c>
      <c r="G2" s="3">
        <f>WATER!C5+WATER!H5</f>
        <v>413</v>
      </c>
      <c r="H2" s="3">
        <f>WATER!L5</f>
        <v>10</v>
      </c>
      <c r="I2" s="15">
        <f>WATER!BC5+WATER!BD5+WATER!BE6-Sheet1!G2</f>
        <v>-380</v>
      </c>
      <c r="J2" s="9">
        <f>'B5'!A4</f>
        <v>44012</v>
      </c>
    </row>
    <row r="3" spans="1:10">
      <c r="A3" s="3">
        <f>ELEC!T4+ELEC!X2+ELEC!AB4</f>
        <v>22</v>
      </c>
      <c r="B3" s="3">
        <f>ELEC!AF4</f>
        <v>5028</v>
      </c>
      <c r="C3" s="3">
        <f>ELEC!N4</f>
        <v>18859</v>
      </c>
      <c r="D3" s="3">
        <f t="shared" ref="D3:D30" si="0">C3-E3</f>
        <v>5859</v>
      </c>
      <c r="E3" s="3">
        <f>ELEC!Q4</f>
        <v>13000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137</v>
      </c>
      <c r="J3" s="9">
        <f>'B5'!A5</f>
        <v>44013</v>
      </c>
    </row>
    <row r="4" spans="1:10">
      <c r="A4" s="3">
        <f>ELEC!T5+ELEC!X5+ELEC!AB5</f>
        <v>19</v>
      </c>
      <c r="B4" s="3">
        <f>ELEC!AF5</f>
        <v>4928</v>
      </c>
      <c r="C4" s="3">
        <f>ELEC!N5</f>
        <v>20891</v>
      </c>
      <c r="D4" s="3">
        <f t="shared" si="0"/>
        <v>6891</v>
      </c>
      <c r="E4" s="3">
        <f>ELEC!Q5</f>
        <v>14000</v>
      </c>
      <c r="F4" s="3">
        <f>GEN!Z4</f>
        <v>16</v>
      </c>
      <c r="G4" s="3">
        <f>WATER!C7+WATER!H7</f>
        <v>393</v>
      </c>
      <c r="H4" s="3">
        <f>WATER!L7</f>
        <v>0</v>
      </c>
      <c r="I4" s="15">
        <f>WATER!BC7+WATER!BD7+WATER!BE8-Sheet1!G4</f>
        <v>-444</v>
      </c>
      <c r="J4" s="9">
        <f>'B5'!A6</f>
        <v>44014</v>
      </c>
    </row>
    <row r="5" spans="1:10">
      <c r="A5" s="3">
        <f>ELEC!T6+ELEC!X6+ELEC!AB6</f>
        <v>20</v>
      </c>
      <c r="B5" s="3">
        <f>ELEC!AF6</f>
        <v>4443</v>
      </c>
      <c r="C5" s="3">
        <f>ELEC!N6</f>
        <v>18152</v>
      </c>
      <c r="D5" s="3">
        <f t="shared" si="0"/>
        <v>2152</v>
      </c>
      <c r="E5" s="3">
        <f>ELEC!Q6</f>
        <v>16000</v>
      </c>
      <c r="F5" s="3">
        <f>GEN!Z5</f>
        <v>18</v>
      </c>
      <c r="G5" s="3">
        <f>WATER!C8+WATER!H8</f>
        <v>0</v>
      </c>
      <c r="H5" s="3">
        <f>WATER!L8</f>
        <v>2</v>
      </c>
      <c r="I5" s="15">
        <f>WATER!BC8+WATER!BD8+WATER!BE9-Sheet1!G5</f>
        <v>239.00000000000006</v>
      </c>
      <c r="J5" s="9">
        <f>'B5'!A7</f>
        <v>44015</v>
      </c>
    </row>
    <row r="6" spans="1:10">
      <c r="A6" s="3">
        <f>ELEC!T7+ELEC!X7+ELEC!AB7</f>
        <v>21</v>
      </c>
      <c r="B6" s="3">
        <f>ELEC!AF7</f>
        <v>4985</v>
      </c>
      <c r="C6" s="3">
        <f>ELEC!N7</f>
        <v>18161</v>
      </c>
      <c r="D6" s="3">
        <f t="shared" si="0"/>
        <v>18161</v>
      </c>
      <c r="E6" s="3">
        <f>ELEC!Q24</f>
        <v>0</v>
      </c>
      <c r="F6" s="3">
        <f>GEN!Z6</f>
        <v>21</v>
      </c>
      <c r="G6" s="3">
        <f>WATER!C9+WATER!H9</f>
        <v>563</v>
      </c>
      <c r="H6" s="3">
        <f>WATER!L9</f>
        <v>10</v>
      </c>
      <c r="I6" s="15">
        <f>WATER!BC9+WATER!BD9+WATER!BE10-Sheet1!G6</f>
        <v>-459.80000000000007</v>
      </c>
      <c r="J6" s="9">
        <f>'B5'!A8</f>
        <v>44016</v>
      </c>
    </row>
    <row r="7" spans="1:10">
      <c r="A7" s="3">
        <f>ELEC!T8+ELEC!X8+ELEC!AB8</f>
        <v>22</v>
      </c>
      <c r="B7" s="3">
        <f>ELEC!AF8</f>
        <v>5022</v>
      </c>
      <c r="C7" s="3">
        <f>ELEC!N8</f>
        <v>20764</v>
      </c>
      <c r="D7" s="3">
        <f t="shared" si="0"/>
        <v>2764</v>
      </c>
      <c r="E7" s="3">
        <f>ELEC!Q8</f>
        <v>18000</v>
      </c>
      <c r="F7" s="3">
        <f>GEN!Z7</f>
        <v>18</v>
      </c>
      <c r="G7" s="3">
        <f>WATER!C10+WATER!H10</f>
        <v>45</v>
      </c>
      <c r="H7" s="3">
        <f>WATER!L10</f>
        <v>8</v>
      </c>
      <c r="I7" s="15">
        <f>WATER!BC10+WATER!BD10+WATER!BE11-Sheet1!G7</f>
        <v>-45.200000000000017</v>
      </c>
      <c r="J7" s="9">
        <f>'B5'!A9</f>
        <v>44017</v>
      </c>
    </row>
    <row r="8" spans="1:10">
      <c r="A8" s="3">
        <f>ELEC!T9+ELEC!X9+ELEC!AB9</f>
        <v>23</v>
      </c>
      <c r="B8" s="3">
        <f>ELEC!AF9</f>
        <v>5810</v>
      </c>
      <c r="C8" s="3">
        <f>ELEC!N9</f>
        <v>20479</v>
      </c>
      <c r="D8" s="3">
        <f t="shared" si="0"/>
        <v>5479</v>
      </c>
      <c r="E8" s="3">
        <f>ELEC!Q9</f>
        <v>15000</v>
      </c>
      <c r="F8" s="3">
        <f>GEN!Z8</f>
        <v>21</v>
      </c>
      <c r="G8" s="3">
        <f>WATER!C11+WATER!H11</f>
        <v>227</v>
      </c>
      <c r="H8" s="3">
        <f>WATER!L11</f>
        <v>6</v>
      </c>
      <c r="I8" s="15">
        <f>WATER!BC11+WATER!BD11+WATER!BE12-Sheet1!G8</f>
        <v>-255.79999999999998</v>
      </c>
      <c r="J8" s="9">
        <f>'B5'!A10</f>
        <v>44018</v>
      </c>
    </row>
    <row r="9" spans="1:10">
      <c r="A9" s="3">
        <f>ELEC!T10+ELEC!X10+ELEC!AB10</f>
        <v>24</v>
      </c>
      <c r="B9" s="3">
        <f>ELEC!AF10</f>
        <v>5634</v>
      </c>
      <c r="C9" s="3">
        <f>ELEC!N10</f>
        <v>23543</v>
      </c>
      <c r="D9" s="3">
        <f t="shared" si="0"/>
        <v>8543</v>
      </c>
      <c r="E9" s="3">
        <f>ELEC!Q10</f>
        <v>15000</v>
      </c>
      <c r="F9" s="3">
        <f>GEN!Z9</f>
        <v>18</v>
      </c>
      <c r="G9" s="3">
        <f>WATER!C12+WATER!H12</f>
        <v>201</v>
      </c>
      <c r="H9" s="3">
        <f>WATER!L12</f>
        <v>8</v>
      </c>
      <c r="I9" s="15">
        <f>WATER!BC12+WATER!BD12+WATER!BE13-Sheet1!G9</f>
        <v>-244.5</v>
      </c>
      <c r="J9" s="9">
        <f>'B5'!A11</f>
        <v>44019</v>
      </c>
    </row>
    <row r="10" spans="1:10">
      <c r="A10" s="3">
        <f>ELEC!T11+ELEC!X11+ELEC!AB11</f>
        <v>22</v>
      </c>
      <c r="B10" s="3">
        <f>ELEC!AF11</f>
        <v>4927</v>
      </c>
      <c r="C10" s="3">
        <f>ELEC!N11</f>
        <v>18109</v>
      </c>
      <c r="D10" s="3">
        <f t="shared" si="0"/>
        <v>-1891</v>
      </c>
      <c r="E10" s="3">
        <f>ELEC!Q11</f>
        <v>20000</v>
      </c>
      <c r="F10" s="3">
        <f>GEN!Z10</f>
        <v>24</v>
      </c>
      <c r="G10" s="3">
        <f>WATER!C13+WATER!H13</f>
        <v>0</v>
      </c>
      <c r="H10" s="3">
        <f>WATER!L13</f>
        <v>5</v>
      </c>
      <c r="I10" s="15">
        <f>WATER!BC13+WATER!BD13+WATER!BE14-Sheet1!G10</f>
        <v>-22.199999999999989</v>
      </c>
      <c r="J10" s="9">
        <f>'B5'!A12</f>
        <v>44020</v>
      </c>
    </row>
    <row r="11" spans="1:10">
      <c r="A11" s="3">
        <f>ELEC!T12+ELEC!X12+ELEC!AB12</f>
        <v>23</v>
      </c>
      <c r="B11" s="3">
        <f>ELEC!AF12</f>
        <v>4849</v>
      </c>
      <c r="C11" s="3">
        <f>ELEC!N12</f>
        <v>20053</v>
      </c>
      <c r="D11" s="3">
        <f t="shared" si="0"/>
        <v>3053</v>
      </c>
      <c r="E11" s="3">
        <f>ELEC!Q12</f>
        <v>17000</v>
      </c>
      <c r="F11" s="3">
        <f>GEN!Z11</f>
        <v>18</v>
      </c>
      <c r="G11" s="3">
        <f>WATER!C14+WATER!H14</f>
        <v>0</v>
      </c>
      <c r="H11" s="3">
        <f>WATER!L14</f>
        <v>7</v>
      </c>
      <c r="I11" s="15">
        <f>WATER!BC14+WATER!BD14+WATER!BE15-Sheet1!G11</f>
        <v>-92.90000000000002</v>
      </c>
      <c r="J11" s="9">
        <f>'B5'!A13</f>
        <v>44021</v>
      </c>
    </row>
    <row r="12" spans="1:10">
      <c r="A12" s="3">
        <f>ELEC!T13+ELEC!X13+ELEC!AB13</f>
        <v>23</v>
      </c>
      <c r="B12" s="3">
        <f>ELEC!AF13</f>
        <v>5391</v>
      </c>
      <c r="C12" s="3">
        <f>ELEC!N13</f>
        <v>21073</v>
      </c>
      <c r="D12" s="3">
        <f t="shared" si="0"/>
        <v>3073</v>
      </c>
      <c r="E12" s="3">
        <f>ELEC!Q13</f>
        <v>18000</v>
      </c>
      <c r="F12" s="3">
        <f>GEN!Z12</f>
        <v>21</v>
      </c>
      <c r="G12" s="3">
        <f>WATER!C15+WATER!H15</f>
        <v>112</v>
      </c>
      <c r="H12" s="3">
        <f>WATER!L15</f>
        <v>7</v>
      </c>
      <c r="I12" s="15">
        <f>WATER!BC15+WATER!BD15+WATER!BE16-Sheet1!G12</f>
        <v>-168.60000000000002</v>
      </c>
      <c r="J12" s="9">
        <f>'B5'!A14</f>
        <v>44022</v>
      </c>
    </row>
    <row r="13" spans="1:10">
      <c r="A13" s="3">
        <f>ELEC!T14+ELEC!X14+ELEC!AB14</f>
        <v>23</v>
      </c>
      <c r="B13" s="3">
        <f>ELEC!AF14</f>
        <v>5061</v>
      </c>
      <c r="C13" s="3">
        <f>ELEC!N14</f>
        <v>20084</v>
      </c>
      <c r="D13" s="3">
        <f t="shared" si="0"/>
        <v>1084</v>
      </c>
      <c r="E13" s="3">
        <f>ELEC!Q14</f>
        <v>19000</v>
      </c>
      <c r="F13" s="3">
        <f>GEN!Z13</f>
        <v>19</v>
      </c>
      <c r="G13" s="3">
        <f>WATER!C16+WATER!H16</f>
        <v>0</v>
      </c>
      <c r="H13" s="3">
        <f>WATER!L16</f>
        <v>4</v>
      </c>
      <c r="I13" s="15">
        <f>WATER!BC16+WATER!BD16+WATER!BE17-Sheet1!G13</f>
        <v>2.8000000000000398</v>
      </c>
      <c r="J13" s="9">
        <f>'B5'!A15</f>
        <v>44023</v>
      </c>
    </row>
    <row r="14" spans="1:10">
      <c r="A14" s="3">
        <f>ELEC!T15+ELEC!X15+ELEC!AB15</f>
        <v>22</v>
      </c>
      <c r="B14" s="3">
        <f>ELEC!AF15</f>
        <v>4804</v>
      </c>
      <c r="C14" s="3">
        <f>ELEC!N15</f>
        <v>19864</v>
      </c>
      <c r="D14" s="3">
        <f t="shared" si="0"/>
        <v>5864</v>
      </c>
      <c r="E14" s="3">
        <f>ELEC!Q15</f>
        <v>14000</v>
      </c>
      <c r="F14" s="3">
        <f>GEN!Z14</f>
        <v>22</v>
      </c>
      <c r="G14" s="3">
        <f>WATER!C17+WATER!H17</f>
        <v>271</v>
      </c>
      <c r="H14" s="3">
        <f>WATER!L17</f>
        <v>11</v>
      </c>
      <c r="I14" s="15">
        <f>WATER!BC17+WATER!BD17+WATER!BE18-Sheet1!G14</f>
        <v>-312</v>
      </c>
      <c r="J14" s="9">
        <f>'B5'!A16</f>
        <v>44024</v>
      </c>
    </row>
    <row r="15" spans="1:10">
      <c r="A15" s="3">
        <f>ELEC!T16+ELEC!X16+ELEC!AB16</f>
        <v>24</v>
      </c>
      <c r="B15" s="3">
        <f>ELEC!AF16</f>
        <v>5017</v>
      </c>
      <c r="C15" s="3">
        <f>ELEC!N16</f>
        <v>19752</v>
      </c>
      <c r="D15" s="3">
        <f t="shared" si="0"/>
        <v>1752</v>
      </c>
      <c r="E15" s="3">
        <f>ELEC!Q16</f>
        <v>18000</v>
      </c>
      <c r="F15" s="3">
        <f>GEN!Z15</f>
        <v>18</v>
      </c>
      <c r="G15" s="3">
        <f>WATER!C18+WATER!H18</f>
        <v>0</v>
      </c>
      <c r="H15" s="3">
        <f>WATER!L18</f>
        <v>4</v>
      </c>
      <c r="I15" s="15">
        <f>WATER!BC18+WATER!BD18+WATER!BE19-Sheet1!G15</f>
        <v>-38.700000000000017</v>
      </c>
      <c r="J15" s="9">
        <f>'B5'!A17</f>
        <v>44025</v>
      </c>
    </row>
    <row r="16" spans="1:10">
      <c r="A16" s="3">
        <f>ELEC!T17+ELEC!X17+ELEC!AB17</f>
        <v>21</v>
      </c>
      <c r="B16" s="3">
        <f>ELEC!AF17</f>
        <v>5396</v>
      </c>
      <c r="C16" s="3">
        <f>ELEC!N17</f>
        <v>22340</v>
      </c>
      <c r="D16" s="3">
        <f t="shared" si="0"/>
        <v>5340</v>
      </c>
      <c r="E16" s="3">
        <f>ELEC!Q17</f>
        <v>17000</v>
      </c>
      <c r="F16" s="3">
        <f>GEN!Z16</f>
        <v>22</v>
      </c>
      <c r="G16" s="3">
        <f>WATER!C19+WATER!H19</f>
        <v>224</v>
      </c>
      <c r="H16" s="3">
        <f>WATER!L19</f>
        <v>5</v>
      </c>
      <c r="I16" s="15">
        <f>WATER!BC19+WATER!BD19+WATER!BE20-Sheet1!G16</f>
        <v>-256</v>
      </c>
      <c r="J16" s="9">
        <f>'B5'!A18</f>
        <v>44026</v>
      </c>
    </row>
    <row r="17" spans="1:10">
      <c r="A17" s="3">
        <f>ELEC!T18+ELEC!X18+ELEC!AB18</f>
        <v>23</v>
      </c>
      <c r="B17" s="3">
        <f>ELEC!AF18</f>
        <v>5310</v>
      </c>
      <c r="C17" s="3">
        <f>ELEC!N18</f>
        <v>20744</v>
      </c>
      <c r="D17" s="3">
        <f t="shared" si="0"/>
        <v>1744</v>
      </c>
      <c r="E17" s="3">
        <f>ELEC!Q18</f>
        <v>19000</v>
      </c>
      <c r="F17" s="3">
        <f>GEN!Z17</f>
        <v>18</v>
      </c>
      <c r="G17" s="3">
        <f>WATER!C20+WATER!H20</f>
        <v>0</v>
      </c>
      <c r="H17" s="3">
        <f>WATER!L20</f>
        <v>0</v>
      </c>
      <c r="I17" s="15">
        <f>WATER!BC20+WATER!BD20+WATER!BE21-Sheet1!G17</f>
        <v>-66.399999999999991</v>
      </c>
      <c r="J17" s="9">
        <f>'B5'!A19</f>
        <v>44027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21</v>
      </c>
      <c r="G18" s="3">
        <f>WATER!C21+WATER!H21</f>
        <v>159</v>
      </c>
      <c r="H18" s="3">
        <f>WATER!L21</f>
        <v>8</v>
      </c>
      <c r="I18" s="15">
        <f>WATER!BC21+WATER!BD21+WATER!BE22-Sheet1!G18</f>
        <v>-256.59999999999997</v>
      </c>
      <c r="J18" s="9">
        <f>'B5'!A20</f>
        <v>44028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44029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44030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44031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44032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44033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44034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44035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44036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44037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44038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44039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44040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44041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5"/>
      <c r="B1" s="642" t="s">
        <v>119</v>
      </c>
      <c r="C1" s="642" t="s">
        <v>118</v>
      </c>
      <c r="D1" s="647" t="s">
        <v>113</v>
      </c>
      <c r="E1" s="647" t="s">
        <v>114</v>
      </c>
      <c r="F1" s="648" t="s">
        <v>120</v>
      </c>
      <c r="G1" s="649" t="s">
        <v>75</v>
      </c>
      <c r="H1" s="650" t="s">
        <v>115</v>
      </c>
      <c r="I1" s="651" t="s">
        <v>116</v>
      </c>
      <c r="J1" s="650" t="s">
        <v>117</v>
      </c>
      <c r="K1" s="644" t="s">
        <v>121</v>
      </c>
      <c r="L1" s="644" t="s">
        <v>122</v>
      </c>
      <c r="M1" s="644" t="s">
        <v>123</v>
      </c>
      <c r="N1" s="644" t="s">
        <v>124</v>
      </c>
    </row>
    <row r="2" spans="1:14">
      <c r="A2" s="646"/>
      <c r="B2" s="643"/>
      <c r="C2" s="643"/>
      <c r="D2" s="647"/>
      <c r="E2" s="647"/>
      <c r="F2" s="648"/>
      <c r="G2" s="649"/>
      <c r="H2" s="650"/>
      <c r="I2" s="652"/>
      <c r="J2" s="650"/>
      <c r="K2" s="644"/>
      <c r="L2" s="644"/>
      <c r="M2" s="644"/>
      <c r="N2" s="64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44013</v>
      </c>
      <c r="B5" s="76">
        <f>'B5'!V5</f>
        <v>417</v>
      </c>
      <c r="C5" s="76">
        <f>'B5'!AH5</f>
        <v>0</v>
      </c>
      <c r="D5" s="76">
        <f>GEN!AI3</f>
        <v>3603.3755274261607</v>
      </c>
      <c r="E5" s="247">
        <f t="shared" ref="E5:E33" si="0">B5+C5+D5</f>
        <v>4020.3755274261607</v>
      </c>
      <c r="F5" s="75">
        <f>WATER!L5</f>
        <v>10</v>
      </c>
      <c r="G5" s="78">
        <f>WATER!BG5</f>
        <v>180.2</v>
      </c>
      <c r="H5" s="79">
        <f>ELEC!AF3</f>
        <v>3740</v>
      </c>
      <c r="I5" s="79">
        <f>ELEC!Q3</f>
        <v>14000</v>
      </c>
      <c r="J5" s="79">
        <f>ELEC!R3</f>
        <v>4028</v>
      </c>
      <c r="K5" s="80"/>
      <c r="L5" s="3"/>
      <c r="M5" s="3"/>
      <c r="N5" s="3"/>
    </row>
    <row r="6" spans="1:14">
      <c r="A6" s="63">
        <f>'B5'!A6</f>
        <v>44014</v>
      </c>
      <c r="B6" s="76">
        <f>'B5'!V6</f>
        <v>465</v>
      </c>
      <c r="C6" s="76">
        <f>'B5'!AH6</f>
        <v>270</v>
      </c>
      <c r="D6" s="76">
        <f>GEN!AI4</f>
        <v>3345.9915611814349</v>
      </c>
      <c r="E6" s="247">
        <f t="shared" si="0"/>
        <v>4080.9915611814349</v>
      </c>
      <c r="F6" s="75">
        <f>WATER!L6</f>
        <v>0</v>
      </c>
      <c r="G6" s="78">
        <f>WATER!BG6</f>
        <v>-75.199999999999989</v>
      </c>
      <c r="H6" s="79">
        <f>ELEC!AF4</f>
        <v>5028</v>
      </c>
      <c r="I6" s="79">
        <f>ELEC!Q4</f>
        <v>13000</v>
      </c>
      <c r="J6" s="79">
        <f>ELEC!R4</f>
        <v>5859</v>
      </c>
      <c r="K6" s="3"/>
      <c r="L6" s="3"/>
      <c r="M6" s="3"/>
      <c r="N6" s="3"/>
    </row>
    <row r="7" spans="1:14">
      <c r="A7" s="63">
        <f>'B5'!A7</f>
        <v>44015</v>
      </c>
      <c r="B7" s="76">
        <f>'B5'!V7</f>
        <v>388</v>
      </c>
      <c r="C7" s="76">
        <f>'B5'!AH7</f>
        <v>0</v>
      </c>
      <c r="D7" s="76">
        <f>GEN!AI5</f>
        <v>3603.3755274261607</v>
      </c>
      <c r="E7" s="247">
        <f t="shared" si="0"/>
        <v>3991.3755274261607</v>
      </c>
      <c r="F7" s="75">
        <f>WATER!L7</f>
        <v>0</v>
      </c>
      <c r="G7" s="78">
        <f>WATER!BG7</f>
        <v>122.19999999999999</v>
      </c>
      <c r="H7" s="79">
        <f>ELEC!AF5</f>
        <v>4928</v>
      </c>
      <c r="I7" s="79">
        <f>ELEC!Q5</f>
        <v>14000</v>
      </c>
      <c r="J7" s="79">
        <f>ELEC!R5</f>
        <v>6891</v>
      </c>
      <c r="K7" s="3"/>
      <c r="L7" s="3"/>
      <c r="M7" s="3"/>
      <c r="N7" s="3"/>
    </row>
    <row r="8" spans="1:14">
      <c r="A8" s="63">
        <f>'B5'!A8</f>
        <v>44016</v>
      </c>
      <c r="B8" s="76">
        <f>'B5'!V8</f>
        <v>534</v>
      </c>
      <c r="C8" s="76">
        <f>'B5'!AH8</f>
        <v>0</v>
      </c>
      <c r="D8" s="76">
        <f>GEN!AI6</f>
        <v>4118.1434599156119</v>
      </c>
      <c r="E8" s="247">
        <f t="shared" si="0"/>
        <v>4652.1434599156119</v>
      </c>
      <c r="F8" s="75">
        <f>WATER!L8</f>
        <v>2</v>
      </c>
      <c r="G8" s="78">
        <f>WATER!BG8</f>
        <v>-65.199999999999974</v>
      </c>
      <c r="H8" s="79">
        <f>ELEC!AF6</f>
        <v>4443</v>
      </c>
      <c r="I8" s="79">
        <f>ELEC!Q6</f>
        <v>16000</v>
      </c>
      <c r="J8" s="79">
        <f>ELEC!R6</f>
        <v>2152</v>
      </c>
      <c r="K8" s="3"/>
      <c r="L8" s="3"/>
      <c r="M8" s="3"/>
      <c r="N8" s="3"/>
    </row>
    <row r="9" spans="1:14">
      <c r="A9" s="63">
        <f>'B5'!A9</f>
        <v>44017</v>
      </c>
      <c r="B9" s="76">
        <f>'B5'!V9</f>
        <v>338</v>
      </c>
      <c r="C9" s="76">
        <f>'B5'!AH9</f>
        <v>0</v>
      </c>
      <c r="D9" s="76">
        <f>GEN!AI7</f>
        <v>3860.7594936708865</v>
      </c>
      <c r="E9" s="247">
        <f t="shared" si="0"/>
        <v>4198.7594936708865</v>
      </c>
      <c r="F9" s="75">
        <f>WATER!L9</f>
        <v>10</v>
      </c>
      <c r="G9" s="78">
        <f>WATER!BG9</f>
        <v>204.3</v>
      </c>
      <c r="H9" s="79">
        <f>ELEC!AF7</f>
        <v>4985</v>
      </c>
      <c r="I9" s="79">
        <f>ELEC!Q7</f>
        <v>15000</v>
      </c>
      <c r="J9" s="79">
        <f>ELEC!R7</f>
        <v>3161</v>
      </c>
      <c r="K9" s="3"/>
      <c r="L9" s="3"/>
      <c r="M9" s="3"/>
      <c r="N9" s="3"/>
    </row>
    <row r="10" spans="1:14">
      <c r="A10" s="63">
        <f>'B5'!A10</f>
        <v>44018</v>
      </c>
      <c r="B10" s="76">
        <f>'B5'!V10</f>
        <v>246</v>
      </c>
      <c r="C10" s="76">
        <f>'B5'!AH10</f>
        <v>184</v>
      </c>
      <c r="D10" s="76">
        <f>GEN!AI8</f>
        <v>4632.9113924050635</v>
      </c>
      <c r="E10" s="247">
        <f t="shared" si="0"/>
        <v>5062.9113924050635</v>
      </c>
      <c r="F10" s="75">
        <f>WATER!L10</f>
        <v>8</v>
      </c>
      <c r="G10" s="78">
        <f>WATER!BG10</f>
        <v>-17.400000000000063</v>
      </c>
      <c r="H10" s="79">
        <f>ELEC!AF8</f>
        <v>5022</v>
      </c>
      <c r="I10" s="79">
        <f>ELEC!Q8</f>
        <v>18000</v>
      </c>
      <c r="J10" s="79">
        <f>ELEC!R8</f>
        <v>2764</v>
      </c>
      <c r="K10" s="3"/>
      <c r="L10" s="3"/>
      <c r="M10" s="3"/>
      <c r="N10" s="3"/>
    </row>
    <row r="11" spans="1:14">
      <c r="A11" s="63">
        <f>'B5'!A11</f>
        <v>44019</v>
      </c>
      <c r="B11" s="76">
        <f>'B5'!V11</f>
        <v>657</v>
      </c>
      <c r="C11" s="76">
        <f>'B5'!AH11</f>
        <v>0</v>
      </c>
      <c r="D11" s="76">
        <f>GEN!AI9</f>
        <v>3860.7594936708865</v>
      </c>
      <c r="E11" s="247">
        <f t="shared" si="0"/>
        <v>4517.7594936708865</v>
      </c>
      <c r="F11" s="75">
        <f>WATER!L11</f>
        <v>6</v>
      </c>
      <c r="G11" s="78">
        <f>WATER!BG11</f>
        <v>46.900000000000034</v>
      </c>
      <c r="H11" s="79">
        <f>ELEC!AF9</f>
        <v>5810</v>
      </c>
      <c r="I11" s="79">
        <f>ELEC!Q9</f>
        <v>15000</v>
      </c>
      <c r="J11" s="79">
        <f>ELEC!R9</f>
        <v>5479</v>
      </c>
      <c r="K11" s="3"/>
      <c r="L11" s="3"/>
      <c r="M11" s="3"/>
      <c r="N11" s="3"/>
    </row>
    <row r="12" spans="1:14">
      <c r="A12" s="63">
        <f>'B5'!A12</f>
        <v>44020</v>
      </c>
      <c r="B12" s="76">
        <f>'B5'!V12</f>
        <v>232</v>
      </c>
      <c r="C12" s="76">
        <f>'B5'!AH12</f>
        <v>280</v>
      </c>
      <c r="D12" s="76">
        <f>GEN!AI10</f>
        <v>3860.7594936708865</v>
      </c>
      <c r="E12" s="247">
        <f t="shared" si="0"/>
        <v>4372.7594936708865</v>
      </c>
      <c r="F12" s="75">
        <f>WATER!L12</f>
        <v>8</v>
      </c>
      <c r="G12" s="78">
        <f>WATER!BG12</f>
        <v>-79.300000000000011</v>
      </c>
      <c r="H12" s="79">
        <f>ELEC!AF10</f>
        <v>5634</v>
      </c>
      <c r="I12" s="79">
        <f>ELEC!Q10</f>
        <v>15000</v>
      </c>
      <c r="J12" s="79">
        <f>ELEC!R10</f>
        <v>8543</v>
      </c>
      <c r="K12" s="3"/>
      <c r="L12" s="3"/>
      <c r="M12" s="3"/>
      <c r="N12" s="3"/>
    </row>
    <row r="13" spans="1:14">
      <c r="A13" s="63">
        <f>'B5'!A13</f>
        <v>44021</v>
      </c>
      <c r="B13" s="76">
        <f>'B5'!V13</f>
        <v>254</v>
      </c>
      <c r="C13" s="76">
        <f>'B5'!AH13</f>
        <v>1.9999999999708962</v>
      </c>
      <c r="D13" s="76">
        <f>GEN!AI11</f>
        <v>5147.679324894515</v>
      </c>
      <c r="E13" s="247">
        <f t="shared" si="0"/>
        <v>5403.6793248944859</v>
      </c>
      <c r="F13" s="75">
        <f>WATER!L13</f>
        <v>5</v>
      </c>
      <c r="G13" s="78">
        <f>WATER!BG13</f>
        <v>18.700000000000003</v>
      </c>
      <c r="H13" s="79">
        <f>ELEC!AF11</f>
        <v>4927</v>
      </c>
      <c r="I13" s="79">
        <f>ELEC!Q11</f>
        <v>20000</v>
      </c>
      <c r="J13" s="79">
        <f>ELEC!R11</f>
        <v>-1891</v>
      </c>
      <c r="K13" s="3"/>
      <c r="L13" s="3"/>
      <c r="M13" s="3"/>
      <c r="N13" s="3"/>
    </row>
    <row r="14" spans="1:14">
      <c r="A14" s="63">
        <f>'B5'!A14</f>
        <v>44022</v>
      </c>
      <c r="B14" s="76">
        <f>'B5'!V14</f>
        <v>342</v>
      </c>
      <c r="C14" s="76">
        <f>'B5'!AH14</f>
        <v>0.80000000004656613</v>
      </c>
      <c r="D14" s="76">
        <f>GEN!AI12</f>
        <v>4375.5274261603381</v>
      </c>
      <c r="E14" s="247">
        <f t="shared" si="0"/>
        <v>4718.3274261603847</v>
      </c>
      <c r="F14" s="75">
        <f>WATER!L14</f>
        <v>7</v>
      </c>
      <c r="G14" s="78">
        <f>WATER!BG14</f>
        <v>-72.400000000000006</v>
      </c>
      <c r="H14" s="79">
        <f>ELEC!AF12</f>
        <v>4849</v>
      </c>
      <c r="I14" s="79">
        <f>ELEC!Q12</f>
        <v>17000</v>
      </c>
      <c r="J14" s="79">
        <f>ELEC!R12</f>
        <v>3053</v>
      </c>
      <c r="K14" s="3"/>
      <c r="L14" s="3"/>
      <c r="M14" s="3"/>
      <c r="N14" s="3"/>
    </row>
    <row r="15" spans="1:14">
      <c r="A15" s="63">
        <f>'B5'!A15</f>
        <v>44023</v>
      </c>
      <c r="B15" s="76">
        <f>'B5'!V15</f>
        <v>115</v>
      </c>
      <c r="C15" s="76">
        <f>'B5'!AH15</f>
        <v>220</v>
      </c>
      <c r="D15" s="76">
        <f>GEN!AI13</f>
        <v>4632.9113924050635</v>
      </c>
      <c r="E15" s="247">
        <f t="shared" si="0"/>
        <v>4967.9113924050635</v>
      </c>
      <c r="F15" s="75">
        <f>WATER!L15</f>
        <v>7</v>
      </c>
      <c r="G15" s="78">
        <f>WATER!BG15</f>
        <v>-20.5</v>
      </c>
      <c r="H15" s="79">
        <f>ELEC!AF13</f>
        <v>5391</v>
      </c>
      <c r="I15" s="79">
        <f>ELEC!Q13</f>
        <v>18000</v>
      </c>
      <c r="J15" s="79">
        <f>ELEC!R13</f>
        <v>3073</v>
      </c>
      <c r="K15" s="3"/>
      <c r="L15" s="3"/>
      <c r="M15" s="3"/>
      <c r="N15" s="3"/>
    </row>
    <row r="16" spans="1:14">
      <c r="A16" s="63">
        <f>'B5'!A16</f>
        <v>44024</v>
      </c>
      <c r="B16" s="76">
        <f>'B5'!V16</f>
        <v>220</v>
      </c>
      <c r="C16" s="76">
        <f>'B5'!AH16</f>
        <v>0</v>
      </c>
      <c r="D16" s="76">
        <f>GEN!AI14</f>
        <v>4890.2953586497897</v>
      </c>
      <c r="E16" s="247">
        <f t="shared" si="0"/>
        <v>5110.2953586497897</v>
      </c>
      <c r="F16" s="75">
        <f>WATER!L16</f>
        <v>4</v>
      </c>
      <c r="G16" s="78">
        <f>WATER!BG16</f>
        <v>-87.4</v>
      </c>
      <c r="H16" s="79">
        <f>ELEC!AF14</f>
        <v>5061</v>
      </c>
      <c r="I16" s="79">
        <f>ELEC!Q14</f>
        <v>19000</v>
      </c>
      <c r="J16" s="79">
        <f>ELEC!R14</f>
        <v>1084</v>
      </c>
      <c r="K16" s="3"/>
      <c r="L16" s="3"/>
      <c r="M16" s="3"/>
      <c r="N16" s="3"/>
    </row>
    <row r="17" spans="1:14">
      <c r="A17" s="63">
        <f>'B5'!A17</f>
        <v>44025</v>
      </c>
      <c r="B17" s="76">
        <f>'B5'!V17</f>
        <v>165</v>
      </c>
      <c r="C17" s="76">
        <f>'B5'!AH17</f>
        <v>0</v>
      </c>
      <c r="D17" s="76">
        <f>GEN!AI15</f>
        <v>3603.3755274261607</v>
      </c>
      <c r="E17" s="247">
        <f t="shared" si="0"/>
        <v>3768.3755274261607</v>
      </c>
      <c r="F17" s="75">
        <f>WATER!L17</f>
        <v>11</v>
      </c>
      <c r="G17" s="78">
        <f>WATER!BG17</f>
        <v>74.900000000000034</v>
      </c>
      <c r="H17" s="79">
        <f>ELEC!AF15</f>
        <v>4804</v>
      </c>
      <c r="I17" s="79">
        <f>ELEC!Q15</f>
        <v>14000</v>
      </c>
      <c r="J17" s="79">
        <f>ELEC!R15</f>
        <v>5864</v>
      </c>
      <c r="K17" s="3"/>
      <c r="L17" s="3"/>
      <c r="M17" s="3"/>
      <c r="N17" s="3"/>
    </row>
    <row r="18" spans="1:14">
      <c r="A18" s="63">
        <f>'B5'!A18</f>
        <v>44026</v>
      </c>
      <c r="B18" s="76">
        <f>'B5'!V18</f>
        <v>272</v>
      </c>
      <c r="C18" s="76">
        <f>'B5'!AH18</f>
        <v>162.09999999997672</v>
      </c>
      <c r="D18" s="76">
        <f>GEN!AI16</f>
        <v>4632.9113924050635</v>
      </c>
      <c r="E18" s="247">
        <f t="shared" si="0"/>
        <v>5067.0113924050402</v>
      </c>
      <c r="F18" s="75">
        <f>WATER!L18</f>
        <v>4</v>
      </c>
      <c r="G18" s="78">
        <f>WATER!BG18</f>
        <v>-58.300000000000026</v>
      </c>
      <c r="H18" s="79">
        <f>ELEC!AF16</f>
        <v>5017</v>
      </c>
      <c r="I18" s="79">
        <f>ELEC!Q16</f>
        <v>18000</v>
      </c>
      <c r="J18" s="79">
        <f>ELEC!R16</f>
        <v>1752</v>
      </c>
      <c r="K18" s="3"/>
      <c r="L18" s="3"/>
      <c r="M18" s="3"/>
      <c r="N18" s="3"/>
    </row>
    <row r="19" spans="1:14">
      <c r="A19" s="63">
        <f>'B5'!A19</f>
        <v>44027</v>
      </c>
      <c r="B19" s="76">
        <f>'B5'!V19</f>
        <v>168</v>
      </c>
      <c r="C19" s="76">
        <f>'B5'!AH19</f>
        <v>284</v>
      </c>
      <c r="D19" s="76">
        <f>GEN!AI17</f>
        <v>4375.5274261603381</v>
      </c>
      <c r="E19" s="247">
        <f t="shared" si="0"/>
        <v>4827.5274261603381</v>
      </c>
      <c r="F19" s="75">
        <f>WATER!L19</f>
        <v>5</v>
      </c>
      <c r="G19" s="78">
        <f>WATER!BG19</f>
        <v>15.100000000000023</v>
      </c>
      <c r="H19" s="79">
        <f>ELEC!AF17</f>
        <v>5396</v>
      </c>
      <c r="I19" s="79">
        <f>ELEC!Q17</f>
        <v>17000</v>
      </c>
      <c r="J19" s="79">
        <f>ELEC!R17</f>
        <v>5340</v>
      </c>
      <c r="K19" s="3"/>
      <c r="L19" s="3"/>
      <c r="M19" s="3"/>
      <c r="N19" s="3"/>
    </row>
    <row r="20" spans="1:14">
      <c r="A20" s="63">
        <f>'B5'!A20</f>
        <v>44028</v>
      </c>
      <c r="B20" s="76">
        <f>'B5'!V20</f>
        <v>182</v>
      </c>
      <c r="C20" s="76">
        <f>'B5'!AH20</f>
        <v>75</v>
      </c>
      <c r="D20" s="76">
        <f>GEN!AI18</f>
        <v>4890.2953586497897</v>
      </c>
      <c r="E20" s="247">
        <f t="shared" si="0"/>
        <v>5147.2953586497897</v>
      </c>
      <c r="F20" s="75">
        <f>WATER!L20</f>
        <v>0</v>
      </c>
      <c r="G20" s="78">
        <f>WATER!BG20</f>
        <v>-100.20000000000002</v>
      </c>
      <c r="H20" s="79">
        <f>ELEC!AF18</f>
        <v>5310</v>
      </c>
      <c r="I20" s="79">
        <f>ELEC!Q18</f>
        <v>19000</v>
      </c>
      <c r="J20" s="79">
        <f>ELEC!R18</f>
        <v>1744</v>
      </c>
      <c r="K20" s="3"/>
      <c r="L20" s="3"/>
      <c r="M20" s="3"/>
      <c r="N20" s="3"/>
    </row>
    <row r="21" spans="1:14">
      <c r="A21" s="63">
        <f>'B5'!A21</f>
        <v>44029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8</v>
      </c>
      <c r="G21" s="78">
        <f>WATER!BG21</f>
        <v>-13.899999999999977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44030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44031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44032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44033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44034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44035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44036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44041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44042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3" t="s">
        <v>151</v>
      </c>
      <c r="U3" s="65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5</v>
      </c>
      <c r="G7">
        <f t="shared" si="1"/>
        <v>535</v>
      </c>
    </row>
    <row r="8" spans="3:21">
      <c r="C8" s="99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6</v>
      </c>
      <c r="E9">
        <f t="shared" si="0"/>
        <v>540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3</v>
      </c>
      <c r="G11">
        <f t="shared" si="1"/>
        <v>321</v>
      </c>
    </row>
    <row r="12" spans="3:21">
      <c r="C12" s="99">
        <v>42436</v>
      </c>
      <c r="D12">
        <f>'B5'!AL11</f>
        <v>8</v>
      </c>
      <c r="E12">
        <f t="shared" si="0"/>
        <v>720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4</v>
      </c>
      <c r="G13">
        <f t="shared" si="1"/>
        <v>428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4</v>
      </c>
      <c r="G16">
        <f t="shared" si="1"/>
        <v>428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4</v>
      </c>
      <c r="E19">
        <f t="shared" si="0"/>
        <v>360</v>
      </c>
      <c r="F19">
        <f>'B5'!AM18</f>
        <v>2</v>
      </c>
      <c r="G19">
        <f t="shared" si="1"/>
        <v>214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5</v>
      </c>
      <c r="G20">
        <f t="shared" si="1"/>
        <v>535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1</v>
      </c>
      <c r="G21">
        <f t="shared" si="1"/>
        <v>107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G1" zoomScale="80" zoomScaleNormal="80" workbookViewId="0">
      <selection activeCell="U19" sqref="U1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365</v>
      </c>
      <c r="M2" s="164" t="s">
        <v>366</v>
      </c>
      <c r="N2" s="164" t="s">
        <v>367</v>
      </c>
      <c r="O2" s="164" t="s">
        <v>368</v>
      </c>
      <c r="P2" s="164" t="s">
        <v>369</v>
      </c>
      <c r="Q2" s="164" t="s">
        <v>370</v>
      </c>
      <c r="R2" s="164" t="s">
        <v>371</v>
      </c>
      <c r="S2" s="306"/>
      <c r="T2" s="343"/>
    </row>
    <row r="3" spans="1:30" ht="15.75" thickBot="1">
      <c r="A3" s="163">
        <f>ELEC!C2</f>
        <v>44012</v>
      </c>
      <c r="B3" s="270">
        <f>'[1]EDl log'!B34</f>
        <v>112190</v>
      </c>
      <c r="C3" s="270">
        <f>'[1]EDl log'!C34</f>
        <v>2832</v>
      </c>
      <c r="D3" s="270">
        <f>'[1]EDl log'!D34</f>
        <v>2827</v>
      </c>
      <c r="E3" s="270">
        <f>'[1]EDl log'!E34</f>
        <v>112185</v>
      </c>
      <c r="F3" s="270">
        <f>'[1]EDl log'!F34</f>
        <v>18455</v>
      </c>
      <c r="G3" s="270">
        <f>'[1]EDl log'!G34</f>
        <v>430</v>
      </c>
      <c r="H3" s="270">
        <f>'[1]EDl log'!H34</f>
        <v>52088</v>
      </c>
      <c r="I3" s="270">
        <f>'[1]EDl log'!I34</f>
        <v>676</v>
      </c>
      <c r="J3" s="270">
        <f>'[1]EDl log'!J34</f>
        <v>41646</v>
      </c>
      <c r="K3" s="270">
        <f>'[1]EDl log'!K34</f>
        <v>1721</v>
      </c>
      <c r="L3" s="270">
        <f>'[1]EDl log'!L34</f>
        <v>91.276948590381423</v>
      </c>
      <c r="M3" s="270">
        <f>'[1]EDl log'!M34</f>
        <v>50.223548922056388</v>
      </c>
      <c r="N3" s="270">
        <f>'[1]EDl log'!N34</f>
        <v>91.330016583747934</v>
      </c>
      <c r="O3" s="270">
        <f>'[1]EDl log'!O34</f>
        <v>159.96313985627418</v>
      </c>
      <c r="P3" s="270">
        <f>'[1]EDl log'!P34</f>
        <v>392.79365395245998</v>
      </c>
      <c r="Q3" s="270">
        <f>'[1]EDl log'!Q34</f>
        <v>967.80012000000283</v>
      </c>
      <c r="R3" s="270">
        <f>'[1]EDl log'!R34</f>
        <v>1360.5937739524629</v>
      </c>
      <c r="S3" s="270">
        <f>'[1]EDl log'!S34</f>
        <v>16470</v>
      </c>
      <c r="T3" s="270">
        <f>'[1]EDl log'!T34</f>
        <v>8.2610429505310445E-2</v>
      </c>
      <c r="Z3" t="s">
        <v>214</v>
      </c>
      <c r="AA3">
        <v>0.1</v>
      </c>
    </row>
    <row r="4" spans="1:30" ht="15.75" thickBot="1">
      <c r="A4" s="163">
        <f>ELEC!C3</f>
        <v>44013</v>
      </c>
      <c r="B4" s="571">
        <v>114130</v>
      </c>
      <c r="C4" s="270">
        <f t="shared" ref="C4:C33" si="0">SUM(B4-B3)</f>
        <v>1940</v>
      </c>
      <c r="D4" s="316">
        <f>SUM(G4+I4+K4)</f>
        <v>1941</v>
      </c>
      <c r="E4" s="316">
        <f>B3+D4</f>
        <v>114131</v>
      </c>
      <c r="F4" s="571">
        <v>19037</v>
      </c>
      <c r="G4" s="160">
        <f t="shared" ref="G4:G32" si="1">F4-F3</f>
        <v>582</v>
      </c>
      <c r="H4" s="571">
        <v>53094</v>
      </c>
      <c r="I4" s="161">
        <f t="shared" ref="I4:I33" si="2">H4-H3</f>
        <v>1006</v>
      </c>
      <c r="J4" s="573">
        <v>41999</v>
      </c>
      <c r="K4" s="162">
        <f t="shared" ref="K4:K33" si="3">J4-J3</f>
        <v>353</v>
      </c>
      <c r="L4" s="304">
        <f t="shared" ref="L4:L13" si="4">SUM(G4*$Y$28)/1507.5</f>
        <v>123.54228855721394</v>
      </c>
      <c r="M4" s="304">
        <f t="shared" ref="M4:M13" si="5">SUM(I4*$Y$27)/1507.5</f>
        <v>74.740961857379773</v>
      </c>
      <c r="N4" s="304">
        <f t="shared" ref="N4:N13" si="6">SUM(K4*$Y$26)/1507.5</f>
        <v>18.733001658374793</v>
      </c>
      <c r="O4" s="304">
        <f>($AC$31/$A$39)/1507.5</f>
        <v>64.91740327153687</v>
      </c>
      <c r="P4" s="305">
        <f>SUM(L4:O4)</f>
        <v>281.93365534450538</v>
      </c>
      <c r="Q4" s="305">
        <f>SUM(-tanks!AX6*tanks!$AU$37)</f>
        <v>1089.1936451612848</v>
      </c>
      <c r="R4" s="305">
        <f>SUM(P4:Q4)</f>
        <v>1371.1273005057901</v>
      </c>
      <c r="S4" s="307">
        <f>SUM(ELEC!N3)</f>
        <v>18028</v>
      </c>
      <c r="T4" s="344">
        <f>IF(S4&gt;0,R4/S4,0)</f>
        <v>7.6055430469591193E-2</v>
      </c>
      <c r="U4" s="255"/>
      <c r="V4" s="256" t="str">
        <f>'[4]EDl log'!V21</f>
        <v xml:space="preserve">EDL </v>
      </c>
      <c r="W4" s="167">
        <v>43983</v>
      </c>
      <c r="X4" s="169"/>
      <c r="Y4" s="169"/>
      <c r="Z4" s="169" t="s">
        <v>202</v>
      </c>
      <c r="AA4" s="169"/>
      <c r="AB4" s="667"/>
      <c r="AC4" s="668"/>
    </row>
    <row r="5" spans="1:30" ht="15.75" thickBot="1">
      <c r="A5" s="163">
        <f>ELEC!C4</f>
        <v>44014</v>
      </c>
      <c r="B5" s="571">
        <v>117402</v>
      </c>
      <c r="C5" s="270">
        <f t="shared" si="0"/>
        <v>3272</v>
      </c>
      <c r="D5" s="316">
        <f t="shared" ref="D5:D34" si="7">SUM(G5+I5+K5)</f>
        <v>3270</v>
      </c>
      <c r="E5" s="316">
        <f>B4+D5</f>
        <v>117400</v>
      </c>
      <c r="F5" s="571">
        <v>19037</v>
      </c>
      <c r="G5" s="160">
        <f t="shared" si="1"/>
        <v>0</v>
      </c>
      <c r="H5" s="571">
        <v>54800</v>
      </c>
      <c r="I5" s="161">
        <f t="shared" si="2"/>
        <v>1706</v>
      </c>
      <c r="J5" s="573">
        <v>43563</v>
      </c>
      <c r="K5" s="162">
        <f t="shared" si="3"/>
        <v>1564</v>
      </c>
      <c r="L5" s="304">
        <f t="shared" si="4"/>
        <v>0</v>
      </c>
      <c r="M5" s="304">
        <f t="shared" si="5"/>
        <v>126.74759535655058</v>
      </c>
      <c r="N5" s="304">
        <f t="shared" si="6"/>
        <v>82.998341625207303</v>
      </c>
      <c r="O5" s="304">
        <f t="shared" ref="O5:O13" si="8">($AC$31/$A$39)/1507.5</f>
        <v>64.91740327153687</v>
      </c>
      <c r="P5" s="305">
        <f t="shared" ref="P5:P32" si="9">SUM(L5:O5)</f>
        <v>274.66334025329479</v>
      </c>
      <c r="Q5" s="305">
        <f>SUM(-tanks!AX7*tanks!$AU$37)</f>
        <v>2431.117582258069</v>
      </c>
      <c r="R5" s="305">
        <f t="shared" ref="R5:R32" si="10">SUM(P5:Q5)</f>
        <v>2705.7809225113638</v>
      </c>
      <c r="S5" s="307">
        <f>SUM(ELEC!N4)</f>
        <v>18859</v>
      </c>
      <c r="T5" s="344">
        <f>IF(S5&gt;0,R5/S5,0)</f>
        <v>0.14347425221439969</v>
      </c>
      <c r="U5" s="255"/>
      <c r="V5" s="661"/>
      <c r="W5" s="662"/>
      <c r="X5" s="662"/>
      <c r="Y5" s="663"/>
      <c r="Z5" s="26" t="s">
        <v>203</v>
      </c>
      <c r="AA5" s="270">
        <f>'[2]EDl log'!AA22</f>
        <v>5000</v>
      </c>
      <c r="AB5" s="669"/>
      <c r="AC5" s="670"/>
    </row>
    <row r="6" spans="1:30" ht="15.75" thickBot="1">
      <c r="A6" s="163">
        <f>ELEC!C5</f>
        <v>44015</v>
      </c>
      <c r="B6" s="571">
        <v>121082</v>
      </c>
      <c r="C6" s="270">
        <f t="shared" si="0"/>
        <v>3680</v>
      </c>
      <c r="D6" s="316">
        <f t="shared" si="7"/>
        <v>3683</v>
      </c>
      <c r="E6" s="316">
        <f t="shared" ref="E6:E34" si="11">B5+D6</f>
        <v>121085</v>
      </c>
      <c r="F6" s="571">
        <v>19656</v>
      </c>
      <c r="G6" s="160">
        <f t="shared" si="1"/>
        <v>619</v>
      </c>
      <c r="H6" s="571">
        <v>56910</v>
      </c>
      <c r="I6" s="161">
        <f t="shared" si="2"/>
        <v>2110</v>
      </c>
      <c r="J6" s="573">
        <v>44517</v>
      </c>
      <c r="K6" s="162">
        <f t="shared" si="3"/>
        <v>954</v>
      </c>
      <c r="L6" s="304">
        <f t="shared" si="4"/>
        <v>131.39635157545607</v>
      </c>
      <c r="M6" s="304">
        <f t="shared" si="5"/>
        <v>156.76285240464344</v>
      </c>
      <c r="N6" s="304">
        <f t="shared" si="6"/>
        <v>50.626865671641788</v>
      </c>
      <c r="O6" s="304">
        <f t="shared" si="8"/>
        <v>64.91740327153687</v>
      </c>
      <c r="P6" s="305">
        <f t="shared" si="9"/>
        <v>403.70347292327813</v>
      </c>
      <c r="Q6" s="305">
        <f>SUM(-tanks!AX8*tanks!$AU$37)</f>
        <v>2224.6690064516151</v>
      </c>
      <c r="R6" s="305">
        <f t="shared" si="10"/>
        <v>2628.3724793748934</v>
      </c>
      <c r="S6" s="307">
        <f>SUM(ELEC!N5)</f>
        <v>20891</v>
      </c>
      <c r="T6" s="344">
        <f t="shared" ref="T6:T32" si="12">IF(S6&gt;0,R6/S6,0)</f>
        <v>0.12581362689076125</v>
      </c>
      <c r="V6" s="664"/>
      <c r="W6" s="665"/>
      <c r="X6" s="665"/>
      <c r="Y6" s="666"/>
      <c r="Z6" s="3"/>
      <c r="AA6" s="3"/>
      <c r="AB6" s="669"/>
      <c r="AC6" s="670"/>
    </row>
    <row r="7" spans="1:30" ht="15" customHeight="1" thickBot="1">
      <c r="A7" s="163">
        <f>ELEC!C6</f>
        <v>44016</v>
      </c>
      <c r="B7" s="571">
        <v>122052</v>
      </c>
      <c r="C7" s="270">
        <f t="shared" si="0"/>
        <v>970</v>
      </c>
      <c r="D7" s="316">
        <f t="shared" si="7"/>
        <v>968</v>
      </c>
      <c r="E7" s="316">
        <f t="shared" si="11"/>
        <v>122050</v>
      </c>
      <c r="F7" s="571">
        <v>19656</v>
      </c>
      <c r="G7" s="160">
        <f t="shared" si="1"/>
        <v>0</v>
      </c>
      <c r="H7" s="571">
        <v>57839</v>
      </c>
      <c r="I7" s="161">
        <f t="shared" si="2"/>
        <v>929</v>
      </c>
      <c r="J7" s="573">
        <v>44556</v>
      </c>
      <c r="K7" s="162">
        <f t="shared" si="3"/>
        <v>39</v>
      </c>
      <c r="L7" s="304">
        <f t="shared" si="4"/>
        <v>0</v>
      </c>
      <c r="M7" s="304">
        <f t="shared" si="5"/>
        <v>69.020232172470983</v>
      </c>
      <c r="N7" s="304">
        <f t="shared" si="6"/>
        <v>2.0696517412935322</v>
      </c>
      <c r="O7" s="304">
        <f t="shared" si="8"/>
        <v>64.91740327153687</v>
      </c>
      <c r="P7" s="305">
        <f t="shared" si="9"/>
        <v>136.00728718530138</v>
      </c>
      <c r="Q7" s="305">
        <f>SUM(-tanks!AX9*tanks!$AU$37)</f>
        <v>2479.8903822580614</v>
      </c>
      <c r="R7" s="305">
        <f t="shared" si="10"/>
        <v>2615.8976694433627</v>
      </c>
      <c r="S7" s="307">
        <f>SUM(ELEC!N6)</f>
        <v>18152</v>
      </c>
      <c r="T7" s="344">
        <f t="shared" si="12"/>
        <v>0.14411071338934348</v>
      </c>
      <c r="V7" s="657" t="s">
        <v>204</v>
      </c>
      <c r="W7" s="658"/>
      <c r="X7" s="659" t="s">
        <v>205</v>
      </c>
      <c r="Y7" s="660"/>
      <c r="Z7" s="658"/>
      <c r="AA7" s="26"/>
      <c r="AB7" s="671"/>
      <c r="AC7" s="672"/>
    </row>
    <row r="8" spans="1:30" ht="15.75" customHeight="1" thickBot="1">
      <c r="A8" s="163">
        <f>ELEC!C7</f>
        <v>44017</v>
      </c>
      <c r="B8" s="571">
        <v>124168</v>
      </c>
      <c r="C8" s="270">
        <f t="shared" si="0"/>
        <v>2116</v>
      </c>
      <c r="D8" s="316">
        <f t="shared" si="7"/>
        <v>846</v>
      </c>
      <c r="E8" s="316">
        <f t="shared" si="11"/>
        <v>122898</v>
      </c>
      <c r="F8" s="571">
        <v>19656</v>
      </c>
      <c r="G8" s="160">
        <f t="shared" si="1"/>
        <v>0</v>
      </c>
      <c r="H8" s="571">
        <v>57839</v>
      </c>
      <c r="I8" s="161">
        <f t="shared" si="2"/>
        <v>0</v>
      </c>
      <c r="J8" s="573">
        <v>45402</v>
      </c>
      <c r="K8" s="162">
        <f>J8-J7</f>
        <v>846</v>
      </c>
      <c r="L8" s="304">
        <f t="shared" si="4"/>
        <v>0</v>
      </c>
      <c r="M8" s="304">
        <f t="shared" si="5"/>
        <v>0</v>
      </c>
      <c r="N8" s="304">
        <f t="shared" si="6"/>
        <v>44.895522388059703</v>
      </c>
      <c r="O8" s="304">
        <f t="shared" si="8"/>
        <v>64.91740327153687</v>
      </c>
      <c r="P8" s="305">
        <f t="shared" si="9"/>
        <v>109.81292565959657</v>
      </c>
      <c r="Q8" s="305">
        <f>SUM(-tanks!AX10*tanks!$AU$37)</f>
        <v>2579.4681822580615</v>
      </c>
      <c r="R8" s="305">
        <f t="shared" si="10"/>
        <v>2689.2811079176581</v>
      </c>
      <c r="S8" s="307">
        <f>SUM(ELEC!N7)</f>
        <v>18161</v>
      </c>
      <c r="T8" s="344">
        <f>IF(S8&gt;0,R8/S8,0)</f>
        <v>0.14808001254984077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9" t="str">
        <f>'[5]EDl log'!AB25</f>
        <v>Total cost LL</v>
      </c>
      <c r="AC8" s="257" t="s">
        <v>212</v>
      </c>
    </row>
    <row r="9" spans="1:30" ht="15.75" thickBot="1">
      <c r="A9" s="163">
        <f>ELEC!C8</f>
        <v>44018</v>
      </c>
      <c r="B9" s="571">
        <v>125693</v>
      </c>
      <c r="C9" s="270">
        <f t="shared" si="0"/>
        <v>1525</v>
      </c>
      <c r="D9" s="316">
        <f t="shared" si="7"/>
        <v>2794</v>
      </c>
      <c r="E9" s="316">
        <f t="shared" si="11"/>
        <v>126962</v>
      </c>
      <c r="F9" s="571">
        <v>19811</v>
      </c>
      <c r="G9" s="160">
        <f t="shared" si="1"/>
        <v>155</v>
      </c>
      <c r="H9" s="571">
        <v>60218</v>
      </c>
      <c r="I9" s="161">
        <f t="shared" si="2"/>
        <v>2379</v>
      </c>
      <c r="J9" s="573">
        <v>45662</v>
      </c>
      <c r="K9" s="162">
        <f>J9-J8</f>
        <v>260</v>
      </c>
      <c r="L9" s="304">
        <f t="shared" si="4"/>
        <v>32.902155887230514</v>
      </c>
      <c r="M9" s="304">
        <f t="shared" si="5"/>
        <v>176.74825870646765</v>
      </c>
      <c r="N9" s="304">
        <f t="shared" si="6"/>
        <v>13.797678275290215</v>
      </c>
      <c r="O9" s="304">
        <f t="shared" si="8"/>
        <v>64.91740327153687</v>
      </c>
      <c r="P9" s="305">
        <f t="shared" si="9"/>
        <v>288.36549614052524</v>
      </c>
      <c r="Q9" s="305">
        <f>SUM(-tanks!AX11*tanks!$AU$37)</f>
        <v>2135.5472032258076</v>
      </c>
      <c r="R9" s="305">
        <f>SUM(P9:Q9)</f>
        <v>2423.9126993663331</v>
      </c>
      <c r="S9" s="307">
        <f>SUM(ELEC!N8)</f>
        <v>20764</v>
      </c>
      <c r="T9" s="344">
        <f t="shared" si="12"/>
        <v>0.1167363080026167</v>
      </c>
      <c r="V9" s="270">
        <f>'[1]EDl log'!V52</f>
        <v>0</v>
      </c>
      <c r="W9" s="270">
        <f>'[1]EDl log'!W52</f>
        <v>41646</v>
      </c>
      <c r="X9" s="270" t="str">
        <f>'[1]EDl log'!X9</f>
        <v>Night</v>
      </c>
      <c r="Y9" s="270">
        <f>'[1]EDl log'!Y9</f>
        <v>80</v>
      </c>
      <c r="Z9" s="270">
        <f>'[1]EDl log'!Z9</f>
        <v>1</v>
      </c>
      <c r="AA9" s="270">
        <f>'[1]EDl log'!AA27</f>
        <v>22569</v>
      </c>
      <c r="AB9" s="270">
        <f>'[1]EDl log'!AB27</f>
        <v>1805520</v>
      </c>
      <c r="AC9" s="270">
        <f>'[1]EDl log'!AC27</f>
        <v>1033333</v>
      </c>
      <c r="AD9" s="270">
        <f>'[1]EDl log'!AD27</f>
        <v>0.36036971356738795</v>
      </c>
    </row>
    <row r="10" spans="1:30" ht="15.75" thickBot="1">
      <c r="A10" s="163">
        <f>ELEC!C9</f>
        <v>44019</v>
      </c>
      <c r="B10" s="571">
        <v>125693</v>
      </c>
      <c r="C10" s="270">
        <f t="shared" si="0"/>
        <v>0</v>
      </c>
      <c r="D10" s="316">
        <f t="shared" si="7"/>
        <v>0</v>
      </c>
      <c r="E10" s="316">
        <f t="shared" si="11"/>
        <v>125693</v>
      </c>
      <c r="F10" s="571">
        <v>19811</v>
      </c>
      <c r="G10" s="160">
        <f t="shared" si="1"/>
        <v>0</v>
      </c>
      <c r="H10" s="571">
        <v>60218</v>
      </c>
      <c r="I10" s="161">
        <f t="shared" si="2"/>
        <v>0</v>
      </c>
      <c r="J10" s="573">
        <f t="shared" ref="J10:J34" si="13">J9</f>
        <v>45662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8"/>
        <v>64.91740327153687</v>
      </c>
      <c r="P10" s="305">
        <f t="shared" si="9"/>
        <v>64.91740327153687</v>
      </c>
      <c r="Q10" s="305">
        <f>SUM(-tanks!AX12*tanks!$AU$37)</f>
        <v>2456.5200822580691</v>
      </c>
      <c r="R10" s="305">
        <f t="shared" si="10"/>
        <v>2521.437485529606</v>
      </c>
      <c r="S10" s="307">
        <f>SUM(ELEC!N9)</f>
        <v>20479</v>
      </c>
      <c r="T10" s="344">
        <f t="shared" si="12"/>
        <v>0.12312307659209952</v>
      </c>
      <c r="V10" s="270">
        <f>'[1]EDl log'!V53</f>
        <v>0</v>
      </c>
      <c r="W10" s="270">
        <f>'[1]EDl log'!W53</f>
        <v>52088</v>
      </c>
      <c r="X10" s="270" t="str">
        <f>'[1]EDl log'!X10</f>
        <v>day</v>
      </c>
      <c r="Y10" s="270">
        <f>'[1]EDl log'!Y10</f>
        <v>112</v>
      </c>
      <c r="Z10" s="270">
        <f>'[1]EDl log'!Z10</f>
        <v>1</v>
      </c>
      <c r="AA10" s="270">
        <f>'[1]EDl log'!AA53</f>
        <v>52088</v>
      </c>
      <c r="AB10" s="270">
        <f>'[1]EDl log'!AB28</f>
        <v>3865120</v>
      </c>
      <c r="AC10" s="270">
        <f>'[1]EDl log'!AC28</f>
        <v>6200000</v>
      </c>
      <c r="AD10" s="270">
        <f>'[1]EDl log'!AD28</f>
        <v>0.48598141330699468</v>
      </c>
    </row>
    <row r="11" spans="1:30" ht="15.75" thickBot="1">
      <c r="A11" s="163">
        <f>ELEC!C10</f>
        <v>44020</v>
      </c>
      <c r="B11" s="571">
        <f t="shared" ref="B11:B34" si="14">B10</f>
        <v>125693</v>
      </c>
      <c r="C11" s="270">
        <f t="shared" si="0"/>
        <v>0</v>
      </c>
      <c r="D11" s="316">
        <f>SUM(G11+I11+K11)</f>
        <v>0</v>
      </c>
      <c r="E11" s="316">
        <f t="shared" si="11"/>
        <v>125693</v>
      </c>
      <c r="F11" s="571">
        <f t="shared" ref="F11:F34" si="15">F10</f>
        <v>19811</v>
      </c>
      <c r="G11" s="160">
        <f t="shared" si="1"/>
        <v>0</v>
      </c>
      <c r="H11" s="571">
        <f t="shared" ref="H11:H34" si="16">H10</f>
        <v>60218</v>
      </c>
      <c r="I11" s="161">
        <f t="shared" si="2"/>
        <v>0</v>
      </c>
      <c r="J11" s="573">
        <f t="shared" si="13"/>
        <v>45662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8"/>
        <v>64.91740327153687</v>
      </c>
      <c r="P11" s="305">
        <f t="shared" si="9"/>
        <v>64.91740327153687</v>
      </c>
      <c r="Q11" s="305">
        <f>SUM(-tanks!AX13*tanks!$AU$37)</f>
        <v>2332.0084993548417</v>
      </c>
      <c r="R11" s="305">
        <f t="shared" si="10"/>
        <v>2396.9259026263785</v>
      </c>
      <c r="S11" s="307">
        <f>SUM(ELEC!N10)</f>
        <v>23543</v>
      </c>
      <c r="T11" s="344">
        <f t="shared" si="12"/>
        <v>0.10181055526595499</v>
      </c>
      <c r="V11" s="270">
        <f>'[1]EDl log'!V54</f>
        <v>0</v>
      </c>
      <c r="W11" s="270">
        <f>'[1]EDl log'!W54</f>
        <v>18455</v>
      </c>
      <c r="X11" s="270" t="str">
        <f>'[1]EDl log'!X11</f>
        <v>Peak</v>
      </c>
      <c r="Y11" s="270">
        <f>'[1]EDl log'!Y11</f>
        <v>320</v>
      </c>
      <c r="Z11" s="270">
        <f>'[1]EDl log'!Z11</f>
        <v>1</v>
      </c>
      <c r="AA11" s="270">
        <f>'[1]EDl log'!AA54</f>
        <v>18455</v>
      </c>
      <c r="AB11" s="270">
        <f>'[1]EDl log'!AB29</f>
        <v>2856000</v>
      </c>
      <c r="AC11" s="270">
        <f>'[1]EDl log'!AC29</f>
        <v>1000</v>
      </c>
      <c r="AD11" s="270">
        <f>'[1]EDl log'!AD29</f>
        <v>0.15365448504983387</v>
      </c>
    </row>
    <row r="12" spans="1:30" ht="15.75" thickBot="1">
      <c r="A12" s="163">
        <f>ELEC!C11</f>
        <v>44021</v>
      </c>
      <c r="B12" s="571">
        <v>133264</v>
      </c>
      <c r="C12" s="270">
        <f t="shared" si="0"/>
        <v>7571</v>
      </c>
      <c r="D12" s="316">
        <f t="shared" si="7"/>
        <v>7577</v>
      </c>
      <c r="E12" s="316">
        <f t="shared" si="11"/>
        <v>133270</v>
      </c>
      <c r="F12" s="571">
        <v>20670</v>
      </c>
      <c r="G12" s="160">
        <f t="shared" si="1"/>
        <v>859</v>
      </c>
      <c r="H12" s="571">
        <v>64018</v>
      </c>
      <c r="I12" s="161">
        <f t="shared" si="2"/>
        <v>3800</v>
      </c>
      <c r="J12" s="573">
        <v>48580</v>
      </c>
      <c r="K12" s="162">
        <f t="shared" si="3"/>
        <v>2918</v>
      </c>
      <c r="L12" s="304">
        <f t="shared" si="4"/>
        <v>182.34162520729686</v>
      </c>
      <c r="M12" s="304">
        <f t="shared" si="5"/>
        <v>282.32172470978441</v>
      </c>
      <c r="N12" s="304">
        <f t="shared" si="6"/>
        <v>154.85240464344943</v>
      </c>
      <c r="O12" s="304">
        <f t="shared" si="8"/>
        <v>64.91740327153687</v>
      </c>
      <c r="P12" s="305">
        <f t="shared" si="9"/>
        <v>684.43315783206754</v>
      </c>
      <c r="Q12" s="305">
        <f>SUM(-tanks!AX14*tanks!$AU$37)</f>
        <v>2666.0054859677475</v>
      </c>
      <c r="R12" s="305">
        <f t="shared" si="10"/>
        <v>3350.4386437998151</v>
      </c>
      <c r="S12" s="307">
        <f>SUM(ELEC!N11)</f>
        <v>18109</v>
      </c>
      <c r="T12" s="344">
        <f t="shared" si="12"/>
        <v>0.18501511092825751</v>
      </c>
      <c r="V12" s="270"/>
      <c r="W12" s="270"/>
      <c r="X12" s="3"/>
      <c r="Y12" s="270"/>
      <c r="Z12" s="28"/>
      <c r="AA12" s="270">
        <f>'[1]EDl log'!AA55</f>
        <v>112189</v>
      </c>
      <c r="AB12" s="270">
        <f>'[1]EDl log'!AB30</f>
        <v>0</v>
      </c>
      <c r="AC12" s="270">
        <f>'[1]EDl log'!AC30</f>
        <v>0</v>
      </c>
    </row>
    <row r="13" spans="1:30" ht="15.75" thickBot="1">
      <c r="A13" s="163">
        <f>ELEC!C12</f>
        <v>44022</v>
      </c>
      <c r="B13" s="571">
        <v>133664</v>
      </c>
      <c r="C13" s="270">
        <f t="shared" si="0"/>
        <v>400</v>
      </c>
      <c r="D13" s="316">
        <f t="shared" si="7"/>
        <v>291</v>
      </c>
      <c r="E13" s="316">
        <f t="shared" si="11"/>
        <v>133555</v>
      </c>
      <c r="F13" s="571">
        <v>20670</v>
      </c>
      <c r="G13" s="160">
        <f t="shared" si="1"/>
        <v>0</v>
      </c>
      <c r="H13" s="571">
        <v>64309</v>
      </c>
      <c r="I13" s="161">
        <f t="shared" si="2"/>
        <v>291</v>
      </c>
      <c r="J13" s="573">
        <v>48580</v>
      </c>
      <c r="K13" s="162">
        <f t="shared" si="3"/>
        <v>0</v>
      </c>
      <c r="L13" s="304">
        <f t="shared" si="4"/>
        <v>0</v>
      </c>
      <c r="M13" s="304">
        <f t="shared" si="5"/>
        <v>21.61990049751244</v>
      </c>
      <c r="N13" s="304">
        <f t="shared" si="6"/>
        <v>0</v>
      </c>
      <c r="O13" s="304">
        <f t="shared" si="8"/>
        <v>64.91740327153687</v>
      </c>
      <c r="P13" s="305">
        <f t="shared" si="9"/>
        <v>86.537303769049316</v>
      </c>
      <c r="Q13" s="305">
        <f>SUM(-tanks!AX15*tanks!$AU$37)</f>
        <v>990.99085790320544</v>
      </c>
      <c r="R13" s="305">
        <f t="shared" si="10"/>
        <v>1077.5281616722548</v>
      </c>
      <c r="S13" s="307">
        <f>SUM(ELEC!N12)</f>
        <v>20053</v>
      </c>
      <c r="T13" s="344">
        <f t="shared" si="12"/>
        <v>5.3734012949297104E-2</v>
      </c>
      <c r="V13" s="270" t="str">
        <f>'[2]EDl log'!V30</f>
        <v>Occ %</v>
      </c>
      <c r="W13" s="521">
        <f>'[1]EDl log'!W13</f>
        <v>1.9296774193548385E-2</v>
      </c>
      <c r="X13" s="521">
        <f>'[1]EDl log'!X13</f>
        <v>0</v>
      </c>
      <c r="Y13" s="270" t="str">
        <f>'[2]EDl log'!Y30</f>
        <v>Per G</v>
      </c>
      <c r="Z13" s="3"/>
      <c r="AA13" s="3"/>
      <c r="AB13" s="270">
        <f>'[1]EDl log'!AB31</f>
        <v>8526640</v>
      </c>
      <c r="AC13" s="270">
        <f>'[1]EDl log'!AC31</f>
        <v>7234333</v>
      </c>
    </row>
    <row r="14" spans="1:30" ht="15.75" thickBot="1">
      <c r="A14" s="585">
        <f>ELEC!C13</f>
        <v>44023</v>
      </c>
      <c r="B14" s="571">
        <v>136005</v>
      </c>
      <c r="C14" s="270">
        <f t="shared" si="0"/>
        <v>2341</v>
      </c>
      <c r="D14" s="316">
        <f t="shared" si="7"/>
        <v>2450</v>
      </c>
      <c r="E14" s="316">
        <f t="shared" si="11"/>
        <v>136114</v>
      </c>
      <c r="F14" s="571">
        <v>21151</v>
      </c>
      <c r="G14" s="160">
        <f t="shared" si="1"/>
        <v>481</v>
      </c>
      <c r="H14" s="571">
        <v>65148</v>
      </c>
      <c r="I14" s="161">
        <f t="shared" si="2"/>
        <v>839</v>
      </c>
      <c r="J14" s="573">
        <v>49710</v>
      </c>
      <c r="K14" s="162">
        <f t="shared" ref="K14:K17" si="17">J14-J13</f>
        <v>1130</v>
      </c>
      <c r="L14" s="304">
        <f t="shared" ref="L14:L17" si="18">SUM(G14*$Y$28)/1507.5</f>
        <v>102.1028192371476</v>
      </c>
      <c r="M14" s="304">
        <f t="shared" ref="M14:M17" si="19">SUM(I14*$Y$27)/1507.5</f>
        <v>62.333665008291874</v>
      </c>
      <c r="N14" s="304">
        <f t="shared" ref="N14:N17" si="20">SUM(K14*$Y$26)/1507.5</f>
        <v>59.966832504145934</v>
      </c>
      <c r="O14" s="304">
        <f t="shared" ref="O14:O17" si="21">($AC$31/$A$39)/1507.5</f>
        <v>64.91740327153687</v>
      </c>
      <c r="P14" s="305">
        <f t="shared" ref="P14:P17" si="22">SUM(L14:O14)</f>
        <v>289.32072002112227</v>
      </c>
      <c r="Q14" s="305">
        <f>SUM(-tanks!AX16*tanks!$AU$37)</f>
        <v>2814.1938377419428</v>
      </c>
      <c r="R14" s="305">
        <f t="shared" ref="R14:R17" si="23">SUM(P14:Q14)</f>
        <v>3103.5145577630651</v>
      </c>
      <c r="S14" s="307">
        <f>SUM(ELEC!N13)</f>
        <v>21073</v>
      </c>
      <c r="T14" s="344">
        <f t="shared" ref="T14:T17" si="24">IF(S14&gt;0,R14/S14,0)</f>
        <v>0.14727445346002302</v>
      </c>
      <c r="V14" s="270" t="str">
        <f>'[2]EDl log'!V31</f>
        <v>Gen RH</v>
      </c>
      <c r="W14" s="586">
        <f>'[1]EDl log'!W14</f>
        <v>119.48999999999978</v>
      </c>
      <c r="X14" s="587">
        <f>'[1]EDl log'!X14</f>
        <v>3.8545161290322509</v>
      </c>
      <c r="Y14" s="587">
        <f>'[1]EDl log'!Y14</f>
        <v>1.9272580645161255</v>
      </c>
      <c r="Z14" s="3"/>
      <c r="AA14" s="3"/>
      <c r="AB14" s="270">
        <f>'[1]EDl log'!AB32</f>
        <v>30832109</v>
      </c>
      <c r="AC14" s="270">
        <f>'[1]EDl log'!AC32</f>
        <v>7234333</v>
      </c>
    </row>
    <row r="15" spans="1:30" ht="15.75" thickBot="1">
      <c r="A15" s="163">
        <f>ELEC!C14</f>
        <v>44024</v>
      </c>
      <c r="B15" s="571">
        <v>136450</v>
      </c>
      <c r="C15" s="270">
        <f t="shared" si="0"/>
        <v>445</v>
      </c>
      <c r="D15" s="316">
        <f t="shared" si="7"/>
        <v>396</v>
      </c>
      <c r="E15" s="316">
        <f t="shared" si="11"/>
        <v>136401</v>
      </c>
      <c r="F15" s="571">
        <v>21151</v>
      </c>
      <c r="G15" s="160">
        <f t="shared" si="1"/>
        <v>0</v>
      </c>
      <c r="H15" s="571">
        <v>65544</v>
      </c>
      <c r="I15" s="161">
        <f t="shared" si="2"/>
        <v>396</v>
      </c>
      <c r="J15" s="573">
        <v>49710</v>
      </c>
      <c r="K15" s="162">
        <f t="shared" si="17"/>
        <v>0</v>
      </c>
      <c r="L15" s="304">
        <f t="shared" si="18"/>
        <v>0</v>
      </c>
      <c r="M15" s="304">
        <f t="shared" si="19"/>
        <v>29.420895522388058</v>
      </c>
      <c r="N15" s="304">
        <f t="shared" si="20"/>
        <v>0</v>
      </c>
      <c r="O15" s="304">
        <f t="shared" si="21"/>
        <v>64.91740327153687</v>
      </c>
      <c r="P15" s="305">
        <f t="shared" si="22"/>
        <v>94.338298793924935</v>
      </c>
      <c r="Q15" s="305">
        <f>SUM(-tanks!AX17*tanks!$AU$37)</f>
        <v>3004.3782580645116</v>
      </c>
      <c r="R15" s="305">
        <f t="shared" si="23"/>
        <v>3098.7165568584364</v>
      </c>
      <c r="S15" s="307">
        <f>SUM(ELEC!N14)</f>
        <v>20084</v>
      </c>
      <c r="T15" s="344">
        <f t="shared" si="24"/>
        <v>0.15428781900310876</v>
      </c>
      <c r="V15" s="270" t="str">
        <f>'[2]EDl log'!V32</f>
        <v>H Deg</v>
      </c>
      <c r="W15" s="586">
        <f>'[1]EDl log'!W16</f>
        <v>-549.00000000000011</v>
      </c>
      <c r="X15" s="586">
        <f>'[1]EDl log'!X15</f>
        <v>0</v>
      </c>
      <c r="Y15" s="586">
        <f>'[2]EDl log'!Y32</f>
        <v>0</v>
      </c>
      <c r="Z15" s="3"/>
      <c r="AA15" s="3"/>
      <c r="AB15" s="270">
        <f>'[1]EDl log'!AB33</f>
        <v>0</v>
      </c>
      <c r="AC15" s="270">
        <f>'[1]EDl log'!AC33</f>
        <v>0</v>
      </c>
    </row>
    <row r="16" spans="1:30" ht="15.75" thickBot="1">
      <c r="A16" s="163">
        <f>ELEC!C15</f>
        <v>44025</v>
      </c>
      <c r="B16" s="571">
        <v>136450</v>
      </c>
      <c r="C16" s="270">
        <f t="shared" si="0"/>
        <v>0</v>
      </c>
      <c r="D16" s="316">
        <f t="shared" si="7"/>
        <v>0</v>
      </c>
      <c r="E16" s="316">
        <f t="shared" si="11"/>
        <v>136450</v>
      </c>
      <c r="F16" s="571">
        <v>21151</v>
      </c>
      <c r="G16" s="160">
        <f t="shared" si="1"/>
        <v>0</v>
      </c>
      <c r="H16" s="571">
        <f t="shared" si="16"/>
        <v>65544</v>
      </c>
      <c r="I16" s="161">
        <f t="shared" si="2"/>
        <v>0</v>
      </c>
      <c r="J16" s="573">
        <f t="shared" si="13"/>
        <v>49710</v>
      </c>
      <c r="K16" s="162">
        <f t="shared" si="17"/>
        <v>0</v>
      </c>
      <c r="L16" s="304">
        <f t="shared" si="18"/>
        <v>0</v>
      </c>
      <c r="M16" s="304">
        <f t="shared" si="19"/>
        <v>0</v>
      </c>
      <c r="N16" s="304">
        <f t="shared" si="20"/>
        <v>0</v>
      </c>
      <c r="O16" s="304">
        <f t="shared" si="21"/>
        <v>64.91740327153687</v>
      </c>
      <c r="P16" s="305">
        <f t="shared" si="22"/>
        <v>64.91740327153687</v>
      </c>
      <c r="Q16" s="305">
        <f>SUM(-tanks!AX18*tanks!$AU$37)</f>
        <v>2540.8498267741879</v>
      </c>
      <c r="R16" s="305">
        <f t="shared" si="23"/>
        <v>2605.7672300457248</v>
      </c>
      <c r="S16" s="307">
        <f>SUM(ELEC!N15)</f>
        <v>19864</v>
      </c>
      <c r="T16" s="344">
        <f t="shared" si="24"/>
        <v>0.13118038814164945</v>
      </c>
      <c r="V16" s="270" t="str">
        <f>'[2]EDl log'!V33</f>
        <v>C Deg</v>
      </c>
      <c r="W16" s="588"/>
      <c r="X16" s="586">
        <f>'[1]EDl log'!X16</f>
        <v>0</v>
      </c>
      <c r="Y16" s="586">
        <f>'[2]EDl log'!Y33</f>
        <v>0</v>
      </c>
      <c r="Z16" s="3"/>
      <c r="AA16" s="3"/>
      <c r="AB16" s="270">
        <f>'[1]EDl log'!AB34</f>
        <v>0</v>
      </c>
      <c r="AC16" s="270">
        <f>'[1]EDl log'!AC34</f>
        <v>0</v>
      </c>
    </row>
    <row r="17" spans="1:32" ht="15.75" thickBot="1">
      <c r="A17" s="163">
        <f>ELEC!C16</f>
        <v>44026</v>
      </c>
      <c r="B17" s="571">
        <v>140459</v>
      </c>
      <c r="C17" s="270">
        <f t="shared" si="0"/>
        <v>4009</v>
      </c>
      <c r="D17" s="316">
        <f t="shared" si="7"/>
        <v>4053</v>
      </c>
      <c r="E17" s="316">
        <f t="shared" si="11"/>
        <v>140503</v>
      </c>
      <c r="F17" s="571">
        <v>21701</v>
      </c>
      <c r="G17" s="160">
        <f t="shared" si="1"/>
        <v>550</v>
      </c>
      <c r="H17" s="571">
        <v>67098</v>
      </c>
      <c r="I17" s="161">
        <f t="shared" si="2"/>
        <v>1554</v>
      </c>
      <c r="J17" s="573">
        <v>51659</v>
      </c>
      <c r="K17" s="162">
        <f t="shared" si="17"/>
        <v>1949</v>
      </c>
      <c r="L17" s="304">
        <f t="shared" si="18"/>
        <v>116.74958540630182</v>
      </c>
      <c r="M17" s="304">
        <f t="shared" si="19"/>
        <v>115.4547263681592</v>
      </c>
      <c r="N17" s="304">
        <f t="shared" si="20"/>
        <v>103.42951907131011</v>
      </c>
      <c r="O17" s="304">
        <f t="shared" si="21"/>
        <v>64.91740327153687</v>
      </c>
      <c r="P17" s="305">
        <f t="shared" si="22"/>
        <v>400.55123411730801</v>
      </c>
      <c r="Q17" s="305">
        <f>SUM(-tanks!AX19*tanks!$AU$37)</f>
        <v>1921.4827940322702</v>
      </c>
      <c r="R17" s="305">
        <f t="shared" si="23"/>
        <v>2322.0340281495783</v>
      </c>
      <c r="S17" s="307">
        <f>SUM(ELEC!N16)</f>
        <v>19752</v>
      </c>
      <c r="T17" s="344">
        <f t="shared" si="24"/>
        <v>0.11755943844418683</v>
      </c>
      <c r="V17" s="258"/>
      <c r="W17" s="521">
        <f>'[1]EDl log'!W17</f>
        <v>0</v>
      </c>
      <c r="X17" s="17"/>
      <c r="Y17" s="443"/>
      <c r="Z17" s="521"/>
      <c r="AA17" s="521"/>
      <c r="AB17" s="270">
        <f>'[1]EDl log'!AB35</f>
        <v>0</v>
      </c>
      <c r="AC17" s="270">
        <f>'[1]EDl log'!AC35</f>
        <v>0</v>
      </c>
    </row>
    <row r="18" spans="1:32" ht="15.75" thickBot="1">
      <c r="A18" s="163">
        <f>ELEC!C17</f>
        <v>44027</v>
      </c>
      <c r="B18" s="571">
        <v>143143</v>
      </c>
      <c r="C18" s="270">
        <f t="shared" si="0"/>
        <v>2684</v>
      </c>
      <c r="D18" s="316">
        <f t="shared" si="7"/>
        <v>2684</v>
      </c>
      <c r="E18" s="316">
        <f t="shared" si="11"/>
        <v>143143</v>
      </c>
      <c r="F18" s="571">
        <v>22350</v>
      </c>
      <c r="G18" s="160">
        <f t="shared" si="1"/>
        <v>649</v>
      </c>
      <c r="H18" s="571">
        <v>67924</v>
      </c>
      <c r="I18" s="161">
        <f t="shared" si="2"/>
        <v>826</v>
      </c>
      <c r="J18" s="573">
        <v>52868</v>
      </c>
      <c r="K18" s="162">
        <f t="shared" si="3"/>
        <v>1209</v>
      </c>
      <c r="L18" s="304">
        <f t="shared" ref="L18:L33" si="25">SUM(G18*$Y$28)/1507.5</f>
        <v>137.76451077943616</v>
      </c>
      <c r="M18" s="304">
        <f t="shared" ref="M18:M33" si="26">SUM(I18*$Y$27)/1507.5</f>
        <v>61.367827529021561</v>
      </c>
      <c r="N18" s="304">
        <f t="shared" ref="N18:N33" si="27">SUM(K18*$Y$26)/1507.5</f>
        <v>64.159203980099505</v>
      </c>
      <c r="O18" s="304">
        <f t="shared" ref="O18:O34" si="28">($AC$31/$A$39)/1507.5</f>
        <v>64.91740327153687</v>
      </c>
      <c r="P18" s="305">
        <f t="shared" si="9"/>
        <v>328.20894556009409</v>
      </c>
      <c r="Q18" s="305">
        <f>SUM(-tanks!AX20*tanks!$AU$37)</f>
        <v>2699.5417025806491</v>
      </c>
      <c r="R18" s="305">
        <f t="shared" si="10"/>
        <v>3027.7506481407431</v>
      </c>
      <c r="S18" s="307">
        <f>SUM(ELEC!N17)</f>
        <v>22340</v>
      </c>
      <c r="T18" s="344">
        <f t="shared" si="12"/>
        <v>0.13553046768758922</v>
      </c>
      <c r="V18" s="232"/>
      <c r="W18" s="233"/>
      <c r="X18" s="233"/>
      <c r="Y18" s="443"/>
      <c r="Z18" s="521" t="str">
        <f>'[2]EDl log'!Z35</f>
        <v xml:space="preserve">VAT </v>
      </c>
      <c r="AA18" s="521">
        <f>'[2]EDl log'!AA35</f>
        <v>0.11</v>
      </c>
      <c r="AB18" s="270">
        <f>'[1]EDl log'!AB36</f>
        <v>3391531.99</v>
      </c>
      <c r="AC18" s="270">
        <f>'[1]EDl log'!AC36</f>
        <v>0</v>
      </c>
    </row>
    <row r="19" spans="1:32" ht="15.75" thickBot="1">
      <c r="A19" s="163">
        <f>ELEC!C18</f>
        <v>44028</v>
      </c>
      <c r="B19" s="571">
        <v>144480</v>
      </c>
      <c r="C19" s="270">
        <f t="shared" si="0"/>
        <v>1337</v>
      </c>
      <c r="D19" s="316">
        <f t="shared" si="7"/>
        <v>1336</v>
      </c>
      <c r="E19" s="316">
        <f t="shared" si="11"/>
        <v>144479</v>
      </c>
      <c r="F19" s="571">
        <v>22350</v>
      </c>
      <c r="G19" s="160">
        <f t="shared" si="1"/>
        <v>0</v>
      </c>
      <c r="H19" s="571">
        <v>68378</v>
      </c>
      <c r="I19" s="161">
        <f t="shared" si="2"/>
        <v>454</v>
      </c>
      <c r="J19" s="573">
        <v>53750</v>
      </c>
      <c r="K19" s="162">
        <f t="shared" si="3"/>
        <v>882</v>
      </c>
      <c r="L19" s="304">
        <f t="shared" si="25"/>
        <v>0</v>
      </c>
      <c r="M19" s="304">
        <f t="shared" si="26"/>
        <v>33.730016583747926</v>
      </c>
      <c r="N19" s="304">
        <f t="shared" si="27"/>
        <v>46.805970149253731</v>
      </c>
      <c r="O19" s="304">
        <f t="shared" si="28"/>
        <v>64.91740327153687</v>
      </c>
      <c r="P19" s="305">
        <f t="shared" si="9"/>
        <v>145.45339000453853</v>
      </c>
      <c r="Q19" s="305">
        <f>SUM(-tanks!AX21*tanks!$AU$37)</f>
        <v>1618.3572198387055</v>
      </c>
      <c r="R19" s="305">
        <f t="shared" si="10"/>
        <v>1763.810609843244</v>
      </c>
      <c r="S19" s="307">
        <f>SUM(ELEC!N18)</f>
        <v>20744</v>
      </c>
      <c r="T19" s="344">
        <f t="shared" si="12"/>
        <v>8.5027507223449872E-2</v>
      </c>
      <c r="V19" s="232"/>
      <c r="W19" s="233"/>
      <c r="X19" s="233"/>
      <c r="Y19" s="443"/>
      <c r="Z19" s="443"/>
      <c r="AA19" s="270"/>
      <c r="AB19" s="270">
        <f>'[1]EDl log'!AB37</f>
        <v>34223640.990000002</v>
      </c>
      <c r="AC19" s="270">
        <f>'[1]EDl log'!AC37</f>
        <v>0</v>
      </c>
    </row>
    <row r="20" spans="1:32" ht="15.75" thickBot="1">
      <c r="A20" s="163">
        <f>ELEC!C19</f>
        <v>44029</v>
      </c>
      <c r="B20" s="571">
        <f t="shared" si="14"/>
        <v>144480</v>
      </c>
      <c r="C20" s="270">
        <f t="shared" si="0"/>
        <v>0</v>
      </c>
      <c r="D20" s="316">
        <f t="shared" si="7"/>
        <v>0</v>
      </c>
      <c r="E20" s="316">
        <f t="shared" si="11"/>
        <v>144480</v>
      </c>
      <c r="F20" s="571">
        <f t="shared" si="15"/>
        <v>22350</v>
      </c>
      <c r="G20" s="160">
        <f t="shared" si="1"/>
        <v>0</v>
      </c>
      <c r="H20" s="571">
        <f t="shared" si="16"/>
        <v>68378</v>
      </c>
      <c r="I20" s="161">
        <f t="shared" si="2"/>
        <v>0</v>
      </c>
      <c r="J20" s="573">
        <f t="shared" si="13"/>
        <v>53750</v>
      </c>
      <c r="K20" s="162">
        <f t="shared" si="3"/>
        <v>0</v>
      </c>
      <c r="L20" s="304">
        <f t="shared" si="25"/>
        <v>0</v>
      </c>
      <c r="M20" s="304">
        <f t="shared" si="26"/>
        <v>0</v>
      </c>
      <c r="N20" s="304">
        <f t="shared" si="27"/>
        <v>0</v>
      </c>
      <c r="O20" s="304">
        <f t="shared" si="28"/>
        <v>64.91740327153687</v>
      </c>
      <c r="P20" s="305">
        <f t="shared" si="9"/>
        <v>64.91740327153687</v>
      </c>
      <c r="Q20" s="305">
        <f>SUM(-tanks!AX22*tanks!$AU$37)</f>
        <v>0</v>
      </c>
      <c r="R20" s="305">
        <f t="shared" si="10"/>
        <v>64.91740327153687</v>
      </c>
      <c r="S20" s="307">
        <f>SUM(ELEC!N19)</f>
        <v>0</v>
      </c>
      <c r="T20" s="344">
        <f t="shared" si="12"/>
        <v>0</v>
      </c>
      <c r="V20" t="s">
        <v>415</v>
      </c>
      <c r="AB20" s="270"/>
    </row>
    <row r="21" spans="1:32" ht="15.75" thickBot="1">
      <c r="A21" s="163">
        <f>ELEC!C20</f>
        <v>44030</v>
      </c>
      <c r="B21" s="571">
        <f t="shared" si="14"/>
        <v>144480</v>
      </c>
      <c r="C21" s="270">
        <f t="shared" si="0"/>
        <v>0</v>
      </c>
      <c r="D21" s="316">
        <f t="shared" si="7"/>
        <v>0</v>
      </c>
      <c r="E21" s="316">
        <f t="shared" si="11"/>
        <v>144480</v>
      </c>
      <c r="F21" s="571">
        <f t="shared" si="15"/>
        <v>22350</v>
      </c>
      <c r="G21" s="160">
        <f t="shared" si="1"/>
        <v>0</v>
      </c>
      <c r="H21" s="571">
        <f t="shared" si="16"/>
        <v>68378</v>
      </c>
      <c r="I21" s="161">
        <f t="shared" si="2"/>
        <v>0</v>
      </c>
      <c r="J21" s="573">
        <f t="shared" si="13"/>
        <v>53750</v>
      </c>
      <c r="K21" s="162">
        <f t="shared" si="3"/>
        <v>0</v>
      </c>
      <c r="L21" s="304">
        <f t="shared" si="25"/>
        <v>0</v>
      </c>
      <c r="M21" s="304">
        <f t="shared" si="26"/>
        <v>0</v>
      </c>
      <c r="N21" s="304">
        <f t="shared" si="27"/>
        <v>0</v>
      </c>
      <c r="O21" s="304">
        <f t="shared" si="28"/>
        <v>64.91740327153687</v>
      </c>
      <c r="P21" s="305">
        <f t="shared" si="9"/>
        <v>64.91740327153687</v>
      </c>
      <c r="Q21" s="305">
        <f>SUM(-tanks!AX23*tanks!$AU$37)</f>
        <v>0</v>
      </c>
      <c r="R21" s="305">
        <f t="shared" si="10"/>
        <v>64.91740327153687</v>
      </c>
      <c r="S21" s="307">
        <f>SUM(ELEC!N20)</f>
        <v>0</v>
      </c>
      <c r="T21" s="344">
        <f t="shared" si="12"/>
        <v>0</v>
      </c>
      <c r="V21" s="166" t="s">
        <v>201</v>
      </c>
      <c r="W21" s="167">
        <v>44013</v>
      </c>
      <c r="X21" s="168"/>
      <c r="Y21" s="168"/>
      <c r="Z21" s="169" t="s">
        <v>202</v>
      </c>
      <c r="AA21" s="168"/>
      <c r="AB21" s="667"/>
      <c r="AC21" s="668"/>
    </row>
    <row r="22" spans="1:32" ht="15.75" thickBot="1">
      <c r="A22" s="163">
        <f>ELEC!C21</f>
        <v>44031</v>
      </c>
      <c r="B22" s="571">
        <f t="shared" si="14"/>
        <v>144480</v>
      </c>
      <c r="C22" s="270">
        <f t="shared" si="0"/>
        <v>0</v>
      </c>
      <c r="D22" s="316">
        <f t="shared" si="7"/>
        <v>0</v>
      </c>
      <c r="E22" s="316">
        <f t="shared" si="11"/>
        <v>144480</v>
      </c>
      <c r="F22" s="571">
        <f t="shared" si="15"/>
        <v>22350</v>
      </c>
      <c r="G22" s="160">
        <f t="shared" si="1"/>
        <v>0</v>
      </c>
      <c r="H22" s="571">
        <f t="shared" si="16"/>
        <v>68378</v>
      </c>
      <c r="I22" s="161">
        <f t="shared" si="2"/>
        <v>0</v>
      </c>
      <c r="J22" s="573">
        <f t="shared" si="13"/>
        <v>53750</v>
      </c>
      <c r="K22" s="162">
        <f t="shared" si="3"/>
        <v>0</v>
      </c>
      <c r="L22" s="304">
        <f t="shared" si="25"/>
        <v>0</v>
      </c>
      <c r="M22" s="304">
        <f t="shared" si="26"/>
        <v>0</v>
      </c>
      <c r="N22" s="304">
        <f t="shared" si="27"/>
        <v>0</v>
      </c>
      <c r="O22" s="304">
        <f t="shared" si="28"/>
        <v>64.91740327153687</v>
      </c>
      <c r="P22" s="305">
        <f t="shared" si="9"/>
        <v>64.91740327153687</v>
      </c>
      <c r="Q22" s="305">
        <f>SUM(-tanks!AX24*tanks!$AU$37)</f>
        <v>0</v>
      </c>
      <c r="R22" s="305">
        <f t="shared" si="10"/>
        <v>64.91740327153687</v>
      </c>
      <c r="S22" s="307">
        <f>SUM(ELEC!N21)</f>
        <v>0</v>
      </c>
      <c r="T22" s="344">
        <f t="shared" si="12"/>
        <v>0</v>
      </c>
      <c r="V22" s="673"/>
      <c r="W22" s="674"/>
      <c r="X22" s="674"/>
      <c r="Y22" s="675"/>
      <c r="Z22" s="26" t="s">
        <v>203</v>
      </c>
      <c r="AA22" s="26">
        <v>5000</v>
      </c>
      <c r="AB22" s="669"/>
      <c r="AC22" s="670"/>
    </row>
    <row r="23" spans="1:32" ht="15.75" thickBot="1">
      <c r="A23" s="163">
        <f>ELEC!C22</f>
        <v>44032</v>
      </c>
      <c r="B23" s="571">
        <f t="shared" si="14"/>
        <v>144480</v>
      </c>
      <c r="C23" s="270">
        <f t="shared" si="0"/>
        <v>0</v>
      </c>
      <c r="D23" s="316">
        <f t="shared" si="7"/>
        <v>0</v>
      </c>
      <c r="E23" s="316">
        <f t="shared" si="11"/>
        <v>144480</v>
      </c>
      <c r="F23" s="571">
        <f t="shared" si="15"/>
        <v>22350</v>
      </c>
      <c r="G23" s="160">
        <f t="shared" si="1"/>
        <v>0</v>
      </c>
      <c r="H23" s="571">
        <f t="shared" si="16"/>
        <v>68378</v>
      </c>
      <c r="I23" s="161">
        <f t="shared" si="2"/>
        <v>0</v>
      </c>
      <c r="J23" s="573">
        <f t="shared" si="13"/>
        <v>53750</v>
      </c>
      <c r="K23" s="162">
        <f t="shared" si="3"/>
        <v>0</v>
      </c>
      <c r="L23" s="304">
        <f t="shared" si="25"/>
        <v>0</v>
      </c>
      <c r="M23" s="304">
        <f t="shared" si="26"/>
        <v>0</v>
      </c>
      <c r="N23" s="304">
        <f t="shared" si="27"/>
        <v>0</v>
      </c>
      <c r="O23" s="304">
        <f t="shared" si="28"/>
        <v>64.91740327153687</v>
      </c>
      <c r="P23" s="305">
        <f t="shared" si="9"/>
        <v>64.91740327153687</v>
      </c>
      <c r="Q23" s="305">
        <f>SUM(-tanks!AX25*tanks!$AU$37)</f>
        <v>0</v>
      </c>
      <c r="R23" s="305">
        <f t="shared" si="10"/>
        <v>64.91740327153687</v>
      </c>
      <c r="S23" s="307">
        <f>SUM(ELEC!N22)</f>
        <v>0</v>
      </c>
      <c r="T23" s="344">
        <f t="shared" si="12"/>
        <v>0</v>
      </c>
      <c r="V23" s="676"/>
      <c r="W23" s="677"/>
      <c r="X23" s="677"/>
      <c r="Y23" s="678"/>
      <c r="Z23" s="679"/>
      <c r="AA23" s="680"/>
      <c r="AB23" s="669"/>
      <c r="AC23" s="670"/>
    </row>
    <row r="24" spans="1:32" ht="15" customHeight="1" thickBot="1">
      <c r="A24" s="163">
        <f>ELEC!C23</f>
        <v>44033</v>
      </c>
      <c r="B24" s="571">
        <f t="shared" si="14"/>
        <v>144480</v>
      </c>
      <c r="C24" s="270">
        <f t="shared" si="0"/>
        <v>0</v>
      </c>
      <c r="D24" s="316">
        <f t="shared" si="7"/>
        <v>0</v>
      </c>
      <c r="E24" s="316">
        <f t="shared" si="11"/>
        <v>144480</v>
      </c>
      <c r="F24" s="571">
        <f t="shared" si="15"/>
        <v>22350</v>
      </c>
      <c r="G24" s="160">
        <f t="shared" si="1"/>
        <v>0</v>
      </c>
      <c r="H24" s="571">
        <f t="shared" si="16"/>
        <v>68378</v>
      </c>
      <c r="I24" s="161">
        <f t="shared" si="2"/>
        <v>0</v>
      </c>
      <c r="J24" s="573">
        <f t="shared" si="13"/>
        <v>53750</v>
      </c>
      <c r="K24" s="162">
        <f t="shared" si="3"/>
        <v>0</v>
      </c>
      <c r="L24" s="304">
        <f t="shared" si="25"/>
        <v>0</v>
      </c>
      <c r="M24" s="304">
        <f t="shared" si="26"/>
        <v>0</v>
      </c>
      <c r="N24" s="304">
        <f t="shared" si="27"/>
        <v>0</v>
      </c>
      <c r="O24" s="304">
        <f t="shared" si="28"/>
        <v>64.91740327153687</v>
      </c>
      <c r="P24" s="305">
        <f t="shared" si="9"/>
        <v>64.91740327153687</v>
      </c>
      <c r="Q24" s="305">
        <f>SUM(-tanks!AX26*tanks!$AU$37)</f>
        <v>0</v>
      </c>
      <c r="R24" s="305">
        <f t="shared" si="10"/>
        <v>64.91740327153687</v>
      </c>
      <c r="S24" s="307">
        <f>SUM(ELEC!N23)</f>
        <v>0</v>
      </c>
      <c r="T24" s="344">
        <f t="shared" si="12"/>
        <v>0</v>
      </c>
      <c r="V24" s="681" t="s">
        <v>204</v>
      </c>
      <c r="W24" s="682"/>
      <c r="X24" s="683" t="s">
        <v>205</v>
      </c>
      <c r="Y24" s="684"/>
      <c r="Z24" s="685"/>
      <c r="AA24" s="170"/>
      <c r="AB24" s="671"/>
      <c r="AC24" s="672"/>
    </row>
    <row r="25" spans="1:32" ht="17.25" customHeight="1" thickBot="1">
      <c r="A25" s="163">
        <f>ELEC!C24</f>
        <v>44034</v>
      </c>
      <c r="B25" s="571">
        <f t="shared" si="14"/>
        <v>144480</v>
      </c>
      <c r="C25" s="270">
        <f t="shared" si="0"/>
        <v>0</v>
      </c>
      <c r="D25" s="316">
        <f t="shared" si="7"/>
        <v>0</v>
      </c>
      <c r="E25" s="316">
        <f t="shared" si="11"/>
        <v>144480</v>
      </c>
      <c r="F25" s="571">
        <f t="shared" si="15"/>
        <v>22350</v>
      </c>
      <c r="G25" s="160">
        <f t="shared" si="1"/>
        <v>0</v>
      </c>
      <c r="H25" s="571">
        <f t="shared" si="16"/>
        <v>68378</v>
      </c>
      <c r="I25" s="161">
        <f t="shared" si="2"/>
        <v>0</v>
      </c>
      <c r="J25" s="573">
        <f t="shared" si="13"/>
        <v>53750</v>
      </c>
      <c r="K25" s="162">
        <f t="shared" si="3"/>
        <v>0</v>
      </c>
      <c r="L25" s="304">
        <f t="shared" si="25"/>
        <v>0</v>
      </c>
      <c r="M25" s="304">
        <f t="shared" si="26"/>
        <v>0</v>
      </c>
      <c r="N25" s="304">
        <f t="shared" si="27"/>
        <v>0</v>
      </c>
      <c r="O25" s="304">
        <f t="shared" si="28"/>
        <v>64.91740327153687</v>
      </c>
      <c r="P25" s="305">
        <f t="shared" si="9"/>
        <v>64.91740327153687</v>
      </c>
      <c r="Q25" s="305">
        <f>SUM(-tanks!AX27*tanks!$AU$37)</f>
        <v>0</v>
      </c>
      <c r="R25" s="305">
        <f t="shared" si="10"/>
        <v>64.91740327153687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44035</v>
      </c>
      <c r="B26" s="571">
        <f t="shared" si="14"/>
        <v>144480</v>
      </c>
      <c r="C26" s="270">
        <f t="shared" si="0"/>
        <v>0</v>
      </c>
      <c r="D26" s="316">
        <f t="shared" si="7"/>
        <v>0</v>
      </c>
      <c r="E26" s="316">
        <f t="shared" si="11"/>
        <v>144480</v>
      </c>
      <c r="F26" s="571">
        <f t="shared" si="15"/>
        <v>22350</v>
      </c>
      <c r="G26" s="160">
        <f t="shared" si="1"/>
        <v>0</v>
      </c>
      <c r="H26" s="571">
        <f t="shared" si="16"/>
        <v>68378</v>
      </c>
      <c r="I26" s="161">
        <f t="shared" si="2"/>
        <v>0</v>
      </c>
      <c r="J26" s="573">
        <f t="shared" si="13"/>
        <v>53750</v>
      </c>
      <c r="K26" s="162">
        <f t="shared" si="3"/>
        <v>0</v>
      </c>
      <c r="L26" s="304">
        <f t="shared" si="25"/>
        <v>0</v>
      </c>
      <c r="M26" s="304">
        <f t="shared" si="26"/>
        <v>0</v>
      </c>
      <c r="N26" s="304">
        <f t="shared" si="27"/>
        <v>0</v>
      </c>
      <c r="O26" s="304">
        <f t="shared" si="28"/>
        <v>64.91740327153687</v>
      </c>
      <c r="P26" s="305">
        <f t="shared" si="9"/>
        <v>64.91740327153687</v>
      </c>
      <c r="Q26" s="305">
        <f>SUM(-tanks!AX28*tanks!$AU$37)</f>
        <v>0</v>
      </c>
      <c r="R26" s="305">
        <f t="shared" si="10"/>
        <v>64.91740327153687</v>
      </c>
      <c r="S26" s="307">
        <f>SUM(ELEC!N25)</f>
        <v>0</v>
      </c>
      <c r="T26" s="344">
        <f t="shared" si="12"/>
        <v>0</v>
      </c>
      <c r="V26" s="259">
        <f>W9</f>
        <v>41646</v>
      </c>
      <c r="W26" s="170">
        <f>J34</f>
        <v>53750</v>
      </c>
      <c r="X26" s="172" t="s">
        <v>199</v>
      </c>
      <c r="Y26" s="172">
        <v>80</v>
      </c>
      <c r="Z26" s="172">
        <v>1</v>
      </c>
      <c r="AA26" s="199">
        <f>(W26-V26)*Z26</f>
        <v>12104</v>
      </c>
      <c r="AB26" s="199">
        <f>AA26*Y26</f>
        <v>968320</v>
      </c>
      <c r="AC26" s="254">
        <f>AC9</f>
        <v>1033333</v>
      </c>
      <c r="AD26" s="215">
        <f>SUM(K38)</f>
        <v>0.37485289563332302</v>
      </c>
    </row>
    <row r="27" spans="1:32" ht="15.75" thickBot="1">
      <c r="A27" s="163">
        <f>ELEC!C26</f>
        <v>44036</v>
      </c>
      <c r="B27" s="571">
        <f t="shared" si="14"/>
        <v>144480</v>
      </c>
      <c r="C27" s="270">
        <f t="shared" si="0"/>
        <v>0</v>
      </c>
      <c r="D27" s="316">
        <f t="shared" si="7"/>
        <v>0</v>
      </c>
      <c r="E27" s="316">
        <f t="shared" si="11"/>
        <v>144480</v>
      </c>
      <c r="F27" s="571">
        <f t="shared" si="15"/>
        <v>22350</v>
      </c>
      <c r="G27" s="160">
        <f t="shared" si="1"/>
        <v>0</v>
      </c>
      <c r="H27" s="571">
        <f t="shared" si="16"/>
        <v>68378</v>
      </c>
      <c r="I27" s="161">
        <f t="shared" si="2"/>
        <v>0</v>
      </c>
      <c r="J27" s="573">
        <f t="shared" si="13"/>
        <v>53750</v>
      </c>
      <c r="K27" s="162">
        <f t="shared" si="3"/>
        <v>0</v>
      </c>
      <c r="L27" s="304">
        <f t="shared" si="25"/>
        <v>0</v>
      </c>
      <c r="M27" s="304">
        <f t="shared" si="26"/>
        <v>0</v>
      </c>
      <c r="N27" s="304">
        <f t="shared" si="27"/>
        <v>0</v>
      </c>
      <c r="O27" s="304">
        <f t="shared" si="28"/>
        <v>64.91740327153687</v>
      </c>
      <c r="P27" s="305">
        <f t="shared" si="9"/>
        <v>64.91740327153687</v>
      </c>
      <c r="Q27" s="305">
        <f>SUM(-tanks!AX29*tanks!$AU$37)</f>
        <v>0</v>
      </c>
      <c r="R27" s="305">
        <f t="shared" si="10"/>
        <v>64.91740327153687</v>
      </c>
      <c r="S27" s="307">
        <f>SUM(ELEC!N26)</f>
        <v>0</v>
      </c>
      <c r="T27" s="344">
        <f t="shared" si="12"/>
        <v>0</v>
      </c>
      <c r="V27" s="259">
        <f t="shared" ref="V27:V28" si="29">W10</f>
        <v>52088</v>
      </c>
      <c r="W27" s="170">
        <f>H34</f>
        <v>68378</v>
      </c>
      <c r="X27" s="172" t="s">
        <v>213</v>
      </c>
      <c r="Y27" s="172">
        <v>112</v>
      </c>
      <c r="Z27" s="172">
        <v>1</v>
      </c>
      <c r="AA27" s="199">
        <f>(W27-V27)*Z27</f>
        <v>16290</v>
      </c>
      <c r="AB27" s="199">
        <f>SUM(AA27*Y27)</f>
        <v>1824480</v>
      </c>
      <c r="AC27" s="254">
        <f>AC10</f>
        <v>6200000</v>
      </c>
      <c r="AD27" s="215">
        <f>SUM(I38)</f>
        <v>0.50449055435119239</v>
      </c>
    </row>
    <row r="28" spans="1:32" ht="15.75" thickBot="1">
      <c r="A28" s="163">
        <f>ELEC!C27</f>
        <v>44037</v>
      </c>
      <c r="B28" s="571">
        <f t="shared" si="14"/>
        <v>144480</v>
      </c>
      <c r="C28" s="270">
        <f t="shared" si="0"/>
        <v>0</v>
      </c>
      <c r="D28" s="316">
        <f t="shared" si="7"/>
        <v>0</v>
      </c>
      <c r="E28" s="316">
        <f t="shared" si="11"/>
        <v>144480</v>
      </c>
      <c r="F28" s="571">
        <f t="shared" si="15"/>
        <v>22350</v>
      </c>
      <c r="G28" s="160">
        <f t="shared" si="1"/>
        <v>0</v>
      </c>
      <c r="H28" s="571">
        <f t="shared" si="16"/>
        <v>68378</v>
      </c>
      <c r="I28" s="161">
        <f t="shared" si="2"/>
        <v>0</v>
      </c>
      <c r="J28" s="573">
        <f t="shared" si="13"/>
        <v>53750</v>
      </c>
      <c r="K28" s="162">
        <f t="shared" si="3"/>
        <v>0</v>
      </c>
      <c r="L28" s="304">
        <f t="shared" si="25"/>
        <v>0</v>
      </c>
      <c r="M28" s="304">
        <f t="shared" si="26"/>
        <v>0</v>
      </c>
      <c r="N28" s="304">
        <f t="shared" si="27"/>
        <v>0</v>
      </c>
      <c r="O28" s="304">
        <f t="shared" si="28"/>
        <v>64.91740327153687</v>
      </c>
      <c r="P28" s="305">
        <f t="shared" si="9"/>
        <v>64.91740327153687</v>
      </c>
      <c r="Q28" s="305">
        <f>SUM(-tanks!AX30*tanks!$AU$37)</f>
        <v>0</v>
      </c>
      <c r="R28" s="305">
        <f t="shared" si="10"/>
        <v>64.91740327153687</v>
      </c>
      <c r="S28" s="307">
        <f>SUM(ELEC!N27)</f>
        <v>0</v>
      </c>
      <c r="T28" s="344">
        <f t="shared" si="12"/>
        <v>0</v>
      </c>
      <c r="V28" s="259">
        <f t="shared" si="29"/>
        <v>18455</v>
      </c>
      <c r="W28" s="170">
        <f>F34</f>
        <v>22350</v>
      </c>
      <c r="X28" s="172" t="s">
        <v>197</v>
      </c>
      <c r="Y28" s="172">
        <v>320</v>
      </c>
      <c r="Z28" s="172">
        <v>1</v>
      </c>
      <c r="AA28" s="199">
        <f>(W28-V28)*Z28</f>
        <v>3895</v>
      </c>
      <c r="AB28" s="199">
        <f>SUM(AA28*Y28)</f>
        <v>1246400</v>
      </c>
      <c r="AC28" s="254">
        <f>AC11</f>
        <v>1000</v>
      </c>
      <c r="AD28" s="215">
        <f>SUM(G38)</f>
        <v>0.12062558067513163</v>
      </c>
      <c r="AE28" s="40">
        <f>SUM(AB28*5%)</f>
        <v>62320</v>
      </c>
      <c r="AF28" s="82">
        <f>SUM(AE28/7)*31</f>
        <v>275988.57142857142</v>
      </c>
    </row>
    <row r="29" spans="1:32" ht="15.75" thickBot="1">
      <c r="A29" s="163">
        <f>ELEC!C28</f>
        <v>44038</v>
      </c>
      <c r="B29" s="571">
        <f t="shared" si="14"/>
        <v>144480</v>
      </c>
      <c r="C29" s="270">
        <f t="shared" si="0"/>
        <v>0</v>
      </c>
      <c r="D29" s="316">
        <f t="shared" si="7"/>
        <v>0</v>
      </c>
      <c r="E29" s="316">
        <f t="shared" si="11"/>
        <v>144480</v>
      </c>
      <c r="F29" s="571">
        <f t="shared" si="15"/>
        <v>22350</v>
      </c>
      <c r="G29" s="160">
        <f t="shared" si="1"/>
        <v>0</v>
      </c>
      <c r="H29" s="571">
        <f t="shared" si="16"/>
        <v>68378</v>
      </c>
      <c r="I29" s="161">
        <f t="shared" si="2"/>
        <v>0</v>
      </c>
      <c r="J29" s="573">
        <f t="shared" si="13"/>
        <v>53750</v>
      </c>
      <c r="K29" s="162">
        <f t="shared" si="3"/>
        <v>0</v>
      </c>
      <c r="L29" s="304">
        <f t="shared" si="25"/>
        <v>0</v>
      </c>
      <c r="M29" s="304">
        <f t="shared" si="26"/>
        <v>0</v>
      </c>
      <c r="N29" s="304">
        <f t="shared" si="27"/>
        <v>0</v>
      </c>
      <c r="O29" s="304">
        <f t="shared" si="28"/>
        <v>64.91740327153687</v>
      </c>
      <c r="P29" s="305">
        <f t="shared" si="9"/>
        <v>64.91740327153687</v>
      </c>
      <c r="Q29" s="305">
        <f>SUM(-tanks!AX31*tanks!$AU$37)</f>
        <v>0</v>
      </c>
      <c r="R29" s="305">
        <f t="shared" si="10"/>
        <v>64.91740327153687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32289</v>
      </c>
      <c r="AB29" s="199"/>
      <c r="AC29" s="254"/>
    </row>
    <row r="30" spans="1:32" ht="14.25" customHeight="1" thickBot="1">
      <c r="A30" s="163">
        <f>ELEC!C29</f>
        <v>44039</v>
      </c>
      <c r="B30" s="571">
        <f t="shared" si="14"/>
        <v>144480</v>
      </c>
      <c r="C30" s="270">
        <f t="shared" si="0"/>
        <v>0</v>
      </c>
      <c r="D30" s="316">
        <f t="shared" si="7"/>
        <v>0</v>
      </c>
      <c r="E30" s="316">
        <f t="shared" si="11"/>
        <v>144480</v>
      </c>
      <c r="F30" s="571">
        <f t="shared" si="15"/>
        <v>22350</v>
      </c>
      <c r="G30" s="160">
        <f t="shared" si="1"/>
        <v>0</v>
      </c>
      <c r="H30" s="571">
        <f t="shared" si="16"/>
        <v>68378</v>
      </c>
      <c r="I30" s="161">
        <f t="shared" si="2"/>
        <v>0</v>
      </c>
      <c r="J30" s="573">
        <f t="shared" si="13"/>
        <v>53750</v>
      </c>
      <c r="K30" s="162">
        <f t="shared" si="3"/>
        <v>0</v>
      </c>
      <c r="L30" s="304">
        <f t="shared" si="25"/>
        <v>0</v>
      </c>
      <c r="M30" s="304">
        <f t="shared" si="26"/>
        <v>0</v>
      </c>
      <c r="N30" s="304">
        <f t="shared" si="27"/>
        <v>0</v>
      </c>
      <c r="O30" s="304">
        <f t="shared" si="28"/>
        <v>64.91740327153687</v>
      </c>
      <c r="P30" s="305">
        <f t="shared" si="9"/>
        <v>64.91740327153687</v>
      </c>
      <c r="Q30" s="305">
        <f>SUM(-tanks!AX32*tanks!$AU$37)</f>
        <v>0</v>
      </c>
      <c r="R30" s="305">
        <f t="shared" si="10"/>
        <v>64.91740327153687</v>
      </c>
      <c r="S30" s="307">
        <f>SUM(ELEC!N29)</f>
        <v>0</v>
      </c>
      <c r="T30" s="344">
        <f t="shared" si="12"/>
        <v>0</v>
      </c>
      <c r="V30" s="219" t="s">
        <v>317</v>
      </c>
      <c r="W30" s="456">
        <f>'General information '!F37</f>
        <v>0.104125</v>
      </c>
      <c r="X30" s="220"/>
      <c r="Y30" s="221" t="s">
        <v>333</v>
      </c>
      <c r="Z30" s="3"/>
      <c r="AA30" s="293"/>
      <c r="AB30" s="199">
        <f>SUM(AB26:AB29)</f>
        <v>4039200</v>
      </c>
      <c r="AC30" s="254">
        <f>SUM(AC26:AC29)/A39*A37</f>
        <v>3033752.5483870967</v>
      </c>
    </row>
    <row r="31" spans="1:32" ht="15.75" thickBot="1">
      <c r="A31" s="163">
        <f>ELEC!C30</f>
        <v>44040</v>
      </c>
      <c r="B31" s="571">
        <f t="shared" si="14"/>
        <v>144480</v>
      </c>
      <c r="C31" s="270">
        <f t="shared" si="0"/>
        <v>0</v>
      </c>
      <c r="D31" s="316">
        <f t="shared" si="7"/>
        <v>0</v>
      </c>
      <c r="E31" s="316">
        <f t="shared" si="11"/>
        <v>144480</v>
      </c>
      <c r="F31" s="571">
        <f t="shared" si="15"/>
        <v>22350</v>
      </c>
      <c r="G31" s="160">
        <f t="shared" si="1"/>
        <v>0</v>
      </c>
      <c r="H31" s="571">
        <f t="shared" si="16"/>
        <v>68378</v>
      </c>
      <c r="I31" s="161">
        <f t="shared" si="2"/>
        <v>0</v>
      </c>
      <c r="J31" s="573">
        <f t="shared" si="13"/>
        <v>53750</v>
      </c>
      <c r="K31" s="162">
        <f t="shared" si="3"/>
        <v>0</v>
      </c>
      <c r="L31" s="304">
        <f t="shared" si="25"/>
        <v>0</v>
      </c>
      <c r="M31" s="304">
        <f t="shared" si="26"/>
        <v>0</v>
      </c>
      <c r="N31" s="304">
        <f t="shared" si="27"/>
        <v>0</v>
      </c>
      <c r="O31" s="304">
        <f t="shared" si="28"/>
        <v>64.91740327153687</v>
      </c>
      <c r="P31" s="305">
        <f t="shared" si="9"/>
        <v>64.91740327153687</v>
      </c>
      <c r="Q31" s="305">
        <f>SUM(-tanks!AX33*tanks!$AU$37)</f>
        <v>0</v>
      </c>
      <c r="R31" s="305">
        <f t="shared" si="10"/>
        <v>64.91740327153687</v>
      </c>
      <c r="S31" s="307">
        <f>SUM(ELEC!N30)</f>
        <v>0</v>
      </c>
      <c r="T31" s="344">
        <f t="shared" si="12"/>
        <v>0</v>
      </c>
      <c r="V31" s="219" t="s">
        <v>318</v>
      </c>
      <c r="W31" s="220">
        <f>SUM(GEN!U34)</f>
        <v>315</v>
      </c>
      <c r="X31" s="225">
        <f>SUM(W31/A37)</f>
        <v>24.23076923076923</v>
      </c>
      <c r="Y31" s="266">
        <f>SUM(X31/2)</f>
        <v>12.115384615384615</v>
      </c>
      <c r="Z31" s="3"/>
      <c r="AA31" s="3"/>
      <c r="AB31" s="578">
        <f>SUM(AB30+AC31)</f>
        <v>7072952.5483870972</v>
      </c>
      <c r="AC31" s="254">
        <f>SUM(AC30)</f>
        <v>3033752.5483870967</v>
      </c>
    </row>
    <row r="32" spans="1:32" ht="15.75" thickBot="1">
      <c r="A32" s="163">
        <f>ELEC!C31</f>
        <v>44041</v>
      </c>
      <c r="B32" s="571">
        <f t="shared" si="14"/>
        <v>144480</v>
      </c>
      <c r="C32" s="270">
        <f t="shared" si="0"/>
        <v>0</v>
      </c>
      <c r="D32" s="316">
        <f t="shared" si="7"/>
        <v>0</v>
      </c>
      <c r="E32" s="316">
        <f t="shared" si="11"/>
        <v>144480</v>
      </c>
      <c r="F32" s="571">
        <f t="shared" si="15"/>
        <v>22350</v>
      </c>
      <c r="G32" s="160">
        <f t="shared" si="1"/>
        <v>0</v>
      </c>
      <c r="H32" s="571">
        <f t="shared" si="16"/>
        <v>68378</v>
      </c>
      <c r="I32" s="161">
        <f t="shared" si="2"/>
        <v>0</v>
      </c>
      <c r="J32" s="573">
        <f t="shared" si="13"/>
        <v>53750</v>
      </c>
      <c r="K32" s="162">
        <f t="shared" si="3"/>
        <v>0</v>
      </c>
      <c r="L32" s="304">
        <f t="shared" si="25"/>
        <v>0</v>
      </c>
      <c r="M32" s="304">
        <f t="shared" si="26"/>
        <v>0</v>
      </c>
      <c r="N32" s="304">
        <f t="shared" si="27"/>
        <v>0</v>
      </c>
      <c r="O32" s="304">
        <f t="shared" si="28"/>
        <v>64.91740327153687</v>
      </c>
      <c r="P32" s="305">
        <f t="shared" si="9"/>
        <v>64.91740327153687</v>
      </c>
      <c r="Q32" s="305">
        <f>SUM(-tanks!AX34*tanks!$AU$37)</f>
        <v>0</v>
      </c>
      <c r="R32" s="305">
        <f t="shared" si="10"/>
        <v>64.91740327153687</v>
      </c>
      <c r="S32" s="307">
        <f>SUM(ELEC!N31)</f>
        <v>0</v>
      </c>
      <c r="T32" s="344">
        <f t="shared" si="12"/>
        <v>0</v>
      </c>
      <c r="V32" s="219" t="s">
        <v>319</v>
      </c>
      <c r="W32" s="220">
        <f>SUM('Degree Days 2020'!J81)</f>
        <v>-549.00000000000011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44042</v>
      </c>
      <c r="B33" s="571">
        <f t="shared" si="14"/>
        <v>144480</v>
      </c>
      <c r="C33" s="270">
        <f t="shared" si="0"/>
        <v>0</v>
      </c>
      <c r="D33" s="316">
        <f t="shared" si="7"/>
        <v>0</v>
      </c>
      <c r="E33" s="316">
        <f t="shared" si="11"/>
        <v>144480</v>
      </c>
      <c r="F33" s="571">
        <f t="shared" si="15"/>
        <v>22350</v>
      </c>
      <c r="G33" s="160">
        <f>F33-F32</f>
        <v>0</v>
      </c>
      <c r="H33" s="571">
        <f t="shared" si="16"/>
        <v>68378</v>
      </c>
      <c r="I33" s="161">
        <f t="shared" si="2"/>
        <v>0</v>
      </c>
      <c r="J33" s="573">
        <f t="shared" si="13"/>
        <v>53750</v>
      </c>
      <c r="K33" s="162">
        <f t="shared" si="3"/>
        <v>0</v>
      </c>
      <c r="L33" s="304">
        <f t="shared" si="25"/>
        <v>0</v>
      </c>
      <c r="M33" s="304">
        <f t="shared" si="26"/>
        <v>0</v>
      </c>
      <c r="N33" s="304">
        <f t="shared" si="27"/>
        <v>0</v>
      </c>
      <c r="O33" s="304">
        <f t="shared" si="28"/>
        <v>64.91740327153687</v>
      </c>
      <c r="P33" s="305">
        <f>SUM(L33:O33)</f>
        <v>64.91740327153687</v>
      </c>
      <c r="Q33" s="305">
        <f>SUM(-tanks!AX35*tanks!$AU$37)</f>
        <v>0</v>
      </c>
      <c r="R33" s="305">
        <f>SUM(P33:Q33)</f>
        <v>64.91740327153687</v>
      </c>
      <c r="S33" s="307">
        <f>SUM(ELEC!N32)</f>
        <v>0</v>
      </c>
      <c r="T33" s="344">
        <f>IF(S33&gt;0,R33/S33,0)</f>
        <v>0</v>
      </c>
      <c r="V33" s="219" t="s">
        <v>320</v>
      </c>
      <c r="W33" s="220">
        <f>SUM('Degree Days 2020'!K81)</f>
        <v>0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44043</v>
      </c>
      <c r="B34" s="571">
        <f t="shared" si="14"/>
        <v>144480</v>
      </c>
      <c r="C34" s="270">
        <f t="shared" ref="C34" si="30">SUM(B34-B33)</f>
        <v>0</v>
      </c>
      <c r="D34" s="316">
        <f t="shared" si="7"/>
        <v>0</v>
      </c>
      <c r="E34" s="316">
        <f t="shared" si="11"/>
        <v>144480</v>
      </c>
      <c r="F34" s="571">
        <f t="shared" si="15"/>
        <v>22350</v>
      </c>
      <c r="G34" s="160">
        <f>F34-F33</f>
        <v>0</v>
      </c>
      <c r="H34" s="571">
        <f t="shared" si="16"/>
        <v>68378</v>
      </c>
      <c r="I34" s="161">
        <f t="shared" ref="I34" si="31">H34-H33</f>
        <v>0</v>
      </c>
      <c r="J34" s="573">
        <f t="shared" si="13"/>
        <v>53750</v>
      </c>
      <c r="K34" s="162">
        <f t="shared" ref="K34" si="32">J34-J33</f>
        <v>0</v>
      </c>
      <c r="L34" s="304">
        <f t="shared" ref="L34" si="33">SUM(G34*$Y$28)/1507.5</f>
        <v>0</v>
      </c>
      <c r="M34" s="304">
        <f t="shared" ref="M34" si="34">SUM(I34*$Y$27)/1507.5</f>
        <v>0</v>
      </c>
      <c r="N34" s="304">
        <f t="shared" ref="N34" si="35">SUM(K34*$Y$26)/1507.5</f>
        <v>0</v>
      </c>
      <c r="O34" s="304">
        <f t="shared" si="28"/>
        <v>64.91740327153687</v>
      </c>
      <c r="P34" s="305">
        <f>SUM(L34:O34)</f>
        <v>64.91740327153687</v>
      </c>
      <c r="Q34" s="305">
        <f>SUM(-tanks!AX36*tanks!$AU$37)</f>
        <v>0</v>
      </c>
      <c r="R34" s="305">
        <f>SUM(P34:Q34)</f>
        <v>64.91740327153687</v>
      </c>
      <c r="S34" s="307">
        <f>SUM(ELEC!N33)</f>
        <v>0</v>
      </c>
      <c r="T34" s="344">
        <f>IF(S34&gt;0,R34/S34,0)</f>
        <v>0</v>
      </c>
      <c r="V34" s="219" t="s">
        <v>320</v>
      </c>
      <c r="W34" s="220">
        <f>SUM('Degree Days 2020'!K82)</f>
        <v>0</v>
      </c>
      <c r="X34" s="220"/>
      <c r="Y34" s="221"/>
      <c r="Z34" s="3"/>
      <c r="AA34" s="3"/>
      <c r="AB34" s="3"/>
      <c r="AC34" s="173"/>
    </row>
    <row r="35" spans="1:32">
      <c r="A35" s="561"/>
      <c r="B35" s="562"/>
      <c r="C35" s="563"/>
      <c r="D35" s="562"/>
      <c r="E35" s="562"/>
      <c r="F35" s="562"/>
      <c r="G35" s="562"/>
      <c r="H35" s="562"/>
      <c r="I35" s="562"/>
      <c r="J35" s="562"/>
      <c r="K35" s="562"/>
      <c r="L35" s="564"/>
      <c r="M35" s="564"/>
      <c r="N35" s="564"/>
      <c r="O35" s="564"/>
      <c r="P35" s="565"/>
      <c r="Q35" s="565"/>
      <c r="R35" s="565"/>
      <c r="S35" s="566"/>
      <c r="T35" s="567"/>
      <c r="V35" s="219"/>
      <c r="W35" s="220"/>
      <c r="X35" s="220"/>
      <c r="Y35" s="220"/>
      <c r="Z35" s="3"/>
      <c r="AA35" s="3"/>
      <c r="AB35" s="3"/>
      <c r="AC35" s="246"/>
    </row>
    <row r="36" spans="1:32">
      <c r="A36" s="561"/>
      <c r="B36" s="562"/>
      <c r="C36" s="563"/>
      <c r="D36" s="563"/>
      <c r="E36" s="563"/>
      <c r="F36" s="562"/>
      <c r="G36" s="562"/>
      <c r="H36" s="562"/>
      <c r="I36" s="562"/>
      <c r="J36" s="562"/>
      <c r="K36" s="568"/>
      <c r="L36" s="565"/>
      <c r="M36" s="565"/>
      <c r="N36" s="565"/>
      <c r="O36" s="565"/>
      <c r="P36" s="566"/>
      <c r="Q36" s="566"/>
      <c r="R36" s="566"/>
      <c r="S36" s="566"/>
      <c r="T36" s="567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778024.78032258071</v>
      </c>
      <c r="AC36" s="286"/>
    </row>
    <row r="37" spans="1:32" ht="15.75" thickBot="1">
      <c r="A37" s="560">
        <f>A39-COUNTIF(C4:C35,0)</f>
        <v>13</v>
      </c>
      <c r="C37" s="176">
        <f>SUM(C4:C35)/A37</f>
        <v>2483.8461538461538</v>
      </c>
      <c r="D37" s="176"/>
      <c r="E37" s="176"/>
      <c r="G37" s="176">
        <f>SUM(G4:G35)/A37</f>
        <v>299.61538461538464</v>
      </c>
      <c r="I37" s="176">
        <f>SUM(I4:I35)/A37</f>
        <v>1253.0769230769231</v>
      </c>
      <c r="K37" s="176">
        <f>SUM(K4:K36)/A37</f>
        <v>931.07692307692309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7850977.3287096778</v>
      </c>
      <c r="AC37" s="286"/>
    </row>
    <row r="38" spans="1:32" ht="15.75" thickBot="1">
      <c r="A38" s="213"/>
      <c r="C38" s="215">
        <f>SUM(G38:K38)</f>
        <v>0.99996903065964704</v>
      </c>
      <c r="G38" s="228">
        <f>IF(C37&gt;0,G37/C37,0)</f>
        <v>0.12062558067513163</v>
      </c>
      <c r="H38" s="215"/>
      <c r="I38" s="228">
        <f>SUM(I37/C37)</f>
        <v>0.50449055435119239</v>
      </c>
      <c r="J38" s="215"/>
      <c r="K38" s="228">
        <f>SUM(K37/C37)</f>
        <v>0.37485289563332302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4691.8424864922699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2012.439501417643</v>
      </c>
      <c r="Z40" s="40"/>
      <c r="AA40" s="300" t="s">
        <v>215</v>
      </c>
      <c r="AB40" s="301">
        <f>SUM(AB38)</f>
        <v>4691.8424864922699</v>
      </c>
    </row>
    <row r="41" spans="1:32">
      <c r="V41" s="220"/>
      <c r="W41" s="82">
        <f>(AB30+AB56)/1507.5</f>
        <v>2679.4029850746269</v>
      </c>
      <c r="X41" s="579"/>
      <c r="Z41" s="302">
        <f>SUM(AB40)</f>
        <v>4691.8424864922699</v>
      </c>
      <c r="AA41" s="301"/>
      <c r="AB41" s="301"/>
    </row>
    <row r="42" spans="1:32">
      <c r="V42" s="17"/>
      <c r="W42" s="82">
        <f>SUM(W40:W41)</f>
        <v>4691.8424864922699</v>
      </c>
      <c r="X42" s="579"/>
      <c r="Y42" s="82"/>
      <c r="Z42" s="302">
        <f>SUM(-tanks!AX37)*tanks!AU37</f>
        <v>35984.214566129034</v>
      </c>
      <c r="AA42" s="101">
        <f>SUM(AB31/A37)</f>
        <v>544073.27295285359</v>
      </c>
      <c r="AB42" s="358">
        <f>SUM(AA42*A39)</f>
        <v>16866271.46153846</v>
      </c>
    </row>
    <row r="43" spans="1:32" ht="18.75">
      <c r="W43" s="82">
        <f>(AB30+AB56)/1507.5</f>
        <v>2679.4029850746269</v>
      </c>
      <c r="Z43" s="282">
        <f>SUM(Z41:Z42)</f>
        <v>40676.057052621305</v>
      </c>
      <c r="AA43" s="301">
        <f>SUM(AA42/1507.5)</f>
        <v>360.91096049940535</v>
      </c>
      <c r="AB43" s="357">
        <f>SUM(AB42/1507.5)</f>
        <v>11188.239775481565</v>
      </c>
    </row>
    <row r="44" spans="1:32">
      <c r="D44" s="534"/>
      <c r="E44" s="534"/>
      <c r="F44" s="534"/>
      <c r="W44" s="82">
        <f>SUM(W42:W43)</f>
        <v>7371.2454715668973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89"/>
      <c r="W47" s="590"/>
      <c r="X47" s="17"/>
      <c r="Y47" s="17"/>
      <c r="Z47" s="591"/>
      <c r="AA47" s="17"/>
      <c r="AB47" s="654"/>
      <c r="AC47" s="654"/>
      <c r="AD47" s="17"/>
      <c r="AE47" s="17"/>
      <c r="AF47" s="17"/>
    </row>
    <row r="48" spans="1:32">
      <c r="V48" s="654"/>
      <c r="W48" s="654"/>
      <c r="X48" s="654"/>
      <c r="Y48" s="654"/>
      <c r="Z48" s="591"/>
      <c r="AA48" s="591"/>
      <c r="AB48" s="654"/>
      <c r="AC48" s="654"/>
      <c r="AD48" s="17"/>
      <c r="AE48" s="17"/>
      <c r="AF48" s="17"/>
    </row>
    <row r="49" spans="22:32">
      <c r="V49" s="654"/>
      <c r="W49" s="654"/>
      <c r="X49" s="654"/>
      <c r="Y49" s="654"/>
      <c r="Z49" s="654"/>
      <c r="AA49" s="654"/>
      <c r="AB49" s="654"/>
      <c r="AC49" s="654"/>
      <c r="AD49" s="17"/>
      <c r="AE49" s="17"/>
      <c r="AF49" s="17"/>
    </row>
    <row r="50" spans="22:32">
      <c r="V50" s="655"/>
      <c r="W50" s="655"/>
      <c r="X50" s="656"/>
      <c r="Y50" s="656"/>
      <c r="Z50" s="656"/>
      <c r="AA50" s="592"/>
      <c r="AB50" s="654"/>
      <c r="AC50" s="654"/>
      <c r="AD50" s="17"/>
      <c r="AE50" s="17"/>
      <c r="AF50" s="17"/>
    </row>
    <row r="51" spans="22:32">
      <c r="V51" s="589"/>
      <c r="W51" s="589"/>
      <c r="X51" s="589"/>
      <c r="Y51" s="589"/>
      <c r="Z51" s="589"/>
      <c r="AA51" s="589"/>
      <c r="AB51" s="589"/>
      <c r="AC51" s="593"/>
      <c r="AD51" s="17"/>
      <c r="AE51" s="17"/>
      <c r="AF51" s="17"/>
    </row>
    <row r="52" spans="22:32">
      <c r="V52" s="592"/>
      <c r="W52" s="592"/>
      <c r="X52" s="594"/>
      <c r="Y52" s="594"/>
      <c r="Z52" s="594"/>
      <c r="AA52" s="73"/>
      <c r="AB52" s="73"/>
      <c r="AC52" s="73"/>
      <c r="AD52" s="595"/>
      <c r="AE52" s="17"/>
      <c r="AF52" s="17"/>
    </row>
    <row r="53" spans="22:32">
      <c r="V53" s="592"/>
      <c r="W53" s="592"/>
      <c r="X53" s="594"/>
      <c r="Y53" s="594"/>
      <c r="Z53" s="594"/>
      <c r="AA53" s="73"/>
      <c r="AB53" s="73"/>
      <c r="AC53" s="73"/>
      <c r="AD53" s="595"/>
      <c r="AE53" s="17"/>
      <c r="AF53" s="17"/>
    </row>
    <row r="54" spans="22:32">
      <c r="V54" s="592"/>
      <c r="W54" s="592"/>
      <c r="X54" s="594"/>
      <c r="Y54" s="594"/>
      <c r="Z54" s="594"/>
      <c r="AA54" s="73"/>
      <c r="AB54" s="73"/>
      <c r="AC54" s="73"/>
      <c r="AD54" s="595"/>
      <c r="AE54" s="596"/>
      <c r="AF54" s="597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98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99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600"/>
      <c r="AB61" s="601"/>
      <c r="AC61" s="602"/>
      <c r="AD61" s="17"/>
      <c r="AE61" s="17"/>
      <c r="AF61" s="17"/>
    </row>
    <row r="62" spans="22:32">
      <c r="V62" s="17"/>
      <c r="W62" s="17"/>
      <c r="X62" s="17"/>
      <c r="Y62" s="17"/>
      <c r="Z62" s="17"/>
      <c r="AA62" s="603"/>
      <c r="AB62" s="601"/>
      <c r="AC62" s="602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601"/>
      <c r="AC63" s="602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604"/>
      <c r="AC64" s="17"/>
      <c r="AD64" s="17"/>
      <c r="AE64" s="17"/>
      <c r="AF64" s="17"/>
    </row>
    <row r="65" spans="22:32">
      <c r="V65" s="220"/>
      <c r="W65" s="597"/>
      <c r="X65" s="17"/>
      <c r="Y65" s="17"/>
      <c r="Z65" s="596"/>
      <c r="AA65" s="605"/>
      <c r="AB65" s="594"/>
      <c r="AC65" s="17"/>
      <c r="AD65" s="17"/>
      <c r="AE65" s="17"/>
      <c r="AF65" s="17"/>
    </row>
    <row r="66" spans="22:32">
      <c r="V66" s="220"/>
      <c r="W66" s="597"/>
      <c r="X66" s="17"/>
      <c r="Y66" s="17"/>
      <c r="Z66" s="433"/>
      <c r="AA66" s="594"/>
      <c r="AB66" s="594"/>
      <c r="AC66" s="17"/>
      <c r="AD66" s="17"/>
      <c r="AE66" s="17"/>
      <c r="AF66" s="17"/>
    </row>
    <row r="67" spans="22:32">
      <c r="V67" s="17"/>
      <c r="W67" s="597"/>
      <c r="X67" s="17"/>
      <c r="Y67" s="597"/>
      <c r="Z67" s="433"/>
      <c r="AA67" s="594"/>
      <c r="AB67" s="606"/>
      <c r="AC67" s="17"/>
      <c r="AD67" s="17"/>
      <c r="AE67" s="17"/>
      <c r="AF67" s="17"/>
    </row>
    <row r="68" spans="22:32" ht="18.75">
      <c r="V68" s="17"/>
      <c r="W68" s="597"/>
      <c r="X68" s="17"/>
      <c r="Y68" s="17"/>
      <c r="Z68" s="607"/>
      <c r="AA68" s="594"/>
      <c r="AB68" s="608"/>
      <c r="AC68" s="17"/>
      <c r="AD68" s="17"/>
      <c r="AE68" s="17"/>
      <c r="AF68" s="17"/>
    </row>
    <row r="69" spans="22:32">
      <c r="V69" s="17"/>
      <c r="W69" s="597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94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7:AC50"/>
    <mergeCell ref="V48:Y49"/>
    <mergeCell ref="Z49:AA49"/>
    <mergeCell ref="V50:W50"/>
    <mergeCell ref="X50:Z50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6" activePane="bottomLeft" state="frozen"/>
      <selection pane="bottomLeft" activeCell="N21" sqref="N21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5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6" t="s">
        <v>51</v>
      </c>
      <c r="B1" s="698" t="s">
        <v>321</v>
      </c>
      <c r="C1" s="699"/>
      <c r="D1" s="701"/>
      <c r="E1" s="698" t="s">
        <v>322</v>
      </c>
      <c r="F1" s="699"/>
      <c r="G1" s="700"/>
      <c r="H1" s="695" t="s">
        <v>327</v>
      </c>
      <c r="I1" s="692" t="s">
        <v>328</v>
      </c>
      <c r="J1" s="689" t="s">
        <v>43</v>
      </c>
    </row>
    <row r="2" spans="1:18" ht="38.25" thickBot="1">
      <c r="A2" s="687"/>
      <c r="B2" s="263" t="s">
        <v>323</v>
      </c>
      <c r="C2" s="264" t="s">
        <v>324</v>
      </c>
      <c r="D2" s="238"/>
      <c r="E2" s="239">
        <v>3.5</v>
      </c>
      <c r="F2" s="265" t="s">
        <v>324</v>
      </c>
      <c r="G2" s="240"/>
      <c r="H2" s="696"/>
      <c r="I2" s="693"/>
      <c r="J2" s="690"/>
    </row>
    <row r="3" spans="1:18" ht="24" customHeight="1" thickBot="1">
      <c r="A3" s="688"/>
      <c r="B3" s="241" t="s">
        <v>331</v>
      </c>
      <c r="C3" s="242" t="s">
        <v>325</v>
      </c>
      <c r="D3" s="242" t="s">
        <v>332</v>
      </c>
      <c r="E3" s="243" t="s">
        <v>331</v>
      </c>
      <c r="F3" s="242" t="s">
        <v>325</v>
      </c>
      <c r="G3" s="243" t="s">
        <v>332</v>
      </c>
      <c r="H3" s="697"/>
      <c r="I3" s="694"/>
      <c r="J3" s="691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2">
        <f>ELEC!C2</f>
        <v>44012</v>
      </c>
      <c r="B5" s="524">
        <f>'[1]Swimming Pool quality check '!B35</f>
        <v>2.5</v>
      </c>
      <c r="C5" s="524">
        <f>'[1]Swimming Pool quality check '!C35</f>
        <v>7.8</v>
      </c>
      <c r="D5" s="524">
        <f>'[1]Swimming Pool quality check '!D35</f>
        <v>29</v>
      </c>
      <c r="E5" s="524">
        <f>'[1]Swimming Pool quality check '!E35</f>
        <v>3</v>
      </c>
      <c r="F5" s="524">
        <f>'[1]Swimming Pool quality check '!F35</f>
        <v>8.1</v>
      </c>
      <c r="G5" s="524">
        <f>'[1]Swimming Pool quality check '!G35</f>
        <v>36</v>
      </c>
      <c r="H5" s="524">
        <f>'[1]Swimming Pool quality check '!H35</f>
        <v>6366</v>
      </c>
      <c r="I5" s="524">
        <f>'[2]Swimming Pool quality check '!I36</f>
        <v>5</v>
      </c>
      <c r="J5" s="532">
        <f>'[6]Swimming Pool quality check '!J36</f>
        <v>0.33333333333333398</v>
      </c>
      <c r="K5" s="417">
        <v>0</v>
      </c>
      <c r="L5" s="550">
        <f>A5</f>
        <v>44012</v>
      </c>
      <c r="M5" s="524">
        <f>'[2]Swimming Pool quality check '!M36</f>
        <v>6194</v>
      </c>
      <c r="N5" s="524">
        <f>'[2]Swimming Pool quality check '!N36</f>
        <v>642</v>
      </c>
      <c r="O5" s="524">
        <f>'[2]Swimming Pool quality check '!O36</f>
        <v>6836</v>
      </c>
    </row>
    <row r="6" spans="1:18" ht="15.75" customHeight="1" thickBot="1">
      <c r="A6" s="244">
        <f>ELEC!C3</f>
        <v>44013</v>
      </c>
      <c r="B6" s="570">
        <v>2.1</v>
      </c>
      <c r="C6" s="571">
        <v>7.8</v>
      </c>
      <c r="D6" s="572">
        <v>29</v>
      </c>
      <c r="E6" s="572">
        <v>2.5</v>
      </c>
      <c r="F6" s="572">
        <v>8.1</v>
      </c>
      <c r="G6" s="572">
        <v>36</v>
      </c>
      <c r="H6" s="572">
        <v>6366</v>
      </c>
      <c r="I6" s="524">
        <f>H6-H5</f>
        <v>0</v>
      </c>
      <c r="J6" s="501">
        <v>0.29166666666666669</v>
      </c>
      <c r="L6" s="99">
        <f t="shared" ref="L6:L35" si="0">A6</f>
        <v>44013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44014</v>
      </c>
      <c r="B7" s="554">
        <v>2</v>
      </c>
      <c r="C7" s="569">
        <v>7.8</v>
      </c>
      <c r="D7" s="170">
        <v>27</v>
      </c>
      <c r="E7" s="170">
        <v>2.5</v>
      </c>
      <c r="F7" s="170">
        <v>7.8</v>
      </c>
      <c r="G7" s="170">
        <v>35</v>
      </c>
      <c r="H7" s="572">
        <f t="shared" ref="H7:H36" si="2">H6</f>
        <v>6366</v>
      </c>
      <c r="I7" s="524">
        <f t="shared" ref="I7:I35" si="3">H7-H6</f>
        <v>0</v>
      </c>
      <c r="J7" s="502">
        <v>0.29166666666666669</v>
      </c>
      <c r="L7" s="99">
        <f t="shared" si="0"/>
        <v>44014</v>
      </c>
      <c r="M7" s="3">
        <f t="shared" ref="M7:M36" si="4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44015</v>
      </c>
      <c r="B8" s="554">
        <v>1.3</v>
      </c>
      <c r="C8" s="553">
        <v>7.7</v>
      </c>
      <c r="D8" s="170">
        <v>29</v>
      </c>
      <c r="E8" s="170">
        <v>3</v>
      </c>
      <c r="F8" s="170">
        <v>8</v>
      </c>
      <c r="G8" s="170">
        <v>36</v>
      </c>
      <c r="H8" s="572">
        <v>6368</v>
      </c>
      <c r="I8" s="524">
        <f t="shared" si="3"/>
        <v>2</v>
      </c>
      <c r="J8" s="502">
        <v>0.29166666666666669</v>
      </c>
      <c r="L8" s="99">
        <f t="shared" si="0"/>
        <v>44015</v>
      </c>
      <c r="M8" s="3">
        <f t="shared" si="4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44016</v>
      </c>
      <c r="B9" s="554">
        <v>2</v>
      </c>
      <c r="C9" s="576">
        <v>7.8</v>
      </c>
      <c r="D9" s="170">
        <v>29</v>
      </c>
      <c r="E9" s="170">
        <v>2.5</v>
      </c>
      <c r="F9" s="170">
        <v>8.1</v>
      </c>
      <c r="G9" s="170">
        <v>36</v>
      </c>
      <c r="H9" s="572">
        <v>6378</v>
      </c>
      <c r="I9" s="524">
        <f t="shared" si="3"/>
        <v>10</v>
      </c>
      <c r="J9" s="502">
        <v>0.29166666666666669</v>
      </c>
      <c r="L9" s="99">
        <f t="shared" si="0"/>
        <v>44016</v>
      </c>
      <c r="M9" s="3">
        <f t="shared" si="4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44017</v>
      </c>
      <c r="B10" s="524">
        <v>2</v>
      </c>
      <c r="C10" s="524">
        <v>7.7</v>
      </c>
      <c r="D10" s="524">
        <v>29</v>
      </c>
      <c r="E10" s="170">
        <v>1.5</v>
      </c>
      <c r="F10" s="170">
        <v>7.8</v>
      </c>
      <c r="G10" s="170">
        <v>35</v>
      </c>
      <c r="H10" s="572">
        <v>6386</v>
      </c>
      <c r="I10" s="524">
        <f t="shared" si="3"/>
        <v>8</v>
      </c>
      <c r="J10" s="502">
        <v>0.29166666666666669</v>
      </c>
      <c r="L10" s="99">
        <f t="shared" si="0"/>
        <v>44017</v>
      </c>
      <c r="M10" s="3">
        <f t="shared" si="4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44018</v>
      </c>
      <c r="B11" s="524">
        <v>2</v>
      </c>
      <c r="C11" s="524">
        <v>7.8</v>
      </c>
      <c r="D11" s="524">
        <v>28</v>
      </c>
      <c r="E11" s="524">
        <v>1.5</v>
      </c>
      <c r="F11" s="524">
        <v>7.8</v>
      </c>
      <c r="G11" s="524">
        <v>35</v>
      </c>
      <c r="H11" s="572">
        <v>6392</v>
      </c>
      <c r="I11" s="524">
        <f t="shared" si="3"/>
        <v>6</v>
      </c>
      <c r="J11" s="502">
        <v>0.29166666666666669</v>
      </c>
      <c r="L11" s="99">
        <f t="shared" si="0"/>
        <v>44018</v>
      </c>
      <c r="M11" s="3">
        <f t="shared" si="4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44019</v>
      </c>
      <c r="B12" s="524">
        <v>1.5</v>
      </c>
      <c r="C12" s="524">
        <v>7.8</v>
      </c>
      <c r="D12" s="524">
        <v>28</v>
      </c>
      <c r="E12" s="524">
        <v>1.5</v>
      </c>
      <c r="F12" s="524">
        <v>7.8</v>
      </c>
      <c r="G12" s="524">
        <v>35</v>
      </c>
      <c r="H12" s="572">
        <v>6400</v>
      </c>
      <c r="I12" s="524">
        <f t="shared" si="3"/>
        <v>8</v>
      </c>
      <c r="J12" s="502">
        <v>0.29166666666666669</v>
      </c>
      <c r="L12" s="99">
        <f t="shared" si="0"/>
        <v>44019</v>
      </c>
      <c r="M12" s="3">
        <f t="shared" si="4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44020</v>
      </c>
      <c r="B13" s="554">
        <v>2</v>
      </c>
      <c r="C13" s="577">
        <v>7.8</v>
      </c>
      <c r="D13" s="170">
        <v>28</v>
      </c>
      <c r="E13" s="170">
        <v>2</v>
      </c>
      <c r="F13" s="170">
        <v>7.8</v>
      </c>
      <c r="G13" s="170">
        <v>35</v>
      </c>
      <c r="H13" s="572">
        <v>6405</v>
      </c>
      <c r="I13" s="524">
        <f t="shared" si="3"/>
        <v>5</v>
      </c>
      <c r="J13" s="502">
        <v>0.29166666666666669</v>
      </c>
      <c r="L13" s="99">
        <f t="shared" si="0"/>
        <v>44020</v>
      </c>
      <c r="M13" s="3">
        <f t="shared" si="4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44021</v>
      </c>
      <c r="B14" s="259">
        <v>2</v>
      </c>
      <c r="C14" s="556">
        <v>7.8</v>
      </c>
      <c r="D14" s="170">
        <v>28</v>
      </c>
      <c r="E14" s="170">
        <v>2</v>
      </c>
      <c r="F14" s="170">
        <v>7.8</v>
      </c>
      <c r="G14" s="170">
        <v>35</v>
      </c>
      <c r="H14" s="572">
        <v>6412</v>
      </c>
      <c r="I14" s="524">
        <f t="shared" si="3"/>
        <v>7</v>
      </c>
      <c r="J14" s="502">
        <v>0.29166666666666669</v>
      </c>
      <c r="L14" s="99">
        <f t="shared" si="0"/>
        <v>44021</v>
      </c>
      <c r="M14" s="3">
        <f t="shared" si="4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44022</v>
      </c>
      <c r="B15" s="259">
        <v>2</v>
      </c>
      <c r="C15" s="557">
        <v>7.8</v>
      </c>
      <c r="D15" s="170">
        <v>28</v>
      </c>
      <c r="E15" s="170">
        <v>1.5</v>
      </c>
      <c r="F15" s="170">
        <v>7.8</v>
      </c>
      <c r="G15" s="170">
        <v>35</v>
      </c>
      <c r="H15" s="572">
        <v>6419</v>
      </c>
      <c r="I15" s="524">
        <f t="shared" si="3"/>
        <v>7</v>
      </c>
      <c r="J15" s="502">
        <v>0.29166666666666669</v>
      </c>
      <c r="L15" s="99">
        <f t="shared" si="0"/>
        <v>44022</v>
      </c>
      <c r="M15" s="3">
        <f t="shared" si="4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44023</v>
      </c>
      <c r="B16" s="259">
        <v>2</v>
      </c>
      <c r="C16" s="558">
        <v>7.7</v>
      </c>
      <c r="D16" s="170">
        <v>29</v>
      </c>
      <c r="E16" s="170">
        <v>3</v>
      </c>
      <c r="F16" s="170">
        <v>8</v>
      </c>
      <c r="G16" s="170">
        <v>36</v>
      </c>
      <c r="H16" s="572">
        <v>6423</v>
      </c>
      <c r="I16" s="524">
        <f t="shared" si="3"/>
        <v>4</v>
      </c>
      <c r="J16" s="502">
        <v>0.29166666666666669</v>
      </c>
      <c r="L16" s="99">
        <f t="shared" si="0"/>
        <v>44023</v>
      </c>
      <c r="M16" s="3">
        <f t="shared" si="4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44024</v>
      </c>
      <c r="B17" s="524">
        <v>2.2000000000000002</v>
      </c>
      <c r="C17" s="580">
        <v>7.8</v>
      </c>
      <c r="D17" s="524">
        <v>29</v>
      </c>
      <c r="E17" s="524">
        <v>1.5</v>
      </c>
      <c r="F17" s="524">
        <v>8</v>
      </c>
      <c r="G17" s="524">
        <v>36</v>
      </c>
      <c r="H17" s="572">
        <v>6434</v>
      </c>
      <c r="I17" s="524">
        <f t="shared" si="3"/>
        <v>11</v>
      </c>
      <c r="J17" s="502">
        <v>0.29166666666666669</v>
      </c>
      <c r="L17" s="99">
        <f t="shared" si="0"/>
        <v>44024</v>
      </c>
      <c r="M17" s="3">
        <f t="shared" si="4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44025</v>
      </c>
      <c r="B18" s="524">
        <v>2</v>
      </c>
      <c r="C18" s="524">
        <v>7.8</v>
      </c>
      <c r="D18" s="524">
        <v>29</v>
      </c>
      <c r="E18" s="524">
        <v>2.5</v>
      </c>
      <c r="F18" s="524">
        <v>8</v>
      </c>
      <c r="G18" s="524">
        <v>36</v>
      </c>
      <c r="H18" s="572">
        <v>6438</v>
      </c>
      <c r="I18" s="524">
        <f t="shared" si="3"/>
        <v>4</v>
      </c>
      <c r="J18" s="502">
        <v>0.29166666666666669</v>
      </c>
      <c r="L18" s="99">
        <f t="shared" si="0"/>
        <v>44025</v>
      </c>
      <c r="M18" s="3">
        <f t="shared" si="4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44026</v>
      </c>
      <c r="B19" s="259">
        <v>2.7</v>
      </c>
      <c r="C19" s="581">
        <v>7.8</v>
      </c>
      <c r="D19" s="170">
        <v>29</v>
      </c>
      <c r="E19" s="170">
        <v>2</v>
      </c>
      <c r="F19" s="170">
        <v>8</v>
      </c>
      <c r="G19" s="170">
        <v>36</v>
      </c>
      <c r="H19" s="572">
        <v>6443</v>
      </c>
      <c r="I19" s="524">
        <f t="shared" si="3"/>
        <v>5</v>
      </c>
      <c r="J19" s="502">
        <v>0.29166666666666669</v>
      </c>
      <c r="L19" s="99">
        <f t="shared" si="0"/>
        <v>44026</v>
      </c>
      <c r="M19" s="3">
        <f t="shared" si="4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44027</v>
      </c>
      <c r="B20" s="524">
        <v>2.5</v>
      </c>
      <c r="C20" s="524">
        <v>7.8</v>
      </c>
      <c r="D20" s="524">
        <v>29</v>
      </c>
      <c r="E20" s="524">
        <v>2</v>
      </c>
      <c r="F20" s="524">
        <v>8</v>
      </c>
      <c r="G20" s="524">
        <v>36</v>
      </c>
      <c r="H20" s="572">
        <v>6443</v>
      </c>
      <c r="I20" s="524">
        <f t="shared" si="3"/>
        <v>0</v>
      </c>
      <c r="J20" s="502">
        <v>0.29166666666666669</v>
      </c>
      <c r="L20" s="99">
        <f t="shared" si="0"/>
        <v>44027</v>
      </c>
      <c r="M20" s="3">
        <f t="shared" si="4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44028</v>
      </c>
      <c r="B21" s="524">
        <v>2</v>
      </c>
      <c r="C21" s="524">
        <v>7.8</v>
      </c>
      <c r="D21" s="524">
        <v>29</v>
      </c>
      <c r="E21" s="524">
        <v>2.5</v>
      </c>
      <c r="F21" s="524">
        <v>8</v>
      </c>
      <c r="G21" s="524">
        <v>36</v>
      </c>
      <c r="H21" s="572">
        <v>6451</v>
      </c>
      <c r="I21" s="524">
        <f t="shared" si="3"/>
        <v>8</v>
      </c>
      <c r="J21" s="502">
        <v>0.29166666666666669</v>
      </c>
      <c r="L21" s="99">
        <f t="shared" si="0"/>
        <v>44028</v>
      </c>
      <c r="M21" s="3">
        <f t="shared" si="4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44029</v>
      </c>
      <c r="B22" s="259"/>
      <c r="C22" s="582"/>
      <c r="D22" s="170"/>
      <c r="E22" s="170"/>
      <c r="F22" s="170"/>
      <c r="G22" s="170"/>
      <c r="H22" s="572">
        <f t="shared" si="2"/>
        <v>6451</v>
      </c>
      <c r="I22" s="524">
        <f t="shared" si="3"/>
        <v>0</v>
      </c>
      <c r="J22" s="502">
        <v>0.29166666666666669</v>
      </c>
      <c r="L22" s="99">
        <f t="shared" si="0"/>
        <v>44029</v>
      </c>
      <c r="M22" s="3">
        <f t="shared" si="4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44030</v>
      </c>
      <c r="B23" s="170"/>
      <c r="C23" s="170"/>
      <c r="D23" s="170"/>
      <c r="E23" s="170"/>
      <c r="F23" s="170"/>
      <c r="G23" s="170"/>
      <c r="H23" s="572">
        <f t="shared" si="2"/>
        <v>6451</v>
      </c>
      <c r="I23" s="524">
        <f t="shared" si="3"/>
        <v>0</v>
      </c>
      <c r="J23" s="502">
        <v>0.29166666666666669</v>
      </c>
      <c r="L23" s="99">
        <f t="shared" si="0"/>
        <v>44030</v>
      </c>
      <c r="M23" s="3">
        <f t="shared" si="4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44031</v>
      </c>
      <c r="B24" s="524"/>
      <c r="C24" s="524"/>
      <c r="D24" s="524"/>
      <c r="E24" s="524"/>
      <c r="F24" s="524"/>
      <c r="G24" s="524"/>
      <c r="H24" s="572">
        <f t="shared" si="2"/>
        <v>6451</v>
      </c>
      <c r="I24" s="524">
        <f t="shared" si="3"/>
        <v>0</v>
      </c>
      <c r="J24" s="502">
        <v>0.29166666666666702</v>
      </c>
      <c r="L24" s="99">
        <f t="shared" si="0"/>
        <v>44031</v>
      </c>
      <c r="M24" s="3">
        <f t="shared" si="4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44032</v>
      </c>
      <c r="B25" s="524"/>
      <c r="C25" s="524"/>
      <c r="D25" s="524"/>
      <c r="E25" s="524"/>
      <c r="F25" s="524"/>
      <c r="G25" s="524"/>
      <c r="H25" s="572">
        <f t="shared" si="2"/>
        <v>6451</v>
      </c>
      <c r="I25" s="524">
        <f t="shared" si="3"/>
        <v>0</v>
      </c>
      <c r="J25" s="502">
        <v>0.29166666666666702</v>
      </c>
      <c r="L25" s="99">
        <f t="shared" si="0"/>
        <v>44032</v>
      </c>
      <c r="M25" s="3">
        <f t="shared" si="4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44033</v>
      </c>
      <c r="B26" s="524"/>
      <c r="C26" s="524"/>
      <c r="D26" s="524"/>
      <c r="E26" s="524"/>
      <c r="F26" s="524"/>
      <c r="G26" s="524"/>
      <c r="H26" s="572">
        <f t="shared" si="2"/>
        <v>6451</v>
      </c>
      <c r="I26" s="524">
        <f t="shared" si="3"/>
        <v>0</v>
      </c>
      <c r="J26" s="502">
        <v>0.29166666666666702</v>
      </c>
      <c r="L26" s="99">
        <f t="shared" si="0"/>
        <v>44033</v>
      </c>
      <c r="M26" s="3">
        <f t="shared" si="4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44034</v>
      </c>
      <c r="B27" s="524"/>
      <c r="C27" s="524"/>
      <c r="D27" s="524"/>
      <c r="E27" s="524"/>
      <c r="F27" s="524"/>
      <c r="G27" s="524"/>
      <c r="H27" s="572">
        <f t="shared" si="2"/>
        <v>6451</v>
      </c>
      <c r="I27" s="524">
        <f t="shared" si="3"/>
        <v>0</v>
      </c>
      <c r="J27" s="502">
        <v>0.29166666666666702</v>
      </c>
      <c r="L27" s="99">
        <f t="shared" si="0"/>
        <v>44034</v>
      </c>
      <c r="M27" s="3">
        <f t="shared" si="4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44035</v>
      </c>
      <c r="B28" s="259"/>
      <c r="C28" s="583"/>
      <c r="D28" s="170"/>
      <c r="E28" s="170"/>
      <c r="F28" s="170"/>
      <c r="G28" s="170"/>
      <c r="H28" s="572">
        <f t="shared" si="2"/>
        <v>6451</v>
      </c>
      <c r="I28" s="524">
        <f t="shared" si="3"/>
        <v>0</v>
      </c>
      <c r="J28" s="503">
        <v>0.29166666666666702</v>
      </c>
      <c r="L28" s="99">
        <f t="shared" si="0"/>
        <v>44035</v>
      </c>
      <c r="M28" s="3">
        <f t="shared" si="4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44036</v>
      </c>
      <c r="B29" s="524"/>
      <c r="C29" s="524"/>
      <c r="D29" s="524"/>
      <c r="E29" s="524"/>
      <c r="F29" s="524"/>
      <c r="G29" s="524"/>
      <c r="H29" s="572">
        <f t="shared" si="2"/>
        <v>6451</v>
      </c>
      <c r="I29" s="524">
        <f t="shared" si="3"/>
        <v>0</v>
      </c>
      <c r="J29" s="502">
        <v>0.29166666666666702</v>
      </c>
      <c r="L29" s="99">
        <f t="shared" si="0"/>
        <v>44036</v>
      </c>
      <c r="M29" s="3">
        <f t="shared" si="4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44037</v>
      </c>
      <c r="B30" s="259"/>
      <c r="C30" s="584"/>
      <c r="D30" s="170"/>
      <c r="E30" s="170"/>
      <c r="F30" s="170"/>
      <c r="G30" s="170"/>
      <c r="H30" s="572">
        <f t="shared" si="2"/>
        <v>6451</v>
      </c>
      <c r="I30" s="524">
        <f t="shared" si="3"/>
        <v>0</v>
      </c>
      <c r="J30" s="502">
        <v>0.29166666666666702</v>
      </c>
      <c r="L30" s="99">
        <f t="shared" si="0"/>
        <v>44037</v>
      </c>
      <c r="M30" s="3">
        <f t="shared" si="4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44038</v>
      </c>
      <c r="B31" s="259"/>
      <c r="C31" s="559"/>
      <c r="D31" s="170"/>
      <c r="E31" s="170"/>
      <c r="F31" s="170"/>
      <c r="G31" s="170"/>
      <c r="H31" s="572">
        <f t="shared" si="2"/>
        <v>6451</v>
      </c>
      <c r="I31" s="524">
        <f t="shared" si="3"/>
        <v>0</v>
      </c>
      <c r="J31" s="502">
        <v>0.29166666666666702</v>
      </c>
      <c r="L31" s="99">
        <f t="shared" si="0"/>
        <v>44038</v>
      </c>
      <c r="M31" s="3">
        <f t="shared" si="4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44039</v>
      </c>
      <c r="B32" s="524"/>
      <c r="C32" s="524"/>
      <c r="D32" s="524"/>
      <c r="E32" s="524"/>
      <c r="F32" s="524"/>
      <c r="G32" s="524"/>
      <c r="H32" s="572">
        <f t="shared" si="2"/>
        <v>6451</v>
      </c>
      <c r="I32" s="524">
        <f t="shared" si="3"/>
        <v>0</v>
      </c>
      <c r="J32" s="502">
        <v>0.29166666666666702</v>
      </c>
      <c r="L32" s="99">
        <f t="shared" si="0"/>
        <v>44039</v>
      </c>
      <c r="M32" s="3">
        <f t="shared" si="4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44040</v>
      </c>
      <c r="B33" s="524"/>
      <c r="C33" s="524"/>
      <c r="D33" s="524"/>
      <c r="E33" s="524"/>
      <c r="F33" s="524"/>
      <c r="G33" s="524"/>
      <c r="H33" s="572">
        <f t="shared" si="2"/>
        <v>6451</v>
      </c>
      <c r="I33" s="524">
        <f t="shared" si="3"/>
        <v>0</v>
      </c>
      <c r="J33" s="502">
        <v>0.29166666666666702</v>
      </c>
      <c r="L33" s="99">
        <f t="shared" si="0"/>
        <v>44040</v>
      </c>
      <c r="M33" s="3">
        <f t="shared" si="4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44041</v>
      </c>
      <c r="B34" s="524"/>
      <c r="C34" s="524"/>
      <c r="D34" s="524"/>
      <c r="E34" s="524"/>
      <c r="F34" s="524"/>
      <c r="G34" s="524"/>
      <c r="H34" s="572">
        <f t="shared" si="2"/>
        <v>6451</v>
      </c>
      <c r="I34" s="524">
        <f t="shared" si="3"/>
        <v>0</v>
      </c>
      <c r="J34" s="502">
        <v>0.29166666666666702</v>
      </c>
      <c r="L34" s="99">
        <f t="shared" si="0"/>
        <v>44041</v>
      </c>
      <c r="M34" s="3">
        <f t="shared" si="4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44042</v>
      </c>
      <c r="B35" s="524"/>
      <c r="C35" s="524"/>
      <c r="D35" s="524"/>
      <c r="E35" s="524"/>
      <c r="F35" s="524"/>
      <c r="G35" s="524"/>
      <c r="H35" s="572">
        <f t="shared" si="2"/>
        <v>6451</v>
      </c>
      <c r="I35" s="524">
        <f t="shared" si="3"/>
        <v>0</v>
      </c>
      <c r="J35" s="504">
        <v>0.29166666666666702</v>
      </c>
      <c r="L35" s="99">
        <f t="shared" si="0"/>
        <v>44042</v>
      </c>
      <c r="M35" s="3">
        <f t="shared" si="4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44043</v>
      </c>
      <c r="B36" s="524"/>
      <c r="C36" s="524"/>
      <c r="D36" s="524"/>
      <c r="E36" s="524"/>
      <c r="F36" s="524"/>
      <c r="G36" s="524"/>
      <c r="H36" s="572">
        <f t="shared" si="2"/>
        <v>6451</v>
      </c>
      <c r="I36" s="524">
        <f t="shared" ref="I36" si="5">H36-H35</f>
        <v>0</v>
      </c>
      <c r="J36" s="504">
        <v>0.29166666666666702</v>
      </c>
      <c r="L36" s="99">
        <f t="shared" ref="L36" si="6">A36</f>
        <v>44043</v>
      </c>
      <c r="M36" s="3">
        <f t="shared" si="4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4" zoomScale="80" zoomScaleNormal="80" workbookViewId="0">
      <selection activeCell="U26" sqref="U26:U2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2" t="s">
        <v>161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  <c r="R1" s="702"/>
      <c r="S1" s="702"/>
      <c r="T1" s="702"/>
      <c r="U1" s="702"/>
      <c r="V1" s="702"/>
      <c r="W1" s="702"/>
      <c r="X1" s="702"/>
    </row>
    <row r="2" spans="1:28" ht="19.5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  <c r="R2" s="703"/>
      <c r="S2" s="703"/>
      <c r="T2" s="703"/>
      <c r="U2" s="703"/>
      <c r="V2" s="703"/>
      <c r="W2" s="703"/>
      <c r="X2" s="703"/>
    </row>
    <row r="3" spans="1:28" ht="19.5">
      <c r="A3" s="703" t="s">
        <v>162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703"/>
      <c r="O3" s="703"/>
      <c r="P3" s="703"/>
      <c r="Q3" s="703"/>
      <c r="R3" s="703"/>
      <c r="S3" s="703"/>
      <c r="T3" s="703"/>
      <c r="U3" s="703"/>
      <c r="V3" s="703"/>
      <c r="W3" s="703"/>
      <c r="X3" s="70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3" t="s">
        <v>412</v>
      </c>
      <c r="B5" s="703"/>
      <c r="C5" s="703"/>
      <c r="D5" s="703"/>
      <c r="E5" s="703"/>
      <c r="F5" s="703"/>
      <c r="G5" s="703"/>
      <c r="H5" s="703"/>
      <c r="I5" s="703"/>
      <c r="J5" s="703"/>
      <c r="K5" s="703"/>
      <c r="L5" s="703"/>
      <c r="M5" s="703"/>
      <c r="N5" s="703"/>
      <c r="O5" s="703"/>
      <c r="P5" s="703"/>
      <c r="Q5" s="703"/>
      <c r="R5" s="703"/>
      <c r="S5" s="703"/>
      <c r="T5" s="703"/>
      <c r="U5" s="703"/>
      <c r="V5" s="703"/>
      <c r="W5" s="703"/>
      <c r="X5" s="703"/>
    </row>
    <row r="6" spans="1:28" ht="15.75" thickBot="1">
      <c r="A6" s="704"/>
      <c r="B6" s="704"/>
      <c r="C6" s="704"/>
      <c r="D6" s="704"/>
      <c r="E6" s="704"/>
      <c r="F6" s="704"/>
      <c r="G6" s="704"/>
      <c r="H6" s="704"/>
      <c r="I6" s="704"/>
      <c r="J6" s="704"/>
      <c r="K6" s="704"/>
      <c r="L6" s="704"/>
      <c r="M6" s="704"/>
      <c r="N6" s="704"/>
      <c r="O6" s="704"/>
      <c r="P6" s="704"/>
      <c r="Q6" s="704"/>
      <c r="R6" s="704"/>
      <c r="S6" s="704"/>
      <c r="T6" s="704"/>
      <c r="U6" s="704"/>
      <c r="V6" s="704"/>
      <c r="W6" s="704"/>
      <c r="X6" s="704"/>
    </row>
    <row r="7" spans="1:28" ht="15.75" thickBot="1">
      <c r="A7" s="706" t="s">
        <v>163</v>
      </c>
      <c r="B7" s="707"/>
      <c r="C7" s="708" t="s">
        <v>164</v>
      </c>
      <c r="D7" s="709"/>
      <c r="E7" s="709"/>
      <c r="F7" s="709"/>
      <c r="G7" s="709"/>
      <c r="H7" s="709"/>
      <c r="I7" s="709"/>
      <c r="J7" s="709"/>
      <c r="K7" s="71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300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'[1]Degree Days 2020'!B10</f>
        <v>16</v>
      </c>
      <c r="C10" s="278">
        <f>'[1]Degree Days 2020'!C10</f>
        <v>11</v>
      </c>
      <c r="D10" s="278">
        <f>(B10+C10)/2-18.3</f>
        <v>-4.8000000000000007</v>
      </c>
      <c r="E10" s="278">
        <f>'[1]Degree Days 2020'!E10</f>
        <v>1</v>
      </c>
      <c r="F10" s="278">
        <f>'[1]Degree Days 2020'!F10</f>
        <v>17</v>
      </c>
      <c r="G10" s="278">
        <f>'[1]Degree Days 2020'!G10</f>
        <v>12</v>
      </c>
      <c r="H10" s="278">
        <f>(F10+G10)/2-18.3</f>
        <v>-3.8000000000000007</v>
      </c>
      <c r="I10" s="278">
        <f>'[5]Degree Days 2018'!I10</f>
        <v>1</v>
      </c>
      <c r="J10" s="278">
        <f>'[1]Degree Days 2020'!J10</f>
        <v>17</v>
      </c>
      <c r="K10" s="278">
        <f>'[1]Degree Days 2020'!K10</f>
        <v>10</v>
      </c>
      <c r="L10" s="278">
        <f>(J10+K10)/2-18.3</f>
        <v>-4.8000000000000007</v>
      </c>
      <c r="M10" s="278">
        <f>'[1]Degree Days 2020'!M10</f>
        <v>1</v>
      </c>
      <c r="N10" s="278">
        <f>'[1]Degree Days 2020'!N10</f>
        <v>19</v>
      </c>
      <c r="O10" s="278">
        <f>'[1]Degree Days 2020'!O10</f>
        <v>14</v>
      </c>
      <c r="P10" s="278">
        <f>(N10+O10)/2-18.3</f>
        <v>-1.8000000000000007</v>
      </c>
      <c r="Q10" s="546">
        <v>1</v>
      </c>
      <c r="R10" s="278">
        <f>'[1]Degree Days 2020'!R10</f>
        <v>22</v>
      </c>
      <c r="S10" s="278">
        <f>'[1]Degree Days 2020'!S10</f>
        <v>16</v>
      </c>
      <c r="T10" s="278">
        <f>(R10+S10)/2-18.3</f>
        <v>0.69999999999999929</v>
      </c>
      <c r="U10" s="546">
        <v>1</v>
      </c>
      <c r="V10" s="278">
        <f>'[1]Degree Days 2020'!V10</f>
        <v>25</v>
      </c>
      <c r="W10" s="278">
        <f>'[1]Degree Days 2020'!W10</f>
        <v>20</v>
      </c>
      <c r="X10" s="278">
        <f>(V10+W10)/2-18.3</f>
        <v>4.1999999999999993</v>
      </c>
      <c r="Z10" t="s">
        <v>165</v>
      </c>
      <c r="AA10" s="278">
        <f>B43</f>
        <v>-148.80000000000001</v>
      </c>
      <c r="AB10" s="278">
        <f>C43</f>
        <v>0</v>
      </c>
    </row>
    <row r="11" spans="1:28">
      <c r="A11" s="117">
        <v>2</v>
      </c>
      <c r="B11" s="278">
        <f>'[1]Degree Days 2020'!B11</f>
        <v>17</v>
      </c>
      <c r="C11" s="278">
        <f>'[1]Degree Days 2020'!C11</f>
        <v>12</v>
      </c>
      <c r="D11" s="278">
        <f t="shared" ref="D11:D40" si="0">(B11+C11)/2-18.3</f>
        <v>-3.8000000000000007</v>
      </c>
      <c r="E11" s="278">
        <f>'[1]Degree Days 2020'!E11</f>
        <v>2</v>
      </c>
      <c r="F11" s="278">
        <f>'[1]Degree Days 2020'!F11</f>
        <v>17</v>
      </c>
      <c r="G11" s="278">
        <f>'[1]Degree Days 2020'!G11</f>
        <v>11</v>
      </c>
      <c r="H11" s="278">
        <f t="shared" ref="H11:H40" si="1">(F11+G11)/2-18.3</f>
        <v>-4.3000000000000007</v>
      </c>
      <c r="I11" s="278">
        <f>'[5]Degree Days 2018'!I11</f>
        <v>2</v>
      </c>
      <c r="J11" s="278">
        <f>'[1]Degree Days 2020'!J11</f>
        <v>18</v>
      </c>
      <c r="K11" s="278">
        <f>'[1]Degree Days 2020'!K11</f>
        <v>11</v>
      </c>
      <c r="L11" s="278">
        <f t="shared" ref="L11:L40" si="2">(J11+K11)/2-18.3</f>
        <v>-3.8000000000000007</v>
      </c>
      <c r="M11" s="278">
        <f>'[1]Degree Days 2020'!M11</f>
        <v>2</v>
      </c>
      <c r="N11" s="278">
        <f>'[1]Degree Days 2020'!N11</f>
        <v>19</v>
      </c>
      <c r="O11" s="278">
        <f>'[1]Degree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'[1]Degree Days 2020'!R11</f>
        <v>21</v>
      </c>
      <c r="S11" s="278">
        <f>'[1]Degree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'[1]Degree Days 2020'!V11</f>
        <v>24</v>
      </c>
      <c r="W11" s="278">
        <f>'[1]Degree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F43</f>
        <v>-153.49999999999997</v>
      </c>
      <c r="AB11" s="278">
        <f>G43</f>
        <v>0.69999999999999929</v>
      </c>
    </row>
    <row r="12" spans="1:28">
      <c r="A12" s="117">
        <v>3</v>
      </c>
      <c r="B12" s="278">
        <f>'[1]Degree Days 2020'!B12</f>
        <v>16</v>
      </c>
      <c r="C12" s="278">
        <f>'[1]Degree Days 2020'!C12</f>
        <v>12</v>
      </c>
      <c r="D12" s="278">
        <f t="shared" si="0"/>
        <v>-4.3000000000000007</v>
      </c>
      <c r="E12" s="278">
        <f>'[1]Degree Days 2020'!E12</f>
        <v>3</v>
      </c>
      <c r="F12" s="278">
        <f>'[1]Degree Days 2020'!F12</f>
        <v>16</v>
      </c>
      <c r="G12" s="278">
        <f>'[1]Degree Days 2020'!G12</f>
        <v>10</v>
      </c>
      <c r="H12" s="278">
        <f t="shared" si="1"/>
        <v>-5.3000000000000007</v>
      </c>
      <c r="I12" s="278">
        <f>'[5]Degree Days 2018'!I12</f>
        <v>3</v>
      </c>
      <c r="J12" s="278">
        <f>'[1]Degree Days 2020'!J12</f>
        <v>19</v>
      </c>
      <c r="K12" s="278">
        <f>'[1]Degree Days 2020'!K12</f>
        <v>12</v>
      </c>
      <c r="L12" s="278">
        <f t="shared" si="2"/>
        <v>-2.8000000000000007</v>
      </c>
      <c r="M12" s="278">
        <f>'[1]Degree Days 2020'!M12</f>
        <v>3</v>
      </c>
      <c r="N12" s="278">
        <f>'[1]Degree Days 2020'!N12</f>
        <v>20</v>
      </c>
      <c r="O12" s="278">
        <f>'[1]Degree Days 2020'!O12</f>
        <v>14</v>
      </c>
      <c r="P12" s="278">
        <f t="shared" si="3"/>
        <v>-1.3000000000000007</v>
      </c>
      <c r="Q12" s="546">
        <v>3</v>
      </c>
      <c r="R12" s="278">
        <f>'[1]Degree Days 2020'!R12</f>
        <v>24</v>
      </c>
      <c r="S12" s="278">
        <f>'[1]Degree Days 2020'!S12</f>
        <v>17</v>
      </c>
      <c r="T12" s="278">
        <f t="shared" si="4"/>
        <v>2.1999999999999993</v>
      </c>
      <c r="U12" s="546">
        <v>3</v>
      </c>
      <c r="V12" s="278">
        <f>'[1]Degree Days 2020'!V12</f>
        <v>27</v>
      </c>
      <c r="W12" s="278">
        <f>'[1]Degree Days 2020'!W12</f>
        <v>19</v>
      </c>
      <c r="X12" s="278">
        <f t="shared" si="5"/>
        <v>4.6999999999999993</v>
      </c>
      <c r="Z12" t="s">
        <v>170</v>
      </c>
      <c r="AA12" s="278">
        <f>J43</f>
        <v>-61.799999999999983</v>
      </c>
      <c r="AB12" s="278">
        <f>K43</f>
        <v>11.499999999999996</v>
      </c>
    </row>
    <row r="13" spans="1:28">
      <c r="A13" s="117">
        <v>4</v>
      </c>
      <c r="B13" s="278">
        <f>'[1]Degree Days 2020'!B13</f>
        <v>15</v>
      </c>
      <c r="C13" s="278">
        <f>'[1]Degree Days 2020'!C13</f>
        <v>11</v>
      </c>
      <c r="D13" s="278">
        <f t="shared" si="0"/>
        <v>-5.3000000000000007</v>
      </c>
      <c r="E13" s="278">
        <f>'[1]Degree Days 2020'!E13</f>
        <v>4</v>
      </c>
      <c r="F13" s="278">
        <f>'[1]Degree Days 2020'!F13</f>
        <v>17</v>
      </c>
      <c r="G13" s="278">
        <f>'[1]Degree Days 2020'!G13</f>
        <v>13</v>
      </c>
      <c r="H13" s="278">
        <f t="shared" si="1"/>
        <v>-3.3000000000000007</v>
      </c>
      <c r="I13" s="278">
        <f>'[5]Degree Days 2018'!I13</f>
        <v>4</v>
      </c>
      <c r="J13" s="278">
        <f>'[1]Degree Days 2020'!J13</f>
        <v>19</v>
      </c>
      <c r="K13" s="278">
        <f>'[1]Degree Days 2020'!K13</f>
        <v>12</v>
      </c>
      <c r="L13" s="278">
        <f t="shared" si="2"/>
        <v>-2.8000000000000007</v>
      </c>
      <c r="M13" s="278">
        <f>'[1]Degree Days 2020'!M13</f>
        <v>4</v>
      </c>
      <c r="N13" s="278">
        <f>'[1]Degree Days 2020'!N13</f>
        <v>23</v>
      </c>
      <c r="O13" s="278">
        <f>'[1]Degree Days 2020'!O13</f>
        <v>14</v>
      </c>
      <c r="P13" s="278">
        <f t="shared" si="3"/>
        <v>0.19999999999999929</v>
      </c>
      <c r="Q13" s="546">
        <v>4</v>
      </c>
      <c r="R13" s="278">
        <f>'[1]Degree Days 2020'!R13</f>
        <v>23</v>
      </c>
      <c r="S13" s="278">
        <f>'[1]Degree Days 2020'!S13</f>
        <v>17</v>
      </c>
      <c r="T13" s="278">
        <f t="shared" si="4"/>
        <v>1.6999999999999993</v>
      </c>
      <c r="U13" s="546">
        <v>4</v>
      </c>
      <c r="V13" s="278">
        <f>'[1]Degree Days 2020'!V13</f>
        <v>26</v>
      </c>
      <c r="W13" s="278">
        <f>'[1]Degree Days 2020'!W13</f>
        <v>18</v>
      </c>
      <c r="X13" s="278">
        <f t="shared" si="5"/>
        <v>3.6999999999999993</v>
      </c>
      <c r="Z13" t="s">
        <v>171</v>
      </c>
      <c r="AA13" s="278">
        <f>N43</f>
        <v>-54.600000000000009</v>
      </c>
      <c r="AB13" s="278">
        <f>O43</f>
        <v>25.29999999999999</v>
      </c>
    </row>
    <row r="14" spans="1:28">
      <c r="A14" s="117">
        <v>5</v>
      </c>
      <c r="B14" s="278">
        <f>'[1]Degree Days 2020'!B14</f>
        <v>15</v>
      </c>
      <c r="C14" s="278">
        <f>'[1]Degree Days 2020'!C14</f>
        <v>11</v>
      </c>
      <c r="D14" s="278">
        <f t="shared" si="0"/>
        <v>-5.3000000000000007</v>
      </c>
      <c r="E14" s="278">
        <f>'[1]Degree Days 2020'!E14</f>
        <v>5</v>
      </c>
      <c r="F14" s="278">
        <f>'[1]Degree Days 2020'!F14</f>
        <v>20</v>
      </c>
      <c r="G14" s="278">
        <f>'[1]Degree Days 2020'!G14</f>
        <v>15</v>
      </c>
      <c r="H14" s="278">
        <f t="shared" si="1"/>
        <v>-0.80000000000000071</v>
      </c>
      <c r="I14" s="278">
        <f>'[5]Degree Days 2018'!I14</f>
        <v>5</v>
      </c>
      <c r="J14" s="278">
        <f>'[1]Degree Days 2020'!J14</f>
        <v>19</v>
      </c>
      <c r="K14" s="278">
        <f>'[1]Degree Days 2020'!K14</f>
        <v>14</v>
      </c>
      <c r="L14" s="278">
        <f t="shared" si="2"/>
        <v>-1.8000000000000007</v>
      </c>
      <c r="M14" s="278">
        <f>'[1]Degree Days 2020'!M14</f>
        <v>5</v>
      </c>
      <c r="N14" s="278">
        <f>'[1]Degree Days 2020'!N14</f>
        <v>34</v>
      </c>
      <c r="O14" s="278">
        <f>'[1]Degree Days 2020'!O14</f>
        <v>17</v>
      </c>
      <c r="P14" s="278">
        <f t="shared" si="3"/>
        <v>7.1999999999999993</v>
      </c>
      <c r="Q14" s="546">
        <v>5</v>
      </c>
      <c r="R14" s="278">
        <f>'[1]Degree Days 2020'!R14</f>
        <v>22</v>
      </c>
      <c r="S14" s="278">
        <f>'[1]Degree Days 2020'!S14</f>
        <v>18</v>
      </c>
      <c r="T14" s="278">
        <f t="shared" si="4"/>
        <v>1.6999999999999993</v>
      </c>
      <c r="U14" s="546">
        <v>5</v>
      </c>
      <c r="V14" s="278">
        <f>'[1]Degree Days 2020'!V14</f>
        <v>25</v>
      </c>
      <c r="W14" s="278">
        <f>'[1]Degree Days 2020'!W14</f>
        <v>17</v>
      </c>
      <c r="X14" s="278">
        <f t="shared" si="5"/>
        <v>2.6999999999999993</v>
      </c>
      <c r="Z14" t="s">
        <v>172</v>
      </c>
      <c r="AA14" s="278">
        <f>R43</f>
        <v>-0.80000000000000071</v>
      </c>
      <c r="AB14" s="278">
        <f>S43</f>
        <v>131.50000000000003</v>
      </c>
    </row>
    <row r="15" spans="1:28">
      <c r="A15" s="117">
        <v>6</v>
      </c>
      <c r="B15" s="278">
        <f>'[1]Degree Days 2020'!B15</f>
        <v>16</v>
      </c>
      <c r="C15" s="278">
        <f>'[1]Degree Days 2020'!C15</f>
        <v>12</v>
      </c>
      <c r="D15" s="278">
        <f t="shared" si="0"/>
        <v>-4.3000000000000007</v>
      </c>
      <c r="E15" s="278">
        <f>'[1]Degree Days 2020'!E15</f>
        <v>6</v>
      </c>
      <c r="F15" s="278">
        <f>'[1]Degree Days 2020'!F15</f>
        <v>22</v>
      </c>
      <c r="G15" s="278">
        <f>'[1]Degree Days 2020'!G15</f>
        <v>16</v>
      </c>
      <c r="H15" s="278">
        <f t="shared" si="1"/>
        <v>0.69999999999999929</v>
      </c>
      <c r="I15" s="278">
        <f>'[5]Degree Days 2018'!I15</f>
        <v>6</v>
      </c>
      <c r="J15" s="278">
        <f>'[1]Degree Days 2020'!J15</f>
        <v>18</v>
      </c>
      <c r="K15" s="278">
        <f>'[1]Degree Days 2020'!K15</f>
        <v>12</v>
      </c>
      <c r="L15" s="278">
        <f t="shared" si="2"/>
        <v>-3.3000000000000007</v>
      </c>
      <c r="M15" s="278">
        <f>'[1]Degree Days 2020'!M15</f>
        <v>6</v>
      </c>
      <c r="N15" s="278">
        <f>'[1]Degree Days 2020'!N15</f>
        <v>19</v>
      </c>
      <c r="O15" s="278">
        <f>'[1]Degree Days 2020'!O15</f>
        <v>17</v>
      </c>
      <c r="P15" s="278">
        <f t="shared" si="3"/>
        <v>-0.30000000000000071</v>
      </c>
      <c r="Q15" s="546">
        <v>6</v>
      </c>
      <c r="R15" s="278">
        <f>'[1]Degree Days 2020'!R15</f>
        <v>23</v>
      </c>
      <c r="S15" s="278">
        <f>'[1]Degree Days 2020'!S15</f>
        <v>17</v>
      </c>
      <c r="T15" s="278">
        <f t="shared" si="4"/>
        <v>1.6999999999999993</v>
      </c>
      <c r="U15" s="546">
        <v>6</v>
      </c>
      <c r="V15" s="278">
        <f>'[1]Degree Days 2020'!V15</f>
        <v>26</v>
      </c>
      <c r="W15" s="278">
        <f>'[1]Degree Days 2020'!W15</f>
        <v>18</v>
      </c>
      <c r="X15" s="278">
        <f t="shared" si="5"/>
        <v>3.6999999999999993</v>
      </c>
      <c r="Z15" t="s">
        <v>173</v>
      </c>
      <c r="AA15" s="278">
        <f>V43</f>
        <v>-18.3</v>
      </c>
      <c r="AB15" s="278">
        <f>W43</f>
        <v>182.99999999999997</v>
      </c>
    </row>
    <row r="16" spans="1:28">
      <c r="A16" s="117">
        <v>7</v>
      </c>
      <c r="B16" s="278">
        <f>'[1]Degree Days 2020'!B16</f>
        <v>16</v>
      </c>
      <c r="C16" s="278">
        <f>'[1]Degree Days 2020'!C16</f>
        <v>12</v>
      </c>
      <c r="D16" s="278">
        <f t="shared" si="0"/>
        <v>-4.3000000000000007</v>
      </c>
      <c r="E16" s="278">
        <f>'[1]Degree Days 2020'!E16</f>
        <v>7</v>
      </c>
      <c r="F16" s="278">
        <f>'[1]Degree Days 2020'!F16</f>
        <v>16</v>
      </c>
      <c r="G16" s="278">
        <f>'[1]Degree Days 2020'!G16</f>
        <v>10</v>
      </c>
      <c r="H16" s="278">
        <f t="shared" si="1"/>
        <v>-5.3000000000000007</v>
      </c>
      <c r="I16" s="278">
        <f>'[5]Degree Days 2018'!I16</f>
        <v>7</v>
      </c>
      <c r="J16" s="278">
        <f>'[1]Degree Days 2020'!J16</f>
        <v>18</v>
      </c>
      <c r="K16" s="278">
        <f>'[1]Degree Days 2020'!K16</f>
        <v>12</v>
      </c>
      <c r="L16" s="278">
        <f t="shared" si="2"/>
        <v>-3.3000000000000007</v>
      </c>
      <c r="M16" s="278">
        <f>'[1]Degree Days 2020'!M16</f>
        <v>7</v>
      </c>
      <c r="N16" s="278">
        <f>'[1]Degree Days 2020'!N16</f>
        <v>20</v>
      </c>
      <c r="O16" s="278">
        <f>'[1]Degree Days 2020'!O16</f>
        <v>16</v>
      </c>
      <c r="P16" s="278">
        <f t="shared" si="3"/>
        <v>-0.30000000000000071</v>
      </c>
      <c r="Q16" s="546">
        <v>7</v>
      </c>
      <c r="R16" s="278">
        <f>'[1]Degree Days 2020'!R16</f>
        <v>25</v>
      </c>
      <c r="S16" s="278">
        <f>'[1]Degree Days 2020'!S16</f>
        <v>18</v>
      </c>
      <c r="T16" s="278">
        <f t="shared" si="4"/>
        <v>3.1999999999999993</v>
      </c>
      <c r="U16" s="546">
        <v>7</v>
      </c>
      <c r="V16" s="278">
        <f>'[1]Degree Days 2020'!V16</f>
        <v>27</v>
      </c>
      <c r="W16" s="278">
        <f>'[1]Degree Days 2020'!W16</f>
        <v>21</v>
      </c>
      <c r="X16" s="278">
        <f t="shared" si="5"/>
        <v>5.6999999999999993</v>
      </c>
      <c r="Z16" t="s">
        <v>176</v>
      </c>
      <c r="AA16" s="278">
        <f>B81</f>
        <v>-274.50000000000006</v>
      </c>
      <c r="AB16" s="278">
        <f>C81</f>
        <v>132.70000000000002</v>
      </c>
    </row>
    <row r="17" spans="1:28">
      <c r="A17" s="117">
        <v>8</v>
      </c>
      <c r="B17" s="278">
        <f>'[1]Degree Days 2020'!B17</f>
        <v>14</v>
      </c>
      <c r="C17" s="278">
        <f>'[1]Degree Days 2020'!C17</f>
        <v>11</v>
      </c>
      <c r="D17" s="278">
        <f t="shared" si="0"/>
        <v>-5.8000000000000007</v>
      </c>
      <c r="E17" s="278">
        <f>'[1]Degree Days 2020'!E17</f>
        <v>8</v>
      </c>
      <c r="F17" s="278">
        <f>'[1]Degree Days 2020'!F17</f>
        <v>14</v>
      </c>
      <c r="G17" s="278">
        <f>'[1]Degree Days 2020'!G17</f>
        <v>9</v>
      </c>
      <c r="H17" s="278">
        <f t="shared" si="1"/>
        <v>-6.8000000000000007</v>
      </c>
      <c r="I17" s="278">
        <f>'[5]Degree Days 2018'!I17</f>
        <v>8</v>
      </c>
      <c r="J17" s="278">
        <f>'[1]Degree Days 2020'!J17</f>
        <v>19</v>
      </c>
      <c r="K17" s="278">
        <f>'[1]Degree Days 2020'!K17</f>
        <v>13</v>
      </c>
      <c r="L17" s="278">
        <f t="shared" si="2"/>
        <v>-2.3000000000000007</v>
      </c>
      <c r="M17" s="278">
        <f>'[1]Degree Days 2020'!M17</f>
        <v>8</v>
      </c>
      <c r="N17" s="278">
        <f>'[1]Degree Days 2020'!N17</f>
        <v>19</v>
      </c>
      <c r="O17" s="278">
        <f>'[1]Degree Days 2020'!O17</f>
        <v>15</v>
      </c>
      <c r="P17" s="278">
        <f t="shared" si="3"/>
        <v>-1.3000000000000007</v>
      </c>
      <c r="Q17" s="546">
        <v>8</v>
      </c>
      <c r="R17" s="278">
        <f>'[1]Degree Days 2020'!R17</f>
        <v>23</v>
      </c>
      <c r="S17" s="278">
        <f>'[1]Degree Days 2020'!S17</f>
        <v>17</v>
      </c>
      <c r="T17" s="278">
        <f t="shared" si="4"/>
        <v>1.6999999999999993</v>
      </c>
      <c r="U17" s="546">
        <v>8</v>
      </c>
      <c r="V17" s="278">
        <f>'[1]Degree Days 2020'!V17</f>
        <v>26</v>
      </c>
      <c r="W17" s="278">
        <f>'[1]Degree Days 2020'!W17</f>
        <v>22</v>
      </c>
      <c r="X17" s="278">
        <f t="shared" si="5"/>
        <v>5.6999999999999993</v>
      </c>
      <c r="Z17" t="s">
        <v>177</v>
      </c>
      <c r="AA17" s="278"/>
      <c r="AB17" s="278"/>
    </row>
    <row r="18" spans="1:28">
      <c r="A18" s="117">
        <v>9</v>
      </c>
      <c r="B18" s="278">
        <f>'[1]Degree Days 2020'!B18</f>
        <v>14</v>
      </c>
      <c r="C18" s="278">
        <f>'[1]Degree Days 2020'!C18</f>
        <v>11</v>
      </c>
      <c r="D18" s="278">
        <f t="shared" si="0"/>
        <v>-5.8000000000000007</v>
      </c>
      <c r="E18" s="278">
        <f>'[1]Degree Days 2020'!E18</f>
        <v>9</v>
      </c>
      <c r="F18" s="278">
        <f>'[1]Degree Days 2020'!F18</f>
        <v>9</v>
      </c>
      <c r="G18" s="278">
        <f>'[1]Degree Days 2020'!G18</f>
        <v>8</v>
      </c>
      <c r="H18" s="278">
        <f t="shared" si="1"/>
        <v>-9.8000000000000007</v>
      </c>
      <c r="I18" s="278">
        <f>'[5]Degree Days 2018'!I18</f>
        <v>9</v>
      </c>
      <c r="J18" s="278">
        <f>'[1]Degree Days 2020'!J18</f>
        <v>20</v>
      </c>
      <c r="K18" s="278">
        <f>'[1]Degree Days 2020'!K18</f>
        <v>14</v>
      </c>
      <c r="L18" s="278">
        <f t="shared" si="2"/>
        <v>-1.3000000000000007</v>
      </c>
      <c r="M18" s="278">
        <f>'[1]Degree Days 2020'!M18</f>
        <v>9</v>
      </c>
      <c r="N18" s="278">
        <f>'[1]Degree Days 2020'!N18</f>
        <v>18</v>
      </c>
      <c r="O18" s="278">
        <f>'[1]Degree Days 2020'!O18</f>
        <v>15</v>
      </c>
      <c r="P18" s="278">
        <f t="shared" si="3"/>
        <v>-1.8000000000000007</v>
      </c>
      <c r="Q18" s="546">
        <v>9</v>
      </c>
      <c r="R18" s="278">
        <f>'[1]Degree Days 2020'!R18</f>
        <v>24</v>
      </c>
      <c r="S18" s="278">
        <f>'[1]Degree Days 2020'!S18</f>
        <v>18</v>
      </c>
      <c r="T18" s="278">
        <f t="shared" si="4"/>
        <v>2.6999999999999993</v>
      </c>
      <c r="U18" s="546">
        <v>9</v>
      </c>
      <c r="V18" s="278">
        <f>'[1]Degree Days 2020'!V18</f>
        <v>28</v>
      </c>
      <c r="W18" s="278">
        <f>'[1]Degree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'[1]Degree Days 2020'!B19</f>
        <v>17</v>
      </c>
      <c r="C19" s="278">
        <f>'[1]Degree Days 2020'!C19</f>
        <v>12</v>
      </c>
      <c r="D19" s="278">
        <f t="shared" si="0"/>
        <v>-3.8000000000000007</v>
      </c>
      <c r="E19" s="278">
        <f>'[1]Degree Days 2020'!E19</f>
        <v>10</v>
      </c>
      <c r="F19" s="278">
        <f>'[1]Degree Days 2020'!F19</f>
        <v>10</v>
      </c>
      <c r="G19" s="278">
        <f>'[1]Degree Days 2020'!G19</f>
        <v>7</v>
      </c>
      <c r="H19" s="278">
        <f t="shared" si="1"/>
        <v>-9.8000000000000007</v>
      </c>
      <c r="I19" s="278">
        <f>'[5]Degree Days 2018'!I19</f>
        <v>10</v>
      </c>
      <c r="J19" s="278">
        <f>'[1]Degree Days 2020'!J19</f>
        <v>19</v>
      </c>
      <c r="K19" s="278">
        <f>'[1]Degree Days 2020'!K19</f>
        <v>16</v>
      </c>
      <c r="L19" s="278">
        <f t="shared" si="2"/>
        <v>-0.80000000000000071</v>
      </c>
      <c r="M19" s="278">
        <f>'[1]Degree Days 2020'!M19</f>
        <v>10</v>
      </c>
      <c r="N19" s="278">
        <f>'[1]Degree Days 2020'!N19</f>
        <v>16</v>
      </c>
      <c r="O19" s="278">
        <f>'[1]Degree Days 2020'!O19</f>
        <v>13</v>
      </c>
      <c r="P19" s="278">
        <f t="shared" si="3"/>
        <v>-3.8000000000000007</v>
      </c>
      <c r="Q19" s="546">
        <v>10</v>
      </c>
      <c r="R19" s="278">
        <f>'[1]Degree Days 2020'!R19</f>
        <v>23</v>
      </c>
      <c r="S19" s="278">
        <f>'[1]Degree Days 2020'!S19</f>
        <v>17</v>
      </c>
      <c r="T19" s="278">
        <f t="shared" si="4"/>
        <v>1.6999999999999993</v>
      </c>
      <c r="U19" s="546">
        <v>10</v>
      </c>
      <c r="V19" s="278">
        <f>'[1]Degree Days 2020'!V19</f>
        <v>28</v>
      </c>
      <c r="W19" s="278">
        <f>'[1]Degree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'[1]Degree Days 2020'!B20</f>
        <v>17</v>
      </c>
      <c r="C20" s="278">
        <f>'[1]Degree Days 2020'!C20</f>
        <v>13</v>
      </c>
      <c r="D20" s="278">
        <f t="shared" si="0"/>
        <v>-3.3000000000000007</v>
      </c>
      <c r="E20" s="278">
        <f>'[1]Degree Days 2020'!E20</f>
        <v>11</v>
      </c>
      <c r="F20" s="278">
        <f>'[1]Degree Days 2020'!F20</f>
        <v>14</v>
      </c>
      <c r="G20" s="278">
        <f>'[1]Degree Days 2020'!G20</f>
        <v>8</v>
      </c>
      <c r="H20" s="278">
        <f t="shared" si="1"/>
        <v>-7.3000000000000007</v>
      </c>
      <c r="I20" s="278">
        <f>'[5]Degree Days 2018'!I20</f>
        <v>11</v>
      </c>
      <c r="J20" s="278">
        <f>'[1]Degree Days 2020'!J20</f>
        <v>18</v>
      </c>
      <c r="K20" s="278">
        <f>'[1]Degree Days 2020'!K20</f>
        <v>14</v>
      </c>
      <c r="L20" s="278">
        <f t="shared" si="2"/>
        <v>-2.3000000000000007</v>
      </c>
      <c r="M20" s="278">
        <f>'[1]Degree Days 2020'!M20</f>
        <v>11</v>
      </c>
      <c r="N20" s="278">
        <f>'[1]Degree Days 2020'!N20</f>
        <v>17</v>
      </c>
      <c r="O20" s="278">
        <f>'[1]Degree Days 2020'!O20</f>
        <v>14</v>
      </c>
      <c r="P20" s="278">
        <f t="shared" si="3"/>
        <v>-2.8000000000000007</v>
      </c>
      <c r="Q20" s="546">
        <v>11</v>
      </c>
      <c r="R20" s="278">
        <f>'[1]Degree Days 2020'!R20</f>
        <v>23</v>
      </c>
      <c r="S20" s="278">
        <f>'[1]Degree Days 2020'!S20</f>
        <v>18</v>
      </c>
      <c r="T20" s="278">
        <f t="shared" si="4"/>
        <v>2.1999999999999993</v>
      </c>
      <c r="U20" s="546">
        <v>11</v>
      </c>
      <c r="V20" s="278">
        <f>'[1]Degree Days 2020'!V20</f>
        <v>28</v>
      </c>
      <c r="W20" s="278">
        <f>'[1]Degree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'[1]Degree Days 2020'!B21</f>
        <v>16</v>
      </c>
      <c r="C21" s="278">
        <f>'[1]Degree Days 2020'!C21</f>
        <v>12</v>
      </c>
      <c r="D21" s="278">
        <f t="shared" si="0"/>
        <v>-4.3000000000000007</v>
      </c>
      <c r="E21" s="278">
        <f>'[1]Degree Days 2020'!E21</f>
        <v>12</v>
      </c>
      <c r="F21" s="278">
        <f>'[1]Degree Days 2020'!F21</f>
        <v>16</v>
      </c>
      <c r="G21" s="278">
        <f>'[1]Degree Days 2020'!G21</f>
        <v>13</v>
      </c>
      <c r="H21" s="278">
        <f t="shared" si="1"/>
        <v>-3.8000000000000007</v>
      </c>
      <c r="I21" s="278">
        <f>'[5]Degree Days 2018'!I21</f>
        <v>12</v>
      </c>
      <c r="J21" s="278">
        <f>'[1]Degree Days 2020'!J21</f>
        <v>27</v>
      </c>
      <c r="K21" s="278">
        <f>'[1]Degree Days 2020'!K21</f>
        <v>16</v>
      </c>
      <c r="L21" s="278">
        <f t="shared" si="2"/>
        <v>3.1999999999999993</v>
      </c>
      <c r="M21" s="278">
        <f>'[1]Degree Days 2020'!M21</f>
        <v>12</v>
      </c>
      <c r="N21" s="278">
        <f>'[1]Degree Days 2020'!N21</f>
        <v>20</v>
      </c>
      <c r="O21" s="278">
        <f>'[1]Degree Days 2020'!O21</f>
        <v>14</v>
      </c>
      <c r="P21" s="278">
        <f t="shared" si="3"/>
        <v>-1.3000000000000007</v>
      </c>
      <c r="Q21" s="546">
        <v>12</v>
      </c>
      <c r="R21" s="278">
        <f>'[1]Degree Days 2020'!R21</f>
        <v>24</v>
      </c>
      <c r="S21" s="278">
        <f>'[1]Degree Days 2020'!S21</f>
        <v>18</v>
      </c>
      <c r="T21" s="278">
        <f t="shared" si="4"/>
        <v>2.6999999999999993</v>
      </c>
      <c r="U21" s="546">
        <v>12</v>
      </c>
      <c r="V21" s="278">
        <f>'[1]Degree Days 2020'!V21</f>
        <v>27</v>
      </c>
      <c r="W21" s="278">
        <f>'[1]Degree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'[1]Degree Days 2020'!B22</f>
        <v>17</v>
      </c>
      <c r="C22" s="278">
        <f>'[1]Degree Days 2020'!C22</f>
        <v>13</v>
      </c>
      <c r="D22" s="278">
        <f t="shared" si="0"/>
        <v>-3.3000000000000007</v>
      </c>
      <c r="E22" s="278">
        <f>'[1]Degree Days 2020'!E22</f>
        <v>13</v>
      </c>
      <c r="F22" s="278">
        <f>'[1]Degree Days 2020'!F22</f>
        <v>17</v>
      </c>
      <c r="G22" s="278">
        <f>'[1]Degree Days 2020'!G22</f>
        <v>14</v>
      </c>
      <c r="H22" s="278">
        <f t="shared" si="1"/>
        <v>-2.8000000000000007</v>
      </c>
      <c r="I22" s="278">
        <f>'[5]Degree Days 2018'!I22</f>
        <v>13</v>
      </c>
      <c r="J22" s="278">
        <f>'[1]Degree Days 2020'!J22</f>
        <v>26</v>
      </c>
      <c r="K22" s="278">
        <f>'[1]Degree Days 2020'!K22</f>
        <v>15</v>
      </c>
      <c r="L22" s="278">
        <f t="shared" si="2"/>
        <v>2.1999999999999993</v>
      </c>
      <c r="M22" s="278">
        <f>'[1]Degree Days 2020'!M22</f>
        <v>13</v>
      </c>
      <c r="N22" s="278">
        <f>'[1]Degree Days 2020'!N22</f>
        <v>21</v>
      </c>
      <c r="O22" s="278">
        <f>'[1]Degree Days 2020'!O22</f>
        <v>15</v>
      </c>
      <c r="P22" s="278">
        <f t="shared" si="3"/>
        <v>-0.30000000000000071</v>
      </c>
      <c r="Q22" s="546">
        <v>13</v>
      </c>
      <c r="R22" s="278">
        <f>'[1]Degree Days 2020'!R22</f>
        <v>27</v>
      </c>
      <c r="S22" s="278">
        <f>'[1]Degree Days 2020'!S22</f>
        <v>21</v>
      </c>
      <c r="T22" s="278">
        <f t="shared" si="4"/>
        <v>5.6999999999999993</v>
      </c>
      <c r="U22" s="546">
        <v>13</v>
      </c>
      <c r="V22" s="278">
        <f>'[1]Degree Days 2020'!V22</f>
        <v>25</v>
      </c>
      <c r="W22" s="278">
        <f>'[1]Degree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'[1]Degree Days 2020'!B23</f>
        <v>16</v>
      </c>
      <c r="C23" s="278">
        <f>'[1]Degree Days 2020'!C23</f>
        <v>12</v>
      </c>
      <c r="D23" s="278">
        <f t="shared" si="0"/>
        <v>-4.3000000000000007</v>
      </c>
      <c r="E23" s="278">
        <f>'[1]Degree Days 2020'!E23</f>
        <v>14</v>
      </c>
      <c r="F23" s="278">
        <f>'[1]Degree Days 2020'!F23</f>
        <v>17</v>
      </c>
      <c r="G23" s="278">
        <f>'[1]Degree Days 2020'!G23</f>
        <v>11</v>
      </c>
      <c r="H23" s="278">
        <f t="shared" si="1"/>
        <v>-4.3000000000000007</v>
      </c>
      <c r="I23" s="278">
        <f>'[5]Degree Days 2018'!I23</f>
        <v>14</v>
      </c>
      <c r="J23" s="278">
        <f>'[1]Degree Days 2020'!J23</f>
        <v>19</v>
      </c>
      <c r="K23" s="278">
        <f>'[1]Degree Days 2020'!K23</f>
        <v>15</v>
      </c>
      <c r="L23" s="278">
        <f t="shared" si="2"/>
        <v>-1.3000000000000007</v>
      </c>
      <c r="M23" s="278">
        <f>'[1]Degree Days 2020'!M23</f>
        <v>14</v>
      </c>
      <c r="N23" s="278">
        <f>'[1]Degree Days 2020'!N23</f>
        <v>22</v>
      </c>
      <c r="O23" s="278">
        <f>'[1]Degree Days 2020'!O23</f>
        <v>16</v>
      </c>
      <c r="P23" s="278">
        <f t="shared" si="3"/>
        <v>0.69999999999999929</v>
      </c>
      <c r="Q23" s="546">
        <v>14</v>
      </c>
      <c r="R23" s="278">
        <f>'[1]Degree Days 2020'!R23</f>
        <v>29</v>
      </c>
      <c r="S23" s="278">
        <f>'[1]Degree Days 2020'!S23</f>
        <v>22</v>
      </c>
      <c r="T23" s="278">
        <f t="shared" si="4"/>
        <v>7.1999999999999993</v>
      </c>
      <c r="U23" s="546">
        <v>14</v>
      </c>
      <c r="V23" s="278">
        <f>'[1]Degree Days 2020'!V23</f>
        <v>26</v>
      </c>
      <c r="W23" s="278">
        <f>'[1]Degree Days 2020'!W23</f>
        <v>21</v>
      </c>
      <c r="X23" s="278">
        <f t="shared" si="5"/>
        <v>5.1999999999999993</v>
      </c>
      <c r="AA23" s="134">
        <f>SUM(AA10:AA22)</f>
        <v>-682.3</v>
      </c>
      <c r="AB23" s="134">
        <f>SUM(AB10:AB22)</f>
        <v>506.70000000000005</v>
      </c>
    </row>
    <row r="24" spans="1:28">
      <c r="A24" s="117">
        <v>15</v>
      </c>
      <c r="B24" s="278">
        <f>'[1]Degree Days 2020'!B24</f>
        <v>17</v>
      </c>
      <c r="C24" s="278">
        <f>'[1]Degree Days 2020'!C24</f>
        <v>13</v>
      </c>
      <c r="D24" s="278">
        <f t="shared" si="0"/>
        <v>-3.3000000000000007</v>
      </c>
      <c r="E24" s="278">
        <f>'[1]Degree Days 2020'!E24</f>
        <v>15</v>
      </c>
      <c r="F24" s="278">
        <f>'[1]Degree Days 2020'!F24</f>
        <v>17</v>
      </c>
      <c r="G24" s="278">
        <f>'[1]Degree Days 2020'!G24</f>
        <v>12</v>
      </c>
      <c r="H24" s="278">
        <f t="shared" si="1"/>
        <v>-3.8000000000000007</v>
      </c>
      <c r="I24" s="278">
        <f>'[5]Degree Days 2018'!I24</f>
        <v>15</v>
      </c>
      <c r="J24" s="278">
        <f>'[1]Degree Days 2020'!J24</f>
        <v>19</v>
      </c>
      <c r="K24" s="278">
        <f>'[1]Degree Days 2020'!K24</f>
        <v>15</v>
      </c>
      <c r="L24" s="278">
        <f t="shared" si="2"/>
        <v>-1.3000000000000007</v>
      </c>
      <c r="M24" s="278">
        <f>'[1]Degree Days 2020'!M24</f>
        <v>15</v>
      </c>
      <c r="N24" s="278">
        <f>'[1]Degree Days 2020'!N24</f>
        <v>20</v>
      </c>
      <c r="O24" s="278">
        <f>'[1]Degree Days 2020'!O24</f>
        <v>16</v>
      </c>
      <c r="P24" s="278">
        <f t="shared" si="3"/>
        <v>-0.30000000000000071</v>
      </c>
      <c r="Q24" s="546">
        <v>15</v>
      </c>
      <c r="R24" s="278">
        <f>'[1]Degree Days 2020'!R24</f>
        <v>30</v>
      </c>
      <c r="S24" s="278">
        <f>'[1]Degree Days 2020'!S24</f>
        <v>23</v>
      </c>
      <c r="T24" s="278">
        <f t="shared" si="4"/>
        <v>8.1999999999999993</v>
      </c>
      <c r="U24" s="546">
        <v>15</v>
      </c>
      <c r="V24" s="278">
        <f>'[1]Degree Days 2020'!V24</f>
        <v>26</v>
      </c>
      <c r="W24" s="278">
        <f>'[1]Degree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'[1]Degree Days 2020'!B25</f>
        <v>19</v>
      </c>
      <c r="C25" s="278">
        <f>'[1]Degree Days 2020'!C25</f>
        <v>13</v>
      </c>
      <c r="D25" s="278">
        <f t="shared" si="0"/>
        <v>-2.3000000000000007</v>
      </c>
      <c r="E25" s="278">
        <f>'[1]Degree Days 2020'!E25</f>
        <v>16</v>
      </c>
      <c r="F25" s="278">
        <f>'[1]Degree Days 2020'!F25</f>
        <v>17</v>
      </c>
      <c r="G25" s="278">
        <f>'[1]Degree Days 2020'!G25</f>
        <v>11</v>
      </c>
      <c r="H25" s="278">
        <f t="shared" si="1"/>
        <v>-4.3000000000000007</v>
      </c>
      <c r="I25" s="278">
        <f>'[5]Degree Days 2018'!I25</f>
        <v>16</v>
      </c>
      <c r="J25" s="278">
        <f>'[1]Degree Days 2020'!J25</f>
        <v>18</v>
      </c>
      <c r="K25" s="278">
        <f>'[1]Degree Days 2020'!K25</f>
        <v>11</v>
      </c>
      <c r="L25" s="278">
        <f t="shared" si="2"/>
        <v>-3.8000000000000007</v>
      </c>
      <c r="M25" s="278">
        <f>'[1]Degree Days 2020'!M25</f>
        <v>16</v>
      </c>
      <c r="N25" s="278">
        <f>'[1]Degree Days 2020'!N25</f>
        <v>20</v>
      </c>
      <c r="O25" s="278">
        <f>'[1]Degree Days 2020'!O25</f>
        <v>15</v>
      </c>
      <c r="P25" s="278">
        <f t="shared" si="3"/>
        <v>-0.80000000000000071</v>
      </c>
      <c r="Q25" s="546">
        <v>16</v>
      </c>
      <c r="R25" s="278">
        <f>'[1]Degree Days 2020'!R25</f>
        <v>32</v>
      </c>
      <c r="S25" s="278">
        <f>'[1]Degree Days 2020'!S25</f>
        <v>24</v>
      </c>
      <c r="T25" s="278">
        <f t="shared" si="4"/>
        <v>9.6999999999999993</v>
      </c>
      <c r="U25" s="546">
        <v>16</v>
      </c>
      <c r="V25" s="278">
        <f>'[1]Degree Days 2020'!V25</f>
        <v>26</v>
      </c>
      <c r="W25" s="278">
        <f>'[1]Degree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'[1]Degree Days 2020'!B26</f>
        <v>20</v>
      </c>
      <c r="C26" s="278">
        <f>'[1]Degree Days 2020'!C26</f>
        <v>13</v>
      </c>
      <c r="D26" s="278">
        <f t="shared" si="0"/>
        <v>-1.8000000000000007</v>
      </c>
      <c r="E26" s="278">
        <f>'[1]Degree Days 2020'!E26</f>
        <v>17</v>
      </c>
      <c r="F26" s="278">
        <f>'[1]Degree Days 2020'!F26</f>
        <v>16</v>
      </c>
      <c r="G26" s="278">
        <f>'[1]Degree Days 2020'!G26</f>
        <v>12</v>
      </c>
      <c r="H26" s="278">
        <f t="shared" si="1"/>
        <v>-4.3000000000000007</v>
      </c>
      <c r="I26" s="278">
        <f>'[5]Degree Days 2018'!I26</f>
        <v>17</v>
      </c>
      <c r="J26" s="278">
        <f>'[1]Degree Days 2020'!J26</f>
        <v>19</v>
      </c>
      <c r="K26" s="278">
        <f>'[1]Degree Days 2020'!K26</f>
        <v>12</v>
      </c>
      <c r="L26" s="278">
        <f t="shared" si="2"/>
        <v>-2.8000000000000007</v>
      </c>
      <c r="M26" s="278">
        <f>'[1]Degree Days 2020'!M26</f>
        <v>17</v>
      </c>
      <c r="N26" s="278">
        <f>'[1]Degree Days 2020'!N26</f>
        <v>22</v>
      </c>
      <c r="O26" s="278">
        <f>'[1]Degree Days 2020'!O26</f>
        <v>17</v>
      </c>
      <c r="P26" s="278">
        <f t="shared" si="3"/>
        <v>1.1999999999999993</v>
      </c>
      <c r="Q26" s="546">
        <v>17</v>
      </c>
      <c r="R26" s="278">
        <f>'[1]Degree Days 2020'!R26</f>
        <v>36</v>
      </c>
      <c r="S26" s="278">
        <f>'[1]Degree Days 2020'!S26</f>
        <v>26</v>
      </c>
      <c r="T26" s="278">
        <f t="shared" si="4"/>
        <v>12.7</v>
      </c>
      <c r="U26" s="546">
        <v>17</v>
      </c>
      <c r="V26" s="278">
        <f>'[1]Degree Days 2020'!V26</f>
        <v>27</v>
      </c>
      <c r="W26" s="278">
        <f>'[1]Degree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'[1]Degree Days 2020'!B27</f>
        <v>14</v>
      </c>
      <c r="C27" s="278">
        <f>'[1]Degree Days 2020'!C27</f>
        <v>13</v>
      </c>
      <c r="D27" s="278">
        <f t="shared" si="0"/>
        <v>-4.8000000000000007</v>
      </c>
      <c r="E27" s="278">
        <f>'[1]Degree Days 2020'!E27</f>
        <v>18</v>
      </c>
      <c r="F27" s="278">
        <f>'[1]Degree Days 2020'!F27</f>
        <v>17</v>
      </c>
      <c r="G27" s="278">
        <f>'[1]Degree Days 2020'!G27</f>
        <v>11</v>
      </c>
      <c r="H27" s="278">
        <f t="shared" si="1"/>
        <v>-4.3000000000000007</v>
      </c>
      <c r="I27" s="278">
        <f>'[5]Degree Days 2018'!I27</f>
        <v>18</v>
      </c>
      <c r="J27" s="278">
        <f>'[1]Degree Days 2020'!J27</f>
        <v>15</v>
      </c>
      <c r="K27" s="278">
        <f>'[1]Degree Days 2020'!K27</f>
        <v>13</v>
      </c>
      <c r="L27" s="278">
        <f t="shared" si="2"/>
        <v>-4.3000000000000007</v>
      </c>
      <c r="M27" s="278">
        <f>'[1]Degree Days 2020'!M27</f>
        <v>18</v>
      </c>
      <c r="N27" s="278">
        <f>'[1]Degree Days 2020'!N27</f>
        <v>24</v>
      </c>
      <c r="O27" s="278">
        <f>'[1]Degree Days 2020'!O27</f>
        <v>17</v>
      </c>
      <c r="P27" s="278">
        <f t="shared" si="3"/>
        <v>2.1999999999999993</v>
      </c>
      <c r="Q27" s="546">
        <v>18</v>
      </c>
      <c r="R27" s="278">
        <f>'[1]Degree Days 2020'!R27</f>
        <v>32</v>
      </c>
      <c r="S27" s="278">
        <f>'[1]Degree Days 2020'!S27</f>
        <v>24</v>
      </c>
      <c r="T27" s="278">
        <f t="shared" si="4"/>
        <v>9.6999999999999993</v>
      </c>
      <c r="U27" s="546">
        <v>18</v>
      </c>
      <c r="V27" s="278">
        <f>'[1]Degree Days 2020'!V27</f>
        <v>27</v>
      </c>
      <c r="W27" s="278">
        <f>'[1]Degree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'[1]Degree Days 2020'!B28</f>
        <v>15</v>
      </c>
      <c r="C28" s="278">
        <f>'[1]Degree Days 2020'!C28</f>
        <v>13</v>
      </c>
      <c r="D28" s="278">
        <f t="shared" si="0"/>
        <v>-4.3000000000000007</v>
      </c>
      <c r="E28" s="278">
        <f>'[1]Degree Days 2020'!E28</f>
        <v>19</v>
      </c>
      <c r="F28" s="278">
        <f>'[1]Degree Days 2020'!F28</f>
        <v>17</v>
      </c>
      <c r="G28" s="278">
        <f>'[1]Degree Days 2020'!G28</f>
        <v>14</v>
      </c>
      <c r="H28" s="278">
        <f t="shared" si="1"/>
        <v>-2.8000000000000007</v>
      </c>
      <c r="I28" s="278">
        <f>'[5]Degree Days 2018'!I28</f>
        <v>19</v>
      </c>
      <c r="J28" s="278">
        <f>'[1]Degree Days 2020'!J28</f>
        <v>17</v>
      </c>
      <c r="K28" s="278">
        <f>'[1]Degree Days 2020'!K28</f>
        <v>14</v>
      </c>
      <c r="L28" s="278">
        <f t="shared" si="2"/>
        <v>-2.8000000000000007</v>
      </c>
      <c r="M28" s="278">
        <f>'[1]Degree Days 2020'!M28</f>
        <v>19</v>
      </c>
      <c r="N28" s="278">
        <f>'[1]Degree Days 2020'!N28</f>
        <v>24</v>
      </c>
      <c r="O28" s="278">
        <f>'[1]Degree Days 2020'!O28</f>
        <v>17</v>
      </c>
      <c r="P28" s="278">
        <f t="shared" si="3"/>
        <v>2.1999999999999993</v>
      </c>
      <c r="Q28" s="546">
        <v>19</v>
      </c>
      <c r="R28" s="278">
        <f>'[1]Degree Days 2020'!R28</f>
        <v>34</v>
      </c>
      <c r="S28" s="278">
        <f>'[1]Degree Days 2020'!S28</f>
        <v>27</v>
      </c>
      <c r="T28" s="278">
        <f t="shared" si="4"/>
        <v>12.2</v>
      </c>
      <c r="U28" s="546">
        <v>19</v>
      </c>
      <c r="V28" s="278">
        <f>'[1]Degree Days 2020'!V28</f>
        <v>27</v>
      </c>
      <c r="W28" s="278">
        <f>'[1]Degree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'[1]Degree Days 2020'!B29</f>
        <v>15</v>
      </c>
      <c r="C29" s="278">
        <f>'[1]Degree Days 2020'!C29</f>
        <v>10</v>
      </c>
      <c r="D29" s="278">
        <f t="shared" si="0"/>
        <v>-5.8000000000000007</v>
      </c>
      <c r="E29" s="278">
        <f>'[1]Degree Days 2020'!E29</f>
        <v>20</v>
      </c>
      <c r="F29" s="278">
        <f>'[1]Degree Days 2020'!F29</f>
        <v>17</v>
      </c>
      <c r="G29" s="278">
        <f>'[1]Degree Days 2020'!G29</f>
        <v>14</v>
      </c>
      <c r="H29" s="278">
        <f t="shared" si="1"/>
        <v>-2.8000000000000007</v>
      </c>
      <c r="I29" s="278">
        <f>'[5]Degree Days 2018'!I29</f>
        <v>20</v>
      </c>
      <c r="J29" s="278">
        <f>'[1]Degree Days 2020'!J29</f>
        <v>16</v>
      </c>
      <c r="K29" s="278">
        <f>'[1]Degree Days 2020'!K29</f>
        <v>13</v>
      </c>
      <c r="L29" s="278">
        <f t="shared" si="2"/>
        <v>-3.8000000000000007</v>
      </c>
      <c r="M29" s="278">
        <f>'[1]Degree Days 2020'!M29</f>
        <v>20</v>
      </c>
      <c r="N29" s="278">
        <f>'[1]Degree Days 2020'!N29</f>
        <v>23</v>
      </c>
      <c r="O29" s="278">
        <f>'[1]Degree Days 2020'!O29</f>
        <v>18</v>
      </c>
      <c r="P29" s="278">
        <f t="shared" si="3"/>
        <v>2.1999999999999993</v>
      </c>
      <c r="Q29" s="546">
        <v>20</v>
      </c>
      <c r="R29" s="278">
        <f>'[1]Degree Days 2020'!R29</f>
        <v>30</v>
      </c>
      <c r="S29" s="278">
        <f>'[1]Degree Days 2020'!S29</f>
        <v>22</v>
      </c>
      <c r="T29" s="278">
        <f t="shared" si="4"/>
        <v>7.6999999999999993</v>
      </c>
      <c r="U29" s="546">
        <v>20</v>
      </c>
      <c r="V29" s="278">
        <f>'[1]Degree Days 2020'!V29</f>
        <v>26</v>
      </c>
      <c r="W29" s="278">
        <f>'[1]Degree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'[1]Degree Days 2020'!B30</f>
        <v>13</v>
      </c>
      <c r="C30" s="278">
        <f>'[1]Degree Days 2020'!C30</f>
        <v>9</v>
      </c>
      <c r="D30" s="278">
        <f t="shared" si="0"/>
        <v>-7.3000000000000007</v>
      </c>
      <c r="E30" s="278">
        <f>'[1]Degree Days 2020'!E30</f>
        <v>21</v>
      </c>
      <c r="F30" s="278">
        <f>'[1]Degree Days 2020'!F30</f>
        <v>16</v>
      </c>
      <c r="G30" s="278">
        <f>'[1]Degree Days 2020'!G30</f>
        <v>12</v>
      </c>
      <c r="H30" s="278">
        <f t="shared" si="1"/>
        <v>-4.3000000000000007</v>
      </c>
      <c r="I30" s="278">
        <f>'[5]Degree Days 2018'!I30</f>
        <v>21</v>
      </c>
      <c r="J30" s="278">
        <f>'[1]Degree Days 2020'!J30</f>
        <v>17</v>
      </c>
      <c r="K30" s="278">
        <f>'[1]Degree Days 2020'!K30</f>
        <v>14</v>
      </c>
      <c r="L30" s="278">
        <f t="shared" si="2"/>
        <v>-2.8000000000000007</v>
      </c>
      <c r="M30" s="278">
        <f>'[1]Degree Days 2020'!M30</f>
        <v>21</v>
      </c>
      <c r="N30" s="278">
        <f>'[1]Degree Days 2020'!N30</f>
        <v>24</v>
      </c>
      <c r="O30" s="278">
        <f>'[1]Degree Days 2020'!O30</f>
        <v>18</v>
      </c>
      <c r="P30" s="278">
        <f t="shared" si="3"/>
        <v>2.6999999999999993</v>
      </c>
      <c r="Q30" s="546">
        <v>21</v>
      </c>
      <c r="R30" s="278">
        <f>'[1]Degree Days 2020'!R30</f>
        <v>31</v>
      </c>
      <c r="S30" s="278">
        <f>'[1]Degree Days 2020'!S30</f>
        <v>23</v>
      </c>
      <c r="T30" s="278">
        <f t="shared" si="4"/>
        <v>8.6999999999999993</v>
      </c>
      <c r="U30" s="546">
        <v>21</v>
      </c>
      <c r="V30" s="278">
        <f>'[1]Degree Days 2020'!V30</f>
        <v>29</v>
      </c>
      <c r="W30" s="278">
        <f>'[1]Degree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'[1]Degree Days 2020'!B31</f>
        <v>14</v>
      </c>
      <c r="C31" s="278">
        <f>'[1]Degree Days 2020'!C31</f>
        <v>10</v>
      </c>
      <c r="D31" s="278">
        <f t="shared" si="0"/>
        <v>-6.3000000000000007</v>
      </c>
      <c r="E31" s="278">
        <f>'[1]Degree Days 2020'!E31</f>
        <v>22</v>
      </c>
      <c r="F31" s="278">
        <f>'[1]Degree Days 2020'!F31</f>
        <v>17</v>
      </c>
      <c r="G31" s="278">
        <f>'[1]Degree Days 2020'!G31</f>
        <v>12</v>
      </c>
      <c r="H31" s="278">
        <f t="shared" si="1"/>
        <v>-3.8000000000000007</v>
      </c>
      <c r="I31" s="278">
        <f>'[5]Degree Days 2018'!I31</f>
        <v>22</v>
      </c>
      <c r="J31" s="278">
        <f>'[1]Degree Days 2020'!J31</f>
        <v>19</v>
      </c>
      <c r="K31" s="278">
        <f>'[1]Degree Days 2020'!K31</f>
        <v>14</v>
      </c>
      <c r="L31" s="278">
        <f t="shared" si="2"/>
        <v>-1.8000000000000007</v>
      </c>
      <c r="M31" s="278">
        <f>'[1]Degree Days 2020'!M31</f>
        <v>22</v>
      </c>
      <c r="N31" s="278">
        <f>'[1]Degree Days 2020'!N31</f>
        <v>25</v>
      </c>
      <c r="O31" s="278">
        <f>'[1]Degree Days 2020'!O31</f>
        <v>18</v>
      </c>
      <c r="P31" s="278">
        <f t="shared" si="3"/>
        <v>3.1999999999999993</v>
      </c>
      <c r="Q31" s="546">
        <v>22</v>
      </c>
      <c r="R31" s="278">
        <f>'[1]Degree Days 2020'!R31</f>
        <v>25</v>
      </c>
      <c r="S31" s="278">
        <f>'[1]Degree Days 2020'!S31</f>
        <v>16</v>
      </c>
      <c r="T31" s="278">
        <f t="shared" si="4"/>
        <v>2.1999999999999993</v>
      </c>
      <c r="U31" s="546">
        <v>22</v>
      </c>
      <c r="V31" s="278">
        <f>'[1]Degree Days 2020'!V31</f>
        <v>29</v>
      </c>
      <c r="W31" s="278">
        <f>'[1]Degree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'[1]Degree Days 2020'!B32</f>
        <v>13</v>
      </c>
      <c r="C32" s="278">
        <f>'[1]Degree Days 2020'!C32</f>
        <v>7</v>
      </c>
      <c r="D32" s="278">
        <f t="shared" si="0"/>
        <v>-8.3000000000000007</v>
      </c>
      <c r="E32" s="278">
        <f>'[1]Degree Days 2020'!E32</f>
        <v>23</v>
      </c>
      <c r="F32" s="278">
        <f>'[1]Degree Days 2020'!F32</f>
        <v>16</v>
      </c>
      <c r="G32" s="278">
        <f>'[1]Degree Days 2020'!G32</f>
        <v>14</v>
      </c>
      <c r="H32" s="278">
        <f t="shared" si="1"/>
        <v>-3.3000000000000007</v>
      </c>
      <c r="I32" s="278">
        <f>'[5]Degree Days 2018'!I32</f>
        <v>23</v>
      </c>
      <c r="J32" s="278">
        <f>'[1]Degree Days 2020'!J32</f>
        <v>21</v>
      </c>
      <c r="K32" s="278">
        <f>'[1]Degree Days 2020'!K32</f>
        <v>14</v>
      </c>
      <c r="L32" s="278">
        <f t="shared" si="2"/>
        <v>-0.80000000000000071</v>
      </c>
      <c r="M32" s="278">
        <f>'[1]Degree Days 2020'!M32</f>
        <v>23</v>
      </c>
      <c r="N32" s="278">
        <f>'[1]Degree Days 2020'!N32</f>
        <v>23</v>
      </c>
      <c r="O32" s="278">
        <f>'[1]Degree Days 2020'!O32</f>
        <v>15</v>
      </c>
      <c r="P32" s="278">
        <f t="shared" si="3"/>
        <v>0.69999999999999929</v>
      </c>
      <c r="Q32" s="546">
        <v>23</v>
      </c>
      <c r="R32" s="278">
        <f>'[1]Degree Days 2020'!R32</f>
        <v>22</v>
      </c>
      <c r="S32" s="278">
        <f>'[1]Degree Days 2020'!S32</f>
        <v>19</v>
      </c>
      <c r="T32" s="278">
        <f t="shared" si="4"/>
        <v>2.1999999999999993</v>
      </c>
      <c r="U32" s="546">
        <v>23</v>
      </c>
      <c r="V32" s="278">
        <f>'[1]Degree Days 2020'!V32</f>
        <v>27</v>
      </c>
      <c r="W32" s="278">
        <f>'[1]Degree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'[1]Degree Days 2020'!B33</f>
        <v>14</v>
      </c>
      <c r="C33" s="278">
        <f>'[1]Degree Days 2020'!C33</f>
        <v>8</v>
      </c>
      <c r="D33" s="278">
        <f t="shared" si="0"/>
        <v>-7.3000000000000007</v>
      </c>
      <c r="E33" s="278">
        <f>'[1]Degree Days 2020'!E33</f>
        <v>24</v>
      </c>
      <c r="F33" s="278">
        <f>'[1]Degree Days 2020'!F33</f>
        <v>17</v>
      </c>
      <c r="G33" s="278">
        <f>'[1]Degree Days 2020'!G33</f>
        <v>13</v>
      </c>
      <c r="H33" s="278">
        <f t="shared" si="1"/>
        <v>-3.3000000000000007</v>
      </c>
      <c r="I33" s="278">
        <f>'[5]Degree Days 2018'!I33</f>
        <v>24</v>
      </c>
      <c r="J33" s="278">
        <f>'[1]Degree Days 2020'!J33</f>
        <v>22</v>
      </c>
      <c r="K33" s="278">
        <f>'[1]Degree Days 2020'!K33</f>
        <v>15</v>
      </c>
      <c r="L33" s="278">
        <f t="shared" si="2"/>
        <v>0.19999999999999929</v>
      </c>
      <c r="M33" s="278">
        <f>'[1]Degree Days 2020'!M33</f>
        <v>24</v>
      </c>
      <c r="N33" s="278">
        <f>'[1]Degree Days 2020'!N33</f>
        <v>23</v>
      </c>
      <c r="O33" s="278">
        <f>'[1]Degree Days 2020'!O33</f>
        <v>16</v>
      </c>
      <c r="P33" s="278">
        <f t="shared" si="3"/>
        <v>1.1999999999999993</v>
      </c>
      <c r="Q33" s="546">
        <v>24</v>
      </c>
      <c r="R33" s="278">
        <f>'[1]Degree Days 2020'!R33</f>
        <v>24</v>
      </c>
      <c r="S33" s="278">
        <f>'[1]Degree Days 2020'!S33</f>
        <v>16</v>
      </c>
      <c r="T33" s="278">
        <f t="shared" si="4"/>
        <v>1.6999999999999993</v>
      </c>
      <c r="U33" s="546">
        <v>24</v>
      </c>
      <c r="V33" s="278">
        <f>'[1]Degree Days 2020'!V33</f>
        <v>27</v>
      </c>
      <c r="W33" s="278">
        <f>'[1]Degree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'[1]Degree Days 2020'!B34</f>
        <v>16</v>
      </c>
      <c r="C34" s="278">
        <f>'[1]Degree Days 2020'!C34</f>
        <v>10</v>
      </c>
      <c r="D34" s="278">
        <f t="shared" si="0"/>
        <v>-5.3000000000000007</v>
      </c>
      <c r="E34" s="278">
        <f>'[1]Degree Days 2020'!E34</f>
        <v>25</v>
      </c>
      <c r="F34" s="278">
        <f>'[1]Degree Days 2020'!F34</f>
        <v>17</v>
      </c>
      <c r="G34" s="278">
        <f>'[1]Degree Days 2020'!G34</f>
        <v>13</v>
      </c>
      <c r="H34" s="278">
        <f t="shared" si="1"/>
        <v>-3.3000000000000007</v>
      </c>
      <c r="I34" s="278">
        <f>'[5]Degree Days 2018'!I34</f>
        <v>25</v>
      </c>
      <c r="J34" s="278">
        <f>'[1]Degree Days 2020'!J34</f>
        <v>21</v>
      </c>
      <c r="K34" s="278">
        <f>'[1]Degree Days 2020'!K34</f>
        <v>15</v>
      </c>
      <c r="L34" s="278">
        <f t="shared" si="2"/>
        <v>-0.30000000000000071</v>
      </c>
      <c r="M34" s="278">
        <f>'[1]Degree Days 2020'!M34</f>
        <v>25</v>
      </c>
      <c r="N34" s="278">
        <f>'[1]Degree Days 2020'!N34</f>
        <v>22</v>
      </c>
      <c r="O34" s="278">
        <f>'[1]Degree Days 2020'!O34</f>
        <v>14</v>
      </c>
      <c r="P34" s="278">
        <f t="shared" si="3"/>
        <v>-0.30000000000000071</v>
      </c>
      <c r="Q34" s="546">
        <v>25</v>
      </c>
      <c r="R34" s="278">
        <f>'[1]Degree Days 2020'!R34</f>
        <v>24</v>
      </c>
      <c r="S34" s="278">
        <f>'[1]Degree Days 2020'!S34</f>
        <v>18</v>
      </c>
      <c r="T34" s="278">
        <f t="shared" si="4"/>
        <v>2.6999999999999993</v>
      </c>
      <c r="U34" s="546">
        <v>25</v>
      </c>
      <c r="V34" s="278">
        <f>'[1]Degree Days 2020'!V34</f>
        <v>33</v>
      </c>
      <c r="W34" s="278">
        <f>'[1]Degree Days 2020'!W34</f>
        <v>27</v>
      </c>
      <c r="X34" s="278">
        <f t="shared" si="5"/>
        <v>11.7</v>
      </c>
    </row>
    <row r="35" spans="1:24">
      <c r="A35" s="117">
        <v>26</v>
      </c>
      <c r="B35" s="278">
        <f>'[1]Degree Days 2020'!B35</f>
        <v>15</v>
      </c>
      <c r="C35" s="278">
        <f>'[1]Degree Days 2020'!C35</f>
        <v>9</v>
      </c>
      <c r="D35" s="278">
        <f t="shared" si="0"/>
        <v>-6.3000000000000007</v>
      </c>
      <c r="E35" s="278">
        <f>'[1]Degree Days 2020'!E35</f>
        <v>26</v>
      </c>
      <c r="F35" s="278">
        <f>'[1]Degree Days 2020'!F35</f>
        <v>18</v>
      </c>
      <c r="G35" s="278">
        <f>'[1]Degree Days 2020'!G35</f>
        <v>14</v>
      </c>
      <c r="H35" s="278">
        <f t="shared" si="1"/>
        <v>-2.3000000000000007</v>
      </c>
      <c r="I35" s="278">
        <f>'[5]Degree Days 2018'!I35</f>
        <v>26</v>
      </c>
      <c r="J35" s="278">
        <f>'[1]Degree Days 2020'!J35</f>
        <v>21</v>
      </c>
      <c r="K35" s="278">
        <f>'[1]Degree Days 2020'!K35</f>
        <v>15</v>
      </c>
      <c r="L35" s="278">
        <f t="shared" si="2"/>
        <v>-0.30000000000000071</v>
      </c>
      <c r="M35" s="278">
        <f>'[1]Degree Days 2020'!M35</f>
        <v>26</v>
      </c>
      <c r="N35" s="278">
        <f>'[1]Degree Days 2020'!N35</f>
        <v>21</v>
      </c>
      <c r="O35" s="278">
        <f>'[1]Degree Days 2020'!O35</f>
        <v>17</v>
      </c>
      <c r="P35" s="278">
        <f t="shared" si="3"/>
        <v>0.69999999999999929</v>
      </c>
      <c r="Q35" s="546">
        <v>26</v>
      </c>
      <c r="R35" s="278">
        <f>'[1]Degree Days 2020'!R35</f>
        <v>25</v>
      </c>
      <c r="S35" s="278">
        <f>'[1]Degree Days 2020'!S35</f>
        <v>20</v>
      </c>
      <c r="T35" s="278">
        <f t="shared" si="4"/>
        <v>4.1999999999999993</v>
      </c>
      <c r="U35" s="546">
        <v>26</v>
      </c>
      <c r="V35" s="278">
        <f>'[1]Degree Days 2020'!V35</f>
        <v>28</v>
      </c>
      <c r="W35" s="278">
        <f>'[1]Degree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'[1]Degree Days 2020'!B36</f>
        <v>17</v>
      </c>
      <c r="C36" s="278">
        <f>'[1]Degree Days 2020'!C36</f>
        <v>11</v>
      </c>
      <c r="D36" s="278">
        <f t="shared" si="0"/>
        <v>-4.3000000000000007</v>
      </c>
      <c r="E36" s="278">
        <f>'[1]Degree Days 2020'!E36</f>
        <v>27</v>
      </c>
      <c r="F36" s="278">
        <f>'[1]Degree Days 2020'!F36</f>
        <v>19</v>
      </c>
      <c r="G36" s="278">
        <f>'[1]Degree Days 2020'!G36</f>
        <v>13</v>
      </c>
      <c r="H36" s="278">
        <f t="shared" si="1"/>
        <v>-2.3000000000000007</v>
      </c>
      <c r="I36" s="278">
        <f>'[5]Degree Days 2018'!I36</f>
        <v>27</v>
      </c>
      <c r="J36" s="278">
        <f>'[1]Degree Days 2020'!J36</f>
        <v>18</v>
      </c>
      <c r="K36" s="278">
        <f>'[1]Degree Days 2020'!K36</f>
        <v>13</v>
      </c>
      <c r="L36" s="278">
        <f t="shared" si="2"/>
        <v>-2.8000000000000007</v>
      </c>
      <c r="M36" s="278">
        <f>'[1]Degree Days 2020'!M36</f>
        <v>27</v>
      </c>
      <c r="N36" s="278">
        <f>'[1]Degree Days 2020'!N36</f>
        <v>20</v>
      </c>
      <c r="O36" s="278">
        <f>'[1]Degree Days 2020'!O36</f>
        <v>16</v>
      </c>
      <c r="P36" s="278">
        <f t="shared" si="3"/>
        <v>-0.30000000000000071</v>
      </c>
      <c r="Q36" s="546">
        <v>27</v>
      </c>
      <c r="R36" s="278">
        <f>'[1]Degree Days 2020'!R36</f>
        <v>27</v>
      </c>
      <c r="S36" s="278">
        <f>'[1]Degree Days 2020'!S36</f>
        <v>19</v>
      </c>
      <c r="T36" s="278">
        <f t="shared" si="4"/>
        <v>4.6999999999999993</v>
      </c>
      <c r="U36" s="546">
        <v>27</v>
      </c>
      <c r="V36" s="278">
        <f>'[1]Degree Days 2020'!V36</f>
        <v>29</v>
      </c>
      <c r="W36" s="278">
        <f>'[1]Degree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'[1]Degree Days 2020'!B37</f>
        <v>16</v>
      </c>
      <c r="C37" s="278">
        <f>'[1]Degree Days 2020'!C37</f>
        <v>10</v>
      </c>
      <c r="D37" s="278">
        <f t="shared" si="0"/>
        <v>-5.3000000000000007</v>
      </c>
      <c r="E37" s="278">
        <f>'[1]Degree Days 2020'!E37</f>
        <v>28</v>
      </c>
      <c r="F37" s="278">
        <f>'[1]Degree Days 2020'!F37</f>
        <v>19</v>
      </c>
      <c r="G37" s="278">
        <f>'[1]Degree Days 2020'!G37</f>
        <v>14</v>
      </c>
      <c r="H37" s="278">
        <f t="shared" si="1"/>
        <v>-1.8000000000000007</v>
      </c>
      <c r="I37" s="278">
        <f>'[5]Degree Days 2018'!I37</f>
        <v>28</v>
      </c>
      <c r="J37" s="278">
        <f>'[1]Degree Days 2020'!J37</f>
        <v>17</v>
      </c>
      <c r="K37" s="278">
        <f>'[1]Degree Days 2020'!K37</f>
        <v>13</v>
      </c>
      <c r="L37" s="278">
        <f t="shared" si="2"/>
        <v>-3.3000000000000007</v>
      </c>
      <c r="M37" s="278">
        <f>'[1]Degree Days 2020'!M37</f>
        <v>28</v>
      </c>
      <c r="N37" s="278">
        <f>'[1]Degree Days 2020'!N37</f>
        <v>21</v>
      </c>
      <c r="O37" s="278">
        <f>'[1]Degree Days 2020'!O37</f>
        <v>16</v>
      </c>
      <c r="P37" s="278">
        <f t="shared" si="3"/>
        <v>0.19999999999999929</v>
      </c>
      <c r="Q37" s="546">
        <v>28</v>
      </c>
      <c r="R37" s="278">
        <f>'[1]Degree Days 2020'!R37</f>
        <v>27</v>
      </c>
      <c r="S37" s="278">
        <f>'[1]Degree Days 2020'!S37</f>
        <v>19</v>
      </c>
      <c r="T37" s="278">
        <f t="shared" si="4"/>
        <v>4.6999999999999993</v>
      </c>
      <c r="U37" s="546">
        <v>28</v>
      </c>
      <c r="V37" s="278">
        <f>'[1]Degree Days 2020'!V37</f>
        <v>30</v>
      </c>
      <c r="W37" s="278">
        <f>'[1]Degree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'[1]Degree Days 2020'!B38</f>
        <v>16</v>
      </c>
      <c r="C38" s="278">
        <f>'[1]Degree Days 2020'!C38</f>
        <v>10</v>
      </c>
      <c r="D38" s="278">
        <f t="shared" si="0"/>
        <v>-5.3000000000000007</v>
      </c>
      <c r="E38" s="278">
        <f>'[1]Degree Days 2020'!E38</f>
        <v>29</v>
      </c>
      <c r="F38" s="278">
        <f>'[1]Degree Days 2020'!F38</f>
        <v>18</v>
      </c>
      <c r="G38" s="278">
        <f>'[1]Degree Days 2020'!G38</f>
        <v>13</v>
      </c>
      <c r="H38" s="278">
        <f t="shared" si="1"/>
        <v>-2.8000000000000007</v>
      </c>
      <c r="I38" s="278">
        <f>'[5]Degree Days 2018'!I38</f>
        <v>29</v>
      </c>
      <c r="J38" s="278">
        <f>'[1]Degree Days 2020'!J38</f>
        <v>20</v>
      </c>
      <c r="K38" s="278">
        <f>'[1]Degree Days 2020'!K38</f>
        <v>16</v>
      </c>
      <c r="L38" s="278">
        <f t="shared" si="2"/>
        <v>-0.30000000000000071</v>
      </c>
      <c r="M38" s="278">
        <f>'[1]Degree Days 2020'!M38</f>
        <v>29</v>
      </c>
      <c r="N38" s="278">
        <f>'[1]Degree Days 2020'!N38</f>
        <v>21</v>
      </c>
      <c r="O38" s="278">
        <f>'[1]Degree Days 2020'!O38</f>
        <v>17</v>
      </c>
      <c r="P38" s="278">
        <f t="shared" si="3"/>
        <v>0.69999999999999929</v>
      </c>
      <c r="Q38" s="546">
        <v>29</v>
      </c>
      <c r="R38" s="278">
        <f>'[1]Degree Days 2020'!R38</f>
        <v>23</v>
      </c>
      <c r="S38" s="278">
        <f>'[1]Degree Days 2020'!S38</f>
        <v>14</v>
      </c>
      <c r="T38" s="278">
        <f t="shared" si="4"/>
        <v>0.19999999999999929</v>
      </c>
      <c r="U38" s="546">
        <v>29</v>
      </c>
      <c r="V38" s="278">
        <f>'[1]Degree Days 2020'!V38</f>
        <v>28</v>
      </c>
      <c r="W38" s="278">
        <f>'[1]Degree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'[1]Degree Days 2020'!B39</f>
        <v>16</v>
      </c>
      <c r="C39" s="278">
        <f>'[1]Degree Days 2020'!C39</f>
        <v>11</v>
      </c>
      <c r="D39" s="278">
        <f t="shared" si="0"/>
        <v>-4.8000000000000007</v>
      </c>
      <c r="E39" s="278">
        <f>'[1]Degree Days 2020'!E39</f>
        <v>0</v>
      </c>
      <c r="F39" s="278">
        <f>'[1]Degree Days 2020'!F39</f>
        <v>0</v>
      </c>
      <c r="G39" s="278">
        <f>'[1]Degree Days 2020'!G39</f>
        <v>0</v>
      </c>
      <c r="H39" s="278">
        <f t="shared" si="1"/>
        <v>-18.3</v>
      </c>
      <c r="I39" s="278">
        <f>'[5]Degree Days 2018'!I39</f>
        <v>30</v>
      </c>
      <c r="J39" s="278">
        <f>'[1]Degree Days 2020'!J39</f>
        <v>20</v>
      </c>
      <c r="K39" s="278">
        <f>'[1]Degree Days 2020'!K39</f>
        <v>17</v>
      </c>
      <c r="L39" s="278">
        <f t="shared" si="2"/>
        <v>0.19999999999999929</v>
      </c>
      <c r="M39" s="278">
        <f>'[1]Degree Days 2020'!M39</f>
        <v>30</v>
      </c>
      <c r="N39" s="278">
        <f>'[1]Degree Days 2020'!N39</f>
        <v>0</v>
      </c>
      <c r="O39" s="278">
        <f>'[1]Degree Days 2020'!O39</f>
        <v>0</v>
      </c>
      <c r="P39" s="278">
        <f t="shared" si="3"/>
        <v>-18.3</v>
      </c>
      <c r="Q39" s="546">
        <v>30</v>
      </c>
      <c r="R39" s="278">
        <f>'[1]Degree Days 2020'!R39</f>
        <v>23</v>
      </c>
      <c r="S39" s="278">
        <f>'[1]Degree Days 2020'!S39</f>
        <v>17</v>
      </c>
      <c r="T39" s="278">
        <f t="shared" si="4"/>
        <v>1.6999999999999993</v>
      </c>
      <c r="U39" s="546">
        <v>30</v>
      </c>
      <c r="V39" s="278">
        <f>'[1]Degree Days 2020'!V39</f>
        <v>30</v>
      </c>
      <c r="W39" s="278">
        <f>'[1]Degree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'[1]Degree Days 2020'!B40</f>
        <v>17</v>
      </c>
      <c r="C40" s="278">
        <f>'[1]Degree Days 2020'!C40</f>
        <v>13</v>
      </c>
      <c r="D40" s="278">
        <f t="shared" si="0"/>
        <v>-3.3000000000000007</v>
      </c>
      <c r="E40" s="278">
        <f>'[1]Degree Days 2020'!E40</f>
        <v>0</v>
      </c>
      <c r="F40" s="278">
        <f>'[1]Degree Days 2020'!F40</f>
        <v>0</v>
      </c>
      <c r="G40" s="278">
        <f>'[1]Degree Days 2020'!G40</f>
        <v>0</v>
      </c>
      <c r="H40" s="278">
        <f t="shared" si="1"/>
        <v>-18.3</v>
      </c>
      <c r="I40" s="278">
        <f>'[5]Degree Days 2018'!I40</f>
        <v>31</v>
      </c>
      <c r="J40" s="278">
        <f>'[1]Degree Days 2020'!J40</f>
        <v>30</v>
      </c>
      <c r="K40" s="278">
        <f>'[1]Degree Days 2020'!K40</f>
        <v>18</v>
      </c>
      <c r="L40" s="278">
        <f t="shared" si="2"/>
        <v>5.6999999999999993</v>
      </c>
      <c r="M40" s="278">
        <f>'[1]Degree Days 2020'!M40</f>
        <v>0</v>
      </c>
      <c r="N40" s="278">
        <f>'[1]Degree Days 2020'!N40</f>
        <v>0</v>
      </c>
      <c r="O40" s="278">
        <f>'[1]Degree Days 2020'!O40</f>
        <v>0</v>
      </c>
      <c r="P40" s="278">
        <f t="shared" si="3"/>
        <v>-18.3</v>
      </c>
      <c r="Q40" s="546">
        <v>31</v>
      </c>
      <c r="R40" s="278">
        <f>'[1]Degree Days 2020'!R40</f>
        <v>24</v>
      </c>
      <c r="S40" s="278">
        <f>'[1]Degree Days 2020'!S40</f>
        <v>19</v>
      </c>
      <c r="T40" s="278">
        <f t="shared" si="4"/>
        <v>3.1999999999999993</v>
      </c>
      <c r="U40" s="278"/>
      <c r="V40" s="278">
        <f>'[1]Degree Days 2020'!V40</f>
        <v>0</v>
      </c>
      <c r="W40" s="278">
        <f>'[1]Degree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'General information '!B6</f>
        <v>28</v>
      </c>
      <c r="C48" s="278">
        <f>'General information '!C6</f>
        <v>24</v>
      </c>
      <c r="D48" s="119">
        <f t="shared" ref="D48:D56" si="8">(B48+C48)/2-18.3</f>
        <v>7.6999999999999993</v>
      </c>
      <c r="E48" s="117">
        <v>1</v>
      </c>
      <c r="F48" s="278"/>
      <c r="G48" s="278"/>
      <c r="H48" s="119">
        <f t="shared" ref="H48:H78" si="9">(F48+G48)/2-18.3</f>
        <v>-18.3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'General information '!B7</f>
        <v>29</v>
      </c>
      <c r="C49" s="278">
        <f>'General information '!C7</f>
        <v>23</v>
      </c>
      <c r="D49" s="119">
        <f t="shared" si="8"/>
        <v>7.6999999999999993</v>
      </c>
      <c r="E49" s="117">
        <v>2</v>
      </c>
      <c r="F49" s="278"/>
      <c r="G49" s="278"/>
      <c r="H49" s="119">
        <f t="shared" si="9"/>
        <v>-18.3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'General information '!B8</f>
        <v>29</v>
      </c>
      <c r="C50" s="278">
        <f>'General information '!C8</f>
        <v>24</v>
      </c>
      <c r="D50" s="119">
        <f t="shared" si="8"/>
        <v>8.1999999999999993</v>
      </c>
      <c r="E50" s="117">
        <v>3</v>
      </c>
      <c r="F50" s="278"/>
      <c r="G50" s="278"/>
      <c r="H50" s="119">
        <f t="shared" si="9"/>
        <v>-18.3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'General information '!B9</f>
        <v>28</v>
      </c>
      <c r="C51" s="278">
        <f>'General information '!C9</f>
        <v>24</v>
      </c>
      <c r="D51" s="119">
        <f t="shared" si="8"/>
        <v>7.6999999999999993</v>
      </c>
      <c r="E51" s="117">
        <v>4</v>
      </c>
      <c r="F51" s="278"/>
      <c r="G51" s="278"/>
      <c r="H51" s="119">
        <f t="shared" si="9"/>
        <v>-18.3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'General information '!B10</f>
        <v>30</v>
      </c>
      <c r="C52" s="278">
        <f>'General information '!C10</f>
        <v>26</v>
      </c>
      <c r="D52" s="119">
        <f t="shared" si="8"/>
        <v>9.6999999999999993</v>
      </c>
      <c r="E52" s="117">
        <v>5</v>
      </c>
      <c r="F52" s="278"/>
      <c r="G52" s="278"/>
      <c r="H52" s="119">
        <f t="shared" si="9"/>
        <v>-18.3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'General information '!B11</f>
        <v>29</v>
      </c>
      <c r="C53" s="278">
        <f>'General information '!C11</f>
        <v>25</v>
      </c>
      <c r="D53" s="119">
        <f t="shared" si="8"/>
        <v>8.6999999999999993</v>
      </c>
      <c r="E53" s="117">
        <v>6</v>
      </c>
      <c r="F53" s="278"/>
      <c r="G53" s="278"/>
      <c r="H53" s="119">
        <f t="shared" si="9"/>
        <v>-18.3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'General information '!B12</f>
        <v>30</v>
      </c>
      <c r="C54" s="278">
        <f>'General information '!C12</f>
        <v>22</v>
      </c>
      <c r="D54" s="119">
        <f t="shared" si="8"/>
        <v>7.6999999999999993</v>
      </c>
      <c r="E54" s="117">
        <v>7</v>
      </c>
      <c r="F54" s="278"/>
      <c r="G54" s="278"/>
      <c r="H54" s="119">
        <f t="shared" si="9"/>
        <v>-18.3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'General information '!B13</f>
        <v>30</v>
      </c>
      <c r="C55" s="278">
        <f>'General information '!C13</f>
        <v>22</v>
      </c>
      <c r="D55" s="119">
        <f t="shared" si="8"/>
        <v>7.6999999999999993</v>
      </c>
      <c r="E55" s="117">
        <v>8</v>
      </c>
      <c r="F55" s="278"/>
      <c r="G55" s="278"/>
      <c r="H55" s="119">
        <f t="shared" si="9"/>
        <v>-18.3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'General information '!B14</f>
        <v>30</v>
      </c>
      <c r="C56" s="278">
        <f>'General information '!C14</f>
        <v>22</v>
      </c>
      <c r="D56" s="119">
        <f t="shared" si="8"/>
        <v>7.6999999999999993</v>
      </c>
      <c r="E56" s="117">
        <v>9</v>
      </c>
      <c r="F56" s="278"/>
      <c r="G56" s="278"/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'General information '!B15</f>
        <v>30</v>
      </c>
      <c r="C57" s="278">
        <f>'General information '!C15</f>
        <v>22</v>
      </c>
      <c r="D57" s="119">
        <f t="shared" ref="D57:D78" si="14">(B57+C57)/2-18.3</f>
        <v>7.6999999999999993</v>
      </c>
      <c r="E57" s="117">
        <v>10</v>
      </c>
      <c r="F57" s="278"/>
      <c r="G57" s="278"/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'General information '!B16</f>
        <v>30</v>
      </c>
      <c r="C58" s="278">
        <f>'General information '!C16</f>
        <v>26</v>
      </c>
      <c r="D58" s="119">
        <f t="shared" si="14"/>
        <v>9.6999999999999993</v>
      </c>
      <c r="E58" s="117">
        <v>11</v>
      </c>
      <c r="F58" s="278"/>
      <c r="G58" s="278"/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'General information '!B17</f>
        <v>30</v>
      </c>
      <c r="C59" s="278">
        <f>'General information '!C17</f>
        <v>22</v>
      </c>
      <c r="D59" s="119">
        <f t="shared" si="14"/>
        <v>7.6999999999999993</v>
      </c>
      <c r="E59" s="117">
        <v>12</v>
      </c>
      <c r="F59" s="278"/>
      <c r="G59" s="278"/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'General information '!B18</f>
        <v>30</v>
      </c>
      <c r="C60" s="278">
        <f>'General information '!C18</f>
        <v>23</v>
      </c>
      <c r="D60" s="119">
        <f t="shared" si="14"/>
        <v>8.1999999999999993</v>
      </c>
      <c r="E60" s="117">
        <v>13</v>
      </c>
      <c r="F60" s="278"/>
      <c r="G60" s="278"/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'General information '!B19</f>
        <v>30</v>
      </c>
      <c r="C61" s="278">
        <f>'General information '!C19</f>
        <v>25</v>
      </c>
      <c r="D61" s="119">
        <f t="shared" si="14"/>
        <v>9.1999999999999993</v>
      </c>
      <c r="E61" s="117">
        <v>14</v>
      </c>
      <c r="F61" s="278"/>
      <c r="G61" s="278"/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'General information '!B20</f>
        <v>30</v>
      </c>
      <c r="C62" s="278">
        <f>'General information '!C20</f>
        <v>23</v>
      </c>
      <c r="D62" s="119">
        <f t="shared" si="14"/>
        <v>8.1999999999999993</v>
      </c>
      <c r="E62" s="117">
        <v>15</v>
      </c>
      <c r="F62" s="278"/>
      <c r="G62" s="278"/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'General information '!B21</f>
        <v>30</v>
      </c>
      <c r="C63" s="278">
        <f>'General information '!C21</f>
        <v>25</v>
      </c>
      <c r="D63" s="119">
        <f t="shared" si="14"/>
        <v>9.1999999999999993</v>
      </c>
      <c r="E63" s="117">
        <v>16</v>
      </c>
      <c r="F63" s="278"/>
      <c r="G63" s="278"/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'General information '!B22</f>
        <v>0</v>
      </c>
      <c r="C64" s="278">
        <f>'General information '!C22</f>
        <v>0</v>
      </c>
      <c r="D64" s="119">
        <f t="shared" si="14"/>
        <v>-18.3</v>
      </c>
      <c r="E64" s="117">
        <v>17</v>
      </c>
      <c r="F64" s="278"/>
      <c r="G64" s="278"/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'General information '!B23</f>
        <v>0</v>
      </c>
      <c r="C65" s="278">
        <f>'General information '!C23</f>
        <v>0</v>
      </c>
      <c r="D65" s="119">
        <f t="shared" si="14"/>
        <v>-18.3</v>
      </c>
      <c r="E65" s="117">
        <v>18</v>
      </c>
      <c r="F65" s="278"/>
      <c r="G65" s="278"/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'General information '!B24</f>
        <v>0</v>
      </c>
      <c r="C66" s="278">
        <f>'General information '!C24</f>
        <v>0</v>
      </c>
      <c r="D66" s="119">
        <f t="shared" si="14"/>
        <v>-18.3</v>
      </c>
      <c r="E66" s="117">
        <v>19</v>
      </c>
      <c r="F66" s="278"/>
      <c r="G66" s="278"/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'General information '!B25</f>
        <v>0</v>
      </c>
      <c r="C67" s="278">
        <f>'General information '!C25</f>
        <v>0</v>
      </c>
      <c r="D67" s="119">
        <f t="shared" si="14"/>
        <v>-18.3</v>
      </c>
      <c r="E67" s="117">
        <v>20</v>
      </c>
      <c r="F67" s="278"/>
      <c r="G67" s="278"/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'General information '!B26</f>
        <v>0</v>
      </c>
      <c r="C68" s="278">
        <f>'General information '!C26</f>
        <v>0</v>
      </c>
      <c r="D68" s="119">
        <f t="shared" si="14"/>
        <v>-18.3</v>
      </c>
      <c r="E68" s="117">
        <v>21</v>
      </c>
      <c r="F68" s="278"/>
      <c r="G68" s="278"/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'General information '!B27</f>
        <v>0</v>
      </c>
      <c r="C69" s="278">
        <f>'General information '!C27</f>
        <v>0</v>
      </c>
      <c r="D69" s="119">
        <f t="shared" si="14"/>
        <v>-18.3</v>
      </c>
      <c r="E69" s="117">
        <v>22</v>
      </c>
      <c r="F69" s="278"/>
      <c r="G69" s="278"/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'General information '!B28</f>
        <v>0</v>
      </c>
      <c r="C70" s="278">
        <f>'General information '!C28</f>
        <v>0</v>
      </c>
      <c r="D70" s="119">
        <f t="shared" si="14"/>
        <v>-18.3</v>
      </c>
      <c r="E70" s="117">
        <v>23</v>
      </c>
      <c r="F70" s="278"/>
      <c r="G70" s="278"/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'General information '!B29</f>
        <v>0</v>
      </c>
      <c r="C71" s="278">
        <f>'General information '!C29</f>
        <v>0</v>
      </c>
      <c r="D71" s="119">
        <f t="shared" si="14"/>
        <v>-18.3</v>
      </c>
      <c r="E71" s="117">
        <v>24</v>
      </c>
      <c r="F71" s="278"/>
      <c r="G71" s="278"/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'General information '!B30</f>
        <v>0</v>
      </c>
      <c r="C72" s="278">
        <f>'General information '!C30</f>
        <v>0</v>
      </c>
      <c r="D72" s="119">
        <f t="shared" si="14"/>
        <v>-18.3</v>
      </c>
      <c r="E72" s="117">
        <v>25</v>
      </c>
      <c r="F72" s="278"/>
      <c r="G72" s="278"/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'General information '!B31</f>
        <v>0</v>
      </c>
      <c r="C73" s="278">
        <f>'General information '!C31</f>
        <v>0</v>
      </c>
      <c r="D73" s="119">
        <f t="shared" si="14"/>
        <v>-18.3</v>
      </c>
      <c r="E73" s="117">
        <v>26</v>
      </c>
      <c r="F73" s="278"/>
      <c r="G73" s="278"/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'General information '!B32</f>
        <v>0</v>
      </c>
      <c r="C74" s="278">
        <f>'General information '!C32</f>
        <v>0</v>
      </c>
      <c r="D74" s="119">
        <f t="shared" si="14"/>
        <v>-18.3</v>
      </c>
      <c r="E74" s="117">
        <v>27</v>
      </c>
      <c r="F74" s="278"/>
      <c r="G74" s="278"/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'General information '!B33</f>
        <v>0</v>
      </c>
      <c r="C75" s="278">
        <f>'General information '!C33</f>
        <v>0</v>
      </c>
      <c r="D75" s="119">
        <f t="shared" si="14"/>
        <v>-18.3</v>
      </c>
      <c r="E75" s="117">
        <v>28</v>
      </c>
      <c r="F75" s="278"/>
      <c r="G75" s="278"/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'General information '!B34</f>
        <v>0</v>
      </c>
      <c r="C76" s="278">
        <f>'General information '!C34</f>
        <v>0</v>
      </c>
      <c r="D76" s="119">
        <f t="shared" si="14"/>
        <v>-18.3</v>
      </c>
      <c r="E76" s="117">
        <v>29</v>
      </c>
      <c r="F76" s="278"/>
      <c r="G76" s="278"/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'General information '!B35</f>
        <v>0</v>
      </c>
      <c r="C77" s="278">
        <f>'General information '!C35</f>
        <v>0</v>
      </c>
      <c r="D77" s="119">
        <f t="shared" si="14"/>
        <v>-18.3</v>
      </c>
      <c r="E77" s="117">
        <v>30</v>
      </c>
      <c r="F77" s="278"/>
      <c r="G77" s="278"/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/>
      <c r="C78" s="278"/>
      <c r="D78" s="119">
        <f t="shared" si="14"/>
        <v>-18.3</v>
      </c>
      <c r="E78" s="120">
        <v>31</v>
      </c>
      <c r="F78" s="278"/>
      <c r="G78" s="278"/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132.70000000000002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1" t="s">
        <v>174</v>
      </c>
      <c r="O84" s="711" t="s">
        <v>175</v>
      </c>
      <c r="P84" s="134"/>
      <c r="T84" s="134"/>
      <c r="X84" s="134"/>
    </row>
    <row r="85" spans="1:24" ht="20.25" thickBot="1">
      <c r="D85" s="134"/>
      <c r="I85" s="713" t="s">
        <v>182</v>
      </c>
      <c r="J85" s="714"/>
      <c r="K85" s="714"/>
      <c r="L85" s="714"/>
      <c r="N85" s="712"/>
      <c r="O85" s="712"/>
      <c r="P85" s="134"/>
      <c r="R85" s="17"/>
      <c r="S85" s="17"/>
      <c r="T85" s="140"/>
      <c r="U85" s="141"/>
      <c r="X85" s="134"/>
    </row>
    <row r="86" spans="1:24" ht="18.75" thickBot="1">
      <c r="D86" s="134"/>
      <c r="I86" s="715" t="s">
        <v>183</v>
      </c>
      <c r="J86" s="715"/>
      <c r="K86" s="715"/>
      <c r="L86" s="715"/>
      <c r="N86" s="142">
        <f>B43+F43+J43+N43+R43+V43+B81+F81+J81+N81+R81+V81</f>
        <v>-3493.9</v>
      </c>
      <c r="O86" s="142">
        <f>C43+G43+K43+O43+S43+W43+C81+G81+K81+O81+S81+W81</f>
        <v>484.70000000000005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5"/>
      <c r="C88" s="705"/>
      <c r="D88" s="705"/>
      <c r="E88" s="705"/>
      <c r="F88" s="705"/>
      <c r="G88" s="705"/>
      <c r="H88" s="705"/>
      <c r="I88" s="705"/>
      <c r="J88" s="705"/>
      <c r="K88" s="705"/>
      <c r="L88" s="705"/>
      <c r="M88" s="705"/>
      <c r="N88" s="705"/>
      <c r="O88" s="705"/>
      <c r="P88" s="705"/>
      <c r="Q88" s="705"/>
      <c r="R88" s="705"/>
      <c r="S88" s="705"/>
      <c r="T88" s="705"/>
      <c r="U88" s="705"/>
      <c r="V88" s="705"/>
      <c r="W88" s="70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3" workbookViewId="0">
      <pane xSplit="1" topLeftCell="B1" activePane="topRight" state="frozen"/>
      <selection pane="topRight" activeCell="B16" sqref="B16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6" t="s">
        <v>216</v>
      </c>
      <c r="B2" s="716"/>
      <c r="C2" s="716"/>
      <c r="D2" s="716"/>
      <c r="E2" s="716"/>
      <c r="F2" s="716"/>
      <c r="G2" s="716"/>
      <c r="H2" s="716"/>
      <c r="I2" s="716"/>
    </row>
    <row r="3" spans="1:11">
      <c r="A3" s="196">
        <v>43971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223</v>
      </c>
      <c r="D4" s="3">
        <v>1507.5</v>
      </c>
      <c r="E4" s="3"/>
      <c r="F4" s="199">
        <f>'EDl log'!A37</f>
        <v>13</v>
      </c>
      <c r="G4" s="198">
        <v>31</v>
      </c>
      <c r="H4" s="198"/>
      <c r="I4" s="198"/>
    </row>
    <row r="5" spans="1:11">
      <c r="A5" s="250" t="s">
        <v>232</v>
      </c>
      <c r="B5" s="178" t="s">
        <v>231</v>
      </c>
      <c r="C5" s="178" t="s">
        <v>228</v>
      </c>
      <c r="D5" s="178" t="s">
        <v>229</v>
      </c>
      <c r="E5" s="178" t="s">
        <v>230</v>
      </c>
      <c r="F5" s="251" t="s">
        <v>227</v>
      </c>
      <c r="G5" s="253" t="s">
        <v>337</v>
      </c>
      <c r="H5" s="253" t="s">
        <v>336</v>
      </c>
      <c r="I5" s="197" t="s">
        <v>233</v>
      </c>
      <c r="K5" s="442"/>
    </row>
    <row r="6" spans="1:11">
      <c r="A6" s="187" t="s">
        <v>217</v>
      </c>
      <c r="B6" s="360">
        <f>WATER!C37</f>
        <v>0</v>
      </c>
      <c r="C6" s="337">
        <v>1.45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10066.1-H7</f>
        <v>2566.1000000000004</v>
      </c>
      <c r="I6" s="351">
        <f>10800-I7</f>
        <v>3300</v>
      </c>
      <c r="J6" s="282"/>
    </row>
    <row r="7" spans="1:11">
      <c r="A7" s="187" t="s">
        <v>218</v>
      </c>
      <c r="B7" s="360">
        <f>WATER!H37</f>
        <v>2195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3145.1612903225805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86879</v>
      </c>
      <c r="C8" s="508">
        <f>SUM(tanks!AU37)</f>
        <v>0.50805</v>
      </c>
      <c r="D8" s="194">
        <f>SUM(B8*C8)*D4</f>
        <v>66539355.494625002</v>
      </c>
      <c r="E8" s="195">
        <f>SUM(D8/D4/F4)</f>
        <v>3395.2981500000001</v>
      </c>
      <c r="F8" s="195">
        <f>SUM(E8*F4)</f>
        <v>44138.875950000001</v>
      </c>
      <c r="G8" s="525">
        <f>E8*$F$4</f>
        <v>44138.875950000001</v>
      </c>
      <c r="H8" s="192">
        <v>32047</v>
      </c>
      <c r="I8" s="195">
        <v>40700</v>
      </c>
      <c r="J8" s="282"/>
    </row>
    <row r="9" spans="1:11">
      <c r="A9" s="2" t="s">
        <v>220</v>
      </c>
      <c r="B9" s="362">
        <f>'B5'!AV36</f>
        <v>3500</v>
      </c>
      <c r="C9" s="359">
        <v>0.7</v>
      </c>
      <c r="D9" s="191">
        <f>SUM(B9*C9)*D4</f>
        <v>3693375</v>
      </c>
      <c r="E9" s="192">
        <f>SUM(C9*B9)/F4</f>
        <v>188.46153846153845</v>
      </c>
      <c r="F9" s="192">
        <f>SUM(E9*F4)</f>
        <v>2450</v>
      </c>
      <c r="G9" s="525">
        <f>E9*$G$4</f>
        <v>5842.3076923076924</v>
      </c>
      <c r="H9" s="192">
        <v>4743.6000000000004</v>
      </c>
      <c r="I9" s="192">
        <v>6000</v>
      </c>
      <c r="J9" s="282"/>
    </row>
    <row r="10" spans="1:11">
      <c r="A10" s="184" t="s">
        <v>221</v>
      </c>
      <c r="B10" s="363"/>
      <c r="C10" s="184"/>
      <c r="D10" s="186">
        <f>SUM('EDl log'!AB31)</f>
        <v>7072952.5483870972</v>
      </c>
      <c r="E10" s="185">
        <f>SUM(D10/D4/F4)</f>
        <v>360.91096049940541</v>
      </c>
      <c r="F10" s="185">
        <f>SUM(E10*F4)</f>
        <v>4691.8424864922699</v>
      </c>
      <c r="G10" s="525">
        <f>E10*$G$4</f>
        <v>11188.239775481568</v>
      </c>
      <c r="H10" s="192">
        <v>26645</v>
      </c>
      <c r="I10" s="285">
        <v>36300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4186.606132831912</v>
      </c>
      <c r="F12" s="183">
        <f>SUM(F6:F10)</f>
        <v>54425.879726814856</v>
      </c>
      <c r="G12" s="182">
        <f>SUM(G6:G10)</f>
        <v>68669.423417789265</v>
      </c>
      <c r="H12" s="182">
        <f>SUM(H6:H11)</f>
        <v>73501.7</v>
      </c>
      <c r="I12" s="224">
        <f>SUM(I6:I11)</f>
        <v>93800</v>
      </c>
      <c r="J12" s="282"/>
    </row>
    <row r="13" spans="1:11" ht="30">
      <c r="A13" s="3"/>
      <c r="B13" s="178" t="s">
        <v>227</v>
      </c>
      <c r="C13" s="431" t="s">
        <v>387</v>
      </c>
      <c r="D13" s="431" t="s">
        <v>391</v>
      </c>
      <c r="E13" s="431" t="s">
        <v>388</v>
      </c>
      <c r="F13" s="431" t="s">
        <v>413</v>
      </c>
      <c r="G13" s="433"/>
      <c r="H13" s="17"/>
      <c r="I13" s="17"/>
      <c r="J13" s="17"/>
    </row>
    <row r="14" spans="1:11">
      <c r="A14" s="462" t="s">
        <v>303</v>
      </c>
      <c r="B14" s="97">
        <f>'Degree Days 2020'!AA16</f>
        <v>-274.50000000000006</v>
      </c>
      <c r="C14" s="445">
        <f>'[7]Utility Cost '!C14</f>
        <v>151</v>
      </c>
      <c r="D14" s="170"/>
      <c r="E14" s="170">
        <f t="shared" ref="E14:E18" si="0">B14-C14</f>
        <v>-425.50000000000006</v>
      </c>
      <c r="F14" s="524">
        <v>0</v>
      </c>
      <c r="G14" s="433"/>
      <c r="H14" s="434">
        <f>SUM(G12-H12)</f>
        <v>-4832.2765822107322</v>
      </c>
      <c r="I14" s="434">
        <f>SUM(G12-I12)</f>
        <v>-25130.576582210735</v>
      </c>
    </row>
    <row r="15" spans="1:11">
      <c r="A15" s="462" t="s">
        <v>304</v>
      </c>
      <c r="B15" s="97">
        <f>'Degree Days 2020'!AB16</f>
        <v>132.70000000000002</v>
      </c>
      <c r="C15" s="445">
        <f>'[7]Utility Cost '!C15</f>
        <v>-18.3</v>
      </c>
      <c r="D15" s="170"/>
      <c r="E15" s="170">
        <f t="shared" si="0"/>
        <v>151.00000000000003</v>
      </c>
      <c r="F15" s="524">
        <v>0</v>
      </c>
      <c r="G15" s="433"/>
      <c r="H15" s="17"/>
      <c r="I15" s="17"/>
      <c r="J15" s="17"/>
    </row>
    <row r="16" spans="1:11">
      <c r="A16" s="462" t="s">
        <v>305</v>
      </c>
      <c r="B16" s="611">
        <f>'General information '!D38</f>
        <v>32.730769230769234</v>
      </c>
      <c r="C16" s="445">
        <f>'[7]Utility Cost '!C16</f>
        <v>27.967741935483872</v>
      </c>
      <c r="D16" s="445"/>
      <c r="E16" s="446">
        <f t="shared" si="0"/>
        <v>4.7630272952853616</v>
      </c>
      <c r="F16" s="544">
        <v>0</v>
      </c>
      <c r="G16" s="433"/>
      <c r="H16" s="17"/>
      <c r="I16" s="17"/>
      <c r="J16" s="17"/>
    </row>
    <row r="17" spans="1:10">
      <c r="A17" s="536" t="s">
        <v>317</v>
      </c>
      <c r="B17" s="539">
        <f>'General information '!F37</f>
        <v>0.104125</v>
      </c>
      <c r="C17" s="538">
        <f>'[7]Utility Cost '!C17</f>
        <v>0.83235161290322568</v>
      </c>
      <c r="D17" s="491">
        <f>'[8]Other Fuel Calculation 2020'!$H$62</f>
        <v>0.68010000000000004</v>
      </c>
      <c r="E17" s="538">
        <f t="shared" si="0"/>
        <v>-0.72822661290322566</v>
      </c>
      <c r="F17" s="542">
        <f>B17-D17</f>
        <v>-0.57597500000000001</v>
      </c>
      <c r="G17" s="17"/>
      <c r="H17" s="17"/>
      <c r="I17" s="17"/>
      <c r="J17" s="17"/>
    </row>
    <row r="18" spans="1:10">
      <c r="A18" s="537" t="s">
        <v>389</v>
      </c>
      <c r="B18" s="541">
        <f>GEN!Z34</f>
        <v>315</v>
      </c>
      <c r="C18" s="445">
        <f>'[7]Utility Cost '!C18</f>
        <v>243</v>
      </c>
      <c r="D18" s="443">
        <f>'[8]Other Fuel Calculation 2020'!$H$60</f>
        <v>220</v>
      </c>
      <c r="E18" s="540">
        <f t="shared" si="0"/>
        <v>72</v>
      </c>
      <c r="F18" s="543">
        <f>B18-D18</f>
        <v>95</v>
      </c>
    </row>
    <row r="19" spans="1:10">
      <c r="A19" s="537" t="s">
        <v>414</v>
      </c>
      <c r="B19" s="535">
        <f>SUM(B18/$F$4)</f>
        <v>24.23076923076923</v>
      </c>
      <c r="C19" s="445">
        <f>'[7]Utility Cost '!C19</f>
        <v>7.838709677419355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235</v>
      </c>
      <c r="B1" s="202" t="s">
        <v>236</v>
      </c>
      <c r="C1" s="202" t="s">
        <v>237</v>
      </c>
      <c r="D1" s="202" t="s">
        <v>238</v>
      </c>
      <c r="E1" s="202" t="s">
        <v>308</v>
      </c>
      <c r="F1" s="202" t="s">
        <v>239</v>
      </c>
      <c r="G1" s="202" t="s">
        <v>240</v>
      </c>
      <c r="H1" s="202" t="s">
        <v>241</v>
      </c>
      <c r="I1" s="202" t="s">
        <v>51</v>
      </c>
    </row>
    <row r="2" spans="1:9">
      <c r="A2" s="203" t="s">
        <v>242</v>
      </c>
      <c r="B2" s="203" t="s">
        <v>243</v>
      </c>
      <c r="C2" s="203"/>
      <c r="D2" s="203"/>
      <c r="E2" s="203"/>
      <c r="F2" s="203"/>
      <c r="G2" s="203" t="s">
        <v>244</v>
      </c>
      <c r="H2" s="203"/>
      <c r="I2" s="203"/>
    </row>
    <row r="3" spans="1:9">
      <c r="A3" s="204" t="s">
        <v>245</v>
      </c>
      <c r="B3" s="204" t="s">
        <v>246</v>
      </c>
      <c r="C3" s="204"/>
      <c r="D3" s="204"/>
      <c r="E3" s="204"/>
      <c r="F3" s="204"/>
      <c r="G3" s="204" t="s">
        <v>306</v>
      </c>
      <c r="H3" s="204"/>
      <c r="I3" s="204"/>
    </row>
    <row r="4" spans="1:9">
      <c r="A4" s="204" t="s">
        <v>247</v>
      </c>
      <c r="B4" s="204" t="s">
        <v>248</v>
      </c>
      <c r="C4" s="204"/>
      <c r="D4" s="204"/>
      <c r="E4" s="204"/>
      <c r="F4" s="204"/>
      <c r="G4" s="204" t="s">
        <v>307</v>
      </c>
      <c r="H4" s="204"/>
      <c r="I4" s="204"/>
    </row>
    <row r="5" spans="1:9">
      <c r="A5" s="204" t="s">
        <v>249</v>
      </c>
      <c r="B5" s="204" t="s">
        <v>248</v>
      </c>
      <c r="C5" s="204"/>
      <c r="D5" s="204"/>
      <c r="E5" s="204"/>
      <c r="F5" s="204"/>
      <c r="G5" s="204" t="s">
        <v>249</v>
      </c>
      <c r="H5" s="204"/>
      <c r="I5" s="204"/>
    </row>
    <row r="6" spans="1:9" ht="15.75" thickBot="1">
      <c r="A6" s="205" t="s">
        <v>250</v>
      </c>
      <c r="B6" s="205" t="s">
        <v>248</v>
      </c>
      <c r="C6" s="205"/>
      <c r="D6" s="205"/>
      <c r="E6" s="205"/>
      <c r="F6" s="205"/>
      <c r="G6" s="205" t="s">
        <v>307</v>
      </c>
      <c r="H6" s="205"/>
      <c r="I6" s="205"/>
    </row>
    <row r="7" spans="1:9" ht="15.75" thickBot="1">
      <c r="A7" s="201" t="s">
        <v>251</v>
      </c>
      <c r="B7" s="202" t="s">
        <v>236</v>
      </c>
      <c r="C7" s="202" t="s">
        <v>237</v>
      </c>
      <c r="D7" s="202" t="s">
        <v>252</v>
      </c>
      <c r="E7" s="202" t="s">
        <v>308</v>
      </c>
      <c r="F7" s="202" t="s">
        <v>253</v>
      </c>
      <c r="G7" s="202"/>
      <c r="H7" s="202"/>
      <c r="I7" s="202"/>
    </row>
    <row r="8" spans="1:9">
      <c r="A8" s="203" t="s">
        <v>254</v>
      </c>
      <c r="B8" s="203" t="s">
        <v>243</v>
      </c>
      <c r="C8" s="203"/>
      <c r="D8" s="203"/>
      <c r="E8" s="203"/>
      <c r="F8" s="203"/>
      <c r="G8" s="208" t="s">
        <v>309</v>
      </c>
      <c r="H8" s="203"/>
      <c r="I8" s="203"/>
    </row>
    <row r="9" spans="1:9">
      <c r="A9" s="204" t="s">
        <v>255</v>
      </c>
      <c r="B9" s="204" t="s">
        <v>256</v>
      </c>
      <c r="C9" s="204"/>
      <c r="D9" s="204"/>
      <c r="E9" s="204"/>
      <c r="F9" s="204"/>
      <c r="G9" s="204" t="s">
        <v>310</v>
      </c>
      <c r="H9" s="204"/>
      <c r="I9" s="204"/>
    </row>
    <row r="10" spans="1:9">
      <c r="A10" s="204" t="s">
        <v>257</v>
      </c>
      <c r="B10" s="204" t="s">
        <v>256</v>
      </c>
      <c r="C10" s="204"/>
      <c r="D10" s="204"/>
      <c r="E10" s="204"/>
      <c r="F10" s="204"/>
      <c r="G10" s="204" t="s">
        <v>311</v>
      </c>
      <c r="H10" s="204"/>
      <c r="I10" s="204"/>
    </row>
    <row r="11" spans="1:9">
      <c r="A11" s="204" t="s">
        <v>258</v>
      </c>
      <c r="B11" s="204" t="s">
        <v>256</v>
      </c>
      <c r="C11" s="204"/>
      <c r="D11" s="204"/>
      <c r="E11" s="204"/>
      <c r="F11" s="204"/>
      <c r="G11" s="204" t="s">
        <v>312</v>
      </c>
      <c r="H11" s="204"/>
      <c r="I11" s="204"/>
    </row>
    <row r="12" spans="1:9">
      <c r="A12" s="204" t="s">
        <v>259</v>
      </c>
      <c r="B12" s="204" t="s">
        <v>260</v>
      </c>
      <c r="C12" s="204"/>
      <c r="D12" s="204"/>
      <c r="E12" s="204"/>
      <c r="F12" s="204"/>
      <c r="G12" s="204" t="s">
        <v>310</v>
      </c>
      <c r="H12" s="204"/>
      <c r="I12" s="204"/>
    </row>
    <row r="13" spans="1:9" ht="15.75" thickBot="1">
      <c r="A13" s="205" t="s">
        <v>261</v>
      </c>
      <c r="B13" s="205" t="s">
        <v>243</v>
      </c>
      <c r="C13" s="205"/>
      <c r="D13" s="205"/>
      <c r="E13" s="205"/>
      <c r="F13" s="205"/>
      <c r="G13" s="205" t="s">
        <v>262</v>
      </c>
      <c r="H13" s="205"/>
      <c r="I13" s="205"/>
    </row>
    <row r="14" spans="1:9" ht="15.75" thickBot="1">
      <c r="A14" s="201" t="s">
        <v>263</v>
      </c>
      <c r="B14" s="202" t="s">
        <v>264</v>
      </c>
      <c r="C14" s="202" t="s">
        <v>265</v>
      </c>
      <c r="D14" s="202" t="s">
        <v>266</v>
      </c>
      <c r="E14" s="202" t="s">
        <v>308</v>
      </c>
      <c r="F14" s="202" t="s">
        <v>267</v>
      </c>
      <c r="G14" s="202"/>
      <c r="H14" s="202"/>
      <c r="I14" s="202"/>
    </row>
    <row r="15" spans="1:9">
      <c r="A15" s="203" t="s">
        <v>268</v>
      </c>
      <c r="B15" s="203" t="s">
        <v>243</v>
      </c>
      <c r="C15" s="203"/>
      <c r="D15" s="203"/>
      <c r="E15" s="203"/>
      <c r="F15" s="203"/>
      <c r="G15" s="208" t="s">
        <v>313</v>
      </c>
      <c r="H15" s="203"/>
      <c r="I15" s="203"/>
    </row>
    <row r="16" spans="1:9">
      <c r="A16" s="204" t="s">
        <v>269</v>
      </c>
      <c r="B16" s="204">
        <v>400</v>
      </c>
      <c r="C16" s="204"/>
      <c r="D16" s="204"/>
      <c r="E16" s="204"/>
      <c r="F16" s="204"/>
      <c r="G16" s="204" t="s">
        <v>270</v>
      </c>
      <c r="H16" s="204"/>
      <c r="I16" s="204"/>
    </row>
    <row r="17" spans="1:9">
      <c r="A17" s="204" t="s">
        <v>271</v>
      </c>
      <c r="B17" s="204">
        <v>400</v>
      </c>
      <c r="C17" s="204"/>
      <c r="D17" s="204"/>
      <c r="E17" s="204"/>
      <c r="F17" s="204"/>
      <c r="G17" s="204" t="s">
        <v>272</v>
      </c>
      <c r="H17" s="204"/>
      <c r="I17" s="204"/>
    </row>
    <row r="18" spans="1:9">
      <c r="A18" s="204" t="s">
        <v>273</v>
      </c>
      <c r="B18" s="204">
        <v>400</v>
      </c>
      <c r="C18" s="204"/>
      <c r="D18" s="204"/>
      <c r="E18" s="204"/>
      <c r="F18" s="204"/>
      <c r="G18" s="204" t="s">
        <v>274</v>
      </c>
      <c r="H18" s="204"/>
      <c r="I18" s="204"/>
    </row>
    <row r="19" spans="1:9">
      <c r="A19" s="204" t="s">
        <v>275</v>
      </c>
      <c r="B19" s="204">
        <v>400</v>
      </c>
      <c r="C19" s="204"/>
      <c r="D19" s="204"/>
      <c r="E19" s="204"/>
      <c r="F19" s="204"/>
      <c r="G19" s="181" t="s">
        <v>276</v>
      </c>
      <c r="H19" s="204"/>
      <c r="I19" s="204"/>
    </row>
    <row r="20" spans="1:9">
      <c r="A20" s="204" t="s">
        <v>277</v>
      </c>
      <c r="B20" s="204">
        <v>400</v>
      </c>
      <c r="C20" s="204"/>
      <c r="D20" s="204"/>
      <c r="E20" s="204"/>
      <c r="F20" s="204"/>
      <c r="G20" s="204" t="s">
        <v>278</v>
      </c>
      <c r="H20" s="204"/>
      <c r="I20" s="204"/>
    </row>
    <row r="21" spans="1:9">
      <c r="A21" s="204" t="s">
        <v>279</v>
      </c>
      <c r="B21" s="204">
        <v>800</v>
      </c>
      <c r="C21" s="204"/>
      <c r="D21" s="204"/>
      <c r="E21" s="204"/>
      <c r="F21" s="204"/>
      <c r="G21" s="204" t="s">
        <v>280</v>
      </c>
      <c r="H21" s="204"/>
      <c r="I21" s="204"/>
    </row>
    <row r="22" spans="1:9" ht="15.75" thickBot="1">
      <c r="A22" s="205" t="s">
        <v>281</v>
      </c>
      <c r="B22" s="205" t="s">
        <v>243</v>
      </c>
      <c r="C22" s="205"/>
      <c r="D22" s="205"/>
      <c r="E22" s="205"/>
      <c r="F22" s="205"/>
      <c r="G22" s="205" t="s">
        <v>262</v>
      </c>
      <c r="H22" s="205"/>
      <c r="I22" s="205"/>
    </row>
    <row r="23" spans="1:9" ht="15.75" thickBot="1">
      <c r="A23" s="201" t="s">
        <v>282</v>
      </c>
      <c r="B23" s="202" t="s">
        <v>264</v>
      </c>
      <c r="C23" s="202" t="s">
        <v>265</v>
      </c>
      <c r="D23" s="202" t="s">
        <v>266</v>
      </c>
      <c r="E23" s="202" t="s">
        <v>308</v>
      </c>
      <c r="F23" s="202" t="s">
        <v>267</v>
      </c>
      <c r="G23" s="202"/>
      <c r="H23" s="202"/>
      <c r="I23" s="202"/>
    </row>
    <row r="24" spans="1:9">
      <c r="A24" s="203" t="s">
        <v>283</v>
      </c>
      <c r="B24" s="203" t="s">
        <v>243</v>
      </c>
      <c r="C24" s="203"/>
      <c r="D24" s="203"/>
      <c r="E24" s="203"/>
      <c r="F24" s="203"/>
      <c r="G24" s="181" t="s">
        <v>244</v>
      </c>
      <c r="H24" s="203"/>
      <c r="I24" s="203"/>
    </row>
    <row r="25" spans="1:9">
      <c r="A25" s="204" t="s">
        <v>284</v>
      </c>
      <c r="B25" s="204">
        <v>400</v>
      </c>
      <c r="C25" s="204" t="s">
        <v>285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286</v>
      </c>
      <c r="B26" s="204">
        <v>400</v>
      </c>
      <c r="C26" s="204" t="s">
        <v>285</v>
      </c>
      <c r="D26" s="204"/>
      <c r="E26" s="204"/>
      <c r="F26" s="204"/>
      <c r="G26" s="204" t="s">
        <v>314</v>
      </c>
      <c r="H26" s="204"/>
      <c r="I26" s="204"/>
    </row>
    <row r="27" spans="1:9">
      <c r="A27" s="204" t="s">
        <v>287</v>
      </c>
      <c r="B27" s="204">
        <v>400</v>
      </c>
      <c r="C27" s="204"/>
      <c r="D27" s="204"/>
      <c r="E27" s="204"/>
      <c r="F27" s="204"/>
      <c r="G27" s="204" t="s">
        <v>315</v>
      </c>
      <c r="H27" s="204"/>
      <c r="I27" s="204"/>
    </row>
    <row r="28" spans="1:9">
      <c r="A28" s="204" t="s">
        <v>288</v>
      </c>
      <c r="B28" s="204">
        <v>1000</v>
      </c>
      <c r="C28" s="204"/>
      <c r="D28" s="204"/>
      <c r="E28" s="204"/>
      <c r="F28" s="204"/>
      <c r="G28" s="204" t="s">
        <v>288</v>
      </c>
      <c r="H28" s="204"/>
      <c r="I28" s="204"/>
    </row>
    <row r="29" spans="1:9" ht="15.75" thickBot="1">
      <c r="A29" s="415" t="s">
        <v>382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290</v>
      </c>
      <c r="B30" s="202" t="s">
        <v>264</v>
      </c>
      <c r="C30" s="202" t="s">
        <v>265</v>
      </c>
      <c r="D30" s="202" t="s">
        <v>266</v>
      </c>
      <c r="E30" s="202" t="s">
        <v>308</v>
      </c>
      <c r="F30" s="202" t="s">
        <v>267</v>
      </c>
      <c r="G30" s="202"/>
      <c r="H30" s="202"/>
      <c r="I30" s="202"/>
    </row>
    <row r="31" spans="1:9">
      <c r="A31" s="203" t="s">
        <v>28</v>
      </c>
      <c r="B31" s="203" t="s">
        <v>243</v>
      </c>
      <c r="C31" s="203"/>
      <c r="D31" s="203"/>
      <c r="E31" s="203"/>
      <c r="F31" s="203"/>
      <c r="G31" s="181" t="s">
        <v>244</v>
      </c>
      <c r="H31" s="203"/>
      <c r="I31" s="203"/>
    </row>
    <row r="32" spans="1:9">
      <c r="A32" s="204" t="s">
        <v>291</v>
      </c>
      <c r="B32" s="204">
        <v>1000</v>
      </c>
      <c r="C32" s="204"/>
      <c r="D32" s="204"/>
      <c r="E32" s="204"/>
      <c r="F32" s="204"/>
      <c r="G32" s="204" t="s">
        <v>292</v>
      </c>
      <c r="H32" s="204"/>
      <c r="I32" s="204"/>
    </row>
    <row r="33" spans="1:9">
      <c r="A33" s="204" t="s">
        <v>293</v>
      </c>
      <c r="B33" s="204">
        <v>630</v>
      </c>
      <c r="C33" s="204"/>
      <c r="D33" s="204"/>
      <c r="E33" s="204"/>
      <c r="F33" s="204"/>
      <c r="G33" s="204" t="s">
        <v>294</v>
      </c>
      <c r="H33" s="204"/>
      <c r="I33" s="204"/>
    </row>
    <row r="34" spans="1:9">
      <c r="A34" s="204" t="s">
        <v>295</v>
      </c>
      <c r="B34" s="204">
        <v>630</v>
      </c>
      <c r="C34" s="204"/>
      <c r="D34" s="204"/>
      <c r="E34" s="204"/>
      <c r="F34" s="204"/>
      <c r="G34" s="204" t="s">
        <v>296</v>
      </c>
      <c r="H34" s="204"/>
      <c r="I34" s="204"/>
    </row>
    <row r="35" spans="1:9">
      <c r="A35" s="204" t="s">
        <v>297</v>
      </c>
      <c r="B35" s="204">
        <v>630</v>
      </c>
      <c r="C35" s="204"/>
      <c r="D35" s="204"/>
      <c r="E35" s="204"/>
      <c r="F35" s="204"/>
      <c r="G35" s="204" t="s">
        <v>298</v>
      </c>
      <c r="H35" s="204"/>
      <c r="I35" s="204"/>
    </row>
    <row r="36" spans="1:9">
      <c r="A36" s="204" t="s">
        <v>299</v>
      </c>
      <c r="B36" s="204">
        <v>400</v>
      </c>
      <c r="C36" s="204"/>
      <c r="D36" s="204"/>
      <c r="E36" s="204"/>
      <c r="F36" s="204"/>
      <c r="G36" s="204" t="s">
        <v>274</v>
      </c>
      <c r="H36" s="204"/>
      <c r="I36" s="204"/>
    </row>
    <row r="37" spans="1:9">
      <c r="A37" s="205" t="s">
        <v>289</v>
      </c>
      <c r="B37" s="205">
        <v>1000</v>
      </c>
      <c r="C37" s="205"/>
      <c r="D37" s="205"/>
      <c r="E37" s="205"/>
      <c r="F37" s="205"/>
      <c r="G37" s="205" t="s">
        <v>289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2020-07-17T08:56:26Z</dcterms:modified>
</cp:coreProperties>
</file>