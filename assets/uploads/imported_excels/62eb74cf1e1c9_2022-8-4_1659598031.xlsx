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B57C023B-BF64-4F88-8EE5-F097EE8DBFFA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86" i="10" l="1"/>
  <c r="O91" i="10"/>
  <c r="O88" i="10"/>
  <c r="M76" i="10"/>
  <c r="M89" i="10" l="1"/>
  <c r="N63" i="10" l="1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3" i="10"/>
  <c r="N2" i="10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s="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7" i="11"/>
  <c r="J6" i="11"/>
  <c r="J4" i="11"/>
  <c r="J3" i="11"/>
  <c r="N64" i="10" l="1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S2" i="1"/>
  <c r="P2" i="1"/>
  <c r="M2" i="1"/>
  <c r="J2" i="1"/>
  <c r="G2" i="1"/>
  <c r="D2" i="1"/>
  <c r="C33" i="5"/>
  <c r="G32" i="9" s="1"/>
  <c r="I33" i="3"/>
  <c r="H32" i="8" s="1"/>
  <c r="G33" i="3"/>
  <c r="G32" i="8" s="1"/>
  <c r="E33" i="3"/>
  <c r="F32" i="8" s="1"/>
  <c r="C33" i="3"/>
  <c r="E32" i="8" s="1"/>
  <c r="J2" i="3"/>
  <c r="K2" i="3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Z2" i="4"/>
  <c r="X2" i="4"/>
  <c r="Y2" i="4" s="1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T2" i="1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11" i="11"/>
  <c r="J8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C34" i="2" s="1"/>
  <c r="E3" i="2"/>
  <c r="E34" i="2" s="1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M87" i="10"/>
  <c r="N87" i="10"/>
  <c r="O87" i="10"/>
  <c r="N88" i="10"/>
  <c r="N89" i="10"/>
  <c r="O89" i="10"/>
  <c r="M90" i="10"/>
  <c r="N90" i="10"/>
  <c r="O90" i="10"/>
  <c r="M91" i="10"/>
  <c r="N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 s="1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<sst xmlns="http://schemas.openxmlformats.org/spreadsheetml/2006/main" count="513" uniqueCount="152">
  <si>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</si>
  <si>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</si>
  <si>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</si>
  <si>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</si>
  <si>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</si>
  <si>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</si>
  <si>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</si>
  <si>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</si>
  <si>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</si>
  <si>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</si>
  <si>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</si>
  <si>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</si>
  <si>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</si>
  <si>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</si>
  <si>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</si>
  <si>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</si>
  <si>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</si>
  <si>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</si>
  <si>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</si>
  <si>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</si>
  <si>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</si>
  <si>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</si>
  <si>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</si>
  <si>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</si>
  <si>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</si>
  <si>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</si>
  <si>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</si>
  <si>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</si>
  <si>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</si>
  <si>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</si>
  <si>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</si>
  <si>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</si>
  <si>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</si>
  <si>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</si>
  <si>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</si>
  <si>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</si>
  <si>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</si>
  <si>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</si>
  <si>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</si>
  <si>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</si>
  <si>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</si>
  <si>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</si>
  <si>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</si>
  <si>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</si>
  <si>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</si>
  <si>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</si>
  <si>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</si>
  <si>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</si>
  <si>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</si>
  <si>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</si>
  <si>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</si>
  <si>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</si>
  <si>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</si>
  <si>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</si>
  <si>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</si>
  <si>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</si>
  <si>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</si>
  <si>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</si>
  <si>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</si>
  <si>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</si>
  <si>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</si>
  <si>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</si>
  <si>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</si>
  <si>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</si>
  <si>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</si>
  <si>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</si>
  <si>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</si>
  <si>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</si>
  <si>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</si>
  <si>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</si>
  <si>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</si>
  <si>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</si>
  <si>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</si>
  <si>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</si>
  <si>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</si>
  <si>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</si>
  <si>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</si>
  <si>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</si>
  <si>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</si>
  <si>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</si>
  <si>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</si>
  <si>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</si>
  <si>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</si>
  <si>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</si>
  <si>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</si>
  <si>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</si>
  <si>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</si>
  <si>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</si>
  <si>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</si>
  <si>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</si>
  <si>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</si>
  <si>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</si>
  <si>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</si>
  <si>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</si>
  <si>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</si>
  <si>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</si>
  <si>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</si>
  <si>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</si>
  <si>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</si>
  <si>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</si>
  <si>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</si>
  <si>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</si>
  <si>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</si>
  <si>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</si>
  <si>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</si>
  <si>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</si>
  <si>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</si>
  <si>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</si>
  <si>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</si>
  <si>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</si>
  <si>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</si>
  <si>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</si>
  <si>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</si>
  <si>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</si>
  <si>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</si>
  <si>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</si>
  <si>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</si>
  <si>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</si>
  <si>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</si>
  <si>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</si>
  <si>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</si>
  <si>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</si>
  <si>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</si>
  <si>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</si>
  <si>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</si>
  <si>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</si>
  <si>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</si>
  <si>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</si>
  <si>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</si>
  <si>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</si>
  <si>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</si>
  <si>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</si>
  <si>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</si>
  <si>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</si>
  <si>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</si>
  <si>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</si>
  <si>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</si>
  <si>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</si>
  <si>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</si>
  <si>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</si>
  <si>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</si>
  <si>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</si>
  <si>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</si>
  <si>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</si>
  <si>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</si>
  <si>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</si>
  <si>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Apr. 2022</t>
  </si>
  <si>
    <t>Acutal till May. 2022</t>
  </si>
  <si>
    <t>Acutal till    Jun. 2022</t>
  </si>
  <si>
    <t>Energy Monthly Statement July 2022</t>
  </si>
  <si>
    <t>Acutal till June. 2022</t>
  </si>
  <si>
    <t>Acutal till   July.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</si>
</sst>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#,##0.0"/>
    <numFmt numFmtId="167" formatCode="[$-409]d\-mmm\-yyyy;@"/>
    <numFmt numFmtId="168" formatCode="0.000"/>
    <numFmt numFmtId="169" formatCode="0.00;[Red]0.00"/>
    <numFmt numFmtId="170" formatCode="0;[Red]0"/>
    <numFmt numFmtId="171" formatCode="[$-409]d\-mmm;@"/>
    <numFmt numFmtId="172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7" fontId="11" fillId="2" borderId="0" applyNumberFormat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7" fontId="1" fillId="0" borderId="0"/>
    <xf numFmtId="0" fontId="1" fillId="0" borderId="0"/>
    <xf numFmtId="0" fontId="3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26" fillId="0" borderId="0"/>
    <xf numFmtId="0" fontId="1" fillId="0" borderId="0"/>
    <xf numFmtId="0" fontId="1" fillId="0" borderId="0"/>
    <xf numFmtId="167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7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8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165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165" fontId="35" fillId="0" borderId="1" xfId="0" applyNumberFormat="1" applyFont="1" applyFill="1" applyBorder="1" applyAlignment="1">
      <alignment horizontal="center" vertical="center"/>
    </xf>
    <xf numFmtId="165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6" fontId="35" fillId="0" borderId="1" xfId="0" applyNumberFormat="1" applyFont="1" applyFill="1" applyBorder="1" applyAlignment="1">
      <alignment horizontal="center" vertical="center"/>
    </xf>
    <xf numFmtId="166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6" fontId="35" fillId="0" borderId="1" xfId="13" applyNumberFormat="1" applyFont="1" applyFill="1" applyBorder="1" applyAlignment="1">
      <alignment horizontal="center" vertical="center"/>
    </xf>
    <xf numFmtId="166" fontId="35" fillId="0" borderId="0" xfId="13" applyNumberFormat="1" applyFont="1" applyFill="1" applyBorder="1" applyAlignment="1">
      <alignment horizontal="center" vertical="center"/>
    </xf>
    <xf numFmtId="166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6" fontId="35" fillId="0" borderId="8" xfId="13" applyNumberFormat="1" applyFont="1" applyFill="1" applyBorder="1" applyAlignment="1">
      <alignment horizontal="center" vertical="center"/>
    </xf>
    <xf numFmtId="166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9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9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71" fontId="0" fillId="0" borderId="0" xfId="0" applyNumberFormat="1"/>
    <xf numFmtId="17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2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 xr:uid="{00000000-0005-0000-0000-000001000000}"/>
    <cellStyle name="Comma" xfId="3" builtinId="3"/>
    <cellStyle name="Normal" xfId="0" builtinId="0"/>
    <cellStyle name="Normal 12" xfId="4" xr:uid="{00000000-0005-0000-0000-000004000000}"/>
    <cellStyle name="Normal 12 2" xfId="5" xr:uid="{00000000-0005-0000-0000-000005000000}"/>
    <cellStyle name="Normal 12 3" xfId="14" xr:uid="{00000000-0005-0000-0000-000006000000}"/>
    <cellStyle name="Normal 12_Plaza and residential" xfId="6" xr:uid="{00000000-0005-0000-0000-000007000000}"/>
    <cellStyle name="Normal 14" xfId="7" xr:uid="{00000000-0005-0000-0000-000008000000}"/>
    <cellStyle name="Normal 14 2" xfId="8" xr:uid="{00000000-0005-0000-0000-000009000000}"/>
    <cellStyle name="Normal 14 2 2" xfId="9" xr:uid="{00000000-0005-0000-0000-00000A000000}"/>
    <cellStyle name="Normal 14 3" xfId="10" xr:uid="{00000000-0005-0000-0000-00000B000000}"/>
    <cellStyle name="Normal 14_Plaza and residential" xfId="11" xr:uid="{00000000-0005-0000-0000-00000C000000}"/>
    <cellStyle name="Normal 2" xfId="12" xr:uid="{00000000-0005-0000-0000-00000D000000}"/>
    <cellStyle name="Normal 2 2" xfId="15" xr:uid="{00000000-0005-0000-0000-00000E000000}"/>
    <cellStyle name="Normal_~0313373" xfId="13" xr:uid="{00000000-0005-0000-0000-00000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L27" sqref="L27"/>
    </sheetView>
  </sheetViews>
  <sheetFormatPr defaultColWidth="11.5546875" defaultRowHeight="13.2" x14ac:dyDescent="0.25"/>
  <cols>
    <col min="1" max="1" width="15.88671875" style="47" bestFit="1" customWidth="1"/>
    <col min="2" max="3" width="11.5546875" style="52"/>
    <col min="4" max="4" width="13.44140625" style="52" customWidth="1"/>
    <col min="5" max="6" width="12.5546875" style="13" customWidth="1"/>
    <col min="7" max="7" width="12.109375" style="13" customWidth="1"/>
    <col min="8" max="11" width="11.5546875" style="13"/>
  </cols>
  <sheetData>
    <row r="1" spans="1:14" s="33" customFormat="1" ht="43.2" x14ac:dyDescent="0.3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5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5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5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5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5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1670.2421999999999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5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1472.6669999999999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5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1740.6741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5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1570.5399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5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5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950.37329999999997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5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58410.201519999995</v>
      </c>
      <c r="F12" s="138">
        <v>1.27</v>
      </c>
      <c r="G12" s="36">
        <f>Gas!C13*0.9147</f>
        <v>1179.0482999999999</v>
      </c>
      <c r="H12" s="139">
        <v>3.65</v>
      </c>
      <c r="I12" s="141">
        <f>Submetering!H12+Submetering!AD12+Submetering!AE12</f>
        <v>946</v>
      </c>
      <c r="J12" s="141">
        <v>10.029999999999999</v>
      </c>
      <c r="K12" s="36">
        <f>ELECT.!B13</f>
        <v>241</v>
      </c>
    </row>
    <row r="13" spans="1:14" x14ac:dyDescent="0.25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87051.442744</v>
      </c>
      <c r="F13" s="138">
        <v>1.27</v>
      </c>
      <c r="G13" s="36">
        <f>Gas!C14*0.9147</f>
        <v>1911.723</v>
      </c>
      <c r="H13" s="139">
        <v>3.65</v>
      </c>
      <c r="I13" s="141">
        <f>Submetering!H13+Submetering!AD13+Submetering!AE13</f>
        <v>905.99999999999989</v>
      </c>
      <c r="J13" s="141">
        <v>10.029999999999999</v>
      </c>
      <c r="K13" s="36">
        <f>ELECT.!B14</f>
        <v>235</v>
      </c>
    </row>
    <row r="14" spans="1:14" x14ac:dyDescent="0.25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55981.216011999997</v>
      </c>
      <c r="F14" s="138">
        <v>1.27</v>
      </c>
      <c r="G14" s="36">
        <f>Gas!C15*0.9147</f>
        <v>1492.7903999999999</v>
      </c>
      <c r="H14" s="139">
        <v>3.65</v>
      </c>
      <c r="I14" s="141">
        <f>Submetering!H14+Submetering!AD14+Submetering!AE14</f>
        <v>36.000000000000014</v>
      </c>
      <c r="J14" s="141">
        <v>10.029999999999999</v>
      </c>
      <c r="K14" s="36">
        <f>ELECT.!B15</f>
        <v>250</v>
      </c>
    </row>
    <row r="15" spans="1:14" x14ac:dyDescent="0.25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65416.487236000001</v>
      </c>
      <c r="F15" s="138">
        <v>1.27</v>
      </c>
      <c r="G15" s="36">
        <f>Gas!C16*0.9147</f>
        <v>1690.3655999999999</v>
      </c>
      <c r="H15" s="139">
        <v>3.65</v>
      </c>
      <c r="I15" s="141">
        <f>Submetering!H15+Submetering!AD15+Submetering!AE15</f>
        <v>895.99999999999989</v>
      </c>
      <c r="J15" s="141">
        <v>10.029999999999999</v>
      </c>
      <c r="K15" s="36">
        <f>ELECT.!B16</f>
        <v>225</v>
      </c>
    </row>
    <row r="16" spans="1:14" x14ac:dyDescent="0.25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84222.216547999997</v>
      </c>
      <c r="F16" s="138">
        <v>1.27</v>
      </c>
      <c r="G16" s="36">
        <f>Gas!C17*0.9147</f>
        <v>1850.4380999999998</v>
      </c>
      <c r="H16" s="139">
        <v>3.65</v>
      </c>
      <c r="I16" s="141">
        <f>Submetering!H16+Submetering!AD16+Submetering!AE16</f>
        <v>795.99999999999989</v>
      </c>
      <c r="J16" s="141">
        <v>10.029999999999999</v>
      </c>
      <c r="K16" s="36">
        <f>ELECT.!B17</f>
        <v>243</v>
      </c>
    </row>
    <row r="17" spans="1:13" x14ac:dyDescent="0.25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57542.049623999999</v>
      </c>
      <c r="F17" s="138">
        <v>1.27</v>
      </c>
      <c r="G17" s="36">
        <f>Gas!C18*0.9147</f>
        <v>1551.3311999999999</v>
      </c>
      <c r="H17" s="139">
        <v>3.65</v>
      </c>
      <c r="I17" s="141">
        <f>Submetering!H17+Submetering!AD17+Submetering!AE17</f>
        <v>846</v>
      </c>
      <c r="J17" s="141">
        <v>10.029999999999999</v>
      </c>
      <c r="K17" s="36">
        <f>ELECT.!B18</f>
        <v>282</v>
      </c>
    </row>
    <row r="18" spans="1:13" x14ac:dyDescent="0.25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72742.499020000003</v>
      </c>
      <c r="F18" s="138">
        <v>1.27</v>
      </c>
      <c r="G18" s="36">
        <f>Gas!C19*0.9147</f>
        <v>1917.2112</v>
      </c>
      <c r="H18" s="139">
        <v>3.65</v>
      </c>
      <c r="I18" s="141">
        <f>Submetering!H18+Submetering!AD18+Submetering!AE18</f>
        <v>726</v>
      </c>
      <c r="J18" s="141">
        <v>10.029999999999999</v>
      </c>
      <c r="K18" s="36">
        <f>ELECT.!B19</f>
        <v>247</v>
      </c>
    </row>
    <row r="19" spans="1:13" x14ac:dyDescent="0.25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96242.789179999992</v>
      </c>
      <c r="F19" s="138">
        <v>1.27</v>
      </c>
      <c r="G19" s="36">
        <f>Gas!C20*0.9147</f>
        <v>1482.7286999999999</v>
      </c>
      <c r="H19" s="139">
        <v>3.65</v>
      </c>
      <c r="I19" s="141">
        <f>Submetering!H19+Submetering!AD19+Submetering!AE19</f>
        <v>1126</v>
      </c>
      <c r="J19" s="141">
        <v>10.029999999999999</v>
      </c>
      <c r="K19" s="36">
        <f>ELECT.!B20</f>
        <v>111</v>
      </c>
    </row>
    <row r="20" spans="1:13" x14ac:dyDescent="0.25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65919.686172000002</v>
      </c>
      <c r="F20" s="138">
        <v>1.27</v>
      </c>
      <c r="G20" s="36">
        <f>Gas!C21*0.9147</f>
        <v>1777.2620999999999</v>
      </c>
      <c r="H20" s="139">
        <v>3.65</v>
      </c>
      <c r="I20" s="141">
        <f>Submetering!H20+Submetering!AD20+Submetering!AE20</f>
        <v>855.99999999999989</v>
      </c>
      <c r="J20" s="141">
        <v>10.029999999999999</v>
      </c>
      <c r="K20" s="36">
        <f>ELECT.!B21</f>
        <v>224</v>
      </c>
    </row>
    <row r="21" spans="1:13" x14ac:dyDescent="0.25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76532.386288000009</v>
      </c>
      <c r="F21" s="138">
        <v>1.27</v>
      </c>
      <c r="G21" s="36">
        <f>Gas!C22*0.9147</f>
        <v>1725.1242</v>
      </c>
      <c r="H21" s="139">
        <v>3.65</v>
      </c>
      <c r="I21" s="141">
        <f>Submetering!H21+Submetering!AD21+Submetering!AE21</f>
        <v>885.99999999999989</v>
      </c>
      <c r="J21" s="141">
        <v>10.029999999999999</v>
      </c>
      <c r="K21" s="36">
        <f>ELECT.!B22</f>
        <v>230</v>
      </c>
    </row>
    <row r="22" spans="1:13" x14ac:dyDescent="0.25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73032.04291199999</v>
      </c>
      <c r="F22" s="138">
        <v>1.27</v>
      </c>
      <c r="G22" s="36">
        <f>Gas!C23*0.9147</f>
        <v>1758.0534</v>
      </c>
      <c r="H22" s="139">
        <v>3.65</v>
      </c>
      <c r="I22" s="141">
        <f>Submetering!H22+Submetering!AD22+Submetering!AE22</f>
        <v>906.00000000000011</v>
      </c>
      <c r="J22" s="141">
        <v>10.029999999999999</v>
      </c>
      <c r="K22" s="36">
        <f>ELECT.!B23</f>
        <v>272</v>
      </c>
    </row>
    <row r="23" spans="1:13" x14ac:dyDescent="0.25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87948.951675999997</v>
      </c>
      <c r="F23" s="138">
        <v>1.27</v>
      </c>
      <c r="G23" s="36">
        <f>Gas!C24*0.9147</f>
        <v>1667.4981</v>
      </c>
      <c r="H23" s="139">
        <v>3.65</v>
      </c>
      <c r="I23" s="141">
        <f>Submetering!H23+Submetering!AD23+Submetering!AE23</f>
        <v>796</v>
      </c>
      <c r="J23" s="141">
        <v>10.029999999999999</v>
      </c>
      <c r="K23" s="36">
        <f>ELECT.!B24</f>
        <v>250</v>
      </c>
    </row>
    <row r="24" spans="1:13" x14ac:dyDescent="0.25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62939.144344</v>
      </c>
      <c r="F24" s="138">
        <v>1.27</v>
      </c>
      <c r="G24" s="36">
        <f>Gas!C25*0.9147</f>
        <v>1820.2529999999999</v>
      </c>
      <c r="H24" s="139">
        <v>3.65</v>
      </c>
      <c r="I24" s="141">
        <f>Submetering!H24+Submetering!AD24+Submetering!AE24</f>
        <v>806</v>
      </c>
      <c r="J24" s="141">
        <v>10.029999999999999</v>
      </c>
      <c r="K24" s="36">
        <f>ELECT.!B25</f>
        <v>198</v>
      </c>
    </row>
    <row r="25" spans="1:13" x14ac:dyDescent="0.25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82616.078703999985</v>
      </c>
      <c r="F25" s="138">
        <v>1.27</v>
      </c>
      <c r="G25" s="36">
        <f>Gas!C26*0.9147</f>
        <v>1955.6286</v>
      </c>
      <c r="H25" s="139">
        <v>3.65</v>
      </c>
      <c r="I25" s="141">
        <f>Submetering!H25+Submetering!AD25+Submetering!AE25</f>
        <v>846.00000000000011</v>
      </c>
      <c r="J25" s="141">
        <v>10.029999999999999</v>
      </c>
      <c r="K25" s="36">
        <f>ELECT.!B26</f>
        <v>304</v>
      </c>
    </row>
    <row r="26" spans="1:13" x14ac:dyDescent="0.25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80540.992436</v>
      </c>
      <c r="F26" s="138">
        <v>1.27</v>
      </c>
      <c r="G26" s="36">
        <f>Gas!C27*0.9147</f>
        <v>1701.3419999999999</v>
      </c>
      <c r="H26" s="139">
        <v>3.65</v>
      </c>
      <c r="I26" s="141">
        <f>Submetering!H26+Submetering!AD26+Submetering!AE26</f>
        <v>836.00000000000011</v>
      </c>
      <c r="J26" s="141">
        <v>10.029999999999999</v>
      </c>
      <c r="K26" s="36">
        <f>ELECT.!B27</f>
        <v>296</v>
      </c>
      <c r="M26" s="26" t="s">
        <v>12</v>
      </c>
    </row>
    <row r="27" spans="1:13" x14ac:dyDescent="0.25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66410.019480000003</v>
      </c>
      <c r="F27" s="138">
        <v>1.27</v>
      </c>
      <c r="G27" s="36">
        <f>Gas!C28*0.9147</f>
        <v>1830.3146999999999</v>
      </c>
      <c r="H27" s="139">
        <v>3.65</v>
      </c>
      <c r="I27" s="141">
        <f>Submetering!H27+Submetering!AD27+Submetering!AE27</f>
        <v>1066.0000000000002</v>
      </c>
      <c r="J27" s="141">
        <v>10.029999999999999</v>
      </c>
      <c r="K27" s="36">
        <f>ELECT.!B28</f>
        <v>260</v>
      </c>
    </row>
    <row r="28" spans="1:13" x14ac:dyDescent="0.25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81605.968644000008</v>
      </c>
      <c r="F28" s="138">
        <v>1.27</v>
      </c>
      <c r="G28" s="36">
        <f>Gas!C29*0.9147</f>
        <v>1766.2856999999999</v>
      </c>
      <c r="H28" s="139">
        <v>3.65</v>
      </c>
      <c r="I28" s="141">
        <f>Submetering!H28+Submetering!AD28+Submetering!AE28</f>
        <v>726</v>
      </c>
      <c r="J28" s="141">
        <v>10.029999999999999</v>
      </c>
      <c r="K28" s="36">
        <f>ELECT.!B29</f>
        <v>299</v>
      </c>
    </row>
    <row r="29" spans="1:13" x14ac:dyDescent="0.25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78348.211916</v>
      </c>
      <c r="F29" s="139">
        <v>1.27</v>
      </c>
      <c r="G29" s="36">
        <f>Gas!C30*0.9147</f>
        <v>1549.5018</v>
      </c>
      <c r="H29" s="139">
        <v>3.65</v>
      </c>
      <c r="I29" s="141">
        <f>Submetering!H29+Submetering!AD29+Submetering!AE29</f>
        <v>696</v>
      </c>
      <c r="J29" s="141">
        <v>10.029999999999999</v>
      </c>
      <c r="K29" s="36">
        <f>ELECT.!B30</f>
        <v>250</v>
      </c>
    </row>
    <row r="30" spans="1:13" x14ac:dyDescent="0.25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66589.439048</v>
      </c>
      <c r="F30" s="139">
        <v>1.27</v>
      </c>
      <c r="G30" s="36">
        <f>Gas!C31*0.9147</f>
        <v>1720.5507</v>
      </c>
      <c r="H30" s="139">
        <v>3.65</v>
      </c>
      <c r="I30" s="141">
        <f>Submetering!H30+Submetering!AD30+Submetering!AE30</f>
        <v>1196</v>
      </c>
      <c r="J30" s="141">
        <v>10.029999999999999</v>
      </c>
      <c r="K30" s="36">
        <f>ELECT.!B31</f>
        <v>205</v>
      </c>
    </row>
    <row r="31" spans="1:13" x14ac:dyDescent="0.25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71477.296088000003</v>
      </c>
      <c r="F31" s="139">
        <v>1.27</v>
      </c>
      <c r="G31" s="36">
        <f>Gas!C32*0.9147</f>
        <v>1752.5652</v>
      </c>
      <c r="H31" s="139">
        <v>3.65</v>
      </c>
      <c r="I31" s="141">
        <f>Submetering!H31+Submetering!AD31+Submetering!AE31</f>
        <v>766.00000000000011</v>
      </c>
      <c r="J31" s="141">
        <v>10.029999999999999</v>
      </c>
      <c r="K31" s="36">
        <f>ELECT.!B32</f>
        <v>260</v>
      </c>
    </row>
    <row r="32" spans="1:13" x14ac:dyDescent="0.25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74513.04164000001</v>
      </c>
      <c r="F32" s="139">
        <v>1.27</v>
      </c>
      <c r="G32" s="36">
        <f>Gas!C33*0.9147</f>
        <v>1444.3112999999998</v>
      </c>
      <c r="H32" s="139">
        <v>3.65</v>
      </c>
      <c r="I32" s="141">
        <f>Submetering!H32+Submetering!AD32+Submetering!AE32</f>
        <v>815.99999999999989</v>
      </c>
      <c r="J32" s="141">
        <v>10.029999999999999</v>
      </c>
      <c r="K32" s="36">
        <f>ELECT.!B33</f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32"/>
  <sheetViews>
    <sheetView zoomScale="85" zoomScaleNormal="85" workbookViewId="0">
      <selection activeCell="AB26" sqref="AB26"/>
    </sheetView>
  </sheetViews>
  <sheetFormatPr defaultColWidth="11.5546875" defaultRowHeight="13.2" x14ac:dyDescent="0.25"/>
  <cols>
    <col min="1" max="1" width="15.88671875" style="47" bestFit="1" customWidth="1"/>
    <col min="2" max="3" width="11.5546875" style="52"/>
    <col min="4" max="4" width="13.44140625" style="52" customWidth="1"/>
    <col min="5" max="17" width="12.5546875" style="36" customWidth="1"/>
    <col min="18" max="21" width="12.5546875" style="37" customWidth="1"/>
    <col min="22" max="22" width="13.109375" style="37" customWidth="1"/>
    <col min="23" max="23" width="12.5546875" style="37" customWidth="1"/>
    <col min="24" max="25" width="11.5546875" style="34"/>
    <col min="27" max="27" width="13.6640625" bestFit="1" customWidth="1"/>
    <col min="28" max="28" width="13.5546875" bestFit="1" customWidth="1"/>
    <col min="30" max="30" width="15.5546875" customWidth="1"/>
  </cols>
  <sheetData>
    <row r="1" spans="1:31" s="33" customFormat="1" ht="43.2" x14ac:dyDescent="0.3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5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5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5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5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5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5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5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5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5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5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5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1140</v>
      </c>
      <c r="F12" s="36">
        <f>Water!E13</f>
        <v>460</v>
      </c>
      <c r="G12" s="36">
        <f>Water!G13</f>
        <v>267.3</v>
      </c>
      <c r="H12" s="36">
        <f>Water!I13</f>
        <v>4.3469999999999995</v>
      </c>
      <c r="I12" s="36">
        <f>ELECT.!F13</f>
        <v>17666</v>
      </c>
      <c r="J12" s="36">
        <f>ELECT.!H13</f>
        <v>43109</v>
      </c>
      <c r="K12" s="36">
        <f>ELECT.!K13</f>
        <v>8446</v>
      </c>
      <c r="L12" s="36">
        <f>ELECT.!M13</f>
        <v>4976</v>
      </c>
      <c r="M12" s="36">
        <f>ELECT.!O13</f>
        <v>12510</v>
      </c>
      <c r="N12" s="36">
        <f>ELECT.!Q13</f>
        <v>11272</v>
      </c>
      <c r="O12" s="36">
        <f>ELECT.!S13</f>
        <v>8452</v>
      </c>
      <c r="P12" s="36">
        <f>ELECT.!W13*2</f>
        <v>18228</v>
      </c>
      <c r="Q12" s="36">
        <f>ELECT.!D13</f>
        <v>480</v>
      </c>
      <c r="R12" s="141">
        <f>BTU!C13</f>
        <v>12.687999999998283</v>
      </c>
      <c r="S12" s="141">
        <f>BTU!F13</f>
        <v>1.3579999999992651</v>
      </c>
      <c r="T12" s="141">
        <f>BTU!I13</f>
        <v>5</v>
      </c>
      <c r="U12" s="141">
        <f>BTU!O13</f>
        <v>1.56899999999996</v>
      </c>
      <c r="V12" s="141">
        <f>BTU!L13</f>
        <v>4.5899999999983265</v>
      </c>
      <c r="W12" s="141">
        <f>BTU!R13</f>
        <v>1.9000000000005457</v>
      </c>
      <c r="X12" s="34">
        <f>ELECT.!B13</f>
        <v>241</v>
      </c>
      <c r="Y12" s="34">
        <f t="shared" si="0"/>
        <v>-3109</v>
      </c>
      <c r="Z12">
        <f>'Mall, Citadel, Rotana'!C13+'Mall, Citadel, Rotana'!E13+'Mall, Citadel, Rotana'!G13+'Mall, Citadel, Rotana'!I13</f>
        <v>1233</v>
      </c>
      <c r="AA12">
        <f>'Mall, Citadel, Rotana'!K13+'Mall, Citadel, Rotana'!M13</f>
        <v>276</v>
      </c>
      <c r="AB12">
        <f>'Mall, Citadel, Rotana'!O13</f>
        <v>3</v>
      </c>
      <c r="AC12">
        <f>'Mall, Citadel, Rotana'!Q13+'Mall, Citadel, Rotana'!S13</f>
        <v>0</v>
      </c>
      <c r="AD12" s="34">
        <f t="shared" si="1"/>
        <v>124.1098654</v>
      </c>
      <c r="AE12" s="34">
        <f t="shared" si="2"/>
        <v>817.54313460000003</v>
      </c>
    </row>
    <row r="13" spans="1:31" x14ac:dyDescent="0.25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450</v>
      </c>
      <c r="G13" s="36">
        <f>Water!G14</f>
        <v>556.20000000000005</v>
      </c>
      <c r="H13" s="36">
        <f>Water!I14</f>
        <v>4.6710000000000003</v>
      </c>
      <c r="I13" s="36">
        <f>ELECT.!F14</f>
        <v>25942</v>
      </c>
      <c r="J13" s="36">
        <f>ELECT.!H14</f>
        <v>63967</v>
      </c>
      <c r="K13" s="36">
        <f>ELECT.!K14</f>
        <v>12180</v>
      </c>
      <c r="L13" s="36">
        <f>ELECT.!M14</f>
        <v>7091</v>
      </c>
      <c r="M13" s="36">
        <f>ELECT.!O14</f>
        <v>18610</v>
      </c>
      <c r="N13" s="36">
        <f>ELECT.!Q14</f>
        <v>17031</v>
      </c>
      <c r="O13" s="36">
        <f>ELECT.!S14</f>
        <v>12612</v>
      </c>
      <c r="P13" s="36">
        <f>ELECT.!W14*2</f>
        <v>26854</v>
      </c>
      <c r="Q13" s="36">
        <f>ELECT.!D14</f>
        <v>640</v>
      </c>
      <c r="R13" s="141">
        <f>BTU!C14</f>
        <v>13.103000000002794</v>
      </c>
      <c r="S13" s="141">
        <f>BTU!F14</f>
        <v>1.2989999999999782</v>
      </c>
      <c r="T13" s="141">
        <f>BTU!I14</f>
        <v>6</v>
      </c>
      <c r="U13" s="141">
        <f>BTU!O14</f>
        <v>1.9639999999999418</v>
      </c>
      <c r="V13" s="141">
        <f>BTU!L14</f>
        <v>4.680000000000291</v>
      </c>
      <c r="W13" s="141">
        <f>BTU!R14</f>
        <v>1.8800000000001091</v>
      </c>
      <c r="X13" s="34">
        <f>ELECT.!B14</f>
        <v>235</v>
      </c>
      <c r="Y13" s="34">
        <f t="shared" si="0"/>
        <v>-4469</v>
      </c>
      <c r="Z13">
        <f>'Mall, Citadel, Rotana'!C14+'Mall, Citadel, Rotana'!E14+'Mall, Citadel, Rotana'!G14+'Mall, Citadel, Rotana'!I14</f>
        <v>1351</v>
      </c>
      <c r="AA13">
        <f>'Mall, Citadel, Rotana'!K14+'Mall, Citadel, Rotana'!M14</f>
        <v>212</v>
      </c>
      <c r="AB13">
        <f>'Mall, Citadel, Rotana'!O14</f>
        <v>3</v>
      </c>
      <c r="AC13">
        <f>'Mall, Citadel, Rotana'!Q14+'Mall, Citadel, Rotana'!S14</f>
        <v>0</v>
      </c>
      <c r="AD13" s="34">
        <f t="shared" si="1"/>
        <v>118.79516219999999</v>
      </c>
      <c r="AE13" s="34">
        <f t="shared" si="2"/>
        <v>782.5338377999999</v>
      </c>
    </row>
    <row r="14" spans="1:31" x14ac:dyDescent="0.25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230</v>
      </c>
      <c r="F14" s="36">
        <f>Water!E15</f>
        <v>370</v>
      </c>
      <c r="G14" s="36">
        <f>Water!G15</f>
        <v>731.7</v>
      </c>
      <c r="H14" s="36">
        <f>Water!I15</f>
        <v>1.89</v>
      </c>
      <c r="I14" s="36">
        <f>ELECT.!F15</f>
        <v>16785</v>
      </c>
      <c r="J14" s="36">
        <f>ELECT.!H15</f>
        <v>41454</v>
      </c>
      <c r="K14" s="36">
        <f>ELECT.!K15</f>
        <v>8394</v>
      </c>
      <c r="L14" s="36">
        <f>ELECT.!M15</f>
        <v>4894</v>
      </c>
      <c r="M14" s="36">
        <f>ELECT.!O15</f>
        <v>11740</v>
      </c>
      <c r="N14" s="36">
        <f>ELECT.!Q15</f>
        <v>10185</v>
      </c>
      <c r="O14" s="36">
        <f>ELECT.!S15</f>
        <v>8231</v>
      </c>
      <c r="P14" s="36">
        <f>ELECT.!W15*2</f>
        <v>17562</v>
      </c>
      <c r="Q14" s="36">
        <f>ELECT.!D15</f>
        <v>640</v>
      </c>
      <c r="R14" s="141">
        <f>BTU!C15</f>
        <v>12.229999999999563</v>
      </c>
      <c r="S14" s="141">
        <f>BTU!F15</f>
        <v>2.0520000000005894</v>
      </c>
      <c r="T14" s="141">
        <f>BTU!I15</f>
        <v>5</v>
      </c>
      <c r="U14" s="141">
        <f>BTU!O15</f>
        <v>1.0590000000001965</v>
      </c>
      <c r="V14" s="141">
        <f>BTU!L15</f>
        <v>3.8700000000008004</v>
      </c>
      <c r="W14" s="141">
        <f>BTU!R15</f>
        <v>2.089999999999236</v>
      </c>
      <c r="X14" s="34">
        <f>ELECT.!B15</f>
        <v>250</v>
      </c>
      <c r="Y14" s="34">
        <f t="shared" si="0"/>
        <v>-2767</v>
      </c>
      <c r="Z14">
        <f>'Mall, Citadel, Rotana'!C15+'Mall, Citadel, Rotana'!E15+'Mall, Citadel, Rotana'!G15+'Mall, Citadel, Rotana'!I15</f>
        <v>1234</v>
      </c>
      <c r="AA14">
        <f>'Mall, Citadel, Rotana'!K15+'Mall, Citadel, Rotana'!M15</f>
        <v>249</v>
      </c>
      <c r="AB14">
        <f>'Mall, Citadel, Rotana'!O15</f>
        <v>4</v>
      </c>
      <c r="AC14">
        <f>'Mall, Citadel, Rotana'!Q15+'Mall, Citadel, Rotana'!S15</f>
        <v>0</v>
      </c>
      <c r="AD14" s="34">
        <f t="shared" si="1"/>
        <v>4.4956980000000017</v>
      </c>
      <c r="AE14" s="34">
        <f t="shared" si="2"/>
        <v>29.614302000000009</v>
      </c>
    </row>
    <row r="15" spans="1:31" x14ac:dyDescent="0.25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1090</v>
      </c>
      <c r="F15" s="36">
        <f>Water!E16</f>
        <v>390</v>
      </c>
      <c r="G15" s="36">
        <f>Water!G16</f>
        <v>561.6</v>
      </c>
      <c r="H15" s="36">
        <f>Water!I16</f>
        <v>3.4289999999999998</v>
      </c>
      <c r="I15" s="36">
        <f>ELECT.!F16</f>
        <v>19133</v>
      </c>
      <c r="J15" s="36">
        <f>ELECT.!H16</f>
        <v>48702</v>
      </c>
      <c r="K15" s="36">
        <f>ELECT.!K16</f>
        <v>9740</v>
      </c>
      <c r="L15" s="36">
        <f>ELECT.!M16</f>
        <v>5238</v>
      </c>
      <c r="M15" s="36">
        <f>ELECT.!O16</f>
        <v>13596</v>
      </c>
      <c r="N15" s="36">
        <f>ELECT.!Q16</f>
        <v>12953</v>
      </c>
      <c r="O15" s="36">
        <f>ELECT.!S16</f>
        <v>9563</v>
      </c>
      <c r="P15" s="36">
        <f>ELECT.!W16*2</f>
        <v>20816</v>
      </c>
      <c r="Q15" s="36">
        <f>ELECT.!D16</f>
        <v>320</v>
      </c>
      <c r="R15" s="141">
        <f>BTU!C16</f>
        <v>14.911000000000058</v>
      </c>
      <c r="S15" s="141">
        <f>BTU!F16</f>
        <v>2.2169999999996435</v>
      </c>
      <c r="T15" s="141">
        <f>BTU!I16</f>
        <v>6</v>
      </c>
      <c r="U15" s="141">
        <f>BTU!O16</f>
        <v>1.9960000000000946</v>
      </c>
      <c r="V15" s="141">
        <f>BTU!L16</f>
        <v>3</v>
      </c>
      <c r="W15" s="141">
        <f>BTU!R16</f>
        <v>2.0799999999999272</v>
      </c>
      <c r="X15" s="34">
        <f>ELECT.!B16</f>
        <v>225</v>
      </c>
      <c r="Y15" s="34">
        <f t="shared" si="0"/>
        <v>-4071</v>
      </c>
      <c r="Z15">
        <f>'Mall, Citadel, Rotana'!C16+'Mall, Citadel, Rotana'!E16+'Mall, Citadel, Rotana'!G16+'Mall, Citadel, Rotana'!I16</f>
        <v>1223</v>
      </c>
      <c r="AA15">
        <f>'Mall, Citadel, Rotana'!K16+'Mall, Citadel, Rotana'!M16</f>
        <v>223</v>
      </c>
      <c r="AB15">
        <f>'Mall, Citadel, Rotana'!O16</f>
        <v>3</v>
      </c>
      <c r="AC15">
        <f>'Mall, Citadel, Rotana'!Q16+'Mall, Citadel, Rotana'!S16</f>
        <v>0</v>
      </c>
      <c r="AD15" s="34">
        <f t="shared" si="1"/>
        <v>117.64085779999999</v>
      </c>
      <c r="AE15" s="34">
        <f t="shared" si="2"/>
        <v>774.93014219999986</v>
      </c>
    </row>
    <row r="16" spans="1:31" x14ac:dyDescent="0.25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990</v>
      </c>
      <c r="F16" s="36">
        <f>Water!E17</f>
        <v>430</v>
      </c>
      <c r="G16" s="36">
        <f>Water!G17</f>
        <v>548.1</v>
      </c>
      <c r="H16" s="36">
        <f>Water!I17</f>
        <v>3.0510000000000002</v>
      </c>
      <c r="I16" s="36">
        <f>ELECT.!F17</f>
        <v>24680</v>
      </c>
      <c r="J16" s="36">
        <f>ELECT.!H17</f>
        <v>63867</v>
      </c>
      <c r="K16" s="36">
        <f>ELECT.!K17</f>
        <v>12682</v>
      </c>
      <c r="L16" s="36">
        <f>ELECT.!M17</f>
        <v>7093</v>
      </c>
      <c r="M16" s="36">
        <f>ELECT.!O17</f>
        <v>17496</v>
      </c>
      <c r="N16" s="36">
        <f>ELECT.!Q17</f>
        <v>15663</v>
      </c>
      <c r="O16" s="36">
        <f>ELECT.!S17</f>
        <v>12499</v>
      </c>
      <c r="P16" s="36">
        <f>ELECT.!W17*2</f>
        <v>27948</v>
      </c>
      <c r="Q16" s="36">
        <f>ELECT.!D17</f>
        <v>640</v>
      </c>
      <c r="R16" s="141">
        <f>BTU!C17</f>
        <v>11.710999999999331</v>
      </c>
      <c r="S16" s="141">
        <f>BTU!F17</f>
        <v>1.8770000000004075</v>
      </c>
      <c r="T16" s="141">
        <f>BTU!I17</f>
        <v>5</v>
      </c>
      <c r="U16" s="141">
        <f>BTU!O17</f>
        <v>1.5389999999997599</v>
      </c>
      <c r="V16" s="141">
        <f>BTU!L17</f>
        <v>2.2700000000004366</v>
      </c>
      <c r="W16" s="141">
        <f>BTU!R17</f>
        <v>1.6500000000005457</v>
      </c>
      <c r="X16" s="34">
        <f>ELECT.!B17</f>
        <v>243</v>
      </c>
      <c r="Y16" s="34">
        <f t="shared" si="0"/>
        <v>-4834</v>
      </c>
      <c r="Z16">
        <f>'Mall, Citadel, Rotana'!C17+'Mall, Citadel, Rotana'!E17+'Mall, Citadel, Rotana'!G17+'Mall, Citadel, Rotana'!I17</f>
        <v>1364</v>
      </c>
      <c r="AA16">
        <f>'Mall, Citadel, Rotana'!K17+'Mall, Citadel, Rotana'!M17</f>
        <v>227</v>
      </c>
      <c r="AB16">
        <f>'Mall, Citadel, Rotana'!O17</f>
        <v>3</v>
      </c>
      <c r="AC16">
        <f>'Mall, Citadel, Rotana'!Q17+'Mall, Citadel, Rotana'!S17</f>
        <v>1525</v>
      </c>
      <c r="AD16" s="34">
        <f t="shared" si="1"/>
        <v>104.5106782</v>
      </c>
      <c r="AE16" s="34">
        <f t="shared" si="2"/>
        <v>688.43832179999993</v>
      </c>
    </row>
    <row r="17" spans="1:31" x14ac:dyDescent="0.25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1040</v>
      </c>
      <c r="F17" s="36">
        <f>Water!E18</f>
        <v>480</v>
      </c>
      <c r="G17" s="36">
        <f>Water!G18</f>
        <v>542.70000000000005</v>
      </c>
      <c r="H17" s="36">
        <f>Water!I18</f>
        <v>4.2119999999999997</v>
      </c>
      <c r="I17" s="36">
        <f>ELECT.!F18</f>
        <v>16735</v>
      </c>
      <c r="J17" s="36">
        <f>ELECT.!H18</f>
        <v>43227</v>
      </c>
      <c r="K17" s="36">
        <f>ELECT.!K18</f>
        <v>8848</v>
      </c>
      <c r="L17" s="36">
        <f>ELECT.!M18</f>
        <v>4891</v>
      </c>
      <c r="M17" s="36">
        <f>ELECT.!O18</f>
        <v>11668</v>
      </c>
      <c r="N17" s="36">
        <f>ELECT.!Q18</f>
        <v>10620</v>
      </c>
      <c r="O17" s="36">
        <f>ELECT.!S18</f>
        <v>8090</v>
      </c>
      <c r="P17" s="36">
        <f>ELECT.!W18*2</f>
        <v>19196</v>
      </c>
      <c r="Q17" s="36">
        <f>ELECT.!D18</f>
        <v>800</v>
      </c>
      <c r="R17" s="141">
        <f>BTU!C18</f>
        <v>11.332999999998719</v>
      </c>
      <c r="S17" s="141">
        <f>BTU!F18</f>
        <v>1.9349999999994907</v>
      </c>
      <c r="T17" s="141">
        <f>BTU!I18</f>
        <v>5</v>
      </c>
      <c r="U17" s="141">
        <f>BTU!O18</f>
        <v>1.443000000000211</v>
      </c>
      <c r="V17" s="141">
        <f>BTU!L18</f>
        <v>2.1199999999989814</v>
      </c>
      <c r="W17" s="141">
        <f>BTU!R18</f>
        <v>1.7200000000002547</v>
      </c>
      <c r="X17" s="34">
        <f>ELECT.!B18</f>
        <v>282</v>
      </c>
      <c r="Y17" s="34">
        <f t="shared" si="0"/>
        <v>-3351</v>
      </c>
      <c r="Z17">
        <f>'Mall, Citadel, Rotana'!C18+'Mall, Citadel, Rotana'!E18+'Mall, Citadel, Rotana'!G18+'Mall, Citadel, Rotana'!I18</f>
        <v>1215</v>
      </c>
      <c r="AA17">
        <f>'Mall, Citadel, Rotana'!K18+'Mall, Citadel, Rotana'!M18</f>
        <v>326</v>
      </c>
      <c r="AB17">
        <f>'Mall, Citadel, Rotana'!O18</f>
        <v>3</v>
      </c>
      <c r="AC17">
        <f>'Mall, Citadel, Rotana'!Q18+'Mall, Citadel, Rotana'!S18</f>
        <v>123</v>
      </c>
      <c r="AD17" s="34">
        <f t="shared" si="1"/>
        <v>110.94765840000001</v>
      </c>
      <c r="AE17" s="34">
        <f t="shared" si="2"/>
        <v>730.84034159999999</v>
      </c>
    </row>
    <row r="18" spans="1:31" x14ac:dyDescent="0.25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920</v>
      </c>
      <c r="F18" s="36">
        <f>Water!E19</f>
        <v>480</v>
      </c>
      <c r="G18" s="36">
        <f>Water!G19</f>
        <v>561.6</v>
      </c>
      <c r="H18" s="36">
        <f>Water!I19</f>
        <v>4.3469999999999995</v>
      </c>
      <c r="I18" s="36">
        <f>ELECT.!F19</f>
        <v>21621</v>
      </c>
      <c r="J18" s="36">
        <f>ELECT.!H19</f>
        <v>53956</v>
      </c>
      <c r="K18" s="36">
        <f>ELECT.!K19</f>
        <v>11184</v>
      </c>
      <c r="L18" s="36">
        <f>ELECT.!M19</f>
        <v>6443</v>
      </c>
      <c r="M18" s="36">
        <f>ELECT.!O19</f>
        <v>14994</v>
      </c>
      <c r="N18" s="36">
        <f>ELECT.!Q19</f>
        <v>8899</v>
      </c>
      <c r="O18" s="36">
        <f>ELECT.!S19</f>
        <v>10415</v>
      </c>
      <c r="P18" s="36">
        <f>ELECT.!W19*2</f>
        <v>22990</v>
      </c>
      <c r="Q18" s="36">
        <f>ELECT.!D19</f>
        <v>640</v>
      </c>
      <c r="R18" s="141">
        <f>BTU!C19</f>
        <v>12.466000000000349</v>
      </c>
      <c r="S18" s="141">
        <f>BTU!F19</f>
        <v>2.6010000000005675</v>
      </c>
      <c r="T18" s="141">
        <f>BTU!I19</f>
        <v>6</v>
      </c>
      <c r="U18" s="141">
        <f>BTU!O19</f>
        <v>1.7579999999998108</v>
      </c>
      <c r="V18" s="141">
        <f>BTU!L19</f>
        <v>2.1200000000008004</v>
      </c>
      <c r="W18" s="141">
        <f>BTU!R19</f>
        <v>1.8899999999994179</v>
      </c>
      <c r="X18" s="34">
        <f>ELECT.!B19</f>
        <v>247</v>
      </c>
      <c r="Y18" s="34">
        <f t="shared" si="0"/>
        <v>652</v>
      </c>
      <c r="Z18">
        <f>'Mall, Citadel, Rotana'!C19+'Mall, Citadel, Rotana'!E19+'Mall, Citadel, Rotana'!G19+'Mall, Citadel, Rotana'!I19</f>
        <v>1399</v>
      </c>
      <c r="AA18">
        <f>'Mall, Citadel, Rotana'!K19+'Mall, Citadel, Rotana'!M19</f>
        <v>415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95.113865400000009</v>
      </c>
      <c r="AE18" s="34">
        <f t="shared" si="2"/>
        <v>626.53913460000001</v>
      </c>
    </row>
    <row r="19" spans="1:31" x14ac:dyDescent="0.25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1320</v>
      </c>
      <c r="F19" s="36">
        <f>Water!E20</f>
        <v>440</v>
      </c>
      <c r="G19" s="36">
        <f>Water!G20</f>
        <v>556.20000000000005</v>
      </c>
      <c r="H19" s="36">
        <f>Water!I20</f>
        <v>4.077</v>
      </c>
      <c r="I19" s="36">
        <f>ELECT.!F20</f>
        <v>28934</v>
      </c>
      <c r="J19" s="36">
        <f>ELECT.!H20</f>
        <v>70207</v>
      </c>
      <c r="K19" s="36">
        <f>ELECT.!K20</f>
        <v>14544</v>
      </c>
      <c r="L19" s="36">
        <f>ELECT.!M20</f>
        <v>8625</v>
      </c>
      <c r="M19" s="36">
        <f>ELECT.!O20</f>
        <v>20076</v>
      </c>
      <c r="N19" s="36">
        <f>ELECT.!Q20</f>
        <v>23766</v>
      </c>
      <c r="O19" s="36">
        <f>ELECT.!S20</f>
        <v>13293</v>
      </c>
      <c r="P19" s="36">
        <f>ELECT.!W20*2</f>
        <v>29452</v>
      </c>
      <c r="Q19" s="36">
        <f>ELECT.!D20</f>
        <v>800</v>
      </c>
      <c r="R19" s="141">
        <f>BTU!C20</f>
        <v>14.738000000001193</v>
      </c>
      <c r="S19" s="141">
        <f>BTU!F20</f>
        <v>3.9699999999993452</v>
      </c>
      <c r="T19" s="141">
        <f>BTU!I20</f>
        <v>7</v>
      </c>
      <c r="U19" s="141">
        <f>BTU!O20</f>
        <v>2.4000000000000909</v>
      </c>
      <c r="V19" s="141">
        <f>BTU!L20</f>
        <v>2.4399999999986903</v>
      </c>
      <c r="W19" s="141">
        <f>BTU!R20</f>
        <v>2.3200000000006185</v>
      </c>
      <c r="X19" s="34">
        <f>ELECT.!B20</f>
        <v>111</v>
      </c>
      <c r="Y19" s="34">
        <f t="shared" si="0"/>
        <v>-10615</v>
      </c>
      <c r="Z19">
        <f>'Mall, Citadel, Rotana'!C20+'Mall, Citadel, Rotana'!E20+'Mall, Citadel, Rotana'!G20+'Mall, Citadel, Rotana'!I20</f>
        <v>1183</v>
      </c>
      <c r="AA19">
        <f>'Mall, Citadel, Rotana'!K20+'Mall, Citadel, Rotana'!M20</f>
        <v>347</v>
      </c>
      <c r="AB19">
        <f>'Mall, Citadel, Rotana'!O20</f>
        <v>3</v>
      </c>
      <c r="AC19">
        <f>'Mall, Citadel, Rotana'!Q20+'Mall, Citadel, Rotana'!S20</f>
        <v>0</v>
      </c>
      <c r="AD19" s="34">
        <f t="shared" si="1"/>
        <v>147.8694514</v>
      </c>
      <c r="AE19" s="34">
        <f t="shared" si="2"/>
        <v>974.05354859999989</v>
      </c>
    </row>
    <row r="20" spans="1:31" x14ac:dyDescent="0.25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1050</v>
      </c>
      <c r="F20" s="36">
        <f>Water!E21</f>
        <v>450</v>
      </c>
      <c r="G20" s="36">
        <f>Water!G21</f>
        <v>572.4</v>
      </c>
      <c r="H20" s="36">
        <f>Water!I21</f>
        <v>4.5359999999999996</v>
      </c>
      <c r="I20" s="36">
        <f>ELECT.!F21</f>
        <v>20180</v>
      </c>
      <c r="J20" s="36">
        <f>ELECT.!H21</f>
        <v>48350</v>
      </c>
      <c r="K20" s="36">
        <f>ELECT.!K21</f>
        <v>10352</v>
      </c>
      <c r="L20" s="36">
        <f>ELECT.!M21</f>
        <v>5738</v>
      </c>
      <c r="M20" s="36">
        <f>ELECT.!O21</f>
        <v>14250</v>
      </c>
      <c r="N20" s="36">
        <f>ELECT.!Q21</f>
        <v>12968</v>
      </c>
      <c r="O20" s="36">
        <f>ELECT.!S21</f>
        <v>9119</v>
      </c>
      <c r="P20" s="36">
        <f>ELECT.!W21*2</f>
        <v>22114</v>
      </c>
      <c r="Q20" s="36">
        <f>ELECT.!D21</f>
        <v>640</v>
      </c>
      <c r="R20" s="141">
        <f>BTU!C21</f>
        <v>13.468000000000757</v>
      </c>
      <c r="S20" s="141">
        <f>BTU!F21</f>
        <v>3.2409999999999854</v>
      </c>
      <c r="T20" s="141">
        <f>BTU!I21</f>
        <v>8</v>
      </c>
      <c r="U20" s="141">
        <f>BTU!O21</f>
        <v>1.4890000000000327</v>
      </c>
      <c r="V20" s="141">
        <f>BTU!L21</f>
        <v>2.2100000000009459</v>
      </c>
      <c r="W20" s="141">
        <f>BTU!R21</f>
        <v>2.6199999999998909</v>
      </c>
      <c r="X20" s="34">
        <f>ELECT.!B21</f>
        <v>224</v>
      </c>
      <c r="Y20" s="34">
        <f t="shared" si="0"/>
        <v>-6011</v>
      </c>
      <c r="Z20">
        <f>'Mall, Citadel, Rotana'!C21+'Mall, Citadel, Rotana'!E21+'Mall, Citadel, Rotana'!G21+'Mall, Citadel, Rotana'!I21</f>
        <v>1362</v>
      </c>
      <c r="AA20">
        <f>'Mall, Citadel, Rotana'!K21+'Mall, Citadel, Rotana'!M21</f>
        <v>358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112.22295519999999</v>
      </c>
      <c r="AE20" s="34">
        <f t="shared" si="2"/>
        <v>739.24104479999994</v>
      </c>
    </row>
    <row r="21" spans="1:31" x14ac:dyDescent="0.25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1080</v>
      </c>
      <c r="F21" s="36">
        <f>Water!E22</f>
        <v>460</v>
      </c>
      <c r="G21" s="36">
        <f>Water!G22</f>
        <v>558.9</v>
      </c>
      <c r="H21" s="36">
        <f>Water!I22</f>
        <v>5.2649999999999997</v>
      </c>
      <c r="I21" s="36">
        <f>ELECT.!F22</f>
        <v>23455</v>
      </c>
      <c r="J21" s="36">
        <f>ELECT.!H22</f>
        <v>55881</v>
      </c>
      <c r="K21" s="36">
        <f>ELECT.!K22</f>
        <v>11460</v>
      </c>
      <c r="L21" s="36">
        <f>ELECT.!M22</f>
        <v>6591</v>
      </c>
      <c r="M21" s="36">
        <f>ELECT.!O22</f>
        <v>16666</v>
      </c>
      <c r="N21" s="36">
        <f>ELECT.!Q22</f>
        <v>15184</v>
      </c>
      <c r="O21" s="36">
        <f>ELECT.!S22</f>
        <v>10830</v>
      </c>
      <c r="P21" s="36">
        <f>ELECT.!W22*2</f>
        <v>21002</v>
      </c>
      <c r="Q21" s="36">
        <f>ELECT.!D22</f>
        <v>800</v>
      </c>
      <c r="R21" s="141">
        <f>BTU!C22</f>
        <v>14.204999999998108</v>
      </c>
      <c r="S21" s="141">
        <f>BTU!F22</f>
        <v>3.581000000000131</v>
      </c>
      <c r="T21" s="141">
        <f>BTU!I22</f>
        <v>6</v>
      </c>
      <c r="U21" s="141">
        <f>BTU!O22</f>
        <v>1.6469999999999345</v>
      </c>
      <c r="V21" s="141">
        <f>BTU!L22</f>
        <v>2.4099999999998545</v>
      </c>
      <c r="W21" s="141">
        <f>BTU!R22</f>
        <v>2.069999999999709</v>
      </c>
      <c r="X21" s="34">
        <f>ELECT.!B22</f>
        <v>230</v>
      </c>
      <c r="Y21" s="34">
        <f t="shared" si="0"/>
        <v>-2397</v>
      </c>
      <c r="Z21">
        <f>'Mall, Citadel, Rotana'!C22+'Mall, Citadel, Rotana'!E22+'Mall, Citadel, Rotana'!G22+'Mall, Citadel, Rotana'!I22</f>
        <v>1243</v>
      </c>
      <c r="AA21">
        <f>'Mall, Citadel, Rotana'!K22+'Mall, Citadel, Rotana'!M22</f>
        <v>414</v>
      </c>
      <c r="AB21">
        <f>'Mall, Citadel, Rotana'!O22</f>
        <v>4</v>
      </c>
      <c r="AC21">
        <f>'Mall, Citadel, Rotana'!Q22+'Mall, Citadel, Rotana'!S22</f>
        <v>0</v>
      </c>
      <c r="AD21" s="34">
        <f t="shared" si="1"/>
        <v>116.08087299999998</v>
      </c>
      <c r="AE21" s="34">
        <f t="shared" si="2"/>
        <v>764.6541269999999</v>
      </c>
    </row>
    <row r="22" spans="1:31" x14ac:dyDescent="0.25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1100</v>
      </c>
      <c r="F22" s="36">
        <f>Water!E23</f>
        <v>470</v>
      </c>
      <c r="G22" s="36">
        <f>Water!G23</f>
        <v>564.29999999999995</v>
      </c>
      <c r="H22" s="36">
        <f>Water!I23</f>
        <v>4.4550000000000001</v>
      </c>
      <c r="I22" s="36">
        <f>ELECT.!F23</f>
        <v>22817</v>
      </c>
      <c r="J22" s="36">
        <f>ELECT.!H23</f>
        <v>54075</v>
      </c>
      <c r="K22" s="36">
        <f>ELECT.!K23</f>
        <v>11216</v>
      </c>
      <c r="L22" s="36">
        <f>ELECT.!M23</f>
        <v>6556</v>
      </c>
      <c r="M22" s="36">
        <f>ELECT.!O23</f>
        <v>16036</v>
      </c>
      <c r="N22" s="36">
        <f>ELECT.!Q23</f>
        <v>14417</v>
      </c>
      <c r="O22" s="36">
        <f>ELECT.!S23</f>
        <v>10688</v>
      </c>
      <c r="P22" s="36">
        <f>ELECT.!W23*2</f>
        <v>22280</v>
      </c>
      <c r="Q22" s="36">
        <f>ELECT.!D23</f>
        <v>640</v>
      </c>
      <c r="R22" s="141">
        <f>BTU!C23</f>
        <v>14.796999999998661</v>
      </c>
      <c r="S22" s="141">
        <f>BTU!F23</f>
        <v>3.6350000000002183</v>
      </c>
      <c r="T22" s="141">
        <f>BTU!I23</f>
        <v>7</v>
      </c>
      <c r="U22" s="141">
        <f>BTU!O23</f>
        <v>1.7930000000001201</v>
      </c>
      <c r="V22" s="141">
        <f>BTU!L23</f>
        <v>2.6399999999994179</v>
      </c>
      <c r="W22" s="141">
        <f>BTU!R23</f>
        <v>2.2299999999995634</v>
      </c>
      <c r="X22" s="34">
        <f>ELECT.!B23</f>
        <v>272</v>
      </c>
      <c r="Y22" s="34">
        <f t="shared" si="0"/>
        <v>-4301</v>
      </c>
      <c r="Z22">
        <f>'Mall, Citadel, Rotana'!C23+'Mall, Citadel, Rotana'!E23+'Mall, Citadel, Rotana'!G23+'Mall, Citadel, Rotana'!I23</f>
        <v>1412</v>
      </c>
      <c r="AA22">
        <f>'Mall, Citadel, Rotana'!K23+'Mall, Citadel, Rotana'!M23</f>
        <v>426</v>
      </c>
      <c r="AB22">
        <f>'Mall, Citadel, Rotana'!O23</f>
        <v>3</v>
      </c>
      <c r="AC22">
        <f>'Mall, Citadel, Rotana'!Q23+'Mall, Citadel, Rotana'!S23</f>
        <v>952</v>
      </c>
      <c r="AD22" s="34">
        <f t="shared" si="1"/>
        <v>118.82363100000001</v>
      </c>
      <c r="AE22" s="34">
        <f t="shared" si="2"/>
        <v>782.7213690000001</v>
      </c>
    </row>
    <row r="23" spans="1:31" x14ac:dyDescent="0.25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990</v>
      </c>
      <c r="F23" s="36">
        <f>Water!E24</f>
        <v>420</v>
      </c>
      <c r="G23" s="36">
        <f>Water!G24</f>
        <v>561.6</v>
      </c>
      <c r="H23" s="36">
        <f>Water!I24</f>
        <v>2.8079999999999998</v>
      </c>
      <c r="I23" s="36">
        <f>ELECT.!F24</f>
        <v>27461</v>
      </c>
      <c r="J23" s="36">
        <f>ELECT.!H24</f>
        <v>63535</v>
      </c>
      <c r="K23" s="36">
        <f>ELECT.!K24</f>
        <v>11956</v>
      </c>
      <c r="L23" s="36">
        <f>ELECT.!M24</f>
        <v>7441</v>
      </c>
      <c r="M23" s="36">
        <f>ELECT.!O24</f>
        <v>19822</v>
      </c>
      <c r="N23" s="36">
        <f>ELECT.!Q24</f>
        <v>15795</v>
      </c>
      <c r="O23" s="36">
        <f>ELECT.!S24</f>
        <v>13023</v>
      </c>
      <c r="P23" s="36">
        <f>ELECT.!W24*2</f>
        <v>27366</v>
      </c>
      <c r="Q23" s="36">
        <f>ELECT.!D24</f>
        <v>640</v>
      </c>
      <c r="R23" s="141">
        <f>BTU!C24</f>
        <v>13.231000000003405</v>
      </c>
      <c r="S23" s="141">
        <f>BTU!F24</f>
        <v>2.1580000000003565</v>
      </c>
      <c r="T23" s="141">
        <f>BTU!I24</f>
        <v>5</v>
      </c>
      <c r="U23" s="141">
        <f>BTU!O24</f>
        <v>1.7689999999997781</v>
      </c>
      <c r="V23" s="141">
        <f>BTU!L24</f>
        <v>2.5900000000001455</v>
      </c>
      <c r="W23" s="141">
        <f>BTU!R24</f>
        <v>2.0300000000006548</v>
      </c>
      <c r="X23" s="34">
        <f>ELECT.!B24</f>
        <v>250</v>
      </c>
      <c r="Y23" s="34">
        <f t="shared" si="0"/>
        <v>-4407</v>
      </c>
      <c r="Z23">
        <f>'Mall, Citadel, Rotana'!C24+'Mall, Citadel, Rotana'!E24+'Mall, Citadel, Rotana'!G24+'Mall, Citadel, Rotana'!I24</f>
        <v>1383</v>
      </c>
      <c r="AA23">
        <f>'Mall, Citadel, Rotana'!K24+'Mall, Citadel, Rotana'!M24</f>
        <v>244</v>
      </c>
      <c r="AB23">
        <f>'Mall, Citadel, Rotana'!O24</f>
        <v>3</v>
      </c>
      <c r="AC23">
        <f>'Mall, Citadel, Rotana'!Q24+'Mall, Citadel, Rotana'!S24</f>
        <v>116</v>
      </c>
      <c r="AD23" s="34">
        <f t="shared" si="1"/>
        <v>104.54270560000001</v>
      </c>
      <c r="AE23" s="34">
        <f t="shared" si="2"/>
        <v>688.64929440000003</v>
      </c>
    </row>
    <row r="24" spans="1:31" x14ac:dyDescent="0.25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1000</v>
      </c>
      <c r="F24" s="36">
        <f>Water!E25</f>
        <v>420</v>
      </c>
      <c r="G24" s="36">
        <f>Water!G25</f>
        <v>585.9</v>
      </c>
      <c r="H24" s="36">
        <f>Water!I25</f>
        <v>3.294</v>
      </c>
      <c r="I24" s="36">
        <f>ELECT.!F25</f>
        <v>19851</v>
      </c>
      <c r="J24" s="36">
        <f>ELECT.!H25</f>
        <v>45442</v>
      </c>
      <c r="K24" s="36">
        <f>ELECT.!K25</f>
        <v>9112</v>
      </c>
      <c r="L24" s="36">
        <f>ELECT.!M25</f>
        <v>5291</v>
      </c>
      <c r="M24" s="36">
        <f>ELECT.!O25</f>
        <v>14372</v>
      </c>
      <c r="N24" s="36">
        <f>ELECT.!Q25</f>
        <v>11375</v>
      </c>
      <c r="O24" s="36">
        <f>ELECT.!S25</f>
        <v>8674</v>
      </c>
      <c r="P24" s="36">
        <f>ELECT.!W25*2</f>
        <v>19792</v>
      </c>
      <c r="Q24" s="36">
        <f>ELECT.!D25</f>
        <v>480</v>
      </c>
      <c r="R24" s="141">
        <f>BTU!C25</f>
        <v>13.288999999997031</v>
      </c>
      <c r="S24" s="141">
        <f>BTU!F25</f>
        <v>2.3119999999998981</v>
      </c>
      <c r="T24" s="141">
        <f>BTU!I25</f>
        <v>5</v>
      </c>
      <c r="U24" s="141">
        <f>BTU!O25</f>
        <v>1.7110000000002401</v>
      </c>
      <c r="V24" s="141">
        <f>BTU!L25</f>
        <v>2.6000000000003638</v>
      </c>
      <c r="W24" s="141">
        <f>BTU!R25</f>
        <v>2</v>
      </c>
      <c r="X24" s="34">
        <f>ELECT.!B25</f>
        <v>198</v>
      </c>
      <c r="Y24" s="34">
        <f t="shared" si="0"/>
        <v>-3323</v>
      </c>
      <c r="Z24">
        <f>'Mall, Citadel, Rotana'!C25+'Mall, Citadel, Rotana'!E25+'Mall, Citadel, Rotana'!G25+'Mall, Citadel, Rotana'!I25</f>
        <v>1040</v>
      </c>
      <c r="AA24">
        <f>'Mall, Citadel, Rotana'!K25+'Mall, Citadel, Rotana'!M25</f>
        <v>261</v>
      </c>
      <c r="AB24">
        <f>'Mall, Citadel, Rotana'!O25</f>
        <v>3</v>
      </c>
      <c r="AC24">
        <f>'Mall, Citadel, Rotana'!Q25+'Mall, Citadel, Rotana'!S25</f>
        <v>123</v>
      </c>
      <c r="AD24" s="34">
        <f t="shared" si="1"/>
        <v>105.79665080000001</v>
      </c>
      <c r="AE24" s="34">
        <f t="shared" si="2"/>
        <v>696.90934919999995</v>
      </c>
    </row>
    <row r="25" spans="1:31" x14ac:dyDescent="0.25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1040</v>
      </c>
      <c r="F25" s="36">
        <f>Water!E26</f>
        <v>550</v>
      </c>
      <c r="G25" s="36">
        <f>Water!G26</f>
        <v>639.9</v>
      </c>
      <c r="H25" s="36">
        <f>Water!I26</f>
        <v>3.8879999999999999</v>
      </c>
      <c r="I25" s="36">
        <f>ELECT.!F26</f>
        <v>26262</v>
      </c>
      <c r="J25" s="36">
        <f>ELECT.!H26</f>
        <v>60095</v>
      </c>
      <c r="K25" s="36">
        <f>ELECT.!K26</f>
        <v>12250</v>
      </c>
      <c r="L25" s="36">
        <f>ELECT.!M26</f>
        <v>7105</v>
      </c>
      <c r="M25" s="36">
        <f>ELECT.!O26</f>
        <v>18876</v>
      </c>
      <c r="N25" s="36">
        <f>ELECT.!Q26</f>
        <v>15172</v>
      </c>
      <c r="O25" s="36">
        <f>ELECT.!S26</f>
        <v>1804</v>
      </c>
      <c r="P25" s="36">
        <f>ELECT.!W26*2</f>
        <v>25552</v>
      </c>
      <c r="Q25" s="36">
        <f>ELECT.!D26</f>
        <v>640</v>
      </c>
      <c r="R25" s="141">
        <f>BTU!C26</f>
        <v>15.265999999999622</v>
      </c>
      <c r="S25" s="141">
        <f>BTU!F26</f>
        <v>3.407999999999447</v>
      </c>
      <c r="T25" s="141">
        <f>BTU!I26</f>
        <v>6</v>
      </c>
      <c r="U25" s="141">
        <f>BTU!O26</f>
        <v>2.0589999999997417</v>
      </c>
      <c r="V25" s="141">
        <f>BTU!L26</f>
        <v>3.2000000000007276</v>
      </c>
      <c r="W25" s="141">
        <f>BTU!R26</f>
        <v>2.319999999999709</v>
      </c>
      <c r="X25" s="34">
        <f>ELECT.!B26</f>
        <v>304</v>
      </c>
      <c r="Y25" s="34">
        <f t="shared" si="0"/>
        <v>5598</v>
      </c>
      <c r="Z25">
        <f>'Mall, Citadel, Rotana'!C26+'Mall, Citadel, Rotana'!E26+'Mall, Citadel, Rotana'!G26+'Mall, Citadel, Rotana'!I26</f>
        <v>1719</v>
      </c>
      <c r="AA25">
        <f>'Mall, Citadel, Rotana'!K26+'Mall, Citadel, Rotana'!M26</f>
        <v>404</v>
      </c>
      <c r="AB25">
        <f>'Mall, Citadel, Rotana'!O26</f>
        <v>3</v>
      </c>
      <c r="AC25">
        <f>'Mall, Citadel, Rotana'!Q26+'Mall, Citadel, Rotana'!S26</f>
        <v>150</v>
      </c>
      <c r="AD25" s="34">
        <f t="shared" si="1"/>
        <v>110.99036160000001</v>
      </c>
      <c r="AE25" s="34">
        <f t="shared" si="2"/>
        <v>731.12163840000005</v>
      </c>
    </row>
    <row r="26" spans="1:31" x14ac:dyDescent="0.25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1030</v>
      </c>
      <c r="F26" s="36">
        <f>Water!E27</f>
        <v>390</v>
      </c>
      <c r="G26" s="36">
        <f>Water!G27</f>
        <v>542.70000000000005</v>
      </c>
      <c r="H26" s="36">
        <f>Water!I27</f>
        <v>2.8889999999999998</v>
      </c>
      <c r="I26" s="36">
        <f>ELECT.!F27</f>
        <v>25015</v>
      </c>
      <c r="J26" s="36">
        <f>ELECT.!H27</f>
        <v>58278</v>
      </c>
      <c r="K26" s="36">
        <f>ELECT.!K27</f>
        <v>11900</v>
      </c>
      <c r="L26" s="36">
        <f>ELECT.!M27</f>
        <v>6623</v>
      </c>
      <c r="M26" s="36">
        <f>ELECT.!O27</f>
        <v>18256</v>
      </c>
      <c r="N26" s="36">
        <f>ELECT.!Q27</f>
        <v>14302</v>
      </c>
      <c r="O26" s="36">
        <f>ELECT.!S27</f>
        <v>21285</v>
      </c>
      <c r="P26" s="36">
        <f>ELECT.!W27*2</f>
        <v>25294</v>
      </c>
      <c r="Q26" s="36">
        <f>ELECT.!D27</f>
        <v>640</v>
      </c>
      <c r="R26" s="141">
        <f>BTU!C27</f>
        <v>12.715000000000146</v>
      </c>
      <c r="S26" s="141">
        <f>BTU!F27</f>
        <v>3.0340000000005602</v>
      </c>
      <c r="T26" s="141">
        <f>BTU!I27</f>
        <v>6</v>
      </c>
      <c r="U26" s="141">
        <f>BTU!O27</f>
        <v>1.7360000000003311</v>
      </c>
      <c r="V26" s="141">
        <f>BTU!L27</f>
        <v>2.3999999999996362</v>
      </c>
      <c r="W26" s="141">
        <f>BTU!R27</f>
        <v>1.5500000000001819</v>
      </c>
      <c r="X26" s="34">
        <f>ELECT.!B27</f>
        <v>296</v>
      </c>
      <c r="Y26" s="34">
        <f t="shared" si="0"/>
        <v>-14367</v>
      </c>
      <c r="Z26">
        <f>'Mall, Citadel, Rotana'!C27+'Mall, Citadel, Rotana'!E27+'Mall, Citadel, Rotana'!G27+'Mall, Citadel, Rotana'!I27</f>
        <v>1352</v>
      </c>
      <c r="AA26">
        <f>'Mall, Citadel, Rotana'!K27+'Mall, Citadel, Rotana'!M27</f>
        <v>355</v>
      </c>
      <c r="AB26">
        <f>'Mall, Citadel, Rotana'!O27</f>
        <v>3</v>
      </c>
      <c r="AC26">
        <f>'Mall, Citadel, Rotana'!Q27+'Mall, Citadel, Rotana'!S27</f>
        <v>118</v>
      </c>
      <c r="AD26" s="34">
        <f t="shared" si="1"/>
        <v>109.80402980000001</v>
      </c>
      <c r="AE26" s="34">
        <f t="shared" si="2"/>
        <v>723.30697020000014</v>
      </c>
    </row>
    <row r="27" spans="1:31" x14ac:dyDescent="0.25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1260</v>
      </c>
      <c r="F27" s="36">
        <f>Water!E28</f>
        <v>500</v>
      </c>
      <c r="G27" s="36">
        <f>Water!G28</f>
        <v>648</v>
      </c>
      <c r="H27" s="36">
        <f>Water!I28</f>
        <v>4.32</v>
      </c>
      <c r="I27" s="36">
        <f>ELECT.!F28</f>
        <v>20665</v>
      </c>
      <c r="J27" s="36">
        <f>ELECT.!H28</f>
        <v>48405</v>
      </c>
      <c r="K27" s="36">
        <f>ELECT.!K28</f>
        <v>10112</v>
      </c>
      <c r="L27" s="36">
        <f>ELECT.!M28</f>
        <v>5692</v>
      </c>
      <c r="M27" s="36">
        <f>ELECT.!O28</f>
        <v>14786</v>
      </c>
      <c r="N27" s="36">
        <f>ELECT.!Q28</f>
        <v>11011</v>
      </c>
      <c r="O27" s="36">
        <f>ELECT.!S28</f>
        <v>9604</v>
      </c>
      <c r="P27" s="36">
        <f>ELECT.!W28*2</f>
        <v>21166</v>
      </c>
      <c r="Q27" s="36">
        <f>ELECT.!D28</f>
        <v>640</v>
      </c>
      <c r="R27" s="141">
        <f>BTU!C28</f>
        <v>12.83100000000195</v>
      </c>
      <c r="S27" s="141">
        <f>BTU!F28</f>
        <v>3.1350000000002183</v>
      </c>
      <c r="T27" s="141">
        <f>BTU!I28</f>
        <v>6</v>
      </c>
      <c r="U27" s="141">
        <f>BTU!O28</f>
        <v>1.7349999999996726</v>
      </c>
      <c r="V27" s="141">
        <f>BTU!L28</f>
        <v>2.4799999999995634</v>
      </c>
      <c r="W27" s="141">
        <f>BTU!R28</f>
        <v>2.5999999999994543</v>
      </c>
      <c r="X27" s="34">
        <f>ELECT.!B28</f>
        <v>260</v>
      </c>
      <c r="Y27" s="34">
        <f t="shared" si="0"/>
        <v>-3301</v>
      </c>
      <c r="Z27">
        <f>'Mall, Citadel, Rotana'!C28+'Mall, Citadel, Rotana'!E28+'Mall, Citadel, Rotana'!G28+'Mall, Citadel, Rotana'!I28</f>
        <v>1202</v>
      </c>
      <c r="AA27">
        <f>'Mall, Citadel, Rotana'!K28+'Mall, Citadel, Rotana'!M28</f>
        <v>407</v>
      </c>
      <c r="AB27">
        <f>'Mall, Citadel, Rotana'!O28</f>
        <v>3</v>
      </c>
      <c r="AC27">
        <f>'Mall, Citadel, Rotana'!Q28+'Mall, Citadel, Rotana'!S28</f>
        <v>122</v>
      </c>
      <c r="AD27" s="34">
        <f t="shared" si="1"/>
        <v>139.92942400000001</v>
      </c>
      <c r="AE27" s="34">
        <f t="shared" si="2"/>
        <v>921.75057600000014</v>
      </c>
    </row>
    <row r="28" spans="1:31" x14ac:dyDescent="0.25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920</v>
      </c>
      <c r="F28" s="36">
        <f>Water!E29</f>
        <v>410</v>
      </c>
      <c r="G28" s="36">
        <f>Water!G29</f>
        <v>575.1</v>
      </c>
      <c r="H28" s="36">
        <f>Water!I29</f>
        <v>3.3210000000000002</v>
      </c>
      <c r="I28" s="36">
        <f>ELECT.!F29</f>
        <v>25934</v>
      </c>
      <c r="J28" s="36">
        <f>ELECT.!H29</f>
        <v>58571</v>
      </c>
      <c r="K28" s="36">
        <f>ELECT.!K29</f>
        <v>11680</v>
      </c>
      <c r="L28" s="36">
        <f>ELECT.!M29</f>
        <v>6823</v>
      </c>
      <c r="M28" s="36">
        <f>ELECT.!O29</f>
        <v>18042</v>
      </c>
      <c r="N28" s="36">
        <f>ELECT.!Q29</f>
        <v>14647</v>
      </c>
      <c r="O28" s="36">
        <f>ELECT.!S29</f>
        <v>11527</v>
      </c>
      <c r="P28" s="36">
        <f>ELECT.!W29*2</f>
        <v>25864</v>
      </c>
      <c r="Q28" s="36">
        <f>ELECT.!D29</f>
        <v>640</v>
      </c>
      <c r="R28" s="141">
        <f>BTU!C29</f>
        <v>15.422999999998865</v>
      </c>
      <c r="S28" s="141">
        <f>BTU!F29</f>
        <v>3.7229999999999563</v>
      </c>
      <c r="T28" s="141">
        <f>BTU!I29</f>
        <v>7</v>
      </c>
      <c r="U28" s="141">
        <f>BTU!O29</f>
        <v>2.1010000000001128</v>
      </c>
      <c r="V28" s="141">
        <f>BTU!L29</f>
        <v>3.069999999999709</v>
      </c>
      <c r="W28" s="141">
        <f>BTU!R29</f>
        <v>1.3900000000003274</v>
      </c>
      <c r="X28" s="34">
        <f>ELECT.!B29</f>
        <v>299</v>
      </c>
      <c r="Y28" s="34">
        <f t="shared" si="0"/>
        <v>-4078</v>
      </c>
      <c r="Z28">
        <f>'Mall, Citadel, Rotana'!C29+'Mall, Citadel, Rotana'!E29+'Mall, Citadel, Rotana'!G29+'Mall, Citadel, Rotana'!I29</f>
        <v>1202</v>
      </c>
      <c r="AA28">
        <f>'Mall, Citadel, Rotana'!K29+'Mall, Citadel, Rotana'!M29</f>
        <v>499</v>
      </c>
      <c r="AB28">
        <f>'Mall, Citadel, Rotana'!O29</f>
        <v>4</v>
      </c>
      <c r="AC28">
        <f>'Mall, Citadel, Rotana'!Q29+'Mall, Citadel, Rotana'!S29</f>
        <v>6</v>
      </c>
      <c r="AD28" s="34">
        <f t="shared" si="1"/>
        <v>95.249092199999993</v>
      </c>
      <c r="AE28" s="34">
        <f t="shared" si="2"/>
        <v>627.42990780000002</v>
      </c>
    </row>
    <row r="29" spans="1:31" x14ac:dyDescent="0.25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890</v>
      </c>
      <c r="F29" s="36">
        <f>Water!E30</f>
        <v>460</v>
      </c>
      <c r="G29" s="36">
        <f>Water!G30</f>
        <v>631.79999999999995</v>
      </c>
      <c r="H29" s="36">
        <f>Water!I30</f>
        <v>3.3210000000000002</v>
      </c>
      <c r="I29" s="36">
        <f>ELECT.!F30</f>
        <v>26739</v>
      </c>
      <c r="J29" s="36">
        <f>ELECT.!H30</f>
        <v>65739</v>
      </c>
      <c r="K29" s="36">
        <f>ELECT.!K30</f>
        <v>12124</v>
      </c>
      <c r="L29" s="36">
        <f>ELECT.!M30</f>
        <v>7477</v>
      </c>
      <c r="M29" s="36">
        <f>ELECT.!O30</f>
        <v>19872</v>
      </c>
      <c r="N29" s="36">
        <f>ELECT.!Q30</f>
        <v>15782</v>
      </c>
      <c r="O29" s="36">
        <f>ELECT.!S30</f>
        <v>13261</v>
      </c>
      <c r="P29" s="36">
        <f>ELECT.!W30*2</f>
        <v>29388</v>
      </c>
      <c r="Q29" s="36">
        <f>ELECT.!D30</f>
        <v>800</v>
      </c>
      <c r="R29" s="141">
        <f>BTU!C30</f>
        <v>15.050999999999476</v>
      </c>
      <c r="S29" s="141">
        <f>BTU!F30</f>
        <v>3.1699999999991633</v>
      </c>
      <c r="T29" s="141">
        <f>BTU!I30</f>
        <v>7</v>
      </c>
      <c r="U29" s="141">
        <f>BTU!O30</f>
        <v>1.9690000000000509</v>
      </c>
      <c r="V29" s="141">
        <f>BTU!L30</f>
        <v>2.8400000000001455</v>
      </c>
      <c r="W29" s="141">
        <f>BTU!R30</f>
        <v>1.9000000000005457</v>
      </c>
      <c r="X29" s="34">
        <f>ELECT.!B30</f>
        <v>250</v>
      </c>
      <c r="Y29" s="34">
        <f t="shared" si="0"/>
        <v>-5426</v>
      </c>
      <c r="Z29">
        <f>'Mall, Citadel, Rotana'!C30+'Mall, Citadel, Rotana'!E30+'Mall, Citadel, Rotana'!G30+'Mall, Citadel, Rotana'!I30</f>
        <v>12457</v>
      </c>
      <c r="AA29">
        <f>'Mall, Citadel, Rotana'!K30+'Mall, Citadel, Rotana'!M30</f>
        <v>281</v>
      </c>
      <c r="AB29">
        <f>'Mall, Citadel, Rotana'!O30</f>
        <v>3</v>
      </c>
      <c r="AC29">
        <f>'Mall, Citadel, Rotana'!Q30+'Mall, Citadel, Rotana'!S30</f>
        <v>124</v>
      </c>
      <c r="AD29" s="34">
        <f t="shared" si="1"/>
        <v>91.295092199999999</v>
      </c>
      <c r="AE29" s="34">
        <f t="shared" si="2"/>
        <v>601.38390779999997</v>
      </c>
    </row>
    <row r="30" spans="1:31" x14ac:dyDescent="0.25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1390</v>
      </c>
      <c r="F30" s="36">
        <f>Water!E31</f>
        <v>440</v>
      </c>
      <c r="G30" s="36">
        <f>Water!G31</f>
        <v>615.6</v>
      </c>
      <c r="H30" s="36">
        <f>Water!I31</f>
        <v>3.1859999999999999</v>
      </c>
      <c r="I30" s="36">
        <f>ELECT.!F31</f>
        <v>21033</v>
      </c>
      <c r="J30" s="36">
        <f>ELECT.!H31</f>
        <v>48440</v>
      </c>
      <c r="K30" s="36">
        <f>ELECT.!K31</f>
        <v>8734</v>
      </c>
      <c r="L30" s="36">
        <f>ELECT.!M31</f>
        <v>5649</v>
      </c>
      <c r="M30" s="36">
        <f>ELECT.!O31</f>
        <v>15194</v>
      </c>
      <c r="N30" s="36">
        <f>ELECT.!Q31</f>
        <v>11856</v>
      </c>
      <c r="O30" s="36">
        <f>ELECT.!S31</f>
        <v>9556</v>
      </c>
      <c r="P30" s="36">
        <f>ELECT.!W31*2</f>
        <v>21666</v>
      </c>
      <c r="Q30" s="36">
        <f>ELECT.!D31</f>
        <v>640</v>
      </c>
      <c r="R30" s="141">
        <f>BTU!C31</f>
        <v>12.664000000000669</v>
      </c>
      <c r="S30" s="141">
        <f>BTU!F31</f>
        <v>1.0690000000004147</v>
      </c>
      <c r="T30" s="141">
        <f>BTU!I31</f>
        <v>4</v>
      </c>
      <c r="U30" s="141">
        <f>BTU!O31</f>
        <v>1.0999999999999091</v>
      </c>
      <c r="V30" s="141">
        <f>BTU!L31</f>
        <v>1.6000000000003638</v>
      </c>
      <c r="W30" s="141">
        <f>BTU!R31</f>
        <v>1.8699999999998909</v>
      </c>
      <c r="X30" s="34">
        <f>ELECT.!B31</f>
        <v>205</v>
      </c>
      <c r="Y30" s="34">
        <f t="shared" si="0"/>
        <v>-3182</v>
      </c>
      <c r="Z30">
        <f>'Mall, Citadel, Rotana'!C31+'Mall, Citadel, Rotana'!E31+'Mall, Citadel, Rotana'!G31+'Mall, Citadel, Rotana'!I31</f>
        <v>1548</v>
      </c>
      <c r="AA30">
        <f>'Mall, Citadel, Rotana'!K31+'Mall, Citadel, Rotana'!M31</f>
        <v>231</v>
      </c>
      <c r="AB30">
        <f>'Mall, Citadel, Rotana'!O31</f>
        <v>3</v>
      </c>
      <c r="AC30">
        <f>'Mall, Citadel, Rotana'!Q31+'Mall, Citadel, Rotana'!S31</f>
        <v>126</v>
      </c>
      <c r="AD30" s="34">
        <f t="shared" si="1"/>
        <v>157.21288520000002</v>
      </c>
      <c r="AE30" s="34">
        <f t="shared" si="2"/>
        <v>1035.6011148</v>
      </c>
    </row>
    <row r="31" spans="1:31" x14ac:dyDescent="0.25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960</v>
      </c>
      <c r="F31" s="36">
        <f>Water!E32</f>
        <v>400</v>
      </c>
      <c r="G31" s="36">
        <f>Water!G32</f>
        <v>567</v>
      </c>
      <c r="H31" s="36">
        <f>Water!I32</f>
        <v>3.4830000000000001</v>
      </c>
      <c r="I31" s="36">
        <f>ELECT.!F32</f>
        <v>22490</v>
      </c>
      <c r="J31" s="36">
        <f>ELECT.!H32</f>
        <v>51804</v>
      </c>
      <c r="K31" s="36">
        <f>ELECT.!K32</f>
        <v>10080</v>
      </c>
      <c r="L31" s="36">
        <f>ELECT.!M32</f>
        <v>5972</v>
      </c>
      <c r="M31" s="36">
        <f>ELECT.!O32</f>
        <v>16328</v>
      </c>
      <c r="N31" s="36">
        <f>ELECT.!Q32</f>
        <v>12812</v>
      </c>
      <c r="O31" s="36">
        <f>ELECT.!S32</f>
        <v>10098</v>
      </c>
      <c r="P31" s="36">
        <f>ELECT.!W32*2</f>
        <v>22784</v>
      </c>
      <c r="Q31" s="36">
        <f>ELECT.!D32</f>
        <v>480</v>
      </c>
      <c r="R31" s="141">
        <f>BTU!C32</f>
        <v>10.313000000001921</v>
      </c>
      <c r="S31" s="141">
        <f>BTU!F32</f>
        <v>1.8280000000004293</v>
      </c>
      <c r="T31" s="141">
        <f>BTU!I32</f>
        <v>6</v>
      </c>
      <c r="U31" s="141">
        <f>BTU!O32</f>
        <v>1.4830000000001746</v>
      </c>
      <c r="V31" s="141">
        <f>BTU!L32</f>
        <v>2</v>
      </c>
      <c r="W31" s="141">
        <f>BTU!R32</f>
        <v>0.11999999999989086</v>
      </c>
      <c r="X31" s="34">
        <f>ELECT.!B32</f>
        <v>260</v>
      </c>
      <c r="Y31" s="34">
        <f t="shared" si="0"/>
        <v>-3780</v>
      </c>
      <c r="Z31">
        <f>'Mall, Citadel, Rotana'!C32+'Mall, Citadel, Rotana'!E32+'Mall, Citadel, Rotana'!G32+'Mall, Citadel, Rotana'!I32</f>
        <v>1367</v>
      </c>
      <c r="AA31">
        <f>'Mall, Citadel, Rotana'!K32+'Mall, Citadel, Rotana'!M32</f>
        <v>258</v>
      </c>
      <c r="AB31">
        <f>'Mall, Citadel, Rotana'!O32</f>
        <v>3</v>
      </c>
      <c r="AC31">
        <f>'Mall, Citadel, Rotana'!Q32+'Mall, Citadel, Rotana'!S32</f>
        <v>125</v>
      </c>
      <c r="AD31" s="34">
        <f t="shared" si="1"/>
        <v>100.49974060000001</v>
      </c>
      <c r="AE31" s="34">
        <f t="shared" si="2"/>
        <v>662.01725940000006</v>
      </c>
    </row>
    <row r="32" spans="1:31" x14ac:dyDescent="0.25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1010</v>
      </c>
      <c r="F32" s="36">
        <f>Water!E33</f>
        <v>400</v>
      </c>
      <c r="G32" s="36">
        <f>Water!G33</f>
        <v>585.9</v>
      </c>
      <c r="H32" s="36">
        <f>Water!I33</f>
        <v>3.6179999999999999</v>
      </c>
      <c r="I32" s="36">
        <f>ELECT.!F33</f>
        <v>25568</v>
      </c>
      <c r="J32" s="36">
        <f>ELECT.!H33</f>
        <v>56777</v>
      </c>
      <c r="K32" s="36">
        <f>ELECT.!K33</f>
        <v>10076</v>
      </c>
      <c r="L32" s="36">
        <f>ELECT.!M33</f>
        <v>6938</v>
      </c>
      <c r="M32" s="36">
        <f>ELECT.!O33</f>
        <v>18350</v>
      </c>
      <c r="N32" s="36">
        <f>ELECT.!Q33</f>
        <v>14655</v>
      </c>
      <c r="O32" s="36">
        <f>ELECT.!S33</f>
        <v>10970</v>
      </c>
      <c r="P32" s="36">
        <f>ELECT.!W33*2</f>
        <v>24040</v>
      </c>
      <c r="Q32" s="36">
        <f>ELECT.!D33</f>
        <v>960</v>
      </c>
      <c r="R32" s="141">
        <f>BTU!C33</f>
        <v>13.114999999997963</v>
      </c>
      <c r="S32" s="141">
        <f>BTU!F33</f>
        <v>2.418999999999869</v>
      </c>
      <c r="T32" s="141">
        <f>BTU!I33</f>
        <v>6</v>
      </c>
      <c r="U32" s="141">
        <f>BTU!O33</f>
        <v>1.8139999999998508</v>
      </c>
      <c r="V32" s="141">
        <f>BTU!L33</f>
        <v>2.2999999999992724</v>
      </c>
      <c r="W32" s="141">
        <f>BTU!R33</f>
        <v>2.2399999999997817</v>
      </c>
      <c r="X32" s="34">
        <f>ELECT.!B33</f>
        <v>170</v>
      </c>
      <c r="Y32" s="34">
        <f t="shared" ref="Y32" si="4">I32+J32-(K32+L32+M32+N32+O32+P32)</f>
        <v>-2684</v>
      </c>
      <c r="Z32">
        <f>'Mall, Citadel, Rotana'!C33+'Mall, Citadel, Rotana'!E33+'Mall, Citadel, Rotana'!G33+'Mall, Citadel, Rotana'!I33</f>
        <v>6192</v>
      </c>
      <c r="AA32">
        <f>'Mall, Citadel, Rotana'!K33+'Mall, Citadel, Rotana'!M33</f>
        <v>351</v>
      </c>
      <c r="AB32">
        <f>'Mall, Citadel, Rotana'!O33</f>
        <v>3</v>
      </c>
      <c r="AC32">
        <f>'Mall, Citadel, Rotana'!Q33+'Mall, Citadel, Rotana'!S33</f>
        <v>110</v>
      </c>
      <c r="AD32" s="34">
        <f t="shared" ref="AD32" si="5">(E32-H32-194)*0.1318</f>
        <v>107.07194759999999</v>
      </c>
      <c r="AE32" s="34">
        <f t="shared" ref="AE32" si="6">E32-H32-AD32-194</f>
        <v>705.3100523999999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15"/>
  <sheetViews>
    <sheetView zoomScale="110" zoomScaleNormal="110" workbookViewId="0">
      <pane ySplit="1" topLeftCell="A2" activePane="bottomLeft" state="frozen"/>
      <selection pane="bottomLeft" activeCell="T34" sqref="T34"/>
    </sheetView>
  </sheetViews>
  <sheetFormatPr defaultRowHeight="13.2" x14ac:dyDescent="0.25"/>
  <cols>
    <col min="1" max="1" width="16.5546875" style="16" bestFit="1" customWidth="1"/>
    <col min="2" max="2" width="10.5546875" style="17" bestFit="1" customWidth="1"/>
    <col min="3" max="3" width="11.44140625" style="18" bestFit="1" customWidth="1"/>
    <col min="4" max="4" width="10.6640625" style="17" bestFit="1" customWidth="1"/>
    <col min="5" max="5" width="11.44140625" style="18" bestFit="1" customWidth="1"/>
    <col min="6" max="6" width="8.6640625" style="17" customWidth="1"/>
    <col min="7" max="7" width="9.6640625" style="18" bestFit="1" customWidth="1"/>
    <col min="8" max="8" width="10" style="17" bestFit="1" customWidth="1"/>
    <col min="9" max="9" width="9.6640625" style="18" bestFit="1" customWidth="1"/>
    <col min="10" max="10" width="9.33203125" style="17" bestFit="1" customWidth="1"/>
    <col min="11" max="11" width="11" style="18" bestFit="1" customWidth="1"/>
    <col min="12" max="12" width="8.6640625" style="17" bestFit="1" customWidth="1"/>
    <col min="13" max="13" width="11" style="18" customWidth="1"/>
    <col min="14" max="14" width="11.44140625" style="31" customWidth="1"/>
    <col min="15" max="15" width="10.109375" style="18" customWidth="1"/>
    <col min="16" max="16" width="10" style="17" bestFit="1" customWidth="1"/>
    <col min="17" max="17" width="9.6640625" style="18" bestFit="1" customWidth="1"/>
    <col min="18" max="18" width="8.6640625" style="17" customWidth="1"/>
    <col min="19" max="19" width="11" style="18" bestFit="1" customWidth="1"/>
  </cols>
  <sheetData>
    <row r="1" spans="1:24" s="13" customFormat="1" ht="14.4" thickBot="1" x14ac:dyDescent="0.3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8" thickBot="1" x14ac:dyDescent="0.3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8" thickBot="1" x14ac:dyDescent="0.3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8" thickBot="1" x14ac:dyDescent="0.3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8" thickBot="1" x14ac:dyDescent="0.3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8" thickBot="1" x14ac:dyDescent="0.3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8" thickBot="1" x14ac:dyDescent="0.3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8" thickBot="1" x14ac:dyDescent="0.3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8" thickBot="1" x14ac:dyDescent="0.3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8" thickBot="1" x14ac:dyDescent="0.3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8" thickBot="1" x14ac:dyDescent="0.3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8" thickBot="1" x14ac:dyDescent="0.3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8" thickBot="1" x14ac:dyDescent="0.3">
      <c r="A13" s="9">
        <v>44753</v>
      </c>
      <c r="B13" s="32">
        <v>47279</v>
      </c>
      <c r="C13" s="14">
        <f t="shared" si="1"/>
        <v>640</v>
      </c>
      <c r="D13" s="32">
        <v>40770</v>
      </c>
      <c r="E13" s="14">
        <f t="shared" si="2"/>
        <v>480</v>
      </c>
      <c r="F13" s="32">
        <v>21832</v>
      </c>
      <c r="G13" s="14">
        <f t="shared" si="3"/>
        <v>80</v>
      </c>
      <c r="H13" s="32">
        <v>256468</v>
      </c>
      <c r="I13" s="14">
        <f t="shared" si="4"/>
        <v>33</v>
      </c>
      <c r="J13" s="32">
        <v>322707</v>
      </c>
      <c r="K13" s="14">
        <f t="shared" si="5"/>
        <v>96</v>
      </c>
      <c r="L13" s="32">
        <v>26296</v>
      </c>
      <c r="M13" s="14">
        <f t="shared" si="6"/>
        <v>180</v>
      </c>
      <c r="N13" s="32">
        <v>226167</v>
      </c>
      <c r="O13" s="14">
        <f t="shared" si="7"/>
        <v>3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4020</v>
      </c>
      <c r="U13" s="14">
        <f t="shared" si="8"/>
        <v>0</v>
      </c>
    </row>
    <row r="14" spans="1:24" ht="13.8" thickBot="1" x14ac:dyDescent="0.3">
      <c r="A14" s="9">
        <v>44754</v>
      </c>
      <c r="B14" s="32">
        <v>47284</v>
      </c>
      <c r="C14" s="14">
        <f t="shared" si="1"/>
        <v>800</v>
      </c>
      <c r="D14" s="32">
        <v>40773</v>
      </c>
      <c r="E14" s="14">
        <f t="shared" si="2"/>
        <v>480</v>
      </c>
      <c r="F14" s="32">
        <v>21834</v>
      </c>
      <c r="G14" s="14">
        <f t="shared" si="3"/>
        <v>40</v>
      </c>
      <c r="H14" s="32">
        <v>256499</v>
      </c>
      <c r="I14" s="14">
        <f t="shared" si="4"/>
        <v>31</v>
      </c>
      <c r="J14" s="32">
        <v>322799</v>
      </c>
      <c r="K14" s="14">
        <f t="shared" si="5"/>
        <v>92</v>
      </c>
      <c r="L14" s="32">
        <v>26298</v>
      </c>
      <c r="M14" s="14">
        <f t="shared" si="6"/>
        <v>120</v>
      </c>
      <c r="N14" s="32">
        <v>226170</v>
      </c>
      <c r="O14" s="14">
        <f t="shared" si="7"/>
        <v>3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v>4020</v>
      </c>
      <c r="U14" s="14">
        <f t="shared" si="8"/>
        <v>0</v>
      </c>
    </row>
    <row r="15" spans="1:24" ht="13.8" thickBot="1" x14ac:dyDescent="0.3">
      <c r="A15" s="9">
        <v>44755</v>
      </c>
      <c r="B15" s="32">
        <v>47288</v>
      </c>
      <c r="C15" s="14">
        <f t="shared" si="1"/>
        <v>640</v>
      </c>
      <c r="D15" s="32">
        <v>40776</v>
      </c>
      <c r="E15" s="14">
        <f t="shared" si="2"/>
        <v>480</v>
      </c>
      <c r="F15" s="32">
        <v>21838</v>
      </c>
      <c r="G15" s="14">
        <f t="shared" si="3"/>
        <v>80</v>
      </c>
      <c r="H15" s="32">
        <v>256533</v>
      </c>
      <c r="I15" s="14">
        <f t="shared" si="4"/>
        <v>34</v>
      </c>
      <c r="J15" s="32">
        <v>322928</v>
      </c>
      <c r="K15" s="14">
        <f t="shared" si="5"/>
        <v>129</v>
      </c>
      <c r="L15" s="32">
        <v>26300</v>
      </c>
      <c r="M15" s="14">
        <f t="shared" si="6"/>
        <v>120</v>
      </c>
      <c r="N15" s="32">
        <v>226174</v>
      </c>
      <c r="O15" s="14">
        <f t="shared" si="7"/>
        <v>4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v>4021</v>
      </c>
      <c r="U15" s="14">
        <f t="shared" si="8"/>
        <v>160</v>
      </c>
      <c r="X15" t="s">
        <v>12</v>
      </c>
    </row>
    <row r="16" spans="1:24" ht="13.8" thickBot="1" x14ac:dyDescent="0.3">
      <c r="A16" s="9">
        <v>44756</v>
      </c>
      <c r="B16" s="32">
        <v>47292</v>
      </c>
      <c r="C16" s="14">
        <f t="shared" si="1"/>
        <v>640</v>
      </c>
      <c r="D16" s="32">
        <v>40779</v>
      </c>
      <c r="E16" s="14">
        <f t="shared" si="2"/>
        <v>480</v>
      </c>
      <c r="F16" s="32">
        <v>21842</v>
      </c>
      <c r="G16" s="14">
        <f t="shared" si="3"/>
        <v>80</v>
      </c>
      <c r="H16" s="32">
        <v>256556</v>
      </c>
      <c r="I16" s="14">
        <f t="shared" si="4"/>
        <v>23</v>
      </c>
      <c r="J16" s="32">
        <v>323031</v>
      </c>
      <c r="K16" s="14">
        <f t="shared" si="5"/>
        <v>103</v>
      </c>
      <c r="L16" s="32">
        <v>26302</v>
      </c>
      <c r="M16" s="14">
        <f t="shared" si="6"/>
        <v>120</v>
      </c>
      <c r="N16" s="32">
        <v>226177</v>
      </c>
      <c r="O16" s="14">
        <f t="shared" si="7"/>
        <v>3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v>4021</v>
      </c>
      <c r="U16" s="14">
        <f t="shared" si="8"/>
        <v>0</v>
      </c>
      <c r="W16" t="s">
        <v>12</v>
      </c>
    </row>
    <row r="17" spans="1:23" ht="13.8" thickBot="1" x14ac:dyDescent="0.3">
      <c r="A17" s="9">
        <v>44757</v>
      </c>
      <c r="B17" s="32">
        <v>47297</v>
      </c>
      <c r="C17" s="14">
        <f t="shared" si="1"/>
        <v>800</v>
      </c>
      <c r="D17" s="32">
        <v>40782</v>
      </c>
      <c r="E17" s="14">
        <f t="shared" si="2"/>
        <v>480</v>
      </c>
      <c r="F17" s="32">
        <v>21845</v>
      </c>
      <c r="G17" s="14">
        <f t="shared" si="3"/>
        <v>60</v>
      </c>
      <c r="H17" s="32">
        <v>256580</v>
      </c>
      <c r="I17" s="14">
        <f t="shared" si="4"/>
        <v>24</v>
      </c>
      <c r="J17" s="32">
        <v>323138</v>
      </c>
      <c r="K17" s="14">
        <f t="shared" si="5"/>
        <v>107</v>
      </c>
      <c r="L17" s="32">
        <v>26304</v>
      </c>
      <c r="M17" s="14">
        <f t="shared" si="6"/>
        <v>120</v>
      </c>
      <c r="N17" s="32">
        <v>226180</v>
      </c>
      <c r="O17" s="14">
        <f t="shared" si="7"/>
        <v>3</v>
      </c>
      <c r="P17" s="32">
        <v>160539</v>
      </c>
      <c r="Q17" s="14">
        <f t="shared" si="0"/>
        <v>1525</v>
      </c>
      <c r="R17" s="1">
        <v>55047</v>
      </c>
      <c r="S17" s="14">
        <f>S16</f>
        <v>0</v>
      </c>
      <c r="T17" s="32">
        <v>4021</v>
      </c>
      <c r="U17" s="14">
        <f t="shared" si="8"/>
        <v>0</v>
      </c>
    </row>
    <row r="18" spans="1:23" ht="13.8" thickBot="1" x14ac:dyDescent="0.3">
      <c r="A18" s="9">
        <v>44758</v>
      </c>
      <c r="B18" s="32">
        <v>47301</v>
      </c>
      <c r="C18" s="14">
        <f t="shared" si="1"/>
        <v>640</v>
      </c>
      <c r="D18" s="32">
        <v>40785</v>
      </c>
      <c r="E18" s="14">
        <f t="shared" si="2"/>
        <v>480</v>
      </c>
      <c r="F18" s="32">
        <v>21848</v>
      </c>
      <c r="G18" s="14">
        <f t="shared" si="3"/>
        <v>60</v>
      </c>
      <c r="H18" s="32">
        <v>256615</v>
      </c>
      <c r="I18" s="14">
        <f t="shared" si="4"/>
        <v>35</v>
      </c>
      <c r="J18" s="32">
        <v>323284</v>
      </c>
      <c r="K18" s="14">
        <f t="shared" si="5"/>
        <v>146</v>
      </c>
      <c r="L18" s="32">
        <v>26307</v>
      </c>
      <c r="M18" s="14">
        <f t="shared" si="6"/>
        <v>180</v>
      </c>
      <c r="N18" s="32">
        <v>226183</v>
      </c>
      <c r="O18" s="14">
        <f t="shared" si="7"/>
        <v>3</v>
      </c>
      <c r="P18" s="32">
        <v>160662</v>
      </c>
      <c r="Q18" s="14">
        <f t="shared" si="0"/>
        <v>123</v>
      </c>
      <c r="R18" s="1">
        <v>55047</v>
      </c>
      <c r="S18" s="14">
        <f t="shared" si="9"/>
        <v>0</v>
      </c>
      <c r="T18" s="32">
        <v>4022</v>
      </c>
      <c r="U18" s="14">
        <f t="shared" si="8"/>
        <v>160</v>
      </c>
    </row>
    <row r="19" spans="1:23" ht="13.8" thickBot="1" x14ac:dyDescent="0.3">
      <c r="A19" s="9">
        <v>44759</v>
      </c>
      <c r="B19" s="32">
        <v>47306</v>
      </c>
      <c r="C19" s="14">
        <f t="shared" si="1"/>
        <v>800</v>
      </c>
      <c r="D19" s="32">
        <v>40788</v>
      </c>
      <c r="E19" s="14">
        <f t="shared" si="2"/>
        <v>480</v>
      </c>
      <c r="F19" s="32">
        <v>21853</v>
      </c>
      <c r="G19" s="14">
        <f t="shared" si="3"/>
        <v>100</v>
      </c>
      <c r="H19" s="32">
        <v>256634</v>
      </c>
      <c r="I19" s="14">
        <f t="shared" si="4"/>
        <v>19</v>
      </c>
      <c r="J19" s="32">
        <v>323459</v>
      </c>
      <c r="K19" s="14">
        <f t="shared" si="5"/>
        <v>175</v>
      </c>
      <c r="L19" s="32">
        <v>26311</v>
      </c>
      <c r="M19" s="14">
        <f t="shared" si="6"/>
        <v>240</v>
      </c>
      <c r="N19" s="32">
        <v>226186</v>
      </c>
      <c r="O19" s="14">
        <f t="shared" si="7"/>
        <v>3</v>
      </c>
      <c r="P19" s="32">
        <v>160539</v>
      </c>
      <c r="Q19" s="14">
        <v>0</v>
      </c>
      <c r="R19" s="1">
        <v>55047</v>
      </c>
      <c r="S19" s="14">
        <f t="shared" si="9"/>
        <v>0</v>
      </c>
      <c r="T19" s="32">
        <v>4022</v>
      </c>
      <c r="U19" s="14">
        <f t="shared" si="8"/>
        <v>0</v>
      </c>
      <c r="W19" t="s">
        <v>12</v>
      </c>
    </row>
    <row r="20" spans="1:23" ht="13.8" thickBot="1" x14ac:dyDescent="0.3">
      <c r="A20" s="9">
        <v>44760</v>
      </c>
      <c r="B20" s="32">
        <v>47310</v>
      </c>
      <c r="C20" s="14">
        <f t="shared" si="1"/>
        <v>640</v>
      </c>
      <c r="D20" s="32">
        <v>40791</v>
      </c>
      <c r="E20" s="14">
        <f t="shared" si="2"/>
        <v>480</v>
      </c>
      <c r="F20" s="32">
        <v>21855</v>
      </c>
      <c r="G20" s="14">
        <f t="shared" si="3"/>
        <v>40</v>
      </c>
      <c r="H20" s="32">
        <v>256657</v>
      </c>
      <c r="I20" s="14">
        <f t="shared" si="4"/>
        <v>23</v>
      </c>
      <c r="J20" s="32">
        <v>323626</v>
      </c>
      <c r="K20" s="14">
        <f t="shared" si="5"/>
        <v>167</v>
      </c>
      <c r="L20" s="32">
        <v>26314</v>
      </c>
      <c r="M20" s="14">
        <f t="shared" si="6"/>
        <v>180</v>
      </c>
      <c r="N20" s="32">
        <v>226189</v>
      </c>
      <c r="O20" s="14">
        <f t="shared" si="7"/>
        <v>3</v>
      </c>
      <c r="P20" s="32">
        <v>160539</v>
      </c>
      <c r="Q20" s="14">
        <f t="shared" si="0"/>
        <v>0</v>
      </c>
      <c r="R20" s="1">
        <v>55047</v>
      </c>
      <c r="S20" s="14">
        <f t="shared" si="9"/>
        <v>0</v>
      </c>
      <c r="T20" s="32">
        <v>4023</v>
      </c>
      <c r="U20" s="14">
        <f t="shared" si="8"/>
        <v>160</v>
      </c>
    </row>
    <row r="21" spans="1:23" ht="13.8" thickBot="1" x14ac:dyDescent="0.3">
      <c r="A21" s="9">
        <v>44761</v>
      </c>
      <c r="B21" s="32">
        <v>47315</v>
      </c>
      <c r="C21" s="14">
        <f t="shared" si="1"/>
        <v>800</v>
      </c>
      <c r="D21" s="32">
        <v>40794</v>
      </c>
      <c r="E21" s="14">
        <f t="shared" si="2"/>
        <v>480</v>
      </c>
      <c r="F21" s="32">
        <v>21858</v>
      </c>
      <c r="G21" s="14">
        <f t="shared" si="3"/>
        <v>60</v>
      </c>
      <c r="H21" s="32">
        <v>256679</v>
      </c>
      <c r="I21" s="14">
        <f t="shared" si="4"/>
        <v>22</v>
      </c>
      <c r="J21" s="32">
        <v>323804</v>
      </c>
      <c r="K21" s="14">
        <f t="shared" si="5"/>
        <v>178</v>
      </c>
      <c r="L21" s="32">
        <v>26317</v>
      </c>
      <c r="M21" s="14">
        <f t="shared" si="6"/>
        <v>180</v>
      </c>
      <c r="N21" s="32">
        <v>226192</v>
      </c>
      <c r="O21" s="14">
        <f t="shared" si="7"/>
        <v>3</v>
      </c>
      <c r="P21" s="32">
        <v>160539</v>
      </c>
      <c r="Q21" s="14">
        <f t="shared" si="0"/>
        <v>0</v>
      </c>
      <c r="R21" s="1">
        <v>55047</v>
      </c>
      <c r="S21" s="14">
        <f t="shared" si="9"/>
        <v>0</v>
      </c>
      <c r="T21" s="32">
        <v>4024</v>
      </c>
      <c r="U21" s="14">
        <f t="shared" si="8"/>
        <v>160</v>
      </c>
    </row>
    <row r="22" spans="1:23" ht="13.8" thickBot="1" x14ac:dyDescent="0.3">
      <c r="A22" s="9">
        <v>44762</v>
      </c>
      <c r="B22" s="32">
        <v>47319</v>
      </c>
      <c r="C22" s="14">
        <f t="shared" si="1"/>
        <v>640</v>
      </c>
      <c r="D22" s="32">
        <v>40797</v>
      </c>
      <c r="E22" s="14">
        <f t="shared" si="2"/>
        <v>480</v>
      </c>
      <c r="F22" s="32">
        <v>21862</v>
      </c>
      <c r="G22" s="14">
        <f t="shared" si="3"/>
        <v>80</v>
      </c>
      <c r="H22" s="32">
        <v>256722</v>
      </c>
      <c r="I22" s="14">
        <f t="shared" si="4"/>
        <v>43</v>
      </c>
      <c r="J22" s="32">
        <v>323978</v>
      </c>
      <c r="K22" s="14">
        <f t="shared" si="5"/>
        <v>174</v>
      </c>
      <c r="L22" s="32">
        <v>26321</v>
      </c>
      <c r="M22" s="14">
        <f t="shared" si="6"/>
        <v>240</v>
      </c>
      <c r="N22" s="32">
        <v>226196</v>
      </c>
      <c r="O22" s="14">
        <f t="shared" si="7"/>
        <v>4</v>
      </c>
      <c r="P22" s="32">
        <v>160539</v>
      </c>
      <c r="Q22" s="14">
        <f t="shared" si="0"/>
        <v>0</v>
      </c>
      <c r="R22" s="1">
        <v>55047</v>
      </c>
      <c r="S22" s="14">
        <f t="shared" si="9"/>
        <v>0</v>
      </c>
      <c r="T22" s="32">
        <v>4024</v>
      </c>
      <c r="U22" s="14">
        <f t="shared" si="8"/>
        <v>0</v>
      </c>
    </row>
    <row r="23" spans="1:23" ht="13.8" thickBot="1" x14ac:dyDescent="0.3">
      <c r="A23" s="9">
        <v>44763</v>
      </c>
      <c r="B23" s="32">
        <v>47324</v>
      </c>
      <c r="C23" s="14">
        <f t="shared" si="1"/>
        <v>800</v>
      </c>
      <c r="D23" s="32">
        <v>40800</v>
      </c>
      <c r="E23" s="14">
        <f t="shared" si="2"/>
        <v>480</v>
      </c>
      <c r="F23" s="32">
        <v>21866</v>
      </c>
      <c r="G23" s="14">
        <f t="shared" si="3"/>
        <v>80</v>
      </c>
      <c r="H23" s="32">
        <v>256774</v>
      </c>
      <c r="I23" s="14">
        <f t="shared" si="4"/>
        <v>52</v>
      </c>
      <c r="J23" s="32">
        <v>324164</v>
      </c>
      <c r="K23" s="14">
        <f t="shared" si="5"/>
        <v>186</v>
      </c>
      <c r="L23" s="32">
        <v>26325</v>
      </c>
      <c r="M23" s="14">
        <f t="shared" si="6"/>
        <v>240</v>
      </c>
      <c r="N23" s="32">
        <v>226199</v>
      </c>
      <c r="O23" s="14">
        <f t="shared" si="7"/>
        <v>3</v>
      </c>
      <c r="P23" s="32">
        <v>161491</v>
      </c>
      <c r="Q23" s="14">
        <f t="shared" si="0"/>
        <v>952</v>
      </c>
      <c r="R23" s="1">
        <v>55047</v>
      </c>
      <c r="S23" s="14">
        <f t="shared" si="9"/>
        <v>0</v>
      </c>
      <c r="T23" s="32">
        <v>4025</v>
      </c>
      <c r="U23" s="14">
        <f t="shared" si="8"/>
        <v>160</v>
      </c>
    </row>
    <row r="24" spans="1:23" s="131" customFormat="1" ht="13.8" thickBot="1" x14ac:dyDescent="0.3">
      <c r="A24" s="9">
        <v>44764</v>
      </c>
      <c r="B24" s="32">
        <v>47329</v>
      </c>
      <c r="C24" s="14">
        <f t="shared" si="1"/>
        <v>800</v>
      </c>
      <c r="D24" s="32">
        <v>40803</v>
      </c>
      <c r="E24" s="14">
        <f t="shared" si="2"/>
        <v>480</v>
      </c>
      <c r="F24" s="32">
        <v>21870</v>
      </c>
      <c r="G24" s="14">
        <f t="shared" si="3"/>
        <v>80</v>
      </c>
      <c r="H24" s="32">
        <v>256797</v>
      </c>
      <c r="I24" s="14">
        <f t="shared" si="4"/>
        <v>23</v>
      </c>
      <c r="J24" s="32">
        <v>324288</v>
      </c>
      <c r="K24" s="14">
        <f t="shared" si="5"/>
        <v>124</v>
      </c>
      <c r="L24" s="32">
        <v>26327</v>
      </c>
      <c r="M24" s="14">
        <f t="shared" si="6"/>
        <v>120</v>
      </c>
      <c r="N24" s="32">
        <v>226202</v>
      </c>
      <c r="O24" s="14">
        <f t="shared" si="7"/>
        <v>3</v>
      </c>
      <c r="P24" s="32">
        <v>161607</v>
      </c>
      <c r="Q24" s="14">
        <f t="shared" si="0"/>
        <v>116</v>
      </c>
      <c r="R24" s="1">
        <v>55047</v>
      </c>
      <c r="S24" s="14">
        <f t="shared" si="9"/>
        <v>0</v>
      </c>
      <c r="T24" s="32">
        <v>4025</v>
      </c>
      <c r="U24" s="14">
        <f t="shared" si="8"/>
        <v>0</v>
      </c>
    </row>
    <row r="25" spans="1:23" ht="13.8" thickBot="1" x14ac:dyDescent="0.3">
      <c r="A25" s="9">
        <v>44765</v>
      </c>
      <c r="B25" s="32">
        <v>47331</v>
      </c>
      <c r="C25" s="14">
        <f t="shared" si="1"/>
        <v>320</v>
      </c>
      <c r="D25" s="32">
        <v>40807</v>
      </c>
      <c r="E25" s="14">
        <f t="shared" si="2"/>
        <v>640</v>
      </c>
      <c r="F25" s="32">
        <v>21873</v>
      </c>
      <c r="G25" s="14">
        <f t="shared" si="3"/>
        <v>60</v>
      </c>
      <c r="H25" s="32">
        <v>256817</v>
      </c>
      <c r="I25" s="14">
        <f t="shared" si="4"/>
        <v>20</v>
      </c>
      <c r="J25" s="32">
        <v>324429</v>
      </c>
      <c r="K25" s="14">
        <f t="shared" si="5"/>
        <v>141</v>
      </c>
      <c r="L25" s="32">
        <v>26329</v>
      </c>
      <c r="M25" s="14">
        <f t="shared" si="6"/>
        <v>120</v>
      </c>
      <c r="N25" s="32">
        <v>226205</v>
      </c>
      <c r="O25" s="14">
        <f t="shared" si="7"/>
        <v>3</v>
      </c>
      <c r="P25" s="32">
        <v>161730</v>
      </c>
      <c r="Q25" s="14">
        <f t="shared" si="0"/>
        <v>123</v>
      </c>
      <c r="R25" s="1">
        <v>55047</v>
      </c>
      <c r="S25" s="14">
        <f t="shared" si="9"/>
        <v>0</v>
      </c>
      <c r="T25" s="32">
        <v>4025</v>
      </c>
      <c r="U25" s="14">
        <f t="shared" si="8"/>
        <v>0</v>
      </c>
      <c r="V25" t="s">
        <v>12</v>
      </c>
    </row>
    <row r="26" spans="1:23" ht="12.75" customHeight="1" thickBot="1" x14ac:dyDescent="0.3">
      <c r="A26" s="9">
        <v>44766</v>
      </c>
      <c r="B26" s="32">
        <v>47338</v>
      </c>
      <c r="C26" s="14">
        <f t="shared" si="1"/>
        <v>1120</v>
      </c>
      <c r="D26" s="32">
        <v>40810</v>
      </c>
      <c r="E26" s="14">
        <f t="shared" si="2"/>
        <v>480</v>
      </c>
      <c r="F26" s="32">
        <v>21876</v>
      </c>
      <c r="G26" s="14">
        <f t="shared" si="3"/>
        <v>60</v>
      </c>
      <c r="H26" s="32">
        <v>256876</v>
      </c>
      <c r="I26" s="14">
        <f t="shared" si="4"/>
        <v>59</v>
      </c>
      <c r="J26" s="32">
        <v>324593</v>
      </c>
      <c r="K26" s="14">
        <f t="shared" si="5"/>
        <v>164</v>
      </c>
      <c r="L26" s="32">
        <v>26333</v>
      </c>
      <c r="M26" s="14">
        <f t="shared" si="6"/>
        <v>240</v>
      </c>
      <c r="N26" s="32">
        <v>226208</v>
      </c>
      <c r="O26" s="14">
        <f t="shared" si="7"/>
        <v>3</v>
      </c>
      <c r="P26" s="32">
        <v>161880</v>
      </c>
      <c r="Q26" s="14">
        <f t="shared" si="0"/>
        <v>150</v>
      </c>
      <c r="R26" s="1">
        <v>55047</v>
      </c>
      <c r="S26" s="14">
        <f t="shared" si="9"/>
        <v>0</v>
      </c>
      <c r="T26" s="32">
        <v>4026</v>
      </c>
      <c r="U26" s="14">
        <f t="shared" si="8"/>
        <v>160</v>
      </c>
      <c r="W26" t="s">
        <v>12</v>
      </c>
    </row>
    <row r="27" spans="1:23" ht="13.8" thickBot="1" x14ac:dyDescent="0.3">
      <c r="A27" s="9">
        <v>44767</v>
      </c>
      <c r="B27" s="32">
        <v>47343</v>
      </c>
      <c r="C27" s="14">
        <f t="shared" si="1"/>
        <v>800</v>
      </c>
      <c r="D27" s="32">
        <v>40813</v>
      </c>
      <c r="E27" s="14">
        <f t="shared" si="2"/>
        <v>480</v>
      </c>
      <c r="F27" s="32">
        <v>21879</v>
      </c>
      <c r="G27" s="14">
        <f t="shared" si="3"/>
        <v>60</v>
      </c>
      <c r="H27" s="32">
        <v>256888</v>
      </c>
      <c r="I27" s="14">
        <f t="shared" si="4"/>
        <v>12</v>
      </c>
      <c r="J27" s="32">
        <v>324768</v>
      </c>
      <c r="K27" s="14">
        <f t="shared" si="5"/>
        <v>175</v>
      </c>
      <c r="L27" s="32">
        <v>26336</v>
      </c>
      <c r="M27" s="14">
        <f t="shared" si="6"/>
        <v>180</v>
      </c>
      <c r="N27" s="32">
        <v>226211</v>
      </c>
      <c r="O27" s="14">
        <f t="shared" si="7"/>
        <v>3</v>
      </c>
      <c r="P27" s="32">
        <v>161998</v>
      </c>
      <c r="Q27" s="14">
        <f t="shared" si="0"/>
        <v>118</v>
      </c>
      <c r="R27" s="1">
        <v>55047</v>
      </c>
      <c r="S27" s="14">
        <f t="shared" si="9"/>
        <v>0</v>
      </c>
      <c r="T27" s="32">
        <v>4026</v>
      </c>
      <c r="U27" s="14">
        <f t="shared" si="8"/>
        <v>0</v>
      </c>
    </row>
    <row r="28" spans="1:23" ht="13.8" thickBot="1" x14ac:dyDescent="0.3">
      <c r="A28" s="9">
        <v>44768</v>
      </c>
      <c r="B28" s="32">
        <v>47347</v>
      </c>
      <c r="C28" s="14">
        <f t="shared" si="1"/>
        <v>640</v>
      </c>
      <c r="D28" s="32">
        <v>40816</v>
      </c>
      <c r="E28" s="14">
        <f t="shared" si="2"/>
        <v>480</v>
      </c>
      <c r="F28" s="32">
        <v>21883</v>
      </c>
      <c r="G28" s="14">
        <f t="shared" si="3"/>
        <v>80</v>
      </c>
      <c r="H28" s="32">
        <v>256890</v>
      </c>
      <c r="I28" s="14">
        <f t="shared" si="4"/>
        <v>2</v>
      </c>
      <c r="J28" s="32">
        <v>324935</v>
      </c>
      <c r="K28" s="14">
        <f t="shared" si="5"/>
        <v>167</v>
      </c>
      <c r="L28" s="32">
        <v>26340</v>
      </c>
      <c r="M28" s="14">
        <f t="shared" si="6"/>
        <v>240</v>
      </c>
      <c r="N28" s="32">
        <v>226214</v>
      </c>
      <c r="O28" s="14">
        <f t="shared" si="7"/>
        <v>3</v>
      </c>
      <c r="P28" s="32">
        <v>162120</v>
      </c>
      <c r="Q28" s="14">
        <f t="shared" si="0"/>
        <v>122</v>
      </c>
      <c r="R28" s="1">
        <v>55047</v>
      </c>
      <c r="S28" s="15">
        <f t="shared" si="9"/>
        <v>0</v>
      </c>
      <c r="T28" s="32">
        <v>4027</v>
      </c>
      <c r="U28" s="14">
        <f t="shared" si="8"/>
        <v>160</v>
      </c>
    </row>
    <row r="29" spans="1:23" ht="13.8" thickBot="1" x14ac:dyDescent="0.3">
      <c r="A29" s="9">
        <v>44769</v>
      </c>
      <c r="B29" s="32">
        <v>47351</v>
      </c>
      <c r="C29" s="14">
        <f t="shared" si="1"/>
        <v>640</v>
      </c>
      <c r="D29" s="32">
        <v>40819</v>
      </c>
      <c r="E29" s="14">
        <f t="shared" si="2"/>
        <v>480</v>
      </c>
      <c r="F29" s="32">
        <v>21887</v>
      </c>
      <c r="G29" s="14">
        <f t="shared" si="3"/>
        <v>80</v>
      </c>
      <c r="H29" s="32">
        <v>256892</v>
      </c>
      <c r="I29" s="14">
        <f t="shared" si="4"/>
        <v>2</v>
      </c>
      <c r="J29" s="32">
        <v>325194</v>
      </c>
      <c r="K29" s="14">
        <f t="shared" si="5"/>
        <v>259</v>
      </c>
      <c r="L29" s="32">
        <v>26344</v>
      </c>
      <c r="M29" s="14">
        <f t="shared" si="6"/>
        <v>240</v>
      </c>
      <c r="N29" s="32">
        <v>226218</v>
      </c>
      <c r="O29" s="14">
        <f t="shared" si="7"/>
        <v>4</v>
      </c>
      <c r="P29" s="32">
        <v>162126</v>
      </c>
      <c r="Q29" s="14">
        <f t="shared" si="0"/>
        <v>6</v>
      </c>
      <c r="R29" s="1">
        <v>55047</v>
      </c>
      <c r="S29" s="14">
        <f t="shared" si="9"/>
        <v>0</v>
      </c>
      <c r="T29" s="32">
        <v>4027</v>
      </c>
      <c r="U29" s="14">
        <f t="shared" si="8"/>
        <v>0</v>
      </c>
    </row>
    <row r="30" spans="1:23" ht="13.8" thickBot="1" x14ac:dyDescent="0.3">
      <c r="A30" s="9">
        <v>44770</v>
      </c>
      <c r="B30" s="32">
        <v>47356</v>
      </c>
      <c r="C30" s="14">
        <f t="shared" si="1"/>
        <v>800</v>
      </c>
      <c r="D30" s="32">
        <v>40891</v>
      </c>
      <c r="E30" s="14">
        <f t="shared" si="2"/>
        <v>11520</v>
      </c>
      <c r="F30" s="32">
        <v>21891</v>
      </c>
      <c r="G30" s="14">
        <f t="shared" si="3"/>
        <v>80</v>
      </c>
      <c r="H30" s="32">
        <v>256949</v>
      </c>
      <c r="I30" s="14">
        <f t="shared" si="4"/>
        <v>57</v>
      </c>
      <c r="J30" s="32">
        <v>325295</v>
      </c>
      <c r="K30" s="14">
        <f t="shared" si="5"/>
        <v>101</v>
      </c>
      <c r="L30" s="32">
        <v>26347</v>
      </c>
      <c r="M30" s="14">
        <f t="shared" si="6"/>
        <v>180</v>
      </c>
      <c r="N30" s="32">
        <v>226221</v>
      </c>
      <c r="O30" s="14">
        <f t="shared" si="7"/>
        <v>3</v>
      </c>
      <c r="P30" s="32">
        <v>162250</v>
      </c>
      <c r="Q30" s="14">
        <f t="shared" si="0"/>
        <v>124</v>
      </c>
      <c r="R30" s="1">
        <v>55047</v>
      </c>
      <c r="S30" s="14">
        <f t="shared" si="9"/>
        <v>0</v>
      </c>
      <c r="T30" s="32">
        <v>4028</v>
      </c>
      <c r="U30" s="14">
        <f t="shared" si="8"/>
        <v>160</v>
      </c>
    </row>
    <row r="31" spans="1:23" ht="13.8" thickBot="1" x14ac:dyDescent="0.3">
      <c r="A31" s="9">
        <v>44771</v>
      </c>
      <c r="B31" s="32">
        <v>47360</v>
      </c>
      <c r="C31" s="14">
        <f t="shared" si="1"/>
        <v>640</v>
      </c>
      <c r="D31" s="32">
        <v>40896</v>
      </c>
      <c r="E31" s="14">
        <f t="shared" si="2"/>
        <v>800</v>
      </c>
      <c r="F31" s="32">
        <v>21895</v>
      </c>
      <c r="G31" s="14">
        <f t="shared" si="3"/>
        <v>80</v>
      </c>
      <c r="H31" s="32">
        <v>256977</v>
      </c>
      <c r="I31" s="14">
        <f t="shared" si="4"/>
        <v>28</v>
      </c>
      <c r="J31" s="32">
        <v>325406</v>
      </c>
      <c r="K31" s="14">
        <f t="shared" si="5"/>
        <v>111</v>
      </c>
      <c r="L31" s="32">
        <v>26349</v>
      </c>
      <c r="M31" s="14">
        <f t="shared" si="6"/>
        <v>120</v>
      </c>
      <c r="N31" s="32">
        <v>226224</v>
      </c>
      <c r="O31" s="14">
        <f t="shared" si="7"/>
        <v>3</v>
      </c>
      <c r="P31" s="32">
        <v>162376</v>
      </c>
      <c r="Q31" s="14">
        <f t="shared" si="0"/>
        <v>126</v>
      </c>
      <c r="R31" s="1">
        <v>55047</v>
      </c>
      <c r="S31" s="14">
        <v>0</v>
      </c>
      <c r="T31" s="32">
        <v>4028</v>
      </c>
      <c r="U31" s="14">
        <f t="shared" si="8"/>
        <v>0</v>
      </c>
    </row>
    <row r="32" spans="1:23" ht="13.8" thickBot="1" x14ac:dyDescent="0.3">
      <c r="A32" s="9">
        <v>44772</v>
      </c>
      <c r="B32" s="32">
        <v>47365</v>
      </c>
      <c r="C32" s="14">
        <f t="shared" si="1"/>
        <v>800</v>
      </c>
      <c r="D32" s="32">
        <v>40899</v>
      </c>
      <c r="E32" s="14">
        <f t="shared" si="2"/>
        <v>480</v>
      </c>
      <c r="F32" s="32">
        <v>21898</v>
      </c>
      <c r="G32" s="14">
        <f t="shared" si="3"/>
        <v>60</v>
      </c>
      <c r="H32" s="32">
        <v>257004</v>
      </c>
      <c r="I32" s="14">
        <f t="shared" si="4"/>
        <v>27</v>
      </c>
      <c r="J32" s="32">
        <v>325544</v>
      </c>
      <c r="K32" s="14">
        <f t="shared" si="5"/>
        <v>138</v>
      </c>
      <c r="L32" s="32">
        <v>26351</v>
      </c>
      <c r="M32" s="14">
        <f t="shared" si="6"/>
        <v>120</v>
      </c>
      <c r="N32" s="32">
        <v>226227</v>
      </c>
      <c r="O32" s="14">
        <f t="shared" si="7"/>
        <v>3</v>
      </c>
      <c r="P32" s="32">
        <v>162501</v>
      </c>
      <c r="Q32" s="14">
        <f t="shared" si="0"/>
        <v>125</v>
      </c>
      <c r="R32" s="1">
        <v>55047</v>
      </c>
      <c r="S32" s="14">
        <f t="shared" si="9"/>
        <v>0</v>
      </c>
      <c r="T32" s="32">
        <v>4029</v>
      </c>
      <c r="U32" s="14">
        <f t="shared" si="8"/>
        <v>160</v>
      </c>
    </row>
    <row r="33" spans="1:21" ht="13.8" thickBot="1" x14ac:dyDescent="0.3">
      <c r="A33" s="9">
        <v>44773</v>
      </c>
      <c r="B33" s="32">
        <v>47370</v>
      </c>
      <c r="C33" s="14">
        <f t="shared" si="1"/>
        <v>800</v>
      </c>
      <c r="D33" s="32">
        <v>40932</v>
      </c>
      <c r="E33" s="14">
        <f t="shared" si="2"/>
        <v>5280</v>
      </c>
      <c r="F33" s="32">
        <v>21902</v>
      </c>
      <c r="G33" s="14">
        <f t="shared" si="3"/>
        <v>80</v>
      </c>
      <c r="H33" s="32">
        <v>257036</v>
      </c>
      <c r="I33" s="14">
        <f t="shared" si="4"/>
        <v>32</v>
      </c>
      <c r="J33" s="32">
        <v>325715</v>
      </c>
      <c r="K33" s="14">
        <f t="shared" si="5"/>
        <v>171</v>
      </c>
      <c r="L33" s="32">
        <v>26354</v>
      </c>
      <c r="M33" s="14">
        <f t="shared" si="6"/>
        <v>180</v>
      </c>
      <c r="N33" s="32">
        <v>226230</v>
      </c>
      <c r="O33" s="14">
        <f t="shared" si="7"/>
        <v>3</v>
      </c>
      <c r="P33" s="32">
        <v>162611</v>
      </c>
      <c r="Q33" s="14">
        <f t="shared" si="0"/>
        <v>110</v>
      </c>
      <c r="R33" s="1">
        <v>55047</v>
      </c>
      <c r="S33" s="14">
        <f>SUM(S3:S32)</f>
        <v>0</v>
      </c>
      <c r="T33" s="32">
        <v>4029</v>
      </c>
      <c r="U33" s="14">
        <f t="shared" si="8"/>
        <v>0</v>
      </c>
    </row>
    <row r="34" spans="1:21" ht="13.8" thickBot="1" x14ac:dyDescent="0.3">
      <c r="A34" s="14" t="s">
        <v>23</v>
      </c>
      <c r="B34" s="14"/>
      <c r="C34" s="14">
        <f>SUM(C3:C33)</f>
        <v>22560</v>
      </c>
      <c r="D34" s="14"/>
      <c r="E34" s="14">
        <f>SUM(E3:E33)</f>
        <v>31520</v>
      </c>
      <c r="F34" s="14"/>
      <c r="G34" s="14">
        <f>SUM(G3:G33)</f>
        <v>2120</v>
      </c>
      <c r="H34" s="14"/>
      <c r="I34" s="14">
        <f>SUM(I3:I33)</f>
        <v>923</v>
      </c>
      <c r="J34" s="14"/>
      <c r="K34" s="14">
        <f>SUM(K3:K33)</f>
        <v>4685</v>
      </c>
      <c r="L34" s="14"/>
      <c r="M34" s="14">
        <f>SUM(M3:M33)</f>
        <v>5340</v>
      </c>
      <c r="N34" s="14"/>
      <c r="O34" s="14">
        <f>SUM(O3:O33)</f>
        <v>98</v>
      </c>
      <c r="P34" s="14"/>
      <c r="Q34" s="14">
        <f>SUM(Q3:Q33)</f>
        <v>4150</v>
      </c>
      <c r="R34" s="14"/>
      <c r="S34" s="14">
        <f>SUM(S3:S33)</f>
        <v>0</v>
      </c>
      <c r="T34" s="14"/>
      <c r="U34" s="14">
        <f>SUM(U3:U33)</f>
        <v>2240</v>
      </c>
    </row>
    <row r="35" spans="1:21" x14ac:dyDescent="0.25">
      <c r="N35" s="17"/>
    </row>
    <row r="36" spans="1:21" x14ac:dyDescent="0.25">
      <c r="N36" s="17"/>
    </row>
    <row r="37" spans="1:21" x14ac:dyDescent="0.25">
      <c r="I37" s="17"/>
      <c r="N37" s="17"/>
    </row>
    <row r="38" spans="1:21" x14ac:dyDescent="0.25">
      <c r="N38" s="17"/>
    </row>
    <row r="39" spans="1:21" x14ac:dyDescent="0.25">
      <c r="N39" s="17"/>
    </row>
    <row r="40" spans="1:21" x14ac:dyDescent="0.25">
      <c r="N40" s="17"/>
    </row>
    <row r="41" spans="1:21" x14ac:dyDescent="0.25">
      <c r="N41" s="17"/>
    </row>
    <row r="42" spans="1:21" x14ac:dyDescent="0.25">
      <c r="N42" s="17"/>
    </row>
    <row r="43" spans="1:21" x14ac:dyDescent="0.25">
      <c r="N43" s="17"/>
    </row>
    <row r="44" spans="1:21" x14ac:dyDescent="0.25">
      <c r="N44" s="17"/>
    </row>
    <row r="45" spans="1:21" x14ac:dyDescent="0.25">
      <c r="N45" s="17"/>
    </row>
    <row r="46" spans="1:21" x14ac:dyDescent="0.25">
      <c r="N46" s="17"/>
    </row>
    <row r="47" spans="1:21" x14ac:dyDescent="0.25">
      <c r="N47" s="17"/>
    </row>
    <row r="48" spans="1:21" x14ac:dyDescent="0.25">
      <c r="N48" s="17"/>
    </row>
    <row r="49" spans="12:15" x14ac:dyDescent="0.25">
      <c r="N49" s="17"/>
    </row>
    <row r="50" spans="12:15" x14ac:dyDescent="0.25">
      <c r="N50" s="17"/>
    </row>
    <row r="51" spans="12:15" x14ac:dyDescent="0.25">
      <c r="N51" s="17"/>
    </row>
    <row r="52" spans="12:15" x14ac:dyDescent="0.25">
      <c r="N52" s="17"/>
    </row>
    <row r="53" spans="12:15" x14ac:dyDescent="0.25">
      <c r="N53" s="17"/>
    </row>
    <row r="54" spans="12:15" x14ac:dyDescent="0.25">
      <c r="N54" s="17"/>
    </row>
    <row r="55" spans="12:15" x14ac:dyDescent="0.25">
      <c r="N55" s="17"/>
    </row>
    <row r="56" spans="12:15" x14ac:dyDescent="0.25">
      <c r="N56" s="17"/>
    </row>
    <row r="57" spans="12:15" x14ac:dyDescent="0.25">
      <c r="N57" s="17"/>
    </row>
    <row r="58" spans="12:15" x14ac:dyDescent="0.25">
      <c r="L58" s="18"/>
      <c r="M58" s="17"/>
      <c r="N58" s="18"/>
      <c r="O58" s="17"/>
    </row>
    <row r="59" spans="12:15" x14ac:dyDescent="0.25">
      <c r="L59" s="18"/>
      <c r="M59" s="17"/>
      <c r="N59" s="18"/>
      <c r="O59" s="17"/>
    </row>
    <row r="60" spans="12:15" x14ac:dyDescent="0.25">
      <c r="L60" s="18"/>
      <c r="M60" s="17"/>
      <c r="N60" s="18"/>
      <c r="O60" s="17"/>
    </row>
    <row r="61" spans="12:15" x14ac:dyDescent="0.25">
      <c r="L61" s="18"/>
      <c r="M61" s="17"/>
      <c r="N61" s="18"/>
      <c r="O61" s="17"/>
    </row>
    <row r="62" spans="12:15" x14ac:dyDescent="0.25">
      <c r="L62" s="18"/>
      <c r="M62" s="17"/>
      <c r="N62" s="18"/>
      <c r="O62" s="17"/>
    </row>
    <row r="63" spans="12:15" x14ac:dyDescent="0.25">
      <c r="L63" s="18"/>
      <c r="M63" s="17"/>
      <c r="N63" s="18"/>
      <c r="O63" s="17"/>
    </row>
    <row r="64" spans="12:15" x14ac:dyDescent="0.25">
      <c r="L64" s="18"/>
      <c r="M64" s="17"/>
      <c r="N64" s="18"/>
      <c r="O64" s="17"/>
    </row>
    <row r="65" spans="12:15" x14ac:dyDescent="0.25">
      <c r="L65" s="18"/>
      <c r="M65" s="17"/>
      <c r="N65" s="18"/>
      <c r="O65" s="17"/>
    </row>
    <row r="66" spans="12:15" x14ac:dyDescent="0.25">
      <c r="L66" s="18"/>
      <c r="M66" s="17"/>
      <c r="N66" s="18"/>
      <c r="O66" s="17"/>
    </row>
    <row r="67" spans="12:15" x14ac:dyDescent="0.25">
      <c r="L67" s="18"/>
      <c r="M67" s="17"/>
      <c r="N67" s="18"/>
      <c r="O67" s="17"/>
    </row>
    <row r="68" spans="12:15" x14ac:dyDescent="0.25">
      <c r="L68" s="18"/>
      <c r="M68" s="17"/>
      <c r="N68" s="18"/>
      <c r="O68" s="17"/>
    </row>
    <row r="69" spans="12:15" x14ac:dyDescent="0.25">
      <c r="L69" s="18"/>
      <c r="M69" s="17"/>
      <c r="N69" s="18"/>
      <c r="O69" s="17"/>
    </row>
    <row r="70" spans="12:15" x14ac:dyDescent="0.25">
      <c r="L70" s="18"/>
      <c r="N70" s="17"/>
    </row>
    <row r="71" spans="12:15" x14ac:dyDescent="0.25">
      <c r="N71" s="17"/>
    </row>
    <row r="72" spans="12:15" x14ac:dyDescent="0.25">
      <c r="N72" s="17"/>
    </row>
    <row r="73" spans="12:15" x14ac:dyDescent="0.25">
      <c r="N73" s="17"/>
    </row>
    <row r="74" spans="12:15" x14ac:dyDescent="0.25">
      <c r="N74" s="17"/>
    </row>
    <row r="75" spans="12:15" x14ac:dyDescent="0.25">
      <c r="N75" s="17"/>
    </row>
    <row r="76" spans="12:15" x14ac:dyDescent="0.25">
      <c r="N76" s="17"/>
    </row>
    <row r="77" spans="12:15" x14ac:dyDescent="0.25">
      <c r="N77" s="17"/>
    </row>
    <row r="78" spans="12:15" x14ac:dyDescent="0.25">
      <c r="N78" s="17"/>
    </row>
    <row r="79" spans="12:15" x14ac:dyDescent="0.25">
      <c r="N79" s="17"/>
    </row>
    <row r="80" spans="12:15" x14ac:dyDescent="0.25">
      <c r="N80" s="17"/>
    </row>
    <row r="81" spans="14:14" x14ac:dyDescent="0.25">
      <c r="N81" s="17"/>
    </row>
    <row r="82" spans="14:14" x14ac:dyDescent="0.25">
      <c r="N82" s="17"/>
    </row>
    <row r="83" spans="14:14" x14ac:dyDescent="0.25">
      <c r="N83" s="17"/>
    </row>
    <row r="84" spans="14:14" x14ac:dyDescent="0.25">
      <c r="N84" s="17"/>
    </row>
    <row r="85" spans="14:14" x14ac:dyDescent="0.25">
      <c r="N85" s="17"/>
    </row>
    <row r="86" spans="14:14" x14ac:dyDescent="0.25">
      <c r="N86" s="17"/>
    </row>
    <row r="87" spans="14:14" x14ac:dyDescent="0.25">
      <c r="N87" s="17"/>
    </row>
    <row r="88" spans="14:14" x14ac:dyDescent="0.25">
      <c r="N88" s="17"/>
    </row>
    <row r="89" spans="14:14" x14ac:dyDescent="0.25">
      <c r="N89" s="17"/>
    </row>
    <row r="90" spans="14:14" x14ac:dyDescent="0.25">
      <c r="N90" s="17"/>
    </row>
    <row r="91" spans="14:14" x14ac:dyDescent="0.25">
      <c r="N91" s="17"/>
    </row>
    <row r="92" spans="14:14" x14ac:dyDescent="0.25">
      <c r="N92" s="17"/>
    </row>
    <row r="93" spans="14:14" x14ac:dyDescent="0.25">
      <c r="N93" s="17"/>
    </row>
    <row r="94" spans="14:14" x14ac:dyDescent="0.25">
      <c r="N94" s="17"/>
    </row>
    <row r="95" spans="14:14" x14ac:dyDescent="0.25">
      <c r="N95" s="17"/>
    </row>
    <row r="96" spans="14:14" x14ac:dyDescent="0.25">
      <c r="N96" s="17"/>
    </row>
    <row r="97" spans="14:14" x14ac:dyDescent="0.25">
      <c r="N97" s="17"/>
    </row>
    <row r="98" spans="14:14" x14ac:dyDescent="0.25">
      <c r="N98" s="17"/>
    </row>
    <row r="99" spans="14:14" x14ac:dyDescent="0.25">
      <c r="N99" s="17"/>
    </row>
    <row r="100" spans="14:14" x14ac:dyDescent="0.25">
      <c r="N100" s="17"/>
    </row>
    <row r="101" spans="14:14" x14ac:dyDescent="0.25">
      <c r="N101" s="17"/>
    </row>
    <row r="102" spans="14:14" x14ac:dyDescent="0.25">
      <c r="N102" s="17"/>
    </row>
    <row r="103" spans="14:14" x14ac:dyDescent="0.25">
      <c r="N103" s="17"/>
    </row>
    <row r="104" spans="14:14" x14ac:dyDescent="0.25">
      <c r="N104" s="17"/>
    </row>
    <row r="105" spans="14:14" x14ac:dyDescent="0.25">
      <c r="N105" s="17"/>
    </row>
    <row r="106" spans="14:14" x14ac:dyDescent="0.25">
      <c r="N106" s="17"/>
    </row>
    <row r="107" spans="14:14" x14ac:dyDescent="0.25">
      <c r="N107" s="17"/>
    </row>
    <row r="108" spans="14:14" x14ac:dyDescent="0.25">
      <c r="N108" s="17"/>
    </row>
    <row r="109" spans="14:14" x14ac:dyDescent="0.25">
      <c r="N109" s="17"/>
    </row>
    <row r="110" spans="14:14" x14ac:dyDescent="0.25">
      <c r="N110" s="17"/>
    </row>
    <row r="111" spans="14:14" x14ac:dyDescent="0.25">
      <c r="N111" s="17"/>
    </row>
    <row r="112" spans="14:14" x14ac:dyDescent="0.25">
      <c r="N112" s="17"/>
    </row>
    <row r="113" spans="14:14" x14ac:dyDescent="0.25">
      <c r="N113" s="17"/>
    </row>
    <row r="114" spans="14:14" x14ac:dyDescent="0.25">
      <c r="N114" s="17"/>
    </row>
    <row r="115" spans="14:14" x14ac:dyDescent="0.25">
      <c r="N115" s="17"/>
    </row>
    <row r="116" spans="14:14" x14ac:dyDescent="0.25">
      <c r="N116" s="17"/>
    </row>
    <row r="117" spans="14:14" x14ac:dyDescent="0.25">
      <c r="N117" s="17"/>
    </row>
    <row r="118" spans="14:14" x14ac:dyDescent="0.25">
      <c r="N118" s="17"/>
    </row>
    <row r="119" spans="14:14" x14ac:dyDescent="0.25">
      <c r="N119" s="17"/>
    </row>
    <row r="120" spans="14:14" x14ac:dyDescent="0.25">
      <c r="N120" s="17"/>
    </row>
    <row r="121" spans="14:14" x14ac:dyDescent="0.25">
      <c r="N121" s="17"/>
    </row>
    <row r="122" spans="14:14" x14ac:dyDescent="0.25">
      <c r="N122" s="17"/>
    </row>
    <row r="123" spans="14:14" x14ac:dyDescent="0.25">
      <c r="N123" s="17"/>
    </row>
    <row r="124" spans="14:14" x14ac:dyDescent="0.25">
      <c r="N124" s="17"/>
    </row>
    <row r="125" spans="14:14" x14ac:dyDescent="0.25">
      <c r="N125" s="17"/>
    </row>
    <row r="126" spans="14:14" x14ac:dyDescent="0.25">
      <c r="N126" s="17"/>
    </row>
    <row r="127" spans="14:14" x14ac:dyDescent="0.25">
      <c r="N127" s="17"/>
    </row>
    <row r="128" spans="14:14" x14ac:dyDescent="0.25">
      <c r="N128" s="17"/>
    </row>
    <row r="129" spans="14:14" x14ac:dyDescent="0.25">
      <c r="N129" s="17"/>
    </row>
    <row r="130" spans="14:14" x14ac:dyDescent="0.25">
      <c r="N130" s="17"/>
    </row>
    <row r="131" spans="14:14" x14ac:dyDescent="0.25">
      <c r="N131" s="17"/>
    </row>
    <row r="132" spans="14:14" x14ac:dyDescent="0.25">
      <c r="N132" s="17"/>
    </row>
    <row r="133" spans="14:14" x14ac:dyDescent="0.25">
      <c r="N133" s="17"/>
    </row>
    <row r="134" spans="14:14" x14ac:dyDescent="0.25">
      <c r="N134" s="17"/>
    </row>
    <row r="135" spans="14:14" x14ac:dyDescent="0.25">
      <c r="N135" s="17"/>
    </row>
    <row r="136" spans="14:14" x14ac:dyDescent="0.25">
      <c r="N136" s="17"/>
    </row>
    <row r="137" spans="14:14" x14ac:dyDescent="0.25">
      <c r="N137" s="17"/>
    </row>
    <row r="138" spans="14:14" x14ac:dyDescent="0.25">
      <c r="N138" s="17"/>
    </row>
    <row r="139" spans="14:14" x14ac:dyDescent="0.25">
      <c r="N139" s="17"/>
    </row>
    <row r="140" spans="14:14" x14ac:dyDescent="0.25">
      <c r="N140" s="17"/>
    </row>
    <row r="141" spans="14:14" x14ac:dyDescent="0.25">
      <c r="N141" s="17"/>
    </row>
    <row r="142" spans="14:14" x14ac:dyDescent="0.25">
      <c r="N142" s="17"/>
    </row>
    <row r="143" spans="14:14" x14ac:dyDescent="0.25">
      <c r="N143" s="17"/>
    </row>
    <row r="144" spans="14:14" x14ac:dyDescent="0.25">
      <c r="N144" s="17"/>
    </row>
    <row r="145" spans="14:14" x14ac:dyDescent="0.25">
      <c r="N145" s="17"/>
    </row>
    <row r="146" spans="14:14" x14ac:dyDescent="0.25">
      <c r="N146" s="17"/>
    </row>
    <row r="147" spans="14:14" x14ac:dyDescent="0.25">
      <c r="N147" s="17"/>
    </row>
    <row r="148" spans="14:14" x14ac:dyDescent="0.25">
      <c r="N148" s="17"/>
    </row>
    <row r="149" spans="14:14" x14ac:dyDescent="0.25">
      <c r="N149" s="17"/>
    </row>
    <row r="150" spans="14:14" x14ac:dyDescent="0.25">
      <c r="N150" s="17"/>
    </row>
    <row r="151" spans="14:14" x14ac:dyDescent="0.25">
      <c r="N151" s="17"/>
    </row>
    <row r="152" spans="14:14" x14ac:dyDescent="0.25">
      <c r="N152" s="17"/>
    </row>
    <row r="153" spans="14:14" x14ac:dyDescent="0.25">
      <c r="N153" s="17"/>
    </row>
    <row r="154" spans="14:14" x14ac:dyDescent="0.25">
      <c r="N154" s="17"/>
    </row>
    <row r="155" spans="14:14" x14ac:dyDescent="0.25">
      <c r="N155" s="17"/>
    </row>
    <row r="156" spans="14:14" x14ac:dyDescent="0.25">
      <c r="N156" s="17"/>
    </row>
    <row r="157" spans="14:14" x14ac:dyDescent="0.25">
      <c r="N157" s="17"/>
    </row>
    <row r="158" spans="14:14" x14ac:dyDescent="0.25">
      <c r="N158" s="17"/>
    </row>
    <row r="159" spans="14:14" x14ac:dyDescent="0.25">
      <c r="N159" s="17"/>
    </row>
    <row r="160" spans="14:14" x14ac:dyDescent="0.25">
      <c r="N160" s="17"/>
    </row>
    <row r="161" spans="14:14" x14ac:dyDescent="0.25">
      <c r="N161" s="17"/>
    </row>
    <row r="162" spans="14:14" x14ac:dyDescent="0.25">
      <c r="N162" s="17"/>
    </row>
    <row r="163" spans="14:14" x14ac:dyDescent="0.25">
      <c r="N163" s="17"/>
    </row>
    <row r="164" spans="14:14" x14ac:dyDescent="0.25">
      <c r="N164" s="17"/>
    </row>
    <row r="165" spans="14:14" x14ac:dyDescent="0.25">
      <c r="N165" s="17"/>
    </row>
    <row r="166" spans="14:14" x14ac:dyDescent="0.25">
      <c r="N166" s="17"/>
    </row>
    <row r="167" spans="14:14" x14ac:dyDescent="0.25">
      <c r="N167" s="17"/>
    </row>
    <row r="168" spans="14:14" x14ac:dyDescent="0.25">
      <c r="N168" s="17"/>
    </row>
    <row r="169" spans="14:14" x14ac:dyDescent="0.25">
      <c r="N169" s="17"/>
    </row>
    <row r="170" spans="14:14" x14ac:dyDescent="0.25">
      <c r="N170" s="17"/>
    </row>
    <row r="171" spans="14:14" x14ac:dyDescent="0.25">
      <c r="N171" s="17"/>
    </row>
    <row r="172" spans="14:14" x14ac:dyDescent="0.25">
      <c r="N172" s="17"/>
    </row>
    <row r="173" spans="14:14" x14ac:dyDescent="0.25">
      <c r="N173" s="17"/>
    </row>
    <row r="174" spans="14:14" x14ac:dyDescent="0.25">
      <c r="N174" s="17"/>
    </row>
    <row r="175" spans="14:14" x14ac:dyDescent="0.25">
      <c r="N175" s="17"/>
    </row>
    <row r="176" spans="14:14" x14ac:dyDescent="0.25">
      <c r="N176" s="17"/>
    </row>
    <row r="177" spans="14:14" x14ac:dyDescent="0.25">
      <c r="N177" s="17"/>
    </row>
    <row r="178" spans="14:14" x14ac:dyDescent="0.25">
      <c r="N178" s="17"/>
    </row>
    <row r="179" spans="14:14" x14ac:dyDescent="0.25">
      <c r="N179" s="17"/>
    </row>
    <row r="180" spans="14:14" x14ac:dyDescent="0.25">
      <c r="N180" s="17"/>
    </row>
    <row r="181" spans="14:14" x14ac:dyDescent="0.25">
      <c r="N181" s="17"/>
    </row>
    <row r="182" spans="14:14" x14ac:dyDescent="0.25">
      <c r="N182" s="17"/>
    </row>
    <row r="183" spans="14:14" x14ac:dyDescent="0.25">
      <c r="N183" s="17"/>
    </row>
    <row r="184" spans="14:14" x14ac:dyDescent="0.25">
      <c r="N184" s="17"/>
    </row>
    <row r="185" spans="14:14" x14ac:dyDescent="0.25">
      <c r="N185" s="17"/>
    </row>
    <row r="186" spans="14:14" x14ac:dyDescent="0.25">
      <c r="N186" s="17"/>
    </row>
    <row r="187" spans="14:14" x14ac:dyDescent="0.25">
      <c r="N187" s="17"/>
    </row>
    <row r="188" spans="14:14" x14ac:dyDescent="0.25">
      <c r="N188" s="17"/>
    </row>
    <row r="189" spans="14:14" x14ac:dyDescent="0.25">
      <c r="N189" s="17"/>
    </row>
    <row r="190" spans="14:14" x14ac:dyDescent="0.25">
      <c r="N190" s="17"/>
    </row>
    <row r="191" spans="14:14" x14ac:dyDescent="0.25">
      <c r="N191" s="17"/>
    </row>
    <row r="192" spans="14:14" x14ac:dyDescent="0.25">
      <c r="N192" s="17"/>
    </row>
    <row r="193" spans="14:14" x14ac:dyDescent="0.25">
      <c r="N193" s="17"/>
    </row>
    <row r="194" spans="14:14" x14ac:dyDescent="0.25">
      <c r="N194" s="17"/>
    </row>
    <row r="195" spans="14:14" x14ac:dyDescent="0.25">
      <c r="N195" s="17"/>
    </row>
    <row r="196" spans="14:14" x14ac:dyDescent="0.25">
      <c r="N196" s="17"/>
    </row>
    <row r="197" spans="14:14" x14ac:dyDescent="0.25">
      <c r="N197" s="17"/>
    </row>
    <row r="198" spans="14:14" x14ac:dyDescent="0.25">
      <c r="N198" s="17"/>
    </row>
    <row r="199" spans="14:14" x14ac:dyDescent="0.25">
      <c r="N199" s="17"/>
    </row>
    <row r="200" spans="14:14" x14ac:dyDescent="0.25">
      <c r="N200" s="17"/>
    </row>
    <row r="201" spans="14:14" x14ac:dyDescent="0.25">
      <c r="N201" s="17"/>
    </row>
    <row r="202" spans="14:14" x14ac:dyDescent="0.25">
      <c r="N202" s="17"/>
    </row>
    <row r="203" spans="14:14" x14ac:dyDescent="0.25">
      <c r="N203" s="17"/>
    </row>
    <row r="204" spans="14:14" x14ac:dyDescent="0.25">
      <c r="N204" s="17"/>
    </row>
    <row r="205" spans="14:14" x14ac:dyDescent="0.25">
      <c r="N205" s="17"/>
    </row>
    <row r="206" spans="14:14" x14ac:dyDescent="0.25">
      <c r="N206" s="17"/>
    </row>
    <row r="207" spans="14:14" x14ac:dyDescent="0.25">
      <c r="N207" s="17"/>
    </row>
    <row r="208" spans="14:14" x14ac:dyDescent="0.25">
      <c r="N208" s="17"/>
    </row>
    <row r="209" spans="14:14" x14ac:dyDescent="0.25">
      <c r="N209" s="17"/>
    </row>
    <row r="210" spans="14:14" x14ac:dyDescent="0.25">
      <c r="N210" s="17"/>
    </row>
    <row r="211" spans="14:14" x14ac:dyDescent="0.25">
      <c r="N211" s="17"/>
    </row>
    <row r="212" spans="14:14" x14ac:dyDescent="0.25">
      <c r="N212" s="17"/>
    </row>
    <row r="213" spans="14:14" x14ac:dyDescent="0.25">
      <c r="N213" s="17"/>
    </row>
    <row r="214" spans="14:14" x14ac:dyDescent="0.25">
      <c r="N214" s="17"/>
    </row>
    <row r="215" spans="14:14" x14ac:dyDescent="0.25">
      <c r="N215" s="17"/>
    </row>
    <row r="216" spans="14:14" x14ac:dyDescent="0.25">
      <c r="N216" s="17"/>
    </row>
    <row r="217" spans="14:14" x14ac:dyDescent="0.25">
      <c r="N217" s="17"/>
    </row>
    <row r="218" spans="14:14" x14ac:dyDescent="0.25">
      <c r="N218" s="17"/>
    </row>
    <row r="219" spans="14:14" x14ac:dyDescent="0.25">
      <c r="N219" s="17"/>
    </row>
    <row r="220" spans="14:14" x14ac:dyDescent="0.25">
      <c r="N220" s="17"/>
    </row>
    <row r="221" spans="14:14" x14ac:dyDescent="0.25">
      <c r="N221" s="17"/>
    </row>
    <row r="222" spans="14:14" x14ac:dyDescent="0.25">
      <c r="N222" s="17"/>
    </row>
    <row r="223" spans="14:14" x14ac:dyDescent="0.25">
      <c r="N223" s="17"/>
    </row>
    <row r="224" spans="14:14" x14ac:dyDescent="0.25">
      <c r="N224" s="17"/>
    </row>
    <row r="225" spans="14:14" x14ac:dyDescent="0.25">
      <c r="N225" s="17"/>
    </row>
    <row r="226" spans="14:14" x14ac:dyDescent="0.25">
      <c r="N226" s="17"/>
    </row>
    <row r="227" spans="14:14" x14ac:dyDescent="0.25">
      <c r="N227" s="17"/>
    </row>
    <row r="228" spans="14:14" x14ac:dyDescent="0.25">
      <c r="N228" s="17"/>
    </row>
    <row r="229" spans="14:14" x14ac:dyDescent="0.25">
      <c r="N229" s="17"/>
    </row>
    <row r="230" spans="14:14" x14ac:dyDescent="0.25">
      <c r="N230" s="17"/>
    </row>
    <row r="231" spans="14:14" x14ac:dyDescent="0.25">
      <c r="N231" s="17"/>
    </row>
    <row r="232" spans="14:14" x14ac:dyDescent="0.25">
      <c r="N232" s="17"/>
    </row>
    <row r="233" spans="14:14" x14ac:dyDescent="0.25">
      <c r="N233" s="17"/>
    </row>
    <row r="234" spans="14:14" x14ac:dyDescent="0.25">
      <c r="N234" s="17"/>
    </row>
    <row r="235" spans="14:14" x14ac:dyDescent="0.25">
      <c r="N235" s="17"/>
    </row>
    <row r="236" spans="14:14" x14ac:dyDescent="0.25">
      <c r="N236" s="17"/>
    </row>
    <row r="237" spans="14:14" x14ac:dyDescent="0.25">
      <c r="N237" s="17"/>
    </row>
    <row r="238" spans="14:14" x14ac:dyDescent="0.25">
      <c r="N238" s="17"/>
    </row>
    <row r="239" spans="14:14" x14ac:dyDescent="0.25">
      <c r="N239" s="17"/>
    </row>
    <row r="240" spans="14:14" x14ac:dyDescent="0.25">
      <c r="N240" s="17"/>
    </row>
    <row r="241" spans="14:14" x14ac:dyDescent="0.25">
      <c r="N241" s="17"/>
    </row>
    <row r="242" spans="14:14" x14ac:dyDescent="0.25">
      <c r="N242" s="17"/>
    </row>
    <row r="243" spans="14:14" x14ac:dyDescent="0.25">
      <c r="N243" s="17"/>
    </row>
    <row r="244" spans="14:14" x14ac:dyDescent="0.25">
      <c r="N244" s="17"/>
    </row>
    <row r="245" spans="14:14" x14ac:dyDescent="0.25">
      <c r="N245" s="17"/>
    </row>
    <row r="246" spans="14:14" x14ac:dyDescent="0.25">
      <c r="N246" s="17"/>
    </row>
    <row r="247" spans="14:14" x14ac:dyDescent="0.25">
      <c r="N247" s="17"/>
    </row>
    <row r="248" spans="14:14" x14ac:dyDescent="0.25">
      <c r="N248" s="17"/>
    </row>
    <row r="249" spans="14:14" x14ac:dyDescent="0.25">
      <c r="N249" s="17"/>
    </row>
    <row r="250" spans="14:14" x14ac:dyDescent="0.25">
      <c r="N250" s="17"/>
    </row>
    <row r="251" spans="14:14" x14ac:dyDescent="0.25">
      <c r="N251" s="17"/>
    </row>
    <row r="252" spans="14:14" x14ac:dyDescent="0.25">
      <c r="N252" s="17"/>
    </row>
    <row r="253" spans="14:14" x14ac:dyDescent="0.25">
      <c r="N253" s="17"/>
    </row>
    <row r="254" spans="14:14" x14ac:dyDescent="0.25">
      <c r="N254" s="17"/>
    </row>
    <row r="255" spans="14:14" x14ac:dyDescent="0.25">
      <c r="N255" s="17"/>
    </row>
    <row r="256" spans="14:14" x14ac:dyDescent="0.25">
      <c r="N256" s="17"/>
    </row>
    <row r="257" spans="14:14" x14ac:dyDescent="0.25">
      <c r="N257" s="17"/>
    </row>
    <row r="258" spans="14:14" x14ac:dyDescent="0.25">
      <c r="N258" s="17"/>
    </row>
    <row r="259" spans="14:14" x14ac:dyDescent="0.25">
      <c r="N259" s="17"/>
    </row>
    <row r="260" spans="14:14" x14ac:dyDescent="0.25">
      <c r="N260" s="17"/>
    </row>
    <row r="261" spans="14:14" x14ac:dyDescent="0.25">
      <c r="N261" s="17"/>
    </row>
    <row r="262" spans="14:14" x14ac:dyDescent="0.25">
      <c r="N262" s="17"/>
    </row>
    <row r="263" spans="14:14" x14ac:dyDescent="0.25">
      <c r="N263" s="17"/>
    </row>
    <row r="264" spans="14:14" x14ac:dyDescent="0.25">
      <c r="N264" s="17"/>
    </row>
    <row r="265" spans="14:14" x14ac:dyDescent="0.25">
      <c r="N265" s="17"/>
    </row>
    <row r="266" spans="14:14" x14ac:dyDescent="0.25">
      <c r="N266" s="17"/>
    </row>
    <row r="267" spans="14:14" x14ac:dyDescent="0.25">
      <c r="N267" s="17"/>
    </row>
    <row r="268" spans="14:14" x14ac:dyDescent="0.25">
      <c r="N268" s="17"/>
    </row>
    <row r="269" spans="14:14" x14ac:dyDescent="0.25">
      <c r="N269" s="17"/>
    </row>
    <row r="270" spans="14:14" x14ac:dyDescent="0.25">
      <c r="N270" s="17"/>
    </row>
    <row r="271" spans="14:14" x14ac:dyDescent="0.25">
      <c r="N271" s="17"/>
    </row>
    <row r="272" spans="14:14" x14ac:dyDescent="0.25">
      <c r="N272" s="17"/>
    </row>
    <row r="273" spans="14:14" x14ac:dyDescent="0.25">
      <c r="N273" s="17"/>
    </row>
    <row r="274" spans="14:14" x14ac:dyDescent="0.25">
      <c r="N274" s="17"/>
    </row>
    <row r="275" spans="14:14" x14ac:dyDescent="0.25">
      <c r="N275" s="17"/>
    </row>
    <row r="276" spans="14:14" x14ac:dyDescent="0.25">
      <c r="N276" s="17"/>
    </row>
    <row r="277" spans="14:14" x14ac:dyDescent="0.25">
      <c r="N277" s="17"/>
    </row>
    <row r="278" spans="14:14" x14ac:dyDescent="0.25">
      <c r="N278" s="17"/>
    </row>
    <row r="279" spans="14:14" x14ac:dyDescent="0.25">
      <c r="N279" s="17"/>
    </row>
    <row r="280" spans="14:14" x14ac:dyDescent="0.25">
      <c r="N280" s="17"/>
    </row>
    <row r="281" spans="14:14" x14ac:dyDescent="0.25">
      <c r="N281" s="17"/>
    </row>
    <row r="282" spans="14:14" x14ac:dyDescent="0.25">
      <c r="N282" s="17"/>
    </row>
    <row r="283" spans="14:14" x14ac:dyDescent="0.25">
      <c r="N283" s="17"/>
    </row>
    <row r="284" spans="14:14" x14ac:dyDescent="0.25">
      <c r="N284" s="17"/>
    </row>
    <row r="285" spans="14:14" x14ac:dyDescent="0.25">
      <c r="N285" s="17"/>
    </row>
    <row r="286" spans="14:14" x14ac:dyDescent="0.25">
      <c r="N286" s="17"/>
    </row>
    <row r="287" spans="14:14" x14ac:dyDescent="0.25">
      <c r="N287" s="17"/>
    </row>
    <row r="288" spans="14:14" x14ac:dyDescent="0.25">
      <c r="N288" s="17"/>
    </row>
    <row r="289" spans="14:14" x14ac:dyDescent="0.25">
      <c r="N289" s="17"/>
    </row>
    <row r="290" spans="14:14" x14ac:dyDescent="0.25">
      <c r="N290" s="17"/>
    </row>
    <row r="291" spans="14:14" x14ac:dyDescent="0.25">
      <c r="N291" s="17"/>
    </row>
    <row r="292" spans="14:14" x14ac:dyDescent="0.25">
      <c r="N292" s="17"/>
    </row>
    <row r="293" spans="14:14" x14ac:dyDescent="0.25">
      <c r="N293" s="17"/>
    </row>
    <row r="294" spans="14:14" x14ac:dyDescent="0.25">
      <c r="N294" s="17"/>
    </row>
    <row r="295" spans="14:14" x14ac:dyDescent="0.25">
      <c r="N295" s="17"/>
    </row>
    <row r="296" spans="14:14" x14ac:dyDescent="0.25">
      <c r="N296" s="17"/>
    </row>
    <row r="297" spans="14:14" x14ac:dyDescent="0.25">
      <c r="N297" s="17"/>
    </row>
    <row r="298" spans="14:14" x14ac:dyDescent="0.25">
      <c r="N298" s="17"/>
    </row>
    <row r="299" spans="14:14" x14ac:dyDescent="0.25">
      <c r="N299" s="17"/>
    </row>
    <row r="300" spans="14:14" x14ac:dyDescent="0.25">
      <c r="N300" s="17"/>
    </row>
    <row r="301" spans="14:14" x14ac:dyDescent="0.25">
      <c r="N301" s="17"/>
    </row>
    <row r="302" spans="14:14" x14ac:dyDescent="0.25">
      <c r="N302" s="17"/>
    </row>
    <row r="303" spans="14:14" x14ac:dyDescent="0.25">
      <c r="N303" s="17"/>
    </row>
    <row r="304" spans="14:14" x14ac:dyDescent="0.25">
      <c r="N304" s="17"/>
    </row>
    <row r="305" spans="14:14" x14ac:dyDescent="0.25">
      <c r="N305" s="17"/>
    </row>
    <row r="306" spans="14:14" x14ac:dyDescent="0.25">
      <c r="N306" s="17"/>
    </row>
    <row r="307" spans="14:14" x14ac:dyDescent="0.25">
      <c r="N307" s="17"/>
    </row>
    <row r="308" spans="14:14" x14ac:dyDescent="0.25">
      <c r="N308" s="17"/>
    </row>
    <row r="309" spans="14:14" x14ac:dyDescent="0.25">
      <c r="N309" s="17"/>
    </row>
    <row r="310" spans="14:14" x14ac:dyDescent="0.25">
      <c r="N310" s="17"/>
    </row>
    <row r="311" spans="14:14" x14ac:dyDescent="0.25">
      <c r="N311" s="17"/>
    </row>
    <row r="312" spans="14:14" x14ac:dyDescent="0.25">
      <c r="N312" s="17"/>
    </row>
    <row r="313" spans="14:14" x14ac:dyDescent="0.25">
      <c r="N313" s="17"/>
    </row>
    <row r="314" spans="14:14" x14ac:dyDescent="0.25">
      <c r="N314" s="17"/>
    </row>
    <row r="315" spans="14:14" x14ac:dyDescent="0.25">
      <c r="N315" s="17"/>
    </row>
    <row r="316" spans="14:14" x14ac:dyDescent="0.25">
      <c r="N316" s="17"/>
    </row>
    <row r="317" spans="14:14" x14ac:dyDescent="0.25">
      <c r="N317" s="17"/>
    </row>
    <row r="318" spans="14:14" x14ac:dyDescent="0.25">
      <c r="N318" s="17"/>
    </row>
    <row r="319" spans="14:14" x14ac:dyDescent="0.25">
      <c r="N319" s="17"/>
    </row>
    <row r="320" spans="14:14" x14ac:dyDescent="0.25">
      <c r="N320" s="17"/>
    </row>
    <row r="321" spans="14:14" x14ac:dyDescent="0.25">
      <c r="N321" s="17"/>
    </row>
    <row r="322" spans="14:14" x14ac:dyDescent="0.25">
      <c r="N322" s="17"/>
    </row>
    <row r="323" spans="14:14" x14ac:dyDescent="0.25">
      <c r="N323" s="17"/>
    </row>
    <row r="324" spans="14:14" x14ac:dyDescent="0.25">
      <c r="N324" s="17"/>
    </row>
    <row r="325" spans="14:14" x14ac:dyDescent="0.25">
      <c r="N325" s="17"/>
    </row>
    <row r="326" spans="14:14" x14ac:dyDescent="0.25">
      <c r="N326" s="17"/>
    </row>
    <row r="327" spans="14:14" x14ac:dyDescent="0.25">
      <c r="N327" s="17"/>
    </row>
    <row r="328" spans="14:14" x14ac:dyDescent="0.25">
      <c r="N328" s="17"/>
    </row>
    <row r="329" spans="14:14" x14ac:dyDescent="0.25">
      <c r="N329" s="17"/>
    </row>
    <row r="330" spans="14:14" x14ac:dyDescent="0.25">
      <c r="N330" s="17"/>
    </row>
    <row r="331" spans="14:14" x14ac:dyDescent="0.25">
      <c r="N331" s="17"/>
    </row>
    <row r="332" spans="14:14" x14ac:dyDescent="0.25">
      <c r="N332" s="17"/>
    </row>
    <row r="333" spans="14:14" x14ac:dyDescent="0.25">
      <c r="N333" s="17"/>
    </row>
    <row r="334" spans="14:14" x14ac:dyDescent="0.25">
      <c r="N334" s="17"/>
    </row>
    <row r="335" spans="14:14" x14ac:dyDescent="0.25">
      <c r="N335" s="17"/>
    </row>
    <row r="336" spans="14:14" x14ac:dyDescent="0.25">
      <c r="N336" s="17"/>
    </row>
    <row r="337" spans="14:14" x14ac:dyDescent="0.25">
      <c r="N337" s="17"/>
    </row>
    <row r="338" spans="14:14" x14ac:dyDescent="0.25">
      <c r="N338" s="17"/>
    </row>
    <row r="339" spans="14:14" x14ac:dyDescent="0.25">
      <c r="N339" s="17"/>
    </row>
    <row r="340" spans="14:14" x14ac:dyDescent="0.25">
      <c r="N340" s="17"/>
    </row>
    <row r="341" spans="14:14" x14ac:dyDescent="0.25">
      <c r="N341" s="17"/>
    </row>
    <row r="342" spans="14:14" x14ac:dyDescent="0.25">
      <c r="N342" s="17"/>
    </row>
    <row r="343" spans="14:14" x14ac:dyDescent="0.25">
      <c r="N343" s="17"/>
    </row>
    <row r="344" spans="14:14" x14ac:dyDescent="0.25">
      <c r="N344" s="17"/>
    </row>
    <row r="345" spans="14:14" x14ac:dyDescent="0.25">
      <c r="N345" s="17"/>
    </row>
    <row r="346" spans="14:14" x14ac:dyDescent="0.25">
      <c r="N346" s="17"/>
    </row>
    <row r="347" spans="14:14" x14ac:dyDescent="0.25">
      <c r="N347" s="17"/>
    </row>
    <row r="348" spans="14:14" x14ac:dyDescent="0.25">
      <c r="N348" s="17"/>
    </row>
    <row r="349" spans="14:14" x14ac:dyDescent="0.25">
      <c r="N349" s="17"/>
    </row>
    <row r="350" spans="14:14" x14ac:dyDescent="0.25">
      <c r="N350" s="17"/>
    </row>
    <row r="351" spans="14:14" x14ac:dyDescent="0.25">
      <c r="N351" s="17"/>
    </row>
    <row r="352" spans="14:14" x14ac:dyDescent="0.25">
      <c r="N352" s="17"/>
    </row>
    <row r="353" spans="14:14" x14ac:dyDescent="0.25">
      <c r="N353" s="17"/>
    </row>
    <row r="354" spans="14:14" x14ac:dyDescent="0.25">
      <c r="N354" s="17"/>
    </row>
    <row r="355" spans="14:14" x14ac:dyDescent="0.25">
      <c r="N355" s="17"/>
    </row>
    <row r="356" spans="14:14" x14ac:dyDescent="0.25">
      <c r="N356" s="17"/>
    </row>
    <row r="357" spans="14:14" x14ac:dyDescent="0.25">
      <c r="N357" s="17"/>
    </row>
    <row r="358" spans="14:14" x14ac:dyDescent="0.25">
      <c r="N358" s="17"/>
    </row>
    <row r="359" spans="14:14" x14ac:dyDescent="0.25">
      <c r="N359" s="17"/>
    </row>
    <row r="360" spans="14:14" x14ac:dyDescent="0.25">
      <c r="N360" s="17"/>
    </row>
    <row r="361" spans="14:14" x14ac:dyDescent="0.25">
      <c r="N361" s="17"/>
    </row>
    <row r="362" spans="14:14" x14ac:dyDescent="0.25">
      <c r="N362" s="17"/>
    </row>
    <row r="363" spans="14:14" x14ac:dyDescent="0.25">
      <c r="N363" s="17"/>
    </row>
    <row r="364" spans="14:14" x14ac:dyDescent="0.25">
      <c r="N364" s="17"/>
    </row>
    <row r="365" spans="14:14" x14ac:dyDescent="0.25">
      <c r="N365" s="17"/>
    </row>
    <row r="366" spans="14:14" x14ac:dyDescent="0.25">
      <c r="N366" s="17"/>
    </row>
    <row r="367" spans="14:14" x14ac:dyDescent="0.25">
      <c r="N367" s="17"/>
    </row>
    <row r="368" spans="14:14" x14ac:dyDescent="0.25">
      <c r="N368" s="17"/>
    </row>
    <row r="369" spans="14:14" x14ac:dyDescent="0.25">
      <c r="N369" s="17"/>
    </row>
    <row r="370" spans="14:14" x14ac:dyDescent="0.25">
      <c r="N370" s="17"/>
    </row>
    <row r="371" spans="14:14" x14ac:dyDescent="0.25">
      <c r="N371" s="17"/>
    </row>
    <row r="372" spans="14:14" x14ac:dyDescent="0.25">
      <c r="N372" s="17"/>
    </row>
    <row r="373" spans="14:14" x14ac:dyDescent="0.25">
      <c r="N373" s="17"/>
    </row>
    <row r="374" spans="14:14" x14ac:dyDescent="0.25">
      <c r="N374" s="17"/>
    </row>
    <row r="375" spans="14:14" x14ac:dyDescent="0.25">
      <c r="N375" s="17"/>
    </row>
    <row r="376" spans="14:14" x14ac:dyDescent="0.25">
      <c r="N376" s="17"/>
    </row>
    <row r="377" spans="14:14" x14ac:dyDescent="0.25">
      <c r="N377" s="17"/>
    </row>
    <row r="378" spans="14:14" x14ac:dyDescent="0.25">
      <c r="N378" s="17"/>
    </row>
    <row r="379" spans="14:14" x14ac:dyDescent="0.25">
      <c r="N379" s="17"/>
    </row>
    <row r="380" spans="14:14" x14ac:dyDescent="0.25">
      <c r="N380" s="17"/>
    </row>
    <row r="381" spans="14:14" x14ac:dyDescent="0.25">
      <c r="N381" s="17"/>
    </row>
    <row r="382" spans="14:14" x14ac:dyDescent="0.25">
      <c r="N382" s="17"/>
    </row>
    <row r="383" spans="14:14" x14ac:dyDescent="0.25">
      <c r="N383" s="17"/>
    </row>
    <row r="384" spans="14:14" x14ac:dyDescent="0.25">
      <c r="N384" s="17"/>
    </row>
    <row r="385" spans="14:14" x14ac:dyDescent="0.25">
      <c r="N385" s="17"/>
    </row>
    <row r="386" spans="14:14" x14ac:dyDescent="0.25">
      <c r="N386" s="17"/>
    </row>
    <row r="387" spans="14:14" x14ac:dyDescent="0.25">
      <c r="N387" s="17"/>
    </row>
    <row r="388" spans="14:14" x14ac:dyDescent="0.25">
      <c r="N388" s="17"/>
    </row>
    <row r="389" spans="14:14" x14ac:dyDescent="0.25">
      <c r="N389" s="17"/>
    </row>
    <row r="390" spans="14:14" x14ac:dyDescent="0.25">
      <c r="N390" s="17"/>
    </row>
    <row r="391" spans="14:14" x14ac:dyDescent="0.25">
      <c r="N391" s="17"/>
    </row>
    <row r="392" spans="14:14" x14ac:dyDescent="0.25">
      <c r="N392" s="17"/>
    </row>
    <row r="393" spans="14:14" x14ac:dyDescent="0.25">
      <c r="N393" s="17"/>
    </row>
    <row r="394" spans="14:14" x14ac:dyDescent="0.25">
      <c r="N394" s="17"/>
    </row>
    <row r="395" spans="14:14" x14ac:dyDescent="0.25">
      <c r="N395" s="17"/>
    </row>
    <row r="396" spans="14:14" x14ac:dyDescent="0.25">
      <c r="N396" s="17"/>
    </row>
    <row r="397" spans="14:14" x14ac:dyDescent="0.25">
      <c r="N397" s="17"/>
    </row>
    <row r="398" spans="14:14" x14ac:dyDescent="0.25">
      <c r="N398" s="17"/>
    </row>
    <row r="399" spans="14:14" x14ac:dyDescent="0.25">
      <c r="N399" s="17"/>
    </row>
    <row r="400" spans="14:14" x14ac:dyDescent="0.25">
      <c r="N400" s="17"/>
    </row>
    <row r="401" spans="14:14" x14ac:dyDescent="0.25">
      <c r="N401" s="17"/>
    </row>
    <row r="402" spans="14:14" x14ac:dyDescent="0.25">
      <c r="N402" s="17"/>
    </row>
    <row r="403" spans="14:14" x14ac:dyDescent="0.25">
      <c r="N403" s="17"/>
    </row>
    <row r="404" spans="14:14" x14ac:dyDescent="0.25">
      <c r="N404" s="17"/>
    </row>
    <row r="405" spans="14:14" x14ac:dyDescent="0.25">
      <c r="N405" s="17"/>
    </row>
    <row r="406" spans="14:14" x14ac:dyDescent="0.25">
      <c r="N406" s="17"/>
    </row>
    <row r="407" spans="14:14" x14ac:dyDescent="0.25">
      <c r="N407" s="17"/>
    </row>
    <row r="408" spans="14:14" x14ac:dyDescent="0.25">
      <c r="N408" s="17"/>
    </row>
    <row r="409" spans="14:14" x14ac:dyDescent="0.25">
      <c r="N409" s="17"/>
    </row>
    <row r="410" spans="14:14" x14ac:dyDescent="0.25">
      <c r="N410" s="17"/>
    </row>
    <row r="411" spans="14:14" x14ac:dyDescent="0.25">
      <c r="N411" s="17"/>
    </row>
    <row r="412" spans="14:14" x14ac:dyDescent="0.25">
      <c r="N412" s="17"/>
    </row>
    <row r="413" spans="14:14" x14ac:dyDescent="0.25">
      <c r="N413" s="17"/>
    </row>
    <row r="414" spans="14:14" x14ac:dyDescent="0.25">
      <c r="N414" s="17"/>
    </row>
    <row r="415" spans="14:14" x14ac:dyDescent="0.25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J2" sqref="J2"/>
    </sheetView>
  </sheetViews>
  <sheetFormatPr defaultColWidth="23" defaultRowHeight="15.6" x14ac:dyDescent="0.3"/>
  <cols>
    <col min="1" max="1" width="20.6640625" style="23" bestFit="1" customWidth="1"/>
    <col min="2" max="2" width="14.88671875" style="40" bestFit="1" customWidth="1"/>
    <col min="3" max="3" width="15.33203125" style="40" bestFit="1" customWidth="1"/>
    <col min="4" max="4" width="11.5546875" style="40" bestFit="1" customWidth="1"/>
    <col min="5" max="5" width="12.88671875" style="22" bestFit="1" customWidth="1"/>
    <col min="6" max="6" width="11.5546875" style="22" bestFit="1" customWidth="1"/>
    <col min="7" max="7" width="14.33203125" style="22" bestFit="1" customWidth="1"/>
    <col min="8" max="8" width="16.5546875" style="22" bestFit="1" customWidth="1"/>
    <col min="9" max="9" width="11.88671875" style="22" customWidth="1"/>
    <col min="10" max="10" width="11.5546875" style="22" customWidth="1"/>
    <col min="11" max="11" width="10.33203125" style="22" bestFit="1" customWidth="1"/>
    <col min="12" max="12" width="11.5546875" style="22" bestFit="1" customWidth="1"/>
    <col min="13" max="13" width="10.33203125" style="22" bestFit="1" customWidth="1"/>
    <col min="14" max="17" width="11.5546875" style="22" bestFit="1" customWidth="1"/>
    <col min="18" max="18" width="12.88671875" style="22" bestFit="1" customWidth="1"/>
    <col min="19" max="19" width="9" style="22" bestFit="1" customWidth="1"/>
    <col min="20" max="20" width="4.6640625" style="22" bestFit="1" customWidth="1"/>
    <col min="21" max="21" width="10.33203125" style="22" bestFit="1" customWidth="1"/>
    <col min="22" max="22" width="11.5546875" style="22" bestFit="1" customWidth="1"/>
    <col min="23" max="23" width="9" style="22" bestFit="1" customWidth="1"/>
    <col min="24" max="24" width="10.6640625" style="22" bestFit="1" customWidth="1"/>
    <col min="25" max="25" width="13.88671875" style="22" customWidth="1"/>
    <col min="26" max="26" width="27.109375" style="24" bestFit="1" customWidth="1"/>
    <col min="27" max="27" width="26.88671875" style="24" bestFit="1" customWidth="1"/>
    <col min="28" max="16384" width="23" style="22"/>
  </cols>
  <sheetData>
    <row r="1" spans="1:27" ht="16.2" thickBot="1" x14ac:dyDescent="0.35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2" thickBot="1" x14ac:dyDescent="0.35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2" thickBot="1" x14ac:dyDescent="0.35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2" thickBot="1" x14ac:dyDescent="0.35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2" thickBot="1" x14ac:dyDescent="0.35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2" thickBot="1" x14ac:dyDescent="0.35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2" thickBot="1" x14ac:dyDescent="0.35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2" thickBot="1" x14ac:dyDescent="0.35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2" thickBot="1" x14ac:dyDescent="0.35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2" thickBot="1" x14ac:dyDescent="0.35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5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2" thickBot="1" x14ac:dyDescent="0.35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2" thickBot="1" x14ac:dyDescent="0.35">
      <c r="A13" s="9">
        <v>44753</v>
      </c>
      <c r="B13" s="38">
        <v>241</v>
      </c>
      <c r="C13" s="144">
        <v>19845</v>
      </c>
      <c r="D13" s="38">
        <f t="shared" ref="D13" si="16">IF((C13-C12)&lt;0,"0",(C13-C12))*160</f>
        <v>480</v>
      </c>
      <c r="E13" s="145">
        <v>31984470</v>
      </c>
      <c r="F13" s="38">
        <f t="shared" ref="F13" si="17">IF((E13-E12)&lt;0,"0",(E13-E12))</f>
        <v>17666</v>
      </c>
      <c r="G13" s="146">
        <v>1828569</v>
      </c>
      <c r="H13" s="38">
        <f t="shared" si="5"/>
        <v>43109</v>
      </c>
      <c r="I13" s="147">
        <f t="shared" ref="I13" si="18">F13+H13</f>
        <v>60775</v>
      </c>
      <c r="J13" s="145">
        <v>135722</v>
      </c>
      <c r="K13" s="38">
        <f t="shared" ref="K13" si="19">(IF((J13-J12)&lt;0,"0",(J13-J12)))*2</f>
        <v>8446</v>
      </c>
      <c r="L13" s="148">
        <v>369516</v>
      </c>
      <c r="M13" s="38">
        <f t="shared" ref="M13" si="20">IF((L13-L12)&lt;0,"0",(L13-L12))</f>
        <v>4976</v>
      </c>
      <c r="N13" s="145">
        <v>6949342</v>
      </c>
      <c r="O13" s="38">
        <f t="shared" ref="O13" si="21">(IF((N13-N12)&lt;0,"0",(N13-N12)))*2</f>
        <v>12510</v>
      </c>
      <c r="P13" s="148">
        <v>7188858</v>
      </c>
      <c r="Q13" s="38">
        <f t="shared" ref="Q13" si="22">IF((P13-P12)&lt;0,"0",(P13-P12))</f>
        <v>11272</v>
      </c>
      <c r="R13" s="145">
        <v>21655614</v>
      </c>
      <c r="S13" s="38">
        <f t="shared" ref="S13" si="23">IF((R13-R12)&lt;0,"0",(R13-R12))</f>
        <v>8452</v>
      </c>
      <c r="T13" s="145">
        <v>0</v>
      </c>
      <c r="U13" s="149"/>
      <c r="V13" s="145">
        <v>9630104</v>
      </c>
      <c r="W13" s="38">
        <f t="shared" ref="W13" si="24">IF((V13-V12)&lt;0,"0",(V13-V12))</f>
        <v>9114</v>
      </c>
      <c r="X13" s="19">
        <f t="shared" ref="X13" si="25">K13+M13+O13+Q13+S13+U13+W13</f>
        <v>54770</v>
      </c>
      <c r="Y13" s="150">
        <f t="shared" si="12"/>
        <v>6005</v>
      </c>
      <c r="Z13" s="3">
        <f t="shared" ref="Z13" si="26">(0.93352*(W13+S13)+0.5568*(Q13+O13))*0.26</f>
        <v>7706.4077791999998</v>
      </c>
      <c r="AA13" s="3">
        <f>SUM(Z1:Z13)</f>
        <v>105253.9482176</v>
      </c>
    </row>
    <row r="14" spans="1:27" ht="16.2" thickBot="1" x14ac:dyDescent="0.35">
      <c r="A14" s="9">
        <v>44754</v>
      </c>
      <c r="B14" s="38">
        <v>235</v>
      </c>
      <c r="C14" s="144">
        <v>19849</v>
      </c>
      <c r="D14" s="38">
        <f t="shared" si="3"/>
        <v>640</v>
      </c>
      <c r="E14" s="145">
        <v>32010412</v>
      </c>
      <c r="F14" s="38">
        <f t="shared" si="4"/>
        <v>25942</v>
      </c>
      <c r="G14" s="146">
        <v>1892536</v>
      </c>
      <c r="H14" s="38">
        <f t="shared" si="5"/>
        <v>63967</v>
      </c>
      <c r="I14" s="147">
        <f t="shared" si="6"/>
        <v>89909</v>
      </c>
      <c r="J14" s="145">
        <v>141812</v>
      </c>
      <c r="K14" s="38">
        <f t="shared" si="14"/>
        <v>12180</v>
      </c>
      <c r="L14" s="148">
        <v>376607</v>
      </c>
      <c r="M14" s="38">
        <f t="shared" si="7"/>
        <v>7091</v>
      </c>
      <c r="N14" s="145">
        <v>6958647</v>
      </c>
      <c r="O14" s="38">
        <f t="shared" si="15"/>
        <v>18610</v>
      </c>
      <c r="P14" s="148">
        <v>7205889</v>
      </c>
      <c r="Q14" s="38">
        <f t="shared" si="8"/>
        <v>17031</v>
      </c>
      <c r="R14" s="145">
        <v>21668226</v>
      </c>
      <c r="S14" s="38">
        <f>IF((R14-R13)&lt;0,"0",(R14-R13))</f>
        <v>12612</v>
      </c>
      <c r="T14" s="145">
        <v>0</v>
      </c>
      <c r="U14" s="149"/>
      <c r="V14" s="145">
        <v>9643531</v>
      </c>
      <c r="W14" s="38">
        <f t="shared" si="10"/>
        <v>13427</v>
      </c>
      <c r="X14" s="19">
        <f t="shared" si="11"/>
        <v>80951</v>
      </c>
      <c r="Y14" s="150">
        <f t="shared" si="12"/>
        <v>8958</v>
      </c>
      <c r="Z14" s="3">
        <f t="shared" si="13"/>
        <v>11479.737380799999</v>
      </c>
      <c r="AA14" s="3">
        <f>SUM(Z1:Z14)</f>
        <v>116733.6855984</v>
      </c>
    </row>
    <row r="15" spans="1:27" ht="16.2" thickBot="1" x14ac:dyDescent="0.35">
      <c r="A15" s="9">
        <v>44755</v>
      </c>
      <c r="B15" s="38">
        <v>250</v>
      </c>
      <c r="C15" s="144">
        <v>19853</v>
      </c>
      <c r="D15" s="38">
        <f t="shared" si="3"/>
        <v>640</v>
      </c>
      <c r="E15" s="145">
        <v>32027197</v>
      </c>
      <c r="F15" s="38">
        <f t="shared" si="4"/>
        <v>16785</v>
      </c>
      <c r="G15" s="146">
        <v>1933990</v>
      </c>
      <c r="H15" s="38">
        <f t="shared" si="5"/>
        <v>41454</v>
      </c>
      <c r="I15" s="147">
        <f t="shared" si="6"/>
        <v>58239</v>
      </c>
      <c r="J15" s="145">
        <v>146009</v>
      </c>
      <c r="K15" s="38">
        <f t="shared" si="14"/>
        <v>8394</v>
      </c>
      <c r="L15" s="148">
        <v>381501</v>
      </c>
      <c r="M15" s="38">
        <f t="shared" si="7"/>
        <v>4894</v>
      </c>
      <c r="N15" s="145">
        <v>6964517</v>
      </c>
      <c r="O15" s="38">
        <f t="shared" si="15"/>
        <v>11740</v>
      </c>
      <c r="P15" s="148">
        <v>7216074</v>
      </c>
      <c r="Q15" s="38">
        <f t="shared" si="8"/>
        <v>10185</v>
      </c>
      <c r="R15" s="145">
        <v>21676457</v>
      </c>
      <c r="S15" s="38">
        <f>IF((R15-R14)&lt;0,"0",(R15-R14))</f>
        <v>8231</v>
      </c>
      <c r="T15" s="145">
        <v>0</v>
      </c>
      <c r="U15" s="149"/>
      <c r="V15" s="145">
        <v>9652312</v>
      </c>
      <c r="W15" s="38">
        <f t="shared" si="10"/>
        <v>8781</v>
      </c>
      <c r="X15" s="19">
        <f t="shared" si="11"/>
        <v>52225</v>
      </c>
      <c r="Y15" s="150">
        <f t="shared" si="12"/>
        <v>6014</v>
      </c>
      <c r="Z15" s="3">
        <f t="shared" si="13"/>
        <v>7303.1093824</v>
      </c>
      <c r="AA15" s="3">
        <f>SUM(Z1:Z15)</f>
        <v>124036.7949808</v>
      </c>
    </row>
    <row r="16" spans="1:27" ht="16.2" thickBot="1" x14ac:dyDescent="0.35">
      <c r="A16" s="9">
        <v>44756</v>
      </c>
      <c r="B16" s="38">
        <v>225</v>
      </c>
      <c r="C16" s="144">
        <v>19855</v>
      </c>
      <c r="D16" s="38">
        <f t="shared" si="3"/>
        <v>320</v>
      </c>
      <c r="E16" s="145">
        <v>32046330</v>
      </c>
      <c r="F16" s="38">
        <f t="shared" si="4"/>
        <v>19133</v>
      </c>
      <c r="G16" s="146">
        <v>1982692</v>
      </c>
      <c r="H16" s="38">
        <f t="shared" si="5"/>
        <v>48702</v>
      </c>
      <c r="I16" s="147">
        <f t="shared" si="6"/>
        <v>67835</v>
      </c>
      <c r="J16" s="145">
        <v>150879</v>
      </c>
      <c r="K16" s="38">
        <f t="shared" si="14"/>
        <v>9740</v>
      </c>
      <c r="L16" s="148">
        <v>386739</v>
      </c>
      <c r="M16" s="38">
        <f t="shared" si="7"/>
        <v>5238</v>
      </c>
      <c r="N16" s="145">
        <v>6971315</v>
      </c>
      <c r="O16" s="38">
        <f t="shared" si="15"/>
        <v>13596</v>
      </c>
      <c r="P16" s="148">
        <v>7229027</v>
      </c>
      <c r="Q16" s="38">
        <f t="shared" si="8"/>
        <v>12953</v>
      </c>
      <c r="R16" s="145">
        <v>21686020</v>
      </c>
      <c r="S16" s="38">
        <f t="shared" si="9"/>
        <v>9563</v>
      </c>
      <c r="T16" s="145">
        <v>0</v>
      </c>
      <c r="U16" s="149"/>
      <c r="V16" s="145">
        <v>9662720</v>
      </c>
      <c r="W16" s="38">
        <f t="shared" si="10"/>
        <v>10408</v>
      </c>
      <c r="X16" s="19">
        <f t="shared" si="11"/>
        <v>61498</v>
      </c>
      <c r="Y16" s="150">
        <f t="shared" si="12"/>
        <v>6337</v>
      </c>
      <c r="Z16" s="3">
        <f t="shared" si="13"/>
        <v>8690.7108912000003</v>
      </c>
      <c r="AA16" s="3">
        <f>SUM(Z1:Z16)</f>
        <v>132727.50587200001</v>
      </c>
    </row>
    <row r="17" spans="1:27" s="130" customFormat="1" ht="16.2" thickBot="1" x14ac:dyDescent="0.35">
      <c r="A17" s="9">
        <v>44757</v>
      </c>
      <c r="B17" s="38">
        <v>243</v>
      </c>
      <c r="C17" s="144">
        <v>19859</v>
      </c>
      <c r="D17" s="38">
        <f t="shared" si="3"/>
        <v>640</v>
      </c>
      <c r="E17" s="145">
        <v>32071010</v>
      </c>
      <c r="F17" s="38">
        <f t="shared" si="4"/>
        <v>24680</v>
      </c>
      <c r="G17" s="146">
        <v>2046559</v>
      </c>
      <c r="H17" s="38">
        <f t="shared" si="5"/>
        <v>63867</v>
      </c>
      <c r="I17" s="151">
        <f t="shared" si="6"/>
        <v>88547</v>
      </c>
      <c r="J17" s="145">
        <v>157220</v>
      </c>
      <c r="K17" s="129">
        <f t="shared" si="14"/>
        <v>12682</v>
      </c>
      <c r="L17" s="148">
        <v>393832</v>
      </c>
      <c r="M17" s="129">
        <f t="shared" si="7"/>
        <v>7093</v>
      </c>
      <c r="N17" s="145">
        <v>6980063</v>
      </c>
      <c r="O17" s="129">
        <f t="shared" si="15"/>
        <v>17496</v>
      </c>
      <c r="P17" s="148">
        <v>7244690</v>
      </c>
      <c r="Q17" s="129">
        <f t="shared" si="8"/>
        <v>15663</v>
      </c>
      <c r="R17" s="145">
        <v>21698519</v>
      </c>
      <c r="S17" s="129">
        <f t="shared" si="9"/>
        <v>12499</v>
      </c>
      <c r="T17" s="152">
        <v>0</v>
      </c>
      <c r="U17" s="149"/>
      <c r="V17" s="145">
        <v>9676694</v>
      </c>
      <c r="W17" s="129">
        <f t="shared" si="10"/>
        <v>13974</v>
      </c>
      <c r="X17" s="19">
        <f t="shared" si="11"/>
        <v>79407</v>
      </c>
      <c r="Y17" s="153">
        <f t="shared" si="12"/>
        <v>9140</v>
      </c>
      <c r="Z17" s="154">
        <f t="shared" si="13"/>
        <v>11225.761601600001</v>
      </c>
      <c r="AA17" s="3">
        <f>SUM(Z1:Z17)</f>
        <v>143953.26747360002</v>
      </c>
    </row>
    <row r="18" spans="1:27" s="130" customFormat="1" ht="16.2" thickBot="1" x14ac:dyDescent="0.35">
      <c r="A18" s="9">
        <v>44758</v>
      </c>
      <c r="B18" s="38">
        <v>282</v>
      </c>
      <c r="C18" s="144">
        <v>19864</v>
      </c>
      <c r="D18" s="38">
        <f t="shared" si="3"/>
        <v>800</v>
      </c>
      <c r="E18" s="145">
        <v>32087745</v>
      </c>
      <c r="F18" s="38">
        <f t="shared" si="4"/>
        <v>16735</v>
      </c>
      <c r="G18" s="146">
        <v>2089786</v>
      </c>
      <c r="H18" s="38">
        <f t="shared" si="5"/>
        <v>43227</v>
      </c>
      <c r="I18" s="151">
        <f t="shared" si="6"/>
        <v>59962</v>
      </c>
      <c r="J18" s="145">
        <v>161644</v>
      </c>
      <c r="K18" s="129">
        <f t="shared" si="14"/>
        <v>8848</v>
      </c>
      <c r="L18" s="148">
        <v>398723</v>
      </c>
      <c r="M18" s="129">
        <f t="shared" si="7"/>
        <v>4891</v>
      </c>
      <c r="N18" s="145">
        <v>6985897</v>
      </c>
      <c r="O18" s="129">
        <f t="shared" si="15"/>
        <v>11668</v>
      </c>
      <c r="P18" s="148">
        <v>7255310</v>
      </c>
      <c r="Q18" s="129">
        <f t="shared" si="8"/>
        <v>10620</v>
      </c>
      <c r="R18" s="145">
        <v>21706609</v>
      </c>
      <c r="S18" s="129">
        <f t="shared" si="9"/>
        <v>8090</v>
      </c>
      <c r="T18" s="152">
        <v>0</v>
      </c>
      <c r="U18" s="149"/>
      <c r="V18" s="145">
        <v>9686292</v>
      </c>
      <c r="W18" s="129">
        <f t="shared" si="10"/>
        <v>9598</v>
      </c>
      <c r="X18" s="19">
        <f t="shared" si="11"/>
        <v>53715</v>
      </c>
      <c r="Y18" s="153">
        <f t="shared" si="12"/>
        <v>6247</v>
      </c>
      <c r="Z18" s="154">
        <f t="shared" si="13"/>
        <v>7519.7356416000002</v>
      </c>
      <c r="AA18" s="3">
        <f>SUM(Z1:Z18)</f>
        <v>151473.00311520003</v>
      </c>
    </row>
    <row r="19" spans="1:27" s="130" customFormat="1" ht="16.2" thickBot="1" x14ac:dyDescent="0.35">
      <c r="A19" s="9">
        <v>44759</v>
      </c>
      <c r="B19" s="38">
        <v>247</v>
      </c>
      <c r="C19" s="144">
        <v>19868</v>
      </c>
      <c r="D19" s="38">
        <f t="shared" si="3"/>
        <v>640</v>
      </c>
      <c r="E19" s="145">
        <v>32109366</v>
      </c>
      <c r="F19" s="38">
        <f t="shared" si="4"/>
        <v>21621</v>
      </c>
      <c r="G19" s="146">
        <v>2143742</v>
      </c>
      <c r="H19" s="38">
        <f t="shared" si="5"/>
        <v>53956</v>
      </c>
      <c r="I19" s="151">
        <f t="shared" si="6"/>
        <v>75577</v>
      </c>
      <c r="J19" s="145">
        <v>167236</v>
      </c>
      <c r="K19" s="129">
        <f t="shared" si="14"/>
        <v>11184</v>
      </c>
      <c r="L19" s="148">
        <v>405166</v>
      </c>
      <c r="M19" s="129">
        <f t="shared" si="7"/>
        <v>6443</v>
      </c>
      <c r="N19" s="145">
        <v>6993394</v>
      </c>
      <c r="O19" s="129">
        <f t="shared" si="15"/>
        <v>14994</v>
      </c>
      <c r="P19" s="148">
        <v>7264209</v>
      </c>
      <c r="Q19" s="129">
        <f t="shared" si="8"/>
        <v>8899</v>
      </c>
      <c r="R19" s="145">
        <v>21717024</v>
      </c>
      <c r="S19" s="129">
        <f t="shared" si="9"/>
        <v>10415</v>
      </c>
      <c r="T19" s="152">
        <v>0</v>
      </c>
      <c r="U19" s="149"/>
      <c r="V19" s="145">
        <v>9697787</v>
      </c>
      <c r="W19" s="129">
        <f t="shared" si="10"/>
        <v>11495</v>
      </c>
      <c r="X19" s="19">
        <f t="shared" si="11"/>
        <v>63430</v>
      </c>
      <c r="Y19" s="153">
        <f t="shared" si="12"/>
        <v>12147</v>
      </c>
      <c r="Z19" s="154">
        <f t="shared" si="13"/>
        <v>8776.8318559999989</v>
      </c>
      <c r="AA19" s="3">
        <f>SUM(Z1:Z19)</f>
        <v>160249.83497120003</v>
      </c>
    </row>
    <row r="20" spans="1:27" s="130" customFormat="1" ht="16.2" thickBot="1" x14ac:dyDescent="0.35">
      <c r="A20" s="9">
        <v>44760</v>
      </c>
      <c r="B20" s="38">
        <v>111</v>
      </c>
      <c r="C20" s="144">
        <v>19873</v>
      </c>
      <c r="D20" s="38">
        <f t="shared" si="3"/>
        <v>800</v>
      </c>
      <c r="E20" s="145">
        <v>32138300</v>
      </c>
      <c r="F20" s="38">
        <f t="shared" si="4"/>
        <v>28934</v>
      </c>
      <c r="G20" s="146">
        <v>2213949</v>
      </c>
      <c r="H20" s="38">
        <f t="shared" si="5"/>
        <v>70207</v>
      </c>
      <c r="I20" s="151">
        <f t="shared" si="6"/>
        <v>99141</v>
      </c>
      <c r="J20" s="145">
        <v>174508</v>
      </c>
      <c r="K20" s="129">
        <f t="shared" si="14"/>
        <v>14544</v>
      </c>
      <c r="L20" s="148">
        <v>413791</v>
      </c>
      <c r="M20" s="129">
        <f t="shared" si="7"/>
        <v>8625</v>
      </c>
      <c r="N20" s="145">
        <v>7003432</v>
      </c>
      <c r="O20" s="129">
        <f t="shared" si="15"/>
        <v>20076</v>
      </c>
      <c r="P20" s="148">
        <v>7287975</v>
      </c>
      <c r="Q20" s="129">
        <f t="shared" si="8"/>
        <v>23766</v>
      </c>
      <c r="R20" s="145">
        <v>21730317</v>
      </c>
      <c r="S20" s="129">
        <f t="shared" si="9"/>
        <v>13293</v>
      </c>
      <c r="T20" s="152">
        <v>0</v>
      </c>
      <c r="U20" s="149"/>
      <c r="V20" s="145">
        <v>9712513</v>
      </c>
      <c r="W20" s="129">
        <f t="shared" si="10"/>
        <v>14726</v>
      </c>
      <c r="X20" s="19">
        <f t="shared" si="11"/>
        <v>95030</v>
      </c>
      <c r="Y20" s="153">
        <f t="shared" si="12"/>
        <v>4111</v>
      </c>
      <c r="Z20" s="154">
        <f t="shared" si="13"/>
        <v>13147.555844800001</v>
      </c>
      <c r="AA20" s="3">
        <f>SUM(Z1:Z20)</f>
        <v>173397.39081600003</v>
      </c>
    </row>
    <row r="21" spans="1:27" s="130" customFormat="1" ht="16.2" thickBot="1" x14ac:dyDescent="0.35">
      <c r="A21" s="9">
        <v>44761</v>
      </c>
      <c r="B21" s="38">
        <v>224</v>
      </c>
      <c r="C21" s="144">
        <v>19877</v>
      </c>
      <c r="D21" s="38">
        <f t="shared" si="3"/>
        <v>640</v>
      </c>
      <c r="E21" s="145">
        <v>32158480</v>
      </c>
      <c r="F21" s="38">
        <f t="shared" si="4"/>
        <v>20180</v>
      </c>
      <c r="G21" s="146">
        <v>2262299</v>
      </c>
      <c r="H21" s="38">
        <f t="shared" si="5"/>
        <v>48350</v>
      </c>
      <c r="I21" s="151">
        <f t="shared" si="6"/>
        <v>68530</v>
      </c>
      <c r="J21" s="145">
        <v>179684</v>
      </c>
      <c r="K21" s="129">
        <f t="shared" si="14"/>
        <v>10352</v>
      </c>
      <c r="L21" s="148">
        <v>419529</v>
      </c>
      <c r="M21" s="129">
        <f t="shared" si="7"/>
        <v>5738</v>
      </c>
      <c r="N21" s="145">
        <v>7010557</v>
      </c>
      <c r="O21" s="129">
        <f t="shared" si="15"/>
        <v>14250</v>
      </c>
      <c r="P21" s="148">
        <v>7300943</v>
      </c>
      <c r="Q21" s="129">
        <f t="shared" si="8"/>
        <v>12968</v>
      </c>
      <c r="R21" s="145">
        <v>21739436</v>
      </c>
      <c r="S21" s="129">
        <f t="shared" si="9"/>
        <v>9119</v>
      </c>
      <c r="T21" s="152">
        <v>0</v>
      </c>
      <c r="U21" s="149"/>
      <c r="V21" s="145">
        <v>9723570</v>
      </c>
      <c r="W21" s="129">
        <f t="shared" si="10"/>
        <v>11057</v>
      </c>
      <c r="X21" s="19">
        <f t="shared" si="11"/>
        <v>63484</v>
      </c>
      <c r="Y21" s="153">
        <f t="shared" si="12"/>
        <v>5046</v>
      </c>
      <c r="Z21" s="154">
        <f t="shared" si="13"/>
        <v>8837.3172992000018</v>
      </c>
      <c r="AA21" s="3">
        <f>SUM(Z1:Z21)</f>
        <v>182234.70811520002</v>
      </c>
    </row>
    <row r="22" spans="1:27" ht="16.2" thickBot="1" x14ac:dyDescent="0.35">
      <c r="A22" s="9">
        <v>44762</v>
      </c>
      <c r="B22" s="38">
        <v>230</v>
      </c>
      <c r="C22" s="144">
        <v>19882</v>
      </c>
      <c r="D22" s="38">
        <f t="shared" si="3"/>
        <v>800</v>
      </c>
      <c r="E22" s="145">
        <v>32181935</v>
      </c>
      <c r="F22" s="38">
        <f t="shared" si="4"/>
        <v>23455</v>
      </c>
      <c r="G22" s="146">
        <v>2318180</v>
      </c>
      <c r="H22" s="38">
        <f t="shared" si="5"/>
        <v>55881</v>
      </c>
      <c r="I22" s="147">
        <f t="shared" si="6"/>
        <v>79336</v>
      </c>
      <c r="J22" s="145">
        <v>185414</v>
      </c>
      <c r="K22" s="129">
        <f t="shared" si="14"/>
        <v>11460</v>
      </c>
      <c r="L22" s="148">
        <v>426120</v>
      </c>
      <c r="M22" s="38">
        <f t="shared" si="7"/>
        <v>6591</v>
      </c>
      <c r="N22" s="145">
        <v>7018890</v>
      </c>
      <c r="O22" s="38">
        <f t="shared" si="15"/>
        <v>16666</v>
      </c>
      <c r="P22" s="148">
        <v>7316127</v>
      </c>
      <c r="Q22" s="38">
        <f t="shared" si="8"/>
        <v>15184</v>
      </c>
      <c r="R22" s="145">
        <v>21750266</v>
      </c>
      <c r="S22" s="38">
        <f t="shared" si="9"/>
        <v>10830</v>
      </c>
      <c r="T22" s="145">
        <v>0</v>
      </c>
      <c r="U22" s="149"/>
      <c r="V22" s="145">
        <v>9734071</v>
      </c>
      <c r="W22" s="38">
        <f t="shared" si="10"/>
        <v>10501</v>
      </c>
      <c r="X22" s="19">
        <f t="shared" si="11"/>
        <v>71232</v>
      </c>
      <c r="Y22" s="150">
        <f t="shared" si="12"/>
        <v>8104</v>
      </c>
      <c r="Z22" s="3">
        <f t="shared" si="13"/>
        <v>9788.2187312000005</v>
      </c>
      <c r="AA22" s="3">
        <f>SUM(Z1:Z22)</f>
        <v>192022.92684640002</v>
      </c>
    </row>
    <row r="23" spans="1:27" ht="16.2" thickBot="1" x14ac:dyDescent="0.35">
      <c r="A23" s="9">
        <v>44763</v>
      </c>
      <c r="B23" s="38">
        <v>272</v>
      </c>
      <c r="C23" s="144">
        <v>19886</v>
      </c>
      <c r="D23" s="38">
        <f t="shared" si="3"/>
        <v>640</v>
      </c>
      <c r="E23" s="145">
        <v>32204752</v>
      </c>
      <c r="F23" s="38">
        <f t="shared" si="4"/>
        <v>22817</v>
      </c>
      <c r="G23" s="146">
        <v>2372255</v>
      </c>
      <c r="H23" s="38">
        <f t="shared" si="5"/>
        <v>54075</v>
      </c>
      <c r="I23" s="147">
        <f t="shared" si="6"/>
        <v>76892</v>
      </c>
      <c r="J23" s="145">
        <v>191022</v>
      </c>
      <c r="K23" s="129">
        <f t="shared" si="14"/>
        <v>11216</v>
      </c>
      <c r="L23" s="148">
        <v>432676</v>
      </c>
      <c r="M23" s="38">
        <f t="shared" si="7"/>
        <v>6556</v>
      </c>
      <c r="N23" s="145">
        <v>7026908</v>
      </c>
      <c r="O23" s="38">
        <f t="shared" si="15"/>
        <v>16036</v>
      </c>
      <c r="P23" s="148">
        <v>7330544</v>
      </c>
      <c r="Q23" s="38">
        <f t="shared" si="8"/>
        <v>14417</v>
      </c>
      <c r="R23" s="145">
        <v>21760954</v>
      </c>
      <c r="S23" s="38">
        <f t="shared" si="9"/>
        <v>10688</v>
      </c>
      <c r="T23" s="145">
        <v>0</v>
      </c>
      <c r="U23" s="149"/>
      <c r="V23" s="145">
        <v>9745211</v>
      </c>
      <c r="W23" s="38">
        <f t="shared" si="10"/>
        <v>11140</v>
      </c>
      <c r="X23" s="19">
        <f t="shared" si="11"/>
        <v>70053</v>
      </c>
      <c r="Y23" s="150">
        <f t="shared" si="12"/>
        <v>6839</v>
      </c>
      <c r="Z23" s="3">
        <f t="shared" si="13"/>
        <v>9706.6072895999987</v>
      </c>
      <c r="AA23" s="3">
        <f>SUM(Z1:Z23)</f>
        <v>201729.53413600003</v>
      </c>
    </row>
    <row r="24" spans="1:27" ht="16.2" thickBot="1" x14ac:dyDescent="0.35">
      <c r="A24" s="9">
        <v>44764</v>
      </c>
      <c r="B24" s="38">
        <v>250</v>
      </c>
      <c r="C24" s="144">
        <v>19890</v>
      </c>
      <c r="D24" s="38">
        <f t="shared" si="3"/>
        <v>640</v>
      </c>
      <c r="E24" s="145">
        <v>32232213</v>
      </c>
      <c r="F24" s="38">
        <f t="shared" si="4"/>
        <v>27461</v>
      </c>
      <c r="G24" s="146">
        <v>2435790</v>
      </c>
      <c r="H24" s="38">
        <f t="shared" si="5"/>
        <v>63535</v>
      </c>
      <c r="I24" s="147">
        <f t="shared" si="6"/>
        <v>90996</v>
      </c>
      <c r="J24" s="145">
        <v>197000</v>
      </c>
      <c r="K24" s="129">
        <f t="shared" si="14"/>
        <v>11956</v>
      </c>
      <c r="L24" s="148">
        <v>440117</v>
      </c>
      <c r="M24" s="38">
        <f t="shared" si="7"/>
        <v>7441</v>
      </c>
      <c r="N24" s="145">
        <v>7036819</v>
      </c>
      <c r="O24" s="38">
        <f t="shared" si="15"/>
        <v>19822</v>
      </c>
      <c r="P24" s="148">
        <v>7346339</v>
      </c>
      <c r="Q24" s="38">
        <f t="shared" si="8"/>
        <v>15795</v>
      </c>
      <c r="R24" s="145">
        <v>21773977</v>
      </c>
      <c r="S24" s="38">
        <f t="shared" si="9"/>
        <v>13023</v>
      </c>
      <c r="T24" s="145">
        <v>0</v>
      </c>
      <c r="U24" s="149"/>
      <c r="V24" s="145">
        <v>9758894</v>
      </c>
      <c r="W24" s="38">
        <f t="shared" si="10"/>
        <v>13683</v>
      </c>
      <c r="X24" s="19">
        <f t="shared" si="11"/>
        <v>81720</v>
      </c>
      <c r="Y24" s="150">
        <f t="shared" si="12"/>
        <v>9276</v>
      </c>
      <c r="Z24" s="3">
        <f t="shared" si="13"/>
        <v>11638.153987200001</v>
      </c>
      <c r="AA24" s="3">
        <f>SUM(Z1:Z24)</f>
        <v>213367.68812320003</v>
      </c>
    </row>
    <row r="25" spans="1:27" ht="16.2" thickBot="1" x14ac:dyDescent="0.35">
      <c r="A25" s="9">
        <v>44765</v>
      </c>
      <c r="B25" s="38">
        <v>198</v>
      </c>
      <c r="C25" s="144">
        <v>19893</v>
      </c>
      <c r="D25" s="38">
        <f t="shared" si="3"/>
        <v>480</v>
      </c>
      <c r="E25" s="145">
        <v>32252064</v>
      </c>
      <c r="F25" s="38">
        <f t="shared" si="4"/>
        <v>19851</v>
      </c>
      <c r="G25" s="146">
        <v>2481232</v>
      </c>
      <c r="H25" s="38">
        <f t="shared" si="5"/>
        <v>45442</v>
      </c>
      <c r="I25" s="147">
        <f t="shared" si="6"/>
        <v>65293</v>
      </c>
      <c r="J25" s="145">
        <v>201556</v>
      </c>
      <c r="K25" s="129">
        <f t="shared" si="14"/>
        <v>9112</v>
      </c>
      <c r="L25" s="148">
        <v>445408</v>
      </c>
      <c r="M25" s="38">
        <f t="shared" si="7"/>
        <v>5291</v>
      </c>
      <c r="N25" s="145">
        <v>7044005</v>
      </c>
      <c r="O25" s="38">
        <f t="shared" si="15"/>
        <v>14372</v>
      </c>
      <c r="P25" s="148">
        <v>7357714</v>
      </c>
      <c r="Q25" s="38">
        <f t="shared" si="8"/>
        <v>11375</v>
      </c>
      <c r="R25" s="145">
        <v>21782651</v>
      </c>
      <c r="S25" s="38">
        <f t="shared" si="9"/>
        <v>8674</v>
      </c>
      <c r="T25" s="145">
        <v>0</v>
      </c>
      <c r="U25" s="149"/>
      <c r="V25" s="145">
        <v>9768790</v>
      </c>
      <c r="W25" s="38">
        <f t="shared" si="10"/>
        <v>9896</v>
      </c>
      <c r="X25" s="19">
        <f t="shared" si="11"/>
        <v>58720</v>
      </c>
      <c r="Y25" s="150">
        <f t="shared" si="12"/>
        <v>6573</v>
      </c>
      <c r="Z25" s="3">
        <f t="shared" si="13"/>
        <v>8234.5629600000011</v>
      </c>
      <c r="AA25" s="3">
        <f>SUM(Z1:Z25)</f>
        <v>221602.25108320004</v>
      </c>
    </row>
    <row r="26" spans="1:27" ht="16.2" thickBot="1" x14ac:dyDescent="0.35">
      <c r="A26" s="9">
        <v>44766</v>
      </c>
      <c r="B26" s="38">
        <v>304</v>
      </c>
      <c r="C26" s="144">
        <v>19897</v>
      </c>
      <c r="D26" s="38">
        <f t="shared" si="3"/>
        <v>640</v>
      </c>
      <c r="E26" s="145">
        <v>32278326</v>
      </c>
      <c r="F26" s="38">
        <f t="shared" si="4"/>
        <v>26262</v>
      </c>
      <c r="G26" s="146">
        <v>2541327</v>
      </c>
      <c r="H26" s="38">
        <f t="shared" si="5"/>
        <v>60095</v>
      </c>
      <c r="I26" s="147">
        <f t="shared" si="6"/>
        <v>86357</v>
      </c>
      <c r="J26" s="145">
        <v>207681</v>
      </c>
      <c r="K26" s="129">
        <f t="shared" si="14"/>
        <v>12250</v>
      </c>
      <c r="L26" s="148">
        <v>452513</v>
      </c>
      <c r="M26" s="38">
        <f t="shared" si="7"/>
        <v>7105</v>
      </c>
      <c r="N26" s="145">
        <v>7053443</v>
      </c>
      <c r="O26" s="38">
        <f t="shared" si="15"/>
        <v>18876</v>
      </c>
      <c r="P26" s="148">
        <v>7372886</v>
      </c>
      <c r="Q26" s="38">
        <f t="shared" si="8"/>
        <v>15172</v>
      </c>
      <c r="R26" s="145">
        <v>21784455</v>
      </c>
      <c r="S26" s="38">
        <f t="shared" si="9"/>
        <v>1804</v>
      </c>
      <c r="T26" s="145">
        <v>0</v>
      </c>
      <c r="U26" s="149"/>
      <c r="V26" s="145">
        <v>9781566</v>
      </c>
      <c r="W26" s="38">
        <f t="shared" si="10"/>
        <v>12776</v>
      </c>
      <c r="X26" s="19">
        <f t="shared" si="11"/>
        <v>67983</v>
      </c>
      <c r="Y26" s="150">
        <f t="shared" si="12"/>
        <v>18374</v>
      </c>
      <c r="Z26" s="3">
        <f t="shared" si="13"/>
        <v>8467.8484800000006</v>
      </c>
      <c r="AA26" s="3">
        <f>SUM(Z1:Z26)</f>
        <v>230070.09956320003</v>
      </c>
    </row>
    <row r="27" spans="1:27" ht="16.2" thickBot="1" x14ac:dyDescent="0.35">
      <c r="A27" s="9">
        <v>44767</v>
      </c>
      <c r="B27" s="38">
        <v>296</v>
      </c>
      <c r="C27" s="144">
        <v>19901</v>
      </c>
      <c r="D27" s="38">
        <f t="shared" si="3"/>
        <v>640</v>
      </c>
      <c r="E27" s="145">
        <v>32303341</v>
      </c>
      <c r="F27" s="38">
        <f t="shared" si="4"/>
        <v>25015</v>
      </c>
      <c r="G27" s="146">
        <v>2599605</v>
      </c>
      <c r="H27" s="38">
        <f t="shared" si="5"/>
        <v>58278</v>
      </c>
      <c r="I27" s="147">
        <f t="shared" si="6"/>
        <v>83293</v>
      </c>
      <c r="J27" s="145">
        <v>213631</v>
      </c>
      <c r="K27" s="129">
        <f t="shared" si="14"/>
        <v>11900</v>
      </c>
      <c r="L27" s="148">
        <v>459136</v>
      </c>
      <c r="M27" s="38">
        <f t="shared" si="7"/>
        <v>6623</v>
      </c>
      <c r="N27" s="145">
        <v>7062571</v>
      </c>
      <c r="O27" s="38">
        <f t="shared" si="15"/>
        <v>18256</v>
      </c>
      <c r="P27" s="148">
        <v>7387188</v>
      </c>
      <c r="Q27" s="38">
        <f t="shared" si="8"/>
        <v>14302</v>
      </c>
      <c r="R27" s="145">
        <v>21805740</v>
      </c>
      <c r="S27" s="38">
        <f t="shared" si="9"/>
        <v>21285</v>
      </c>
      <c r="T27" s="145">
        <v>0</v>
      </c>
      <c r="U27" s="149"/>
      <c r="V27" s="145">
        <v>9794213</v>
      </c>
      <c r="W27" s="38">
        <f t="shared" si="10"/>
        <v>12647</v>
      </c>
      <c r="X27" s="19">
        <f t="shared" si="11"/>
        <v>85013</v>
      </c>
      <c r="Y27" s="150">
        <f t="shared" si="12"/>
        <v>-1720</v>
      </c>
      <c r="Z27" s="3">
        <f t="shared" si="13"/>
        <v>12949.168710399999</v>
      </c>
      <c r="AA27" s="3">
        <f>SUM(Z1:Z27)</f>
        <v>243019.26827360003</v>
      </c>
    </row>
    <row r="28" spans="1:27" ht="16.2" thickBot="1" x14ac:dyDescent="0.35">
      <c r="A28" s="9">
        <v>44768</v>
      </c>
      <c r="B28" s="38">
        <v>260</v>
      </c>
      <c r="C28" s="144">
        <v>19905</v>
      </c>
      <c r="D28" s="38">
        <f t="shared" si="3"/>
        <v>640</v>
      </c>
      <c r="E28" s="145">
        <v>32324006</v>
      </c>
      <c r="F28" s="38">
        <f t="shared" si="4"/>
        <v>20665</v>
      </c>
      <c r="G28" s="146">
        <v>2648010</v>
      </c>
      <c r="H28" s="38">
        <f t="shared" si="5"/>
        <v>48405</v>
      </c>
      <c r="I28" s="147">
        <f t="shared" si="6"/>
        <v>69070</v>
      </c>
      <c r="J28" s="145">
        <v>218687</v>
      </c>
      <c r="K28" s="129">
        <f t="shared" si="14"/>
        <v>10112</v>
      </c>
      <c r="L28" s="148">
        <v>464828</v>
      </c>
      <c r="M28" s="38">
        <f t="shared" si="7"/>
        <v>5692</v>
      </c>
      <c r="N28" s="145">
        <v>7069964</v>
      </c>
      <c r="O28" s="38">
        <f t="shared" si="15"/>
        <v>14786</v>
      </c>
      <c r="P28" s="148">
        <v>7398199</v>
      </c>
      <c r="Q28" s="38">
        <f t="shared" si="8"/>
        <v>11011</v>
      </c>
      <c r="R28" s="145">
        <v>21815344</v>
      </c>
      <c r="S28" s="38">
        <f t="shared" si="9"/>
        <v>9604</v>
      </c>
      <c r="T28" s="145">
        <v>0</v>
      </c>
      <c r="U28" s="149"/>
      <c r="V28" s="145">
        <v>9804796</v>
      </c>
      <c r="W28" s="38">
        <f t="shared" si="10"/>
        <v>10583</v>
      </c>
      <c r="X28" s="19">
        <f t="shared" si="11"/>
        <v>61788</v>
      </c>
      <c r="Y28" s="150">
        <f t="shared" si="12"/>
        <v>7282</v>
      </c>
      <c r="Z28" s="3">
        <f t="shared" si="13"/>
        <v>8634.2718384</v>
      </c>
      <c r="AA28" s="3">
        <f>SUM(Z1:Z28)</f>
        <v>251653.54011200002</v>
      </c>
    </row>
    <row r="29" spans="1:27" ht="16.2" thickBot="1" x14ac:dyDescent="0.35">
      <c r="A29" s="9">
        <v>44769</v>
      </c>
      <c r="B29" s="38">
        <v>299</v>
      </c>
      <c r="C29" s="144">
        <v>19909</v>
      </c>
      <c r="D29" s="38">
        <f t="shared" si="3"/>
        <v>640</v>
      </c>
      <c r="E29" s="145">
        <v>32349940</v>
      </c>
      <c r="F29" s="38">
        <f t="shared" si="4"/>
        <v>25934</v>
      </c>
      <c r="G29" s="146">
        <v>2706581</v>
      </c>
      <c r="H29" s="38">
        <f t="shared" si="5"/>
        <v>58571</v>
      </c>
      <c r="I29" s="147">
        <f t="shared" si="6"/>
        <v>84505</v>
      </c>
      <c r="J29" s="145">
        <v>224527</v>
      </c>
      <c r="K29" s="129">
        <f t="shared" si="14"/>
        <v>11680</v>
      </c>
      <c r="L29" s="148">
        <v>471651</v>
      </c>
      <c r="M29" s="38">
        <f t="shared" si="7"/>
        <v>6823</v>
      </c>
      <c r="N29" s="145">
        <v>7078985</v>
      </c>
      <c r="O29" s="38">
        <f t="shared" si="15"/>
        <v>18042</v>
      </c>
      <c r="P29" s="148">
        <v>7412846</v>
      </c>
      <c r="Q29" s="38">
        <f t="shared" si="8"/>
        <v>14647</v>
      </c>
      <c r="R29" s="145">
        <v>21826871</v>
      </c>
      <c r="S29" s="38">
        <f t="shared" si="9"/>
        <v>11527</v>
      </c>
      <c r="T29" s="145">
        <v>0</v>
      </c>
      <c r="U29" s="149"/>
      <c r="V29" s="145">
        <v>9817728</v>
      </c>
      <c r="W29" s="38">
        <f t="shared" si="10"/>
        <v>12932</v>
      </c>
      <c r="X29" s="19">
        <f t="shared" si="11"/>
        <v>75651</v>
      </c>
      <c r="Y29" s="150">
        <f t="shared" si="12"/>
        <v>8854</v>
      </c>
      <c r="Z29" s="3">
        <f t="shared" si="13"/>
        <v>10668.892228800001</v>
      </c>
      <c r="AA29" s="3">
        <f>SUM(Z1:Z29)</f>
        <v>262322.43234080001</v>
      </c>
    </row>
    <row r="30" spans="1:27" ht="16.2" thickBot="1" x14ac:dyDescent="0.35">
      <c r="A30" s="9">
        <v>44770</v>
      </c>
      <c r="B30" s="38">
        <v>250</v>
      </c>
      <c r="C30" s="144">
        <v>19914</v>
      </c>
      <c r="D30" s="38">
        <f>IF((C30-C29)&lt;0,"0",(C30-C29))*160</f>
        <v>800</v>
      </c>
      <c r="E30" s="145">
        <v>32376679</v>
      </c>
      <c r="F30" s="38">
        <f>IF((E30-E29)&lt;0,"0",(E30-E29))</f>
        <v>26739</v>
      </c>
      <c r="G30" s="146">
        <v>2772320</v>
      </c>
      <c r="H30" s="38">
        <f t="shared" si="5"/>
        <v>65739</v>
      </c>
      <c r="I30" s="147">
        <f t="shared" si="6"/>
        <v>92478</v>
      </c>
      <c r="J30" s="145">
        <v>230589</v>
      </c>
      <c r="K30" s="129">
        <f t="shared" si="14"/>
        <v>12124</v>
      </c>
      <c r="L30" s="148">
        <v>479128</v>
      </c>
      <c r="M30" s="38">
        <f>IF((L30-L29)&lt;0,"0",(L30-L29))</f>
        <v>7477</v>
      </c>
      <c r="N30" s="145">
        <v>7088921</v>
      </c>
      <c r="O30" s="38">
        <f>(IF((N30-N29)&lt;0,"0",(N30-N29)))*2</f>
        <v>19872</v>
      </c>
      <c r="P30" s="148">
        <v>7428628</v>
      </c>
      <c r="Q30" s="38">
        <f>IF((P30-P29)&lt;0,"0",(P30-P29))</f>
        <v>15782</v>
      </c>
      <c r="R30" s="145">
        <v>21840132</v>
      </c>
      <c r="S30" s="38">
        <f>IF((R30-R29)&lt;0,"0",(R30-R29))</f>
        <v>13261</v>
      </c>
      <c r="T30" s="145">
        <v>0</v>
      </c>
      <c r="U30" s="149"/>
      <c r="V30" s="145">
        <v>9832422</v>
      </c>
      <c r="W30" s="38">
        <f>IF((V30-V29)&lt;0,"0",(V30-V29))</f>
        <v>14694</v>
      </c>
      <c r="X30" s="19">
        <f t="shared" si="11"/>
        <v>83210</v>
      </c>
      <c r="Y30" s="150">
        <f t="shared" si="12"/>
        <v>9268</v>
      </c>
      <c r="Z30" s="3">
        <f t="shared" si="13"/>
        <v>11946.661688</v>
      </c>
      <c r="AA30" s="3">
        <f>SUM(Z1:Z30)</f>
        <v>274269.09402880003</v>
      </c>
    </row>
    <row r="31" spans="1:27" ht="16.2" thickBot="1" x14ac:dyDescent="0.35">
      <c r="A31" s="9">
        <v>44771</v>
      </c>
      <c r="B31" s="38">
        <v>205</v>
      </c>
      <c r="C31" s="144">
        <v>19918</v>
      </c>
      <c r="D31" s="38">
        <f t="shared" ref="D31:D33" si="27">IF((C31-C30)&lt;0,"0",(C31-C30))*160</f>
        <v>640</v>
      </c>
      <c r="E31" s="145">
        <v>32397712</v>
      </c>
      <c r="F31" s="38">
        <f t="shared" ref="F31:F33" si="28">IF((E31-E30)&lt;0,"0",(E31-E30))</f>
        <v>21033</v>
      </c>
      <c r="G31" s="146">
        <v>2820760</v>
      </c>
      <c r="H31" s="38">
        <f t="shared" si="5"/>
        <v>48440</v>
      </c>
      <c r="I31" s="147">
        <f t="shared" ref="I31:I33" si="29">F31+H31</f>
        <v>69473</v>
      </c>
      <c r="J31" s="145">
        <v>234956</v>
      </c>
      <c r="K31" s="129">
        <f t="shared" si="14"/>
        <v>8734</v>
      </c>
      <c r="L31" s="148">
        <v>484777</v>
      </c>
      <c r="M31" s="38">
        <f t="shared" ref="M31:M33" si="30">IF((L31-L30)&lt;0,"0",(L31-L30))</f>
        <v>5649</v>
      </c>
      <c r="N31" s="145">
        <v>7096518</v>
      </c>
      <c r="O31" s="38">
        <f t="shared" ref="O31:O33" si="31">(IF((N31-N30)&lt;0,"0",(N31-N30)))*2</f>
        <v>15194</v>
      </c>
      <c r="P31" s="148">
        <v>7440484</v>
      </c>
      <c r="Q31" s="38">
        <f t="shared" ref="Q31:Q33" si="32">IF((P31-P30)&lt;0,"0",(P31-P30))</f>
        <v>11856</v>
      </c>
      <c r="R31" s="145">
        <v>21849688</v>
      </c>
      <c r="S31" s="38">
        <f t="shared" ref="S31:S33" si="33">IF((R31-R30)&lt;0,"0",(R31-R30))</f>
        <v>9556</v>
      </c>
      <c r="T31" s="145">
        <v>0</v>
      </c>
      <c r="U31" s="149"/>
      <c r="V31" s="145">
        <v>9843255</v>
      </c>
      <c r="W31" s="38">
        <f t="shared" ref="W31:W33" si="34">IF((V31-V30)&lt;0,"0",(V31-V30))</f>
        <v>10833</v>
      </c>
      <c r="X31" s="19">
        <f t="shared" ref="X31:X33" si="35">K31+M31+O31+Q31+S31+U31+W31</f>
        <v>61822</v>
      </c>
      <c r="Y31" s="150">
        <f t="shared" ref="Y31:Y33" si="36">I31-X31</f>
        <v>7651</v>
      </c>
      <c r="Z31" s="3">
        <f t="shared" ref="Z31:Z33" si="37">(0.93352*(W31+S31)+0.5568*(Q31+O31))*0.26</f>
        <v>8864.6946128</v>
      </c>
      <c r="AA31" s="3">
        <f>SUM(Z1:Z31)</f>
        <v>283133.78864160005</v>
      </c>
    </row>
    <row r="32" spans="1:27" ht="16.2" thickBot="1" x14ac:dyDescent="0.35">
      <c r="A32" s="9">
        <v>44772</v>
      </c>
      <c r="B32" s="38">
        <v>260</v>
      </c>
      <c r="C32" s="144">
        <v>19921</v>
      </c>
      <c r="D32" s="38">
        <f t="shared" si="27"/>
        <v>480</v>
      </c>
      <c r="E32" s="145">
        <v>32420202</v>
      </c>
      <c r="F32" s="38">
        <f t="shared" si="28"/>
        <v>22490</v>
      </c>
      <c r="G32" s="146">
        <v>2872564</v>
      </c>
      <c r="H32" s="38">
        <f t="shared" si="5"/>
        <v>51804</v>
      </c>
      <c r="I32" s="147">
        <f t="shared" si="29"/>
        <v>74294</v>
      </c>
      <c r="J32" s="145">
        <v>239996</v>
      </c>
      <c r="K32" s="129">
        <f t="shared" si="14"/>
        <v>10080</v>
      </c>
      <c r="L32" s="148">
        <v>490749</v>
      </c>
      <c r="M32" s="38">
        <f t="shared" si="30"/>
        <v>5972</v>
      </c>
      <c r="N32" s="145">
        <v>7104682</v>
      </c>
      <c r="O32" s="38">
        <f t="shared" si="31"/>
        <v>16328</v>
      </c>
      <c r="P32" s="148">
        <v>7453296</v>
      </c>
      <c r="Q32" s="38">
        <f t="shared" si="32"/>
        <v>12812</v>
      </c>
      <c r="R32" s="145">
        <v>21859786</v>
      </c>
      <c r="S32" s="38">
        <f t="shared" si="33"/>
        <v>10098</v>
      </c>
      <c r="T32" s="145">
        <v>0</v>
      </c>
      <c r="U32" s="149"/>
      <c r="V32" s="145">
        <v>9854647</v>
      </c>
      <c r="W32" s="38">
        <f t="shared" si="34"/>
        <v>11392</v>
      </c>
      <c r="X32" s="19">
        <f t="shared" si="35"/>
        <v>66682</v>
      </c>
      <c r="Y32" s="150">
        <f t="shared" si="36"/>
        <v>7612</v>
      </c>
      <c r="Z32" s="3">
        <f t="shared" si="37"/>
        <v>9434.4891679999982</v>
      </c>
      <c r="AA32" s="3">
        <f>SUM(Z1:Z32)</f>
        <v>292568.27780960005</v>
      </c>
    </row>
    <row r="33" spans="1:27" ht="16.2" thickBot="1" x14ac:dyDescent="0.35">
      <c r="A33" s="9">
        <v>44773</v>
      </c>
      <c r="B33" s="38">
        <v>170</v>
      </c>
      <c r="C33" s="144">
        <v>19927</v>
      </c>
      <c r="D33" s="38">
        <f t="shared" si="27"/>
        <v>960</v>
      </c>
      <c r="E33" s="145">
        <v>32445770</v>
      </c>
      <c r="F33" s="38">
        <f t="shared" si="28"/>
        <v>25568</v>
      </c>
      <c r="G33" s="146">
        <v>2929341</v>
      </c>
      <c r="H33" s="38">
        <f t="shared" si="5"/>
        <v>56777</v>
      </c>
      <c r="I33" s="147">
        <f t="shared" si="29"/>
        <v>82345</v>
      </c>
      <c r="J33" s="145">
        <v>245034</v>
      </c>
      <c r="K33" s="129">
        <f t="shared" si="14"/>
        <v>10076</v>
      </c>
      <c r="L33" s="148">
        <v>497687</v>
      </c>
      <c r="M33" s="38">
        <f t="shared" si="30"/>
        <v>6938</v>
      </c>
      <c r="N33" s="145">
        <v>7113857</v>
      </c>
      <c r="O33" s="38">
        <f t="shared" si="31"/>
        <v>18350</v>
      </c>
      <c r="P33" s="148">
        <v>7467951</v>
      </c>
      <c r="Q33" s="38">
        <f t="shared" si="32"/>
        <v>14655</v>
      </c>
      <c r="R33" s="145">
        <v>21870756</v>
      </c>
      <c r="S33" s="38">
        <f t="shared" si="33"/>
        <v>10970</v>
      </c>
      <c r="T33" s="145">
        <v>0</v>
      </c>
      <c r="U33" s="55"/>
      <c r="V33" s="145">
        <v>9866667</v>
      </c>
      <c r="W33" s="38">
        <f t="shared" si="34"/>
        <v>12020</v>
      </c>
      <c r="X33" s="19">
        <f t="shared" si="35"/>
        <v>73009</v>
      </c>
      <c r="Y33" s="150">
        <f t="shared" si="36"/>
        <v>9336</v>
      </c>
      <c r="Z33" s="3">
        <f t="shared" si="37"/>
        <v>10358.090287999999</v>
      </c>
      <c r="AA33" s="3">
        <f>SUM(Z2:Z33)</f>
        <v>302926.36809760006</v>
      </c>
    </row>
    <row r="34" spans="1:27" ht="16.2" thickBot="1" x14ac:dyDescent="0.35">
      <c r="A34" s="136" t="s">
        <v>23</v>
      </c>
      <c r="B34" s="136">
        <f>SUM(B3:B33)</f>
        <v>6721</v>
      </c>
      <c r="C34" s="136">
        <v>0</v>
      </c>
      <c r="D34" s="136">
        <f>SUM(D3:D33)</f>
        <v>20480</v>
      </c>
      <c r="E34" s="55">
        <v>0</v>
      </c>
      <c r="F34" s="136">
        <f>SUM(F3:F33)</f>
        <v>705512</v>
      </c>
      <c r="G34" s="55">
        <v>0</v>
      </c>
      <c r="H34" s="136">
        <f>SUM(H3:H33)</f>
        <v>1694691</v>
      </c>
      <c r="I34" s="55">
        <v>92693</v>
      </c>
      <c r="J34" s="55">
        <v>0</v>
      </c>
      <c r="K34" s="136">
        <f>SUM(K3:K33)</f>
        <v>342004</v>
      </c>
      <c r="L34" s="55">
        <v>0</v>
      </c>
      <c r="M34" s="136">
        <f>SUM(M3:M33)</f>
        <v>201204</v>
      </c>
      <c r="N34" s="55">
        <v>0</v>
      </c>
      <c r="O34" s="136">
        <f>SUM(O3:O33)</f>
        <v>498052</v>
      </c>
      <c r="P34" s="55">
        <v>0</v>
      </c>
      <c r="Q34" s="136">
        <f>SUM(Q3:Q33)</f>
        <v>433289</v>
      </c>
      <c r="R34" s="55">
        <v>0</v>
      </c>
      <c r="S34" s="136">
        <f>SUM(S3:S33)</f>
        <v>330503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362070</v>
      </c>
      <c r="X34" s="136">
        <f>SUM(X3:X33)</f>
        <v>2167122</v>
      </c>
      <c r="Y34" s="136">
        <f>SUM(Y3:Y33)</f>
        <v>233081</v>
      </c>
      <c r="Z34" s="136">
        <f>SUM(Z3:Z33)</f>
        <v>302926.36809760006</v>
      </c>
      <c r="AA34" s="136">
        <f>SUM(AA3:AA33)</f>
        <v>4799584.0785151999</v>
      </c>
    </row>
    <row r="35" spans="1:27" x14ac:dyDescent="0.3">
      <c r="H35" s="165"/>
    </row>
    <row r="36" spans="1:27" x14ac:dyDescent="0.3">
      <c r="D36" s="163"/>
      <c r="H36" s="165"/>
    </row>
    <row r="37" spans="1:27" x14ac:dyDescent="0.3">
      <c r="E37" s="165"/>
      <c r="F37" s="165"/>
    </row>
    <row r="39" spans="1:27" x14ac:dyDescent="0.3">
      <c r="E39" s="165"/>
      <c r="H39" s="165"/>
      <c r="L39" s="165"/>
    </row>
    <row r="42" spans="1:27" x14ac:dyDescent="0.3">
      <c r="J42" s="165"/>
    </row>
    <row r="44" spans="1:27" ht="15" x14ac:dyDescent="0.25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4"/>
  <sheetViews>
    <sheetView zoomScale="110" zoomScaleNormal="110" workbookViewId="0">
      <pane ySplit="1" topLeftCell="A2" activePane="bottomLeft" state="frozen"/>
      <selection pane="bottomLeft" activeCell="H34" sqref="H34"/>
    </sheetView>
  </sheetViews>
  <sheetFormatPr defaultRowHeight="13.2" x14ac:dyDescent="0.25"/>
  <cols>
    <col min="1" max="1" width="20.88671875" style="16" bestFit="1" customWidth="1"/>
    <col min="2" max="2" width="20.6640625" bestFit="1" customWidth="1"/>
    <col min="3" max="3" width="14.109375" customWidth="1"/>
    <col min="4" max="4" width="16.5546875" bestFit="1" customWidth="1"/>
    <col min="5" max="5" width="19.88671875" bestFit="1" customWidth="1"/>
    <col min="6" max="6" width="15.5546875" bestFit="1" customWidth="1"/>
    <col min="7" max="7" width="13.6640625" bestFit="1" customWidth="1"/>
    <col min="8" max="8" width="12.88671875" bestFit="1" customWidth="1"/>
    <col min="9" max="9" width="15" style="35" bestFit="1" customWidth="1"/>
    <col min="10" max="10" width="17.5546875" bestFit="1" customWidth="1"/>
    <col min="11" max="11" width="16.109375" bestFit="1" customWidth="1"/>
    <col min="13" max="13" width="10" bestFit="1" customWidth="1"/>
    <col min="25" max="25" width="18.33203125" bestFit="1" customWidth="1"/>
  </cols>
  <sheetData>
    <row r="1" spans="1:14" ht="16.2" thickBot="1" x14ac:dyDescent="0.35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2" thickBot="1" x14ac:dyDescent="0.35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2" thickBot="1" x14ac:dyDescent="0.35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2" thickBot="1" x14ac:dyDescent="0.35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2" thickBot="1" x14ac:dyDescent="0.35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2" thickBot="1" x14ac:dyDescent="0.35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2" thickBot="1" x14ac:dyDescent="0.35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2" thickBot="1" x14ac:dyDescent="0.35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2" thickBot="1" x14ac:dyDescent="0.35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2" thickBot="1" x14ac:dyDescent="0.35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2" thickBot="1" x14ac:dyDescent="0.35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2" thickBot="1" x14ac:dyDescent="0.35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2" thickBot="1" x14ac:dyDescent="0.35">
      <c r="A13" s="9">
        <v>44753</v>
      </c>
      <c r="B13" s="3">
        <v>454485</v>
      </c>
      <c r="C13" s="38">
        <f t="shared" si="7"/>
        <v>1140</v>
      </c>
      <c r="D13" s="3">
        <v>10725</v>
      </c>
      <c r="E13" s="38">
        <f t="shared" si="2"/>
        <v>460</v>
      </c>
      <c r="F13" s="3">
        <v>10093900</v>
      </c>
      <c r="G13" s="38">
        <f t="shared" si="5"/>
        <v>267.3</v>
      </c>
      <c r="H13" s="3">
        <v>801321</v>
      </c>
      <c r="I13" s="43">
        <f t="shared" si="6"/>
        <v>4.3469999999999995</v>
      </c>
      <c r="J13" s="19">
        <f t="shared" si="3"/>
        <v>1871.6469999999999</v>
      </c>
      <c r="K13" s="20">
        <f t="shared" si="4"/>
        <v>10967.851420000001</v>
      </c>
    </row>
    <row r="14" spans="1:14" ht="16.2" thickBot="1" x14ac:dyDescent="0.35">
      <c r="A14" s="9">
        <v>44754</v>
      </c>
      <c r="B14" s="3">
        <v>454595</v>
      </c>
      <c r="C14" s="38">
        <f t="shared" si="7"/>
        <v>1100</v>
      </c>
      <c r="D14" s="3">
        <v>10770</v>
      </c>
      <c r="E14" s="38">
        <f t="shared" si="2"/>
        <v>450</v>
      </c>
      <c r="F14" s="3">
        <v>10114500</v>
      </c>
      <c r="G14" s="38">
        <f t="shared" si="5"/>
        <v>556.20000000000005</v>
      </c>
      <c r="H14" s="3">
        <v>801494</v>
      </c>
      <c r="I14" s="43">
        <f t="shared" si="6"/>
        <v>4.6710000000000003</v>
      </c>
      <c r="J14" s="19">
        <f t="shared" si="3"/>
        <v>2110.8709999999996</v>
      </c>
      <c r="K14" s="20">
        <f t="shared" si="4"/>
        <v>12369.704059999998</v>
      </c>
    </row>
    <row r="15" spans="1:14" ht="16.2" thickBot="1" x14ac:dyDescent="0.35">
      <c r="A15" s="9">
        <v>44755</v>
      </c>
      <c r="B15" s="3">
        <v>454618</v>
      </c>
      <c r="C15" s="38">
        <f t="shared" si="7"/>
        <v>230</v>
      </c>
      <c r="D15" s="3">
        <v>10807</v>
      </c>
      <c r="E15" s="38">
        <f t="shared" si="2"/>
        <v>370</v>
      </c>
      <c r="F15" s="3">
        <v>10141600</v>
      </c>
      <c r="G15" s="38">
        <f t="shared" si="5"/>
        <v>731.7</v>
      </c>
      <c r="H15" s="3">
        <v>801564</v>
      </c>
      <c r="I15" s="43">
        <f t="shared" si="6"/>
        <v>1.89</v>
      </c>
      <c r="J15" s="19">
        <f t="shared" si="3"/>
        <v>1333.5900000000001</v>
      </c>
      <c r="K15" s="20">
        <f t="shared" si="4"/>
        <v>7814.8374000000013</v>
      </c>
    </row>
    <row r="16" spans="1:14" ht="16.2" thickBot="1" x14ac:dyDescent="0.35">
      <c r="A16" s="9">
        <v>44756</v>
      </c>
      <c r="B16" s="3">
        <v>454727</v>
      </c>
      <c r="C16" s="38">
        <f t="shared" si="7"/>
        <v>1090</v>
      </c>
      <c r="D16" s="3">
        <v>10846</v>
      </c>
      <c r="E16" s="38">
        <f t="shared" si="2"/>
        <v>390</v>
      </c>
      <c r="F16" s="3">
        <v>10162400</v>
      </c>
      <c r="G16" s="38">
        <f t="shared" si="5"/>
        <v>561.6</v>
      </c>
      <c r="H16" s="3">
        <v>801691</v>
      </c>
      <c r="I16" s="43">
        <f t="shared" si="6"/>
        <v>3.4289999999999998</v>
      </c>
      <c r="J16" s="19">
        <f t="shared" si="3"/>
        <v>2045.029</v>
      </c>
      <c r="K16" s="20">
        <f t="shared" si="4"/>
        <v>11983.86994</v>
      </c>
    </row>
    <row r="17" spans="1:25" ht="16.2" thickBot="1" x14ac:dyDescent="0.35">
      <c r="A17" s="9">
        <v>44757</v>
      </c>
      <c r="B17" s="3">
        <v>454826</v>
      </c>
      <c r="C17" s="38">
        <f t="shared" si="7"/>
        <v>990</v>
      </c>
      <c r="D17" s="3">
        <v>10889</v>
      </c>
      <c r="E17" s="38">
        <f t="shared" si="2"/>
        <v>430</v>
      </c>
      <c r="F17" s="3">
        <v>10182700</v>
      </c>
      <c r="G17" s="38">
        <f t="shared" si="5"/>
        <v>548.1</v>
      </c>
      <c r="H17" s="3">
        <v>801804</v>
      </c>
      <c r="I17" s="43">
        <f t="shared" si="6"/>
        <v>3.0510000000000002</v>
      </c>
      <c r="J17" s="19">
        <f t="shared" si="3"/>
        <v>1971.1509999999998</v>
      </c>
      <c r="K17" s="20">
        <f t="shared" si="4"/>
        <v>11550.94486</v>
      </c>
      <c r="P17" t="s">
        <v>12</v>
      </c>
      <c r="R17" t="s">
        <v>12</v>
      </c>
    </row>
    <row r="18" spans="1:25" ht="16.2" thickBot="1" x14ac:dyDescent="0.35">
      <c r="A18" s="9">
        <v>44758</v>
      </c>
      <c r="B18" s="3">
        <v>454930</v>
      </c>
      <c r="C18" s="38">
        <f t="shared" si="7"/>
        <v>1040</v>
      </c>
      <c r="D18" s="3">
        <v>10937</v>
      </c>
      <c r="E18" s="38">
        <f t="shared" si="2"/>
        <v>480</v>
      </c>
      <c r="F18" s="3">
        <v>10202800</v>
      </c>
      <c r="G18" s="38">
        <f t="shared" si="5"/>
        <v>542.70000000000005</v>
      </c>
      <c r="H18" s="3">
        <v>801960</v>
      </c>
      <c r="I18" s="43">
        <f t="shared" si="6"/>
        <v>4.2119999999999997</v>
      </c>
      <c r="J18" s="19">
        <f t="shared" si="3"/>
        <v>2066.9119999999998</v>
      </c>
      <c r="K18" s="20">
        <f t="shared" si="4"/>
        <v>12112.10432</v>
      </c>
      <c r="Q18" t="s">
        <v>43</v>
      </c>
    </row>
    <row r="19" spans="1:25" ht="16.2" thickBot="1" x14ac:dyDescent="0.35">
      <c r="A19" s="9">
        <v>44759</v>
      </c>
      <c r="B19" s="3">
        <v>455022</v>
      </c>
      <c r="C19" s="38">
        <f t="shared" si="7"/>
        <v>920</v>
      </c>
      <c r="D19" s="3">
        <v>10985</v>
      </c>
      <c r="E19" s="38">
        <f t="shared" ref="E19:E33" si="8">(IF((D19-D18)&lt;0,"0",(D19-D18)))*10</f>
        <v>480</v>
      </c>
      <c r="F19" s="3">
        <v>10223600</v>
      </c>
      <c r="G19" s="38">
        <f t="shared" si="5"/>
        <v>561.6</v>
      </c>
      <c r="H19" s="3">
        <v>802121</v>
      </c>
      <c r="I19" s="43">
        <f t="shared" si="6"/>
        <v>4.3469999999999995</v>
      </c>
      <c r="J19" s="19">
        <f t="shared" si="3"/>
        <v>1965.9469999999999</v>
      </c>
      <c r="K19" s="20">
        <f t="shared" si="4"/>
        <v>11520.449420000001</v>
      </c>
      <c r="Q19" t="s">
        <v>12</v>
      </c>
    </row>
    <row r="20" spans="1:25" ht="16.2" thickBot="1" x14ac:dyDescent="0.35">
      <c r="A20" s="9">
        <v>44760</v>
      </c>
      <c r="B20" s="3">
        <v>455154</v>
      </c>
      <c r="C20" s="38">
        <f t="shared" si="7"/>
        <v>1320</v>
      </c>
      <c r="D20" s="3">
        <v>11029</v>
      </c>
      <c r="E20" s="38">
        <f t="shared" si="8"/>
        <v>440</v>
      </c>
      <c r="F20" s="3">
        <v>10244200</v>
      </c>
      <c r="G20" s="38">
        <f t="shared" si="5"/>
        <v>556.20000000000005</v>
      </c>
      <c r="H20" s="3">
        <v>802272</v>
      </c>
      <c r="I20" s="43">
        <f t="shared" si="6"/>
        <v>4.077</v>
      </c>
      <c r="J20" s="19">
        <f t="shared" si="3"/>
        <v>2320.277</v>
      </c>
      <c r="K20" s="20">
        <f t="shared" si="4"/>
        <v>13596.82322</v>
      </c>
    </row>
    <row r="21" spans="1:25" ht="16.2" thickBot="1" x14ac:dyDescent="0.35">
      <c r="A21" s="9">
        <v>44761</v>
      </c>
      <c r="B21" s="3">
        <v>455259</v>
      </c>
      <c r="C21" s="38">
        <f t="shared" si="7"/>
        <v>1050</v>
      </c>
      <c r="D21" s="3">
        <v>11074</v>
      </c>
      <c r="E21" s="38">
        <f t="shared" si="8"/>
        <v>450</v>
      </c>
      <c r="F21" s="3">
        <v>10265400</v>
      </c>
      <c r="G21" s="38">
        <f t="shared" si="5"/>
        <v>572.4</v>
      </c>
      <c r="H21" s="3">
        <v>802440</v>
      </c>
      <c r="I21" s="43">
        <f t="shared" si="6"/>
        <v>4.5359999999999996</v>
      </c>
      <c r="J21" s="19">
        <f t="shared" si="3"/>
        <v>2076.9360000000001</v>
      </c>
      <c r="K21" s="20">
        <f t="shared" si="4"/>
        <v>12170.844960000002</v>
      </c>
    </row>
    <row r="22" spans="1:25" ht="16.2" thickBot="1" x14ac:dyDescent="0.35">
      <c r="A22" s="9">
        <v>44762</v>
      </c>
      <c r="B22" s="3">
        <v>455367</v>
      </c>
      <c r="C22" s="38">
        <f t="shared" si="7"/>
        <v>1080</v>
      </c>
      <c r="D22" s="3">
        <v>11120</v>
      </c>
      <c r="E22" s="38">
        <f t="shared" si="8"/>
        <v>460</v>
      </c>
      <c r="F22" s="3">
        <v>10286100</v>
      </c>
      <c r="G22" s="38">
        <f t="shared" si="5"/>
        <v>558.9</v>
      </c>
      <c r="H22" s="3">
        <v>802635</v>
      </c>
      <c r="I22" s="43">
        <f t="shared" si="6"/>
        <v>5.2649999999999997</v>
      </c>
      <c r="J22" s="19">
        <f t="shared" si="3"/>
        <v>2104.165</v>
      </c>
      <c r="K22" s="20">
        <f t="shared" si="4"/>
        <v>12330.4069</v>
      </c>
      <c r="P22" t="s">
        <v>12</v>
      </c>
      <c r="S22" s="26" t="s">
        <v>12</v>
      </c>
    </row>
    <row r="23" spans="1:25" ht="16.2" thickBot="1" x14ac:dyDescent="0.35">
      <c r="A23" s="9">
        <v>44763</v>
      </c>
      <c r="B23" s="3">
        <v>455477</v>
      </c>
      <c r="C23" s="38">
        <f t="shared" si="7"/>
        <v>1100</v>
      </c>
      <c r="D23" s="3">
        <v>11167</v>
      </c>
      <c r="E23" s="38">
        <f t="shared" si="8"/>
        <v>470</v>
      </c>
      <c r="F23" s="3">
        <v>10307000</v>
      </c>
      <c r="G23" s="38">
        <f t="shared" si="5"/>
        <v>564.29999999999995</v>
      </c>
      <c r="H23" s="3">
        <v>802800</v>
      </c>
      <c r="I23" s="43">
        <f t="shared" si="6"/>
        <v>4.4550000000000001</v>
      </c>
      <c r="J23" s="19">
        <f t="shared" si="3"/>
        <v>2138.7550000000001</v>
      </c>
      <c r="K23" s="20">
        <f t="shared" si="4"/>
        <v>12533.104300000001</v>
      </c>
      <c r="Q23" t="s">
        <v>12</v>
      </c>
    </row>
    <row r="24" spans="1:25" ht="16.2" thickBot="1" x14ac:dyDescent="0.35">
      <c r="A24" s="9">
        <v>44764</v>
      </c>
      <c r="B24" s="3">
        <v>455576</v>
      </c>
      <c r="C24" s="38">
        <f t="shared" si="7"/>
        <v>990</v>
      </c>
      <c r="D24" s="3">
        <v>11209</v>
      </c>
      <c r="E24" s="38">
        <f t="shared" si="8"/>
        <v>420</v>
      </c>
      <c r="F24" s="3">
        <v>10327800</v>
      </c>
      <c r="G24" s="38">
        <f t="shared" si="5"/>
        <v>561.6</v>
      </c>
      <c r="H24" s="3">
        <v>802904</v>
      </c>
      <c r="I24" s="43">
        <f t="shared" si="6"/>
        <v>2.8079999999999998</v>
      </c>
      <c r="J24" s="19">
        <f t="shared" si="3"/>
        <v>1974.4079999999999</v>
      </c>
      <c r="K24" s="20">
        <f t="shared" si="4"/>
        <v>11570.03088</v>
      </c>
    </row>
    <row r="25" spans="1:25" ht="17.25" customHeight="1" thickBot="1" x14ac:dyDescent="0.45">
      <c r="A25" s="9">
        <v>44765</v>
      </c>
      <c r="B25" s="3">
        <v>455676</v>
      </c>
      <c r="C25" s="38">
        <f t="shared" si="7"/>
        <v>1000</v>
      </c>
      <c r="D25" s="3">
        <v>11251</v>
      </c>
      <c r="E25" s="38">
        <f t="shared" si="8"/>
        <v>420</v>
      </c>
      <c r="F25" s="3">
        <v>10349500</v>
      </c>
      <c r="G25" s="38">
        <f t="shared" si="5"/>
        <v>585.9</v>
      </c>
      <c r="H25" s="3">
        <v>803026</v>
      </c>
      <c r="I25" s="43">
        <f t="shared" si="6"/>
        <v>3.294</v>
      </c>
      <c r="J25" s="19">
        <f t="shared" si="3"/>
        <v>2009.1940000000002</v>
      </c>
      <c r="K25" s="20">
        <f t="shared" si="4"/>
        <v>11773.876840000003</v>
      </c>
      <c r="Y25" s="54"/>
    </row>
    <row r="26" spans="1:25" ht="16.2" thickBot="1" x14ac:dyDescent="0.35">
      <c r="A26" s="9">
        <v>44766</v>
      </c>
      <c r="B26" s="3">
        <v>455780</v>
      </c>
      <c r="C26" s="38">
        <f t="shared" si="7"/>
        <v>1040</v>
      </c>
      <c r="D26" s="3">
        <v>11306</v>
      </c>
      <c r="E26" s="38">
        <f t="shared" si="8"/>
        <v>550</v>
      </c>
      <c r="F26" s="3">
        <v>10373200</v>
      </c>
      <c r="G26" s="38">
        <f t="shared" si="5"/>
        <v>639.9</v>
      </c>
      <c r="H26" s="3">
        <v>803170</v>
      </c>
      <c r="I26" s="43">
        <f t="shared" si="6"/>
        <v>3.8879999999999999</v>
      </c>
      <c r="J26" s="19">
        <f t="shared" si="3"/>
        <v>2233.788</v>
      </c>
      <c r="K26" s="20">
        <f t="shared" si="4"/>
        <v>13089.99768</v>
      </c>
      <c r="L26" t="s">
        <v>12</v>
      </c>
    </row>
    <row r="27" spans="1:25" ht="16.2" thickBot="1" x14ac:dyDescent="0.35">
      <c r="A27" s="9">
        <v>44767</v>
      </c>
      <c r="B27" s="3">
        <v>455883</v>
      </c>
      <c r="C27" s="38">
        <f t="shared" si="7"/>
        <v>1030</v>
      </c>
      <c r="D27" s="3">
        <v>11345</v>
      </c>
      <c r="E27" s="38">
        <f t="shared" si="8"/>
        <v>390</v>
      </c>
      <c r="F27" s="3">
        <v>10393300</v>
      </c>
      <c r="G27" s="38">
        <f t="shared" si="5"/>
        <v>542.70000000000005</v>
      </c>
      <c r="H27" s="3">
        <v>803277</v>
      </c>
      <c r="I27" s="43">
        <f t="shared" si="6"/>
        <v>2.8889999999999998</v>
      </c>
      <c r="J27" s="19">
        <f t="shared" si="3"/>
        <v>1965.5889999999999</v>
      </c>
      <c r="K27" s="20">
        <f t="shared" si="4"/>
        <v>11518.35154</v>
      </c>
      <c r="O27" t="s">
        <v>12</v>
      </c>
    </row>
    <row r="28" spans="1:25" ht="16.2" thickBot="1" x14ac:dyDescent="0.35">
      <c r="A28" s="9">
        <v>44768</v>
      </c>
      <c r="B28" s="3">
        <v>456009</v>
      </c>
      <c r="C28" s="38">
        <f t="shared" si="7"/>
        <v>1260</v>
      </c>
      <c r="D28" s="3">
        <v>11395</v>
      </c>
      <c r="E28" s="38">
        <f t="shared" si="8"/>
        <v>500</v>
      </c>
      <c r="F28" s="3">
        <v>10417300</v>
      </c>
      <c r="G28" s="38">
        <f t="shared" si="5"/>
        <v>648</v>
      </c>
      <c r="H28" s="3">
        <v>803437</v>
      </c>
      <c r="I28" s="43">
        <f t="shared" si="6"/>
        <v>4.32</v>
      </c>
      <c r="J28" s="19">
        <f t="shared" si="3"/>
        <v>2412.3200000000002</v>
      </c>
      <c r="K28" s="20">
        <f t="shared" si="4"/>
        <v>14136.195200000002</v>
      </c>
    </row>
    <row r="29" spans="1:25" ht="16.2" thickBot="1" x14ac:dyDescent="0.35">
      <c r="A29" s="9">
        <v>44769</v>
      </c>
      <c r="B29" s="3">
        <v>456101</v>
      </c>
      <c r="C29" s="38">
        <f t="shared" si="7"/>
        <v>920</v>
      </c>
      <c r="D29" s="3">
        <v>11436</v>
      </c>
      <c r="E29" s="38">
        <f t="shared" si="8"/>
        <v>410</v>
      </c>
      <c r="F29" s="3">
        <v>10438600</v>
      </c>
      <c r="G29" s="38">
        <f t="shared" si="5"/>
        <v>575.1</v>
      </c>
      <c r="H29" s="3">
        <v>803560</v>
      </c>
      <c r="I29" s="43">
        <f t="shared" si="6"/>
        <v>3.3210000000000002</v>
      </c>
      <c r="J29" s="19">
        <f t="shared" si="3"/>
        <v>1908.4209999999998</v>
      </c>
      <c r="K29" s="20">
        <f t="shared" si="4"/>
        <v>11183.34706</v>
      </c>
    </row>
    <row r="30" spans="1:25" ht="16.2" thickBot="1" x14ac:dyDescent="0.35">
      <c r="A30" s="9">
        <v>44770</v>
      </c>
      <c r="B30" s="3">
        <v>456190</v>
      </c>
      <c r="C30" s="38">
        <f t="shared" si="7"/>
        <v>890</v>
      </c>
      <c r="D30" s="3">
        <v>11482</v>
      </c>
      <c r="E30" s="38">
        <f t="shared" si="8"/>
        <v>460</v>
      </c>
      <c r="F30" s="3">
        <v>10462000</v>
      </c>
      <c r="G30" s="38">
        <f t="shared" si="5"/>
        <v>631.79999999999995</v>
      </c>
      <c r="H30" s="3">
        <v>803683</v>
      </c>
      <c r="I30" s="43">
        <f t="shared" si="6"/>
        <v>3.3210000000000002</v>
      </c>
      <c r="J30" s="19">
        <f t="shared" si="3"/>
        <v>1985.1209999999999</v>
      </c>
      <c r="K30" s="20">
        <f t="shared" si="4"/>
        <v>11632.80906</v>
      </c>
    </row>
    <row r="31" spans="1:25" ht="16.2" thickBot="1" x14ac:dyDescent="0.35">
      <c r="A31" s="9">
        <v>44771</v>
      </c>
      <c r="B31" s="3">
        <v>456329</v>
      </c>
      <c r="C31" s="38">
        <f t="shared" si="7"/>
        <v>1390</v>
      </c>
      <c r="D31" s="3">
        <v>11526</v>
      </c>
      <c r="E31" s="38">
        <f t="shared" si="8"/>
        <v>440</v>
      </c>
      <c r="F31" s="3">
        <v>10484800</v>
      </c>
      <c r="G31" s="38">
        <f t="shared" si="5"/>
        <v>615.6</v>
      </c>
      <c r="H31" s="3">
        <v>803801</v>
      </c>
      <c r="I31" s="43">
        <f t="shared" si="6"/>
        <v>3.1859999999999999</v>
      </c>
      <c r="J31" s="19">
        <f t="shared" si="3"/>
        <v>2448.7860000000001</v>
      </c>
      <c r="K31" s="20">
        <f t="shared" si="4"/>
        <v>14349.885960000001</v>
      </c>
    </row>
    <row r="32" spans="1:25" ht="16.2" thickBot="1" x14ac:dyDescent="0.35">
      <c r="A32" s="9">
        <v>44772</v>
      </c>
      <c r="B32" s="3">
        <v>456425</v>
      </c>
      <c r="C32" s="38">
        <f t="shared" si="7"/>
        <v>960</v>
      </c>
      <c r="D32" s="3">
        <v>11566</v>
      </c>
      <c r="E32" s="38">
        <f t="shared" si="8"/>
        <v>400</v>
      </c>
      <c r="F32" s="3">
        <v>10505800</v>
      </c>
      <c r="G32" s="38">
        <f t="shared" si="5"/>
        <v>567</v>
      </c>
      <c r="H32" s="3">
        <v>803930</v>
      </c>
      <c r="I32" s="43">
        <f t="shared" si="6"/>
        <v>3.4830000000000001</v>
      </c>
      <c r="J32" s="19">
        <f t="shared" si="3"/>
        <v>1930.4829999999999</v>
      </c>
      <c r="K32" s="20">
        <f t="shared" si="4"/>
        <v>11312.630380000001</v>
      </c>
    </row>
    <row r="33" spans="1:11" ht="16.2" thickBot="1" x14ac:dyDescent="0.35">
      <c r="A33" s="9">
        <v>44773</v>
      </c>
      <c r="B33" s="3">
        <v>456526</v>
      </c>
      <c r="C33" s="38">
        <f t="shared" si="7"/>
        <v>1010</v>
      </c>
      <c r="D33" s="3">
        <v>11606</v>
      </c>
      <c r="E33" s="38">
        <f t="shared" si="8"/>
        <v>400</v>
      </c>
      <c r="F33" s="3">
        <v>10527500</v>
      </c>
      <c r="G33" s="38">
        <f t="shared" si="5"/>
        <v>585.9</v>
      </c>
      <c r="H33" s="3">
        <v>804064</v>
      </c>
      <c r="I33" s="43">
        <f t="shared" si="6"/>
        <v>3.6179999999999999</v>
      </c>
      <c r="J33" s="19">
        <f t="shared" si="3"/>
        <v>1999.518</v>
      </c>
      <c r="K33" s="20">
        <f t="shared" si="4"/>
        <v>11717.175480000002</v>
      </c>
    </row>
    <row r="34" spans="1:11" ht="16.2" thickBot="1" x14ac:dyDescent="0.35">
      <c r="A34" s="55" t="s">
        <v>23</v>
      </c>
      <c r="B34" s="55"/>
      <c r="C34" s="55">
        <f>SUM(C3:C33)</f>
        <v>31960</v>
      </c>
      <c r="D34" s="55"/>
      <c r="E34" s="55">
        <f>SUM(E3:E33)</f>
        <v>13750</v>
      </c>
      <c r="F34" s="55"/>
      <c r="G34" s="55">
        <f>SUM(G3:G33)</f>
        <v>17304.300000000003</v>
      </c>
      <c r="H34" s="55"/>
      <c r="I34" s="55">
        <f>SUM(I3:I33)</f>
        <v>122.68799999999999</v>
      </c>
      <c r="J34" s="55">
        <v>0</v>
      </c>
      <c r="K34" s="55">
        <f>SUM(K4:K33)</f>
        <v>358467.63285999995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zoomScale="80" zoomScaleNormal="55" zoomScaleSheetLayoutView="80" workbookViewId="0">
      <pane ySplit="1" topLeftCell="A14" activePane="bottomLeft" state="frozen"/>
      <selection pane="bottomLeft" activeCell="C34" sqref="C34"/>
    </sheetView>
  </sheetViews>
  <sheetFormatPr defaultRowHeight="22.8" x14ac:dyDescent="0.4"/>
  <cols>
    <col min="1" max="1" width="37.109375" style="16" customWidth="1"/>
    <col min="2" max="2" width="37.109375" customWidth="1"/>
    <col min="3" max="3" width="37.109375" style="45" customWidth="1"/>
    <col min="4" max="4" width="8.5546875" bestFit="1" customWidth="1"/>
    <col min="5" max="5" width="9.33203125" customWidth="1"/>
    <col min="6" max="6" width="11" customWidth="1"/>
    <col min="7" max="7" width="9.6640625" customWidth="1"/>
    <col min="9" max="9" width="19.109375" customWidth="1"/>
  </cols>
  <sheetData>
    <row r="1" spans="1:9" ht="23.4" thickBot="1" x14ac:dyDescent="0.45">
      <c r="A1" s="25" t="s">
        <v>0</v>
      </c>
      <c r="B1" s="25" t="s">
        <v>42</v>
      </c>
      <c r="C1" s="25" t="s">
        <v>25</v>
      </c>
    </row>
    <row r="2" spans="1:9" ht="23.4" thickBot="1" x14ac:dyDescent="0.45">
      <c r="A2" s="9">
        <v>44742</v>
      </c>
      <c r="B2" s="132">
        <v>18364753</v>
      </c>
      <c r="C2" s="44"/>
    </row>
    <row r="3" spans="1:9" ht="23.4" thickBot="1" x14ac:dyDescent="0.45">
      <c r="A3" s="9">
        <v>44743</v>
      </c>
      <c r="B3" s="132">
        <v>18366787</v>
      </c>
      <c r="C3" s="44">
        <f>IF((B3-B2)&lt;0,"0",(B3-B2))</f>
        <v>2034</v>
      </c>
    </row>
    <row r="4" spans="1:9" ht="23.4" thickBot="1" x14ac:dyDescent="0.45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3.4" thickBot="1" x14ac:dyDescent="0.45">
      <c r="A5" s="9">
        <v>44745</v>
      </c>
      <c r="B5" s="132">
        <v>18370040</v>
      </c>
      <c r="C5" s="44">
        <f t="shared" si="0"/>
        <v>1055</v>
      </c>
    </row>
    <row r="6" spans="1:9" ht="23.4" thickBot="1" x14ac:dyDescent="0.45">
      <c r="A6" s="9">
        <v>44746</v>
      </c>
      <c r="B6" s="132">
        <v>18372145</v>
      </c>
      <c r="C6" s="44">
        <f t="shared" si="0"/>
        <v>2105</v>
      </c>
    </row>
    <row r="7" spans="1:9" ht="23.4" thickBot="1" x14ac:dyDescent="0.45">
      <c r="A7" s="9">
        <v>44747</v>
      </c>
      <c r="B7" s="132">
        <v>18373971</v>
      </c>
      <c r="C7" s="44">
        <f t="shared" si="0"/>
        <v>1826</v>
      </c>
    </row>
    <row r="8" spans="1:9" ht="23.4" thickBot="1" x14ac:dyDescent="0.45">
      <c r="A8" s="9">
        <v>44748</v>
      </c>
      <c r="B8" s="132">
        <v>18375581</v>
      </c>
      <c r="C8" s="44">
        <f t="shared" si="0"/>
        <v>1610</v>
      </c>
    </row>
    <row r="9" spans="1:9" ht="23.4" thickBot="1" x14ac:dyDescent="0.45">
      <c r="A9" s="9">
        <v>44749</v>
      </c>
      <c r="B9" s="132">
        <v>18377484</v>
      </c>
      <c r="C9" s="44">
        <f t="shared" si="0"/>
        <v>1903</v>
      </c>
    </row>
    <row r="10" spans="1:9" ht="23.4" thickBot="1" x14ac:dyDescent="0.45">
      <c r="A10" s="9">
        <v>44750</v>
      </c>
      <c r="B10" s="132">
        <v>18379201</v>
      </c>
      <c r="C10" s="44">
        <f t="shared" si="0"/>
        <v>1717</v>
      </c>
    </row>
    <row r="11" spans="1:9" ht="23.4" thickBot="1" x14ac:dyDescent="0.45">
      <c r="A11" s="9">
        <v>44751</v>
      </c>
      <c r="B11" s="132">
        <v>18381102</v>
      </c>
      <c r="C11" s="44">
        <f t="shared" si="0"/>
        <v>1901</v>
      </c>
    </row>
    <row r="12" spans="1:9" ht="23.4" thickBot="1" x14ac:dyDescent="0.45">
      <c r="A12" s="9">
        <v>44752</v>
      </c>
      <c r="B12" s="132">
        <v>18382141</v>
      </c>
      <c r="C12" s="44">
        <f t="shared" si="0"/>
        <v>1039</v>
      </c>
    </row>
    <row r="13" spans="1:9" ht="23.4" thickBot="1" x14ac:dyDescent="0.45">
      <c r="A13" s="9">
        <v>44753</v>
      </c>
      <c r="B13" s="132">
        <v>18383430</v>
      </c>
      <c r="C13" s="44">
        <f t="shared" si="0"/>
        <v>1289</v>
      </c>
    </row>
    <row r="14" spans="1:9" ht="23.4" thickBot="1" x14ac:dyDescent="0.45">
      <c r="A14" s="9">
        <v>44754</v>
      </c>
      <c r="B14" s="132">
        <v>18385520</v>
      </c>
      <c r="C14" s="44">
        <f t="shared" si="0"/>
        <v>2090</v>
      </c>
    </row>
    <row r="15" spans="1:9" ht="23.4" thickBot="1" x14ac:dyDescent="0.45">
      <c r="A15" s="9">
        <v>44755</v>
      </c>
      <c r="B15" s="132">
        <v>18387152</v>
      </c>
      <c r="C15" s="44">
        <f t="shared" si="0"/>
        <v>1632</v>
      </c>
      <c r="I15" t="s">
        <v>12</v>
      </c>
    </row>
    <row r="16" spans="1:9" ht="26.25" customHeight="1" thickBot="1" x14ac:dyDescent="0.45">
      <c r="A16" s="9">
        <v>44756</v>
      </c>
      <c r="B16" s="132">
        <v>18389000</v>
      </c>
      <c r="C16" s="44">
        <f t="shared" si="0"/>
        <v>1848</v>
      </c>
      <c r="F16" s="155"/>
    </row>
    <row r="17" spans="1:9" ht="25.5" customHeight="1" thickBot="1" x14ac:dyDescent="0.45">
      <c r="A17" s="9">
        <v>44757</v>
      </c>
      <c r="B17" s="132">
        <v>18391023</v>
      </c>
      <c r="C17" s="44">
        <f t="shared" si="0"/>
        <v>2023</v>
      </c>
    </row>
    <row r="18" spans="1:9" ht="23.4" thickBot="1" x14ac:dyDescent="0.45">
      <c r="A18" s="9">
        <v>44758</v>
      </c>
      <c r="B18" s="132">
        <v>18392719</v>
      </c>
      <c r="C18" s="44">
        <f t="shared" si="0"/>
        <v>1696</v>
      </c>
      <c r="I18" s="34"/>
    </row>
    <row r="19" spans="1:9" ht="23.4" thickBot="1" x14ac:dyDescent="0.45">
      <c r="A19" s="9">
        <v>44759</v>
      </c>
      <c r="B19" s="132">
        <v>18394815</v>
      </c>
      <c r="C19" s="44">
        <f t="shared" si="0"/>
        <v>2096</v>
      </c>
    </row>
    <row r="20" spans="1:9" ht="23.4" thickBot="1" x14ac:dyDescent="0.45">
      <c r="A20" s="9">
        <v>44760</v>
      </c>
      <c r="B20" s="132">
        <v>18396436</v>
      </c>
      <c r="C20" s="44">
        <f t="shared" si="0"/>
        <v>1621</v>
      </c>
    </row>
    <row r="21" spans="1:9" ht="23.4" thickBot="1" x14ac:dyDescent="0.45">
      <c r="A21" s="9">
        <v>44761</v>
      </c>
      <c r="B21" s="132">
        <v>18398379</v>
      </c>
      <c r="C21" s="44">
        <f t="shared" si="0"/>
        <v>1943</v>
      </c>
    </row>
    <row r="22" spans="1:9" ht="23.4" thickBot="1" x14ac:dyDescent="0.45">
      <c r="A22" s="9">
        <v>44762</v>
      </c>
      <c r="B22" s="132">
        <v>18400265</v>
      </c>
      <c r="C22" s="44">
        <f t="shared" si="0"/>
        <v>1886</v>
      </c>
    </row>
    <row r="23" spans="1:9" ht="23.4" thickBot="1" x14ac:dyDescent="0.45">
      <c r="A23" s="9">
        <v>44763</v>
      </c>
      <c r="B23" s="132">
        <v>18402187</v>
      </c>
      <c r="C23" s="44">
        <f t="shared" si="0"/>
        <v>1922</v>
      </c>
      <c r="F23" t="s">
        <v>12</v>
      </c>
    </row>
    <row r="24" spans="1:9" ht="23.4" thickBot="1" x14ac:dyDescent="0.45">
      <c r="A24" s="9">
        <v>44764</v>
      </c>
      <c r="B24" s="132">
        <v>18404010</v>
      </c>
      <c r="C24" s="44">
        <f t="shared" si="0"/>
        <v>1823</v>
      </c>
      <c r="E24" t="s">
        <v>12</v>
      </c>
    </row>
    <row r="25" spans="1:9" ht="23.4" thickBot="1" x14ac:dyDescent="0.45">
      <c r="A25" s="9">
        <v>44765</v>
      </c>
      <c r="B25" s="132">
        <v>18406000</v>
      </c>
      <c r="C25" s="44">
        <f t="shared" si="0"/>
        <v>1990</v>
      </c>
    </row>
    <row r="26" spans="1:9" ht="23.4" thickBot="1" x14ac:dyDescent="0.45">
      <c r="A26" s="9">
        <v>44766</v>
      </c>
      <c r="B26" s="132">
        <v>18408138</v>
      </c>
      <c r="C26" s="44">
        <f t="shared" si="0"/>
        <v>2138</v>
      </c>
    </row>
    <row r="27" spans="1:9" ht="23.4" thickBot="1" x14ac:dyDescent="0.45">
      <c r="A27" s="9">
        <v>44767</v>
      </c>
      <c r="B27" s="132">
        <v>18409998</v>
      </c>
      <c r="C27" s="44">
        <f t="shared" si="0"/>
        <v>1860</v>
      </c>
    </row>
    <row r="28" spans="1:9" ht="23.4" thickBot="1" x14ac:dyDescent="0.45">
      <c r="A28" s="9">
        <v>44768</v>
      </c>
      <c r="B28" s="132">
        <v>18411999</v>
      </c>
      <c r="C28" s="44">
        <f t="shared" si="0"/>
        <v>2001</v>
      </c>
      <c r="I28" t="s">
        <v>12</v>
      </c>
    </row>
    <row r="29" spans="1:9" ht="23.4" thickBot="1" x14ac:dyDescent="0.45">
      <c r="A29" s="9">
        <v>44769</v>
      </c>
      <c r="B29" s="132">
        <v>18413930</v>
      </c>
      <c r="C29" s="44">
        <f t="shared" si="0"/>
        <v>1931</v>
      </c>
    </row>
    <row r="30" spans="1:9" ht="23.4" thickBot="1" x14ac:dyDescent="0.45">
      <c r="A30" s="9">
        <v>44770</v>
      </c>
      <c r="B30" s="132">
        <v>18415624</v>
      </c>
      <c r="C30" s="44">
        <f t="shared" si="0"/>
        <v>1694</v>
      </c>
    </row>
    <row r="31" spans="1:9" ht="23.4" thickBot="1" x14ac:dyDescent="0.45">
      <c r="A31" s="9">
        <v>44771</v>
      </c>
      <c r="B31" s="132">
        <v>18417505</v>
      </c>
      <c r="C31" s="44">
        <f t="shared" si="0"/>
        <v>1881</v>
      </c>
    </row>
    <row r="32" spans="1:9" ht="23.4" thickBot="1" x14ac:dyDescent="0.45">
      <c r="A32" s="9">
        <v>44772</v>
      </c>
      <c r="B32" s="132">
        <v>18419421</v>
      </c>
      <c r="C32" s="44">
        <f t="shared" si="0"/>
        <v>1916</v>
      </c>
    </row>
    <row r="33" spans="1:3" ht="23.4" thickBot="1" x14ac:dyDescent="0.45">
      <c r="A33" s="9">
        <v>44773</v>
      </c>
      <c r="B33" s="132">
        <v>18421000</v>
      </c>
      <c r="C33" s="44">
        <f t="shared" si="0"/>
        <v>1579</v>
      </c>
    </row>
    <row r="34" spans="1:3" ht="23.4" thickBot="1" x14ac:dyDescent="0.45">
      <c r="A34" s="134" t="s">
        <v>138</v>
      </c>
      <c r="B34" s="134"/>
      <c r="C34" s="134">
        <f>SUM(C4:C33)</f>
        <v>54213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6"/>
  <sheetViews>
    <sheetView topLeftCell="H1" zoomScale="90" zoomScaleNormal="90" workbookViewId="0">
      <pane ySplit="1" topLeftCell="A8" activePane="bottomLeft" state="frozen"/>
      <selection pane="bottomLeft" activeCell="L34" sqref="L34"/>
    </sheetView>
  </sheetViews>
  <sheetFormatPr defaultRowHeight="13.2" x14ac:dyDescent="0.25"/>
  <cols>
    <col min="1" max="1" width="20.88671875" bestFit="1" customWidth="1"/>
    <col min="2" max="2" width="12.88671875" style="161" bestFit="1" customWidth="1"/>
    <col min="3" max="3" width="14.88671875" style="35" customWidth="1"/>
    <col min="4" max="4" width="10.6640625" customWidth="1"/>
    <col min="5" max="5" width="11.33203125" customWidth="1"/>
    <col min="6" max="6" width="14.5546875" style="35" customWidth="1"/>
    <col min="7" max="7" width="10.6640625" customWidth="1"/>
    <col min="8" max="8" width="13.5546875" customWidth="1"/>
    <col min="9" max="9" width="12.88671875" style="35" bestFit="1" customWidth="1"/>
    <col min="10" max="10" width="10.6640625" customWidth="1"/>
    <col min="11" max="11" width="13.44140625" customWidth="1"/>
    <col min="12" max="12" width="12.44140625" style="35" customWidth="1"/>
    <col min="13" max="13" width="10.6640625" customWidth="1"/>
    <col min="14" max="14" width="11.33203125" bestFit="1" customWidth="1"/>
    <col min="15" max="15" width="12.44140625" style="35" customWidth="1"/>
    <col min="16" max="16" width="10.6640625" customWidth="1"/>
    <col min="17" max="17" width="11.6640625" customWidth="1"/>
    <col min="18" max="18" width="11.33203125" style="35" customWidth="1"/>
    <col min="19" max="19" width="10.6640625" customWidth="1"/>
    <col min="20" max="20" width="14.664062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8671875" customWidth="1"/>
    <col min="28" max="28" width="10.5546875" customWidth="1"/>
    <col min="29" max="29" width="7.109375" customWidth="1"/>
    <col min="31" max="31" width="10.5546875" customWidth="1"/>
  </cols>
  <sheetData>
    <row r="1" spans="1:33" ht="16.2" thickBot="1" x14ac:dyDescent="0.35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2" thickBot="1" x14ac:dyDescent="0.3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2" thickBot="1" x14ac:dyDescent="0.3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2" thickBot="1" x14ac:dyDescent="0.3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2" thickBot="1" x14ac:dyDescent="0.3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2" thickBot="1" x14ac:dyDescent="0.3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2" thickBot="1" x14ac:dyDescent="0.3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2" thickBot="1" x14ac:dyDescent="0.3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2" thickBot="1" x14ac:dyDescent="0.3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2" thickBot="1" x14ac:dyDescent="0.3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2" thickBot="1" x14ac:dyDescent="0.3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2" thickBot="1" x14ac:dyDescent="0.3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2" thickBot="1" x14ac:dyDescent="0.3">
      <c r="A13" s="9">
        <v>44753</v>
      </c>
      <c r="B13" s="159">
        <v>24030.154999999999</v>
      </c>
      <c r="C13" s="43">
        <f t="shared" si="21"/>
        <v>12.687999999998283</v>
      </c>
      <c r="D13" s="28">
        <f t="shared" si="22"/>
        <v>24107.199999996737</v>
      </c>
      <c r="E13" s="1">
        <v>4348.8819999999996</v>
      </c>
      <c r="F13" s="43">
        <f t="shared" si="23"/>
        <v>1.3579999999992651</v>
      </c>
      <c r="G13" s="28">
        <f t="shared" si="24"/>
        <v>2580.1999999986037</v>
      </c>
      <c r="H13" s="1">
        <v>5615</v>
      </c>
      <c r="I13" s="43">
        <f t="shared" si="25"/>
        <v>5</v>
      </c>
      <c r="J13" s="28">
        <f t="shared" si="26"/>
        <v>9500</v>
      </c>
      <c r="K13" s="7">
        <v>14065.88</v>
      </c>
      <c r="L13" s="43">
        <f t="shared" si="27"/>
        <v>4.5899999999983265</v>
      </c>
      <c r="M13" s="28">
        <f t="shared" si="28"/>
        <v>8720.9999999968204</v>
      </c>
      <c r="N13" s="7">
        <v>3622.2249999999999</v>
      </c>
      <c r="O13" s="43">
        <f t="shared" si="29"/>
        <v>1.56899999999996</v>
      </c>
      <c r="P13" s="28">
        <f t="shared" si="30"/>
        <v>2981.0999999999235</v>
      </c>
      <c r="Q13" s="7">
        <v>5433.68</v>
      </c>
      <c r="R13" s="43">
        <f t="shared" si="31"/>
        <v>1.9000000000005457</v>
      </c>
      <c r="S13" s="28">
        <f t="shared" si="32"/>
        <v>3610.0000000010368</v>
      </c>
      <c r="T13" s="8">
        <f t="shared" si="34"/>
        <v>27.10499999999638</v>
      </c>
      <c r="U13" s="30">
        <f t="shared" si="33"/>
        <v>51499.499999993117</v>
      </c>
      <c r="W13" s="156">
        <v>44753</v>
      </c>
      <c r="X13" s="157">
        <v>187916</v>
      </c>
      <c r="Y13" s="162">
        <f t="shared" si="20"/>
        <v>243</v>
      </c>
      <c r="Z13" s="157">
        <v>9554</v>
      </c>
      <c r="AA13" s="162">
        <f t="shared" si="20"/>
        <v>4</v>
      </c>
      <c r="AB13" s="157">
        <v>31</v>
      </c>
      <c r="AC13" s="162">
        <f t="shared" si="20"/>
        <v>0</v>
      </c>
      <c r="AD13" s="157">
        <v>585</v>
      </c>
      <c r="AE13" s="162">
        <f t="shared" si="20"/>
        <v>3</v>
      </c>
      <c r="AF13" s="157">
        <v>8171</v>
      </c>
      <c r="AG13" s="162">
        <f t="shared" si="20"/>
        <v>10</v>
      </c>
    </row>
    <row r="14" spans="1:33" ht="16.2" thickBot="1" x14ac:dyDescent="0.3">
      <c r="A14" s="9">
        <v>44754</v>
      </c>
      <c r="B14" s="159">
        <v>24043.258000000002</v>
      </c>
      <c r="C14" s="43">
        <f t="shared" si="21"/>
        <v>13.103000000002794</v>
      </c>
      <c r="D14" s="28">
        <f t="shared" si="22"/>
        <v>24895.700000005305</v>
      </c>
      <c r="E14" s="1">
        <v>4350.1809999999996</v>
      </c>
      <c r="F14" s="43">
        <f t="shared" si="23"/>
        <v>1.2989999999999782</v>
      </c>
      <c r="G14" s="28">
        <f t="shared" si="24"/>
        <v>2468.0999999999585</v>
      </c>
      <c r="H14" s="1">
        <v>5621</v>
      </c>
      <c r="I14" s="43">
        <f t="shared" si="25"/>
        <v>6</v>
      </c>
      <c r="J14" s="28">
        <f t="shared" si="26"/>
        <v>11399.999999999998</v>
      </c>
      <c r="K14" s="7">
        <v>14070.56</v>
      </c>
      <c r="L14" s="43">
        <f t="shared" si="27"/>
        <v>4.680000000000291</v>
      </c>
      <c r="M14" s="28">
        <f t="shared" si="28"/>
        <v>8892.0000000005512</v>
      </c>
      <c r="N14" s="7">
        <v>3624.1889999999999</v>
      </c>
      <c r="O14" s="43">
        <f>IF((N14-N13)&lt;0,"0",(N14-N13))</f>
        <v>1.9639999999999418</v>
      </c>
      <c r="P14" s="28">
        <f t="shared" si="30"/>
        <v>3731.5999999998894</v>
      </c>
      <c r="Q14" s="7">
        <v>5435.56</v>
      </c>
      <c r="R14" s="43">
        <f t="shared" si="31"/>
        <v>1.8800000000001091</v>
      </c>
      <c r="S14" s="28">
        <f t="shared" si="32"/>
        <v>3572.0000000002069</v>
      </c>
      <c r="T14" s="8">
        <f t="shared" si="34"/>
        <v>28.926000000003114</v>
      </c>
      <c r="U14" s="30">
        <f t="shared" si="33"/>
        <v>54959.400000005917</v>
      </c>
      <c r="W14" s="156">
        <v>44754</v>
      </c>
      <c r="X14" s="157">
        <v>188165</v>
      </c>
      <c r="Y14" s="162">
        <f t="shared" si="20"/>
        <v>249</v>
      </c>
      <c r="Z14" s="157">
        <v>9558</v>
      </c>
      <c r="AA14" s="162">
        <f t="shared" si="20"/>
        <v>4</v>
      </c>
      <c r="AB14" s="157">
        <v>31</v>
      </c>
      <c r="AC14" s="162">
        <f t="shared" si="20"/>
        <v>0</v>
      </c>
      <c r="AD14" s="157">
        <v>588</v>
      </c>
      <c r="AE14" s="162">
        <f t="shared" si="20"/>
        <v>3</v>
      </c>
      <c r="AF14" s="157">
        <v>8182</v>
      </c>
      <c r="AG14" s="162">
        <f t="shared" si="20"/>
        <v>11</v>
      </c>
    </row>
    <row r="15" spans="1:33" ht="16.2" thickBot="1" x14ac:dyDescent="0.3">
      <c r="A15" s="9">
        <v>44755</v>
      </c>
      <c r="B15" s="159">
        <v>24055.488000000001</v>
      </c>
      <c r="C15" s="43">
        <f t="shared" ref="C15" si="35">IF((B15-B14)&lt;0,"0",(B15-B14))</f>
        <v>12.229999999999563</v>
      </c>
      <c r="D15" s="28">
        <f t="shared" ref="D15" si="36">C15*1.9*1000</f>
        <v>23236.999999999171</v>
      </c>
      <c r="E15" s="1">
        <v>4352.2330000000002</v>
      </c>
      <c r="F15" s="43">
        <f t="shared" ref="F15" si="37">IF((E15-E14)&lt;0,"0",(E15-E14))</f>
        <v>2.0520000000005894</v>
      </c>
      <c r="G15" s="28">
        <f t="shared" ref="G15" si="38">F15*1.9*1000</f>
        <v>3898.8000000011198</v>
      </c>
      <c r="H15" s="1">
        <v>5626</v>
      </c>
      <c r="I15" s="43">
        <f t="shared" ref="I15" si="39">IF((H15-H14)&lt;0,"0",(H15-H14))</f>
        <v>5</v>
      </c>
      <c r="J15" s="28">
        <f t="shared" ref="J15" si="40">I15*1.9*1000</f>
        <v>9500</v>
      </c>
      <c r="K15" s="7">
        <v>14074.43</v>
      </c>
      <c r="L15" s="43">
        <f t="shared" ref="L15" si="41">IF((K15-K14)&lt;0,"0",(K15-K14))</f>
        <v>3.8700000000008004</v>
      </c>
      <c r="M15" s="28">
        <f t="shared" ref="M15" si="42">L15*1.9*1000</f>
        <v>7353.0000000015207</v>
      </c>
      <c r="N15" s="7">
        <v>3625.248</v>
      </c>
      <c r="O15" s="43">
        <f>IF((N15-N14)&lt;0,"0",(N15-N14))</f>
        <v>1.0590000000001965</v>
      </c>
      <c r="P15" s="28">
        <f t="shared" ref="P15" si="43">O15*1.9*1000</f>
        <v>2012.1000000003733</v>
      </c>
      <c r="Q15" s="7">
        <v>5437.65</v>
      </c>
      <c r="R15" s="43">
        <f t="shared" ref="R15" si="44">IF((Q15-Q14)&lt;0,"0",(Q15-Q14))</f>
        <v>2.089999999999236</v>
      </c>
      <c r="S15" s="28">
        <f t="shared" ref="S15" si="45">R15*1.9*1000</f>
        <v>3970.9999999985484</v>
      </c>
      <c r="T15" s="8">
        <f t="shared" ref="T15" si="46">C15+F15+I15+L15+O15+R15</f>
        <v>26.301000000000386</v>
      </c>
      <c r="U15" s="30">
        <f t="shared" ref="U15" si="47">T15*1.9*1000</f>
        <v>49971.900000000729</v>
      </c>
      <c r="W15" s="156">
        <v>44755</v>
      </c>
      <c r="X15" s="157">
        <v>188165</v>
      </c>
      <c r="Y15" s="162">
        <f t="shared" si="20"/>
        <v>0</v>
      </c>
      <c r="Z15" s="157">
        <v>9558</v>
      </c>
      <c r="AA15" s="162">
        <f t="shared" si="20"/>
        <v>0</v>
      </c>
      <c r="AB15" s="157">
        <v>31</v>
      </c>
      <c r="AC15" s="162">
        <f t="shared" si="20"/>
        <v>0</v>
      </c>
      <c r="AD15" s="157">
        <v>588</v>
      </c>
      <c r="AE15" s="162">
        <f t="shared" si="20"/>
        <v>0</v>
      </c>
      <c r="AF15" s="157">
        <v>8182</v>
      </c>
      <c r="AG15" s="162">
        <f t="shared" si="20"/>
        <v>0</v>
      </c>
    </row>
    <row r="16" spans="1:33" ht="16.2" thickBot="1" x14ac:dyDescent="0.3">
      <c r="A16" s="9">
        <v>44756</v>
      </c>
      <c r="B16" s="159">
        <v>24070.399000000001</v>
      </c>
      <c r="C16" s="43">
        <f t="shared" si="21"/>
        <v>14.911000000000058</v>
      </c>
      <c r="D16" s="28">
        <f t="shared" si="22"/>
        <v>28330.900000000111</v>
      </c>
      <c r="E16" s="1">
        <v>4354.45</v>
      </c>
      <c r="F16" s="43">
        <f t="shared" si="23"/>
        <v>2.2169999999996435</v>
      </c>
      <c r="G16" s="28">
        <f t="shared" si="24"/>
        <v>4212.2999999993226</v>
      </c>
      <c r="H16" s="1">
        <v>5632</v>
      </c>
      <c r="I16" s="43">
        <f t="shared" si="25"/>
        <v>6</v>
      </c>
      <c r="J16" s="28">
        <f t="shared" si="26"/>
        <v>11399.999999999998</v>
      </c>
      <c r="K16" s="7">
        <v>14077.43</v>
      </c>
      <c r="L16" s="43">
        <f t="shared" si="27"/>
        <v>3</v>
      </c>
      <c r="M16" s="28">
        <f t="shared" si="28"/>
        <v>5699.9999999999991</v>
      </c>
      <c r="N16" s="7">
        <v>3627.2440000000001</v>
      </c>
      <c r="O16" s="43">
        <f t="shared" si="29"/>
        <v>1.9960000000000946</v>
      </c>
      <c r="P16" s="28">
        <f t="shared" si="30"/>
        <v>3792.4000000001797</v>
      </c>
      <c r="Q16" s="7">
        <v>5439.73</v>
      </c>
      <c r="R16" s="43">
        <f t="shared" si="31"/>
        <v>2.0799999999999272</v>
      </c>
      <c r="S16" s="28">
        <f t="shared" si="32"/>
        <v>3951.9999999998613</v>
      </c>
      <c r="T16" s="8">
        <f t="shared" si="34"/>
        <v>30.203999999999724</v>
      </c>
      <c r="U16" s="30">
        <f t="shared" si="33"/>
        <v>57387.599999999475</v>
      </c>
      <c r="W16" s="156">
        <v>44756</v>
      </c>
      <c r="X16" s="157">
        <v>188165</v>
      </c>
      <c r="Y16" s="162">
        <f t="shared" si="20"/>
        <v>0</v>
      </c>
      <c r="Z16" s="157">
        <v>9558</v>
      </c>
      <c r="AA16" s="162">
        <f t="shared" si="20"/>
        <v>0</v>
      </c>
      <c r="AB16" s="157">
        <v>31</v>
      </c>
      <c r="AC16" s="162">
        <f t="shared" si="20"/>
        <v>0</v>
      </c>
      <c r="AD16" s="157">
        <v>588</v>
      </c>
      <c r="AE16" s="162">
        <f t="shared" si="20"/>
        <v>0</v>
      </c>
      <c r="AF16" s="157">
        <v>8182</v>
      </c>
      <c r="AG16" s="162">
        <f t="shared" si="20"/>
        <v>0</v>
      </c>
    </row>
    <row r="17" spans="1:33" ht="16.2" thickBot="1" x14ac:dyDescent="0.3">
      <c r="A17" s="9">
        <v>44757</v>
      </c>
      <c r="B17" s="159">
        <v>24082.11</v>
      </c>
      <c r="C17" s="43">
        <f t="shared" si="21"/>
        <v>11.710999999999331</v>
      </c>
      <c r="D17" s="28">
        <f t="shared" si="22"/>
        <v>22250.899999998725</v>
      </c>
      <c r="E17" s="1">
        <v>4356.3270000000002</v>
      </c>
      <c r="F17" s="43">
        <f t="shared" si="23"/>
        <v>1.8770000000004075</v>
      </c>
      <c r="G17" s="28">
        <f t="shared" si="24"/>
        <v>3566.3000000007742</v>
      </c>
      <c r="H17" s="1">
        <v>5637</v>
      </c>
      <c r="I17" s="43">
        <f t="shared" si="25"/>
        <v>5</v>
      </c>
      <c r="J17" s="28">
        <f t="shared" si="26"/>
        <v>9500</v>
      </c>
      <c r="K17" s="7">
        <v>14079.7</v>
      </c>
      <c r="L17" s="43">
        <f t="shared" si="27"/>
        <v>2.2700000000004366</v>
      </c>
      <c r="M17" s="28">
        <f t="shared" si="28"/>
        <v>4313.0000000008295</v>
      </c>
      <c r="N17" s="7">
        <v>3628.7829999999999</v>
      </c>
      <c r="O17" s="43">
        <f t="shared" si="29"/>
        <v>1.5389999999997599</v>
      </c>
      <c r="P17" s="28">
        <f t="shared" si="30"/>
        <v>2924.0999999995438</v>
      </c>
      <c r="Q17" s="7">
        <v>5441.38</v>
      </c>
      <c r="R17" s="43">
        <f t="shared" si="31"/>
        <v>1.6500000000005457</v>
      </c>
      <c r="S17" s="28">
        <f t="shared" si="32"/>
        <v>3135.0000000010368</v>
      </c>
      <c r="T17" s="8">
        <f t="shared" si="34"/>
        <v>24.04700000000048</v>
      </c>
      <c r="U17" s="30">
        <f t="shared" si="33"/>
        <v>45689.300000000912</v>
      </c>
      <c r="W17" s="156">
        <v>44757</v>
      </c>
      <c r="X17" s="157">
        <v>188879</v>
      </c>
      <c r="Y17" s="162">
        <f t="shared" si="20"/>
        <v>714</v>
      </c>
      <c r="Z17" s="157">
        <v>9573</v>
      </c>
      <c r="AA17" s="162">
        <f t="shared" si="20"/>
        <v>15</v>
      </c>
      <c r="AB17" s="157">
        <v>31</v>
      </c>
      <c r="AC17" s="162">
        <f t="shared" si="20"/>
        <v>0</v>
      </c>
      <c r="AD17" s="157">
        <v>594</v>
      </c>
      <c r="AE17" s="162">
        <f t="shared" si="20"/>
        <v>6</v>
      </c>
      <c r="AF17" s="157">
        <v>8211</v>
      </c>
      <c r="AG17" s="162">
        <f t="shared" si="20"/>
        <v>29</v>
      </c>
    </row>
    <row r="18" spans="1:33" ht="16.2" thickBot="1" x14ac:dyDescent="0.3">
      <c r="A18" s="9">
        <v>44758</v>
      </c>
      <c r="B18" s="159">
        <v>24093.442999999999</v>
      </c>
      <c r="C18" s="43">
        <f t="shared" si="21"/>
        <v>11.332999999998719</v>
      </c>
      <c r="D18" s="28">
        <f t="shared" si="22"/>
        <v>21532.699999997563</v>
      </c>
      <c r="E18" s="1">
        <v>4358.2619999999997</v>
      </c>
      <c r="F18" s="43">
        <f t="shared" si="23"/>
        <v>1.9349999999994907</v>
      </c>
      <c r="G18" s="28">
        <f t="shared" si="24"/>
        <v>3676.4999999990323</v>
      </c>
      <c r="H18" s="1">
        <v>5642</v>
      </c>
      <c r="I18" s="43">
        <f t="shared" si="25"/>
        <v>5</v>
      </c>
      <c r="J18" s="28">
        <f t="shared" si="26"/>
        <v>9500</v>
      </c>
      <c r="K18" s="7">
        <v>14081.82</v>
      </c>
      <c r="L18" s="43">
        <f t="shared" si="27"/>
        <v>2.1199999999989814</v>
      </c>
      <c r="M18" s="28">
        <f t="shared" si="28"/>
        <v>4027.9999999980641</v>
      </c>
      <c r="N18" s="7">
        <v>3630.2260000000001</v>
      </c>
      <c r="O18" s="43">
        <f t="shared" si="29"/>
        <v>1.443000000000211</v>
      </c>
      <c r="P18" s="28">
        <f t="shared" si="30"/>
        <v>2741.7000000004009</v>
      </c>
      <c r="Q18" s="7">
        <v>5443.1</v>
      </c>
      <c r="R18" s="43">
        <f t="shared" si="31"/>
        <v>1.7200000000002547</v>
      </c>
      <c r="S18" s="28">
        <f t="shared" si="32"/>
        <v>3268.0000000004839</v>
      </c>
      <c r="T18" s="8">
        <f t="shared" si="34"/>
        <v>23.550999999997657</v>
      </c>
      <c r="U18" s="30">
        <f t="shared" si="33"/>
        <v>44746.899999995549</v>
      </c>
      <c r="W18" s="156">
        <v>44758</v>
      </c>
      <c r="X18" s="157">
        <v>189127</v>
      </c>
      <c r="Y18" s="162">
        <f t="shared" si="20"/>
        <v>248</v>
      </c>
      <c r="Z18" s="157">
        <v>9577</v>
      </c>
      <c r="AA18" s="162">
        <f t="shared" si="20"/>
        <v>4</v>
      </c>
      <c r="AB18" s="157">
        <v>31</v>
      </c>
      <c r="AC18" s="162">
        <f t="shared" si="20"/>
        <v>0</v>
      </c>
      <c r="AD18" s="157">
        <v>597</v>
      </c>
      <c r="AE18" s="162">
        <f t="shared" si="20"/>
        <v>3</v>
      </c>
      <c r="AF18" s="157">
        <v>8219</v>
      </c>
      <c r="AG18" s="162">
        <f t="shared" si="20"/>
        <v>8</v>
      </c>
    </row>
    <row r="19" spans="1:33" ht="16.2" thickBot="1" x14ac:dyDescent="0.3">
      <c r="A19" s="9">
        <v>44759</v>
      </c>
      <c r="B19" s="159">
        <v>24105.909</v>
      </c>
      <c r="C19" s="43">
        <f t="shared" si="21"/>
        <v>12.466000000000349</v>
      </c>
      <c r="D19" s="28">
        <f t="shared" si="22"/>
        <v>23685.400000000664</v>
      </c>
      <c r="E19" s="1">
        <v>4360.8630000000003</v>
      </c>
      <c r="F19" s="43">
        <f t="shared" si="23"/>
        <v>2.6010000000005675</v>
      </c>
      <c r="G19" s="28">
        <f t="shared" si="24"/>
        <v>4941.9000000010774</v>
      </c>
      <c r="H19" s="1">
        <v>5648</v>
      </c>
      <c r="I19" s="43">
        <f t="shared" si="25"/>
        <v>6</v>
      </c>
      <c r="J19" s="28">
        <f t="shared" si="26"/>
        <v>11399.999999999998</v>
      </c>
      <c r="K19" s="7">
        <v>14083.94</v>
      </c>
      <c r="L19" s="43">
        <f t="shared" si="27"/>
        <v>2.1200000000008004</v>
      </c>
      <c r="M19" s="28">
        <f t="shared" si="28"/>
        <v>4028.0000000015202</v>
      </c>
      <c r="N19" s="7">
        <v>3631.9839999999999</v>
      </c>
      <c r="O19" s="43">
        <f t="shared" si="29"/>
        <v>1.7579999999998108</v>
      </c>
      <c r="P19" s="28">
        <f t="shared" si="30"/>
        <v>3340.1999999996406</v>
      </c>
      <c r="Q19" s="7">
        <v>5444.99</v>
      </c>
      <c r="R19" s="43">
        <f t="shared" si="31"/>
        <v>1.8899999999994179</v>
      </c>
      <c r="S19" s="28">
        <f t="shared" si="32"/>
        <v>3590.9999999988941</v>
      </c>
      <c r="T19" s="8">
        <f t="shared" si="34"/>
        <v>26.835000000000946</v>
      </c>
      <c r="U19" s="30">
        <f t="shared" si="33"/>
        <v>50986.500000001797</v>
      </c>
      <c r="W19" s="156">
        <v>44759</v>
      </c>
      <c r="X19" s="157">
        <v>189418</v>
      </c>
      <c r="Y19" s="162">
        <f t="shared" si="20"/>
        <v>291</v>
      </c>
      <c r="Z19" s="157">
        <v>9581</v>
      </c>
      <c r="AA19" s="162">
        <f t="shared" si="20"/>
        <v>4</v>
      </c>
      <c r="AB19" s="157">
        <v>31</v>
      </c>
      <c r="AC19" s="162">
        <f t="shared" si="20"/>
        <v>0</v>
      </c>
      <c r="AD19" s="157">
        <v>603</v>
      </c>
      <c r="AE19" s="162">
        <f t="shared" si="20"/>
        <v>6</v>
      </c>
      <c r="AF19" s="157">
        <v>8239</v>
      </c>
      <c r="AG19" s="162">
        <f t="shared" si="20"/>
        <v>20</v>
      </c>
    </row>
    <row r="20" spans="1:33" ht="16.2" thickBot="1" x14ac:dyDescent="0.3">
      <c r="A20" s="9">
        <v>44760</v>
      </c>
      <c r="B20" s="159">
        <v>24120.647000000001</v>
      </c>
      <c r="C20" s="43">
        <f t="shared" si="21"/>
        <v>14.738000000001193</v>
      </c>
      <c r="D20" s="28">
        <f t="shared" si="22"/>
        <v>28002.200000002264</v>
      </c>
      <c r="E20" s="1">
        <v>4364.8329999999996</v>
      </c>
      <c r="F20" s="43">
        <f t="shared" si="23"/>
        <v>3.9699999999993452</v>
      </c>
      <c r="G20" s="28">
        <f t="shared" si="24"/>
        <v>7542.9999999987558</v>
      </c>
      <c r="H20" s="1">
        <v>5655</v>
      </c>
      <c r="I20" s="43">
        <f t="shared" si="25"/>
        <v>7</v>
      </c>
      <c r="J20" s="28">
        <f t="shared" si="26"/>
        <v>13299.999999999998</v>
      </c>
      <c r="K20" s="7">
        <v>14086.38</v>
      </c>
      <c r="L20" s="43">
        <f t="shared" si="27"/>
        <v>2.4399999999986903</v>
      </c>
      <c r="M20" s="28">
        <f t="shared" si="28"/>
        <v>4635.9999999975116</v>
      </c>
      <c r="N20" s="7">
        <v>3634.384</v>
      </c>
      <c r="O20" s="43">
        <f t="shared" si="29"/>
        <v>2.4000000000000909</v>
      </c>
      <c r="P20" s="28">
        <f t="shared" si="30"/>
        <v>4560.0000000001728</v>
      </c>
      <c r="Q20" s="7">
        <v>5447.31</v>
      </c>
      <c r="R20" s="43">
        <f t="shared" si="31"/>
        <v>2.3200000000006185</v>
      </c>
      <c r="S20" s="28">
        <f t="shared" si="32"/>
        <v>4408.0000000011742</v>
      </c>
      <c r="T20" s="8">
        <f t="shared" si="34"/>
        <v>32.867999999999938</v>
      </c>
      <c r="U20" s="30">
        <f t="shared" si="33"/>
        <v>62449.199999999873</v>
      </c>
      <c r="W20" s="156">
        <v>44760</v>
      </c>
      <c r="X20" s="157">
        <v>189667</v>
      </c>
      <c r="Y20" s="162">
        <f t="shared" si="20"/>
        <v>249</v>
      </c>
      <c r="Z20" s="157">
        <v>9587</v>
      </c>
      <c r="AA20" s="162">
        <f t="shared" si="20"/>
        <v>6</v>
      </c>
      <c r="AB20" s="157">
        <v>31</v>
      </c>
      <c r="AC20" s="162">
        <f t="shared" si="20"/>
        <v>0</v>
      </c>
      <c r="AD20" s="157">
        <v>605</v>
      </c>
      <c r="AE20" s="162">
        <f t="shared" si="20"/>
        <v>2</v>
      </c>
      <c r="AF20" s="157">
        <v>8255</v>
      </c>
      <c r="AG20" s="162">
        <f t="shared" si="20"/>
        <v>16</v>
      </c>
    </row>
    <row r="21" spans="1:33" ht="16.2" thickBot="1" x14ac:dyDescent="0.3">
      <c r="A21" s="9">
        <v>44761</v>
      </c>
      <c r="B21" s="159">
        <v>24134.115000000002</v>
      </c>
      <c r="C21" s="43">
        <f t="shared" si="21"/>
        <v>13.468000000000757</v>
      </c>
      <c r="D21" s="28">
        <f t="shared" si="22"/>
        <v>25589.200000001438</v>
      </c>
      <c r="E21" s="1">
        <v>4368.0739999999996</v>
      </c>
      <c r="F21" s="43">
        <f t="shared" si="23"/>
        <v>3.2409999999999854</v>
      </c>
      <c r="G21" s="28">
        <f t="shared" si="24"/>
        <v>6157.8999999999724</v>
      </c>
      <c r="H21" s="1">
        <v>5663</v>
      </c>
      <c r="I21" s="43">
        <f t="shared" si="25"/>
        <v>8</v>
      </c>
      <c r="J21" s="28">
        <f t="shared" si="26"/>
        <v>15200</v>
      </c>
      <c r="K21" s="7">
        <v>14088.59</v>
      </c>
      <c r="L21" s="43">
        <f t="shared" si="27"/>
        <v>2.2100000000009459</v>
      </c>
      <c r="M21" s="28">
        <f t="shared" si="28"/>
        <v>4199.0000000017963</v>
      </c>
      <c r="N21" s="7">
        <v>3635.873</v>
      </c>
      <c r="O21" s="43">
        <f t="shared" si="29"/>
        <v>1.4890000000000327</v>
      </c>
      <c r="P21" s="28">
        <f t="shared" si="30"/>
        <v>2829.1000000000622</v>
      </c>
      <c r="Q21" s="7">
        <v>5449.93</v>
      </c>
      <c r="R21" s="43">
        <f t="shared" si="31"/>
        <v>2.6199999999998909</v>
      </c>
      <c r="S21" s="28">
        <f t="shared" si="32"/>
        <v>4977.9999999997926</v>
      </c>
      <c r="T21" s="8">
        <f t="shared" si="34"/>
        <v>31.028000000001612</v>
      </c>
      <c r="U21" s="30">
        <f t="shared" si="33"/>
        <v>58953.20000000306</v>
      </c>
      <c r="W21" s="156">
        <v>44761</v>
      </c>
      <c r="X21" s="157">
        <v>189972</v>
      </c>
      <c r="Y21" s="162">
        <f t="shared" si="20"/>
        <v>305</v>
      </c>
      <c r="Z21" s="157">
        <v>9592</v>
      </c>
      <c r="AA21" s="162">
        <f t="shared" si="20"/>
        <v>5</v>
      </c>
      <c r="AB21" s="157">
        <v>31</v>
      </c>
      <c r="AC21" s="162">
        <f t="shared" si="20"/>
        <v>0</v>
      </c>
      <c r="AD21" s="157">
        <v>607</v>
      </c>
      <c r="AE21" s="162">
        <f t="shared" si="20"/>
        <v>2</v>
      </c>
      <c r="AF21" s="157">
        <v>8270</v>
      </c>
      <c r="AG21" s="162">
        <f t="shared" si="20"/>
        <v>15</v>
      </c>
    </row>
    <row r="22" spans="1:33" ht="16.2" thickBot="1" x14ac:dyDescent="0.3">
      <c r="A22" s="9">
        <v>44762</v>
      </c>
      <c r="B22" s="159">
        <v>24148.32</v>
      </c>
      <c r="C22" s="43">
        <f t="shared" si="21"/>
        <v>14.204999999998108</v>
      </c>
      <c r="D22" s="28">
        <f t="shared" si="22"/>
        <v>26989.499999996406</v>
      </c>
      <c r="E22" s="1">
        <v>4371.6549999999997</v>
      </c>
      <c r="F22" s="43">
        <f t="shared" si="23"/>
        <v>3.581000000000131</v>
      </c>
      <c r="G22" s="28">
        <f t="shared" si="24"/>
        <v>6803.9000000002479</v>
      </c>
      <c r="H22" s="1">
        <v>5669</v>
      </c>
      <c r="I22" s="43">
        <f t="shared" si="25"/>
        <v>6</v>
      </c>
      <c r="J22" s="28">
        <f t="shared" si="26"/>
        <v>11399.999999999998</v>
      </c>
      <c r="K22" s="7">
        <v>14091</v>
      </c>
      <c r="L22" s="43">
        <f t="shared" si="27"/>
        <v>2.4099999999998545</v>
      </c>
      <c r="M22" s="28">
        <f t="shared" si="28"/>
        <v>4578.9999999997235</v>
      </c>
      <c r="N22" s="7">
        <v>3637.52</v>
      </c>
      <c r="O22" s="43">
        <f t="shared" si="29"/>
        <v>1.6469999999999345</v>
      </c>
      <c r="P22" s="28">
        <f t="shared" si="30"/>
        <v>3129.2999999998756</v>
      </c>
      <c r="Q22" s="7">
        <v>5452</v>
      </c>
      <c r="R22" s="43">
        <f t="shared" si="31"/>
        <v>2.069999999999709</v>
      </c>
      <c r="S22" s="28">
        <f t="shared" si="32"/>
        <v>3932.999999999447</v>
      </c>
      <c r="T22" s="8">
        <f t="shared" si="34"/>
        <v>29.912999999997737</v>
      </c>
      <c r="U22" s="30">
        <f t="shared" si="33"/>
        <v>56834.699999995697</v>
      </c>
      <c r="W22" s="156">
        <v>44762</v>
      </c>
      <c r="X22" s="157">
        <v>190249</v>
      </c>
      <c r="Y22" s="162">
        <f t="shared" si="20"/>
        <v>277</v>
      </c>
      <c r="Z22" s="157">
        <v>9597</v>
      </c>
      <c r="AA22" s="162">
        <f t="shared" si="20"/>
        <v>5</v>
      </c>
      <c r="AB22" s="157">
        <v>31</v>
      </c>
      <c r="AC22" s="162">
        <f t="shared" si="20"/>
        <v>0</v>
      </c>
      <c r="AD22" s="157">
        <v>615</v>
      </c>
      <c r="AE22" s="162">
        <f t="shared" si="20"/>
        <v>8</v>
      </c>
      <c r="AF22" s="157">
        <v>8283</v>
      </c>
      <c r="AG22" s="162">
        <f t="shared" si="20"/>
        <v>13</v>
      </c>
    </row>
    <row r="23" spans="1:33" ht="16.2" thickBot="1" x14ac:dyDescent="0.3">
      <c r="A23" s="9">
        <v>44763</v>
      </c>
      <c r="B23" s="159">
        <v>24163.116999999998</v>
      </c>
      <c r="C23" s="43">
        <f t="shared" si="21"/>
        <v>14.796999999998661</v>
      </c>
      <c r="D23" s="28">
        <f t="shared" si="22"/>
        <v>28114.299999997456</v>
      </c>
      <c r="E23" s="1">
        <v>4375.29</v>
      </c>
      <c r="F23" s="43">
        <f t="shared" si="23"/>
        <v>3.6350000000002183</v>
      </c>
      <c r="G23" s="28">
        <f t="shared" si="24"/>
        <v>6906.5000000004138</v>
      </c>
      <c r="H23" s="1">
        <v>5676</v>
      </c>
      <c r="I23" s="43">
        <f t="shared" si="25"/>
        <v>7</v>
      </c>
      <c r="J23" s="28">
        <f t="shared" si="26"/>
        <v>13299.999999999998</v>
      </c>
      <c r="K23" s="7">
        <v>14093.64</v>
      </c>
      <c r="L23" s="43">
        <f t="shared" si="27"/>
        <v>2.6399999999994179</v>
      </c>
      <c r="M23" s="28">
        <f t="shared" si="28"/>
        <v>5015.9999999988941</v>
      </c>
      <c r="N23" s="7">
        <v>3639.3130000000001</v>
      </c>
      <c r="O23" s="43">
        <f t="shared" si="29"/>
        <v>1.7930000000001201</v>
      </c>
      <c r="P23" s="28">
        <f t="shared" si="30"/>
        <v>3406.7000000002281</v>
      </c>
      <c r="Q23" s="7">
        <v>5454.23</v>
      </c>
      <c r="R23" s="43">
        <f t="shared" si="31"/>
        <v>2.2299999999995634</v>
      </c>
      <c r="S23" s="28">
        <f t="shared" si="32"/>
        <v>4236.9999999991705</v>
      </c>
      <c r="T23" s="8">
        <f t="shared" si="34"/>
        <v>32.094999999997981</v>
      </c>
      <c r="U23" s="30">
        <f t="shared" si="33"/>
        <v>60980.499999996166</v>
      </c>
      <c r="W23" s="156">
        <v>44763</v>
      </c>
      <c r="X23" s="157">
        <v>190552</v>
      </c>
      <c r="Y23" s="162">
        <f t="shared" si="20"/>
        <v>303</v>
      </c>
      <c r="Z23" s="157">
        <v>9602</v>
      </c>
      <c r="AA23" s="162">
        <f t="shared" si="20"/>
        <v>5</v>
      </c>
      <c r="AB23" s="157">
        <v>31</v>
      </c>
      <c r="AC23" s="162">
        <f t="shared" si="20"/>
        <v>0</v>
      </c>
      <c r="AD23" s="157">
        <v>618</v>
      </c>
      <c r="AE23" s="162">
        <f t="shared" si="20"/>
        <v>3</v>
      </c>
      <c r="AF23" s="157">
        <v>8298</v>
      </c>
      <c r="AG23" s="162">
        <f t="shared" si="20"/>
        <v>15</v>
      </c>
    </row>
    <row r="24" spans="1:33" ht="16.2" thickBot="1" x14ac:dyDescent="0.3">
      <c r="A24" s="9">
        <v>44764</v>
      </c>
      <c r="B24" s="159">
        <v>24176.348000000002</v>
      </c>
      <c r="C24" s="43">
        <f t="shared" si="21"/>
        <v>13.231000000003405</v>
      </c>
      <c r="D24" s="28">
        <f t="shared" si="22"/>
        <v>25138.90000000647</v>
      </c>
      <c r="E24" s="1">
        <v>4377.4480000000003</v>
      </c>
      <c r="F24" s="43">
        <f t="shared" si="23"/>
        <v>2.1580000000003565</v>
      </c>
      <c r="G24" s="28">
        <f t="shared" si="24"/>
        <v>4100.2000000006765</v>
      </c>
      <c r="H24" s="1">
        <v>5681</v>
      </c>
      <c r="I24" s="43">
        <f t="shared" si="25"/>
        <v>5</v>
      </c>
      <c r="J24" s="28">
        <f t="shared" si="26"/>
        <v>9500</v>
      </c>
      <c r="K24" s="7">
        <v>14096.23</v>
      </c>
      <c r="L24" s="43">
        <f t="shared" si="27"/>
        <v>2.5900000000001455</v>
      </c>
      <c r="M24" s="28">
        <f t="shared" si="28"/>
        <v>4921.0000000002765</v>
      </c>
      <c r="N24" s="7">
        <v>3641.0819999999999</v>
      </c>
      <c r="O24" s="43">
        <f t="shared" si="29"/>
        <v>1.7689999999997781</v>
      </c>
      <c r="P24" s="28">
        <f t="shared" si="30"/>
        <v>3361.0999999995779</v>
      </c>
      <c r="Q24" s="7">
        <v>5456.26</v>
      </c>
      <c r="R24" s="43">
        <f t="shared" si="31"/>
        <v>2.0300000000006548</v>
      </c>
      <c r="S24" s="28">
        <f t="shared" si="32"/>
        <v>3857.0000000012442</v>
      </c>
      <c r="T24" s="8">
        <f t="shared" si="34"/>
        <v>26.77800000000434</v>
      </c>
      <c r="U24" s="30">
        <f t="shared" si="33"/>
        <v>50878.200000008241</v>
      </c>
      <c r="W24" s="156">
        <v>44764</v>
      </c>
      <c r="X24" s="157">
        <v>190805</v>
      </c>
      <c r="Y24" s="162">
        <f t="shared" si="20"/>
        <v>253</v>
      </c>
      <c r="Z24" s="157">
        <v>9607</v>
      </c>
      <c r="AA24" s="162">
        <f t="shared" si="20"/>
        <v>5</v>
      </c>
      <c r="AB24" s="157">
        <v>31</v>
      </c>
      <c r="AC24" s="162">
        <f t="shared" si="20"/>
        <v>0</v>
      </c>
      <c r="AD24" s="157">
        <v>621</v>
      </c>
      <c r="AE24" s="162">
        <f t="shared" si="20"/>
        <v>3</v>
      </c>
      <c r="AF24" s="157">
        <v>8308</v>
      </c>
      <c r="AG24" s="162">
        <f t="shared" si="20"/>
        <v>10</v>
      </c>
    </row>
    <row r="25" spans="1:33" ht="16.2" thickBot="1" x14ac:dyDescent="0.3">
      <c r="A25" s="9">
        <v>44765</v>
      </c>
      <c r="B25" s="159">
        <v>24189.636999999999</v>
      </c>
      <c r="C25" s="43">
        <f t="shared" si="21"/>
        <v>13.288999999997031</v>
      </c>
      <c r="D25" s="28">
        <f t="shared" si="22"/>
        <v>25249.099999994356</v>
      </c>
      <c r="E25" s="1">
        <v>4379.76</v>
      </c>
      <c r="F25" s="43">
        <f t="shared" si="23"/>
        <v>2.3119999999998981</v>
      </c>
      <c r="G25" s="28">
        <f t="shared" si="24"/>
        <v>4392.7999999998065</v>
      </c>
      <c r="H25" s="1">
        <v>5686</v>
      </c>
      <c r="I25" s="43">
        <f t="shared" si="25"/>
        <v>5</v>
      </c>
      <c r="J25" s="28">
        <f t="shared" si="26"/>
        <v>9500</v>
      </c>
      <c r="K25" s="7">
        <v>14098.83</v>
      </c>
      <c r="L25" s="43">
        <f t="shared" si="27"/>
        <v>2.6000000000003638</v>
      </c>
      <c r="M25" s="28">
        <f t="shared" si="28"/>
        <v>4940.0000000006912</v>
      </c>
      <c r="N25" s="7">
        <v>3642.7930000000001</v>
      </c>
      <c r="O25" s="43">
        <f t="shared" si="29"/>
        <v>1.7110000000002401</v>
      </c>
      <c r="P25" s="28">
        <f t="shared" si="30"/>
        <v>3250.9000000004562</v>
      </c>
      <c r="Q25" s="7">
        <v>5458.26</v>
      </c>
      <c r="R25" s="43">
        <f t="shared" si="31"/>
        <v>2</v>
      </c>
      <c r="S25" s="28">
        <f t="shared" si="32"/>
        <v>3800</v>
      </c>
      <c r="T25" s="8">
        <f t="shared" si="34"/>
        <v>26.911999999997533</v>
      </c>
      <c r="U25" s="30">
        <f t="shared" si="33"/>
        <v>51132.799999995317</v>
      </c>
      <c r="W25" s="156">
        <v>44765</v>
      </c>
      <c r="X25" s="157">
        <v>191097</v>
      </c>
      <c r="Y25" s="162">
        <f t="shared" si="20"/>
        <v>292</v>
      </c>
      <c r="Z25" s="157">
        <v>9612</v>
      </c>
      <c r="AA25" s="162">
        <f t="shared" si="20"/>
        <v>5</v>
      </c>
      <c r="AB25" s="157">
        <v>31</v>
      </c>
      <c r="AC25" s="162">
        <f t="shared" si="20"/>
        <v>0</v>
      </c>
      <c r="AD25" s="157">
        <v>625</v>
      </c>
      <c r="AE25" s="162">
        <f t="shared" si="20"/>
        <v>4</v>
      </c>
      <c r="AF25" s="157">
        <v>8319</v>
      </c>
      <c r="AG25" s="162">
        <f t="shared" si="20"/>
        <v>11</v>
      </c>
    </row>
    <row r="26" spans="1:33" ht="16.2" thickBot="1" x14ac:dyDescent="0.3">
      <c r="A26" s="9">
        <v>44766</v>
      </c>
      <c r="B26" s="159">
        <v>24204.902999999998</v>
      </c>
      <c r="C26" s="43">
        <f t="shared" si="21"/>
        <v>15.265999999999622</v>
      </c>
      <c r="D26" s="28">
        <f t="shared" si="22"/>
        <v>29005.399999999281</v>
      </c>
      <c r="E26" s="1">
        <v>4383.1679999999997</v>
      </c>
      <c r="F26" s="43">
        <f t="shared" si="23"/>
        <v>3.407999999999447</v>
      </c>
      <c r="G26" s="28">
        <f t="shared" si="24"/>
        <v>6475.1999999989494</v>
      </c>
      <c r="H26" s="1">
        <v>5692</v>
      </c>
      <c r="I26" s="43">
        <f t="shared" si="25"/>
        <v>6</v>
      </c>
      <c r="J26" s="28">
        <f t="shared" si="26"/>
        <v>11399.999999999998</v>
      </c>
      <c r="K26" s="7">
        <v>14102.03</v>
      </c>
      <c r="L26" s="43">
        <f>IF((K26-K25)&lt;0,"0",(K26-K25))</f>
        <v>3.2000000000007276</v>
      </c>
      <c r="M26" s="28">
        <f t="shared" si="28"/>
        <v>6080.0000000013824</v>
      </c>
      <c r="N26" s="7">
        <v>3644.8519999999999</v>
      </c>
      <c r="O26" s="43">
        <f t="shared" si="29"/>
        <v>2.0589999999997417</v>
      </c>
      <c r="P26" s="28">
        <f t="shared" si="30"/>
        <v>3912.0999999995088</v>
      </c>
      <c r="Q26" s="7">
        <v>5460.58</v>
      </c>
      <c r="R26" s="43">
        <f t="shared" si="31"/>
        <v>2.319999999999709</v>
      </c>
      <c r="S26" s="28">
        <f t="shared" si="32"/>
        <v>4407.999999999447</v>
      </c>
      <c r="T26" s="8">
        <f t="shared" si="34"/>
        <v>32.252999999999247</v>
      </c>
      <c r="U26" s="30">
        <f t="shared" si="33"/>
        <v>61280.699999998571</v>
      </c>
      <c r="V26" t="s">
        <v>12</v>
      </c>
      <c r="W26" s="156">
        <v>44766</v>
      </c>
      <c r="X26" s="157">
        <v>191265</v>
      </c>
      <c r="Y26" s="162">
        <f t="shared" si="20"/>
        <v>168</v>
      </c>
      <c r="Z26" s="157">
        <v>9617</v>
      </c>
      <c r="AA26" s="162">
        <f t="shared" si="20"/>
        <v>5</v>
      </c>
      <c r="AB26" s="157">
        <v>31</v>
      </c>
      <c r="AC26" s="162">
        <f t="shared" si="20"/>
        <v>0</v>
      </c>
      <c r="AD26" s="157">
        <v>628</v>
      </c>
      <c r="AE26" s="162">
        <f t="shared" si="20"/>
        <v>3</v>
      </c>
      <c r="AF26" s="157">
        <v>8328</v>
      </c>
      <c r="AG26" s="162">
        <f t="shared" si="20"/>
        <v>9</v>
      </c>
    </row>
    <row r="27" spans="1:33" ht="16.2" thickBot="1" x14ac:dyDescent="0.3">
      <c r="A27" s="9">
        <v>44767</v>
      </c>
      <c r="B27" s="159">
        <v>24217.617999999999</v>
      </c>
      <c r="C27" s="43">
        <f t="shared" si="21"/>
        <v>12.715000000000146</v>
      </c>
      <c r="D27" s="28">
        <f t="shared" si="22"/>
        <v>24158.500000000273</v>
      </c>
      <c r="E27" s="1">
        <v>4386.2020000000002</v>
      </c>
      <c r="F27" s="43">
        <f t="shared" si="23"/>
        <v>3.0340000000005602</v>
      </c>
      <c r="G27" s="28">
        <f t="shared" si="24"/>
        <v>5764.6000000010636</v>
      </c>
      <c r="H27" s="1">
        <v>5698</v>
      </c>
      <c r="I27" s="43">
        <f t="shared" si="25"/>
        <v>6</v>
      </c>
      <c r="J27" s="28">
        <f t="shared" si="26"/>
        <v>11399.999999999998</v>
      </c>
      <c r="K27" s="7">
        <v>14104.43</v>
      </c>
      <c r="L27" s="43">
        <f t="shared" si="27"/>
        <v>2.3999999999996362</v>
      </c>
      <c r="M27" s="28">
        <f t="shared" si="28"/>
        <v>4559.9999999993088</v>
      </c>
      <c r="N27" s="7">
        <v>3646.5880000000002</v>
      </c>
      <c r="O27" s="43">
        <f t="shared" si="29"/>
        <v>1.7360000000003311</v>
      </c>
      <c r="P27" s="28">
        <f t="shared" si="30"/>
        <v>3298.400000000629</v>
      </c>
      <c r="Q27" s="7">
        <v>5462.13</v>
      </c>
      <c r="R27" s="43">
        <f t="shared" si="31"/>
        <v>1.5500000000001819</v>
      </c>
      <c r="S27" s="28">
        <f t="shared" si="32"/>
        <v>2945.0000000003452</v>
      </c>
      <c r="T27" s="8">
        <f t="shared" si="34"/>
        <v>27.435000000000855</v>
      </c>
      <c r="U27" s="30">
        <f t="shared" si="33"/>
        <v>52126.500000001623</v>
      </c>
      <c r="V27" t="s">
        <v>12</v>
      </c>
      <c r="W27" s="156">
        <v>44767</v>
      </c>
      <c r="X27" s="157">
        <v>191477</v>
      </c>
      <c r="Y27" s="162">
        <f t="shared" si="20"/>
        <v>212</v>
      </c>
      <c r="Z27" s="157">
        <v>9621</v>
      </c>
      <c r="AA27" s="162">
        <f t="shared" si="20"/>
        <v>4</v>
      </c>
      <c r="AB27" s="157">
        <v>31</v>
      </c>
      <c r="AC27" s="162">
        <f t="shared" si="20"/>
        <v>0</v>
      </c>
      <c r="AD27" s="157">
        <v>632</v>
      </c>
      <c r="AE27" s="162">
        <f t="shared" si="20"/>
        <v>4</v>
      </c>
      <c r="AF27" s="157">
        <v>8340</v>
      </c>
      <c r="AG27" s="162">
        <f t="shared" si="20"/>
        <v>12</v>
      </c>
    </row>
    <row r="28" spans="1:33" ht="16.2" thickBot="1" x14ac:dyDescent="0.3">
      <c r="A28" s="9">
        <v>44768</v>
      </c>
      <c r="B28" s="159">
        <v>24230.449000000001</v>
      </c>
      <c r="C28" s="43">
        <f t="shared" si="21"/>
        <v>12.83100000000195</v>
      </c>
      <c r="D28" s="28">
        <f t="shared" si="22"/>
        <v>24378.900000003705</v>
      </c>
      <c r="E28" s="1">
        <v>4389.3370000000004</v>
      </c>
      <c r="F28" s="43">
        <f t="shared" si="23"/>
        <v>3.1350000000002183</v>
      </c>
      <c r="G28" s="28">
        <f t="shared" si="24"/>
        <v>5956.5000000004138</v>
      </c>
      <c r="H28" s="1">
        <v>5704</v>
      </c>
      <c r="I28" s="43">
        <f t="shared" si="25"/>
        <v>6</v>
      </c>
      <c r="J28" s="28">
        <f t="shared" si="26"/>
        <v>11399.999999999998</v>
      </c>
      <c r="K28" s="7">
        <v>14106.91</v>
      </c>
      <c r="L28" s="43">
        <f t="shared" si="27"/>
        <v>2.4799999999995634</v>
      </c>
      <c r="M28" s="28">
        <f t="shared" si="28"/>
        <v>4711.9999999991705</v>
      </c>
      <c r="N28" s="7">
        <v>3648.3229999999999</v>
      </c>
      <c r="O28" s="43">
        <f t="shared" si="29"/>
        <v>1.7349999999996726</v>
      </c>
      <c r="P28" s="28">
        <f t="shared" si="30"/>
        <v>3296.4999999993779</v>
      </c>
      <c r="Q28" s="7">
        <v>5464.73</v>
      </c>
      <c r="R28" s="43">
        <f t="shared" si="31"/>
        <v>2.5999999999994543</v>
      </c>
      <c r="S28" s="28">
        <f t="shared" si="32"/>
        <v>4939.9999999989632</v>
      </c>
      <c r="T28" s="8">
        <f t="shared" si="34"/>
        <v>28.781000000000859</v>
      </c>
      <c r="U28" s="30">
        <f t="shared" si="33"/>
        <v>54683.900000001631</v>
      </c>
      <c r="W28" s="156">
        <v>44768</v>
      </c>
      <c r="X28" s="157">
        <v>192000</v>
      </c>
      <c r="Y28" s="162">
        <f t="shared" si="20"/>
        <v>523</v>
      </c>
      <c r="Z28" s="157">
        <v>9628</v>
      </c>
      <c r="AA28" s="162">
        <f t="shared" si="20"/>
        <v>7</v>
      </c>
      <c r="AB28" s="157">
        <v>31</v>
      </c>
      <c r="AC28" s="162">
        <f t="shared" si="20"/>
        <v>0</v>
      </c>
      <c r="AD28" s="157">
        <v>635</v>
      </c>
      <c r="AE28" s="162">
        <f t="shared" si="20"/>
        <v>3</v>
      </c>
      <c r="AF28" s="157">
        <v>8352</v>
      </c>
      <c r="AG28" s="162">
        <f t="shared" si="20"/>
        <v>12</v>
      </c>
    </row>
    <row r="29" spans="1:33" ht="16.2" thickBot="1" x14ac:dyDescent="0.3">
      <c r="A29" s="9">
        <v>44769</v>
      </c>
      <c r="B29" s="159">
        <v>24245.871999999999</v>
      </c>
      <c r="C29" s="43">
        <f t="shared" si="21"/>
        <v>15.422999999998865</v>
      </c>
      <c r="D29" s="28">
        <f t="shared" si="22"/>
        <v>29303.699999997843</v>
      </c>
      <c r="E29" s="1">
        <v>4393.0600000000004</v>
      </c>
      <c r="F29" s="43">
        <f t="shared" si="23"/>
        <v>3.7229999999999563</v>
      </c>
      <c r="G29" s="28">
        <f t="shared" si="24"/>
        <v>7073.6999999999171</v>
      </c>
      <c r="H29" s="1">
        <v>5711</v>
      </c>
      <c r="I29" s="43">
        <f t="shared" si="25"/>
        <v>7</v>
      </c>
      <c r="J29" s="28">
        <f t="shared" si="26"/>
        <v>13299.999999999998</v>
      </c>
      <c r="K29" s="7">
        <v>14109.98</v>
      </c>
      <c r="L29" s="43">
        <f t="shared" si="27"/>
        <v>3.069999999999709</v>
      </c>
      <c r="M29" s="28">
        <f t="shared" si="28"/>
        <v>5832.999999999447</v>
      </c>
      <c r="N29" s="7">
        <v>3650.424</v>
      </c>
      <c r="O29" s="43">
        <f t="shared" si="29"/>
        <v>2.1010000000001128</v>
      </c>
      <c r="P29" s="28">
        <f t="shared" si="30"/>
        <v>3991.9000000002143</v>
      </c>
      <c r="Q29" s="7">
        <v>5466.12</v>
      </c>
      <c r="R29" s="43">
        <f t="shared" si="31"/>
        <v>1.3900000000003274</v>
      </c>
      <c r="S29" s="28">
        <f t="shared" si="32"/>
        <v>2641.0000000006221</v>
      </c>
      <c r="T29" s="8">
        <f t="shared" si="34"/>
        <v>32.70699999999897</v>
      </c>
      <c r="U29" s="30">
        <f t="shared" si="33"/>
        <v>62143.299999998046</v>
      </c>
      <c r="W29" s="156">
        <v>44769</v>
      </c>
      <c r="X29" s="157">
        <v>192403</v>
      </c>
      <c r="Y29" s="162">
        <f t="shared" si="20"/>
        <v>403</v>
      </c>
      <c r="Z29" s="157">
        <v>9634</v>
      </c>
      <c r="AA29" s="162">
        <f t="shared" si="20"/>
        <v>6</v>
      </c>
      <c r="AB29" s="157">
        <v>31</v>
      </c>
      <c r="AC29" s="162">
        <f t="shared" si="20"/>
        <v>0</v>
      </c>
      <c r="AD29" s="157">
        <v>639</v>
      </c>
      <c r="AE29" s="162">
        <f t="shared" si="20"/>
        <v>4</v>
      </c>
      <c r="AF29" s="157">
        <v>8360</v>
      </c>
      <c r="AG29" s="162">
        <f t="shared" si="20"/>
        <v>8</v>
      </c>
    </row>
    <row r="30" spans="1:33" ht="16.2" thickBot="1" x14ac:dyDescent="0.3">
      <c r="A30" s="9">
        <v>44770</v>
      </c>
      <c r="B30" s="159">
        <v>24260.922999999999</v>
      </c>
      <c r="C30" s="43">
        <f t="shared" si="21"/>
        <v>15.050999999999476</v>
      </c>
      <c r="D30" s="28">
        <f t="shared" si="22"/>
        <v>28596.899999999005</v>
      </c>
      <c r="E30" s="1">
        <v>4396.2299999999996</v>
      </c>
      <c r="F30" s="43">
        <f t="shared" si="23"/>
        <v>3.1699999999991633</v>
      </c>
      <c r="G30" s="28">
        <f t="shared" si="24"/>
        <v>6022.9999999984102</v>
      </c>
      <c r="H30" s="1">
        <v>5718</v>
      </c>
      <c r="I30" s="43">
        <f t="shared" si="25"/>
        <v>7</v>
      </c>
      <c r="J30" s="28">
        <f t="shared" si="26"/>
        <v>13299.999999999998</v>
      </c>
      <c r="K30" s="7">
        <v>14112.82</v>
      </c>
      <c r="L30" s="43">
        <f t="shared" si="27"/>
        <v>2.8400000000001455</v>
      </c>
      <c r="M30" s="28">
        <f t="shared" si="28"/>
        <v>5396.0000000002765</v>
      </c>
      <c r="N30" s="7">
        <v>3652.393</v>
      </c>
      <c r="O30" s="43">
        <f t="shared" si="29"/>
        <v>1.9690000000000509</v>
      </c>
      <c r="P30" s="28">
        <f t="shared" si="30"/>
        <v>3741.1000000000968</v>
      </c>
      <c r="Q30" s="7">
        <v>5468.02</v>
      </c>
      <c r="R30" s="43">
        <f t="shared" si="31"/>
        <v>1.9000000000005457</v>
      </c>
      <c r="S30" s="28">
        <f t="shared" si="32"/>
        <v>3610.0000000010368</v>
      </c>
      <c r="T30" s="8">
        <f t="shared" si="34"/>
        <v>31.929999999999382</v>
      </c>
      <c r="U30" s="30">
        <f t="shared" si="33"/>
        <v>60666.999999998821</v>
      </c>
      <c r="W30" s="156">
        <v>44770</v>
      </c>
      <c r="X30" s="157">
        <v>192806</v>
      </c>
      <c r="Y30" s="162">
        <f t="shared" si="20"/>
        <v>403</v>
      </c>
      <c r="Z30" s="157">
        <v>9643</v>
      </c>
      <c r="AA30" s="162">
        <f t="shared" si="20"/>
        <v>9</v>
      </c>
      <c r="AB30" s="157">
        <v>31</v>
      </c>
      <c r="AC30" s="162">
        <f t="shared" si="20"/>
        <v>0</v>
      </c>
      <c r="AD30" s="157">
        <v>642</v>
      </c>
      <c r="AE30" s="162">
        <f t="shared" si="20"/>
        <v>3</v>
      </c>
      <c r="AF30" s="157">
        <v>8389</v>
      </c>
      <c r="AG30" s="162">
        <f t="shared" si="20"/>
        <v>29</v>
      </c>
    </row>
    <row r="31" spans="1:33" ht="16.2" thickBot="1" x14ac:dyDescent="0.3">
      <c r="A31" s="9">
        <v>44771</v>
      </c>
      <c r="B31" s="159">
        <v>24273.587</v>
      </c>
      <c r="C31" s="43">
        <f t="shared" si="21"/>
        <v>12.664000000000669</v>
      </c>
      <c r="D31" s="28">
        <f t="shared" si="22"/>
        <v>24061.600000001272</v>
      </c>
      <c r="E31" s="1">
        <v>4397.299</v>
      </c>
      <c r="F31" s="43">
        <f t="shared" si="23"/>
        <v>1.0690000000004147</v>
      </c>
      <c r="G31" s="28">
        <f t="shared" si="24"/>
        <v>2031.1000000007878</v>
      </c>
      <c r="H31" s="1">
        <v>5722</v>
      </c>
      <c r="I31" s="43">
        <f t="shared" si="25"/>
        <v>4</v>
      </c>
      <c r="J31" s="28">
        <f t="shared" si="26"/>
        <v>7600</v>
      </c>
      <c r="K31" s="7">
        <v>14114.42</v>
      </c>
      <c r="L31" s="43">
        <f t="shared" si="27"/>
        <v>1.6000000000003638</v>
      </c>
      <c r="M31" s="28">
        <f t="shared" si="28"/>
        <v>3040.0000000006912</v>
      </c>
      <c r="N31" s="7">
        <v>3653.4929999999999</v>
      </c>
      <c r="O31" s="43">
        <f t="shared" si="29"/>
        <v>1.0999999999999091</v>
      </c>
      <c r="P31" s="28">
        <f t="shared" si="30"/>
        <v>2089.9999999998272</v>
      </c>
      <c r="Q31" s="7">
        <v>5469.89</v>
      </c>
      <c r="R31" s="43">
        <f t="shared" si="31"/>
        <v>1.8699999999998909</v>
      </c>
      <c r="S31" s="28">
        <f t="shared" si="32"/>
        <v>3552.9999999997926</v>
      </c>
      <c r="T31" s="8">
        <f t="shared" si="34"/>
        <v>22.303000000001248</v>
      </c>
      <c r="U31" s="30">
        <f t="shared" si="33"/>
        <v>42375.700000002369</v>
      </c>
      <c r="W31" s="156">
        <v>44771</v>
      </c>
      <c r="X31" s="157">
        <v>193040</v>
      </c>
      <c r="Y31" s="162">
        <f t="shared" si="20"/>
        <v>234</v>
      </c>
      <c r="Z31" s="157">
        <v>9647</v>
      </c>
      <c r="AA31" s="162">
        <f t="shared" si="20"/>
        <v>4</v>
      </c>
      <c r="AB31" s="157">
        <v>31</v>
      </c>
      <c r="AC31" s="162">
        <f t="shared" si="20"/>
        <v>0</v>
      </c>
      <c r="AD31" s="157">
        <v>645</v>
      </c>
      <c r="AE31" s="162">
        <f t="shared" si="20"/>
        <v>3</v>
      </c>
      <c r="AF31" s="157">
        <v>8401</v>
      </c>
      <c r="AG31" s="162">
        <f t="shared" si="20"/>
        <v>12</v>
      </c>
    </row>
    <row r="32" spans="1:33" ht="16.2" thickBot="1" x14ac:dyDescent="0.3">
      <c r="A32" s="9">
        <v>44772</v>
      </c>
      <c r="B32" s="159">
        <v>24283.9</v>
      </c>
      <c r="C32" s="43">
        <f t="shared" si="21"/>
        <v>10.313000000001921</v>
      </c>
      <c r="D32" s="28">
        <f t="shared" si="22"/>
        <v>19594.70000000365</v>
      </c>
      <c r="E32" s="1">
        <v>4399.1270000000004</v>
      </c>
      <c r="F32" s="43">
        <f t="shared" si="23"/>
        <v>1.8280000000004293</v>
      </c>
      <c r="G32" s="28">
        <f t="shared" si="24"/>
        <v>3473.2000000008156</v>
      </c>
      <c r="H32" s="1">
        <v>5728</v>
      </c>
      <c r="I32" s="43">
        <f t="shared" si="25"/>
        <v>6</v>
      </c>
      <c r="J32" s="28">
        <f t="shared" si="26"/>
        <v>11399.999999999998</v>
      </c>
      <c r="K32" s="7">
        <v>14116.42</v>
      </c>
      <c r="L32" s="43">
        <f t="shared" si="27"/>
        <v>2</v>
      </c>
      <c r="M32" s="28">
        <f t="shared" si="28"/>
        <v>3800</v>
      </c>
      <c r="N32" s="7">
        <v>3654.9760000000001</v>
      </c>
      <c r="O32" s="43">
        <f t="shared" si="29"/>
        <v>1.4830000000001746</v>
      </c>
      <c r="P32" s="28">
        <f t="shared" si="30"/>
        <v>2817.7000000003318</v>
      </c>
      <c r="Q32" s="7">
        <v>5470.01</v>
      </c>
      <c r="R32" s="43">
        <f t="shared" si="31"/>
        <v>0.11999999999989086</v>
      </c>
      <c r="S32" s="28">
        <f t="shared" si="32"/>
        <v>227.99999999979261</v>
      </c>
      <c r="T32" s="8">
        <f t="shared" si="34"/>
        <v>21.744000000002416</v>
      </c>
      <c r="U32" s="30">
        <f t="shared" si="33"/>
        <v>41313.60000000459</v>
      </c>
      <c r="W32" s="156">
        <v>44772</v>
      </c>
      <c r="X32" s="157">
        <v>193326</v>
      </c>
      <c r="Y32" s="162">
        <f t="shared" ref="Y32:Y33" si="48">IF((X32-X31)&lt;0,"0",(X32-X31))</f>
        <v>286</v>
      </c>
      <c r="Z32" s="157">
        <v>9652</v>
      </c>
      <c r="AA32" s="162">
        <f t="shared" ref="AA32:AA33" si="49">IF((Z32-Z31)&lt;0,"0",(Z32-Z31))</f>
        <v>5</v>
      </c>
      <c r="AB32" s="157">
        <v>31</v>
      </c>
      <c r="AC32" s="162">
        <f t="shared" ref="AC32:AC33" si="50">IF((AB32-AB31)&lt;0,"0",(AB32-AB31))</f>
        <v>0</v>
      </c>
      <c r="AD32" s="157">
        <v>648</v>
      </c>
      <c r="AE32" s="162">
        <f t="shared" ref="AE32:AE33" si="51">IF((AD32-AD31)&lt;0,"0",(AD32-AD31))</f>
        <v>3</v>
      </c>
      <c r="AF32" s="157">
        <v>8411</v>
      </c>
      <c r="AG32" s="162">
        <f t="shared" ref="AG32:AG33" si="52">IF((AF32-AF31)&lt;0,"0",(AF32-AF31))</f>
        <v>10</v>
      </c>
    </row>
    <row r="33" spans="1:33" s="22" customFormat="1" ht="16.2" thickBot="1" x14ac:dyDescent="0.3">
      <c r="A33" s="9">
        <v>44773</v>
      </c>
      <c r="B33" s="159">
        <v>24297.014999999999</v>
      </c>
      <c r="C33" s="43">
        <f t="shared" si="21"/>
        <v>13.114999999997963</v>
      </c>
      <c r="D33" s="28">
        <f t="shared" si="22"/>
        <v>24918.499999996129</v>
      </c>
      <c r="E33" s="1">
        <v>4401.5460000000003</v>
      </c>
      <c r="F33" s="43">
        <f t="shared" si="23"/>
        <v>2.418999999999869</v>
      </c>
      <c r="G33" s="28">
        <f t="shared" si="24"/>
        <v>4596.0999999997512</v>
      </c>
      <c r="H33" s="1">
        <v>5734</v>
      </c>
      <c r="I33" s="43">
        <f t="shared" si="25"/>
        <v>6</v>
      </c>
      <c r="J33" s="28">
        <f t="shared" si="26"/>
        <v>11399.999999999998</v>
      </c>
      <c r="K33" s="7">
        <v>14118.72</v>
      </c>
      <c r="L33" s="43">
        <f t="shared" si="27"/>
        <v>2.2999999999992724</v>
      </c>
      <c r="M33" s="28">
        <f t="shared" si="28"/>
        <v>4369.9999999986176</v>
      </c>
      <c r="N33" s="7">
        <v>3656.79</v>
      </c>
      <c r="O33" s="43">
        <f t="shared" si="29"/>
        <v>1.8139999999998508</v>
      </c>
      <c r="P33" s="28">
        <f t="shared" si="30"/>
        <v>3446.5999999997161</v>
      </c>
      <c r="Q33" s="7">
        <v>5472.25</v>
      </c>
      <c r="R33" s="43">
        <f t="shared" si="31"/>
        <v>2.2399999999997817</v>
      </c>
      <c r="S33" s="28">
        <f t="shared" si="32"/>
        <v>4255.9999999995853</v>
      </c>
      <c r="T33" s="8">
        <f t="shared" si="34"/>
        <v>27.887999999996737</v>
      </c>
      <c r="U33" s="30">
        <f t="shared" si="33"/>
        <v>52987.199999993798</v>
      </c>
      <c r="V33"/>
      <c r="W33" s="156">
        <v>44773</v>
      </c>
      <c r="X33" s="157">
        <v>193600</v>
      </c>
      <c r="Y33" s="162">
        <f t="shared" si="48"/>
        <v>274</v>
      </c>
      <c r="Z33" s="157">
        <v>9656</v>
      </c>
      <c r="AA33" s="162">
        <f t="shared" si="49"/>
        <v>4</v>
      </c>
      <c r="AB33" s="157">
        <v>31</v>
      </c>
      <c r="AC33" s="162">
        <f t="shared" si="50"/>
        <v>0</v>
      </c>
      <c r="AD33" s="157">
        <v>651</v>
      </c>
      <c r="AE33" s="162">
        <f t="shared" si="51"/>
        <v>3</v>
      </c>
      <c r="AF33" s="157">
        <v>8426</v>
      </c>
      <c r="AG33" s="162">
        <f t="shared" si="52"/>
        <v>15</v>
      </c>
    </row>
    <row r="34" spans="1:33" s="22" customFormat="1" ht="15.6" thickBot="1" x14ac:dyDescent="0.3">
      <c r="A34" s="160" t="s">
        <v>23</v>
      </c>
      <c r="B34" s="160"/>
      <c r="C34" s="136">
        <f>SUM(C3:C33)</f>
        <v>406.29199999999764</v>
      </c>
      <c r="D34" s="136">
        <f>SUM(D4:D33)</f>
        <v>748577.2000000024</v>
      </c>
      <c r="E34" s="136"/>
      <c r="F34" s="136">
        <f>SUM(F3:F33)</f>
        <v>78.5</v>
      </c>
      <c r="G34" s="136">
        <f>SUM(G4:G33)</f>
        <v>146307.5999999998</v>
      </c>
      <c r="H34" s="136"/>
      <c r="I34" s="136">
        <f>SUM(I3:I33)</f>
        <v>193</v>
      </c>
      <c r="J34" s="136">
        <f>SUM(J4:J33)</f>
        <v>355300</v>
      </c>
      <c r="K34" s="136"/>
      <c r="L34" s="136">
        <f>SUM(L3:L33)</f>
        <v>78.599999999998545</v>
      </c>
      <c r="M34" s="136">
        <f>SUM(M4:M33)</f>
        <v>145615.99999999889</v>
      </c>
      <c r="N34" s="136"/>
      <c r="O34" s="136">
        <f>SUM(O3:O33)</f>
        <v>52.320000000000164</v>
      </c>
      <c r="P34" s="136">
        <f>SUM(P4:P33)</f>
        <v>96586.500000000087</v>
      </c>
      <c r="Q34" s="136"/>
      <c r="R34" s="136">
        <v>2.21</v>
      </c>
      <c r="S34" s="136">
        <f>SUM(S4:S33)</f>
        <v>110447.0000000002</v>
      </c>
      <c r="T34" s="136">
        <v>22.454999999999998</v>
      </c>
      <c r="U34" s="136">
        <f>SUM(U4:U33)</f>
        <v>1602834.3000000012</v>
      </c>
      <c r="V34"/>
      <c r="W34" s="136" t="s">
        <v>141</v>
      </c>
      <c r="X34" s="136"/>
      <c r="Y34" s="136">
        <f>SUM(Y3:Y33)</f>
        <v>8601</v>
      </c>
      <c r="Z34" s="136"/>
      <c r="AA34" s="136">
        <f>SUM(AA3:AA33)</f>
        <v>167</v>
      </c>
      <c r="AB34" s="136"/>
      <c r="AC34" s="136">
        <f>SUM(AC3:AC33)</f>
        <v>4.8000000000000007</v>
      </c>
      <c r="AD34" s="136"/>
      <c r="AE34" s="136">
        <f>SUM(AE3:AE33)</f>
        <v>87</v>
      </c>
      <c r="AF34" s="136">
        <v>0</v>
      </c>
      <c r="AG34" s="136">
        <f>SUM(AG3:AG33)</f>
        <v>417</v>
      </c>
    </row>
    <row r="36" spans="1:33" x14ac:dyDescent="0.25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4"/>
  <sheetViews>
    <sheetView zoomScaleNormal="100" workbookViewId="0">
      <pane ySplit="1" topLeftCell="A71" activePane="bottomLeft" state="frozen"/>
      <selection pane="bottomLeft" activeCell="L98" sqref="L98"/>
    </sheetView>
  </sheetViews>
  <sheetFormatPr defaultRowHeight="13.2" x14ac:dyDescent="0.25"/>
  <cols>
    <col min="3" max="4" width="10.33203125" bestFit="1" customWidth="1"/>
    <col min="5" max="5" width="12" bestFit="1" customWidth="1"/>
    <col min="6" max="6" width="12.6640625" customWidth="1"/>
    <col min="7" max="7" width="16.5546875" bestFit="1" customWidth="1"/>
    <col min="8" max="8" width="10.33203125" customWidth="1"/>
    <col min="9" max="10" width="10.33203125" bestFit="1" customWidth="1"/>
    <col min="12" max="13" width="13.109375" bestFit="1" customWidth="1"/>
    <col min="14" max="14" width="16.5546875" bestFit="1" customWidth="1"/>
    <col min="15" max="15" width="20.33203125" customWidth="1"/>
    <col min="21" max="21" width="18" customWidth="1"/>
    <col min="22" max="22" width="18.6640625" customWidth="1"/>
  </cols>
  <sheetData>
    <row r="1" spans="2:22" ht="57.6" x14ac:dyDescent="0.25">
      <c r="B1" s="56"/>
      <c r="C1" s="57" t="s">
        <v>77</v>
      </c>
      <c r="D1" s="58" t="s">
        <v>78</v>
      </c>
      <c r="E1" s="58" t="s">
        <v>145</v>
      </c>
      <c r="F1" s="58" t="s">
        <v>146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147</v>
      </c>
      <c r="M1" s="58" t="s">
        <v>148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150</v>
      </c>
      <c r="T1" s="58" t="s">
        <v>151</v>
      </c>
      <c r="U1" s="58" t="s">
        <v>91</v>
      </c>
      <c r="V1" s="59" t="s">
        <v>79</v>
      </c>
    </row>
    <row r="2" spans="2:22" ht="14.4" x14ac:dyDescent="0.25">
      <c r="B2" s="56"/>
      <c r="C2" s="179">
        <v>6</v>
      </c>
      <c r="D2" s="60" t="s">
        <v>80</v>
      </c>
      <c r="E2" s="61">
        <v>286287</v>
      </c>
      <c r="F2" s="61">
        <v>287220</v>
      </c>
      <c r="G2" s="62">
        <f>F2-E2</f>
        <v>933</v>
      </c>
      <c r="H2" s="63"/>
      <c r="J2" s="179">
        <v>6</v>
      </c>
      <c r="K2" s="60" t="s">
        <v>80</v>
      </c>
      <c r="L2" s="61">
        <v>287938</v>
      </c>
      <c r="M2" s="61">
        <v>288742</v>
      </c>
      <c r="N2" s="62">
        <f t="shared" ref="N2:N3" si="0">IF((M2-L2)&lt;0,"0",(M2-L2))</f>
        <v>804</v>
      </c>
      <c r="O2" s="63"/>
      <c r="Q2" s="179">
        <v>6</v>
      </c>
      <c r="R2" s="60" t="s">
        <v>80</v>
      </c>
      <c r="S2" s="61">
        <v>288742</v>
      </c>
      <c r="T2" s="61">
        <v>289312</v>
      </c>
      <c r="U2" s="62">
        <f t="shared" ref="U2:U4" si="1">IF((T2-S2)&lt;0,"0",(T2-S2))</f>
        <v>570</v>
      </c>
      <c r="V2" s="63"/>
    </row>
    <row r="3" spans="2:22" ht="14.4" x14ac:dyDescent="0.25">
      <c r="B3" s="56"/>
      <c r="C3" s="184"/>
      <c r="D3" s="60" t="s">
        <v>81</v>
      </c>
      <c r="E3" s="61">
        <v>249821</v>
      </c>
      <c r="F3" s="61">
        <v>250379</v>
      </c>
      <c r="G3" s="62">
        <f t="shared" ref="G3:G43" si="2">F3-E3</f>
        <v>558</v>
      </c>
      <c r="H3" s="63"/>
      <c r="J3" s="184"/>
      <c r="K3" s="60" t="s">
        <v>81</v>
      </c>
      <c r="L3" s="61">
        <v>250637</v>
      </c>
      <c r="M3" s="61">
        <v>250971</v>
      </c>
      <c r="N3" s="62">
        <f t="shared" si="0"/>
        <v>334</v>
      </c>
      <c r="O3" s="63"/>
      <c r="Q3" s="184"/>
      <c r="R3" s="60" t="s">
        <v>81</v>
      </c>
      <c r="S3" s="61">
        <v>250971</v>
      </c>
      <c r="T3" s="61">
        <v>251243</v>
      </c>
      <c r="U3" s="62">
        <f t="shared" si="1"/>
        <v>272</v>
      </c>
      <c r="V3" s="63"/>
    </row>
    <row r="4" spans="2:22" ht="14.4" x14ac:dyDescent="0.25">
      <c r="B4" s="56"/>
      <c r="C4" s="180"/>
      <c r="D4" s="60" t="s">
        <v>82</v>
      </c>
      <c r="E4" s="61">
        <v>195288</v>
      </c>
      <c r="F4" s="61">
        <v>195771</v>
      </c>
      <c r="G4" s="62">
        <f t="shared" si="2"/>
        <v>483</v>
      </c>
      <c r="H4" s="63"/>
      <c r="J4" s="180"/>
      <c r="K4" s="60" t="s">
        <v>82</v>
      </c>
      <c r="L4" s="61">
        <v>196128</v>
      </c>
      <c r="M4" s="61">
        <v>169541</v>
      </c>
      <c r="N4" s="62">
        <v>413</v>
      </c>
      <c r="O4" s="63"/>
      <c r="Q4" s="180"/>
      <c r="R4" s="60" t="s">
        <v>82</v>
      </c>
      <c r="S4" s="61">
        <v>196541</v>
      </c>
      <c r="T4" s="61">
        <v>196864</v>
      </c>
      <c r="U4" s="62">
        <f t="shared" si="1"/>
        <v>323</v>
      </c>
      <c r="V4" s="63"/>
    </row>
    <row r="5" spans="2:22" ht="14.4" x14ac:dyDescent="0.25">
      <c r="B5" s="56"/>
      <c r="C5" s="179">
        <v>7</v>
      </c>
      <c r="D5" s="60" t="s">
        <v>80</v>
      </c>
      <c r="E5" s="61">
        <v>251254</v>
      </c>
      <c r="F5" s="61">
        <v>252555</v>
      </c>
      <c r="G5" s="62">
        <f t="shared" si="2"/>
        <v>1301</v>
      </c>
      <c r="H5" s="63"/>
      <c r="J5" s="179">
        <v>7</v>
      </c>
      <c r="K5" s="60" t="s">
        <v>80</v>
      </c>
      <c r="L5" s="61">
        <v>253773</v>
      </c>
      <c r="M5" s="61">
        <v>255027</v>
      </c>
      <c r="N5" s="62">
        <f>IF((M5-L5)&lt;0,"0",(M5-L5))</f>
        <v>1254</v>
      </c>
      <c r="O5" s="63"/>
      <c r="Q5" s="179">
        <v>7</v>
      </c>
      <c r="R5" s="60" t="s">
        <v>80</v>
      </c>
      <c r="S5" s="61">
        <v>255027</v>
      </c>
      <c r="T5" s="61">
        <v>256336</v>
      </c>
      <c r="U5" s="62">
        <f>IF((T5-S5)&lt;0,"0",(T5-S5))</f>
        <v>1309</v>
      </c>
      <c r="V5" s="63"/>
    </row>
    <row r="6" spans="2:22" ht="14.4" x14ac:dyDescent="0.25">
      <c r="B6" s="56"/>
      <c r="C6" s="184"/>
      <c r="D6" s="60" t="s">
        <v>81</v>
      </c>
      <c r="E6" s="61">
        <v>156177</v>
      </c>
      <c r="F6" s="61">
        <v>156275</v>
      </c>
      <c r="G6" s="62">
        <f t="shared" si="2"/>
        <v>98</v>
      </c>
      <c r="H6" s="63"/>
      <c r="J6" s="184"/>
      <c r="K6" s="60" t="s">
        <v>81</v>
      </c>
      <c r="L6" s="61">
        <v>156465</v>
      </c>
      <c r="M6" s="61">
        <v>156602</v>
      </c>
      <c r="N6" s="62">
        <f t="shared" ref="N6:N63" si="3">IF((M6-L6)&lt;0,"0",(M6-L6))</f>
        <v>137</v>
      </c>
      <c r="O6" s="63"/>
      <c r="Q6" s="184"/>
      <c r="R6" s="60" t="s">
        <v>81</v>
      </c>
      <c r="S6" s="61">
        <v>156602</v>
      </c>
      <c r="T6" s="61">
        <v>157464</v>
      </c>
      <c r="U6" s="62">
        <f t="shared" ref="U6:U63" si="4">IF((T6-S6)&lt;0,"0",(T6-S6))</f>
        <v>862</v>
      </c>
      <c r="V6" s="63"/>
    </row>
    <row r="7" spans="2:22" ht="14.4" x14ac:dyDescent="0.25">
      <c r="B7" s="56"/>
      <c r="C7" s="180"/>
      <c r="D7" s="60" t="s">
        <v>82</v>
      </c>
      <c r="E7" s="61">
        <v>129451</v>
      </c>
      <c r="F7" s="61">
        <v>130019</v>
      </c>
      <c r="G7" s="62">
        <f t="shared" si="2"/>
        <v>568</v>
      </c>
      <c r="H7" s="63"/>
      <c r="J7" s="180"/>
      <c r="K7" s="60" t="s">
        <v>82</v>
      </c>
      <c r="L7" s="61">
        <v>130529</v>
      </c>
      <c r="M7" s="61">
        <v>130857</v>
      </c>
      <c r="N7" s="62">
        <f t="shared" si="3"/>
        <v>328</v>
      </c>
      <c r="O7" s="63"/>
      <c r="Q7" s="180"/>
      <c r="R7" s="60" t="s">
        <v>82</v>
      </c>
      <c r="S7" s="61">
        <v>130857</v>
      </c>
      <c r="T7" s="61">
        <v>131769</v>
      </c>
      <c r="U7" s="62">
        <f t="shared" si="4"/>
        <v>912</v>
      </c>
      <c r="V7" s="63"/>
    </row>
    <row r="8" spans="2:22" ht="14.4" x14ac:dyDescent="0.25">
      <c r="B8" s="56"/>
      <c r="C8" s="179">
        <v>8</v>
      </c>
      <c r="D8" s="60" t="s">
        <v>80</v>
      </c>
      <c r="E8" s="61">
        <v>77947</v>
      </c>
      <c r="F8" s="61">
        <v>78142</v>
      </c>
      <c r="G8" s="62">
        <f t="shared" si="2"/>
        <v>195</v>
      </c>
      <c r="H8" s="63"/>
      <c r="J8" s="179">
        <v>8</v>
      </c>
      <c r="K8" s="60" t="s">
        <v>80</v>
      </c>
      <c r="L8" s="61">
        <v>78348</v>
      </c>
      <c r="M8" s="61">
        <v>78755</v>
      </c>
      <c r="N8" s="62">
        <f t="shared" si="3"/>
        <v>407</v>
      </c>
      <c r="O8" s="63"/>
      <c r="Q8" s="179">
        <v>8</v>
      </c>
      <c r="R8" s="60" t="s">
        <v>80</v>
      </c>
      <c r="S8" s="61">
        <v>78755</v>
      </c>
      <c r="T8" s="61">
        <v>80321</v>
      </c>
      <c r="U8" s="62">
        <f t="shared" si="4"/>
        <v>1566</v>
      </c>
      <c r="V8" s="63"/>
    </row>
    <row r="9" spans="2:22" ht="14.4" x14ac:dyDescent="0.25">
      <c r="B9" s="56"/>
      <c r="C9" s="184"/>
      <c r="D9" s="60" t="s">
        <v>81</v>
      </c>
      <c r="E9" s="61">
        <v>158</v>
      </c>
      <c r="F9" s="61">
        <v>158</v>
      </c>
      <c r="G9" s="62">
        <f t="shared" si="2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3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4"/>
        <v>0</v>
      </c>
      <c r="V9" s="64" t="s">
        <v>12</v>
      </c>
    </row>
    <row r="10" spans="2:22" ht="14.4" x14ac:dyDescent="0.25">
      <c r="B10" s="56"/>
      <c r="C10" s="180"/>
      <c r="D10" s="60" t="s">
        <v>82</v>
      </c>
      <c r="E10" s="61">
        <v>102920</v>
      </c>
      <c r="F10" s="61">
        <v>103570</v>
      </c>
      <c r="G10" s="62">
        <f t="shared" si="2"/>
        <v>650</v>
      </c>
      <c r="H10" s="63"/>
      <c r="J10" s="180"/>
      <c r="K10" s="60" t="s">
        <v>82</v>
      </c>
      <c r="L10" s="61">
        <v>104361</v>
      </c>
      <c r="M10" s="61">
        <v>105117</v>
      </c>
      <c r="N10" s="62">
        <f t="shared" si="3"/>
        <v>756</v>
      </c>
      <c r="O10" s="63"/>
      <c r="Q10" s="180"/>
      <c r="R10" s="60" t="s">
        <v>82</v>
      </c>
      <c r="S10" s="61">
        <v>105117</v>
      </c>
      <c r="T10" s="61">
        <v>105926</v>
      </c>
      <c r="U10" s="62">
        <f t="shared" si="4"/>
        <v>809</v>
      </c>
      <c r="V10" s="63"/>
    </row>
    <row r="11" spans="2:22" ht="14.4" x14ac:dyDescent="0.25">
      <c r="B11" s="56"/>
      <c r="C11" s="179">
        <v>9</v>
      </c>
      <c r="D11" s="60" t="s">
        <v>80</v>
      </c>
      <c r="E11" s="61">
        <v>34946</v>
      </c>
      <c r="F11" s="61">
        <v>34981</v>
      </c>
      <c r="G11" s="62">
        <f t="shared" si="2"/>
        <v>35</v>
      </c>
      <c r="H11" s="63"/>
      <c r="J11" s="179">
        <v>9</v>
      </c>
      <c r="K11" s="60" t="s">
        <v>80</v>
      </c>
      <c r="L11" s="61">
        <v>35075</v>
      </c>
      <c r="M11" s="61">
        <v>35141</v>
      </c>
      <c r="N11" s="62">
        <f t="shared" si="3"/>
        <v>66</v>
      </c>
      <c r="O11" s="63"/>
      <c r="Q11" s="179">
        <v>9</v>
      </c>
      <c r="R11" s="60" t="s">
        <v>80</v>
      </c>
      <c r="S11" s="61">
        <v>35141</v>
      </c>
      <c r="T11" s="61">
        <v>35175</v>
      </c>
      <c r="U11" s="62">
        <f t="shared" si="4"/>
        <v>34</v>
      </c>
      <c r="V11" s="63"/>
    </row>
    <row r="12" spans="2:22" ht="14.4" x14ac:dyDescent="0.25">
      <c r="B12" s="56"/>
      <c r="C12" s="184"/>
      <c r="D12" s="60" t="s">
        <v>81</v>
      </c>
      <c r="E12" s="61">
        <v>0</v>
      </c>
      <c r="F12" s="61">
        <v>0</v>
      </c>
      <c r="G12" s="62">
        <f t="shared" si="2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3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4"/>
        <v>0</v>
      </c>
      <c r="V12" s="64" t="s">
        <v>12</v>
      </c>
    </row>
    <row r="13" spans="2:22" ht="14.4" x14ac:dyDescent="0.25">
      <c r="B13" s="56"/>
      <c r="C13" s="180"/>
      <c r="D13" s="60" t="s">
        <v>82</v>
      </c>
      <c r="E13" s="61">
        <v>29310</v>
      </c>
      <c r="F13" s="61">
        <v>103570</v>
      </c>
      <c r="G13" s="62">
        <f t="shared" si="2"/>
        <v>74260</v>
      </c>
      <c r="H13" s="63"/>
      <c r="I13" s="65"/>
      <c r="J13" s="180"/>
      <c r="K13" s="60" t="s">
        <v>82</v>
      </c>
      <c r="L13" s="61">
        <v>29487</v>
      </c>
      <c r="M13" s="61">
        <v>29599</v>
      </c>
      <c r="N13" s="62">
        <f t="shared" si="3"/>
        <v>112</v>
      </c>
      <c r="O13" s="63"/>
      <c r="Q13" s="180"/>
      <c r="R13" s="60" t="s">
        <v>82</v>
      </c>
      <c r="S13" s="61">
        <v>29599</v>
      </c>
      <c r="T13" s="61">
        <v>29718</v>
      </c>
      <c r="U13" s="62">
        <f t="shared" si="4"/>
        <v>119</v>
      </c>
      <c r="V13" s="63"/>
    </row>
    <row r="14" spans="2:22" ht="14.4" x14ac:dyDescent="0.25">
      <c r="B14" s="56"/>
      <c r="C14" s="179">
        <v>10</v>
      </c>
      <c r="D14" s="60" t="s">
        <v>80</v>
      </c>
      <c r="E14" s="61">
        <v>213986</v>
      </c>
      <c r="F14" s="61">
        <v>216026</v>
      </c>
      <c r="G14" s="62">
        <f t="shared" si="2"/>
        <v>2040</v>
      </c>
      <c r="H14" s="63"/>
      <c r="I14" s="66"/>
      <c r="J14" s="179">
        <v>10</v>
      </c>
      <c r="K14" s="60" t="s">
        <v>80</v>
      </c>
      <c r="L14" s="61">
        <v>217872</v>
      </c>
      <c r="M14" s="61">
        <v>219754</v>
      </c>
      <c r="N14" s="62">
        <f t="shared" si="3"/>
        <v>1882</v>
      </c>
      <c r="O14" s="63"/>
      <c r="Q14" s="179">
        <v>10</v>
      </c>
      <c r="R14" s="60" t="s">
        <v>80</v>
      </c>
      <c r="S14" s="61">
        <v>219754</v>
      </c>
      <c r="T14" s="61">
        <v>221706</v>
      </c>
      <c r="U14" s="62">
        <f t="shared" si="4"/>
        <v>1952</v>
      </c>
      <c r="V14" s="63"/>
    </row>
    <row r="15" spans="2:22" ht="14.4" x14ac:dyDescent="0.25">
      <c r="B15" s="56"/>
      <c r="C15" s="184"/>
      <c r="D15" s="60" t="s">
        <v>81</v>
      </c>
      <c r="E15" s="61">
        <v>8006</v>
      </c>
      <c r="F15" s="61">
        <v>8006</v>
      </c>
      <c r="G15" s="62">
        <f t="shared" si="2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3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4"/>
        <v>0</v>
      </c>
      <c r="V15" s="63"/>
    </row>
    <row r="16" spans="2:22" ht="14.4" x14ac:dyDescent="0.25">
      <c r="B16" s="56"/>
      <c r="C16" s="180"/>
      <c r="D16" s="60" t="s">
        <v>82</v>
      </c>
      <c r="E16" s="61">
        <v>196282</v>
      </c>
      <c r="F16" s="61">
        <v>197791</v>
      </c>
      <c r="G16" s="62">
        <f t="shared" si="2"/>
        <v>1509</v>
      </c>
      <c r="H16" s="63"/>
      <c r="I16" s="66"/>
      <c r="J16" s="180"/>
      <c r="K16" s="60" t="s">
        <v>82</v>
      </c>
      <c r="L16" s="61">
        <v>198936</v>
      </c>
      <c r="M16" s="61">
        <v>199984</v>
      </c>
      <c r="N16" s="62">
        <f t="shared" si="3"/>
        <v>1048</v>
      </c>
      <c r="O16" s="63"/>
      <c r="Q16" s="180"/>
      <c r="R16" s="60" t="s">
        <v>82</v>
      </c>
      <c r="S16" s="61">
        <v>199984</v>
      </c>
      <c r="T16" s="61">
        <v>200541</v>
      </c>
      <c r="U16" s="62">
        <f t="shared" si="4"/>
        <v>557</v>
      </c>
      <c r="V16" s="63"/>
    </row>
    <row r="17" spans="2:22" ht="14.4" x14ac:dyDescent="0.25">
      <c r="B17" s="56"/>
      <c r="C17" s="179">
        <v>11</v>
      </c>
      <c r="D17" s="60" t="s">
        <v>80</v>
      </c>
      <c r="E17" s="62">
        <v>67492</v>
      </c>
      <c r="F17" s="62">
        <v>67541</v>
      </c>
      <c r="G17" s="62">
        <f t="shared" si="2"/>
        <v>49</v>
      </c>
      <c r="H17" s="63"/>
      <c r="I17" s="66"/>
      <c r="J17" s="179">
        <v>11</v>
      </c>
      <c r="K17" s="60" t="s">
        <v>80</v>
      </c>
      <c r="L17" s="61">
        <v>68064</v>
      </c>
      <c r="M17" s="61">
        <v>68249</v>
      </c>
      <c r="N17" s="62">
        <f t="shared" si="3"/>
        <v>185</v>
      </c>
      <c r="O17" s="63"/>
      <c r="Q17" s="179">
        <v>11</v>
      </c>
      <c r="R17" s="60" t="s">
        <v>80</v>
      </c>
      <c r="S17" s="61">
        <v>68249</v>
      </c>
      <c r="T17" s="61">
        <v>68535</v>
      </c>
      <c r="U17" s="62">
        <f t="shared" si="4"/>
        <v>286</v>
      </c>
      <c r="V17" s="63"/>
    </row>
    <row r="18" spans="2:22" ht="14.4" x14ac:dyDescent="0.25">
      <c r="B18" s="56"/>
      <c r="C18" s="184"/>
      <c r="D18" s="60" t="s">
        <v>81</v>
      </c>
      <c r="E18" s="62">
        <v>223502</v>
      </c>
      <c r="F18" s="62">
        <v>223502</v>
      </c>
      <c r="G18" s="62">
        <f t="shared" si="2"/>
        <v>0</v>
      </c>
      <c r="H18" s="63"/>
      <c r="I18" s="66"/>
      <c r="J18" s="184"/>
      <c r="K18" s="60" t="s">
        <v>81</v>
      </c>
      <c r="L18" s="61">
        <v>225269</v>
      </c>
      <c r="M18" s="61">
        <v>226416</v>
      </c>
      <c r="N18" s="62">
        <f t="shared" si="3"/>
        <v>1147</v>
      </c>
      <c r="O18" s="63"/>
      <c r="Q18" s="184"/>
      <c r="R18" s="60" t="s">
        <v>81</v>
      </c>
      <c r="S18" s="61">
        <v>226416</v>
      </c>
      <c r="T18" s="61">
        <v>227507</v>
      </c>
      <c r="U18" s="62">
        <f t="shared" si="4"/>
        <v>1091</v>
      </c>
      <c r="V18" s="63"/>
    </row>
    <row r="19" spans="2:22" ht="14.4" x14ac:dyDescent="0.25">
      <c r="B19" s="56"/>
      <c r="C19" s="180"/>
      <c r="D19" s="60" t="s">
        <v>82</v>
      </c>
      <c r="E19" s="61">
        <v>31204</v>
      </c>
      <c r="F19" s="61">
        <v>224068</v>
      </c>
      <c r="G19" s="62">
        <f t="shared" si="2"/>
        <v>192864</v>
      </c>
      <c r="H19" s="63"/>
      <c r="I19" s="66"/>
      <c r="J19" s="180"/>
      <c r="K19" s="60" t="s">
        <v>82</v>
      </c>
      <c r="L19" s="61">
        <v>31314</v>
      </c>
      <c r="M19" s="61">
        <v>31368</v>
      </c>
      <c r="N19" s="62">
        <f t="shared" si="3"/>
        <v>54</v>
      </c>
      <c r="O19" s="63"/>
      <c r="Q19" s="180"/>
      <c r="R19" s="60" t="s">
        <v>82</v>
      </c>
      <c r="S19" s="61">
        <v>31368</v>
      </c>
      <c r="T19" s="61">
        <v>31435</v>
      </c>
      <c r="U19" s="62">
        <f t="shared" si="4"/>
        <v>67</v>
      </c>
      <c r="V19" s="63"/>
    </row>
    <row r="20" spans="2:22" ht="14.4" x14ac:dyDescent="0.25">
      <c r="B20" s="56"/>
      <c r="C20" s="179">
        <v>12</v>
      </c>
      <c r="D20" s="60" t="s">
        <v>80</v>
      </c>
      <c r="E20" s="142">
        <v>146902</v>
      </c>
      <c r="F20" s="142">
        <v>147023</v>
      </c>
      <c r="G20" s="62">
        <f t="shared" si="2"/>
        <v>121</v>
      </c>
      <c r="H20" s="63"/>
      <c r="I20" s="66"/>
      <c r="J20" s="179">
        <v>12</v>
      </c>
      <c r="K20" s="60" t="s">
        <v>80</v>
      </c>
      <c r="L20" s="61">
        <v>147148</v>
      </c>
      <c r="M20" s="61">
        <v>147275</v>
      </c>
      <c r="N20" s="62">
        <f t="shared" si="3"/>
        <v>127</v>
      </c>
      <c r="O20" s="63"/>
      <c r="Q20" s="179">
        <v>12</v>
      </c>
      <c r="R20" s="60" t="s">
        <v>80</v>
      </c>
      <c r="S20" s="61">
        <v>147275</v>
      </c>
      <c r="T20" s="61">
        <v>147413</v>
      </c>
      <c r="U20" s="62">
        <f t="shared" si="4"/>
        <v>138</v>
      </c>
      <c r="V20" s="63"/>
    </row>
    <row r="21" spans="2:22" ht="14.4" x14ac:dyDescent="0.25">
      <c r="B21" s="56"/>
      <c r="C21" s="184"/>
      <c r="D21" s="60" t="s">
        <v>81</v>
      </c>
      <c r="E21" s="61">
        <v>23192</v>
      </c>
      <c r="F21" s="61">
        <v>23233</v>
      </c>
      <c r="G21" s="62">
        <f t="shared" si="2"/>
        <v>41</v>
      </c>
      <c r="H21" s="63"/>
      <c r="I21" s="67" t="s">
        <v>12</v>
      </c>
      <c r="J21" s="184"/>
      <c r="K21" s="60" t="s">
        <v>81</v>
      </c>
      <c r="L21" s="61">
        <v>23301</v>
      </c>
      <c r="M21" s="61">
        <v>23351</v>
      </c>
      <c r="N21" s="62">
        <f t="shared" si="3"/>
        <v>50</v>
      </c>
      <c r="O21" s="63"/>
      <c r="Q21" s="184"/>
      <c r="R21" s="60" t="s">
        <v>81</v>
      </c>
      <c r="S21" s="61">
        <v>23351</v>
      </c>
      <c r="T21" s="61">
        <v>23406</v>
      </c>
      <c r="U21" s="62">
        <f t="shared" si="4"/>
        <v>55</v>
      </c>
      <c r="V21" s="63"/>
    </row>
    <row r="22" spans="2:22" ht="14.4" x14ac:dyDescent="0.25">
      <c r="B22" s="56"/>
      <c r="C22" s="180"/>
      <c r="D22" s="60" t="s">
        <v>82</v>
      </c>
      <c r="E22" s="61">
        <v>254437</v>
      </c>
      <c r="F22" s="61">
        <v>255794</v>
      </c>
      <c r="G22" s="62">
        <f t="shared" si="2"/>
        <v>1357</v>
      </c>
      <c r="H22" s="63"/>
      <c r="I22" s="66"/>
      <c r="J22" s="180"/>
      <c r="K22" s="60" t="s">
        <v>82</v>
      </c>
      <c r="L22" s="61">
        <v>256806</v>
      </c>
      <c r="M22" s="61">
        <v>257916</v>
      </c>
      <c r="N22" s="62">
        <f t="shared" si="3"/>
        <v>1110</v>
      </c>
      <c r="O22" s="63"/>
      <c r="Q22" s="180"/>
      <c r="R22" s="60" t="s">
        <v>82</v>
      </c>
      <c r="S22" s="61">
        <v>257916</v>
      </c>
      <c r="T22" s="61">
        <v>258383</v>
      </c>
      <c r="U22" s="62">
        <f t="shared" si="4"/>
        <v>467</v>
      </c>
      <c r="V22" s="63"/>
    </row>
    <row r="23" spans="2:22" ht="14.4" x14ac:dyDescent="0.25">
      <c r="B23" s="56"/>
      <c r="C23" s="179">
        <v>14</v>
      </c>
      <c r="D23" s="60" t="s">
        <v>80</v>
      </c>
      <c r="E23" s="61">
        <v>118453</v>
      </c>
      <c r="F23" s="61">
        <v>118666</v>
      </c>
      <c r="G23" s="62">
        <f t="shared" si="2"/>
        <v>213</v>
      </c>
      <c r="H23" s="63"/>
      <c r="I23" s="66"/>
      <c r="J23" s="179">
        <v>14</v>
      </c>
      <c r="K23" s="60" t="s">
        <v>80</v>
      </c>
      <c r="L23" s="61">
        <v>119046</v>
      </c>
      <c r="M23" s="61">
        <v>119408</v>
      </c>
      <c r="N23" s="62">
        <f t="shared" si="3"/>
        <v>362</v>
      </c>
      <c r="O23" s="63"/>
      <c r="Q23" s="179">
        <v>14</v>
      </c>
      <c r="R23" s="60" t="s">
        <v>80</v>
      </c>
      <c r="S23" s="61">
        <v>119408</v>
      </c>
      <c r="T23" s="61">
        <v>119720</v>
      </c>
      <c r="U23" s="62">
        <f t="shared" si="4"/>
        <v>312</v>
      </c>
      <c r="V23" s="63"/>
    </row>
    <row r="24" spans="2:22" ht="14.4" x14ac:dyDescent="0.25">
      <c r="B24" s="56"/>
      <c r="C24" s="184"/>
      <c r="D24" s="60" t="s">
        <v>81</v>
      </c>
      <c r="E24" s="68">
        <v>34284</v>
      </c>
      <c r="F24" s="68">
        <v>35057</v>
      </c>
      <c r="G24" s="62">
        <f t="shared" si="2"/>
        <v>773</v>
      </c>
      <c r="H24" s="63"/>
      <c r="I24" s="66"/>
      <c r="J24" s="184"/>
      <c r="K24" s="60" t="s">
        <v>81</v>
      </c>
      <c r="L24" s="61">
        <v>35994</v>
      </c>
      <c r="M24" s="61">
        <v>36899</v>
      </c>
      <c r="N24" s="62">
        <f t="shared" si="3"/>
        <v>905</v>
      </c>
      <c r="O24" s="63"/>
      <c r="Q24" s="184"/>
      <c r="R24" s="60" t="s">
        <v>81</v>
      </c>
      <c r="S24" s="61">
        <v>36899</v>
      </c>
      <c r="T24" s="61">
        <v>37456</v>
      </c>
      <c r="U24" s="62">
        <f t="shared" si="4"/>
        <v>557</v>
      </c>
      <c r="V24" s="63"/>
    </row>
    <row r="25" spans="2:22" ht="14.4" x14ac:dyDescent="0.25">
      <c r="B25" s="56"/>
      <c r="C25" s="180"/>
      <c r="D25" s="60" t="s">
        <v>82</v>
      </c>
      <c r="E25" s="61">
        <v>1911</v>
      </c>
      <c r="F25" s="61">
        <v>1935</v>
      </c>
      <c r="G25" s="62">
        <f t="shared" si="2"/>
        <v>24</v>
      </c>
      <c r="H25" s="63"/>
      <c r="I25" s="66"/>
      <c r="J25" s="180"/>
      <c r="K25" s="60" t="s">
        <v>82</v>
      </c>
      <c r="L25" s="61">
        <v>1968</v>
      </c>
      <c r="M25" s="61">
        <v>1984</v>
      </c>
      <c r="N25" s="62">
        <f t="shared" si="3"/>
        <v>16</v>
      </c>
      <c r="O25" s="63"/>
      <c r="Q25" s="180"/>
      <c r="R25" s="60" t="s">
        <v>82</v>
      </c>
      <c r="S25" s="61">
        <v>1984</v>
      </c>
      <c r="T25" s="61">
        <v>1991</v>
      </c>
      <c r="U25" s="62">
        <f t="shared" si="4"/>
        <v>7</v>
      </c>
      <c r="V25" s="63"/>
    </row>
    <row r="26" spans="2:22" ht="14.4" x14ac:dyDescent="0.25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2"/>
        <v>0</v>
      </c>
      <c r="H26" s="63"/>
      <c r="I26" s="67" t="s">
        <v>12</v>
      </c>
      <c r="J26" s="179">
        <v>15</v>
      </c>
      <c r="K26" s="60" t="s">
        <v>80</v>
      </c>
      <c r="L26" s="61">
        <v>39357</v>
      </c>
      <c r="M26" s="61">
        <v>39357</v>
      </c>
      <c r="N26" s="62">
        <f t="shared" si="3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4"/>
        <v>0</v>
      </c>
      <c r="V26" s="63"/>
    </row>
    <row r="27" spans="2:22" ht="14.4" x14ac:dyDescent="0.25">
      <c r="B27" s="56"/>
      <c r="C27" s="184"/>
      <c r="D27" s="60" t="s">
        <v>81</v>
      </c>
      <c r="E27" s="61">
        <v>84078</v>
      </c>
      <c r="F27" s="61">
        <v>84612</v>
      </c>
      <c r="G27" s="62">
        <f t="shared" si="2"/>
        <v>534</v>
      </c>
      <c r="H27" s="63"/>
      <c r="I27" s="67" t="s">
        <v>12</v>
      </c>
      <c r="J27" s="184"/>
      <c r="K27" s="60" t="s">
        <v>81</v>
      </c>
      <c r="L27" s="61">
        <v>85079</v>
      </c>
      <c r="M27" s="61">
        <v>85452</v>
      </c>
      <c r="N27" s="62">
        <f t="shared" si="3"/>
        <v>373</v>
      </c>
      <c r="O27" s="63"/>
      <c r="Q27" s="184"/>
      <c r="R27" s="60" t="s">
        <v>81</v>
      </c>
      <c r="S27" s="61">
        <v>85452</v>
      </c>
      <c r="T27" s="61">
        <v>85836</v>
      </c>
      <c r="U27" s="62">
        <f t="shared" si="4"/>
        <v>384</v>
      </c>
      <c r="V27" s="63"/>
    </row>
    <row r="28" spans="2:22" ht="14.4" x14ac:dyDescent="0.25">
      <c r="B28" s="56"/>
      <c r="C28" s="180"/>
      <c r="D28" s="60" t="s">
        <v>82</v>
      </c>
      <c r="E28" s="61">
        <v>162112</v>
      </c>
      <c r="F28" s="61">
        <v>163098</v>
      </c>
      <c r="G28" s="62">
        <f t="shared" si="2"/>
        <v>986</v>
      </c>
      <c r="H28" s="63"/>
      <c r="I28" s="66"/>
      <c r="J28" s="180"/>
      <c r="K28" s="60" t="s">
        <v>82</v>
      </c>
      <c r="L28" s="61">
        <v>164130</v>
      </c>
      <c r="M28" s="61">
        <v>165029</v>
      </c>
      <c r="N28" s="62">
        <f t="shared" si="3"/>
        <v>899</v>
      </c>
      <c r="O28" s="63"/>
      <c r="Q28" s="180"/>
      <c r="R28" s="60" t="s">
        <v>82</v>
      </c>
      <c r="S28" s="61">
        <v>165029</v>
      </c>
      <c r="T28" s="61">
        <v>166031</v>
      </c>
      <c r="U28" s="62">
        <f t="shared" si="4"/>
        <v>1002</v>
      </c>
      <c r="V28" s="63"/>
    </row>
    <row r="29" spans="2:22" ht="14.4" x14ac:dyDescent="0.25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2"/>
        <v>0</v>
      </c>
      <c r="H29" s="64" t="s">
        <v>12</v>
      </c>
      <c r="I29" s="66"/>
      <c r="J29" s="179">
        <v>16</v>
      </c>
      <c r="K29" s="60" t="s">
        <v>80</v>
      </c>
      <c r="L29" s="61">
        <v>97793</v>
      </c>
      <c r="M29" s="61">
        <v>97792</v>
      </c>
      <c r="N29" s="62" t="str">
        <f t="shared" si="3"/>
        <v>0</v>
      </c>
      <c r="O29" s="64" t="s">
        <v>12</v>
      </c>
      <c r="Q29" s="179">
        <v>16</v>
      </c>
      <c r="R29" s="60" t="s">
        <v>80</v>
      </c>
      <c r="S29" s="61">
        <v>97792</v>
      </c>
      <c r="T29" s="61">
        <v>97793</v>
      </c>
      <c r="U29" s="62">
        <f t="shared" si="4"/>
        <v>1</v>
      </c>
      <c r="V29" s="64" t="s">
        <v>12</v>
      </c>
    </row>
    <row r="30" spans="2:22" ht="14.4" x14ac:dyDescent="0.25">
      <c r="B30" s="56"/>
      <c r="C30" s="184"/>
      <c r="D30" s="60" t="s">
        <v>81</v>
      </c>
      <c r="E30" s="142">
        <v>63065</v>
      </c>
      <c r="F30" s="142">
        <v>63065</v>
      </c>
      <c r="G30" s="62">
        <f t="shared" si="2"/>
        <v>0</v>
      </c>
      <c r="H30" s="63"/>
      <c r="I30" s="66"/>
      <c r="J30" s="184"/>
      <c r="K30" s="60" t="s">
        <v>81</v>
      </c>
      <c r="L30" s="61">
        <v>64290</v>
      </c>
      <c r="M30" s="61">
        <v>64550</v>
      </c>
      <c r="N30" s="62">
        <f t="shared" si="3"/>
        <v>260</v>
      </c>
      <c r="O30" s="63"/>
      <c r="Q30" s="184"/>
      <c r="R30" s="60" t="s">
        <v>81</v>
      </c>
      <c r="S30" s="61">
        <v>64550</v>
      </c>
      <c r="T30" s="61">
        <v>64740</v>
      </c>
      <c r="U30" s="62">
        <f t="shared" si="4"/>
        <v>190</v>
      </c>
      <c r="V30" s="63"/>
    </row>
    <row r="31" spans="2:22" ht="14.4" x14ac:dyDescent="0.25">
      <c r="B31" s="56"/>
      <c r="C31" s="180"/>
      <c r="D31" s="60" t="s">
        <v>82</v>
      </c>
      <c r="E31" s="61">
        <v>68792</v>
      </c>
      <c r="F31" s="61">
        <v>69063</v>
      </c>
      <c r="G31" s="62">
        <f t="shared" si="2"/>
        <v>271</v>
      </c>
      <c r="H31" s="69"/>
      <c r="I31" s="66"/>
      <c r="J31" s="180"/>
      <c r="K31" s="60" t="s">
        <v>82</v>
      </c>
      <c r="L31" s="61">
        <v>69310</v>
      </c>
      <c r="M31" s="61">
        <v>69432</v>
      </c>
      <c r="N31" s="62">
        <f t="shared" si="3"/>
        <v>122</v>
      </c>
      <c r="O31" s="69"/>
      <c r="Q31" s="180"/>
      <c r="R31" s="60" t="s">
        <v>82</v>
      </c>
      <c r="S31" s="61">
        <v>69432</v>
      </c>
      <c r="T31" s="61">
        <v>69433</v>
      </c>
      <c r="U31" s="62">
        <f t="shared" si="4"/>
        <v>1</v>
      </c>
      <c r="V31" s="69"/>
    </row>
    <row r="32" spans="2:22" ht="14.4" x14ac:dyDescent="0.25">
      <c r="B32" s="56"/>
      <c r="C32" s="179">
        <v>17</v>
      </c>
      <c r="D32" s="60" t="s">
        <v>80</v>
      </c>
      <c r="E32" s="61">
        <v>36079</v>
      </c>
      <c r="F32" s="61">
        <v>36262</v>
      </c>
      <c r="G32" s="62">
        <f t="shared" si="2"/>
        <v>183</v>
      </c>
      <c r="H32" s="63"/>
      <c r="I32" s="66"/>
      <c r="J32" s="179">
        <v>17</v>
      </c>
      <c r="K32" s="60" t="s">
        <v>80</v>
      </c>
      <c r="L32" s="61">
        <v>36565</v>
      </c>
      <c r="M32" s="61">
        <v>36877</v>
      </c>
      <c r="N32" s="62">
        <f t="shared" si="3"/>
        <v>312</v>
      </c>
      <c r="O32" s="63"/>
      <c r="Q32" s="179">
        <v>17</v>
      </c>
      <c r="R32" s="60" t="s">
        <v>80</v>
      </c>
      <c r="S32" s="61">
        <v>36877</v>
      </c>
      <c r="T32" s="61">
        <v>37039</v>
      </c>
      <c r="U32" s="62">
        <f t="shared" si="4"/>
        <v>162</v>
      </c>
      <c r="V32" s="63"/>
    </row>
    <row r="33" spans="2:22" ht="14.4" x14ac:dyDescent="0.25">
      <c r="B33" s="56"/>
      <c r="C33" s="184"/>
      <c r="D33" s="60" t="s">
        <v>81</v>
      </c>
      <c r="E33" s="61">
        <v>64124</v>
      </c>
      <c r="F33" s="61">
        <v>64124</v>
      </c>
      <c r="G33" s="62">
        <f t="shared" si="2"/>
        <v>0</v>
      </c>
      <c r="H33" s="63"/>
      <c r="I33" s="66"/>
      <c r="J33" s="184"/>
      <c r="K33" s="60" t="s">
        <v>81</v>
      </c>
      <c r="L33" s="61">
        <v>64124</v>
      </c>
      <c r="M33" s="61">
        <v>64124</v>
      </c>
      <c r="N33" s="62">
        <f t="shared" si="3"/>
        <v>0</v>
      </c>
      <c r="O33" s="63"/>
      <c r="Q33" s="184"/>
      <c r="R33" s="60" t="s">
        <v>81</v>
      </c>
      <c r="S33" s="61">
        <v>64124</v>
      </c>
      <c r="T33" s="61">
        <v>64124</v>
      </c>
      <c r="U33" s="62">
        <f t="shared" si="4"/>
        <v>0</v>
      </c>
      <c r="V33" s="63"/>
    </row>
    <row r="34" spans="2:22" ht="14.4" x14ac:dyDescent="0.25">
      <c r="B34" s="56"/>
      <c r="C34" s="180"/>
      <c r="D34" s="60" t="s">
        <v>82</v>
      </c>
      <c r="E34" s="61">
        <v>12066</v>
      </c>
      <c r="F34" s="61">
        <v>12083</v>
      </c>
      <c r="G34" s="62">
        <f t="shared" si="2"/>
        <v>17</v>
      </c>
      <c r="H34" s="69"/>
      <c r="I34" s="66"/>
      <c r="J34" s="180"/>
      <c r="K34" s="60" t="s">
        <v>82</v>
      </c>
      <c r="L34" s="61">
        <v>12130</v>
      </c>
      <c r="M34" s="61">
        <v>12228</v>
      </c>
      <c r="N34" s="62">
        <f t="shared" si="3"/>
        <v>98</v>
      </c>
      <c r="O34" s="69"/>
      <c r="Q34" s="180"/>
      <c r="R34" s="60" t="s">
        <v>82</v>
      </c>
      <c r="S34" s="61">
        <v>12228</v>
      </c>
      <c r="T34" s="61">
        <v>12314</v>
      </c>
      <c r="U34" s="62">
        <f t="shared" si="4"/>
        <v>86</v>
      </c>
      <c r="V34" s="69"/>
    </row>
    <row r="35" spans="2:22" ht="14.4" x14ac:dyDescent="0.25">
      <c r="B35" s="56"/>
      <c r="C35" s="179">
        <v>18</v>
      </c>
      <c r="D35" s="60" t="s">
        <v>80</v>
      </c>
      <c r="E35" s="61">
        <v>250831</v>
      </c>
      <c r="F35" s="61">
        <v>252397</v>
      </c>
      <c r="G35" s="62">
        <f t="shared" si="2"/>
        <v>1566</v>
      </c>
      <c r="H35" s="69"/>
      <c r="I35" s="66"/>
      <c r="J35" s="179">
        <v>18</v>
      </c>
      <c r="K35" s="60" t="s">
        <v>80</v>
      </c>
      <c r="L35" s="61">
        <v>253723</v>
      </c>
      <c r="M35" s="61">
        <v>255204</v>
      </c>
      <c r="N35" s="62">
        <f t="shared" si="3"/>
        <v>1481</v>
      </c>
      <c r="O35" s="69"/>
      <c r="P35" s="155"/>
      <c r="Q35" s="179">
        <v>18</v>
      </c>
      <c r="R35" s="60" t="s">
        <v>80</v>
      </c>
      <c r="S35" s="61">
        <v>255204</v>
      </c>
      <c r="T35" s="61">
        <v>257184</v>
      </c>
      <c r="U35" s="62">
        <f t="shared" si="4"/>
        <v>1980</v>
      </c>
      <c r="V35" s="69"/>
    </row>
    <row r="36" spans="2:22" ht="14.4" x14ac:dyDescent="0.25">
      <c r="B36" s="56"/>
      <c r="C36" s="184"/>
      <c r="D36" s="60" t="s">
        <v>81</v>
      </c>
      <c r="E36" s="68">
        <v>19306</v>
      </c>
      <c r="F36" s="68">
        <v>19306</v>
      </c>
      <c r="G36" s="62">
        <f t="shared" si="2"/>
        <v>0</v>
      </c>
      <c r="H36" s="63"/>
      <c r="I36" s="66"/>
      <c r="J36" s="184"/>
      <c r="K36" s="60" t="s">
        <v>81</v>
      </c>
      <c r="L36" s="61">
        <v>19334</v>
      </c>
      <c r="M36" s="61">
        <v>19865</v>
      </c>
      <c r="N36" s="62">
        <f t="shared" si="3"/>
        <v>531</v>
      </c>
      <c r="O36" s="63"/>
      <c r="P36" s="164"/>
      <c r="Q36" s="184"/>
      <c r="R36" s="60" t="s">
        <v>81</v>
      </c>
      <c r="S36" s="61">
        <v>19865</v>
      </c>
      <c r="T36" s="61">
        <v>20089</v>
      </c>
      <c r="U36" s="62">
        <f t="shared" si="4"/>
        <v>224</v>
      </c>
      <c r="V36" s="63"/>
    </row>
    <row r="37" spans="2:22" ht="14.4" x14ac:dyDescent="0.25">
      <c r="B37" s="56"/>
      <c r="C37" s="180"/>
      <c r="D37" s="60" t="s">
        <v>82</v>
      </c>
      <c r="E37" s="61">
        <v>90135</v>
      </c>
      <c r="F37" s="61">
        <v>91798</v>
      </c>
      <c r="G37" s="62">
        <f t="shared" si="2"/>
        <v>1663</v>
      </c>
      <c r="H37" s="63"/>
      <c r="I37" s="66"/>
      <c r="J37" s="180"/>
      <c r="K37" s="60" t="s">
        <v>82</v>
      </c>
      <c r="L37" s="61">
        <v>93299</v>
      </c>
      <c r="M37" s="61">
        <v>95011</v>
      </c>
      <c r="N37" s="62">
        <f t="shared" si="3"/>
        <v>1712</v>
      </c>
      <c r="O37" s="63"/>
      <c r="Q37" s="180"/>
      <c r="R37" s="60" t="s">
        <v>82</v>
      </c>
      <c r="S37" s="61">
        <v>95011</v>
      </c>
      <c r="T37" s="61">
        <v>96328</v>
      </c>
      <c r="U37" s="62">
        <f t="shared" si="4"/>
        <v>1317</v>
      </c>
      <c r="V37" s="63"/>
    </row>
    <row r="38" spans="2:22" ht="14.4" x14ac:dyDescent="0.25">
      <c r="B38" s="56"/>
      <c r="C38" s="179">
        <v>19</v>
      </c>
      <c r="D38" s="60" t="s">
        <v>80</v>
      </c>
      <c r="E38" s="61">
        <v>23189</v>
      </c>
      <c r="F38" s="61">
        <v>23446</v>
      </c>
      <c r="G38" s="62">
        <f t="shared" si="2"/>
        <v>257</v>
      </c>
      <c r="H38" s="63"/>
      <c r="I38" s="66"/>
      <c r="J38" s="179">
        <v>19</v>
      </c>
      <c r="K38" s="60" t="s">
        <v>80</v>
      </c>
      <c r="L38" s="61">
        <v>23840</v>
      </c>
      <c r="M38" s="61">
        <v>24416</v>
      </c>
      <c r="N38" s="62">
        <f t="shared" si="3"/>
        <v>576</v>
      </c>
      <c r="O38" s="63"/>
      <c r="Q38" s="179">
        <v>19</v>
      </c>
      <c r="R38" s="60" t="s">
        <v>80</v>
      </c>
      <c r="S38" s="61">
        <v>24416</v>
      </c>
      <c r="T38" s="61">
        <v>24874</v>
      </c>
      <c r="U38" s="62">
        <f t="shared" si="4"/>
        <v>458</v>
      </c>
      <c r="V38" s="63"/>
    </row>
    <row r="39" spans="2:22" ht="14.4" x14ac:dyDescent="0.25">
      <c r="B39" s="56"/>
      <c r="C39" s="184"/>
      <c r="D39" s="60" t="s">
        <v>81</v>
      </c>
      <c r="E39" s="142">
        <v>84498</v>
      </c>
      <c r="F39" s="142">
        <v>84652</v>
      </c>
      <c r="G39" s="62">
        <f t="shared" si="2"/>
        <v>154</v>
      </c>
      <c r="H39" s="69"/>
      <c r="I39" s="66"/>
      <c r="J39" s="184"/>
      <c r="K39" s="60" t="s">
        <v>81</v>
      </c>
      <c r="L39" s="61">
        <v>84843</v>
      </c>
      <c r="M39" s="61">
        <v>85048</v>
      </c>
      <c r="N39" s="62">
        <f t="shared" si="3"/>
        <v>205</v>
      </c>
      <c r="O39" s="69"/>
      <c r="Q39" s="184"/>
      <c r="R39" s="60" t="s">
        <v>81</v>
      </c>
      <c r="S39" s="61">
        <v>85048</v>
      </c>
      <c r="T39" s="61">
        <v>85379</v>
      </c>
      <c r="U39" s="62">
        <f t="shared" si="4"/>
        <v>331</v>
      </c>
      <c r="V39" s="69"/>
    </row>
    <row r="40" spans="2:22" ht="14.4" x14ac:dyDescent="0.25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2"/>
        <v>0</v>
      </c>
      <c r="H40" s="63"/>
      <c r="I40" s="66"/>
      <c r="J40" s="180"/>
      <c r="K40" s="60" t="s">
        <v>82</v>
      </c>
      <c r="L40" s="61">
        <v>53053</v>
      </c>
      <c r="M40" s="61">
        <v>53052</v>
      </c>
      <c r="N40" s="62" t="str">
        <f t="shared" si="3"/>
        <v>0</v>
      </c>
      <c r="O40" s="63"/>
      <c r="Q40" s="180"/>
      <c r="R40" s="60" t="s">
        <v>82</v>
      </c>
      <c r="S40" s="61">
        <v>53053</v>
      </c>
      <c r="T40" s="61">
        <v>53053</v>
      </c>
      <c r="U40" s="62">
        <f t="shared" si="4"/>
        <v>0</v>
      </c>
      <c r="V40" s="63"/>
    </row>
    <row r="41" spans="2:22" ht="14.4" x14ac:dyDescent="0.25">
      <c r="B41" s="56"/>
      <c r="C41" s="179">
        <v>20</v>
      </c>
      <c r="D41" s="60" t="s">
        <v>80</v>
      </c>
      <c r="E41" s="61">
        <v>121085</v>
      </c>
      <c r="F41" s="61">
        <v>121525</v>
      </c>
      <c r="G41" s="62">
        <f t="shared" si="2"/>
        <v>440</v>
      </c>
      <c r="H41" s="63"/>
      <c r="I41" s="66"/>
      <c r="J41" s="179">
        <v>20</v>
      </c>
      <c r="K41" s="60" t="s">
        <v>80</v>
      </c>
      <c r="L41" s="61">
        <v>121869</v>
      </c>
      <c r="M41" s="61">
        <v>122106</v>
      </c>
      <c r="N41" s="62">
        <f t="shared" si="3"/>
        <v>237</v>
      </c>
      <c r="O41" s="63"/>
      <c r="Q41" s="179">
        <v>20</v>
      </c>
      <c r="R41" s="60" t="s">
        <v>80</v>
      </c>
      <c r="S41" s="61">
        <v>122106</v>
      </c>
      <c r="T41" s="61">
        <v>122354</v>
      </c>
      <c r="U41" s="62">
        <f t="shared" si="4"/>
        <v>248</v>
      </c>
      <c r="V41" s="63"/>
    </row>
    <row r="42" spans="2:22" ht="14.4" x14ac:dyDescent="0.25">
      <c r="B42" s="56"/>
      <c r="C42" s="184"/>
      <c r="D42" s="60" t="s">
        <v>81</v>
      </c>
      <c r="E42" s="142">
        <v>70767</v>
      </c>
      <c r="F42" s="142">
        <v>70914</v>
      </c>
      <c r="G42" s="62">
        <f t="shared" si="2"/>
        <v>147</v>
      </c>
      <c r="H42" s="63"/>
      <c r="J42" s="184"/>
      <c r="K42" s="60" t="s">
        <v>81</v>
      </c>
      <c r="L42" s="61">
        <v>71994</v>
      </c>
      <c r="M42" s="61">
        <v>72822</v>
      </c>
      <c r="N42" s="62">
        <f t="shared" si="3"/>
        <v>828</v>
      </c>
      <c r="O42" s="63"/>
      <c r="Q42" s="184"/>
      <c r="R42" s="60" t="s">
        <v>81</v>
      </c>
      <c r="S42" s="61">
        <v>72822</v>
      </c>
      <c r="T42" s="61">
        <v>74576</v>
      </c>
      <c r="U42" s="62">
        <f t="shared" si="4"/>
        <v>1754</v>
      </c>
      <c r="V42" s="63"/>
    </row>
    <row r="43" spans="2:22" ht="14.4" x14ac:dyDescent="0.25">
      <c r="B43" s="56"/>
      <c r="C43" s="180"/>
      <c r="D43" s="60" t="s">
        <v>82</v>
      </c>
      <c r="E43" s="61">
        <v>3416</v>
      </c>
      <c r="F43" s="61">
        <v>3418</v>
      </c>
      <c r="G43" s="62">
        <f t="shared" si="2"/>
        <v>2</v>
      </c>
      <c r="H43" s="63"/>
      <c r="J43" s="180"/>
      <c r="K43" s="60" t="s">
        <v>82</v>
      </c>
      <c r="L43" s="61">
        <v>3456</v>
      </c>
      <c r="M43" s="61">
        <v>3469</v>
      </c>
      <c r="N43" s="62">
        <f t="shared" si="3"/>
        <v>13</v>
      </c>
      <c r="O43" s="63"/>
      <c r="Q43" s="180"/>
      <c r="R43" s="60" t="s">
        <v>82</v>
      </c>
      <c r="S43" s="61">
        <v>3469</v>
      </c>
      <c r="T43" s="61">
        <v>3482</v>
      </c>
      <c r="U43" s="62">
        <f t="shared" si="4"/>
        <v>13</v>
      </c>
      <c r="V43" s="63"/>
    </row>
    <row r="44" spans="2:22" ht="14.4" x14ac:dyDescent="0.25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/>
      <c r="V44" s="73"/>
    </row>
    <row r="45" spans="2:22" ht="14.4" x14ac:dyDescent="0.25">
      <c r="B45" s="56"/>
      <c r="C45" s="179">
        <v>21</v>
      </c>
      <c r="D45" s="74" t="s">
        <v>83</v>
      </c>
      <c r="E45" s="61">
        <v>3779</v>
      </c>
      <c r="F45" s="61">
        <v>3792</v>
      </c>
      <c r="G45" s="62">
        <f t="shared" ref="G45:G50" si="5">F45-E45</f>
        <v>13</v>
      </c>
      <c r="H45" s="64" t="s">
        <v>12</v>
      </c>
      <c r="J45" s="179">
        <v>21</v>
      </c>
      <c r="K45" s="74" t="s">
        <v>83</v>
      </c>
      <c r="L45" s="61">
        <v>3794</v>
      </c>
      <c r="M45" s="61">
        <v>3820</v>
      </c>
      <c r="N45" s="62">
        <f t="shared" si="3"/>
        <v>26</v>
      </c>
      <c r="O45" s="64" t="s">
        <v>12</v>
      </c>
      <c r="Q45" s="179">
        <v>21</v>
      </c>
      <c r="R45" s="74" t="s">
        <v>83</v>
      </c>
      <c r="S45" s="61">
        <v>3820</v>
      </c>
      <c r="T45" s="61">
        <v>3848</v>
      </c>
      <c r="U45" s="62">
        <f t="shared" si="4"/>
        <v>28</v>
      </c>
      <c r="V45" s="64" t="s">
        <v>12</v>
      </c>
    </row>
    <row r="46" spans="2:22" ht="14.4" x14ac:dyDescent="0.25">
      <c r="B46" s="56"/>
      <c r="C46" s="184"/>
      <c r="D46" s="74" t="s">
        <v>82</v>
      </c>
      <c r="E46" s="61">
        <v>44962</v>
      </c>
      <c r="F46" s="61">
        <v>45639</v>
      </c>
      <c r="G46" s="62">
        <f t="shared" si="5"/>
        <v>677</v>
      </c>
      <c r="H46" s="63"/>
      <c r="J46" s="184"/>
      <c r="K46" s="74" t="s">
        <v>82</v>
      </c>
      <c r="L46" s="61">
        <v>45855</v>
      </c>
      <c r="M46" s="61">
        <v>45860</v>
      </c>
      <c r="N46" s="62">
        <f t="shared" si="3"/>
        <v>5</v>
      </c>
      <c r="O46" s="63"/>
      <c r="Q46" s="184"/>
      <c r="R46" s="74" t="s">
        <v>82</v>
      </c>
      <c r="S46" s="61">
        <v>45860</v>
      </c>
      <c r="T46" s="61">
        <v>45860</v>
      </c>
      <c r="U46" s="62">
        <f t="shared" si="4"/>
        <v>0</v>
      </c>
      <c r="V46" s="63"/>
    </row>
    <row r="47" spans="2:22" ht="14.4" x14ac:dyDescent="0.25">
      <c r="B47" s="56"/>
      <c r="C47" s="179">
        <v>22</v>
      </c>
      <c r="D47" s="74" t="s">
        <v>83</v>
      </c>
      <c r="E47" s="75">
        <v>13737</v>
      </c>
      <c r="F47" s="75">
        <v>13759</v>
      </c>
      <c r="G47" s="62">
        <f t="shared" si="5"/>
        <v>22</v>
      </c>
      <c r="H47" s="63"/>
      <c r="I47" t="s">
        <v>12</v>
      </c>
      <c r="J47" s="179">
        <v>22</v>
      </c>
      <c r="K47" s="74" t="s">
        <v>83</v>
      </c>
      <c r="L47" s="61">
        <v>13770</v>
      </c>
      <c r="M47" s="61">
        <v>13771</v>
      </c>
      <c r="N47" s="62">
        <f t="shared" si="3"/>
        <v>1</v>
      </c>
      <c r="O47" s="63"/>
      <c r="Q47" s="179">
        <v>22</v>
      </c>
      <c r="R47" s="74" t="s">
        <v>83</v>
      </c>
      <c r="S47" s="61">
        <v>13771</v>
      </c>
      <c r="T47" s="61">
        <v>13771</v>
      </c>
      <c r="U47" s="62">
        <f t="shared" si="4"/>
        <v>0</v>
      </c>
      <c r="V47" s="63"/>
    </row>
    <row r="48" spans="2:22" ht="14.4" x14ac:dyDescent="0.25">
      <c r="B48" s="56"/>
      <c r="C48" s="184"/>
      <c r="D48" s="74" t="s">
        <v>82</v>
      </c>
      <c r="E48" s="75">
        <v>20919</v>
      </c>
      <c r="F48" s="75">
        <v>21064</v>
      </c>
      <c r="G48" s="62">
        <f t="shared" si="5"/>
        <v>145</v>
      </c>
      <c r="H48" s="63"/>
      <c r="J48" s="184"/>
      <c r="K48" s="74" t="s">
        <v>82</v>
      </c>
      <c r="L48" s="61">
        <v>21207</v>
      </c>
      <c r="M48" s="61">
        <v>21341</v>
      </c>
      <c r="N48" s="62">
        <f t="shared" si="3"/>
        <v>134</v>
      </c>
      <c r="O48" s="63"/>
      <c r="Q48" s="184"/>
      <c r="R48" s="74" t="s">
        <v>82</v>
      </c>
      <c r="S48" s="61">
        <v>21341</v>
      </c>
      <c r="T48" s="61">
        <v>21494</v>
      </c>
      <c r="U48" s="62">
        <f t="shared" si="4"/>
        <v>153</v>
      </c>
      <c r="V48" s="63"/>
    </row>
    <row r="49" spans="1:22" ht="14.4" x14ac:dyDescent="0.25">
      <c r="B49" s="56"/>
      <c r="C49" s="179">
        <v>23</v>
      </c>
      <c r="D49" s="60" t="s">
        <v>83</v>
      </c>
      <c r="E49" s="75"/>
      <c r="F49" s="75"/>
      <c r="G49" s="62">
        <f t="shared" si="5"/>
        <v>0</v>
      </c>
      <c r="H49" s="63"/>
      <c r="J49" s="179">
        <v>23</v>
      </c>
      <c r="K49" s="60" t="s">
        <v>83</v>
      </c>
      <c r="L49" s="61"/>
      <c r="M49" s="61"/>
      <c r="N49" s="62">
        <f t="shared" si="3"/>
        <v>0</v>
      </c>
      <c r="O49" s="63"/>
      <c r="Q49" s="179">
        <v>23</v>
      </c>
      <c r="R49" s="60" t="s">
        <v>83</v>
      </c>
      <c r="S49" s="61"/>
      <c r="T49" s="61"/>
      <c r="U49" s="62">
        <f t="shared" si="4"/>
        <v>0</v>
      </c>
      <c r="V49" s="63"/>
    </row>
    <row r="50" spans="1:22" ht="14.4" x14ac:dyDescent="0.25">
      <c r="B50" s="56"/>
      <c r="C50" s="184"/>
      <c r="D50" s="60" t="s">
        <v>82</v>
      </c>
      <c r="E50" s="75"/>
      <c r="F50" s="75"/>
      <c r="G50" s="62">
        <f t="shared" si="5"/>
        <v>0</v>
      </c>
      <c r="H50" s="63"/>
      <c r="J50" s="184"/>
      <c r="K50" s="60" t="s">
        <v>82</v>
      </c>
      <c r="L50" s="61"/>
      <c r="M50" s="61"/>
      <c r="N50" s="62">
        <f t="shared" si="3"/>
        <v>0</v>
      </c>
      <c r="O50" s="63"/>
      <c r="Q50" s="184"/>
      <c r="R50" s="60" t="s">
        <v>82</v>
      </c>
      <c r="S50" s="61"/>
      <c r="T50" s="61"/>
      <c r="U50" s="62">
        <f t="shared" si="4"/>
        <v>0</v>
      </c>
      <c r="V50" s="63"/>
    </row>
    <row r="51" spans="1:22" ht="14.4" x14ac:dyDescent="0.25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1">
        <f t="shared" si="3"/>
        <v>0</v>
      </c>
      <c r="O51" s="73"/>
      <c r="Q51" s="76"/>
      <c r="R51" s="71"/>
      <c r="S51" s="72"/>
      <c r="T51" s="72"/>
      <c r="U51" s="71">
        <f t="shared" si="4"/>
        <v>0</v>
      </c>
      <c r="V51" s="73"/>
    </row>
    <row r="52" spans="1:22" ht="14.4" x14ac:dyDescent="0.25">
      <c r="B52" s="56"/>
      <c r="C52" s="185">
        <v>24</v>
      </c>
      <c r="D52" s="60" t="s">
        <v>84</v>
      </c>
      <c r="E52" s="142">
        <v>252472</v>
      </c>
      <c r="F52" s="142">
        <v>253528</v>
      </c>
      <c r="G52" s="62">
        <f t="shared" ref="G52:G60" si="6">F52-E52</f>
        <v>1056</v>
      </c>
      <c r="H52" s="77"/>
      <c r="J52" s="185">
        <v>24</v>
      </c>
      <c r="K52" s="60" t="s">
        <v>84</v>
      </c>
      <c r="L52" s="61">
        <v>254504</v>
      </c>
      <c r="M52" s="61">
        <v>255854</v>
      </c>
      <c r="N52" s="62">
        <f t="shared" si="3"/>
        <v>1350</v>
      </c>
      <c r="O52" s="77"/>
      <c r="Q52" s="185">
        <v>24</v>
      </c>
      <c r="R52" s="60" t="s">
        <v>84</v>
      </c>
      <c r="S52" s="61">
        <v>255854</v>
      </c>
      <c r="T52" s="61">
        <v>256606</v>
      </c>
      <c r="U52" s="62">
        <f t="shared" si="4"/>
        <v>752</v>
      </c>
      <c r="V52" s="77"/>
    </row>
    <row r="53" spans="1:22" ht="14.4" x14ac:dyDescent="0.25">
      <c r="B53" s="56"/>
      <c r="C53" s="186"/>
      <c r="D53" s="60" t="s">
        <v>85</v>
      </c>
      <c r="E53" s="142">
        <v>539991</v>
      </c>
      <c r="F53" s="142">
        <v>540445</v>
      </c>
      <c r="G53" s="62">
        <f t="shared" si="6"/>
        <v>454</v>
      </c>
      <c r="H53" s="69"/>
      <c r="J53" s="186"/>
      <c r="K53" s="60" t="s">
        <v>85</v>
      </c>
      <c r="L53" s="61">
        <v>540901</v>
      </c>
      <c r="M53" s="61">
        <v>541352</v>
      </c>
      <c r="N53" s="62">
        <f t="shared" si="3"/>
        <v>451</v>
      </c>
      <c r="O53" s="69"/>
      <c r="Q53" s="186"/>
      <c r="R53" s="60" t="s">
        <v>85</v>
      </c>
      <c r="S53" s="61">
        <v>541352</v>
      </c>
      <c r="T53" s="61">
        <v>541849</v>
      </c>
      <c r="U53" s="62">
        <f t="shared" si="4"/>
        <v>497</v>
      </c>
      <c r="V53" s="69"/>
    </row>
    <row r="54" spans="1:22" ht="14.4" x14ac:dyDescent="0.25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6"/>
        <v>0</v>
      </c>
      <c r="H54" s="78" t="s">
        <v>12</v>
      </c>
      <c r="J54" s="187"/>
      <c r="K54" s="60" t="s">
        <v>84</v>
      </c>
      <c r="L54" s="61">
        <v>34567</v>
      </c>
      <c r="M54" s="61">
        <v>34557</v>
      </c>
      <c r="N54" s="62" t="str">
        <f t="shared" si="3"/>
        <v>0</v>
      </c>
      <c r="O54" s="78" t="s">
        <v>12</v>
      </c>
      <c r="Q54" s="187"/>
      <c r="R54" s="60" t="s">
        <v>84</v>
      </c>
      <c r="S54" s="61">
        <v>34557</v>
      </c>
      <c r="T54" s="61">
        <v>34567</v>
      </c>
      <c r="U54" s="62">
        <f t="shared" si="4"/>
        <v>10</v>
      </c>
      <c r="V54" s="78" t="s">
        <v>12</v>
      </c>
    </row>
    <row r="55" spans="1:22" ht="14.4" x14ac:dyDescent="0.25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6"/>
        <v>0</v>
      </c>
      <c r="H55" s="63"/>
      <c r="J55" s="179">
        <v>25</v>
      </c>
      <c r="K55" s="60" t="s">
        <v>84</v>
      </c>
      <c r="L55" s="61">
        <v>330</v>
      </c>
      <c r="M55" s="61">
        <v>330</v>
      </c>
      <c r="N55" s="62">
        <f t="shared" si="3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4"/>
        <v>0</v>
      </c>
      <c r="V55" s="63"/>
    </row>
    <row r="56" spans="1:22" ht="14.4" x14ac:dyDescent="0.25">
      <c r="B56" s="56"/>
      <c r="C56" s="180"/>
      <c r="D56" s="60" t="s">
        <v>85</v>
      </c>
      <c r="E56" s="75">
        <v>3</v>
      </c>
      <c r="F56" s="75">
        <v>3</v>
      </c>
      <c r="G56" s="62">
        <f t="shared" si="6"/>
        <v>0</v>
      </c>
      <c r="H56" s="63"/>
      <c r="J56" s="180"/>
      <c r="K56" s="60" t="s">
        <v>85</v>
      </c>
      <c r="L56" s="61">
        <v>3</v>
      </c>
      <c r="M56" s="61">
        <v>3</v>
      </c>
      <c r="N56" s="62">
        <f t="shared" si="3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4"/>
        <v>0</v>
      </c>
      <c r="V56" s="63"/>
    </row>
    <row r="57" spans="1:22" ht="14.4" x14ac:dyDescent="0.25">
      <c r="B57" s="56"/>
      <c r="C57" s="179">
        <v>26</v>
      </c>
      <c r="D57" s="60" t="s">
        <v>84</v>
      </c>
      <c r="E57" s="61">
        <v>733920</v>
      </c>
      <c r="F57" s="61">
        <v>737028</v>
      </c>
      <c r="G57" s="62">
        <f t="shared" si="6"/>
        <v>3108</v>
      </c>
      <c r="H57" s="63"/>
      <c r="J57" s="179">
        <v>26</v>
      </c>
      <c r="K57" s="60" t="s">
        <v>84</v>
      </c>
      <c r="L57" s="61">
        <v>740310</v>
      </c>
      <c r="M57" s="61">
        <v>743691</v>
      </c>
      <c r="N57" s="62">
        <f t="shared" si="3"/>
        <v>3381</v>
      </c>
      <c r="O57" s="63"/>
      <c r="Q57" s="179">
        <v>26</v>
      </c>
      <c r="R57" s="60" t="s">
        <v>84</v>
      </c>
      <c r="S57" s="61">
        <v>743691</v>
      </c>
      <c r="T57" s="61">
        <v>746414</v>
      </c>
      <c r="U57" s="62">
        <f t="shared" si="4"/>
        <v>2723</v>
      </c>
      <c r="V57" s="63"/>
    </row>
    <row r="58" spans="1:22" ht="14.4" x14ac:dyDescent="0.25">
      <c r="A58" s="66"/>
      <c r="B58" s="56"/>
      <c r="C58" s="180"/>
      <c r="D58" s="60" t="s">
        <v>85</v>
      </c>
      <c r="E58" s="61">
        <v>808835</v>
      </c>
      <c r="F58" s="61">
        <v>812807</v>
      </c>
      <c r="G58" s="62">
        <f t="shared" si="6"/>
        <v>3972</v>
      </c>
      <c r="H58" s="69"/>
      <c r="I58" s="66"/>
      <c r="J58" s="180"/>
      <c r="K58" s="60" t="s">
        <v>85</v>
      </c>
      <c r="L58" s="61">
        <v>816379</v>
      </c>
      <c r="M58" s="61">
        <v>820373</v>
      </c>
      <c r="N58" s="62">
        <f t="shared" si="3"/>
        <v>3994</v>
      </c>
      <c r="O58" s="69"/>
      <c r="Q58" s="180"/>
      <c r="R58" s="60" t="s">
        <v>85</v>
      </c>
      <c r="S58" s="61">
        <v>820373</v>
      </c>
      <c r="T58" s="61">
        <v>823930</v>
      </c>
      <c r="U58" s="62">
        <f t="shared" si="4"/>
        <v>3557</v>
      </c>
      <c r="V58" s="69"/>
    </row>
    <row r="59" spans="1:22" ht="14.4" x14ac:dyDescent="0.25">
      <c r="A59" s="66"/>
      <c r="B59" s="56"/>
      <c r="C59" s="179">
        <v>27</v>
      </c>
      <c r="D59" s="60" t="s">
        <v>84</v>
      </c>
      <c r="E59" s="61">
        <v>249147</v>
      </c>
      <c r="F59" s="61">
        <v>250138</v>
      </c>
      <c r="G59" s="62">
        <f t="shared" si="6"/>
        <v>991</v>
      </c>
      <c r="H59" s="63"/>
      <c r="I59" s="66"/>
      <c r="J59" s="179">
        <v>27</v>
      </c>
      <c r="K59" s="60" t="s">
        <v>84</v>
      </c>
      <c r="L59" s="61">
        <v>251124</v>
      </c>
      <c r="M59" s="61">
        <v>252317</v>
      </c>
      <c r="N59" s="62">
        <f t="shared" si="3"/>
        <v>1193</v>
      </c>
      <c r="O59" s="63"/>
      <c r="Q59" s="179">
        <v>27</v>
      </c>
      <c r="R59" s="60" t="s">
        <v>84</v>
      </c>
      <c r="S59" s="61">
        <v>252317</v>
      </c>
      <c r="T59" s="61">
        <v>253313</v>
      </c>
      <c r="U59" s="62">
        <f t="shared" si="4"/>
        <v>996</v>
      </c>
      <c r="V59" s="63"/>
    </row>
    <row r="60" spans="1:22" ht="14.4" x14ac:dyDescent="0.25">
      <c r="A60" s="66"/>
      <c r="B60" s="56"/>
      <c r="C60" s="180"/>
      <c r="D60" s="60" t="s">
        <v>85</v>
      </c>
      <c r="E60" s="61">
        <v>106037</v>
      </c>
      <c r="F60" s="61">
        <v>106368</v>
      </c>
      <c r="G60" s="62">
        <f t="shared" si="6"/>
        <v>331</v>
      </c>
      <c r="H60" s="63"/>
      <c r="I60" s="66"/>
      <c r="J60" s="180"/>
      <c r="K60" s="60" t="s">
        <v>85</v>
      </c>
      <c r="L60" s="61">
        <v>106703</v>
      </c>
      <c r="M60" s="61">
        <v>107034</v>
      </c>
      <c r="N60" s="62">
        <f t="shared" si="3"/>
        <v>331</v>
      </c>
      <c r="O60" s="63"/>
      <c r="Q60" s="180"/>
      <c r="R60" s="60" t="s">
        <v>85</v>
      </c>
      <c r="S60" s="61">
        <v>107034</v>
      </c>
      <c r="T60" s="61">
        <v>107404</v>
      </c>
      <c r="U60" s="62">
        <f t="shared" si="4"/>
        <v>370</v>
      </c>
      <c r="V60" s="63"/>
    </row>
    <row r="61" spans="1:22" ht="14.4" x14ac:dyDescent="0.25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71"/>
      <c r="M61" s="71"/>
      <c r="N61" s="71">
        <f t="shared" si="3"/>
        <v>0</v>
      </c>
      <c r="O61" s="73"/>
      <c r="Q61" s="70"/>
      <c r="R61" s="71"/>
      <c r="S61" s="71"/>
      <c r="T61" s="71"/>
      <c r="U61" s="71">
        <f t="shared" si="4"/>
        <v>0</v>
      </c>
      <c r="V61" s="73"/>
    </row>
    <row r="62" spans="1:22" ht="14.4" x14ac:dyDescent="0.25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>
        <f t="shared" si="3"/>
        <v>0</v>
      </c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4"/>
        <v>0</v>
      </c>
      <c r="V62" s="176" t="s">
        <v>87</v>
      </c>
    </row>
    <row r="63" spans="1:22" ht="14.4" x14ac:dyDescent="0.25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>
        <f t="shared" si="3"/>
        <v>0</v>
      </c>
      <c r="O63" s="177"/>
      <c r="Q63" s="180"/>
      <c r="R63" s="175"/>
      <c r="S63" s="61"/>
      <c r="T63" s="61"/>
      <c r="U63" s="62">
        <f t="shared" si="4"/>
        <v>0</v>
      </c>
      <c r="V63" s="177"/>
    </row>
    <row r="64" spans="1:22" ht="13.8" x14ac:dyDescent="0.25">
      <c r="A64" s="66"/>
      <c r="B64" s="56"/>
      <c r="C64" s="178" t="s">
        <v>88</v>
      </c>
      <c r="D64" s="178"/>
      <c r="E64" s="178"/>
      <c r="F64" s="178"/>
      <c r="G64" s="80">
        <f>SUM(G2:G63)</f>
        <v>295061</v>
      </c>
      <c r="H64" s="81"/>
      <c r="I64" s="66"/>
      <c r="J64" s="178" t="s">
        <v>88</v>
      </c>
      <c r="K64" s="178"/>
      <c r="L64" s="178"/>
      <c r="M64" s="178"/>
      <c r="N64" s="80">
        <f>SUM(N2:N63)</f>
        <v>30010</v>
      </c>
      <c r="O64" s="81"/>
      <c r="Q64" s="178" t="s">
        <v>88</v>
      </c>
      <c r="R64" s="178"/>
      <c r="S64" s="178"/>
      <c r="T64" s="178"/>
      <c r="U64" s="80">
        <f>SUM(U2:U63)</f>
        <v>29502</v>
      </c>
      <c r="V64" s="81"/>
    </row>
    <row r="68" spans="1:15" ht="13.8" thickBot="1" x14ac:dyDescent="0.3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8" thickBot="1" x14ac:dyDescent="0.3">
      <c r="A69" s="84"/>
      <c r="B69" s="181">
        <v>44713</v>
      </c>
      <c r="C69" s="182"/>
      <c r="D69" s="182"/>
      <c r="E69" s="183"/>
      <c r="F69" s="84"/>
      <c r="G69" s="181">
        <v>44743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8" thickBot="1" x14ac:dyDescent="0.3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4.4" thickBot="1" x14ac:dyDescent="0.3">
      <c r="A71" s="82"/>
      <c r="B71" s="86">
        <v>6</v>
      </c>
      <c r="C71" s="87">
        <v>99360</v>
      </c>
      <c r="D71" s="88">
        <v>60362</v>
      </c>
      <c r="E71" s="89">
        <v>78930</v>
      </c>
      <c r="F71" s="82"/>
      <c r="G71" s="86">
        <v>6</v>
      </c>
      <c r="H71" s="87">
        <v>99883</v>
      </c>
      <c r="I71" s="88">
        <v>60994</v>
      </c>
      <c r="J71" s="89">
        <v>78942</v>
      </c>
      <c r="K71" s="82"/>
      <c r="L71" s="85">
        <v>6</v>
      </c>
      <c r="M71" s="90">
        <f>H71-C71</f>
        <v>523</v>
      </c>
      <c r="N71" s="90">
        <f>I71-D71</f>
        <v>632</v>
      </c>
      <c r="O71" s="90">
        <f>J71-E71</f>
        <v>12</v>
      </c>
    </row>
    <row r="72" spans="1:15" ht="14.4" thickBot="1" x14ac:dyDescent="0.3">
      <c r="A72" s="82"/>
      <c r="B72" s="86">
        <v>7</v>
      </c>
      <c r="C72" s="87">
        <v>102341</v>
      </c>
      <c r="D72" s="88">
        <v>106256</v>
      </c>
      <c r="E72" s="89">
        <v>68121</v>
      </c>
      <c r="F72" s="82"/>
      <c r="G72" s="86">
        <v>7</v>
      </c>
      <c r="H72" s="87">
        <v>102548</v>
      </c>
      <c r="I72" s="88">
        <v>106467</v>
      </c>
      <c r="J72" s="89">
        <v>68233</v>
      </c>
      <c r="K72" s="82"/>
      <c r="L72" s="85">
        <v>7</v>
      </c>
      <c r="M72" s="90">
        <f t="shared" ref="M72:O94" si="7">H72-C72</f>
        <v>207</v>
      </c>
      <c r="N72" s="90">
        <f t="shared" si="7"/>
        <v>211</v>
      </c>
      <c r="O72" s="90">
        <f t="shared" si="7"/>
        <v>112</v>
      </c>
    </row>
    <row r="73" spans="1:15" ht="14.4" thickBot="1" x14ac:dyDescent="0.3">
      <c r="A73" s="82"/>
      <c r="B73" s="86">
        <v>8</v>
      </c>
      <c r="C73" s="87">
        <v>122145</v>
      </c>
      <c r="D73" s="88">
        <v>268694</v>
      </c>
      <c r="E73" s="89">
        <v>113860</v>
      </c>
      <c r="F73" s="82"/>
      <c r="G73" s="86">
        <v>8</v>
      </c>
      <c r="H73" s="87">
        <v>122999</v>
      </c>
      <c r="I73" s="88">
        <v>270860</v>
      </c>
      <c r="J73" s="89">
        <v>114125</v>
      </c>
      <c r="K73" s="82"/>
      <c r="L73" s="85">
        <v>8</v>
      </c>
      <c r="M73" s="90">
        <f t="shared" si="7"/>
        <v>854</v>
      </c>
      <c r="N73" s="90">
        <f t="shared" si="7"/>
        <v>2166</v>
      </c>
      <c r="O73" s="90">
        <f t="shared" si="7"/>
        <v>265</v>
      </c>
    </row>
    <row r="74" spans="1:15" ht="14.4" thickBot="1" x14ac:dyDescent="0.3">
      <c r="A74" s="82"/>
      <c r="B74" s="86">
        <v>9</v>
      </c>
      <c r="C74" s="87">
        <v>69702</v>
      </c>
      <c r="D74" s="88">
        <v>157217</v>
      </c>
      <c r="E74" s="89">
        <v>166699</v>
      </c>
      <c r="F74" s="82"/>
      <c r="G74" s="86">
        <v>9</v>
      </c>
      <c r="H74" s="87">
        <v>69792</v>
      </c>
      <c r="I74" s="88">
        <v>157459</v>
      </c>
      <c r="J74" s="89">
        <v>168287</v>
      </c>
      <c r="K74" s="82"/>
      <c r="L74" s="85">
        <v>9</v>
      </c>
      <c r="M74" s="90">
        <f t="shared" si="7"/>
        <v>90</v>
      </c>
      <c r="N74" s="90">
        <f t="shared" si="7"/>
        <v>242</v>
      </c>
      <c r="O74" s="90">
        <f t="shared" si="7"/>
        <v>1588</v>
      </c>
    </row>
    <row r="75" spans="1:15" ht="14.4" thickBot="1" x14ac:dyDescent="0.3">
      <c r="A75" s="82"/>
      <c r="B75" s="86">
        <v>10</v>
      </c>
      <c r="C75" s="87">
        <v>78103</v>
      </c>
      <c r="D75" s="88">
        <v>127365</v>
      </c>
      <c r="E75" s="89">
        <v>156965</v>
      </c>
      <c r="F75" s="82"/>
      <c r="G75" s="86">
        <v>10</v>
      </c>
      <c r="H75" s="87">
        <v>78103</v>
      </c>
      <c r="I75" s="88">
        <v>128489</v>
      </c>
      <c r="J75" s="89">
        <v>159121</v>
      </c>
      <c r="K75" s="82"/>
      <c r="L75" s="85">
        <v>10</v>
      </c>
      <c r="M75" s="90">
        <f t="shared" si="7"/>
        <v>0</v>
      </c>
      <c r="N75" s="90">
        <f t="shared" si="7"/>
        <v>1124</v>
      </c>
      <c r="O75" s="90">
        <f t="shared" si="7"/>
        <v>2156</v>
      </c>
    </row>
    <row r="76" spans="1:15" ht="14.4" thickBot="1" x14ac:dyDescent="0.3">
      <c r="A76" s="82"/>
      <c r="B76" s="86">
        <v>11</v>
      </c>
      <c r="C76" s="87">
        <v>163062</v>
      </c>
      <c r="D76" s="88">
        <v>189919</v>
      </c>
      <c r="E76" s="89">
        <v>214965</v>
      </c>
      <c r="F76" s="82"/>
      <c r="G76" s="86">
        <v>11</v>
      </c>
      <c r="H76" s="87">
        <v>163743</v>
      </c>
      <c r="I76" s="88">
        <v>190828</v>
      </c>
      <c r="J76" s="89">
        <v>215091</v>
      </c>
      <c r="K76" s="82"/>
      <c r="L76" s="85">
        <v>11</v>
      </c>
      <c r="M76" s="90">
        <f>H76-C76</f>
        <v>681</v>
      </c>
      <c r="N76" s="90">
        <f t="shared" si="7"/>
        <v>909</v>
      </c>
      <c r="O76" s="90">
        <f t="shared" si="7"/>
        <v>126</v>
      </c>
    </row>
    <row r="77" spans="1:15" ht="14.4" thickBot="1" x14ac:dyDescent="0.3">
      <c r="A77" s="82"/>
      <c r="B77" s="86">
        <v>12</v>
      </c>
      <c r="C77" s="87">
        <v>157726</v>
      </c>
      <c r="D77" s="88">
        <v>100105</v>
      </c>
      <c r="E77" s="89">
        <v>101879</v>
      </c>
      <c r="F77" s="82"/>
      <c r="G77" s="86">
        <v>12</v>
      </c>
      <c r="H77" s="87">
        <v>158150</v>
      </c>
      <c r="I77" s="88">
        <v>101293</v>
      </c>
      <c r="J77" s="89">
        <v>102186</v>
      </c>
      <c r="K77" s="82"/>
      <c r="L77" s="85">
        <v>12</v>
      </c>
      <c r="M77" s="90">
        <f t="shared" si="7"/>
        <v>424</v>
      </c>
      <c r="N77" s="90">
        <f>I77-D77</f>
        <v>1188</v>
      </c>
      <c r="O77" s="90">
        <f t="shared" si="7"/>
        <v>307</v>
      </c>
    </row>
    <row r="78" spans="1:15" ht="14.4" thickBot="1" x14ac:dyDescent="0.3">
      <c r="A78" s="82"/>
      <c r="B78" s="86">
        <v>14</v>
      </c>
      <c r="C78" s="87">
        <v>123800</v>
      </c>
      <c r="D78" s="88">
        <v>49663</v>
      </c>
      <c r="E78" s="89">
        <v>52076</v>
      </c>
      <c r="F78" s="82"/>
      <c r="G78" s="86">
        <v>14</v>
      </c>
      <c r="H78" s="87">
        <v>124003</v>
      </c>
      <c r="I78" s="88">
        <v>49838</v>
      </c>
      <c r="J78" s="89">
        <v>52206</v>
      </c>
      <c r="K78" s="82"/>
      <c r="L78" s="85">
        <v>14</v>
      </c>
      <c r="M78" s="90">
        <f t="shared" si="7"/>
        <v>203</v>
      </c>
      <c r="N78" s="90">
        <f t="shared" si="7"/>
        <v>175</v>
      </c>
      <c r="O78" s="90">
        <f t="shared" si="7"/>
        <v>130</v>
      </c>
    </row>
    <row r="79" spans="1:15" ht="14.4" thickBot="1" x14ac:dyDescent="0.3">
      <c r="A79" s="82"/>
      <c r="B79" s="86">
        <v>15</v>
      </c>
      <c r="C79" s="87">
        <v>177077</v>
      </c>
      <c r="D79" s="88">
        <v>155961</v>
      </c>
      <c r="E79" s="89">
        <v>165634</v>
      </c>
      <c r="F79" s="82"/>
      <c r="G79" s="86">
        <v>15</v>
      </c>
      <c r="H79" s="87">
        <v>178020</v>
      </c>
      <c r="I79" s="88">
        <v>157903</v>
      </c>
      <c r="J79" s="89">
        <v>166133</v>
      </c>
      <c r="K79" s="82"/>
      <c r="L79" s="85">
        <v>15</v>
      </c>
      <c r="M79" s="90">
        <f t="shared" si="7"/>
        <v>943</v>
      </c>
      <c r="N79" s="90">
        <f t="shared" si="7"/>
        <v>1942</v>
      </c>
      <c r="O79" s="90">
        <f t="shared" si="7"/>
        <v>499</v>
      </c>
    </row>
    <row r="80" spans="1:15" ht="14.4" thickBot="1" x14ac:dyDescent="0.3">
      <c r="A80" s="82"/>
      <c r="B80" s="86">
        <v>16</v>
      </c>
      <c r="C80" s="87">
        <v>131324</v>
      </c>
      <c r="D80" s="88">
        <v>158804</v>
      </c>
      <c r="E80" s="89">
        <v>221172</v>
      </c>
      <c r="F80" s="82"/>
      <c r="G80" s="86">
        <v>16</v>
      </c>
      <c r="H80" s="87">
        <v>131579</v>
      </c>
      <c r="I80" s="88">
        <v>159522</v>
      </c>
      <c r="J80" s="89">
        <v>221347</v>
      </c>
      <c r="K80" s="82"/>
      <c r="L80" s="85">
        <v>16</v>
      </c>
      <c r="M80" s="90">
        <f t="shared" si="7"/>
        <v>255</v>
      </c>
      <c r="N80" s="90">
        <f t="shared" si="7"/>
        <v>718</v>
      </c>
      <c r="O80" s="90">
        <f t="shared" si="7"/>
        <v>175</v>
      </c>
    </row>
    <row r="81" spans="1:15" ht="14.4" thickBot="1" x14ac:dyDescent="0.3">
      <c r="A81" s="82"/>
      <c r="B81" s="86">
        <v>17</v>
      </c>
      <c r="C81" s="87">
        <v>38476</v>
      </c>
      <c r="D81" s="88">
        <v>89126</v>
      </c>
      <c r="E81" s="89">
        <v>204014</v>
      </c>
      <c r="F81" s="82"/>
      <c r="G81" s="86">
        <v>17</v>
      </c>
      <c r="H81" s="87">
        <v>38476</v>
      </c>
      <c r="I81" s="88">
        <v>89367</v>
      </c>
      <c r="J81" s="89">
        <v>204293</v>
      </c>
      <c r="K81" s="82"/>
      <c r="L81" s="85">
        <v>17</v>
      </c>
      <c r="M81" s="90">
        <f t="shared" si="7"/>
        <v>0</v>
      </c>
      <c r="N81" s="90">
        <f t="shared" si="7"/>
        <v>241</v>
      </c>
      <c r="O81" s="90">
        <f t="shared" si="7"/>
        <v>279</v>
      </c>
    </row>
    <row r="82" spans="1:15" ht="14.4" thickBot="1" x14ac:dyDescent="0.3">
      <c r="A82" s="82"/>
      <c r="B82" s="86">
        <v>18</v>
      </c>
      <c r="C82" s="87">
        <v>141527</v>
      </c>
      <c r="D82" s="88">
        <v>75757</v>
      </c>
      <c r="E82" s="89">
        <v>166717</v>
      </c>
      <c r="F82" s="82"/>
      <c r="G82" s="86">
        <v>18</v>
      </c>
      <c r="H82" s="87">
        <v>143081</v>
      </c>
      <c r="I82" s="88">
        <v>75846</v>
      </c>
      <c r="J82" s="89">
        <v>167496</v>
      </c>
      <c r="K82" s="82"/>
      <c r="L82" s="85">
        <v>18</v>
      </c>
      <c r="M82" s="90">
        <f t="shared" si="7"/>
        <v>1554</v>
      </c>
      <c r="N82" s="90">
        <f t="shared" si="7"/>
        <v>89</v>
      </c>
      <c r="O82" s="90">
        <f t="shared" si="7"/>
        <v>779</v>
      </c>
    </row>
    <row r="83" spans="1:15" ht="14.4" thickBot="1" x14ac:dyDescent="0.3">
      <c r="A83" s="82"/>
      <c r="B83" s="86">
        <v>19</v>
      </c>
      <c r="C83" s="87">
        <v>78546</v>
      </c>
      <c r="D83" s="88">
        <v>176831</v>
      </c>
      <c r="E83" s="89">
        <v>130950</v>
      </c>
      <c r="F83" s="82"/>
      <c r="G83" s="86">
        <v>19</v>
      </c>
      <c r="H83" s="87">
        <v>78749</v>
      </c>
      <c r="I83" s="88">
        <v>177503</v>
      </c>
      <c r="J83" s="89">
        <v>131708</v>
      </c>
      <c r="K83" s="82"/>
      <c r="L83" s="85">
        <v>19</v>
      </c>
      <c r="M83" s="90">
        <f t="shared" si="7"/>
        <v>203</v>
      </c>
      <c r="N83" s="90">
        <f t="shared" si="7"/>
        <v>672</v>
      </c>
      <c r="O83" s="90">
        <f t="shared" si="7"/>
        <v>758</v>
      </c>
    </row>
    <row r="84" spans="1:15" ht="14.4" thickBot="1" x14ac:dyDescent="0.3">
      <c r="A84" s="82"/>
      <c r="B84" s="86">
        <v>20</v>
      </c>
      <c r="C84" s="87">
        <v>148329</v>
      </c>
      <c r="D84" s="88">
        <v>180407</v>
      </c>
      <c r="E84" s="89">
        <v>91100</v>
      </c>
      <c r="F84" s="82"/>
      <c r="G84" s="86">
        <v>20</v>
      </c>
      <c r="H84" s="87">
        <v>148619</v>
      </c>
      <c r="I84" s="88">
        <v>181868</v>
      </c>
      <c r="J84" s="89">
        <v>92163</v>
      </c>
      <c r="K84" s="82"/>
      <c r="L84" s="85">
        <v>20</v>
      </c>
      <c r="M84" s="90">
        <f>H84-C84</f>
        <v>290</v>
      </c>
      <c r="N84" s="90">
        <f t="shared" si="7"/>
        <v>1461</v>
      </c>
      <c r="O84" s="90">
        <f t="shared" si="7"/>
        <v>1063</v>
      </c>
    </row>
    <row r="85" spans="1:15" ht="14.4" thickBot="1" x14ac:dyDescent="0.3">
      <c r="A85" s="82"/>
      <c r="B85" s="86">
        <v>21</v>
      </c>
      <c r="C85" s="87">
        <v>194434</v>
      </c>
      <c r="D85" s="88">
        <v>93475</v>
      </c>
      <c r="E85" s="89">
        <v>118812</v>
      </c>
      <c r="F85" s="82"/>
      <c r="G85" s="86">
        <v>21</v>
      </c>
      <c r="H85" s="87">
        <v>194638</v>
      </c>
      <c r="I85" s="88">
        <v>93899</v>
      </c>
      <c r="J85" s="89">
        <v>119387</v>
      </c>
      <c r="K85" s="82"/>
      <c r="L85" s="85">
        <v>21</v>
      </c>
      <c r="M85" s="90">
        <f t="shared" si="7"/>
        <v>204</v>
      </c>
      <c r="N85" s="90">
        <f t="shared" si="7"/>
        <v>424</v>
      </c>
      <c r="O85" s="90">
        <f t="shared" si="7"/>
        <v>575</v>
      </c>
    </row>
    <row r="86" spans="1:15" ht="14.4" thickBot="1" x14ac:dyDescent="0.3">
      <c r="A86" s="82"/>
      <c r="B86" s="86">
        <v>22</v>
      </c>
      <c r="C86" s="87">
        <v>143871</v>
      </c>
      <c r="D86" s="88">
        <v>102520</v>
      </c>
      <c r="E86" s="89">
        <v>123096</v>
      </c>
      <c r="F86" s="82"/>
      <c r="G86" s="86">
        <v>22</v>
      </c>
      <c r="H86" s="87">
        <v>145304</v>
      </c>
      <c r="I86" s="88">
        <v>104137</v>
      </c>
      <c r="J86" s="89">
        <v>123160</v>
      </c>
      <c r="K86" s="82"/>
      <c r="L86" s="85">
        <v>22</v>
      </c>
      <c r="M86" s="90">
        <f t="shared" si="7"/>
        <v>1433</v>
      </c>
      <c r="N86" s="90">
        <f t="shared" si="7"/>
        <v>1617</v>
      </c>
      <c r="O86" s="90">
        <f>J86-E86</f>
        <v>64</v>
      </c>
    </row>
    <row r="87" spans="1:15" ht="14.4" thickBot="1" x14ac:dyDescent="0.3">
      <c r="A87" s="82"/>
      <c r="B87" s="86">
        <v>23</v>
      </c>
      <c r="C87" s="87">
        <v>131371</v>
      </c>
      <c r="D87" s="88">
        <v>160007</v>
      </c>
      <c r="E87" s="89">
        <v>301174</v>
      </c>
      <c r="F87" s="82"/>
      <c r="G87" s="86">
        <v>23</v>
      </c>
      <c r="H87" s="87">
        <v>131794</v>
      </c>
      <c r="I87" s="88">
        <v>160333</v>
      </c>
      <c r="J87" s="89">
        <v>302264</v>
      </c>
      <c r="K87" s="82"/>
      <c r="L87" s="85">
        <v>23</v>
      </c>
      <c r="M87" s="90">
        <f t="shared" si="7"/>
        <v>423</v>
      </c>
      <c r="N87" s="90">
        <f t="shared" si="7"/>
        <v>326</v>
      </c>
      <c r="O87" s="90">
        <f t="shared" si="7"/>
        <v>1090</v>
      </c>
    </row>
    <row r="88" spans="1:15" ht="14.4" thickBot="1" x14ac:dyDescent="0.3">
      <c r="A88" s="82"/>
      <c r="B88" s="86">
        <v>24</v>
      </c>
      <c r="C88" s="87">
        <v>81542</v>
      </c>
      <c r="D88" s="88">
        <v>155970</v>
      </c>
      <c r="E88" s="89">
        <v>102757</v>
      </c>
      <c r="F88" s="82"/>
      <c r="G88" s="86">
        <v>24</v>
      </c>
      <c r="H88" s="87">
        <v>81668</v>
      </c>
      <c r="I88" s="88">
        <v>156513</v>
      </c>
      <c r="J88" s="89">
        <v>102846</v>
      </c>
      <c r="K88" s="82"/>
      <c r="L88" s="85">
        <v>24</v>
      </c>
      <c r="M88" s="90">
        <f t="shared" si="7"/>
        <v>126</v>
      </c>
      <c r="N88" s="90">
        <f t="shared" si="7"/>
        <v>543</v>
      </c>
      <c r="O88" s="90">
        <f>J88-E88</f>
        <v>89</v>
      </c>
    </row>
    <row r="89" spans="1:15" ht="14.4" thickBot="1" x14ac:dyDescent="0.3">
      <c r="A89" s="82"/>
      <c r="B89" s="86">
        <v>25</v>
      </c>
      <c r="C89" s="87">
        <v>127975</v>
      </c>
      <c r="D89" s="88">
        <v>182146</v>
      </c>
      <c r="E89" s="89">
        <v>171730</v>
      </c>
      <c r="F89" s="82"/>
      <c r="G89" s="86">
        <v>25</v>
      </c>
      <c r="H89" s="87">
        <v>128446</v>
      </c>
      <c r="I89" s="88">
        <v>182364</v>
      </c>
      <c r="J89" s="89">
        <v>172502</v>
      </c>
      <c r="K89" s="82"/>
      <c r="L89" s="85">
        <v>25</v>
      </c>
      <c r="M89" s="90">
        <f>H89-C89</f>
        <v>471</v>
      </c>
      <c r="N89" s="90">
        <f t="shared" si="7"/>
        <v>218</v>
      </c>
      <c r="O89" s="90">
        <f>J89-E89</f>
        <v>772</v>
      </c>
    </row>
    <row r="90" spans="1:15" ht="14.4" thickBot="1" x14ac:dyDescent="0.3">
      <c r="A90" s="82"/>
      <c r="B90" s="86">
        <v>26</v>
      </c>
      <c r="C90" s="87">
        <v>124091</v>
      </c>
      <c r="D90" s="88">
        <v>58681</v>
      </c>
      <c r="E90" s="89">
        <v>60597</v>
      </c>
      <c r="F90" s="82"/>
      <c r="G90" s="86">
        <v>26</v>
      </c>
      <c r="H90" s="87">
        <v>125826</v>
      </c>
      <c r="I90" s="88">
        <v>59833</v>
      </c>
      <c r="J90" s="89">
        <v>61999</v>
      </c>
      <c r="K90" s="82"/>
      <c r="L90" s="85">
        <v>26</v>
      </c>
      <c r="M90" s="90">
        <f t="shared" si="7"/>
        <v>1735</v>
      </c>
      <c r="N90" s="90">
        <f t="shared" si="7"/>
        <v>1152</v>
      </c>
      <c r="O90" s="90">
        <f t="shared" si="7"/>
        <v>1402</v>
      </c>
    </row>
    <row r="91" spans="1:15" ht="14.4" thickBot="1" x14ac:dyDescent="0.3">
      <c r="A91" s="82"/>
      <c r="B91" s="86">
        <v>27</v>
      </c>
      <c r="C91" s="87">
        <v>104383</v>
      </c>
      <c r="D91" s="88">
        <v>114627</v>
      </c>
      <c r="E91" s="89">
        <v>128208</v>
      </c>
      <c r="F91" s="82"/>
      <c r="G91" s="86">
        <v>27</v>
      </c>
      <c r="H91" s="87">
        <v>104590</v>
      </c>
      <c r="I91" s="88">
        <v>115294</v>
      </c>
      <c r="J91" s="89">
        <v>128477</v>
      </c>
      <c r="K91" s="82"/>
      <c r="L91" s="85">
        <v>27</v>
      </c>
      <c r="M91" s="90">
        <f t="shared" si="7"/>
        <v>207</v>
      </c>
      <c r="N91" s="90">
        <f t="shared" si="7"/>
        <v>667</v>
      </c>
      <c r="O91" s="90">
        <f>J91-E91</f>
        <v>269</v>
      </c>
    </row>
    <row r="92" spans="1:15" ht="14.4" thickBot="1" x14ac:dyDescent="0.3">
      <c r="A92" s="82"/>
      <c r="B92" s="86">
        <v>28</v>
      </c>
      <c r="C92" s="87">
        <v>204213</v>
      </c>
      <c r="D92" s="88">
        <v>103525</v>
      </c>
      <c r="E92" s="89">
        <v>114093</v>
      </c>
      <c r="F92" s="82"/>
      <c r="G92" s="86">
        <v>28</v>
      </c>
      <c r="H92" s="87">
        <v>204409</v>
      </c>
      <c r="I92" s="88">
        <v>103540</v>
      </c>
      <c r="J92" s="89">
        <v>115215</v>
      </c>
      <c r="K92" s="82"/>
      <c r="L92" s="85">
        <v>28</v>
      </c>
      <c r="M92" s="90">
        <f t="shared" si="7"/>
        <v>196</v>
      </c>
      <c r="N92" s="90">
        <f t="shared" si="7"/>
        <v>15</v>
      </c>
      <c r="O92" s="90">
        <f t="shared" si="7"/>
        <v>1122</v>
      </c>
    </row>
    <row r="93" spans="1:15" ht="14.4" thickBot="1" x14ac:dyDescent="0.3">
      <c r="A93" s="82"/>
      <c r="B93" s="86">
        <v>29</v>
      </c>
      <c r="C93" s="87"/>
      <c r="D93" s="88"/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7"/>
        <v>0</v>
      </c>
      <c r="O93" s="90"/>
    </row>
    <row r="94" spans="1:15" ht="14.4" thickBot="1" x14ac:dyDescent="0.3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7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5"/>
  <sheetViews>
    <sheetView zoomScale="112" zoomScaleNormal="112" workbookViewId="0">
      <selection activeCell="K32" sqref="K32"/>
    </sheetView>
  </sheetViews>
  <sheetFormatPr defaultRowHeight="13.2" x14ac:dyDescent="0.25"/>
  <cols>
    <col min="2" max="2" width="14.6640625" bestFit="1" customWidth="1"/>
    <col min="3" max="4" width="14.5546875" bestFit="1" customWidth="1"/>
    <col min="6" max="6" width="40.88671875" customWidth="1"/>
    <col min="7" max="7" width="14.33203125" bestFit="1" customWidth="1"/>
    <col min="8" max="8" width="13.6640625" bestFit="1" customWidth="1"/>
    <col min="9" max="9" width="9.5546875" bestFit="1" customWidth="1"/>
    <col min="10" max="10" width="14.5546875" customWidth="1"/>
    <col min="11" max="11" width="15.109375" customWidth="1"/>
    <col min="12" max="12" width="10.109375" bestFit="1" customWidth="1"/>
  </cols>
  <sheetData>
    <row r="1" spans="1:13" ht="23.4" thickBot="1" x14ac:dyDescent="0.3">
      <c r="A1" s="188" t="s">
        <v>149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8" thickBot="1" x14ac:dyDescent="0.3">
      <c r="A2" s="94"/>
      <c r="B2" s="95" t="s">
        <v>92</v>
      </c>
      <c r="C2" s="96">
        <f>K8+K9+K14</f>
        <v>973354</v>
      </c>
      <c r="D2" s="96">
        <f>C2*1.27</f>
        <v>1236159.58</v>
      </c>
      <c r="E2" s="97"/>
      <c r="F2" s="94"/>
      <c r="G2" s="94"/>
      <c r="H2" s="98" t="s">
        <v>93</v>
      </c>
      <c r="I2" s="99"/>
      <c r="J2" s="99"/>
      <c r="K2" s="99"/>
    </row>
    <row r="3" spans="1:13" ht="13.8" thickBot="1" x14ac:dyDescent="0.3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ELECT.!E33</f>
        <v>32445770</v>
      </c>
      <c r="K3" s="166">
        <f>J3-I3</f>
        <v>705512</v>
      </c>
    </row>
    <row r="4" spans="1:13" ht="13.8" thickBot="1" x14ac:dyDescent="0.3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ELECT.!G33</f>
        <v>2929341</v>
      </c>
      <c r="K4" s="166">
        <f>J4-I4</f>
        <v>1694691</v>
      </c>
    </row>
    <row r="5" spans="1:13" ht="13.8" thickBot="1" x14ac:dyDescent="0.3">
      <c r="A5" s="94"/>
      <c r="B5" s="100" t="s">
        <v>27</v>
      </c>
      <c r="C5" s="104">
        <f>(K10+K12)*0.842284+K26</f>
        <v>908788.924612</v>
      </c>
      <c r="D5" s="104">
        <f t="shared" ref="D5:D11" si="0">C5*1.27</f>
        <v>1154161.93425724</v>
      </c>
      <c r="E5" s="105"/>
      <c r="F5" s="94"/>
      <c r="G5" s="94"/>
      <c r="H5" s="100" t="s">
        <v>23</v>
      </c>
      <c r="I5" s="106"/>
      <c r="J5" s="106"/>
      <c r="K5" s="126">
        <f>K3+K4</f>
        <v>2400203</v>
      </c>
    </row>
    <row r="6" spans="1:13" ht="13.8" thickBot="1" x14ac:dyDescent="0.3">
      <c r="A6" s="94"/>
      <c r="B6" s="100" t="s">
        <v>99</v>
      </c>
      <c r="C6" s="104">
        <f>(K10+K12+K26)*0.1488</f>
        <v>159978.30239999999</v>
      </c>
      <c r="D6" s="104">
        <f t="shared" si="0"/>
        <v>203172.44404799998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ELECT.!J33</f>
        <v>245034</v>
      </c>
      <c r="K6" s="166">
        <f>J6-I6</f>
        <v>171002</v>
      </c>
      <c r="M6" s="34"/>
    </row>
    <row r="7" spans="1:13" ht="13.8" thickBot="1" x14ac:dyDescent="0.3">
      <c r="A7" s="94"/>
      <c r="B7" s="100" t="s">
        <v>101</v>
      </c>
      <c r="C7" s="104">
        <f>(K6+K7)-(C8+C9+C10+C11+K26)</f>
        <v>274953</v>
      </c>
      <c r="D7" s="104">
        <f t="shared" si="0"/>
        <v>349190.31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ELECT.!L33</f>
        <v>497687</v>
      </c>
      <c r="K7" s="166">
        <f>J7-I7</f>
        <v>201204</v>
      </c>
    </row>
    <row r="8" spans="1:13" ht="13.8" thickBot="1" x14ac:dyDescent="0.3">
      <c r="A8" s="94"/>
      <c r="B8" s="100" t="s">
        <v>103</v>
      </c>
      <c r="C8" s="104">
        <f>K21+K22+K23+K24</f>
        <v>51483</v>
      </c>
      <c r="D8" s="104">
        <f t="shared" si="0"/>
        <v>65383.41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7104682</v>
      </c>
      <c r="K8" s="91">
        <f>(J8-I8)*2</f>
        <v>479702</v>
      </c>
    </row>
    <row r="9" spans="1:13" ht="13.8" thickBot="1" x14ac:dyDescent="0.3">
      <c r="A9" s="94"/>
      <c r="B9" s="100" t="s">
        <v>137</v>
      </c>
      <c r="C9" s="104">
        <f>K25+K16+K17</f>
        <v>7023</v>
      </c>
      <c r="D9" s="104">
        <f t="shared" si="0"/>
        <v>8919.2100000000009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ELECT.!P33</f>
        <v>7467951</v>
      </c>
      <c r="K9" s="91">
        <f>J9-I9</f>
        <v>433289</v>
      </c>
    </row>
    <row r="10" spans="1:13" ht="13.8" thickBot="1" x14ac:dyDescent="0.3">
      <c r="A10" s="94"/>
      <c r="B10" s="100" t="s">
        <v>106</v>
      </c>
      <c r="C10" s="104">
        <f>K18</f>
        <v>14240</v>
      </c>
      <c r="D10" s="104">
        <f t="shared" si="0"/>
        <v>18084.8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ELECT.!R33</f>
        <v>21870756</v>
      </c>
      <c r="K10" s="91">
        <f>J10-I10</f>
        <v>330503</v>
      </c>
    </row>
    <row r="11" spans="1:13" ht="13.8" thickBot="1" x14ac:dyDescent="0.3">
      <c r="A11" s="94"/>
      <c r="B11" s="100" t="s">
        <v>108</v>
      </c>
      <c r="C11" s="104">
        <f>K19+K20</f>
        <v>4027</v>
      </c>
      <c r="D11" s="104">
        <f t="shared" si="0"/>
        <v>5114.29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8" thickBot="1" x14ac:dyDescent="0.3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ELECT.!V33</f>
        <v>9866667</v>
      </c>
      <c r="K12" s="91">
        <f>(J12-I12)*2</f>
        <v>724140</v>
      </c>
    </row>
    <row r="13" spans="1:13" ht="13.8" thickBot="1" x14ac:dyDescent="0.3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2339840</v>
      </c>
    </row>
    <row r="14" spans="1:13" ht="13.8" thickBot="1" x14ac:dyDescent="0.3">
      <c r="A14" s="94"/>
      <c r="B14" s="100" t="s">
        <v>42</v>
      </c>
      <c r="C14" s="104">
        <f>K29</f>
        <v>31960</v>
      </c>
      <c r="D14" s="112">
        <f t="shared" ref="D14:D22" si="1">C14*10.03</f>
        <v>320558.8</v>
      </c>
      <c r="E14" s="113"/>
      <c r="F14" s="94"/>
      <c r="G14" s="94"/>
      <c r="H14" s="100" t="s">
        <v>114</v>
      </c>
      <c r="I14" s="109"/>
      <c r="J14" s="110"/>
      <c r="K14" s="92">
        <f>K5-K13</f>
        <v>60363</v>
      </c>
    </row>
    <row r="15" spans="1:13" ht="13.8" thickBot="1" x14ac:dyDescent="0.3">
      <c r="A15" s="94"/>
      <c r="B15" s="100" t="s">
        <v>115</v>
      </c>
      <c r="C15" s="114">
        <f>K30</f>
        <v>122.688</v>
      </c>
      <c r="D15" s="112">
        <f t="shared" si="1"/>
        <v>1230.5606399999999</v>
      </c>
      <c r="E15" s="113"/>
      <c r="F15" s="94"/>
      <c r="G15" s="94"/>
      <c r="H15" s="94"/>
      <c r="I15" s="94"/>
      <c r="J15" s="94"/>
      <c r="K15" s="94"/>
    </row>
    <row r="16" spans="1:13" ht="13.8" thickBot="1" x14ac:dyDescent="0.3">
      <c r="A16" s="94"/>
      <c r="B16" s="100" t="s">
        <v>99</v>
      </c>
      <c r="C16" s="114">
        <f>(C14-C15-C17-C18-C19-C20-C21)*0.1318</f>
        <v>3429.0817216</v>
      </c>
      <c r="D16" s="112">
        <f t="shared" si="1"/>
        <v>34393.689667647996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Rotana'!T33</f>
        <v>4029</v>
      </c>
      <c r="K16" s="93">
        <f>(J16-I16)*160</f>
        <v>2240</v>
      </c>
    </row>
    <row r="17" spans="1:11" ht="13.8" thickBot="1" x14ac:dyDescent="0.3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Rotana'!J33</f>
        <v>325715</v>
      </c>
      <c r="K17" s="93">
        <f>(J17-I17)</f>
        <v>4685</v>
      </c>
    </row>
    <row r="18" spans="1:11" ht="13.8" thickBot="1" x14ac:dyDescent="0.3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Rotana'!L33</f>
        <v>26354</v>
      </c>
      <c r="K18" s="93">
        <f>(J18-I18)*160</f>
        <v>14240</v>
      </c>
    </row>
    <row r="19" spans="1:11" ht="15.6" thickBot="1" x14ac:dyDescent="0.3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Rotana'!P33</f>
        <v>162611</v>
      </c>
      <c r="K19" s="93">
        <f>J19-I19</f>
        <v>4027</v>
      </c>
    </row>
    <row r="20" spans="1:11" ht="13.8" thickBot="1" x14ac:dyDescent="0.3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Rotana'!R33</f>
        <v>55047</v>
      </c>
      <c r="K20" s="93">
        <f>J20-I20</f>
        <v>0</v>
      </c>
    </row>
    <row r="21" spans="1:11" ht="13.8" thickBot="1" x14ac:dyDescent="0.3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Rotana'!B33</f>
        <v>47370</v>
      </c>
      <c r="K21" s="93">
        <f>(J21-I21)*120</f>
        <v>16920</v>
      </c>
    </row>
    <row r="22" spans="1:11" ht="13.8" thickBot="1" x14ac:dyDescent="0.3">
      <c r="A22" s="94"/>
      <c r="B22" s="100" t="s">
        <v>119</v>
      </c>
      <c r="C22" s="112">
        <f>C14-(C15+C16+C17+C18+C19+C20+C21)</f>
        <v>22588.230278399998</v>
      </c>
      <c r="D22" s="112">
        <f t="shared" si="1"/>
        <v>226559.94969235198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Rotana'!D33</f>
        <v>40932</v>
      </c>
      <c r="K22" s="93">
        <f>(J22-I22)*160</f>
        <v>31520</v>
      </c>
    </row>
    <row r="23" spans="1:11" x14ac:dyDescent="0.25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Rotana'!F33</f>
        <v>21902</v>
      </c>
      <c r="K23" s="93">
        <f>(J23-I23)*20</f>
        <v>2120</v>
      </c>
    </row>
    <row r="24" spans="1:11" x14ac:dyDescent="0.25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Rotana'!H33</f>
        <v>257036</v>
      </c>
      <c r="K24" s="93">
        <f>J24-I24</f>
        <v>923</v>
      </c>
    </row>
    <row r="25" spans="1:11" ht="13.8" thickBot="1" x14ac:dyDescent="0.3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Rotana'!N33</f>
        <v>226230</v>
      </c>
      <c r="K25" s="93">
        <f>J25-I25</f>
        <v>98</v>
      </c>
    </row>
    <row r="26" spans="1:11" ht="13.8" thickBot="1" x14ac:dyDescent="0.3">
      <c r="A26" s="94"/>
      <c r="B26" s="100" t="s">
        <v>42</v>
      </c>
      <c r="C26" s="118">
        <f>K35</f>
        <v>56247</v>
      </c>
      <c r="D26" s="104">
        <f>C26*3.65</f>
        <v>205301.55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ELECT.!C33</f>
        <v>19927</v>
      </c>
      <c r="K26" s="93">
        <f>(J26-I26)*160</f>
        <v>20480</v>
      </c>
    </row>
    <row r="27" spans="1:11" ht="13.8" thickBot="1" x14ac:dyDescent="0.3">
      <c r="A27" s="94"/>
      <c r="B27" s="95" t="s">
        <v>124</v>
      </c>
      <c r="C27" s="118">
        <f>C26</f>
        <v>56247</v>
      </c>
      <c r="D27" s="104">
        <f>C27*3.65</f>
        <v>205301.55</v>
      </c>
      <c r="E27" s="105"/>
      <c r="F27" s="94"/>
      <c r="G27" s="94"/>
      <c r="H27" s="98"/>
      <c r="I27" s="119"/>
      <c r="J27" s="94"/>
      <c r="K27" s="94"/>
    </row>
    <row r="28" spans="1:11" x14ac:dyDescent="0.25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5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Water!B33</f>
        <v>456526</v>
      </c>
      <c r="K29" s="93">
        <f>(J29-I29)*10</f>
        <v>31960</v>
      </c>
    </row>
    <row r="30" spans="1:11" x14ac:dyDescent="0.25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Water!H33</f>
        <v>804064</v>
      </c>
      <c r="K30" s="93">
        <f>(J30-I30)*0.027</f>
        <v>122.688</v>
      </c>
    </row>
    <row r="31" spans="1:11" x14ac:dyDescent="0.25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Water!D33</f>
        <v>11606</v>
      </c>
      <c r="K31" s="93">
        <f>(J31-I31)*0.027</f>
        <v>37.125</v>
      </c>
    </row>
    <row r="32" spans="1:11" x14ac:dyDescent="0.25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Water!F33</f>
        <v>10527500</v>
      </c>
      <c r="K32" s="93">
        <f>(J32-I32)*0.027</f>
        <v>17304.3</v>
      </c>
    </row>
    <row r="33" spans="1:11" x14ac:dyDescent="0.25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5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5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Gas!B33</f>
        <v>18421000</v>
      </c>
      <c r="K35" s="124">
        <f>J35-I35</f>
        <v>56247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  <ignoredErrors>
    <ignoredError sqref="K17 K5 K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Khoury</cp:lastModifiedBy>
  <cp:lastPrinted>2022-04-01T09:07:25Z</cp:lastPrinted>
  <dcterms:created xsi:type="dcterms:W3CDTF">2017-07-31T14:40:49Z</dcterms:created>
  <dcterms:modified xsi:type="dcterms:W3CDTF">2022-08-04T07:27:01Z</dcterms:modified>
</cp:coreProperties>
</file>