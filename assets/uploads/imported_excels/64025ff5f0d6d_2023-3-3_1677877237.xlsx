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1908" documentId="11_EFFCCC5F0C725C7CB12FB863A358603A52A94944" xr6:coauthVersionLast="47" xr6:coauthVersionMax="47" xr10:uidLastSave="{D4DE214C-3A24-4A8C-8E46-952FBEB39F5A}"/>
  <bookViews>
    <workbookView xWindow="0" yWindow="0" windowWidth="28800" windowHeight="12435" tabRatio="620" activeTab="1" xr2:uid="{00000000-000D-0000-FFFF-FFFF00000000}"/>
  </bookViews>
  <sheets>
    <sheet name="Jan" sheetId="131" r:id="rId1"/>
    <sheet name="Feb" sheetId="130" r:id="rId2"/>
    <sheet name="Mar" sheetId="129" r:id="rId3"/>
    <sheet name="Apr" sheetId="128" r:id="rId4"/>
    <sheet name="May" sheetId="127" r:id="rId5"/>
    <sheet name="Jun" sheetId="126" r:id="rId6"/>
    <sheet name="July" sheetId="120" r:id="rId7"/>
    <sheet name="August " sheetId="121" r:id="rId8"/>
    <sheet name="September" sheetId="122" r:id="rId9"/>
    <sheet name="October" sheetId="123" r:id="rId10"/>
    <sheet name="November" sheetId="124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1" l="1"/>
  <c r="F4" i="121"/>
  <c r="F5" i="121"/>
  <c r="F6" i="121"/>
  <c r="F7" i="121"/>
  <c r="F8" i="121"/>
  <c r="F9" i="121"/>
  <c r="F10" i="121"/>
  <c r="J3" i="13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3" i="130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3" i="129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3" i="128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F3" i="126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3" i="125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3" i="124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3" i="123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3" i="122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11" i="12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3" i="120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H30" i="123" l="1"/>
  <c r="H32" i="123" s="1"/>
  <c r="H31" i="123"/>
  <c r="F30" i="123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<sst xmlns="http://schemas.openxmlformats.org/spreadsheetml/2006/main" count="497" uniqueCount="12">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</sst>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4" xfId="0" applyBorder="1"/>
    <xf numFmtId="2" fontId="7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topLeftCell="A18" workbookViewId="0">
      <selection activeCell="K32" sqref="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2023</v>
      </c>
      <c r="E2" s="13">
        <v>19800</v>
      </c>
      <c r="F2" s="12">
        <v>7.8100000000000003E-2</v>
      </c>
      <c r="G2" s="13">
        <v>722</v>
      </c>
      <c r="H2" s="10">
        <v>1.08</v>
      </c>
      <c r="I2" s="13">
        <v>674</v>
      </c>
      <c r="J2" s="10">
        <v>4.6500000000000004</v>
      </c>
      <c r="K2" s="13">
        <v>83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2023</v>
      </c>
      <c r="E3" s="14">
        <v>19800</v>
      </c>
      <c r="F3" s="12">
        <f>F2</f>
        <v>7.8100000000000003E-2</v>
      </c>
      <c r="G3" s="14">
        <v>662</v>
      </c>
      <c r="H3" s="10">
        <f>H2</f>
        <v>1.08</v>
      </c>
      <c r="I3" s="14">
        <v>416</v>
      </c>
      <c r="J3" s="10">
        <f>J2</f>
        <v>4.6500000000000004</v>
      </c>
      <c r="K3" s="14">
        <v>84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2023</v>
      </c>
      <c r="E4" s="14">
        <v>11400</v>
      </c>
      <c r="F4" s="12">
        <f t="shared" ref="F4:F32" si="1">F3</f>
        <v>7.8100000000000003E-2</v>
      </c>
      <c r="G4" s="14">
        <v>696</v>
      </c>
      <c r="H4" s="10">
        <f t="shared" ref="H4:H32" si="2">H3</f>
        <v>1.08</v>
      </c>
      <c r="I4" s="14">
        <v>485</v>
      </c>
      <c r="J4" s="10">
        <f t="shared" ref="J4:J32" si="3">J3</f>
        <v>4.6500000000000004</v>
      </c>
      <c r="K4" s="14">
        <v>41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2023</v>
      </c>
      <c r="E5" s="14">
        <v>8400</v>
      </c>
      <c r="F5" s="12">
        <f t="shared" si="1"/>
        <v>7.8100000000000003E-2</v>
      </c>
      <c r="G5" s="14">
        <v>664</v>
      </c>
      <c r="H5" s="10">
        <f t="shared" si="2"/>
        <v>1.08</v>
      </c>
      <c r="I5" s="14">
        <v>528</v>
      </c>
      <c r="J5" s="10">
        <f t="shared" si="3"/>
        <v>4.6500000000000004</v>
      </c>
      <c r="K5" s="14">
        <v>27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2023</v>
      </c>
      <c r="E6" s="14">
        <v>10200</v>
      </c>
      <c r="F6" s="12">
        <f t="shared" si="1"/>
        <v>7.8100000000000003E-2</v>
      </c>
      <c r="G6" s="14">
        <v>536</v>
      </c>
      <c r="H6" s="10">
        <f t="shared" si="2"/>
        <v>1.08</v>
      </c>
      <c r="I6" s="14">
        <v>289</v>
      </c>
      <c r="J6" s="10">
        <f t="shared" si="3"/>
        <v>4.6500000000000004</v>
      </c>
      <c r="K6" s="14">
        <v>44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2023</v>
      </c>
      <c r="E7" s="14">
        <v>49200</v>
      </c>
      <c r="F7" s="12">
        <f t="shared" si="1"/>
        <v>7.8100000000000003E-2</v>
      </c>
      <c r="G7" s="14">
        <v>772</v>
      </c>
      <c r="H7" s="10">
        <f t="shared" si="2"/>
        <v>1.08</v>
      </c>
      <c r="I7" s="14">
        <v>483</v>
      </c>
      <c r="J7" s="10">
        <f t="shared" si="3"/>
        <v>4.6500000000000004</v>
      </c>
      <c r="K7" s="14">
        <v>47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2023</v>
      </c>
      <c r="E8" s="14">
        <v>21600</v>
      </c>
      <c r="F8" s="12">
        <f t="shared" si="1"/>
        <v>7.8100000000000003E-2</v>
      </c>
      <c r="G8" s="14">
        <v>622</v>
      </c>
      <c r="H8" s="10">
        <f t="shared" si="2"/>
        <v>1.08</v>
      </c>
      <c r="I8" s="14">
        <v>369</v>
      </c>
      <c r="J8" s="10">
        <f t="shared" si="3"/>
        <v>4.6500000000000004</v>
      </c>
      <c r="K8" s="14">
        <v>104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2023</v>
      </c>
      <c r="E9" s="14">
        <v>18000</v>
      </c>
      <c r="F9" s="12">
        <f t="shared" si="1"/>
        <v>7.8100000000000003E-2</v>
      </c>
      <c r="G9" s="14">
        <v>1167</v>
      </c>
      <c r="H9" s="10">
        <f t="shared" si="2"/>
        <v>1.08</v>
      </c>
      <c r="I9" s="14">
        <v>669</v>
      </c>
      <c r="J9" s="10">
        <f t="shared" si="3"/>
        <v>4.6500000000000004</v>
      </c>
      <c r="K9" s="14">
        <v>110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2023</v>
      </c>
      <c r="E10" s="14">
        <v>21000</v>
      </c>
      <c r="F10" s="12">
        <f t="shared" si="1"/>
        <v>7.8100000000000003E-2</v>
      </c>
      <c r="G10" s="14">
        <v>670</v>
      </c>
      <c r="H10" s="10">
        <f t="shared" si="2"/>
        <v>1.08</v>
      </c>
      <c r="I10" s="14">
        <v>451</v>
      </c>
      <c r="J10" s="10">
        <f t="shared" si="3"/>
        <v>4.6500000000000004</v>
      </c>
      <c r="K10" s="14">
        <v>187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2023</v>
      </c>
      <c r="E11" s="14">
        <v>13800</v>
      </c>
      <c r="F11" s="12">
        <f t="shared" si="1"/>
        <v>7.8100000000000003E-2</v>
      </c>
      <c r="G11" s="14">
        <v>977</v>
      </c>
      <c r="H11" s="10">
        <f t="shared" si="2"/>
        <v>1.08</v>
      </c>
      <c r="I11" s="14">
        <v>564</v>
      </c>
      <c r="J11" s="10">
        <f t="shared" si="3"/>
        <v>4.6500000000000004</v>
      </c>
      <c r="K11" s="14">
        <v>128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2023</v>
      </c>
      <c r="E12" s="14">
        <v>24600</v>
      </c>
      <c r="F12" s="12">
        <f t="shared" si="1"/>
        <v>7.8100000000000003E-2</v>
      </c>
      <c r="G12" s="14">
        <v>672</v>
      </c>
      <c r="H12" s="10">
        <f t="shared" si="2"/>
        <v>1.08</v>
      </c>
      <c r="I12" s="14">
        <v>387</v>
      </c>
      <c r="J12" s="10">
        <f t="shared" si="3"/>
        <v>4.6500000000000004</v>
      </c>
      <c r="K12" s="14">
        <v>47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2023</v>
      </c>
      <c r="E13" s="14">
        <v>16800</v>
      </c>
      <c r="F13" s="12">
        <f t="shared" si="1"/>
        <v>7.8100000000000003E-2</v>
      </c>
      <c r="G13" s="14">
        <v>1089</v>
      </c>
      <c r="H13" s="10">
        <f t="shared" si="2"/>
        <v>1.08</v>
      </c>
      <c r="I13" s="14">
        <v>621</v>
      </c>
      <c r="J13" s="10">
        <f t="shared" si="3"/>
        <v>4.6500000000000004</v>
      </c>
      <c r="K13" s="14">
        <v>100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2023</v>
      </c>
      <c r="E14" s="14">
        <v>19800</v>
      </c>
      <c r="F14" s="12">
        <f t="shared" si="1"/>
        <v>7.8100000000000003E-2</v>
      </c>
      <c r="G14" s="14">
        <v>761</v>
      </c>
      <c r="H14" s="10">
        <f t="shared" si="2"/>
        <v>1.08</v>
      </c>
      <c r="I14" s="14">
        <v>416</v>
      </c>
      <c r="J14" s="10">
        <f t="shared" si="3"/>
        <v>4.6500000000000004</v>
      </c>
      <c r="K14" s="14">
        <v>100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2023</v>
      </c>
      <c r="E15" s="14">
        <v>18600</v>
      </c>
      <c r="F15" s="12">
        <f t="shared" si="1"/>
        <v>7.8100000000000003E-2</v>
      </c>
      <c r="G15" s="14">
        <v>686</v>
      </c>
      <c r="H15" s="10">
        <f t="shared" si="2"/>
        <v>1.08</v>
      </c>
      <c r="I15" s="14">
        <v>495</v>
      </c>
      <c r="J15" s="10">
        <f t="shared" si="3"/>
        <v>4.6500000000000004</v>
      </c>
      <c r="K15" s="14">
        <v>136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2023</v>
      </c>
      <c r="E16" s="14">
        <v>13800</v>
      </c>
      <c r="F16" s="12">
        <f t="shared" si="1"/>
        <v>7.8100000000000003E-2</v>
      </c>
      <c r="G16" s="14">
        <v>1033</v>
      </c>
      <c r="H16" s="10">
        <f t="shared" si="2"/>
        <v>1.08</v>
      </c>
      <c r="I16" s="14">
        <v>604</v>
      </c>
      <c r="J16" s="10">
        <f t="shared" si="3"/>
        <v>4.6500000000000004</v>
      </c>
      <c r="K16" s="14">
        <v>189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2023</v>
      </c>
      <c r="E17" s="14">
        <v>4800</v>
      </c>
      <c r="F17" s="12">
        <f t="shared" si="1"/>
        <v>7.8100000000000003E-2</v>
      </c>
      <c r="G17" s="14">
        <v>1124</v>
      </c>
      <c r="H17" s="10">
        <f t="shared" si="2"/>
        <v>1.08</v>
      </c>
      <c r="I17" s="14">
        <v>670</v>
      </c>
      <c r="J17" s="10">
        <f t="shared" si="3"/>
        <v>4.6500000000000004</v>
      </c>
      <c r="K17" s="14">
        <v>181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2023</v>
      </c>
      <c r="E18" s="14">
        <v>12000</v>
      </c>
      <c r="F18" s="12">
        <f t="shared" si="1"/>
        <v>7.8100000000000003E-2</v>
      </c>
      <c r="G18" s="14">
        <v>873</v>
      </c>
      <c r="H18" s="10">
        <f t="shared" si="2"/>
        <v>1.08</v>
      </c>
      <c r="I18" s="14">
        <v>638</v>
      </c>
      <c r="J18" s="10">
        <f t="shared" si="3"/>
        <v>4.6500000000000004</v>
      </c>
      <c r="K18" s="14">
        <v>134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2023</v>
      </c>
      <c r="E19" s="14">
        <v>30600</v>
      </c>
      <c r="F19" s="12">
        <f t="shared" si="1"/>
        <v>7.8100000000000003E-2</v>
      </c>
      <c r="G19" s="14">
        <v>797</v>
      </c>
      <c r="H19" s="10">
        <f t="shared" si="2"/>
        <v>1.08</v>
      </c>
      <c r="I19" s="14">
        <v>492</v>
      </c>
      <c r="J19" s="10">
        <f t="shared" si="3"/>
        <v>4.6500000000000004</v>
      </c>
      <c r="K19" s="14">
        <v>41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2023</v>
      </c>
      <c r="E20" s="14">
        <v>27600</v>
      </c>
      <c r="F20" s="12">
        <f t="shared" si="1"/>
        <v>7.8100000000000003E-2</v>
      </c>
      <c r="G20" s="14">
        <v>88</v>
      </c>
      <c r="H20" s="10">
        <f t="shared" si="2"/>
        <v>1.08</v>
      </c>
      <c r="I20" s="14">
        <v>8</v>
      </c>
      <c r="J20" s="10">
        <f t="shared" si="3"/>
        <v>4.6500000000000004</v>
      </c>
      <c r="K20" s="14">
        <v>34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2023</v>
      </c>
      <c r="E21" s="14">
        <v>32400</v>
      </c>
      <c r="F21" s="12">
        <f t="shared" si="1"/>
        <v>7.8100000000000003E-2</v>
      </c>
      <c r="G21" s="14">
        <v>2325</v>
      </c>
      <c r="H21" s="10">
        <f t="shared" si="2"/>
        <v>1.08</v>
      </c>
      <c r="I21" s="14">
        <v>719</v>
      </c>
      <c r="J21" s="10">
        <f t="shared" si="3"/>
        <v>4.6500000000000004</v>
      </c>
      <c r="K21" s="14">
        <v>117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2023</v>
      </c>
      <c r="E22" s="14">
        <v>16800</v>
      </c>
      <c r="F22" s="12">
        <f t="shared" si="1"/>
        <v>7.8100000000000003E-2</v>
      </c>
      <c r="G22" s="14">
        <v>678</v>
      </c>
      <c r="H22" s="10">
        <f t="shared" si="2"/>
        <v>1.08</v>
      </c>
      <c r="I22" s="14">
        <v>485</v>
      </c>
      <c r="J22" s="10">
        <f t="shared" si="3"/>
        <v>4.6500000000000004</v>
      </c>
      <c r="K22" s="14">
        <v>130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2023</v>
      </c>
      <c r="E23" s="14">
        <v>12000</v>
      </c>
      <c r="F23" s="12">
        <f t="shared" si="1"/>
        <v>7.8100000000000003E-2</v>
      </c>
      <c r="G23" s="14">
        <v>998</v>
      </c>
      <c r="H23" s="10">
        <f t="shared" si="2"/>
        <v>1.08</v>
      </c>
      <c r="I23" s="14">
        <v>512</v>
      </c>
      <c r="J23" s="10">
        <f t="shared" si="3"/>
        <v>4.6500000000000004</v>
      </c>
      <c r="K23" s="14">
        <v>124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2023</v>
      </c>
      <c r="E24" s="14">
        <v>8400</v>
      </c>
      <c r="F24" s="12">
        <f t="shared" si="1"/>
        <v>7.8100000000000003E-2</v>
      </c>
      <c r="G24" s="14">
        <v>143</v>
      </c>
      <c r="H24" s="10">
        <f t="shared" si="2"/>
        <v>1.08</v>
      </c>
      <c r="I24" s="14">
        <v>715</v>
      </c>
      <c r="J24" s="10">
        <f t="shared" si="3"/>
        <v>4.6500000000000004</v>
      </c>
      <c r="K24" s="14">
        <v>81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2023</v>
      </c>
      <c r="E25" s="14">
        <v>9600</v>
      </c>
      <c r="F25" s="12">
        <f t="shared" si="1"/>
        <v>7.8100000000000003E-2</v>
      </c>
      <c r="G25" s="14">
        <v>76</v>
      </c>
      <c r="H25" s="10">
        <f t="shared" si="2"/>
        <v>1.08</v>
      </c>
      <c r="I25" s="14">
        <v>66</v>
      </c>
      <c r="J25" s="10">
        <f t="shared" si="3"/>
        <v>4.6500000000000004</v>
      </c>
      <c r="K25" s="14">
        <v>65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2023</v>
      </c>
      <c r="E26" s="14">
        <v>11400</v>
      </c>
      <c r="F26" s="12">
        <f t="shared" si="1"/>
        <v>7.8100000000000003E-2</v>
      </c>
      <c r="G26" s="14">
        <v>2619</v>
      </c>
      <c r="H26" s="10">
        <f t="shared" si="2"/>
        <v>1.08</v>
      </c>
      <c r="I26" s="14">
        <v>955</v>
      </c>
      <c r="J26" s="10">
        <f t="shared" si="3"/>
        <v>4.6500000000000004</v>
      </c>
      <c r="K26" s="14">
        <v>61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2023</v>
      </c>
      <c r="E27" s="14">
        <v>10200</v>
      </c>
      <c r="F27" s="12">
        <f t="shared" si="1"/>
        <v>7.8100000000000003E-2</v>
      </c>
      <c r="G27" s="14">
        <v>240</v>
      </c>
      <c r="H27" s="10">
        <f t="shared" si="2"/>
        <v>1.08</v>
      </c>
      <c r="I27" s="14">
        <v>109</v>
      </c>
      <c r="J27" s="10">
        <f t="shared" si="3"/>
        <v>4.6500000000000004</v>
      </c>
      <c r="K27" s="14">
        <v>72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2023</v>
      </c>
      <c r="E28" s="14">
        <v>66600</v>
      </c>
      <c r="F28" s="12">
        <f t="shared" si="1"/>
        <v>7.8100000000000003E-2</v>
      </c>
      <c r="G28" s="14">
        <v>1400</v>
      </c>
      <c r="H28" s="10">
        <f t="shared" si="2"/>
        <v>1.08</v>
      </c>
      <c r="I28" s="14">
        <v>400</v>
      </c>
      <c r="J28" s="10">
        <f t="shared" si="3"/>
        <v>4.6500000000000004</v>
      </c>
      <c r="K28" s="14">
        <v>89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2023</v>
      </c>
      <c r="E29" s="14">
        <v>16800</v>
      </c>
      <c r="F29" s="12">
        <f t="shared" si="1"/>
        <v>7.8100000000000003E-2</v>
      </c>
      <c r="G29" s="14">
        <v>803</v>
      </c>
      <c r="H29" s="10">
        <f t="shared" si="2"/>
        <v>1.08</v>
      </c>
      <c r="I29" s="14">
        <v>393</v>
      </c>
      <c r="J29" s="10">
        <f t="shared" si="3"/>
        <v>4.6500000000000004</v>
      </c>
      <c r="K29" s="14">
        <v>147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2023</v>
      </c>
      <c r="E30" s="14">
        <v>19200</v>
      </c>
      <c r="F30" s="12">
        <f t="shared" si="1"/>
        <v>7.8100000000000003E-2</v>
      </c>
      <c r="G30" s="14">
        <v>72</v>
      </c>
      <c r="H30" s="10">
        <f t="shared" si="2"/>
        <v>1.08</v>
      </c>
      <c r="I30" s="14">
        <v>51</v>
      </c>
      <c r="J30" s="10">
        <f t="shared" si="3"/>
        <v>4.6500000000000004</v>
      </c>
      <c r="K30" s="14">
        <v>77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2023</v>
      </c>
      <c r="E31" s="14">
        <v>4800</v>
      </c>
      <c r="F31" s="12">
        <f t="shared" si="1"/>
        <v>7.8100000000000003E-2</v>
      </c>
      <c r="G31" s="14">
        <v>1382</v>
      </c>
      <c r="H31" s="10">
        <f t="shared" si="2"/>
        <v>1.08</v>
      </c>
      <c r="I31" s="14">
        <v>1400</v>
      </c>
      <c r="J31" s="10">
        <f t="shared" si="3"/>
        <v>4.6500000000000004</v>
      </c>
      <c r="K31" s="18">
        <v>55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2023</v>
      </c>
      <c r="E32" s="14">
        <v>17400</v>
      </c>
      <c r="F32" s="12">
        <f t="shared" si="1"/>
        <v>7.8100000000000003E-2</v>
      </c>
      <c r="G32" s="14">
        <v>611</v>
      </c>
      <c r="H32" s="10">
        <f t="shared" si="2"/>
        <v>1.08</v>
      </c>
      <c r="I32" s="14">
        <v>55</v>
      </c>
      <c r="J32" s="19">
        <f t="shared" si="3"/>
        <v>4.6500000000000004</v>
      </c>
      <c r="K32" s="22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tabSelected="1" workbookViewId="0">
      <selection activeCell="N12" sqref="N1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2023</v>
      </c>
      <c r="E2" s="27">
        <v>101304</v>
      </c>
      <c r="F2" s="12">
        <v>7.8100000000000003E-2</v>
      </c>
      <c r="G2" s="9">
        <v>327</v>
      </c>
      <c r="H2" s="10">
        <v>1.08</v>
      </c>
      <c r="I2" s="27">
        <v>7</v>
      </c>
      <c r="J2" s="10">
        <v>4.6500000000000004</v>
      </c>
      <c r="K2" s="27">
        <v>124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2023</v>
      </c>
      <c r="E3" s="28">
        <v>43200</v>
      </c>
      <c r="F3" s="12">
        <f>F2</f>
        <v>7.8100000000000003E-2</v>
      </c>
      <c r="G3" s="27">
        <v>1227</v>
      </c>
      <c r="H3" s="10">
        <f>H2</f>
        <v>1.08</v>
      </c>
      <c r="I3" s="28">
        <v>779</v>
      </c>
      <c r="J3" s="10">
        <f>J2</f>
        <v>4.6500000000000004</v>
      </c>
      <c r="K3" s="28">
        <v>109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2023</v>
      </c>
      <c r="E4" s="28">
        <v>15000</v>
      </c>
      <c r="F4" s="12">
        <f t="shared" ref="F4:F29" si="1">F3</f>
        <v>7.8100000000000003E-2</v>
      </c>
      <c r="G4" s="28">
        <v>1103</v>
      </c>
      <c r="H4" s="10">
        <f t="shared" ref="H4:H29" si="2">H3</f>
        <v>1.08</v>
      </c>
      <c r="I4" s="28">
        <v>608</v>
      </c>
      <c r="J4" s="10">
        <f t="shared" ref="J4:J29" si="3">J3</f>
        <v>4.6500000000000004</v>
      </c>
      <c r="K4" s="28">
        <v>66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2023</v>
      </c>
      <c r="E5" s="28">
        <v>18600</v>
      </c>
      <c r="F5" s="12">
        <f t="shared" si="1"/>
        <v>7.8100000000000003E-2</v>
      </c>
      <c r="G5" s="28">
        <v>993</v>
      </c>
      <c r="H5" s="10">
        <f t="shared" si="2"/>
        <v>1.08</v>
      </c>
      <c r="I5" s="28">
        <v>390</v>
      </c>
      <c r="J5" s="10">
        <f t="shared" si="3"/>
        <v>4.6500000000000004</v>
      </c>
      <c r="K5" s="28">
        <v>85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2023</v>
      </c>
      <c r="E6" s="28">
        <v>17400</v>
      </c>
      <c r="F6" s="12">
        <f t="shared" si="1"/>
        <v>7.8100000000000003E-2</v>
      </c>
      <c r="G6" s="28">
        <v>235</v>
      </c>
      <c r="H6" s="10">
        <f t="shared" si="2"/>
        <v>1.08</v>
      </c>
      <c r="I6" s="28">
        <v>385</v>
      </c>
      <c r="J6" s="10">
        <f t="shared" si="3"/>
        <v>4.6500000000000004</v>
      </c>
      <c r="K6" s="28">
        <v>96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2023</v>
      </c>
      <c r="E7" s="28">
        <v>18000</v>
      </c>
      <c r="F7" s="12">
        <f t="shared" si="1"/>
        <v>7.8100000000000003E-2</v>
      </c>
      <c r="G7" s="28">
        <v>1516</v>
      </c>
      <c r="H7" s="10">
        <f t="shared" si="2"/>
        <v>1.08</v>
      </c>
      <c r="I7" s="28">
        <v>553</v>
      </c>
      <c r="J7" s="10">
        <f t="shared" si="3"/>
        <v>4.6500000000000004</v>
      </c>
      <c r="K7" s="28">
        <v>81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2023</v>
      </c>
      <c r="E8" s="28">
        <v>25800</v>
      </c>
      <c r="F8" s="12">
        <f t="shared" si="1"/>
        <v>7.8100000000000003E-2</v>
      </c>
      <c r="G8" s="28">
        <v>1150</v>
      </c>
      <c r="H8" s="10">
        <f t="shared" si="2"/>
        <v>1.08</v>
      </c>
      <c r="I8" s="28">
        <v>602</v>
      </c>
      <c r="J8" s="10">
        <f t="shared" si="3"/>
        <v>4.6500000000000004</v>
      </c>
      <c r="K8" s="28">
        <v>220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2023</v>
      </c>
      <c r="E9" s="28">
        <v>13200</v>
      </c>
      <c r="F9" s="12">
        <f t="shared" si="1"/>
        <v>7.8100000000000003E-2</v>
      </c>
      <c r="G9" s="28">
        <v>859</v>
      </c>
      <c r="H9" s="10">
        <f t="shared" si="2"/>
        <v>1.08</v>
      </c>
      <c r="I9" s="28">
        <v>531</v>
      </c>
      <c r="J9" s="10">
        <f t="shared" si="3"/>
        <v>4.6500000000000004</v>
      </c>
      <c r="K9" s="28">
        <v>162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2023</v>
      </c>
      <c r="E10" s="28">
        <v>23400</v>
      </c>
      <c r="F10" s="12">
        <f t="shared" si="1"/>
        <v>7.8100000000000003E-2</v>
      </c>
      <c r="G10" s="28">
        <v>593</v>
      </c>
      <c r="H10" s="10">
        <f t="shared" si="2"/>
        <v>1.08</v>
      </c>
      <c r="I10" s="28">
        <v>426</v>
      </c>
      <c r="J10" s="10">
        <f t="shared" si="3"/>
        <v>4.6500000000000004</v>
      </c>
      <c r="K10" s="28">
        <v>128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2023</v>
      </c>
      <c r="E11" s="28">
        <v>15600</v>
      </c>
      <c r="F11" s="12">
        <f t="shared" si="1"/>
        <v>7.8100000000000003E-2</v>
      </c>
      <c r="G11" s="28">
        <v>820</v>
      </c>
      <c r="H11" s="10">
        <f t="shared" si="2"/>
        <v>1.08</v>
      </c>
      <c r="I11" s="28">
        <v>559</v>
      </c>
      <c r="J11" s="10">
        <f t="shared" si="3"/>
        <v>4.6500000000000004</v>
      </c>
      <c r="K11" s="28">
        <v>151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2023</v>
      </c>
      <c r="E12" s="28">
        <v>18600</v>
      </c>
      <c r="F12" s="12">
        <f t="shared" si="1"/>
        <v>7.8100000000000003E-2</v>
      </c>
      <c r="G12" s="28">
        <v>770</v>
      </c>
      <c r="H12" s="10">
        <f t="shared" si="2"/>
        <v>1.08</v>
      </c>
      <c r="I12" s="28">
        <v>466</v>
      </c>
      <c r="J12" s="10">
        <f t="shared" si="3"/>
        <v>4.6500000000000004</v>
      </c>
      <c r="K12" s="28">
        <v>136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2023</v>
      </c>
      <c r="E13" s="28">
        <v>1200</v>
      </c>
      <c r="F13" s="12">
        <f t="shared" si="1"/>
        <v>7.8100000000000003E-2</v>
      </c>
      <c r="G13" s="28">
        <v>1149</v>
      </c>
      <c r="H13" s="10">
        <f t="shared" si="2"/>
        <v>1.08</v>
      </c>
      <c r="I13" s="28">
        <v>580</v>
      </c>
      <c r="J13" s="10">
        <f t="shared" si="3"/>
        <v>4.6500000000000004</v>
      </c>
      <c r="K13" s="28">
        <v>83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2023</v>
      </c>
      <c r="E14" s="28">
        <v>8400</v>
      </c>
      <c r="F14" s="12">
        <f t="shared" si="1"/>
        <v>7.8100000000000003E-2</v>
      </c>
      <c r="G14" s="28">
        <v>691</v>
      </c>
      <c r="H14" s="10">
        <f t="shared" si="2"/>
        <v>1.08</v>
      </c>
      <c r="I14" s="28">
        <v>411</v>
      </c>
      <c r="J14" s="10">
        <f t="shared" si="3"/>
        <v>4.6500000000000004</v>
      </c>
      <c r="K14" s="28">
        <v>152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2023</v>
      </c>
      <c r="E15" s="28">
        <v>12000</v>
      </c>
      <c r="F15" s="12">
        <f t="shared" si="1"/>
        <v>7.8100000000000003E-2</v>
      </c>
      <c r="G15" s="28">
        <v>871</v>
      </c>
      <c r="H15" s="10">
        <f t="shared" si="2"/>
        <v>1.08</v>
      </c>
      <c r="I15" s="28">
        <v>490</v>
      </c>
      <c r="J15" s="10">
        <f t="shared" si="3"/>
        <v>4.6500000000000004</v>
      </c>
      <c r="K15" s="28">
        <v>148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2023</v>
      </c>
      <c r="E16" s="28">
        <v>12000</v>
      </c>
      <c r="F16" s="12">
        <f t="shared" si="1"/>
        <v>7.8100000000000003E-2</v>
      </c>
      <c r="G16" s="28">
        <v>672</v>
      </c>
      <c r="H16" s="10">
        <f t="shared" si="2"/>
        <v>1.08</v>
      </c>
      <c r="I16" s="28">
        <v>505</v>
      </c>
      <c r="J16" s="10">
        <f t="shared" si="3"/>
        <v>4.6500000000000004</v>
      </c>
      <c r="K16" s="28">
        <v>145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2023</v>
      </c>
      <c r="E17" s="28">
        <v>64200</v>
      </c>
      <c r="F17" s="12">
        <f t="shared" si="1"/>
        <v>7.8100000000000003E-2</v>
      </c>
      <c r="G17" s="28">
        <v>745</v>
      </c>
      <c r="H17" s="10">
        <f t="shared" si="2"/>
        <v>1.08</v>
      </c>
      <c r="I17" s="28">
        <v>544</v>
      </c>
      <c r="J17" s="10">
        <f t="shared" si="3"/>
        <v>4.6500000000000004</v>
      </c>
      <c r="K17" s="28">
        <v>127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2023</v>
      </c>
      <c r="E18" s="28">
        <v>15000</v>
      </c>
      <c r="F18" s="12">
        <f t="shared" si="1"/>
        <v>7.8100000000000003E-2</v>
      </c>
      <c r="G18" s="28">
        <v>585</v>
      </c>
      <c r="H18" s="10">
        <f t="shared" si="2"/>
        <v>1.08</v>
      </c>
      <c r="I18" s="28">
        <v>404</v>
      </c>
      <c r="J18" s="10">
        <f t="shared" si="3"/>
        <v>4.6500000000000004</v>
      </c>
      <c r="K18" s="28">
        <v>124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2023</v>
      </c>
      <c r="E19" s="28">
        <v>17400</v>
      </c>
      <c r="F19" s="12">
        <f t="shared" si="1"/>
        <v>7.8100000000000003E-2</v>
      </c>
      <c r="G19" s="28">
        <v>807</v>
      </c>
      <c r="H19" s="10">
        <f t="shared" si="2"/>
        <v>1.08</v>
      </c>
      <c r="I19" s="28">
        <v>453</v>
      </c>
      <c r="J19" s="10">
        <f t="shared" si="3"/>
        <v>4.6500000000000004</v>
      </c>
      <c r="K19" s="28">
        <v>136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2023</v>
      </c>
      <c r="E20" s="28">
        <v>16800</v>
      </c>
      <c r="F20" s="12">
        <f t="shared" si="1"/>
        <v>7.8100000000000003E-2</v>
      </c>
      <c r="G20" s="28">
        <v>1263</v>
      </c>
      <c r="H20" s="10">
        <f t="shared" si="2"/>
        <v>1.08</v>
      </c>
      <c r="I20" s="28">
        <v>102</v>
      </c>
      <c r="J20" s="10">
        <f t="shared" si="3"/>
        <v>4.6500000000000004</v>
      </c>
      <c r="K20" s="28">
        <v>101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2023</v>
      </c>
      <c r="E21" s="28">
        <v>7800</v>
      </c>
      <c r="F21" s="12">
        <f t="shared" si="1"/>
        <v>7.8100000000000003E-2</v>
      </c>
      <c r="G21" s="28">
        <v>589</v>
      </c>
      <c r="H21" s="10">
        <f t="shared" si="2"/>
        <v>1.08</v>
      </c>
      <c r="I21" s="28">
        <v>71</v>
      </c>
      <c r="J21" s="10">
        <f t="shared" si="3"/>
        <v>4.6500000000000004</v>
      </c>
      <c r="K21" s="28">
        <v>67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2023</v>
      </c>
      <c r="E22" s="28">
        <v>10200</v>
      </c>
      <c r="F22" s="12">
        <f t="shared" si="1"/>
        <v>7.8100000000000003E-2</v>
      </c>
      <c r="G22" s="28">
        <v>605</v>
      </c>
      <c r="H22" s="10">
        <f t="shared" si="2"/>
        <v>1.08</v>
      </c>
      <c r="I22" s="28">
        <v>1372</v>
      </c>
      <c r="J22" s="10">
        <f t="shared" si="3"/>
        <v>4.6500000000000004</v>
      </c>
      <c r="K22" s="28">
        <v>143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2023</v>
      </c>
      <c r="E23" s="28">
        <v>13200</v>
      </c>
      <c r="F23" s="12">
        <f t="shared" si="1"/>
        <v>7.8100000000000003E-2</v>
      </c>
      <c r="G23" s="28">
        <v>162</v>
      </c>
      <c r="H23" s="10">
        <f t="shared" si="2"/>
        <v>1.08</v>
      </c>
      <c r="I23" s="28">
        <v>68</v>
      </c>
      <c r="J23" s="10">
        <f t="shared" si="3"/>
        <v>4.6500000000000004</v>
      </c>
      <c r="K23" s="28">
        <v>213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2023</v>
      </c>
      <c r="E24" s="28">
        <v>8400</v>
      </c>
      <c r="F24" s="12">
        <f t="shared" si="1"/>
        <v>7.8100000000000003E-2</v>
      </c>
      <c r="G24" s="28">
        <v>69</v>
      </c>
      <c r="H24" s="10">
        <f t="shared" si="2"/>
        <v>1.08</v>
      </c>
      <c r="I24" s="28">
        <v>27</v>
      </c>
      <c r="J24" s="10">
        <f t="shared" si="3"/>
        <v>4.6500000000000004</v>
      </c>
      <c r="K24" s="28">
        <v>212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2023</v>
      </c>
      <c r="E25" s="28">
        <v>52800</v>
      </c>
      <c r="F25" s="12">
        <f t="shared" si="1"/>
        <v>7.8100000000000003E-2</v>
      </c>
      <c r="G25" s="28">
        <v>1872</v>
      </c>
      <c r="H25" s="10">
        <f t="shared" si="2"/>
        <v>1.08</v>
      </c>
      <c r="I25" s="28">
        <v>1482</v>
      </c>
      <c r="J25" s="10">
        <f t="shared" si="3"/>
        <v>4.6500000000000004</v>
      </c>
      <c r="K25" s="28">
        <v>133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2023</v>
      </c>
      <c r="E26" s="28">
        <v>17400</v>
      </c>
      <c r="F26" s="12">
        <f t="shared" si="1"/>
        <v>7.8100000000000003E-2</v>
      </c>
      <c r="G26" s="28">
        <v>749</v>
      </c>
      <c r="H26" s="10">
        <f t="shared" si="2"/>
        <v>1.08</v>
      </c>
      <c r="I26" s="28">
        <v>518</v>
      </c>
      <c r="J26" s="10">
        <f t="shared" si="3"/>
        <v>4.6500000000000004</v>
      </c>
      <c r="K26" s="28">
        <v>68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2023</v>
      </c>
      <c r="E27" s="28">
        <v>11400</v>
      </c>
      <c r="F27" s="12">
        <f t="shared" si="1"/>
        <v>7.8100000000000003E-2</v>
      </c>
      <c r="G27" s="28">
        <v>896</v>
      </c>
      <c r="H27" s="10">
        <f t="shared" si="2"/>
        <v>1.08</v>
      </c>
      <c r="I27" s="28">
        <v>532</v>
      </c>
      <c r="J27" s="10">
        <f t="shared" si="3"/>
        <v>4.6500000000000004</v>
      </c>
      <c r="K27" s="28">
        <v>67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2023</v>
      </c>
      <c r="E28" s="28">
        <v>9600</v>
      </c>
      <c r="F28" s="12">
        <f t="shared" si="1"/>
        <v>7.8100000000000003E-2</v>
      </c>
      <c r="G28" s="28">
        <v>605</v>
      </c>
      <c r="H28" s="10">
        <f t="shared" si="2"/>
        <v>1.08</v>
      </c>
      <c r="I28" s="28">
        <v>329</v>
      </c>
      <c r="J28" s="10">
        <f t="shared" si="3"/>
        <v>4.6500000000000004</v>
      </c>
      <c r="K28" s="28">
        <v>108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2023</v>
      </c>
      <c r="E29" s="28">
        <v>13200</v>
      </c>
      <c r="F29" s="12">
        <f t="shared" si="1"/>
        <v>7.8100000000000003E-2</v>
      </c>
      <c r="G29" s="28">
        <v>285</v>
      </c>
      <c r="H29" s="10">
        <f t="shared" si="2"/>
        <v>1.08</v>
      </c>
      <c r="I29" s="28">
        <v>153</v>
      </c>
      <c r="J29" s="10">
        <f t="shared" si="3"/>
        <v>4.6500000000000004</v>
      </c>
      <c r="K29" s="28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3"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2023</v>
      </c>
      <c r="E2" s="9"/>
      <c r="F2" s="12">
        <v>7.8100000000000003E-2</v>
      </c>
      <c r="G2" s="9"/>
      <c r="H2" s="10">
        <v>1.08</v>
      </c>
      <c r="I2" s="11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3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17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17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3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17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3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17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3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17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3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17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3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17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17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17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17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17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17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17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17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17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17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17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17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17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17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17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17"/>
      <c r="J24" s="10">
        <f t="shared" si="3"/>
        <v>4.6500000000000004</v>
      </c>
      <c r="K24" s="18"/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9">
        <f t="shared" si="3"/>
        <v>4.6500000000000004</v>
      </c>
      <c r="K25" s="20"/>
    </row>
    <row r="26" spans="1:11" ht="15">
      <c r="A26" s="6" t="s">
        <v>11</v>
      </c>
      <c r="B26" s="7">
        <f>B25+1</f>
        <v>25</v>
      </c>
      <c r="C26" s="8">
        <v>3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9">
        <f t="shared" si="3"/>
        <v>4.6500000000000004</v>
      </c>
      <c r="K26" s="20"/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9">
        <f t="shared" si="3"/>
        <v>4.6500000000000004</v>
      </c>
      <c r="K27" s="20"/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9">
        <f t="shared" si="3"/>
        <v>4.6500000000000004</v>
      </c>
      <c r="K28" s="20"/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9">
        <f t="shared" si="3"/>
        <v>4.6500000000000004</v>
      </c>
      <c r="K29" s="20"/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9">
        <f t="shared" si="3"/>
        <v>4.6500000000000004</v>
      </c>
      <c r="K30" s="20"/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9">
        <f t="shared" si="3"/>
        <v>4.6500000000000004</v>
      </c>
      <c r="K31" s="20"/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9"/>
      <c r="J32" s="19">
        <f t="shared" si="3"/>
        <v>4.6500000000000004</v>
      </c>
      <c r="K3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workbookViewId="0">
      <selection activeCell="D3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4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2023</v>
      </c>
      <c r="E4" s="9"/>
      <c r="F4" s="12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4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4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4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4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4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13"/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4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2023</v>
      </c>
      <c r="E2" s="9"/>
      <c r="F2" s="12">
        <v>7.8100000000000003E-2</v>
      </c>
      <c r="G2" s="9"/>
      <c r="H2" s="10">
        <v>1.08</v>
      </c>
      <c r="I2" s="13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5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14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14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5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14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5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14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5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14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5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14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5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14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14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14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14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14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14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14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14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14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14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14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14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14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21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21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21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21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5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21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21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21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21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21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21"/>
      <c r="J31" s="10">
        <f t="shared" si="3"/>
        <v>4.6500000000000004</v>
      </c>
      <c r="K31" s="16"/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21"/>
      <c r="J32" s="19">
        <f t="shared" si="3"/>
        <v>4.6500000000000004</v>
      </c>
      <c r="K32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1"/>
  <sheetViews>
    <sheetView topLeftCell="B1" workbookViewId="0">
      <selection activeCell="D3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6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6</v>
      </c>
      <c r="D4" s="7">
        <v>2023</v>
      </c>
      <c r="E4" s="9"/>
      <c r="F4" s="12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6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6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6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6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6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13"/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11"/>
      <c r="J18" s="10">
        <f t="shared" si="3"/>
        <v>4.6500000000000004</v>
      </c>
      <c r="K18" s="13"/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17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17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17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17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17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17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17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6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17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17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17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17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17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17"/>
      <c r="J31" s="10">
        <f t="shared" si="3"/>
        <v>4.6500000000000004</v>
      </c>
      <c r="K3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7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7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7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7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7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7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21"/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21"/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7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3"/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8"/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9"/>
      <c r="J32" s="19">
        <f t="shared" si="3"/>
        <v>4.6500000000000004</v>
      </c>
      <c r="K32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8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8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8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8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8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8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3"/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8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8"/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9"/>
      <c r="J32" s="19">
        <f t="shared" si="3"/>
        <v>4.6500000000000004</v>
      </c>
      <c r="K32" s="22"/>
    </row>
  </sheetData>
  <pageMargins left="0.7" right="0.7" top="0.75" bottom="0.75" header="0.3" footer="0.3"/>
  <ignoredErrors>
    <ignoredError sqref="F3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workbookViewId="0">
      <selection activeCell="K2" sqref="K2: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2023</v>
      </c>
      <c r="E2" s="11"/>
      <c r="F2" s="12">
        <v>7.8100000000000003E-2</v>
      </c>
      <c r="G2" s="9"/>
      <c r="H2" s="10">
        <v>1.08</v>
      </c>
      <c r="I2" s="9"/>
      <c r="J2" s="10">
        <v>4.6500000000000004</v>
      </c>
      <c r="K2" s="23"/>
    </row>
    <row r="3" spans="1:11" ht="15">
      <c r="A3" s="6" t="s">
        <v>11</v>
      </c>
      <c r="B3" s="7">
        <f>B2+1</f>
        <v>2</v>
      </c>
      <c r="C3" s="8">
        <v>9</v>
      </c>
      <c r="D3" s="7">
        <v>2023</v>
      </c>
      <c r="E3" s="17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24"/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2023</v>
      </c>
      <c r="E4" s="17"/>
      <c r="F4" s="12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24"/>
    </row>
    <row r="5" spans="1:11" ht="15">
      <c r="A5" s="6" t="s">
        <v>11</v>
      </c>
      <c r="B5" s="7">
        <f t="shared" si="0"/>
        <v>4</v>
      </c>
      <c r="C5" s="8">
        <v>9</v>
      </c>
      <c r="D5" s="7">
        <v>2023</v>
      </c>
      <c r="E5" s="17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24"/>
    </row>
    <row r="6" spans="1:11" ht="15">
      <c r="A6" s="6" t="s">
        <v>11</v>
      </c>
      <c r="B6" s="7">
        <f t="shared" si="0"/>
        <v>5</v>
      </c>
      <c r="C6" s="8">
        <v>9</v>
      </c>
      <c r="D6" s="7">
        <v>2023</v>
      </c>
      <c r="E6" s="17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24"/>
    </row>
    <row r="7" spans="1:11" ht="15">
      <c r="A7" s="6" t="s">
        <v>11</v>
      </c>
      <c r="B7" s="7">
        <f t="shared" si="0"/>
        <v>6</v>
      </c>
      <c r="C7" s="8">
        <v>9</v>
      </c>
      <c r="D7" s="7">
        <v>2023</v>
      </c>
      <c r="E7" s="17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24"/>
    </row>
    <row r="8" spans="1:11" ht="15">
      <c r="A8" s="6" t="s">
        <v>11</v>
      </c>
      <c r="B8" s="7">
        <f t="shared" si="0"/>
        <v>7</v>
      </c>
      <c r="C8" s="8">
        <v>9</v>
      </c>
      <c r="D8" s="7">
        <v>2023</v>
      </c>
      <c r="E8" s="17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24"/>
    </row>
    <row r="9" spans="1:11" ht="15">
      <c r="A9" s="6" t="s">
        <v>11</v>
      </c>
      <c r="B9" s="7">
        <f t="shared" si="0"/>
        <v>8</v>
      </c>
      <c r="C9" s="8">
        <v>9</v>
      </c>
      <c r="D9" s="7">
        <v>2023</v>
      </c>
      <c r="E9" s="17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24"/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2023</v>
      </c>
      <c r="E10" s="17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24"/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2023</v>
      </c>
      <c r="E11" s="17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24"/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2023</v>
      </c>
      <c r="E12" s="17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24"/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2023</v>
      </c>
      <c r="E13" s="17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24"/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2023</v>
      </c>
      <c r="E14" s="17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24"/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2023</v>
      </c>
      <c r="E15" s="17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24"/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2023</v>
      </c>
      <c r="E16" s="17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24"/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2023</v>
      </c>
      <c r="E17" s="17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24"/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2023</v>
      </c>
      <c r="E18" s="17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24"/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2023</v>
      </c>
      <c r="E19" s="17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24"/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2023</v>
      </c>
      <c r="E20" s="17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24"/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2023</v>
      </c>
      <c r="E21" s="17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24"/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2023</v>
      </c>
      <c r="E22" s="17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24"/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2023</v>
      </c>
      <c r="E23" s="17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24"/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2023</v>
      </c>
      <c r="E24" s="17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7"/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9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1"/>
    </row>
  </sheetData>
  <pageMargins left="0.7" right="0.7" top="0.75" bottom="0.75" header="0.3" footer="0.3"/>
  <ignoredErrors>
    <ignoredError sqref="F25 F4 F6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K2" sqref="K2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2023</v>
      </c>
      <c r="E2" s="11"/>
      <c r="F2" s="12">
        <v>7.8100000000000003E-2</v>
      </c>
      <c r="G2" s="11"/>
      <c r="H2" s="10">
        <v>0.15</v>
      </c>
      <c r="I2" s="11"/>
      <c r="J2" s="10">
        <v>4.6500000000000004</v>
      </c>
      <c r="K2" s="11"/>
    </row>
    <row r="3" spans="1:11" ht="15">
      <c r="A3" s="6" t="s">
        <v>11</v>
      </c>
      <c r="B3" s="7">
        <f>B2+1</f>
        <v>2</v>
      </c>
      <c r="C3" s="8">
        <v>10</v>
      </c>
      <c r="D3" s="7">
        <v>2023</v>
      </c>
      <c r="E3" s="17"/>
      <c r="F3" s="12">
        <f>F2</f>
        <v>7.8100000000000003E-2</v>
      </c>
      <c r="G3" s="17"/>
      <c r="H3" s="10">
        <f>H2</f>
        <v>0.15</v>
      </c>
      <c r="I3" s="17"/>
      <c r="J3" s="10">
        <f>J2</f>
        <v>4.6500000000000004</v>
      </c>
      <c r="K3" s="17"/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2023</v>
      </c>
      <c r="E4" s="17"/>
      <c r="F4" s="12">
        <f t="shared" ref="F4:F30" si="1">F3</f>
        <v>7.8100000000000003E-2</v>
      </c>
      <c r="G4" s="17"/>
      <c r="H4" s="10">
        <f t="shared" ref="H4:H30" si="2">H3</f>
        <v>0.15</v>
      </c>
      <c r="I4" s="17"/>
      <c r="J4" s="10">
        <f t="shared" ref="J4:J30" si="3">J3</f>
        <v>4.6500000000000004</v>
      </c>
      <c r="K4" s="17"/>
    </row>
    <row r="5" spans="1:11" ht="15">
      <c r="A5" s="6" t="s">
        <v>11</v>
      </c>
      <c r="B5" s="7">
        <f t="shared" si="0"/>
        <v>4</v>
      </c>
      <c r="C5" s="8">
        <v>10</v>
      </c>
      <c r="D5" s="7">
        <v>2023</v>
      </c>
      <c r="E5" s="17"/>
      <c r="F5" s="12">
        <f t="shared" si="1"/>
        <v>7.8100000000000003E-2</v>
      </c>
      <c r="G5" s="17"/>
      <c r="H5" s="10">
        <f t="shared" si="2"/>
        <v>0.15</v>
      </c>
      <c r="I5" s="17"/>
      <c r="J5" s="10">
        <f t="shared" si="3"/>
        <v>4.6500000000000004</v>
      </c>
      <c r="K5" s="17"/>
    </row>
    <row r="6" spans="1:11" ht="15">
      <c r="A6" s="6" t="s">
        <v>11</v>
      </c>
      <c r="B6" s="7">
        <f t="shared" si="0"/>
        <v>5</v>
      </c>
      <c r="C6" s="8">
        <v>10</v>
      </c>
      <c r="D6" s="7">
        <v>2023</v>
      </c>
      <c r="E6" s="17"/>
      <c r="F6" s="12">
        <f t="shared" si="1"/>
        <v>7.8100000000000003E-2</v>
      </c>
      <c r="G6" s="17"/>
      <c r="H6" s="10">
        <f t="shared" si="2"/>
        <v>0.15</v>
      </c>
      <c r="I6" s="17"/>
      <c r="J6" s="10">
        <f t="shared" si="3"/>
        <v>4.6500000000000004</v>
      </c>
      <c r="K6" s="17"/>
    </row>
    <row r="7" spans="1:11" ht="15">
      <c r="A7" s="6" t="s">
        <v>11</v>
      </c>
      <c r="B7" s="7">
        <f t="shared" si="0"/>
        <v>6</v>
      </c>
      <c r="C7" s="8">
        <v>10</v>
      </c>
      <c r="D7" s="7">
        <v>2023</v>
      </c>
      <c r="E7" s="17"/>
      <c r="F7" s="12">
        <f t="shared" si="1"/>
        <v>7.8100000000000003E-2</v>
      </c>
      <c r="G7" s="17"/>
      <c r="H7" s="10">
        <f t="shared" si="2"/>
        <v>0.15</v>
      </c>
      <c r="I7" s="17"/>
      <c r="J7" s="10">
        <f t="shared" si="3"/>
        <v>4.6500000000000004</v>
      </c>
      <c r="K7" s="17"/>
    </row>
    <row r="8" spans="1:11" ht="15">
      <c r="A8" s="6" t="s">
        <v>11</v>
      </c>
      <c r="B8" s="7">
        <f t="shared" si="0"/>
        <v>7</v>
      </c>
      <c r="C8" s="8">
        <v>10</v>
      </c>
      <c r="D8" s="7">
        <v>2023</v>
      </c>
      <c r="E8" s="17"/>
      <c r="F8" s="12">
        <f t="shared" si="1"/>
        <v>7.8100000000000003E-2</v>
      </c>
      <c r="G8" s="17"/>
      <c r="H8" s="10">
        <f t="shared" si="2"/>
        <v>0.15</v>
      </c>
      <c r="I8" s="17"/>
      <c r="J8" s="10">
        <f t="shared" si="3"/>
        <v>4.6500000000000004</v>
      </c>
      <c r="K8" s="17"/>
    </row>
    <row r="9" spans="1:11" ht="15">
      <c r="A9" s="6" t="s">
        <v>11</v>
      </c>
      <c r="B9" s="7">
        <f t="shared" si="0"/>
        <v>8</v>
      </c>
      <c r="C9" s="8">
        <v>10</v>
      </c>
      <c r="D9" s="7">
        <v>2023</v>
      </c>
      <c r="E9" s="17"/>
      <c r="F9" s="12">
        <f t="shared" si="1"/>
        <v>7.8100000000000003E-2</v>
      </c>
      <c r="G9" s="17"/>
      <c r="H9" s="10">
        <f t="shared" si="2"/>
        <v>0.15</v>
      </c>
      <c r="I9" s="17"/>
      <c r="J9" s="10">
        <f t="shared" si="3"/>
        <v>4.6500000000000004</v>
      </c>
      <c r="K9" s="17"/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2023</v>
      </c>
      <c r="E10" s="17"/>
      <c r="F10" s="12">
        <f t="shared" si="1"/>
        <v>7.8100000000000003E-2</v>
      </c>
      <c r="G10" s="17"/>
      <c r="H10" s="10">
        <f t="shared" si="2"/>
        <v>0.15</v>
      </c>
      <c r="I10" s="17"/>
      <c r="J10" s="10">
        <f t="shared" si="3"/>
        <v>4.6500000000000004</v>
      </c>
      <c r="K10" s="17"/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2023</v>
      </c>
      <c r="E11" s="17"/>
      <c r="F11" s="12">
        <f t="shared" si="1"/>
        <v>7.8100000000000003E-2</v>
      </c>
      <c r="G11" s="17"/>
      <c r="H11" s="10">
        <f t="shared" si="2"/>
        <v>0.15</v>
      </c>
      <c r="I11" s="17"/>
      <c r="J11" s="10">
        <f t="shared" si="3"/>
        <v>4.6500000000000004</v>
      </c>
      <c r="K11" s="17"/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2023</v>
      </c>
      <c r="E12" s="17"/>
      <c r="F12" s="12">
        <f t="shared" si="1"/>
        <v>7.8100000000000003E-2</v>
      </c>
      <c r="G12" s="17"/>
      <c r="H12" s="10">
        <f t="shared" si="2"/>
        <v>0.15</v>
      </c>
      <c r="I12" s="17"/>
      <c r="J12" s="10">
        <f t="shared" si="3"/>
        <v>4.6500000000000004</v>
      </c>
      <c r="K12" s="17"/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2023</v>
      </c>
      <c r="E13" s="17"/>
      <c r="F13" s="12">
        <f t="shared" si="1"/>
        <v>7.8100000000000003E-2</v>
      </c>
      <c r="G13" s="17"/>
      <c r="H13" s="10">
        <f t="shared" si="2"/>
        <v>0.15</v>
      </c>
      <c r="I13" s="17"/>
      <c r="J13" s="10">
        <f t="shared" si="3"/>
        <v>4.6500000000000004</v>
      </c>
      <c r="K13" s="17"/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2023</v>
      </c>
      <c r="E14" s="17"/>
      <c r="F14" s="12">
        <f t="shared" si="1"/>
        <v>7.8100000000000003E-2</v>
      </c>
      <c r="G14" s="17"/>
      <c r="H14" s="10">
        <f t="shared" si="2"/>
        <v>0.15</v>
      </c>
      <c r="I14" s="17"/>
      <c r="J14" s="10">
        <f t="shared" si="3"/>
        <v>4.6500000000000004</v>
      </c>
      <c r="K14" s="17"/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2023</v>
      </c>
      <c r="E15" s="17"/>
      <c r="F15" s="12">
        <f t="shared" si="1"/>
        <v>7.8100000000000003E-2</v>
      </c>
      <c r="G15" s="17"/>
      <c r="H15" s="10">
        <f t="shared" si="2"/>
        <v>0.15</v>
      </c>
      <c r="I15" s="17"/>
      <c r="J15" s="10">
        <f t="shared" si="3"/>
        <v>4.6500000000000004</v>
      </c>
      <c r="K15" s="17"/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2023</v>
      </c>
      <c r="E16" s="17"/>
      <c r="F16" s="12">
        <f t="shared" si="1"/>
        <v>7.8100000000000003E-2</v>
      </c>
      <c r="G16" s="17"/>
      <c r="H16" s="10">
        <f t="shared" si="2"/>
        <v>0.15</v>
      </c>
      <c r="I16" s="17"/>
      <c r="J16" s="10">
        <f t="shared" si="3"/>
        <v>4.6500000000000004</v>
      </c>
      <c r="K16" s="17"/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2023</v>
      </c>
      <c r="E17" s="17"/>
      <c r="F17" s="12">
        <f t="shared" si="1"/>
        <v>7.8100000000000003E-2</v>
      </c>
      <c r="G17" s="17"/>
      <c r="H17" s="10">
        <f t="shared" si="2"/>
        <v>0.15</v>
      </c>
      <c r="I17" s="17"/>
      <c r="J17" s="10">
        <f t="shared" si="3"/>
        <v>4.6500000000000004</v>
      </c>
      <c r="K17" s="17"/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2023</v>
      </c>
      <c r="E18" s="17"/>
      <c r="F18" s="12">
        <f t="shared" si="1"/>
        <v>7.8100000000000003E-2</v>
      </c>
      <c r="G18" s="17"/>
      <c r="H18" s="10">
        <f t="shared" si="2"/>
        <v>0.15</v>
      </c>
      <c r="I18" s="17"/>
      <c r="J18" s="10">
        <f t="shared" si="3"/>
        <v>4.6500000000000004</v>
      </c>
      <c r="K18" s="17"/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2023</v>
      </c>
      <c r="E19" s="17"/>
      <c r="F19" s="12">
        <f t="shared" si="1"/>
        <v>7.8100000000000003E-2</v>
      </c>
      <c r="G19" s="17"/>
      <c r="H19" s="10">
        <f t="shared" si="2"/>
        <v>0.15</v>
      </c>
      <c r="I19" s="17"/>
      <c r="J19" s="10">
        <f t="shared" si="3"/>
        <v>4.6500000000000004</v>
      </c>
      <c r="K19" s="17"/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2023</v>
      </c>
      <c r="E20" s="17"/>
      <c r="F20" s="12">
        <f t="shared" si="1"/>
        <v>7.8100000000000003E-2</v>
      </c>
      <c r="G20" s="17"/>
      <c r="H20" s="10">
        <f t="shared" si="2"/>
        <v>0.15</v>
      </c>
      <c r="I20" s="17"/>
      <c r="J20" s="10">
        <f t="shared" si="3"/>
        <v>4.6500000000000004</v>
      </c>
      <c r="K20" s="17"/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2023</v>
      </c>
      <c r="E21" s="17"/>
      <c r="F21" s="12">
        <f t="shared" si="1"/>
        <v>7.8100000000000003E-2</v>
      </c>
      <c r="G21" s="17"/>
      <c r="H21" s="10">
        <f t="shared" si="2"/>
        <v>0.15</v>
      </c>
      <c r="I21" s="17"/>
      <c r="J21" s="10">
        <f t="shared" si="3"/>
        <v>4.6500000000000004</v>
      </c>
      <c r="K21" s="17"/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17"/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17"/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17"/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10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2023</v>
      </c>
      <c r="E31" s="9"/>
      <c r="F31" s="12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11"/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2023</v>
      </c>
      <c r="E32" s="9"/>
      <c r="F32" s="12">
        <f>F30</f>
        <v>7.8100000000000003E-2</v>
      </c>
      <c r="G32" s="9"/>
      <c r="H32" s="10">
        <f>H30</f>
        <v>0.15</v>
      </c>
      <c r="I32" s="9"/>
      <c r="J32" s="10">
        <f>J30</f>
        <v>4.6500000000000004</v>
      </c>
      <c r="K32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K2" sqref="K2: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2023</v>
      </c>
      <c r="E2" s="9"/>
      <c r="F2" s="12">
        <v>7.8100000000000003E-2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11</v>
      </c>
      <c r="D3" s="7">
        <v>2023</v>
      </c>
      <c r="E3" s="9"/>
      <c r="F3" s="12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2023</v>
      </c>
      <c r="E4" s="9"/>
      <c r="F4" s="12">
        <f t="shared" ref="F4:F30" si="1">F3</f>
        <v>7.8100000000000003E-2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11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11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11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11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11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11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2023</v>
      </c>
      <c r="E31" s="9"/>
      <c r="F31" s="12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workbookViewId="0">
      <selection activeCell="H43" sqref="H4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2023</v>
      </c>
      <c r="E2" s="7"/>
      <c r="F2" s="12">
        <v>7.8100000000000003E-2</v>
      </c>
      <c r="G2" s="13"/>
      <c r="H2" s="10">
        <v>0.15</v>
      </c>
      <c r="I2" s="13"/>
      <c r="J2" s="10">
        <v>4.6500000000000004</v>
      </c>
      <c r="K2" s="11"/>
    </row>
    <row r="3" spans="1:11" ht="15">
      <c r="A3" s="6" t="s">
        <v>11</v>
      </c>
      <c r="B3" s="7">
        <f>B2+1</f>
        <v>2</v>
      </c>
      <c r="C3" s="8">
        <v>12</v>
      </c>
      <c r="D3" s="7">
        <v>2023</v>
      </c>
      <c r="E3" s="7"/>
      <c r="F3" s="12">
        <f>F2</f>
        <v>7.8100000000000003E-2</v>
      </c>
      <c r="G3" s="14"/>
      <c r="H3" s="10">
        <f>H2</f>
        <v>0.15</v>
      </c>
      <c r="I3" s="14"/>
      <c r="J3" s="10">
        <f>J2</f>
        <v>4.6500000000000004</v>
      </c>
      <c r="K3" s="17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2023</v>
      </c>
      <c r="E4" s="7"/>
      <c r="F4" s="12">
        <f t="shared" ref="F4:F31" si="1">F3</f>
        <v>7.8100000000000003E-2</v>
      </c>
      <c r="G4" s="14"/>
      <c r="H4" s="10">
        <f t="shared" ref="H4:H31" si="2">H3</f>
        <v>0.15</v>
      </c>
      <c r="I4" s="14"/>
      <c r="J4" s="10">
        <f t="shared" ref="J4:J31" si="3">J3</f>
        <v>4.6500000000000004</v>
      </c>
      <c r="K4" s="17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2023</v>
      </c>
      <c r="E5" s="7"/>
      <c r="F5" s="12">
        <f t="shared" si="1"/>
        <v>7.8100000000000003E-2</v>
      </c>
      <c r="G5" s="14"/>
      <c r="H5" s="10">
        <f t="shared" si="2"/>
        <v>0.15</v>
      </c>
      <c r="I5" s="14"/>
      <c r="J5" s="10">
        <f t="shared" si="3"/>
        <v>4.6500000000000004</v>
      </c>
      <c r="K5" s="17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2023</v>
      </c>
      <c r="E6" s="7"/>
      <c r="F6" s="12">
        <f t="shared" si="1"/>
        <v>7.8100000000000003E-2</v>
      </c>
      <c r="G6" s="14"/>
      <c r="H6" s="10">
        <f t="shared" si="2"/>
        <v>0.15</v>
      </c>
      <c r="I6" s="14"/>
      <c r="J6" s="10">
        <f t="shared" si="3"/>
        <v>4.6500000000000004</v>
      </c>
      <c r="K6" s="17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2023</v>
      </c>
      <c r="E7" s="7"/>
      <c r="F7" s="12">
        <f t="shared" si="1"/>
        <v>7.8100000000000003E-2</v>
      </c>
      <c r="G7" s="14"/>
      <c r="H7" s="10">
        <f t="shared" si="2"/>
        <v>0.15</v>
      </c>
      <c r="I7" s="14"/>
      <c r="J7" s="10">
        <f t="shared" si="3"/>
        <v>4.6500000000000004</v>
      </c>
      <c r="K7" s="17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2023</v>
      </c>
      <c r="E8" s="7"/>
      <c r="F8" s="12">
        <f t="shared" si="1"/>
        <v>7.8100000000000003E-2</v>
      </c>
      <c r="G8" s="14"/>
      <c r="H8" s="10">
        <f t="shared" si="2"/>
        <v>0.15</v>
      </c>
      <c r="I8" s="14"/>
      <c r="J8" s="10">
        <f t="shared" si="3"/>
        <v>4.6500000000000004</v>
      </c>
      <c r="K8" s="17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2023</v>
      </c>
      <c r="E9" s="7"/>
      <c r="F9" s="12">
        <f t="shared" si="1"/>
        <v>7.8100000000000003E-2</v>
      </c>
      <c r="G9" s="14"/>
      <c r="H9" s="10">
        <f t="shared" si="2"/>
        <v>0.15</v>
      </c>
      <c r="I9" s="14"/>
      <c r="J9" s="10">
        <f t="shared" si="3"/>
        <v>4.6500000000000004</v>
      </c>
      <c r="K9" s="17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2023</v>
      </c>
      <c r="E10" s="7"/>
      <c r="F10" s="12">
        <f t="shared" si="1"/>
        <v>7.8100000000000003E-2</v>
      </c>
      <c r="G10" s="14"/>
      <c r="H10" s="10">
        <f t="shared" si="2"/>
        <v>0.15</v>
      </c>
      <c r="I10" s="14"/>
      <c r="J10" s="10">
        <f t="shared" si="3"/>
        <v>4.6500000000000004</v>
      </c>
      <c r="K10" s="17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2023</v>
      </c>
      <c r="E11" s="7"/>
      <c r="F11" s="12">
        <f t="shared" si="1"/>
        <v>7.8100000000000003E-2</v>
      </c>
      <c r="G11" s="14"/>
      <c r="H11" s="10">
        <f t="shared" si="2"/>
        <v>0.15</v>
      </c>
      <c r="I11" s="14"/>
      <c r="J11" s="10">
        <f t="shared" si="3"/>
        <v>4.6500000000000004</v>
      </c>
      <c r="K11" s="17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2023</v>
      </c>
      <c r="E12" s="7"/>
      <c r="F12" s="12">
        <f t="shared" si="1"/>
        <v>7.8100000000000003E-2</v>
      </c>
      <c r="G12" s="14"/>
      <c r="H12" s="10">
        <f t="shared" si="2"/>
        <v>0.15</v>
      </c>
      <c r="I12" s="14"/>
      <c r="J12" s="10">
        <f t="shared" si="3"/>
        <v>4.6500000000000004</v>
      </c>
      <c r="K12" s="17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2023</v>
      </c>
      <c r="E13" s="7"/>
      <c r="F13" s="12">
        <f t="shared" si="1"/>
        <v>7.8100000000000003E-2</v>
      </c>
      <c r="G13" s="14"/>
      <c r="H13" s="10">
        <f t="shared" si="2"/>
        <v>0.15</v>
      </c>
      <c r="I13" s="14"/>
      <c r="J13" s="10">
        <f t="shared" si="3"/>
        <v>4.6500000000000004</v>
      </c>
      <c r="K13" s="17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2023</v>
      </c>
      <c r="E14" s="7"/>
      <c r="F14" s="12">
        <f t="shared" si="1"/>
        <v>7.8100000000000003E-2</v>
      </c>
      <c r="G14" s="14"/>
      <c r="H14" s="10">
        <f t="shared" si="2"/>
        <v>0.15</v>
      </c>
      <c r="I14" s="14"/>
      <c r="J14" s="10">
        <f t="shared" si="3"/>
        <v>4.6500000000000004</v>
      </c>
      <c r="K14" s="17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2023</v>
      </c>
      <c r="E15" s="7"/>
      <c r="F15" s="12">
        <f t="shared" si="1"/>
        <v>7.8100000000000003E-2</v>
      </c>
      <c r="G15" s="14"/>
      <c r="H15" s="10">
        <f t="shared" si="2"/>
        <v>0.15</v>
      </c>
      <c r="I15" s="14"/>
      <c r="J15" s="10">
        <f t="shared" si="3"/>
        <v>4.6500000000000004</v>
      </c>
      <c r="K15" s="17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2023</v>
      </c>
      <c r="E16" s="7"/>
      <c r="F16" s="12">
        <f t="shared" si="1"/>
        <v>7.8100000000000003E-2</v>
      </c>
      <c r="G16" s="14"/>
      <c r="H16" s="10">
        <f t="shared" si="2"/>
        <v>0.15</v>
      </c>
      <c r="I16" s="14"/>
      <c r="J16" s="10">
        <f t="shared" si="3"/>
        <v>4.6500000000000004</v>
      </c>
      <c r="K16" s="17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2023</v>
      </c>
      <c r="E17" s="7"/>
      <c r="F17" s="12">
        <f t="shared" si="1"/>
        <v>7.8100000000000003E-2</v>
      </c>
      <c r="G17" s="14"/>
      <c r="H17" s="10">
        <f t="shared" si="2"/>
        <v>0.15</v>
      </c>
      <c r="I17" s="14"/>
      <c r="J17" s="10">
        <f t="shared" si="3"/>
        <v>4.6500000000000004</v>
      </c>
      <c r="K17" s="17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2023</v>
      </c>
      <c r="E18" s="7"/>
      <c r="F18" s="12">
        <f t="shared" si="1"/>
        <v>7.8100000000000003E-2</v>
      </c>
      <c r="G18" s="14"/>
      <c r="H18" s="10">
        <f t="shared" si="2"/>
        <v>0.15</v>
      </c>
      <c r="I18" s="14"/>
      <c r="J18" s="10">
        <f t="shared" si="3"/>
        <v>4.6500000000000004</v>
      </c>
      <c r="K18" s="17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2023</v>
      </c>
      <c r="E19" s="7"/>
      <c r="F19" s="12">
        <f t="shared" si="1"/>
        <v>7.8100000000000003E-2</v>
      </c>
      <c r="G19" s="14"/>
      <c r="H19" s="10">
        <f t="shared" si="2"/>
        <v>0.15</v>
      </c>
      <c r="I19" s="14"/>
      <c r="J19" s="10">
        <f t="shared" si="3"/>
        <v>4.6500000000000004</v>
      </c>
      <c r="K19" s="17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2023</v>
      </c>
      <c r="E20" s="7"/>
      <c r="F20" s="12">
        <f t="shared" si="1"/>
        <v>7.8100000000000003E-2</v>
      </c>
      <c r="G20" s="14"/>
      <c r="H20" s="10">
        <f t="shared" si="2"/>
        <v>0.15</v>
      </c>
      <c r="I20" s="14"/>
      <c r="J20" s="10">
        <f t="shared" si="3"/>
        <v>4.6500000000000004</v>
      </c>
      <c r="K20" s="17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2023</v>
      </c>
      <c r="E21" s="7"/>
      <c r="F21" s="12">
        <f t="shared" si="1"/>
        <v>7.8100000000000003E-2</v>
      </c>
      <c r="G21" s="14"/>
      <c r="H21" s="10">
        <f t="shared" si="2"/>
        <v>0.15</v>
      </c>
      <c r="I21" s="14"/>
      <c r="J21" s="10">
        <f t="shared" si="3"/>
        <v>4.6500000000000004</v>
      </c>
      <c r="K21" s="17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2023</v>
      </c>
      <c r="E22" s="7"/>
      <c r="F22" s="12">
        <f t="shared" si="1"/>
        <v>7.8100000000000003E-2</v>
      </c>
      <c r="G22" s="14"/>
      <c r="H22" s="10">
        <f t="shared" si="2"/>
        <v>0.15</v>
      </c>
      <c r="I22" s="14"/>
      <c r="J22" s="10">
        <f t="shared" si="3"/>
        <v>4.6500000000000004</v>
      </c>
      <c r="K22" s="17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2023</v>
      </c>
      <c r="E23" s="7"/>
      <c r="F23" s="12">
        <f t="shared" si="1"/>
        <v>7.8100000000000003E-2</v>
      </c>
      <c r="G23" s="14"/>
      <c r="H23" s="10">
        <f t="shared" si="2"/>
        <v>0.15</v>
      </c>
      <c r="I23" s="14"/>
      <c r="J23" s="10">
        <f t="shared" si="3"/>
        <v>4.6500000000000004</v>
      </c>
      <c r="K23" s="17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2023</v>
      </c>
      <c r="E24" s="7"/>
      <c r="F24" s="12">
        <f t="shared" si="1"/>
        <v>7.8100000000000003E-2</v>
      </c>
      <c r="G24" s="14"/>
      <c r="H24" s="10">
        <f t="shared" si="2"/>
        <v>0.15</v>
      </c>
      <c r="I24" s="14"/>
      <c r="J24" s="10">
        <f t="shared" si="3"/>
        <v>4.6500000000000004</v>
      </c>
      <c r="K24" s="17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2023</v>
      </c>
      <c r="E25" s="7"/>
      <c r="F25" s="12">
        <f t="shared" si="1"/>
        <v>7.8100000000000003E-2</v>
      </c>
      <c r="G25" s="14"/>
      <c r="H25" s="10">
        <f t="shared" si="2"/>
        <v>0.15</v>
      </c>
      <c r="I25" s="14"/>
      <c r="J25" s="10">
        <f t="shared" si="3"/>
        <v>4.6500000000000004</v>
      </c>
      <c r="K25" s="17"/>
    </row>
    <row r="26" spans="1:11" ht="15">
      <c r="A26" s="6" t="s">
        <v>11</v>
      </c>
      <c r="B26" s="7">
        <f>B25+1</f>
        <v>25</v>
      </c>
      <c r="C26" s="8">
        <v>12</v>
      </c>
      <c r="D26" s="7">
        <v>2023</v>
      </c>
      <c r="E26" s="7"/>
      <c r="F26" s="12">
        <f t="shared" si="1"/>
        <v>7.8100000000000003E-2</v>
      </c>
      <c r="G26" s="14"/>
      <c r="H26" s="10">
        <f t="shared" si="2"/>
        <v>0.15</v>
      </c>
      <c r="I26" s="14"/>
      <c r="J26" s="10">
        <f t="shared" si="3"/>
        <v>4.6500000000000004</v>
      </c>
      <c r="K26" s="17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2023</v>
      </c>
      <c r="E27" s="7"/>
      <c r="F27" s="12">
        <f t="shared" si="1"/>
        <v>7.8100000000000003E-2</v>
      </c>
      <c r="G27" s="14"/>
      <c r="H27" s="10">
        <f t="shared" si="2"/>
        <v>0.15</v>
      </c>
      <c r="I27" s="14"/>
      <c r="J27" s="10">
        <f t="shared" si="3"/>
        <v>4.6500000000000004</v>
      </c>
      <c r="K27" s="17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2023</v>
      </c>
      <c r="E28" s="7"/>
      <c r="F28" s="12">
        <f t="shared" si="1"/>
        <v>7.8100000000000003E-2</v>
      </c>
      <c r="G28" s="14"/>
      <c r="H28" s="10">
        <f t="shared" si="2"/>
        <v>0.15</v>
      </c>
      <c r="I28" s="14"/>
      <c r="J28" s="10">
        <f t="shared" si="3"/>
        <v>4.6500000000000004</v>
      </c>
      <c r="K28" s="17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2023</v>
      </c>
      <c r="E29" s="7"/>
      <c r="F29" s="12">
        <f t="shared" si="1"/>
        <v>7.8100000000000003E-2</v>
      </c>
      <c r="G29" s="14"/>
      <c r="H29" s="10">
        <f t="shared" si="2"/>
        <v>0.15</v>
      </c>
      <c r="I29" s="14"/>
      <c r="J29" s="10">
        <f t="shared" si="3"/>
        <v>4.6500000000000004</v>
      </c>
      <c r="K29" s="17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2023</v>
      </c>
      <c r="E30" s="7"/>
      <c r="F30" s="12">
        <f t="shared" si="1"/>
        <v>7.8100000000000003E-2</v>
      </c>
      <c r="G30" s="14"/>
      <c r="H30" s="10">
        <f t="shared" si="2"/>
        <v>0.15</v>
      </c>
      <c r="I30" s="14"/>
      <c r="J30" s="10">
        <f t="shared" si="3"/>
        <v>4.6500000000000004</v>
      </c>
      <c r="K30" s="17"/>
    </row>
    <row r="31" spans="1:11" ht="15">
      <c r="A31" s="6" t="s">
        <v>11</v>
      </c>
      <c r="B31" s="7">
        <v>30</v>
      </c>
      <c r="C31" s="8">
        <v>12</v>
      </c>
      <c r="D31" s="7">
        <v>2023</v>
      </c>
      <c r="E31" s="7"/>
      <c r="F31" s="12">
        <f t="shared" si="1"/>
        <v>7.8100000000000003E-2</v>
      </c>
      <c r="G31" s="14"/>
      <c r="H31" s="10">
        <f t="shared" si="2"/>
        <v>0.15</v>
      </c>
      <c r="I31" s="14"/>
      <c r="J31" s="10">
        <f t="shared" si="3"/>
        <v>4.6500000000000004</v>
      </c>
      <c r="K31" s="25"/>
    </row>
    <row r="32" spans="1:11" ht="15">
      <c r="A32" s="6" t="s">
        <v>11</v>
      </c>
      <c r="B32" s="7">
        <v>31</v>
      </c>
      <c r="C32" s="8">
        <v>12</v>
      </c>
      <c r="D32" s="7">
        <v>2023</v>
      </c>
      <c r="E32" s="7"/>
      <c r="F32" s="12">
        <f>F29</f>
        <v>7.8100000000000003E-2</v>
      </c>
      <c r="G32" s="14"/>
      <c r="H32" s="10">
        <f>H29</f>
        <v>0.15</v>
      </c>
      <c r="I32" s="14"/>
      <c r="J32" s="19">
        <f>J29</f>
        <v>4.6500000000000004</v>
      </c>
      <c r="K32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A58C6-7F33-4E85-9DDD-1745B29C8F8B}"/>
</file>

<file path=customXml/itemProps2.xml><?xml version="1.0" encoding="utf-8"?>
<ds:datastoreItem xmlns:ds="http://schemas.openxmlformats.org/officeDocument/2006/customXml" ds:itemID="{7C79458B-F713-4F9C-A673-1922DB97B99C}"/>
</file>

<file path=customXml/itemProps3.xml><?xml version="1.0" encoding="utf-8"?>
<ds:datastoreItem xmlns:ds="http://schemas.openxmlformats.org/officeDocument/2006/customXml" ds:itemID="{DB1667E2-6B47-4D3C-91A0-E8B00937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2023-03-03T19:58:49Z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