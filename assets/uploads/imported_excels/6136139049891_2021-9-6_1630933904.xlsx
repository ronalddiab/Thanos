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349" documentId="8_{5B502D95-7A37-4D5A-8B6B-374537CC2F26}" xr6:coauthVersionLast="47" xr6:coauthVersionMax="47" xr10:uidLastSave="{45807621-AC42-42DD-BBBD-F7361FB5F514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6" l="1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F20" i="11"/>
  <c r="K22" i="6"/>
  <c r="N23" i="2" s="1"/>
  <c r="I22" i="6"/>
  <c r="M23" i="2" s="1"/>
  <c r="G22" i="6"/>
  <c r="E22" i="6"/>
  <c r="C22" i="6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K19" i="6"/>
  <c r="N20" i="2" s="1"/>
  <c r="I19" i="6"/>
  <c r="M20" i="2" s="1"/>
  <c r="G19" i="6"/>
  <c r="L20" i="2" s="1"/>
  <c r="E19" i="6"/>
  <c r="F20" i="2" s="1"/>
  <c r="C19" i="6"/>
  <c r="K18" i="6"/>
  <c r="N19" i="2" s="1"/>
  <c r="I18" i="6"/>
  <c r="M19" i="2" s="1"/>
  <c r="G18" i="6"/>
  <c r="L19" i="2" s="1"/>
  <c r="E18" i="6"/>
  <c r="F19" i="2" s="1"/>
  <c r="C18" i="6"/>
  <c r="K17" i="6"/>
  <c r="N18" i="2" s="1"/>
  <c r="I17" i="6"/>
  <c r="M18" i="2" s="1"/>
  <c r="G17" i="6"/>
  <c r="L18" i="2" s="1"/>
  <c r="E17" i="6"/>
  <c r="F18" i="2" s="1"/>
  <c r="C17" i="6"/>
  <c r="K16" i="6"/>
  <c r="N17" i="2" s="1"/>
  <c r="I16" i="6"/>
  <c r="M17" i="2" s="1"/>
  <c r="G16" i="6"/>
  <c r="L17" i="2" s="1"/>
  <c r="E16" i="6"/>
  <c r="F17" i="2" s="1"/>
  <c r="C16" i="6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7" i="4" l="1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P11" i="4"/>
  <c r="V17" i="2"/>
  <c r="X17" i="2" s="1"/>
  <c r="P12" i="4"/>
  <c r="V18" i="2"/>
  <c r="X18" i="2" s="1"/>
  <c r="P24" i="4"/>
  <c r="V30" i="2"/>
  <c r="X30" i="2" s="1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X29" i="2" s="1"/>
  <c r="P22" i="4"/>
  <c r="V28" i="2"/>
  <c r="X28" i="2" s="1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27" i="2" l="1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<sst xmlns="http://schemas.openxmlformats.org/spreadsheetml/2006/main" count="476" uniqueCount="185">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</sst>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8.6999999999999993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8.6999999999999993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1223.18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E15" sqref="E1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>
      <c r="A4" s="238"/>
      <c r="B4" s="238"/>
      <c r="C4" s="238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156"/>
      <c r="E5" s="156"/>
      <c r="F5" s="156"/>
      <c r="G5" s="156"/>
      <c r="H5" s="156"/>
      <c r="I5" s="156"/>
      <c r="J5" s="156"/>
      <c r="K5" s="156"/>
      <c r="L5" s="156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A7" s="156"/>
      <c r="B7" s="156"/>
      <c r="C7" s="156"/>
      <c r="D7" s="156"/>
      <c r="E7" s="156"/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56"/>
      <c r="B15" s="6">
        <v>44445</v>
      </c>
      <c r="C15" s="7"/>
      <c r="D15" s="143"/>
      <c r="E15" s="143"/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56"/>
      <c r="B16" s="6">
        <v>44446</v>
      </c>
      <c r="C16" s="7"/>
      <c r="D16" s="143"/>
      <c r="E16" s="143"/>
      <c r="F16" s="13">
        <f>'Suivi EAU-ELEC'!E15</f>
        <v>0</v>
      </c>
      <c r="G16" s="11"/>
      <c r="H16" s="169">
        <f t="shared" si="0"/>
        <v>0</v>
      </c>
      <c r="I16" s="170"/>
      <c r="J16" s="170"/>
      <c r="K16" s="60">
        <v>42284</v>
      </c>
      <c r="L16" s="90">
        <f>'Suivi EAU-ELEC'!G15</f>
        <v>0</v>
      </c>
      <c r="M16" s="91">
        <f>'Suivi EAU-ELEC'!I15</f>
        <v>0</v>
      </c>
      <c r="N16" s="91">
        <f>'Suivi EAU-ELEC'!K15</f>
        <v>0</v>
      </c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>
        <f>'Suvi Gaz'!O10</f>
        <v>0</v>
      </c>
      <c r="W16" s="11"/>
      <c r="X16" s="34">
        <f t="shared" si="1"/>
        <v>0</v>
      </c>
    </row>
    <row r="17" spans="1:24" s="5" customFormat="1" ht="32.25" customHeight="1">
      <c r="A17" s="2"/>
      <c r="B17" s="6">
        <v>44447</v>
      </c>
      <c r="C17" s="7"/>
      <c r="D17" s="143"/>
      <c r="E17" s="143"/>
      <c r="F17" s="13">
        <f>'Suivi EAU-ELEC'!E16</f>
        <v>0</v>
      </c>
      <c r="G17" s="11"/>
      <c r="H17" s="169">
        <f t="shared" si="0"/>
        <v>0</v>
      </c>
      <c r="I17" s="170"/>
      <c r="J17" s="170"/>
      <c r="K17" s="60">
        <v>42285</v>
      </c>
      <c r="L17" s="90">
        <f>'Suivi EAU-ELEC'!G16</f>
        <v>0</v>
      </c>
      <c r="M17" s="91">
        <f>'Suivi EAU-ELEC'!I16</f>
        <v>0</v>
      </c>
      <c r="N17" s="91">
        <f>'Suivi EAU-ELEC'!K16</f>
        <v>0</v>
      </c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>
        <f>'Suvi Gaz'!O11</f>
        <v>0</v>
      </c>
      <c r="W17" s="11"/>
      <c r="X17" s="34">
        <f t="shared" si="1"/>
        <v>0</v>
      </c>
    </row>
    <row r="18" spans="1:24" ht="32.25" customHeight="1">
      <c r="A18" s="2"/>
      <c r="B18" s="6">
        <v>44448</v>
      </c>
      <c r="C18" s="7"/>
      <c r="D18" s="143"/>
      <c r="E18" s="143"/>
      <c r="F18" s="13">
        <f>'Suivi EAU-ELEC'!E17</f>
        <v>0</v>
      </c>
      <c r="G18" s="11"/>
      <c r="H18" s="169">
        <f t="shared" si="0"/>
        <v>0</v>
      </c>
      <c r="I18" s="170"/>
      <c r="J18" s="170"/>
      <c r="K18" s="60">
        <v>42286</v>
      </c>
      <c r="L18" s="90">
        <f>'Suivi EAU-ELEC'!G17</f>
        <v>0</v>
      </c>
      <c r="M18" s="91">
        <f>'Suivi EAU-ELEC'!I17</f>
        <v>0</v>
      </c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>
        <f>'Suvi Gaz'!O12</f>
        <v>0</v>
      </c>
      <c r="W18" s="11"/>
      <c r="X18" s="34">
        <f t="shared" si="1"/>
        <v>0</v>
      </c>
    </row>
    <row r="19" spans="1:24" ht="32.25" customHeight="1">
      <c r="A19" s="2"/>
      <c r="B19" s="6">
        <v>44449</v>
      </c>
      <c r="C19" s="7"/>
      <c r="D19" s="143"/>
      <c r="E19" s="143"/>
      <c r="F19" s="13">
        <f>'Suivi EAU-ELEC'!E18</f>
        <v>0</v>
      </c>
      <c r="G19" s="12"/>
      <c r="H19" s="169">
        <f t="shared" si="0"/>
        <v>0</v>
      </c>
      <c r="I19" s="170"/>
      <c r="J19" s="170"/>
      <c r="K19" s="60">
        <v>42287</v>
      </c>
      <c r="L19" s="90">
        <f>'Suivi EAU-ELEC'!G18</f>
        <v>0</v>
      </c>
      <c r="M19" s="91">
        <f>'Suivi EAU-ELEC'!I18</f>
        <v>0</v>
      </c>
      <c r="N19" s="91">
        <f>'Suivi EAU-ELEC'!K18</f>
        <v>0</v>
      </c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44450</v>
      </c>
      <c r="C20" s="7"/>
      <c r="D20" s="143"/>
      <c r="E20" s="143"/>
      <c r="F20" s="13">
        <f>'Suivi EAU-ELEC'!E19</f>
        <v>0</v>
      </c>
      <c r="G20" s="12"/>
      <c r="H20" s="169">
        <f t="shared" si="0"/>
        <v>0</v>
      </c>
      <c r="I20" s="170"/>
      <c r="J20" s="170"/>
      <c r="K20" s="60">
        <v>42288</v>
      </c>
      <c r="L20" s="90">
        <f>'Suivi EAU-ELEC'!G19</f>
        <v>0</v>
      </c>
      <c r="M20" s="91">
        <f>'Suivi EAU-ELEC'!I19</f>
        <v>0</v>
      </c>
      <c r="N20" s="91">
        <f>'Suivi EAU-ELEC'!K19</f>
        <v>0</v>
      </c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44451</v>
      </c>
      <c r="C21" s="7"/>
      <c r="D21" s="143"/>
      <c r="E21" s="143"/>
      <c r="F21" s="13">
        <f>'Suivi EAU-ELEC'!E20</f>
        <v>0</v>
      </c>
      <c r="G21" s="12"/>
      <c r="H21" s="169">
        <f t="shared" si="0"/>
        <v>0</v>
      </c>
      <c r="I21" s="170"/>
      <c r="J21" s="170"/>
      <c r="K21" s="60">
        <v>42289</v>
      </c>
      <c r="L21" s="90">
        <f>'Suivi EAU-ELEC'!G20</f>
        <v>0</v>
      </c>
      <c r="M21" s="91">
        <f>'Suivi EAU-ELEC'!I20</f>
        <v>0</v>
      </c>
      <c r="N21" s="91">
        <f>'Suivi EAU-ELEC'!K20</f>
        <v>0</v>
      </c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44452</v>
      </c>
      <c r="C22" s="7"/>
      <c r="D22" s="143"/>
      <c r="E22" s="143"/>
      <c r="F22" s="13">
        <f>'Suivi EAU-ELEC'!E21</f>
        <v>0</v>
      </c>
      <c r="G22" s="12"/>
      <c r="H22" s="169">
        <f t="shared" ref="H22:H35" si="4">F22*8.79</f>
        <v>0</v>
      </c>
      <c r="I22" s="170"/>
      <c r="J22" s="170"/>
      <c r="K22" s="60">
        <v>42290</v>
      </c>
      <c r="L22" s="90">
        <f>'Suivi EAU-ELEC'!G21</f>
        <v>0</v>
      </c>
      <c r="M22" s="91">
        <f>'Suivi EAU-ELEC'!I21</f>
        <v>0</v>
      </c>
      <c r="N22" s="91">
        <f>'Suivi EAU-ELEC'!K21</f>
        <v>0</v>
      </c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44453</v>
      </c>
      <c r="C23" s="7"/>
      <c r="D23" s="143"/>
      <c r="E23" s="143"/>
      <c r="F23" s="13">
        <f>'Suivi EAU-ELEC'!E22</f>
        <v>0</v>
      </c>
      <c r="G23" s="14"/>
      <c r="H23" s="169">
        <f t="shared" si="4"/>
        <v>0</v>
      </c>
      <c r="I23" s="170"/>
      <c r="J23" s="170"/>
      <c r="K23" s="60">
        <v>42291</v>
      </c>
      <c r="L23" s="90">
        <f>'Suivi EAU-ELEC'!G22</f>
        <v>0</v>
      </c>
      <c r="M23" s="91">
        <f>'Suivi EAU-ELEC'!I22</f>
        <v>0</v>
      </c>
      <c r="N23" s="91">
        <f>'Suivi EAU-ELEC'!K22</f>
        <v>0</v>
      </c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44454</v>
      </c>
      <c r="C24" s="7"/>
      <c r="D24" s="143"/>
      <c r="E24" s="143"/>
      <c r="F24" s="13">
        <f>'Suivi EAU-ELEC'!E23</f>
        <v>0</v>
      </c>
      <c r="G24" s="14"/>
      <c r="H24" s="169">
        <f t="shared" si="4"/>
        <v>0</v>
      </c>
      <c r="I24" s="170"/>
      <c r="J24" s="170"/>
      <c r="K24" s="60">
        <v>42292</v>
      </c>
      <c r="L24" s="90">
        <f>'Suivi EAU-ELEC'!G23</f>
        <v>0</v>
      </c>
      <c r="M24" s="91">
        <f>'Suivi EAU-ELEC'!I23</f>
        <v>0</v>
      </c>
      <c r="N24" s="91">
        <f>'Suivi EAU-ELEC'!K23</f>
        <v>0</v>
      </c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44455</v>
      </c>
      <c r="C25" s="7"/>
      <c r="D25" s="143"/>
      <c r="E25" s="143"/>
      <c r="F25" s="13">
        <f>'Suivi EAU-ELEC'!E24</f>
        <v>0</v>
      </c>
      <c r="G25" s="14"/>
      <c r="H25" s="169">
        <f t="shared" si="4"/>
        <v>0</v>
      </c>
      <c r="I25" s="170"/>
      <c r="J25" s="170"/>
      <c r="K25" s="60">
        <v>42293</v>
      </c>
      <c r="L25" s="90">
        <f>'Suivi EAU-ELEC'!G24</f>
        <v>0</v>
      </c>
      <c r="M25" s="91">
        <f>'Suivi EAU-ELEC'!I24</f>
        <v>0</v>
      </c>
      <c r="N25" s="91">
        <f>'Suivi EAU-ELEC'!K24</f>
        <v>0</v>
      </c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44456</v>
      </c>
      <c r="C26" s="7"/>
      <c r="D26" s="143"/>
      <c r="E26" s="143"/>
      <c r="F26" s="13">
        <f>'Suivi EAU-ELEC'!E25</f>
        <v>0</v>
      </c>
      <c r="G26" s="14"/>
      <c r="H26" s="169">
        <f t="shared" si="4"/>
        <v>0</v>
      </c>
      <c r="I26" s="170"/>
      <c r="J26" s="170"/>
      <c r="K26" s="60">
        <v>42294</v>
      </c>
      <c r="L26" s="90">
        <f>'Suivi EAU-ELEC'!G25</f>
        <v>0</v>
      </c>
      <c r="M26" s="91">
        <f>'Suivi EAU-ELEC'!I25</f>
        <v>0</v>
      </c>
      <c r="N26" s="91">
        <f>'Suivi EAU-ELEC'!K25</f>
        <v>0</v>
      </c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44457</v>
      </c>
      <c r="C27" s="7"/>
      <c r="D27" s="143"/>
      <c r="E27" s="143"/>
      <c r="F27" s="13">
        <f>'Suivi EAU-ELEC'!E26</f>
        <v>0</v>
      </c>
      <c r="G27" s="14"/>
      <c r="H27" s="169">
        <f t="shared" si="4"/>
        <v>0</v>
      </c>
      <c r="I27" s="170"/>
      <c r="J27" s="170"/>
      <c r="K27" s="60">
        <v>42295</v>
      </c>
      <c r="L27" s="90">
        <f>'Suivi EAU-ELEC'!G26</f>
        <v>0</v>
      </c>
      <c r="M27" s="91">
        <f>'Suivi EAU-ELEC'!I26</f>
        <v>0</v>
      </c>
      <c r="N27" s="91">
        <f>'Suivi EAU-ELEC'!K26</f>
        <v>0</v>
      </c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44458</v>
      </c>
      <c r="C28" s="7"/>
      <c r="D28" s="143"/>
      <c r="E28" s="143"/>
      <c r="F28" s="13">
        <f>'Suivi EAU-ELEC'!E27</f>
        <v>0</v>
      </c>
      <c r="G28" s="11"/>
      <c r="H28" s="169">
        <f t="shared" si="4"/>
        <v>0</v>
      </c>
      <c r="I28" s="170"/>
      <c r="J28" s="170"/>
      <c r="K28" s="60">
        <v>42296</v>
      </c>
      <c r="L28" s="90">
        <f>'Suivi EAU-ELEC'!G27</f>
        <v>0</v>
      </c>
      <c r="M28" s="91">
        <f>'Suivi EAU-ELEC'!I27</f>
        <v>0</v>
      </c>
      <c r="N28" s="91">
        <f>'Suivi EAU-ELEC'!K27</f>
        <v>0</v>
      </c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44459</v>
      </c>
      <c r="C29" s="7"/>
      <c r="D29" s="143"/>
      <c r="E29" s="143"/>
      <c r="F29" s="13">
        <f>'Suivi EAU-ELEC'!E28</f>
        <v>0</v>
      </c>
      <c r="G29" s="11"/>
      <c r="H29" s="169">
        <f t="shared" si="4"/>
        <v>0</v>
      </c>
      <c r="I29" s="170"/>
      <c r="J29" s="170"/>
      <c r="K29" s="60">
        <v>42297</v>
      </c>
      <c r="L29" s="90">
        <f>'Suivi EAU-ELEC'!G28</f>
        <v>0</v>
      </c>
      <c r="M29" s="91">
        <f>'Suivi EAU-ELEC'!I28</f>
        <v>0</v>
      </c>
      <c r="N29" s="91">
        <f>'Suivi EAU-ELEC'!K28</f>
        <v>0</v>
      </c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44460</v>
      </c>
      <c r="C30" s="7"/>
      <c r="D30" s="143"/>
      <c r="E30" s="143"/>
      <c r="F30" s="13">
        <f>'Suivi EAU-ELEC'!E29</f>
        <v>0</v>
      </c>
      <c r="G30" s="11"/>
      <c r="H30" s="169">
        <f t="shared" si="4"/>
        <v>0</v>
      </c>
      <c r="I30" s="170"/>
      <c r="J30" s="170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44461</v>
      </c>
      <c r="C31" s="7"/>
      <c r="D31" s="143"/>
      <c r="E31" s="143"/>
      <c r="F31" s="13">
        <f>'Suivi EAU-ELEC'!E30</f>
        <v>0</v>
      </c>
      <c r="G31" s="11"/>
      <c r="H31" s="169">
        <f t="shared" si="4"/>
        <v>0</v>
      </c>
      <c r="I31" s="170"/>
      <c r="J31" s="170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0</v>
      </c>
      <c r="G32" s="11"/>
      <c r="H32" s="169">
        <f t="shared" si="4"/>
        <v>0</v>
      </c>
      <c r="I32" s="170"/>
      <c r="J32" s="170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335</v>
      </c>
      <c r="E40" s="8">
        <f>SUM(E10:E39)</f>
        <v>562</v>
      </c>
      <c r="F40" s="152">
        <f>SUM(F10:F39)</f>
        <v>559.60000000000582</v>
      </c>
      <c r="G40" s="1"/>
      <c r="H40" s="207">
        <f>SUM(H10:H39)</f>
        <v>4918.8840000000509</v>
      </c>
      <c r="I40" s="208"/>
      <c r="J40" s="209"/>
      <c r="K40" s="1"/>
      <c r="L40" s="53">
        <f>SUM(L10:L39)</f>
        <v>22525</v>
      </c>
      <c r="M40" s="53">
        <f>SUM(M10:M39)</f>
        <v>45189</v>
      </c>
      <c r="N40" s="54">
        <f>SUM(N10:N39)</f>
        <v>16687</v>
      </c>
      <c r="O40" s="55">
        <f>SUM(O10:O39)</f>
        <v>84401</v>
      </c>
      <c r="P40" s="31"/>
      <c r="Q40" s="32">
        <f>SUM(Q10:Q39)</f>
        <v>81122.480699999986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1223.18</v>
      </c>
      <c r="W40" s="31"/>
      <c r="X40" s="32">
        <f>SUM(X10:X39)</f>
        <v>11754.7598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6"/>
      <c r="M41" s="156"/>
      <c r="N41" s="15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7" t="s">
        <v>33</v>
      </c>
      <c r="B42" s="188"/>
      <c r="C42" s="188"/>
      <c r="D42" s="188"/>
      <c r="E42" s="188"/>
      <c r="F42" s="189"/>
      <c r="G42" s="26"/>
      <c r="H42" s="27" t="s">
        <v>34</v>
      </c>
      <c r="I42" s="199" t="s">
        <v>35</v>
      </c>
      <c r="J42" s="200"/>
      <c r="K42" s="201"/>
      <c r="L42" s="230" t="s">
        <v>36</v>
      </c>
      <c r="M42" s="231"/>
      <c r="N42" s="187" t="s">
        <v>37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9"/>
    </row>
    <row r="43" spans="1:24" s="18" customFormat="1" ht="29.25" customHeight="1" thickBot="1">
      <c r="A43" s="224" t="s">
        <v>38</v>
      </c>
      <c r="B43" s="225"/>
      <c r="C43" s="226"/>
      <c r="D43" s="158" t="s">
        <v>30</v>
      </c>
      <c r="E43" s="158" t="s">
        <v>30</v>
      </c>
      <c r="F43" s="158" t="s">
        <v>30</v>
      </c>
      <c r="G43" s="16"/>
      <c r="H43" s="17">
        <v>0.69850000000000001</v>
      </c>
      <c r="I43" s="221">
        <f>L40</f>
        <v>22525</v>
      </c>
      <c r="J43" s="222"/>
      <c r="K43" s="223"/>
      <c r="L43" s="205">
        <f>I43*H43</f>
        <v>15733.7125</v>
      </c>
      <c r="M43" s="206"/>
      <c r="N43" s="178">
        <f>L43+L44+L45</f>
        <v>80926.911900000006</v>
      </c>
      <c r="O43" s="179"/>
      <c r="P43" s="179"/>
      <c r="Q43" s="179"/>
      <c r="R43" s="179"/>
      <c r="S43" s="179"/>
      <c r="T43" s="179"/>
      <c r="U43" s="179"/>
      <c r="V43" s="179"/>
      <c r="W43" s="179"/>
      <c r="X43" s="180"/>
    </row>
    <row r="44" spans="1:24" s="18" customFormat="1" ht="29.25" customHeight="1" thickBot="1">
      <c r="A44" s="227"/>
      <c r="B44" s="228"/>
      <c r="C44" s="229"/>
      <c r="D44" s="157" t="s">
        <v>31</v>
      </c>
      <c r="E44" s="157" t="s">
        <v>31</v>
      </c>
      <c r="F44" s="157" t="s">
        <v>31</v>
      </c>
      <c r="G44" s="16"/>
      <c r="H44" s="19">
        <v>0.95140000000000002</v>
      </c>
      <c r="I44" s="221">
        <f>M40</f>
        <v>45189</v>
      </c>
      <c r="J44" s="222"/>
      <c r="K44" s="223"/>
      <c r="L44" s="205">
        <f>I44*H44</f>
        <v>42992.814599999998</v>
      </c>
      <c r="M44" s="206"/>
      <c r="N44" s="181"/>
      <c r="O44" s="182"/>
      <c r="P44" s="182"/>
      <c r="Q44" s="182"/>
      <c r="R44" s="182"/>
      <c r="S44" s="182"/>
      <c r="T44" s="182"/>
      <c r="U44" s="182"/>
      <c r="V44" s="182"/>
      <c r="W44" s="182"/>
      <c r="X44" s="183"/>
    </row>
    <row r="45" spans="1:24" s="18" customFormat="1" ht="24.75" customHeight="1" thickBot="1">
      <c r="A45" s="227"/>
      <c r="B45" s="228"/>
      <c r="C45" s="229"/>
      <c r="D45" s="164" t="s">
        <v>32</v>
      </c>
      <c r="E45" s="164" t="s">
        <v>32</v>
      </c>
      <c r="F45" s="164" t="s">
        <v>32</v>
      </c>
      <c r="G45" s="20"/>
      <c r="H45" s="20">
        <v>1.3304</v>
      </c>
      <c r="I45" s="196">
        <f>N40</f>
        <v>16687</v>
      </c>
      <c r="J45" s="197"/>
      <c r="K45" s="198"/>
      <c r="L45" s="205">
        <f>I45*H45</f>
        <v>22200.3848</v>
      </c>
      <c r="M45" s="206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6"/>
    </row>
    <row r="46" spans="1:24" s="18" customFormat="1" ht="43.5" customHeight="1" thickBot="1">
      <c r="A46" s="159"/>
      <c r="B46" s="160"/>
      <c r="C46" s="160"/>
      <c r="D46" s="164"/>
      <c r="E46" s="164"/>
      <c r="F46" s="164"/>
      <c r="G46" s="16"/>
      <c r="H46" s="16"/>
      <c r="I46" s="162"/>
      <c r="J46" s="163"/>
      <c r="K46" s="164"/>
      <c r="L46" s="153"/>
      <c r="M46" s="154"/>
      <c r="N46" s="202">
        <f>N43*1.3</f>
        <v>105204.98547000001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4"/>
    </row>
    <row r="47" spans="1:24" s="23" customFormat="1" ht="32.25" customHeight="1" thickBot="1">
      <c r="A47" s="216" t="s">
        <v>39</v>
      </c>
      <c r="B47" s="217"/>
      <c r="C47" s="217"/>
      <c r="D47" s="217"/>
      <c r="E47" s="217"/>
      <c r="F47" s="218"/>
      <c r="G47" s="21"/>
      <c r="H47" s="22">
        <v>8.7899999999999991</v>
      </c>
      <c r="I47" s="216">
        <f>F40</f>
        <v>559.60000000000582</v>
      </c>
      <c r="J47" s="217"/>
      <c r="K47" s="218"/>
      <c r="L47" s="219">
        <f>I47*H47</f>
        <v>4918.8840000000509</v>
      </c>
      <c r="M47" s="220"/>
      <c r="N47" s="175">
        <f>L47</f>
        <v>4918.8840000000509</v>
      </c>
      <c r="O47" s="176"/>
      <c r="P47" s="176"/>
      <c r="Q47" s="176"/>
      <c r="R47" s="176"/>
      <c r="S47" s="176"/>
      <c r="T47" s="176"/>
      <c r="U47" s="176"/>
      <c r="V47" s="176"/>
      <c r="W47" s="176"/>
      <c r="X47" s="177"/>
    </row>
    <row r="48" spans="1:24" s="23" customFormat="1" ht="36.75" customHeight="1">
      <c r="A48" s="190" t="s">
        <v>40</v>
      </c>
      <c r="B48" s="191"/>
      <c r="C48" s="191"/>
      <c r="D48" s="191"/>
      <c r="E48" s="191"/>
      <c r="F48" s="192"/>
      <c r="G48" s="24"/>
      <c r="H48" s="25">
        <v>9.61</v>
      </c>
      <c r="I48" s="193">
        <f>V40</f>
        <v>1223.18</v>
      </c>
      <c r="J48" s="194"/>
      <c r="K48" s="195"/>
      <c r="L48" s="193">
        <f>I48*H48</f>
        <v>11754.7598</v>
      </c>
      <c r="M48" s="195"/>
      <c r="N48" s="172">
        <f>L48</f>
        <v>11754.7598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4" spans="1:24" ht="39" customHeight="1">
      <c r="A54" s="16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</row>
    <row r="55" spans="1:24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14" sqref="K1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44447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44448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44449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44450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44451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44452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44453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44454</v>
      </c>
      <c r="B23" s="116"/>
      <c r="C23" s="115">
        <f t="shared" ref="C11:D40" si="0">B23-B22</f>
        <v>0</v>
      </c>
      <c r="D23" s="57"/>
      <c r="E23" s="50">
        <f t="shared" ref="E11:E40" si="1">D23-D22</f>
        <v>0</v>
      </c>
      <c r="F23" s="51"/>
      <c r="G23" s="50">
        <f t="shared" ref="G11:G40" si="2">F23-F22</f>
        <v>0</v>
      </c>
      <c r="H23" s="51"/>
      <c r="I23" s="50">
        <f t="shared" ref="I11:I40" si="3">H23-H22</f>
        <v>0</v>
      </c>
      <c r="J23" s="51"/>
      <c r="K23" s="50">
        <f t="shared" ref="K11:K40" si="4">J23-J22</f>
        <v>0</v>
      </c>
    </row>
    <row r="24" spans="1:29" ht="19.5">
      <c r="A24" s="59">
        <v>44455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44456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44457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44458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44459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44460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44461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44462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44463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F10" sqref="F1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/>
      <c r="C10" s="39">
        <f t="shared" si="6"/>
        <v>0</v>
      </c>
      <c r="D10" s="41"/>
      <c r="E10" s="39">
        <f t="shared" si="7"/>
        <v>0</v>
      </c>
      <c r="F10" s="41"/>
      <c r="G10" s="39">
        <f t="shared" si="8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/>
      <c r="C11" s="39">
        <f t="shared" si="6"/>
        <v>0</v>
      </c>
      <c r="D11" s="41"/>
      <c r="E11" s="39">
        <f t="shared" si="7"/>
        <v>0</v>
      </c>
      <c r="F11" s="41"/>
      <c r="G11" s="39">
        <f t="shared" si="8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/>
      <c r="C12" s="39">
        <f t="shared" si="6"/>
        <v>0</v>
      </c>
      <c r="D12" s="41"/>
      <c r="E12" s="39">
        <f t="shared" si="7"/>
        <v>0</v>
      </c>
      <c r="F12" s="41"/>
      <c r="G12" s="39">
        <f t="shared" si="8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/>
      <c r="C13" s="39">
        <f t="shared" si="6"/>
        <v>0</v>
      </c>
      <c r="D13" s="41"/>
      <c r="E13" s="39">
        <f t="shared" si="7"/>
        <v>0</v>
      </c>
      <c r="F13" s="41"/>
      <c r="G13" s="39">
        <f t="shared" si="8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/>
      <c r="C14" s="39">
        <f t="shared" si="6"/>
        <v>0</v>
      </c>
      <c r="D14" s="41"/>
      <c r="E14" s="39">
        <f t="shared" si="7"/>
        <v>0</v>
      </c>
      <c r="F14" s="41"/>
      <c r="G14" s="39">
        <f t="shared" si="8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/>
      <c r="C15" s="39">
        <f t="shared" si="6"/>
        <v>0</v>
      </c>
      <c r="D15" s="41"/>
      <c r="E15" s="39">
        <f t="shared" si="7"/>
        <v>0</v>
      </c>
      <c r="F15" s="41"/>
      <c r="G15" s="39">
        <f t="shared" si="8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/>
      <c r="C16" s="39">
        <f t="shared" si="6"/>
        <v>0</v>
      </c>
      <c r="D16" s="41"/>
      <c r="E16" s="39">
        <f t="shared" si="7"/>
        <v>0</v>
      </c>
      <c r="F16" s="41"/>
      <c r="G16" s="39">
        <f t="shared" si="8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44462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2310</v>
      </c>
      <c r="O43" s="39">
        <f>N43*0.529</f>
        <v>1221.99</v>
      </c>
      <c r="P43" s="42">
        <f>O43*9.61</f>
        <v>11743.323899999999</v>
      </c>
      <c r="Q43" s="287">
        <f>SUM(Q4:Q42)</f>
        <v>2869</v>
      </c>
      <c r="R43" s="288"/>
      <c r="S43" s="289"/>
      <c r="T43" s="290">
        <f>SUM(T4:T42)</f>
        <v>2820</v>
      </c>
      <c r="U43" s="288"/>
      <c r="V43" s="289"/>
      <c r="W43" s="290">
        <f>SUM(W4:W42)</f>
        <v>2540</v>
      </c>
      <c r="X43" s="288"/>
      <c r="Y43" s="289"/>
      <c r="Z43" s="290">
        <f>SUM(Z4:Z42)</f>
        <v>2708</v>
      </c>
      <c r="AA43" s="288"/>
      <c r="AB43" s="289"/>
      <c r="AC43" s="39">
        <f t="shared" si="20"/>
        <v>10937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10937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10937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2310</v>
      </c>
      <c r="L47" s="46">
        <f>O43</f>
        <v>1221.99</v>
      </c>
      <c r="M47" s="46">
        <f>P43</f>
        <v>11743.323899999999</v>
      </c>
    </row>
    <row r="48" spans="1:31" ht="54.75" customHeight="1" thickBot="1">
      <c r="H48" s="283" t="s">
        <v>86</v>
      </c>
      <c r="I48" s="284"/>
      <c r="J48" s="285"/>
      <c r="K48" s="43">
        <f>AC44</f>
        <v>10937</v>
      </c>
      <c r="L48" s="44">
        <f>K48*0.529</f>
        <v>5785.6730000000007</v>
      </c>
      <c r="M48" s="44">
        <f>L48*9.61</f>
        <v>55600.31753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44405</v>
      </c>
      <c r="D8" s="354"/>
      <c r="E8" s="113">
        <v>44436</v>
      </c>
      <c r="F8" s="166" t="s">
        <v>97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1106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39"/>
      <c r="H17" s="340"/>
      <c r="I17" s="339">
        <f>+E17</f>
        <v>256728</v>
      </c>
      <c r="J17" s="340"/>
    </row>
    <row r="18" spans="1:10">
      <c r="A18" s="337" t="s">
        <v>111</v>
      </c>
      <c r="B18" s="338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39"/>
      <c r="H18" s="340"/>
      <c r="I18" s="339">
        <f>+E18</f>
        <v>118534</v>
      </c>
      <c r="J18" s="340"/>
    </row>
    <row r="19" spans="1:10">
      <c r="A19" s="337" t="s">
        <v>112</v>
      </c>
      <c r="B19" s="338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39"/>
      <c r="H19" s="340"/>
      <c r="I19" s="339">
        <f>+E19</f>
        <v>94847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470109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05">
        <f>SUM(H25,F25)</f>
        <v>278446.16188800003</v>
      </c>
      <c r="J25" s="306"/>
    </row>
    <row r="26" spans="1:10" ht="15">
      <c r="A26" s="302" t="s">
        <v>124</v>
      </c>
      <c r="B26" s="303"/>
      <c r="C26" s="304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05">
        <f t="shared" ref="I26:I31" si="0">SUM(H26,F26)</f>
        <v>94387.438859999995</v>
      </c>
      <c r="J26" s="306"/>
    </row>
    <row r="27" spans="1:10" ht="15">
      <c r="A27" s="302" t="s">
        <v>125</v>
      </c>
      <c r="B27" s="303"/>
      <c r="C27" s="304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05">
        <f>SUM(H27,F27)</f>
        <v>143850.27163199999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18">
        <f t="shared" si="0"/>
        <v>7953.9915042000011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506423.32253</v>
      </c>
      <c r="G32" s="85"/>
      <c r="H32" s="86"/>
      <c r="I32" s="314">
        <f>SUM(I25:J31)</f>
        <v>577268.60768419993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44293</v>
      </c>
      <c r="D8" s="354"/>
      <c r="E8" s="113">
        <v>44323</v>
      </c>
      <c r="F8" s="166" t="s">
        <v>131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39"/>
      <c r="H17" s="340"/>
      <c r="I17" s="339">
        <f>+E17</f>
        <v>7632</v>
      </c>
      <c r="J17" s="340"/>
    </row>
    <row r="18" spans="1:10">
      <c r="A18" s="337" t="s">
        <v>111</v>
      </c>
      <c r="B18" s="338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39"/>
      <c r="H18" s="340"/>
      <c r="I18" s="339">
        <f>+E18</f>
        <v>3388</v>
      </c>
      <c r="J18" s="340"/>
    </row>
    <row r="19" spans="1:10">
      <c r="A19" s="337" t="s">
        <v>112</v>
      </c>
      <c r="B19" s="338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39"/>
      <c r="H19" s="340"/>
      <c r="I19" s="339">
        <f>+E19</f>
        <v>2677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13697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5">
        <f>SUM(H25,F25)</f>
        <v>8277.6366720000005</v>
      </c>
      <c r="J25" s="306"/>
    </row>
    <row r="26" spans="1:10" ht="15">
      <c r="A26" s="302" t="s">
        <v>124</v>
      </c>
      <c r="B26" s="303"/>
      <c r="C26" s="304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5">
        <f t="shared" ref="I26:I31" si="0">SUM(H26,F26)</f>
        <v>2697.83052</v>
      </c>
      <c r="J26" s="306"/>
    </row>
    <row r="27" spans="1:10" ht="15">
      <c r="A27" s="302" t="s">
        <v>125</v>
      </c>
      <c r="B27" s="303"/>
      <c r="C27" s="304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5">
        <f>SUM(H27,F27)</f>
        <v>4060.0881120000004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59403.753599999996</v>
      </c>
      <c r="G32" s="85"/>
      <c r="H32" s="86"/>
      <c r="I32" s="314">
        <f>SUM(I25:J31)</f>
        <v>67666.299104000005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3510.1000000000058</v>
      </c>
      <c r="C13" s="398"/>
      <c r="D13" s="398">
        <v>8.7899999999999991</v>
      </c>
      <c r="E13" s="398"/>
      <c r="F13" s="405">
        <f>PRODUCT(D13,B13)</f>
        <v>30853.77900000005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f>G8</f>
        <v>3510.1000000000058</v>
      </c>
      <c r="C19" s="398"/>
      <c r="D19" s="398">
        <v>2.61</v>
      </c>
      <c r="E19" s="398"/>
      <c r="F19" s="398">
        <f>PRODUCT(D19,B19)</f>
        <v>9161.3610000000153</v>
      </c>
      <c r="G19" s="398"/>
      <c r="H19" s="398"/>
    </row>
    <row r="20" spans="1:8" ht="18.75">
      <c r="A20" s="394" t="s">
        <v>148</v>
      </c>
      <c r="B20" s="395"/>
      <c r="C20" s="395"/>
      <c r="D20" s="395"/>
      <c r="E20" s="396"/>
      <c r="F20" s="397">
        <f>SUM(F11+F13+F16+F17+F18+F19)</f>
        <v>40038.140000000065</v>
      </c>
      <c r="G20" s="397"/>
      <c r="H20" s="397"/>
    </row>
    <row r="21" spans="1:8" ht="15">
      <c r="A21" s="383" t="s">
        <v>149</v>
      </c>
      <c r="B21" s="384"/>
      <c r="C21" s="384"/>
      <c r="D21" s="384"/>
      <c r="E21" s="385"/>
      <c r="F21" s="398">
        <f>PRODUCT(F20,0.07)</f>
        <v>2802.6698000000047</v>
      </c>
      <c r="G21" s="398"/>
      <c r="H21" s="398"/>
    </row>
    <row r="22" spans="1:8" ht="15">
      <c r="A22" s="399" t="s">
        <v>150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>
      <c r="A23" s="383" t="s">
        <v>151</v>
      </c>
      <c r="B23" s="384"/>
      <c r="C23" s="384"/>
      <c r="D23" s="384"/>
      <c r="E23" s="385"/>
      <c r="F23" s="386">
        <f>SUM(F21:H22)</f>
        <v>3010.9298000000044</v>
      </c>
      <c r="G23" s="386"/>
      <c r="H23" s="386"/>
    </row>
    <row r="24" spans="1:8">
      <c r="A24" s="387" t="s">
        <v>152</v>
      </c>
      <c r="B24" s="388"/>
      <c r="C24" s="388"/>
      <c r="D24" s="388"/>
      <c r="E24" s="389"/>
      <c r="F24" s="393">
        <f>SUM(F20,F23)</f>
        <v>43049.06980000007</v>
      </c>
      <c r="G24" s="393"/>
      <c r="H24" s="393"/>
    </row>
    <row r="25" spans="1:8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98</v>
      </c>
      <c r="C13" s="398"/>
      <c r="D13" s="398">
        <v>8.5</v>
      </c>
      <c r="E13" s="398"/>
      <c r="F13" s="405">
        <f>PRODUCT(D13,B13)</f>
        <v>833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>
      <c r="A21" s="394" t="s">
        <v>148</v>
      </c>
      <c r="B21" s="395"/>
      <c r="C21" s="395"/>
      <c r="D21" s="395"/>
      <c r="E21" s="396"/>
      <c r="F21" s="397">
        <f>SUM(F11+F13+F16+F17+F18+F20)</f>
        <v>1104.92</v>
      </c>
      <c r="G21" s="397"/>
      <c r="H21" s="397"/>
    </row>
    <row r="22" spans="1:8" ht="15">
      <c r="A22" s="383" t="s">
        <v>149</v>
      </c>
      <c r="B22" s="384"/>
      <c r="C22" s="384"/>
      <c r="D22" s="384"/>
      <c r="E22" s="385"/>
      <c r="F22" s="398">
        <f>PRODUCT(F21,0.07)</f>
        <v>77.344400000000007</v>
      </c>
      <c r="G22" s="398"/>
      <c r="H22" s="398"/>
    </row>
    <row r="23" spans="1:8" ht="15">
      <c r="A23" s="399" t="s">
        <v>150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>
      <c r="A24" s="383" t="s">
        <v>151</v>
      </c>
      <c r="B24" s="384"/>
      <c r="C24" s="384"/>
      <c r="D24" s="384"/>
      <c r="E24" s="385"/>
      <c r="F24" s="386">
        <f>SUM(F22:H23)</f>
        <v>285.6044</v>
      </c>
      <c r="G24" s="386"/>
      <c r="H24" s="386"/>
    </row>
    <row r="25" spans="1:8">
      <c r="A25" s="387" t="s">
        <v>152</v>
      </c>
      <c r="B25" s="388"/>
      <c r="C25" s="388"/>
      <c r="D25" s="388"/>
      <c r="E25" s="389"/>
      <c r="F25" s="393">
        <f>SUM(F21,F24)</f>
        <v>1390.5244</v>
      </c>
      <c r="G25" s="393"/>
      <c r="H25" s="393"/>
    </row>
    <row r="26" spans="1:8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154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398">
        <f>G8</f>
        <v>1</v>
      </c>
      <c r="C13" s="398"/>
      <c r="D13" s="398">
        <v>16.48</v>
      </c>
      <c r="E13" s="398"/>
      <c r="F13" s="405">
        <f>PRODUCT(D13,B13)</f>
        <v>16.48</v>
      </c>
      <c r="G13" s="405"/>
      <c r="H13" s="405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394" t="s">
        <v>148</v>
      </c>
      <c r="B25" s="395"/>
      <c r="C25" s="395"/>
      <c r="D25" s="395"/>
      <c r="E25" s="396"/>
      <c r="F25" s="424">
        <f>SUM(F11+F13+F20+F21+F22+F23)</f>
        <v>31.48</v>
      </c>
      <c r="G25" s="397"/>
      <c r="H25" s="397"/>
    </row>
    <row r="26" spans="1:8" ht="15">
      <c r="A26" s="383" t="s">
        <v>149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>
      <c r="A27" s="399" t="s">
        <v>150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>
      <c r="A28" s="383" t="s">
        <v>151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>
      <c r="A29" s="387" t="s">
        <v>152</v>
      </c>
      <c r="B29" s="388"/>
      <c r="C29" s="388"/>
      <c r="D29" s="388"/>
      <c r="E29" s="389"/>
      <c r="F29" s="393">
        <f>SUM(F25,F28)</f>
        <v>97.54</v>
      </c>
      <c r="G29" s="393"/>
      <c r="H29" s="393"/>
    </row>
    <row r="30" spans="1:8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2021-09-06T12:58:23Z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