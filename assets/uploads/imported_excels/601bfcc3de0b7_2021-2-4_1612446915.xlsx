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J13" s="1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<sst xmlns="http://schemas.openxmlformats.org/spreadsheetml/2006/main" count="549" uniqueCount="332">
  <si>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</si>
  <si>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</si>
  <si>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</si>
  <si>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</si>
  <si>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</si>
  <si>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</si>
  <si>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</si>
  <si>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</si>
  <si>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</si>
  <si>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</si>
  <si>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</si>
  <si>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</si>
  <si>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</si>
  <si>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</si>
  <si>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</si>
  <si>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</si>
  <si>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</si>
  <si>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</si>
  <si>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</si>
  <si>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</si>
  <si>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</si>
  <si>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</si>
  <si>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</si>
  <si>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</si>
  <si>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</si>
  <si>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</si>
  <si>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</si>
  <si>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</si>
  <si>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</si>
  <si>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</si>
  <si>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</si>
  <si>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</si>
  <si>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</si>
  <si>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</si>
  <si>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</si>
  <si>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</si>
  <si>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</si>
  <si>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</si>
  <si>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</si>
  <si>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</si>
  <si>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</si>
  <si>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</si>
  <si>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</si>
  <si>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</si>
  <si>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</si>
  <si>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</si>
  <si>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</si>
  <si>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</si>
  <si>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</si>
  <si>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</si>
  <si>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</si>
  <si>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</si>
  <si>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</si>
  <si>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</si>
  <si>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</si>
  <si>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</si>
  <si>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</si>
  <si>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</si>
  <si>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</si>
  <si>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</si>
  <si>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</si>
  <si>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</si>
  <si>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</si>
  <si>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</si>
  <si>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</si>
  <si>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</si>
  <si>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</si>
  <si>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</si>
  <si>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</si>
  <si>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</si>
  <si>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</si>
  <si>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</si>
  <si>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</si>
  <si>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</si>
  <si>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</si>
  <si>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</si>
  <si>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</si>
  <si>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</si>
  <si>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</si>
  <si>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</si>
  <si>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</si>
  <si>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</si>
  <si>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</si>
  <si>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</si>
  <si>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</si>
  <si>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</si>
  <si>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</si>
  <si>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</si>
  <si>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</si>
  <si>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</si>
  <si>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</si>
  <si>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</si>
  <si>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</si>
  <si>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</si>
  <si>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</si>
  <si>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</si>
  <si>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</si>
  <si>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</si>
  <si>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</si>
  <si>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</si>
  <si>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</si>
  <si>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</si>
  <si>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</si>
  <si>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</si>
  <si>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</si>
  <si>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</si>
  <si>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</si>
  <si>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</si>
  <si>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</si>
  <si>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</si>
  <si>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</si>
  <si>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</si>
  <si>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</si>
  <si>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</si>
  <si>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</si>
  <si>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</si>
  <si>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</si>
  <si>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</si>
  <si>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</si>
  <si>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</si>
  <si>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</si>
  <si>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</si>
  <si>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</si>
  <si>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</si>
  <si>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</si>
  <si>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</si>
  <si>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</si>
  <si>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</si>
  <si>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</si>
  <si>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</si>
  <si>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</si>
  <si>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</si>
  <si>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</si>
  <si>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</si>
  <si>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</si>
  <si>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</si>
  <si>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</si>
  <si>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</si>
  <si>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</si>
  <si>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</si>
  <si>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</si>
  <si>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</si>
  <si>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</si>
  <si>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</si>
  <si>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</si>
  <si>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</si>
  <si>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</si>
  <si>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</si>
  <si>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</si>
  <si>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</si>
  <si>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</si>
  <si>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</si>
  <si>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</si>
  <si>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</si>
  <si>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</si>
  <si>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</si>
  <si>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</si>
  <si>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</si>
  <si>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</si>
  <si>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</si>
  <si>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</si>
  <si>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</si>
  <si>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</si>
  <si>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</si>
  <si>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</si>
  <si>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</si>
  <si>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</si>
  <si>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</si>
  <si>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</si>
  <si>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</si>
  <si>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</si>
  <si>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</si>
  <si>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</si>
  <si>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</si>
  <si>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</si>
  <si>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</si>
  <si>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</si>
  <si>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</si>
  <si>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</si>
  <si>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</si>
  <si>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</si>
  <si>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</si>
  <si>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</si>
  <si>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</si>
  <si>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</si>
  <si>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</si>
  <si>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</si>
  <si>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</si>
  <si>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</si>
  <si>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</si>
  <si>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</si>
  <si>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</si>
  <si>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</si>
  <si>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</si>
  <si>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</si>
  <si>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</si>
  <si>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</si>
  <si>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</si>
  <si>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</si>
  <si>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</si>
  <si>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</si>
  <si>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</si>
  <si>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</si>
  <si>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</si>
  <si>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</si>
  <si>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</si>
  <si>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</si>
  <si>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</si>
  <si>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</si>
  <si>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</si>
  <si>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</si>
  <si>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</si>
  <si>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</si>
  <si>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</si>
  <si>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</si>
  <si>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</si>
  <si>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</si>
  <si>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</si>
  <si>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</si>
  <si>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</si>
  <si>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</si>
  <si>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</si>
  <si>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</si>
  <si>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</si>
  <si>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</si>
  <si>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</si>
  <si>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</si>
  <si>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</si>
  <si>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</si>
  <si>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</si>
  <si>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</si>
  <si>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</si>
  <si>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</si>
  <si>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</si>
  <si>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</si>
  <si>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</si>
  <si>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</si>
  <si>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</si>
  <si>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</si>
  <si>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</si>
  <si>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</si>
  <si>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</si>
  <si>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</si>
  <si>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</si>
  <si>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</si>
  <si>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</si>
  <si>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</si>
  <si>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</si>
  <si>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</si>
  <si>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</si>
  <si>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</si>
  <si>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</si>
  <si>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</si>
  <si>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</si>
  <si>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</si>
  <si>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</si>
  <si>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</si>
  <si>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</si>
  <si>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</si>
  <si>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</si>
  <si>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</si>
  <si>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</si>
  <si>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</si>
  <si>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</si>
  <si>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</si>
  <si>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</si>
  <si>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</si>
  <si>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</si>
  <si>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</si>
  <si>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</si>
  <si>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</si>
  <si>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</si>
  <si>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</si>
  <si>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</si>
  <si>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</si>
  <si>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</si>
  <si>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</si>
  <si>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</si>
  <si>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</si>
  <si>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</si>
  <si>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</si>
  <si>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</si>
  <si>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</si>
  <si>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</si>
  <si>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</si>
  <si>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</si>
  <si>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</si>
  <si>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</si>
  <si>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</si>
  <si>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</si>
  <si>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</si>
  <si>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</si>
  <si>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</si>
  <si>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</si>
  <si>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</si>
  <si>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</si>
  <si>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</si>
  <si>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</si>
  <si>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</si>
  <si>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</si>
  <si>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</si>
  <si>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</si>
  <si>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</si>
  <si>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</si>
  <si>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</si>
  <si>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</si>
  <si>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</si>
  <si>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</si>
  <si>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</si>
  <si>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</si>
  <si>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</si>
  <si>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</si>
  <si>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</si>
  <si>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</si>
  <si>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</si>
  <si>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</si>
  <si>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</si>
  <si>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</si>
  <si>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</si>
  <si>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</si>
  <si>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</si>
  <si>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</si>
  <si>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</si>
  <si>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</si>
  <si>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</si>
  <si>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</si>
  <si>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</si>
  <si>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</si>
  <si>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</si>
  <si>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</si>
  <si>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</si>
  <si>
    <t xml:space="preserve">Puma 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</si>
</sst>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5230080"/>
        <c:axId val="1252359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237504"/>
        <c:axId val="124534784"/>
      </c:lineChart>
      <c:catAx>
        <c:axId val="12523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5968"/>
        <c:crosses val="autoZero"/>
        <c:auto val="1"/>
        <c:lblAlgn val="ctr"/>
        <c:lblOffset val="100"/>
      </c:catAx>
      <c:valAx>
        <c:axId val="1252359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0080"/>
        <c:crosses val="autoZero"/>
        <c:crossBetween val="between"/>
        <c:majorUnit val="200"/>
      </c:valAx>
      <c:catAx>
        <c:axId val="125237504"/>
        <c:scaling>
          <c:orientation val="minMax"/>
        </c:scaling>
        <c:delete val="1"/>
        <c:axPos val="b"/>
        <c:tickLblPos val="none"/>
        <c:crossAx val="124534784"/>
        <c:crosses val="autoZero"/>
        <c:auto val="1"/>
        <c:lblAlgn val="ctr"/>
        <c:lblOffset val="100"/>
      </c:catAx>
      <c:valAx>
        <c:axId val="124534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7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568704"/>
        <c:axId val="1245702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580224"/>
        <c:axId val="124581760"/>
      </c:lineChart>
      <c:catAx>
        <c:axId val="12456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70240"/>
        <c:crosses val="autoZero"/>
        <c:auto val="1"/>
        <c:lblAlgn val="ctr"/>
        <c:lblOffset val="100"/>
      </c:catAx>
      <c:valAx>
        <c:axId val="12457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68704"/>
        <c:crosses val="autoZero"/>
        <c:crossBetween val="between"/>
        <c:majorUnit val="200"/>
      </c:valAx>
      <c:catAx>
        <c:axId val="124580224"/>
        <c:scaling>
          <c:orientation val="minMax"/>
        </c:scaling>
        <c:delete val="1"/>
        <c:axPos val="b"/>
        <c:tickLblPos val="none"/>
        <c:crossAx val="124581760"/>
        <c:crosses val="autoZero"/>
        <c:auto val="1"/>
        <c:lblAlgn val="ctr"/>
        <c:lblOffset val="100"/>
      </c:catAx>
      <c:valAx>
        <c:axId val="124581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0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970688"/>
        <c:axId val="83980672"/>
      </c:lineChart>
      <c:catAx>
        <c:axId val="839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80672"/>
        <c:crosses val="autoZero"/>
        <c:auto val="1"/>
        <c:lblAlgn val="ctr"/>
        <c:lblOffset val="200"/>
        <c:tickLblSkip val="1"/>
      </c:catAx>
      <c:valAx>
        <c:axId val="83980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4287872"/>
        <c:axId val="84289408"/>
      </c:lineChart>
      <c:catAx>
        <c:axId val="842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89408"/>
        <c:crosses val="autoZero"/>
        <c:auto val="1"/>
        <c:lblAlgn val="ctr"/>
        <c:lblOffset val="100"/>
      </c:catAx>
      <c:valAx>
        <c:axId val="842894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326272"/>
        <c:axId val="83890176"/>
      </c:lineChart>
      <c:catAx>
        <c:axId val="84326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90176"/>
        <c:crosses val="autoZero"/>
        <c:auto val="1"/>
        <c:lblAlgn val="ctr"/>
        <c:lblOffset val="100"/>
      </c:catAx>
      <c:valAx>
        <c:axId val="83890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2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3939712"/>
        <c:axId val="83941632"/>
      </c:lineChart>
      <c:catAx>
        <c:axId val="83939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41632"/>
        <c:crosses val="autoZero"/>
        <c:auto val="1"/>
        <c:lblAlgn val="ctr"/>
        <c:lblOffset val="100"/>
      </c:catAx>
      <c:valAx>
        <c:axId val="83941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97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875904"/>
        <c:axId val="84898176"/>
      </c:lineChart>
      <c:catAx>
        <c:axId val="8487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98176"/>
        <c:crosses val="autoZero"/>
        <c:auto val="1"/>
        <c:lblAlgn val="ctr"/>
        <c:lblOffset val="100"/>
      </c:catAx>
      <c:valAx>
        <c:axId val="84898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931712"/>
        <c:axId val="84933248"/>
      </c:lineChart>
      <c:catAx>
        <c:axId val="849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33248"/>
        <c:crosses val="autoZero"/>
        <c:auto val="1"/>
        <c:lblAlgn val="ctr"/>
        <c:lblOffset val="100"/>
      </c:catAx>
      <c:valAx>
        <c:axId val="8493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3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367040"/>
        <c:axId val="85377024"/>
      </c:lineChart>
      <c:catAx>
        <c:axId val="853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77024"/>
        <c:crosses val="autoZero"/>
        <c:auto val="1"/>
        <c:lblAlgn val="ctr"/>
        <c:lblOffset val="100"/>
      </c:catAx>
      <c:valAx>
        <c:axId val="8537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059"/>
          <c:y val="7.471324705111773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6122496"/>
        <c:axId val="86124032"/>
      </c:lineChart>
      <c:catAx>
        <c:axId val="861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24032"/>
        <c:crosses val="autoZero"/>
        <c:auto val="1"/>
        <c:lblAlgn val="ctr"/>
        <c:lblOffset val="200"/>
        <c:tickLblSkip val="1"/>
      </c:catAx>
      <c:valAx>
        <c:axId val="86124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169088"/>
        <c:axId val="86170624"/>
      </c:lineChart>
      <c:catAx>
        <c:axId val="8616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0624"/>
        <c:crosses val="autoZero"/>
        <c:auto val="1"/>
        <c:lblAlgn val="ctr"/>
        <c:lblOffset val="100"/>
      </c:catAx>
      <c:valAx>
        <c:axId val="86170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6178816"/>
        <c:axId val="86492288"/>
      </c:lineChart>
      <c:catAx>
        <c:axId val="8617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2288"/>
        <c:crosses val="autoZero"/>
        <c:auto val="1"/>
        <c:lblAlgn val="ctr"/>
        <c:lblOffset val="100"/>
      </c:catAx>
      <c:valAx>
        <c:axId val="86492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8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709760"/>
        <c:axId val="86711680"/>
      </c:lineChart>
      <c:catAx>
        <c:axId val="86709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1680"/>
        <c:crosses val="autoZero"/>
        <c:auto val="1"/>
        <c:lblAlgn val="ctr"/>
        <c:lblOffset val="100"/>
      </c:catAx>
      <c:valAx>
        <c:axId val="86711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9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921216"/>
        <c:axId val="86922752"/>
      </c:lineChart>
      <c:catAx>
        <c:axId val="869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22752"/>
        <c:crosses val="autoZero"/>
        <c:auto val="1"/>
        <c:lblAlgn val="ctr"/>
        <c:lblOffset val="100"/>
      </c:catAx>
      <c:valAx>
        <c:axId val="8692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2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6460672"/>
        <c:axId val="85921792"/>
      </c:lineChart>
      <c:catAx>
        <c:axId val="8646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1792"/>
        <c:crosses val="autoZero"/>
        <c:auto val="1"/>
        <c:lblAlgn val="ctr"/>
        <c:lblOffset val="100"/>
      </c:catAx>
      <c:valAx>
        <c:axId val="8592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6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933440"/>
        <c:axId val="85939328"/>
      </c:lineChart>
      <c:catAx>
        <c:axId val="859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9328"/>
        <c:crosses val="autoZero"/>
        <c:auto val="1"/>
        <c:lblAlgn val="ctr"/>
        <c:lblOffset val="100"/>
      </c:catAx>
      <c:valAx>
        <c:axId val="8593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437"/>
          <c:y val="7.471324705111810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7636224"/>
        <c:axId val="876544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7655936"/>
        <c:axId val="87657472"/>
      </c:lineChart>
      <c:catAx>
        <c:axId val="87636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54400"/>
        <c:crosses val="autoZero"/>
        <c:lblAlgn val="ctr"/>
        <c:lblOffset val="100"/>
        <c:tickMarkSkip val="1"/>
      </c:catAx>
      <c:valAx>
        <c:axId val="87654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36224"/>
        <c:crosses val="autoZero"/>
        <c:crossBetween val="between"/>
      </c:valAx>
      <c:catAx>
        <c:axId val="87655936"/>
        <c:scaling>
          <c:orientation val="minMax"/>
        </c:scaling>
        <c:delete val="1"/>
        <c:axPos val="b"/>
        <c:numFmt formatCode="[$-409]d\-mmm\-yy;@" sourceLinked="1"/>
        <c:tickLblPos val="none"/>
        <c:crossAx val="87657472"/>
        <c:crosses val="autoZero"/>
        <c:lblAlgn val="ctr"/>
        <c:lblOffset val="100"/>
      </c:catAx>
      <c:valAx>
        <c:axId val="8765747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55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7239680"/>
        <c:axId val="87249664"/>
      </c:lineChart>
      <c:catAx>
        <c:axId val="8723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49664"/>
        <c:crosses val="autoZero"/>
        <c:auto val="1"/>
        <c:lblAlgn val="ctr"/>
        <c:lblOffset val="100"/>
      </c:catAx>
      <c:valAx>
        <c:axId val="872496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3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286528"/>
        <c:axId val="87288064"/>
      </c:lineChart>
      <c:catAx>
        <c:axId val="872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88064"/>
        <c:crosses val="autoZero"/>
        <c:auto val="1"/>
        <c:lblAlgn val="ctr"/>
        <c:lblOffset val="100"/>
      </c:catAx>
      <c:valAx>
        <c:axId val="87288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9174784"/>
        <c:axId val="891763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9182208"/>
        <c:axId val="89183744"/>
      </c:lineChart>
      <c:catAx>
        <c:axId val="89174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76320"/>
        <c:crosses val="autoZero"/>
        <c:lblAlgn val="ctr"/>
        <c:lblOffset val="100"/>
        <c:tickMarkSkip val="1"/>
      </c:catAx>
      <c:valAx>
        <c:axId val="8917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74784"/>
        <c:crosses val="autoZero"/>
        <c:crossBetween val="between"/>
      </c:valAx>
      <c:catAx>
        <c:axId val="89182208"/>
        <c:scaling>
          <c:orientation val="minMax"/>
        </c:scaling>
        <c:delete val="1"/>
        <c:axPos val="b"/>
        <c:numFmt formatCode="General" sourceLinked="1"/>
        <c:tickLblPos val="none"/>
        <c:crossAx val="89183744"/>
        <c:crosses val="autoZero"/>
        <c:lblAlgn val="ctr"/>
        <c:lblOffset val="100"/>
      </c:catAx>
      <c:valAx>
        <c:axId val="89183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82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9629824"/>
        <c:axId val="89631360"/>
      </c:lineChart>
      <c:catAx>
        <c:axId val="8962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31360"/>
        <c:crosses val="autoZero"/>
        <c:auto val="1"/>
        <c:lblAlgn val="ctr"/>
        <c:lblOffset val="100"/>
      </c:catAx>
      <c:valAx>
        <c:axId val="8963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9651840"/>
        <c:axId val="90063232"/>
      </c:lineChart>
      <c:catAx>
        <c:axId val="8965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63232"/>
        <c:crosses val="autoZero"/>
        <c:auto val="1"/>
        <c:lblAlgn val="ctr"/>
        <c:lblOffset val="100"/>
      </c:catAx>
      <c:valAx>
        <c:axId val="9006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5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0040576"/>
        <c:axId val="8329625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3297792"/>
        <c:axId val="83299328"/>
      </c:lineChart>
      <c:catAx>
        <c:axId val="900405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96256"/>
        <c:crosses val="autoZero"/>
        <c:lblAlgn val="ctr"/>
        <c:lblOffset val="100"/>
        <c:tickMarkSkip val="1"/>
      </c:catAx>
      <c:valAx>
        <c:axId val="83296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40576"/>
        <c:crosses val="autoZero"/>
        <c:crossBetween val="between"/>
      </c:valAx>
      <c:catAx>
        <c:axId val="83297792"/>
        <c:scaling>
          <c:orientation val="minMax"/>
        </c:scaling>
        <c:delete val="1"/>
        <c:axPos val="b"/>
        <c:numFmt formatCode="[$-409]d\-mmm\-yy;@" sourceLinked="1"/>
        <c:tickLblPos val="none"/>
        <c:crossAx val="83299328"/>
        <c:crosses val="autoZero"/>
        <c:lblAlgn val="ctr"/>
        <c:lblOffset val="100"/>
      </c:catAx>
      <c:valAx>
        <c:axId val="832993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97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3342080"/>
        <c:axId val="833436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3349504"/>
        <c:axId val="83351040"/>
      </c:lineChart>
      <c:catAx>
        <c:axId val="833420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3616"/>
        <c:crosses val="autoZero"/>
        <c:lblAlgn val="ctr"/>
        <c:lblOffset val="100"/>
        <c:tickMarkSkip val="1"/>
      </c:catAx>
      <c:valAx>
        <c:axId val="8334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2080"/>
        <c:crosses val="autoZero"/>
        <c:crossBetween val="between"/>
      </c:valAx>
      <c:catAx>
        <c:axId val="83349504"/>
        <c:scaling>
          <c:orientation val="minMax"/>
        </c:scaling>
        <c:delete val="1"/>
        <c:axPos val="b"/>
        <c:numFmt formatCode="General" sourceLinked="1"/>
        <c:tickLblPos val="none"/>
        <c:crossAx val="83351040"/>
        <c:crosses val="autoZero"/>
        <c:lblAlgn val="ctr"/>
        <c:lblOffset val="100"/>
      </c:catAx>
      <c:valAx>
        <c:axId val="83351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9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4588032"/>
        <c:axId val="12458956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4591104"/>
        <c:axId val="124605184"/>
      </c:lineChart>
      <c:catAx>
        <c:axId val="1245880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9568"/>
        <c:crosses val="autoZero"/>
        <c:lblAlgn val="ctr"/>
        <c:lblOffset val="100"/>
        <c:tickMarkSkip val="1"/>
      </c:catAx>
      <c:valAx>
        <c:axId val="124589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88032"/>
        <c:crosses val="autoZero"/>
        <c:crossBetween val="between"/>
      </c:valAx>
      <c:catAx>
        <c:axId val="124591104"/>
        <c:scaling>
          <c:orientation val="minMax"/>
        </c:scaling>
        <c:delete val="1"/>
        <c:axPos val="b"/>
        <c:numFmt formatCode="[$-409]d\-mmm\-yy;@" sourceLinked="1"/>
        <c:tickLblPos val="none"/>
        <c:crossAx val="124605184"/>
        <c:crosses val="autoZero"/>
        <c:lblAlgn val="ctr"/>
        <c:lblOffset val="100"/>
      </c:catAx>
      <c:valAx>
        <c:axId val="12460518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591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4643584"/>
        <c:axId val="124645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4646912"/>
        <c:axId val="124648448"/>
      </c:lineChart>
      <c:catAx>
        <c:axId val="1246435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45376"/>
        <c:crosses val="autoZero"/>
        <c:lblAlgn val="ctr"/>
        <c:lblOffset val="100"/>
        <c:tickMarkSkip val="1"/>
      </c:catAx>
      <c:valAx>
        <c:axId val="12464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43584"/>
        <c:crosses val="autoZero"/>
        <c:crossBetween val="between"/>
      </c:valAx>
      <c:catAx>
        <c:axId val="124646912"/>
        <c:scaling>
          <c:orientation val="minMax"/>
        </c:scaling>
        <c:delete val="1"/>
        <c:axPos val="b"/>
        <c:numFmt formatCode="General" sourceLinked="1"/>
        <c:tickLblPos val="none"/>
        <c:crossAx val="124648448"/>
        <c:crosses val="autoZero"/>
        <c:lblAlgn val="ctr"/>
        <c:lblOffset val="100"/>
      </c:catAx>
      <c:valAx>
        <c:axId val="124648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46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0334080"/>
        <c:axId val="130369024"/>
      </c:lineChart>
      <c:catAx>
        <c:axId val="13033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69024"/>
        <c:crosses val="autoZero"/>
        <c:auto val="1"/>
        <c:lblAlgn val="ctr"/>
        <c:lblOffset val="100"/>
      </c:catAx>
      <c:valAx>
        <c:axId val="130369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4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0344832"/>
        <c:axId val="130412544"/>
      </c:lineChart>
      <c:catAx>
        <c:axId val="130344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2544"/>
        <c:crosses val="autoZero"/>
        <c:auto val="1"/>
        <c:lblAlgn val="ctr"/>
        <c:lblOffset val="100"/>
      </c:catAx>
      <c:valAx>
        <c:axId val="1304125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4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8672128"/>
        <c:axId val="128673664"/>
      </c:lineChart>
      <c:catAx>
        <c:axId val="12867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73664"/>
        <c:crosses val="autoZero"/>
        <c:auto val="1"/>
        <c:lblAlgn val="ctr"/>
        <c:lblOffset val="200"/>
        <c:tickLblSkip val="1"/>
      </c:catAx>
      <c:valAx>
        <c:axId val="128673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7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0402176"/>
        <c:axId val="130403712"/>
      </c:lineChart>
      <c:catAx>
        <c:axId val="13040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03712"/>
        <c:crosses val="autoZero"/>
        <c:auto val="1"/>
        <c:lblAlgn val="ctr"/>
        <c:lblOffset val="100"/>
      </c:catAx>
      <c:valAx>
        <c:axId val="1304037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0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0715008"/>
        <c:axId val="130720896"/>
      </c:lineChart>
      <c:catAx>
        <c:axId val="1307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20896"/>
        <c:crosses val="autoZero"/>
        <c:auto val="1"/>
        <c:lblAlgn val="ctr"/>
        <c:lblOffset val="100"/>
      </c:catAx>
      <c:valAx>
        <c:axId val="130720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5436160"/>
        <c:axId val="155438080"/>
      </c:lineChart>
      <c:catAx>
        <c:axId val="15543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8080"/>
        <c:crosses val="autoZero"/>
        <c:auto val="1"/>
        <c:lblAlgn val="ctr"/>
        <c:lblOffset val="100"/>
      </c:catAx>
      <c:valAx>
        <c:axId val="155438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36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5450752"/>
        <c:axId val="154973696"/>
      </c:lineChart>
      <c:catAx>
        <c:axId val="155450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3696"/>
        <c:crosses val="autoZero"/>
        <c:auto val="1"/>
        <c:lblAlgn val="ctr"/>
        <c:lblOffset val="100"/>
      </c:catAx>
      <c:valAx>
        <c:axId val="154973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507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6055424"/>
        <c:axId val="156056960"/>
      </c:lineChart>
      <c:catAx>
        <c:axId val="15605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56960"/>
        <c:crosses val="autoZero"/>
        <c:auto val="1"/>
        <c:lblAlgn val="ctr"/>
        <c:lblOffset val="200"/>
        <c:tickLblSkip val="1"/>
      </c:catAx>
      <c:valAx>
        <c:axId val="156056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5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6073344"/>
        <c:axId val="156079232"/>
      </c:lineChart>
      <c:catAx>
        <c:axId val="15607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79232"/>
        <c:crosses val="autoZero"/>
        <c:auto val="1"/>
        <c:lblAlgn val="ctr"/>
        <c:lblOffset val="100"/>
      </c:catAx>
      <c:valAx>
        <c:axId val="156079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7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5591808"/>
        <c:axId val="155593344"/>
      </c:lineChart>
      <c:catAx>
        <c:axId val="15559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3344"/>
        <c:crosses val="autoZero"/>
        <c:auto val="1"/>
        <c:lblAlgn val="ctr"/>
        <c:lblOffset val="100"/>
      </c:catAx>
      <c:valAx>
        <c:axId val="155593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630208"/>
        <c:axId val="157098752"/>
      </c:lineChart>
      <c:catAx>
        <c:axId val="155630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98752"/>
        <c:crosses val="autoZero"/>
        <c:auto val="1"/>
        <c:lblAlgn val="ctr"/>
        <c:lblOffset val="100"/>
      </c:catAx>
      <c:valAx>
        <c:axId val="1570987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302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7144192"/>
        <c:axId val="157146112"/>
      </c:lineChart>
      <c:catAx>
        <c:axId val="157144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6112"/>
        <c:crosses val="autoZero"/>
        <c:auto val="1"/>
        <c:lblAlgn val="ctr"/>
        <c:lblOffset val="100"/>
      </c:catAx>
      <c:valAx>
        <c:axId val="157146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4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7359488"/>
        <c:axId val="157369472"/>
      </c:lineChart>
      <c:catAx>
        <c:axId val="15735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9472"/>
        <c:crosses val="autoZero"/>
        <c:auto val="1"/>
        <c:lblAlgn val="ctr"/>
        <c:lblOffset val="200"/>
        <c:tickLblSkip val="1"/>
      </c:catAx>
      <c:valAx>
        <c:axId val="157369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7410432"/>
        <c:axId val="157411968"/>
      </c:lineChart>
      <c:catAx>
        <c:axId val="15741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1968"/>
        <c:crosses val="autoZero"/>
        <c:auto val="1"/>
        <c:lblAlgn val="ctr"/>
        <c:lblOffset val="100"/>
      </c:catAx>
      <c:valAx>
        <c:axId val="15741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7563520"/>
        <c:axId val="157581696"/>
      </c:lineChart>
      <c:catAx>
        <c:axId val="15756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81696"/>
        <c:crosses val="autoZero"/>
        <c:auto val="1"/>
        <c:lblAlgn val="ctr"/>
        <c:lblOffset val="100"/>
      </c:catAx>
      <c:valAx>
        <c:axId val="15758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8101888"/>
        <c:axId val="158103808"/>
      </c:lineChart>
      <c:catAx>
        <c:axId val="158101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3808"/>
        <c:crosses val="autoZero"/>
        <c:auto val="1"/>
        <c:lblAlgn val="ctr"/>
        <c:lblOffset val="100"/>
      </c:catAx>
      <c:valAx>
        <c:axId val="158103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18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7878912"/>
        <c:axId val="157893376"/>
      </c:lineChart>
      <c:catAx>
        <c:axId val="15787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93376"/>
        <c:crosses val="autoZero"/>
        <c:auto val="1"/>
        <c:lblAlgn val="ctr"/>
        <c:lblOffset val="100"/>
      </c:catAx>
      <c:valAx>
        <c:axId val="157893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78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7930624"/>
        <c:axId val="157932160"/>
      </c:lineChart>
      <c:catAx>
        <c:axId val="15793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32160"/>
        <c:crosses val="autoZero"/>
        <c:auto val="1"/>
        <c:lblAlgn val="ctr"/>
        <c:lblOffset val="200"/>
        <c:tickLblSkip val="1"/>
      </c:catAx>
      <c:valAx>
        <c:axId val="1579321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3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8603904"/>
        <c:axId val="158609792"/>
      </c:lineChart>
      <c:catAx>
        <c:axId val="158603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9792"/>
        <c:crosses val="autoZero"/>
        <c:auto val="1"/>
        <c:lblAlgn val="ctr"/>
        <c:lblOffset val="100"/>
      </c:catAx>
      <c:valAx>
        <c:axId val="15860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8638464"/>
        <c:axId val="158640000"/>
      </c:lineChart>
      <c:catAx>
        <c:axId val="15863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0000"/>
        <c:crosses val="autoZero"/>
        <c:auto val="1"/>
        <c:lblAlgn val="ctr"/>
        <c:lblOffset val="100"/>
      </c:catAx>
      <c:valAx>
        <c:axId val="15864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2906</v>
      </c>
      <c r="F2" s="418">
        <f>('UTILITY REPORT 1'!E3*'UTILITY REPORT 1'!D3)/'UTILITY REPORT 1'!F3</f>
        <v>0.41609084652443218</v>
      </c>
      <c r="G2" s="418">
        <f>IF('Utility summery'!M6&lt;0,"0",'Utility summery'!M6)</f>
        <v>74734.36</v>
      </c>
      <c r="H2" s="423">
        <v>0</v>
      </c>
      <c r="I2" s="418">
        <f>IF('UTILITY REPORT 1'!G3&lt;0,"0",'UTILITY REPORT 1'!G3)</f>
        <v>58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2849</v>
      </c>
      <c r="F3" s="418">
        <f>('UTILITY REPORT 1'!E4*'UTILITY REPORT 1'!D4)/'UTILITY REPORT 1'!F4</f>
        <v>0.41187785187785192</v>
      </c>
      <c r="G3" s="418">
        <f>IF('Utility summery'!M7&lt;0,"0",'Utility summery'!M7)</f>
        <v>74755.839999999997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2599</v>
      </c>
      <c r="F4" s="418">
        <f>('UTILITY REPORT 1'!E5*'UTILITY REPORT 1'!D5)/'UTILITY REPORT 1'!F5</f>
        <v>0.42344747979992303</v>
      </c>
      <c r="G4" s="418">
        <f>IF('Utility summery'!M8&lt;0,"0",'Utility summery'!M8)</f>
        <v>0</v>
      </c>
      <c r="H4" s="423">
        <v>0</v>
      </c>
      <c r="I4" s="418">
        <f>IF('UTILITY REPORT 1'!G5&lt;0,"0",'UTILITY REPORT 1'!G5)</f>
        <v>46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>
        <f>IF('Utility summery'!M9&lt;0,"0",'Utility summery'!M9)</f>
        <v>0</v>
      </c>
      <c r="H5" s="423">
        <v>0</v>
      </c>
      <c r="I5" s="418" t="str">
        <f>IF('UTILITY REPORT 1'!G6&lt;0,"0",'UTILITY REPORT 1'!G6)</f>
        <v>0</v>
      </c>
      <c r="J5" s="423">
        <v>0</v>
      </c>
      <c r="K5" s="417">
        <f>'UTILITY REPORT 1'!C6</f>
        <v>0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97.65</v>
      </c>
      <c r="F2" s="462">
        <f>'UTILITY REPORT 1'!E3</f>
        <v>1209.1599999999999</v>
      </c>
      <c r="G2" s="463">
        <f>'UTILITY REPORT 1'!F3</f>
        <v>2906</v>
      </c>
      <c r="H2" s="462">
        <f>IF('Kit report'!F4&lt;0,"0",'Kit report'!F4)</f>
        <v>252.00000000004366</v>
      </c>
      <c r="I2" s="462">
        <f>IF('Kit report'!X4&lt;0,"0",'Kit report'!X4)</f>
        <v>320.00000000007276</v>
      </c>
      <c r="J2" s="462">
        <f>IF('Utility summery'!H6&lt;0,"0",'Utility summery'!H6)</f>
        <v>35</v>
      </c>
      <c r="K2" s="463">
        <f>IF('UTILITY REPORT 1'!H3&lt;0,"0",'UTILITY REPORT 1'!H3)</f>
        <v>49</v>
      </c>
      <c r="L2" s="462">
        <f>'Water-Meter'!K6</f>
        <v>0</v>
      </c>
      <c r="M2" s="463">
        <f>'Water-Meter'!H6</f>
        <v>0</v>
      </c>
      <c r="N2" s="463">
        <f>'Water-Meter'!Q6</f>
        <v>5</v>
      </c>
      <c r="O2" s="462" t="e">
        <f>K2*E2+H2*I2+#REF!*#REF!+J2*L2</f>
        <v>#REF!</v>
      </c>
      <c r="P2" s="462">
        <f>'Water-Meter'!E6</f>
        <v>58</v>
      </c>
      <c r="Q2" s="405">
        <f>IF('Water-Meter'!U6&lt;0,"0",'Water-Meter'!U6)</f>
        <v>82</v>
      </c>
      <c r="R2" s="405">
        <f>IF('Water-Meter'!X6&lt;0,"0",'Water-Meter'!X6)</f>
        <v>0</v>
      </c>
      <c r="S2" s="405">
        <f>IF('Water-Meter'!AA6&lt;0,"0",'Water-Meter'!AA6)</f>
        <v>82</v>
      </c>
      <c r="T2" s="405">
        <f>IF('Water-Meter'!AD6&lt;0,"0",'Water-Meter'!AD6)</f>
        <v>17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207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0</v>
      </c>
      <c r="F3" s="456">
        <f>'UTILITY REPORT 1'!E4</f>
        <v>1173.44</v>
      </c>
      <c r="G3" s="457">
        <f>'UTILITY REPORT 1'!F4</f>
        <v>2849</v>
      </c>
      <c r="H3" s="456">
        <f>IF('Kit report'!F5&lt;0,"0",'Kit report'!F5)</f>
        <v>227.99999999995634</v>
      </c>
      <c r="I3" s="456">
        <f>IF('Kit report'!X5&lt;0,"0",'Kit report'!X5)</f>
        <v>360.00000000003638</v>
      </c>
      <c r="J3" s="456">
        <f>IF('Utility summery'!H7&lt;0,"0",'Utility summery'!H7)</f>
        <v>43</v>
      </c>
      <c r="K3" s="457">
        <f>IF('UTILITY REPORT 1'!H4&lt;0,"0",'UTILITY REPORT 1'!H4)</f>
        <v>26</v>
      </c>
      <c r="L3" s="456">
        <f>'Water-Meter'!K7</f>
        <v>0</v>
      </c>
      <c r="M3" s="457">
        <f>'Water-Meter'!H7</f>
        <v>0</v>
      </c>
      <c r="N3" s="457">
        <f>'Water-Meter'!Q7</f>
        <v>5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94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26</v>
      </c>
      <c r="W3" s="30">
        <f>'Water-Meter'!AN7</f>
        <v>133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77.569999999999993</v>
      </c>
      <c r="F4" s="456">
        <f>'UTILITY REPORT 1'!E5</f>
        <v>1100.54</v>
      </c>
      <c r="G4" s="457">
        <f>'UTILITY REPORT 1'!F5</f>
        <v>2599</v>
      </c>
      <c r="H4" s="456">
        <f>IF('Kit report'!F6&lt;0,"0",'Kit report'!F6)</f>
        <v>252.00000000004366</v>
      </c>
      <c r="I4" s="456">
        <f>IF('Kit report'!X6&lt;0,"0",'Kit report'!X6)</f>
        <v>219.99999999989086</v>
      </c>
      <c r="J4" s="456">
        <f>IF('Utility summery'!H8&lt;0,"0",'Utility summery'!H8)</f>
        <v>76</v>
      </c>
      <c r="K4" s="457">
        <f>IF('UTILITY REPORT 1'!H5&lt;0,"0",'UTILITY REPORT 1'!H5)</f>
        <v>49</v>
      </c>
      <c r="L4" s="456">
        <f>'Water-Meter'!K8</f>
        <v>0</v>
      </c>
      <c r="M4" s="457">
        <f>'Water-Meter'!H8</f>
        <v>0</v>
      </c>
      <c r="N4" s="457">
        <f>'Water-Meter'!Q8</f>
        <v>3</v>
      </c>
      <c r="O4" s="456" t="e">
        <f>K4*E4+H4*I4+#REF!*#REF!+J4*L4</f>
        <v>#REF!</v>
      </c>
      <c r="P4" s="462">
        <f>'Water-Meter'!E8</f>
        <v>46</v>
      </c>
      <c r="Q4" s="242" t="str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50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92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 t="str">
        <f>IF('Kit report'!F7&lt;0,"0",'Kit report'!F7)</f>
        <v>0</v>
      </c>
      <c r="I5" s="456" t="str">
        <f>IF('Kit report'!X7&lt;0,"0",'Kit report'!X7)</f>
        <v>0</v>
      </c>
      <c r="J5" s="456" t="str">
        <f>IF('Utility summery'!H9&lt;0,"0",'Utility summery'!H9)</f>
        <v>0</v>
      </c>
      <c r="K5" s="457" t="str">
        <f>IF('UTILITY REPORT 1'!H6&lt;0,"0",'UTILITY REPORT 1'!H6)</f>
        <v>0</v>
      </c>
      <c r="L5" s="456">
        <f>'Water-Meter'!K9</f>
        <v>0</v>
      </c>
      <c r="M5" s="457">
        <f>'Water-Meter'!H9</f>
        <v>0</v>
      </c>
      <c r="N5" s="457" t="str">
        <f>'Water-Meter'!Q9</f>
        <v>0</v>
      </c>
      <c r="O5" s="456" t="e">
        <f>K5*E5+H5*I5+#REF!*#REF!+J5*L5</f>
        <v>#REF!</v>
      </c>
      <c r="P5" s="462" t="str">
        <f>'Water-Meter'!E9</f>
        <v>0</v>
      </c>
      <c r="Q5" s="242" t="str">
        <f>IF('Water-Meter'!U9&lt;0,"0",'Water-Meter'!U9)</f>
        <v>0</v>
      </c>
      <c r="R5" s="242" t="str">
        <f>IF('Water-Meter'!X9&lt;0,"0",'Water-Meter'!X9)</f>
        <v>0</v>
      </c>
      <c r="S5" s="242" t="str">
        <f>IF('Water-Meter'!AA9&lt;0,"0",'Water-Meter'!AA9)</f>
        <v>0</v>
      </c>
      <c r="T5" s="242" t="str">
        <f>IF('Water-Meter'!AD9&lt;0,"0",'Water-Meter'!AD9)</f>
        <v>0</v>
      </c>
      <c r="U5" s="242" t="str">
        <f>IF('Water-Meter'!AG9&lt;0,"0",'Water-Meter'!AG9)</f>
        <v>0</v>
      </c>
      <c r="V5" s="242" t="str">
        <f>IF('Water-Meter'!AJ9&lt;0,"0",'Water-Meter'!AJ9)</f>
        <v>0</v>
      </c>
      <c r="W5" s="30">
        <f>'Water-Meter'!AN9</f>
        <v>0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44228</v>
      </c>
      <c r="B3" s="404">
        <f>Gen!B11</f>
        <v>9.0999999999999998E-2</v>
      </c>
      <c r="C3" s="405">
        <f>'Summery Report'!E5</f>
        <v>0</v>
      </c>
      <c r="D3" s="406">
        <v>1</v>
      </c>
      <c r="E3" s="405">
        <f>Gen!S11</f>
        <v>1209.1599999999999</v>
      </c>
      <c r="F3" s="405">
        <f>Gen!T11</f>
        <v>2906</v>
      </c>
      <c r="G3" s="405">
        <f>'Water-Meter'!E6</f>
        <v>58</v>
      </c>
      <c r="H3" s="405">
        <f>'Utility report '!AC6</f>
        <v>49</v>
      </c>
      <c r="I3" s="405">
        <f>Gen!AJ11</f>
        <v>97.65</v>
      </c>
    </row>
    <row r="4" spans="1:9" ht="13.5">
      <c r="A4" s="402">
        <f>Gen!A12</f>
        <v>44229</v>
      </c>
      <c r="B4" s="404">
        <f>Gen!B12</f>
        <v>6.5000000000000002E-2</v>
      </c>
      <c r="C4" s="405">
        <f>'Summery Report'!E6</f>
        <v>0</v>
      </c>
      <c r="D4" s="406">
        <v>1</v>
      </c>
      <c r="E4" s="405">
        <f>Gen!S12</f>
        <v>1173.44</v>
      </c>
      <c r="F4" s="405">
        <f>Gen!T12</f>
        <v>2849</v>
      </c>
      <c r="G4" s="405">
        <f>'Water-Meter'!E7</f>
        <v>56</v>
      </c>
      <c r="H4" s="405">
        <f>'Utility report '!AC7</f>
        <v>26</v>
      </c>
      <c r="I4" s="405">
        <f>Gen!AJ12</f>
        <v>0</v>
      </c>
    </row>
    <row r="5" spans="1:9" ht="13.5">
      <c r="A5" s="402">
        <f>Gen!A13</f>
        <v>44230</v>
      </c>
      <c r="B5" s="404">
        <f>Gen!B13</f>
        <v>3.9E-2</v>
      </c>
      <c r="C5" s="405">
        <f>'Summery Report'!E7</f>
        <v>0</v>
      </c>
      <c r="D5" s="406">
        <v>1</v>
      </c>
      <c r="E5" s="405">
        <f>Gen!S13</f>
        <v>1100.54</v>
      </c>
      <c r="F5" s="405">
        <f>Gen!T13</f>
        <v>2599</v>
      </c>
      <c r="G5" s="405">
        <f>'Water-Meter'!E8</f>
        <v>46</v>
      </c>
      <c r="H5" s="405">
        <f>'Utility report '!AC8</f>
        <v>49</v>
      </c>
      <c r="I5" s="405">
        <f>Gen!AJ13</f>
        <v>77.569999999999993</v>
      </c>
    </row>
    <row r="6" spans="1:9" ht="13.5">
      <c r="A6" s="402">
        <f>Gen!A14</f>
        <v>44231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0</v>
      </c>
      <c r="F6" s="405">
        <f>Gen!T14</f>
        <v>0</v>
      </c>
      <c r="G6" s="405" t="str">
        <f>'Water-Meter'!E9</f>
        <v>0</v>
      </c>
      <c r="H6" s="405">
        <f>'Utility report '!AC9</f>
        <v>-45959</v>
      </c>
      <c r="I6" s="405">
        <f>Gen!AJ14</f>
        <v>0</v>
      </c>
    </row>
    <row r="7" spans="1:9" ht="13.5">
      <c r="A7" s="402">
        <f>Gen!A15</f>
        <v>44232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44233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44234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44235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44236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44237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44238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44239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44240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44241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44242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44243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44244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44245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44246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44247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44248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44249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44250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44251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44252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44253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44254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44255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0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0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5" t="s">
        <v>0</v>
      </c>
      <c r="B4" s="776" t="s">
        <v>141</v>
      </c>
      <c r="C4" s="777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78"/>
      <c r="R4" s="778"/>
      <c r="S4" s="779"/>
    </row>
    <row r="5" spans="1:19" ht="25.5">
      <c r="A5" s="780"/>
      <c r="B5" s="781"/>
      <c r="C5" s="782"/>
      <c r="D5" s="783" t="s">
        <v>136</v>
      </c>
      <c r="E5" s="783" t="s">
        <v>137</v>
      </c>
      <c r="F5" s="783" t="s">
        <v>121</v>
      </c>
      <c r="G5" s="784" t="s">
        <v>138</v>
      </c>
      <c r="H5" s="784" t="s">
        <v>19</v>
      </c>
      <c r="I5" s="785" t="s">
        <v>139</v>
      </c>
      <c r="J5" s="786" t="s">
        <v>142</v>
      </c>
      <c r="K5" s="786" t="s">
        <v>140</v>
      </c>
      <c r="L5" s="786" t="s">
        <v>140</v>
      </c>
      <c r="M5" s="787" t="s">
        <v>18</v>
      </c>
      <c r="N5" s="788" t="s">
        <v>144</v>
      </c>
      <c r="O5" s="788" t="s">
        <v>146</v>
      </c>
      <c r="P5" s="789" t="s">
        <v>145</v>
      </c>
      <c r="Q5" s="790" t="s">
        <v>148</v>
      </c>
      <c r="R5" s="790" t="s">
        <v>147</v>
      </c>
      <c r="S5" s="791" t="s">
        <v>149</v>
      </c>
    </row>
    <row r="6" spans="1:19" ht="14.25">
      <c r="A6" s="450">
        <f>Gen!A11</f>
        <v>44228</v>
      </c>
      <c r="B6" s="6">
        <f>'Summery Report'!E5</f>
        <v>0</v>
      </c>
      <c r="C6" s="6">
        <f>Gen!U11</f>
        <v>0.41609084652443218</v>
      </c>
      <c r="D6" s="152">
        <f>Gen!T11</f>
        <v>2906</v>
      </c>
      <c r="E6" s="152">
        <f>Gen!AK11</f>
        <v>0</v>
      </c>
      <c r="F6" s="152">
        <f>Gen!AS11</f>
        <v>0</v>
      </c>
      <c r="G6" s="153">
        <f>'Utility report '!AC6</f>
        <v>49</v>
      </c>
      <c r="H6" s="153">
        <f>'Utility report '!AE6</f>
        <v>35</v>
      </c>
      <c r="I6" s="296">
        <f>'Water-Meter'!E6</f>
        <v>58</v>
      </c>
      <c r="J6" s="154">
        <f>'Lpg (2)'!B10</f>
        <v>82</v>
      </c>
      <c r="K6" s="154">
        <f>'Lpg (2)'!C10</f>
        <v>0</v>
      </c>
      <c r="L6" s="154">
        <f>'Lpg (2)'!D10</f>
        <v>0</v>
      </c>
      <c r="M6" s="449">
        <f>'Lpg (2)'!G10</f>
        <v>74734.36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44229</v>
      </c>
      <c r="B7" s="6">
        <f>'Summery Report'!E6</f>
        <v>0</v>
      </c>
      <c r="C7" s="6">
        <f>Gen!U12</f>
        <v>0.41187785187785192</v>
      </c>
      <c r="D7" s="152">
        <f>Gen!T12</f>
        <v>2849</v>
      </c>
      <c r="E7" s="152">
        <f>Gen!AK12</f>
        <v>0</v>
      </c>
      <c r="F7" s="152">
        <f>Gen!AS12</f>
        <v>0</v>
      </c>
      <c r="G7" s="153">
        <f>'Utility report '!AC7</f>
        <v>26</v>
      </c>
      <c r="H7" s="153">
        <f>'Utility report '!AE7</f>
        <v>43</v>
      </c>
      <c r="I7" s="296">
        <f>'Water-Meter'!E7</f>
        <v>56</v>
      </c>
      <c r="J7" s="154">
        <f>'Lpg (2)'!B11</f>
        <v>81</v>
      </c>
      <c r="K7" s="154">
        <f>'Lpg (2)'!C11</f>
        <v>0</v>
      </c>
      <c r="L7" s="154">
        <f>'Lpg (2)'!D11</f>
        <v>0</v>
      </c>
      <c r="M7" s="449">
        <f>'Lpg (2)'!G11</f>
        <v>74755.839999999997</v>
      </c>
      <c r="N7" s="151">
        <f>D7*1.4</f>
        <v>3988.6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44230</v>
      </c>
      <c r="B8" s="6">
        <f>'Summery Report'!E7</f>
        <v>0</v>
      </c>
      <c r="C8" s="6">
        <f>Gen!U13</f>
        <v>0.42344747979992303</v>
      </c>
      <c r="D8" s="152">
        <f>Gen!T13</f>
        <v>2599</v>
      </c>
      <c r="E8" s="152">
        <f>Gen!AK13</f>
        <v>0</v>
      </c>
      <c r="F8" s="152">
        <f>Gen!AS13</f>
        <v>0</v>
      </c>
      <c r="G8" s="153">
        <f>'Utility report '!AC8</f>
        <v>49</v>
      </c>
      <c r="H8" s="153">
        <f>'Utility report '!AE8</f>
        <v>76</v>
      </c>
      <c r="I8" s="296">
        <f>'Water-Meter'!E8</f>
        <v>46</v>
      </c>
      <c r="J8" s="154">
        <f>'Lpg (2)'!B12</f>
        <v>0</v>
      </c>
      <c r="K8" s="154">
        <f>'Lpg (2)'!C12</f>
        <v>0</v>
      </c>
      <c r="L8" s="154">
        <f>'Lpg (2)'!D12</f>
        <v>0</v>
      </c>
      <c r="M8" s="449">
        <f>'Lpg (2)'!G12</f>
        <v>0</v>
      </c>
      <c r="N8" s="151">
        <f t="shared" ref="N8:O36" si="2">D8*1.4</f>
        <v>3638.6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44231</v>
      </c>
      <c r="B9" s="6">
        <f>'Summery Report'!E8</f>
        <v>0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-45959</v>
      </c>
      <c r="H9" s="153">
        <f>'Utility report '!AE9</f>
        <v>-211164</v>
      </c>
      <c r="I9" s="296" t="str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0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44232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44233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44234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44235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44236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44237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44238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44239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44240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44241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44242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44243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44244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44245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44246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44247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44248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44249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44250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44251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44252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44253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44254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44255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0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0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5448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-45884</v>
      </c>
      <c r="H39" s="453">
        <f t="shared" si="3"/>
        <v>-211045</v>
      </c>
      <c r="I39" s="453">
        <f t="shared" si="3"/>
        <v>102</v>
      </c>
      <c r="J39" s="453">
        <f t="shared" si="3"/>
        <v>81</v>
      </c>
      <c r="K39" s="453">
        <f t="shared" si="3"/>
        <v>0</v>
      </c>
      <c r="L39" s="453">
        <f t="shared" si="3"/>
        <v>0</v>
      </c>
      <c r="M39" s="453">
        <f t="shared" si="3"/>
        <v>74755.839999999997</v>
      </c>
      <c r="N39" s="453">
        <f t="shared" si="3"/>
        <v>7627.2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N1" activePane="topRight" state="frozen"/>
      <selection pane="topRight" activeCell="AD10" sqref="AD1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0">
        <f>A6</f>
        <v>44228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2"/>
    </row>
    <row r="2" spans="1:37" ht="61.5" customHeight="1" thickBot="1">
      <c r="A2" s="137" t="s">
        <v>98</v>
      </c>
      <c r="B2" s="853" t="s">
        <v>99</v>
      </c>
      <c r="C2" s="854"/>
      <c r="D2" s="855"/>
      <c r="E2" s="138"/>
      <c r="F2" s="138"/>
      <c r="G2" s="138"/>
      <c r="H2" s="135" t="s">
        <v>124</v>
      </c>
      <c r="I2" s="746" t="s">
        <v>100</v>
      </c>
      <c r="J2" s="748" t="s">
        <v>122</v>
      </c>
      <c r="K2" s="749"/>
      <c r="L2" s="750" t="s">
        <v>123</v>
      </c>
      <c r="M2" s="621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3" t="s">
        <v>164</v>
      </c>
      <c r="AC2" s="85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6">
        <f>SUM(D3/B3)</f>
        <v>1.3262195121951219</v>
      </c>
      <c r="G3" s="857"/>
      <c r="H3" s="127">
        <f>Gen!C11</f>
        <v>35132.06</v>
      </c>
      <c r="I3" s="622"/>
      <c r="J3" s="751"/>
      <c r="K3" s="752" t="s">
        <v>165</v>
      </c>
      <c r="L3" s="751"/>
      <c r="M3" s="624" t="s">
        <v>111</v>
      </c>
      <c r="N3" s="751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0" t="s">
        <v>117</v>
      </c>
      <c r="AG3" s="741" t="s">
        <v>117</v>
      </c>
      <c r="AH3" s="400" t="s">
        <v>117</v>
      </c>
      <c r="AI3" s="134" t="s">
        <v>118</v>
      </c>
      <c r="AJ3" s="742" t="s">
        <v>115</v>
      </c>
      <c r="AK3" s="743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7"/>
      <c r="J4" s="761"/>
      <c r="K4" s="289"/>
      <c r="L4" s="750"/>
      <c r="M4" s="753"/>
      <c r="N4" s="284"/>
      <c r="O4" s="754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4">
        <v>2000</v>
      </c>
      <c r="AG4" s="745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9.5" thickBot="1">
      <c r="A5" s="756"/>
      <c r="B5" s="764"/>
      <c r="C5" s="765"/>
      <c r="D5" s="766"/>
      <c r="E5" s="766"/>
      <c r="F5" s="766"/>
      <c r="G5" s="766"/>
      <c r="H5" s="767"/>
      <c r="I5" s="767"/>
      <c r="J5" s="699"/>
      <c r="K5" s="718"/>
      <c r="L5" s="128"/>
      <c r="M5" s="470"/>
      <c r="N5" s="755"/>
      <c r="O5" s="698"/>
      <c r="P5" s="717">
        <v>19032</v>
      </c>
      <c r="Q5" s="728"/>
      <c r="R5" s="718"/>
      <c r="S5" s="698"/>
      <c r="T5" s="705">
        <v>17522</v>
      </c>
      <c r="U5" s="698"/>
      <c r="V5" s="718"/>
      <c r="W5" s="698"/>
      <c r="X5" s="710">
        <v>27013</v>
      </c>
      <c r="Y5" s="698"/>
      <c r="Z5" s="703"/>
      <c r="AA5" s="714"/>
      <c r="AB5" s="713">
        <v>45835</v>
      </c>
      <c r="AC5" s="698"/>
      <c r="AD5" s="695">
        <v>211010</v>
      </c>
      <c r="AE5" s="700"/>
      <c r="AF5" s="721">
        <v>0.85</v>
      </c>
      <c r="AG5" s="722">
        <v>0.85</v>
      </c>
      <c r="AH5" s="735">
        <v>0.85</v>
      </c>
      <c r="AI5" s="725"/>
      <c r="AJ5" s="714"/>
      <c r="AK5" s="714"/>
    </row>
    <row r="6" spans="1:37" ht="19.5" thickBot="1">
      <c r="A6" s="757">
        <f>Gen!A11</f>
        <v>44228</v>
      </c>
      <c r="B6" s="425">
        <f>'Summery Report'!E5</f>
        <v>0</v>
      </c>
      <c r="C6" s="762">
        <f>Gen!B11</f>
        <v>9.0999999999999998E-2</v>
      </c>
      <c r="D6" s="724">
        <f>'Summery Report'!E5</f>
        <v>0</v>
      </c>
      <c r="E6" s="724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4">
        <f>Gen!C11</f>
        <v>35132.06</v>
      </c>
      <c r="I6" s="724">
        <f>Gen!E11</f>
        <v>0</v>
      </c>
      <c r="J6" s="763">
        <f>Gen!T11</f>
        <v>2906</v>
      </c>
      <c r="K6" s="768">
        <f>Gen!AK11</f>
        <v>0</v>
      </c>
      <c r="L6" s="759">
        <f t="shared" ref="L6:L13" si="1">SUM(J6:K6)</f>
        <v>2906</v>
      </c>
      <c r="M6" s="448">
        <f>'Water-Meter'!K46</f>
        <v>520.57465935240407</v>
      </c>
      <c r="N6" s="719">
        <f>'Water-Meter'!E6</f>
        <v>58</v>
      </c>
      <c r="O6" s="709"/>
      <c r="P6" s="717">
        <v>19032</v>
      </c>
      <c r="Q6" s="729">
        <f t="shared" ref="Q6:Q36" si="2">SUM(P6-P5)</f>
        <v>0</v>
      </c>
      <c r="R6" s="426">
        <f>SUM(Q6*O6)</f>
        <v>0</v>
      </c>
      <c r="S6" s="698"/>
      <c r="T6" s="705">
        <v>17522</v>
      </c>
      <c r="U6" s="729">
        <f>T6-T5</f>
        <v>0</v>
      </c>
      <c r="V6" s="427" t="s">
        <v>246</v>
      </c>
      <c r="W6" s="709">
        <v>2.2000000000000002</v>
      </c>
      <c r="X6" s="710">
        <v>27028</v>
      </c>
      <c r="Y6" s="729">
        <f>X6-X5</f>
        <v>15</v>
      </c>
      <c r="Z6" s="712">
        <f t="shared" ref="Z6:AA6" si="3">Y6-Y5</f>
        <v>15</v>
      </c>
      <c r="AA6" s="715">
        <f t="shared" si="3"/>
        <v>15</v>
      </c>
      <c r="AB6" s="713">
        <v>45884</v>
      </c>
      <c r="AC6" s="693">
        <f>AB6-AB5</f>
        <v>49</v>
      </c>
      <c r="AD6" s="695">
        <v>211045</v>
      </c>
      <c r="AE6" s="178">
        <f>AD6-AD5</f>
        <v>35</v>
      </c>
      <c r="AF6" s="723">
        <f>'Lpg (2)'!B10*2000/85</f>
        <v>1929.4117647058824</v>
      </c>
      <c r="AG6" s="266">
        <f>'Lpg (2)'!C10*1000/85</f>
        <v>0</v>
      </c>
      <c r="AH6" s="736">
        <f>'Lpg (2)'!D10*1000/85</f>
        <v>0</v>
      </c>
      <c r="AI6" s="726">
        <f>SUM(AF6*2000)+(AG6*1000)+(AH6*1000)</f>
        <v>3858823.5294117648</v>
      </c>
      <c r="AJ6" s="428">
        <f t="shared" ref="AJ6:AJ36" si="4">SUM(AI5-AI6)</f>
        <v>-3858823.5294117648</v>
      </c>
      <c r="AK6" s="132"/>
    </row>
    <row r="7" spans="1:37" ht="19.5" thickBot="1">
      <c r="A7" s="757">
        <f>Gen!A12</f>
        <v>44229</v>
      </c>
      <c r="B7" s="425">
        <f>'Summery Report'!E6</f>
        <v>0</v>
      </c>
      <c r="C7" s="762">
        <f>Gen!B12</f>
        <v>6.5000000000000002E-2</v>
      </c>
      <c r="D7" s="724">
        <f>'Summery Report'!E6</f>
        <v>0</v>
      </c>
      <c r="E7" s="724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4">
        <f>Gen!C12</f>
        <v>48625.25</v>
      </c>
      <c r="I7" s="724">
        <f>Gen!E12</f>
        <v>0</v>
      </c>
      <c r="J7" s="763">
        <f>Gen!T12</f>
        <v>2849</v>
      </c>
      <c r="K7" s="768">
        <f>Gen!AK12</f>
        <v>0</v>
      </c>
      <c r="L7" s="759">
        <f t="shared" si="1"/>
        <v>2849</v>
      </c>
      <c r="M7" s="448">
        <f>'Water-Meter'!K47</f>
        <v>618.98986270331989</v>
      </c>
      <c r="N7" s="719">
        <f>'Water-Meter'!E7</f>
        <v>56</v>
      </c>
      <c r="O7" s="709"/>
      <c r="P7" s="717">
        <v>19032</v>
      </c>
      <c r="Q7" s="729">
        <f t="shared" si="2"/>
        <v>0</v>
      </c>
      <c r="R7" s="426">
        <f t="shared" ref="R7:R36" si="5">SUM(Q7*O7)</f>
        <v>0</v>
      </c>
      <c r="S7" s="698"/>
      <c r="T7" s="705">
        <v>17522</v>
      </c>
      <c r="U7" s="729">
        <f t="shared" ref="U7:U36" si="6">T7-T6</f>
        <v>0</v>
      </c>
      <c r="V7" s="427">
        <f t="shared" ref="V7:V9" si="7">SUM(U7*S7)</f>
        <v>0</v>
      </c>
      <c r="W7" s="709">
        <v>2.2000000000000002</v>
      </c>
      <c r="X7" s="710">
        <v>27052</v>
      </c>
      <c r="Y7" s="729">
        <f t="shared" ref="Y7:Y36" si="8">X7-X6</f>
        <v>24</v>
      </c>
      <c r="Z7" s="708">
        <f t="shared" ref="Z7:Z36" si="9">SUM(Y7*W7)</f>
        <v>52.800000000000004</v>
      </c>
      <c r="AA7" s="716">
        <f t="shared" ref="AA7:AA36" si="10">SUM(Z7*X9)</f>
        <v>0</v>
      </c>
      <c r="AB7" s="713">
        <v>45910</v>
      </c>
      <c r="AC7" s="693">
        <f t="shared" ref="AC7:AC27" si="11">AB7-AB6</f>
        <v>26</v>
      </c>
      <c r="AD7" s="695">
        <v>211088</v>
      </c>
      <c r="AE7" s="178">
        <f>AD7-AD6</f>
        <v>43</v>
      </c>
      <c r="AF7" s="723">
        <f>'Lpg (2)'!B11*2000/85</f>
        <v>1905.8823529411766</v>
      </c>
      <c r="AG7" s="266">
        <f>'Lpg (2)'!C11*1000/85</f>
        <v>0</v>
      </c>
      <c r="AH7" s="736">
        <f>'Lpg (2)'!D11*1000/85</f>
        <v>0</v>
      </c>
      <c r="AI7" s="726">
        <f t="shared" ref="AI7:AI14" si="12">SUM(AF6*2000)+(AG7*1000)+(AH7*1000)</f>
        <v>3858823.5294117648</v>
      </c>
      <c r="AJ7" s="428">
        <f t="shared" si="4"/>
        <v>0</v>
      </c>
      <c r="AK7" s="132"/>
    </row>
    <row r="8" spans="1:37" ht="19.5" thickBot="1">
      <c r="A8" s="757">
        <f>Gen!A13</f>
        <v>44230</v>
      </c>
      <c r="B8" s="425">
        <f>'Summery Report'!E7</f>
        <v>0</v>
      </c>
      <c r="C8" s="762">
        <f>Gen!B13</f>
        <v>3.9E-2</v>
      </c>
      <c r="D8" s="724">
        <f>'Summery Report'!E7</f>
        <v>0</v>
      </c>
      <c r="E8" s="724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4">
        <f>Gen!C13</f>
        <v>47451.81</v>
      </c>
      <c r="I8" s="724">
        <f>Gen!E13</f>
        <v>0</v>
      </c>
      <c r="J8" s="763">
        <f>Gen!T13</f>
        <v>2599</v>
      </c>
      <c r="K8" s="768">
        <f>Gen!AK13</f>
        <v>0</v>
      </c>
      <c r="L8" s="759">
        <f t="shared" si="1"/>
        <v>2599</v>
      </c>
      <c r="M8" s="448">
        <f>'Water-Meter'!K48</f>
        <v>590.6514917582524</v>
      </c>
      <c r="N8" s="719">
        <f>'Water-Meter'!E8</f>
        <v>46</v>
      </c>
      <c r="O8" s="709"/>
      <c r="P8" s="717"/>
      <c r="Q8" s="729">
        <f t="shared" si="2"/>
        <v>-19032</v>
      </c>
      <c r="R8" s="426">
        <f t="shared" si="5"/>
        <v>0</v>
      </c>
      <c r="S8" s="698"/>
      <c r="T8" s="705"/>
      <c r="U8" s="729">
        <f t="shared" si="6"/>
        <v>-17522</v>
      </c>
      <c r="V8" s="427">
        <f t="shared" si="7"/>
        <v>0</v>
      </c>
      <c r="W8" s="709"/>
      <c r="X8" s="710">
        <v>27076.11</v>
      </c>
      <c r="Y8" s="729">
        <f t="shared" si="8"/>
        <v>24.110000000000582</v>
      </c>
      <c r="Z8" s="708">
        <f t="shared" si="9"/>
        <v>0</v>
      </c>
      <c r="AA8" s="716">
        <f t="shared" si="10"/>
        <v>0</v>
      </c>
      <c r="AB8" s="713">
        <v>45959</v>
      </c>
      <c r="AC8" s="693">
        <f t="shared" si="11"/>
        <v>49</v>
      </c>
      <c r="AD8" s="695">
        <v>211164</v>
      </c>
      <c r="AE8" s="178">
        <f t="shared" ref="AE8:AE37" si="15">AD8-AD7</f>
        <v>76</v>
      </c>
      <c r="AF8" s="723">
        <f>'Lpg (2)'!B12*2000/85</f>
        <v>0</v>
      </c>
      <c r="AG8" s="266">
        <f>'Lpg (2)'!C12*1000/85</f>
        <v>0</v>
      </c>
      <c r="AH8" s="736">
        <f>'Lpg (2)'!D12*1000/85</f>
        <v>0</v>
      </c>
      <c r="AI8" s="726">
        <f t="shared" si="12"/>
        <v>3811764.7058823532</v>
      </c>
      <c r="AJ8" s="428">
        <f t="shared" si="4"/>
        <v>47058.823529411573</v>
      </c>
      <c r="AK8" s="132"/>
    </row>
    <row r="9" spans="1:37" ht="19.5" thickBot="1">
      <c r="A9" s="757">
        <f>Gen!A14</f>
        <v>44231</v>
      </c>
      <c r="B9" s="425">
        <f>'Summery Report'!E8</f>
        <v>0</v>
      </c>
      <c r="C9" s="762">
        <f>Gen!B14</f>
        <v>0</v>
      </c>
      <c r="D9" s="724">
        <f>'Summery Report'!E8</f>
        <v>0</v>
      </c>
      <c r="E9" s="724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4">
        <f>Gen!C14</f>
        <v>46273.7</v>
      </c>
      <c r="I9" s="724">
        <f>Gen!E14</f>
        <v>0</v>
      </c>
      <c r="J9" s="763">
        <f>Gen!T14</f>
        <v>0</v>
      </c>
      <c r="K9" s="768">
        <f>Gen!AK14</f>
        <v>0</v>
      </c>
      <c r="L9" s="759">
        <f t="shared" si="1"/>
        <v>0</v>
      </c>
      <c r="M9" s="448">
        <f>'Water-Meter'!K49</f>
        <v>571.96521050323213</v>
      </c>
      <c r="N9" s="719" t="str">
        <f>'Water-Meter'!E9</f>
        <v>0</v>
      </c>
      <c r="O9" s="709"/>
      <c r="P9" s="717"/>
      <c r="Q9" s="729">
        <f t="shared" si="2"/>
        <v>0</v>
      </c>
      <c r="R9" s="426">
        <f t="shared" si="5"/>
        <v>0</v>
      </c>
      <c r="S9" s="698"/>
      <c r="T9" s="705"/>
      <c r="U9" s="729">
        <f t="shared" si="6"/>
        <v>0</v>
      </c>
      <c r="V9" s="427">
        <f t="shared" si="7"/>
        <v>0</v>
      </c>
      <c r="W9" s="709"/>
      <c r="X9" s="710"/>
      <c r="Y9" s="729">
        <f t="shared" si="8"/>
        <v>-27076.11</v>
      </c>
      <c r="Z9" s="708">
        <f t="shared" si="9"/>
        <v>0</v>
      </c>
      <c r="AA9" s="716">
        <f t="shared" si="10"/>
        <v>0</v>
      </c>
      <c r="AB9" s="713"/>
      <c r="AC9" s="693">
        <f t="shared" si="11"/>
        <v>-45959</v>
      </c>
      <c r="AD9" s="695"/>
      <c r="AE9" s="178">
        <f t="shared" si="15"/>
        <v>-211164</v>
      </c>
      <c r="AF9" s="723">
        <f>'Lpg (2)'!B13*2000/85</f>
        <v>0</v>
      </c>
      <c r="AG9" s="266">
        <f>'Lpg (2)'!C13*1000/85</f>
        <v>0</v>
      </c>
      <c r="AH9" s="736">
        <f>'Lpg (2)'!D13*1000/85</f>
        <v>0</v>
      </c>
      <c r="AI9" s="726">
        <f t="shared" si="12"/>
        <v>0</v>
      </c>
      <c r="AJ9" s="428">
        <f t="shared" si="4"/>
        <v>3811764.7058823532</v>
      </c>
      <c r="AK9" s="132"/>
    </row>
    <row r="10" spans="1:37" ht="19.5" thickBot="1">
      <c r="A10" s="757">
        <f>Gen!A15</f>
        <v>44232</v>
      </c>
      <c r="B10" s="425">
        <f>'Summery Report'!E9</f>
        <v>0</v>
      </c>
      <c r="C10" s="762">
        <f>Gen!B15</f>
        <v>0</v>
      </c>
      <c r="D10" s="724">
        <f>'Summery Report'!E9</f>
        <v>0</v>
      </c>
      <c r="E10" s="724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4">
        <f>Gen!C15</f>
        <v>46273.7</v>
      </c>
      <c r="I10" s="724">
        <f>Gen!E15</f>
        <v>0</v>
      </c>
      <c r="J10" s="763">
        <f>Gen!T15</f>
        <v>0</v>
      </c>
      <c r="K10" s="768">
        <f>Gen!AK15</f>
        <v>0</v>
      </c>
      <c r="L10" s="759">
        <f t="shared" si="1"/>
        <v>0</v>
      </c>
      <c r="M10" s="448">
        <f>'Water-Meter'!K50</f>
        <v>0</v>
      </c>
      <c r="N10" s="719">
        <f>'Water-Meter'!E10</f>
        <v>0</v>
      </c>
      <c r="O10" s="709"/>
      <c r="P10" s="717"/>
      <c r="Q10" s="729">
        <f t="shared" si="2"/>
        <v>0</v>
      </c>
      <c r="R10" s="426">
        <f t="shared" si="5"/>
        <v>0</v>
      </c>
      <c r="S10" s="698"/>
      <c r="T10" s="705"/>
      <c r="U10" s="729">
        <f t="shared" si="6"/>
        <v>0</v>
      </c>
      <c r="V10" s="427">
        <f t="shared" ref="V10:V16" si="16">SUM(U10*S10)</f>
        <v>0</v>
      </c>
      <c r="W10" s="709"/>
      <c r="X10" s="710"/>
      <c r="Y10" s="729">
        <f t="shared" si="8"/>
        <v>0</v>
      </c>
      <c r="Z10" s="708">
        <f t="shared" si="9"/>
        <v>0</v>
      </c>
      <c r="AA10" s="716">
        <f t="shared" si="10"/>
        <v>0</v>
      </c>
      <c r="AB10" s="713"/>
      <c r="AC10" s="693">
        <f t="shared" si="11"/>
        <v>0</v>
      </c>
      <c r="AD10" s="695"/>
      <c r="AE10" s="178">
        <f t="shared" si="15"/>
        <v>0</v>
      </c>
      <c r="AF10" s="723">
        <f>'Lpg (2)'!B14*2000/85</f>
        <v>0</v>
      </c>
      <c r="AG10" s="266">
        <f>'Lpg (2)'!C14*1000/85</f>
        <v>0</v>
      </c>
      <c r="AH10" s="736">
        <f>'Lpg (2)'!D14*1000/85</f>
        <v>0</v>
      </c>
      <c r="AI10" s="726">
        <f t="shared" si="12"/>
        <v>0</v>
      </c>
      <c r="AJ10" s="428">
        <f t="shared" si="4"/>
        <v>0</v>
      </c>
      <c r="AK10" s="132"/>
    </row>
    <row r="11" spans="1:37" ht="19.5" thickBot="1">
      <c r="A11" s="757">
        <f>Gen!A16</f>
        <v>44233</v>
      </c>
      <c r="B11" s="425">
        <f>'Summery Report'!E10</f>
        <v>0</v>
      </c>
      <c r="C11" s="762">
        <f>Gen!B16</f>
        <v>0</v>
      </c>
      <c r="D11" s="724">
        <f>'Summery Report'!E10</f>
        <v>0</v>
      </c>
      <c r="E11" s="724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4">
        <f>Gen!C16</f>
        <v>46273.7</v>
      </c>
      <c r="I11" s="724">
        <f>Gen!E16</f>
        <v>0</v>
      </c>
      <c r="J11" s="763">
        <f>Gen!T16</f>
        <v>0</v>
      </c>
      <c r="K11" s="768">
        <f>Gen!AK16</f>
        <v>0</v>
      </c>
      <c r="L11" s="759">
        <f t="shared" si="1"/>
        <v>0</v>
      </c>
      <c r="M11" s="448">
        <f>'Water-Meter'!K51</f>
        <v>0</v>
      </c>
      <c r="N11" s="719">
        <f>'Water-Meter'!E11</f>
        <v>0</v>
      </c>
      <c r="O11" s="709"/>
      <c r="P11" s="717"/>
      <c r="Q11" s="729">
        <f t="shared" si="2"/>
        <v>0</v>
      </c>
      <c r="R11" s="426">
        <f t="shared" si="5"/>
        <v>0</v>
      </c>
      <c r="S11" s="698"/>
      <c r="T11" s="705"/>
      <c r="U11" s="729">
        <f t="shared" si="6"/>
        <v>0</v>
      </c>
      <c r="V11" s="427">
        <f t="shared" si="16"/>
        <v>0</v>
      </c>
      <c r="W11" s="709"/>
      <c r="X11" s="710"/>
      <c r="Y11" s="729">
        <f t="shared" si="8"/>
        <v>0</v>
      </c>
      <c r="Z11" s="708">
        <f t="shared" si="9"/>
        <v>0</v>
      </c>
      <c r="AA11" s="716">
        <f t="shared" si="10"/>
        <v>0</v>
      </c>
      <c r="AB11" s="713"/>
      <c r="AC11" s="693">
        <f t="shared" si="11"/>
        <v>0</v>
      </c>
      <c r="AD11" s="695"/>
      <c r="AE11" s="178">
        <f t="shared" si="15"/>
        <v>0</v>
      </c>
      <c r="AF11" s="723">
        <f>'Lpg (2)'!B15*2000/85</f>
        <v>0</v>
      </c>
      <c r="AG11" s="266">
        <f>'Lpg (2)'!C15*1000/85</f>
        <v>0</v>
      </c>
      <c r="AH11" s="736">
        <f>'Lpg (2)'!D15*1000/85</f>
        <v>0</v>
      </c>
      <c r="AI11" s="726">
        <f t="shared" si="12"/>
        <v>0</v>
      </c>
      <c r="AJ11" s="428">
        <f t="shared" si="4"/>
        <v>0</v>
      </c>
      <c r="AK11" s="132"/>
    </row>
    <row r="12" spans="1:37" ht="19.5" thickBot="1">
      <c r="A12" s="757">
        <f>Gen!A17</f>
        <v>44234</v>
      </c>
      <c r="B12" s="425">
        <f>'Summery Report'!E11</f>
        <v>0</v>
      </c>
      <c r="C12" s="762">
        <f>Gen!B17</f>
        <v>0</v>
      </c>
      <c r="D12" s="724">
        <f>'Summery Report'!E11</f>
        <v>0</v>
      </c>
      <c r="E12" s="724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4">
        <f>Gen!C17</f>
        <v>46273.7</v>
      </c>
      <c r="I12" s="724">
        <f>Gen!E17</f>
        <v>0</v>
      </c>
      <c r="J12" s="763">
        <f>Gen!T17</f>
        <v>0</v>
      </c>
      <c r="K12" s="768">
        <f>Gen!AK17</f>
        <v>0</v>
      </c>
      <c r="L12" s="759">
        <f t="shared" si="1"/>
        <v>0</v>
      </c>
      <c r="M12" s="448">
        <f>'Water-Meter'!K52</f>
        <v>0</v>
      </c>
      <c r="N12" s="719">
        <f>'Water-Meter'!E12</f>
        <v>0</v>
      </c>
      <c r="O12" s="709"/>
      <c r="P12" s="717"/>
      <c r="Q12" s="729">
        <f t="shared" si="2"/>
        <v>0</v>
      </c>
      <c r="R12" s="426">
        <f t="shared" si="5"/>
        <v>0</v>
      </c>
      <c r="S12" s="698"/>
      <c r="T12" s="705"/>
      <c r="U12" s="729">
        <f t="shared" si="6"/>
        <v>0</v>
      </c>
      <c r="V12" s="427">
        <f t="shared" si="16"/>
        <v>0</v>
      </c>
      <c r="W12" s="704"/>
      <c r="X12" s="710"/>
      <c r="Y12" s="729">
        <f t="shared" si="8"/>
        <v>0</v>
      </c>
      <c r="Z12" s="708">
        <f t="shared" si="9"/>
        <v>0</v>
      </c>
      <c r="AA12" s="716">
        <f t="shared" si="10"/>
        <v>0</v>
      </c>
      <c r="AB12" s="713"/>
      <c r="AC12" s="693">
        <f t="shared" si="11"/>
        <v>0</v>
      </c>
      <c r="AD12" s="695"/>
      <c r="AE12" s="178">
        <f t="shared" si="15"/>
        <v>0</v>
      </c>
      <c r="AF12" s="723">
        <f>'Lpg (2)'!B16*2000/85</f>
        <v>0</v>
      </c>
      <c r="AG12" s="266">
        <f>'Lpg (2)'!C16*1000/85</f>
        <v>0</v>
      </c>
      <c r="AH12" s="736">
        <f>'Lpg (2)'!D16*1000/85</f>
        <v>0</v>
      </c>
      <c r="AI12" s="726">
        <f t="shared" si="12"/>
        <v>0</v>
      </c>
      <c r="AJ12" s="428">
        <f t="shared" si="4"/>
        <v>0</v>
      </c>
      <c r="AK12" s="132"/>
    </row>
    <row r="13" spans="1:37" ht="19.5" thickBot="1">
      <c r="A13" s="757">
        <f>Gen!A18</f>
        <v>44235</v>
      </c>
      <c r="B13" s="425">
        <f>'Summery Report'!E12</f>
        <v>0</v>
      </c>
      <c r="C13" s="762">
        <f>Gen!B18</f>
        <v>0</v>
      </c>
      <c r="D13" s="724">
        <f>'Summery Report'!E12</f>
        <v>0</v>
      </c>
      <c r="E13" s="724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4">
        <f>Gen!C18</f>
        <v>46273.7</v>
      </c>
      <c r="I13" s="724">
        <f>Gen!E18</f>
        <v>15000</v>
      </c>
      <c r="J13" s="763">
        <f>Gen!T18</f>
        <v>0</v>
      </c>
      <c r="K13" s="768">
        <f>Gen!AK18</f>
        <v>0</v>
      </c>
      <c r="L13" s="759">
        <f t="shared" si="1"/>
        <v>0</v>
      </c>
      <c r="M13" s="448">
        <f>'Water-Meter'!K53</f>
        <v>0</v>
      </c>
      <c r="N13" s="719">
        <f>'Water-Meter'!E13</f>
        <v>0</v>
      </c>
      <c r="O13" s="709"/>
      <c r="P13" s="717"/>
      <c r="Q13" s="729">
        <f t="shared" si="2"/>
        <v>0</v>
      </c>
      <c r="R13" s="426">
        <f t="shared" si="5"/>
        <v>0</v>
      </c>
      <c r="S13" s="698"/>
      <c r="T13" s="705"/>
      <c r="U13" s="729">
        <f t="shared" si="6"/>
        <v>0</v>
      </c>
      <c r="V13" s="427">
        <f t="shared" si="16"/>
        <v>0</v>
      </c>
      <c r="W13" s="704"/>
      <c r="X13" s="710"/>
      <c r="Y13" s="729">
        <f t="shared" si="8"/>
        <v>0</v>
      </c>
      <c r="Z13" s="708">
        <f t="shared" si="9"/>
        <v>0</v>
      </c>
      <c r="AA13" s="716">
        <f t="shared" si="10"/>
        <v>0</v>
      </c>
      <c r="AB13" s="713"/>
      <c r="AC13" s="693">
        <f t="shared" si="11"/>
        <v>0</v>
      </c>
      <c r="AD13" s="695"/>
      <c r="AE13" s="178">
        <f t="shared" si="15"/>
        <v>0</v>
      </c>
      <c r="AF13" s="723">
        <f>'Lpg (2)'!B17*2000/85</f>
        <v>0</v>
      </c>
      <c r="AG13" s="266">
        <f>'Lpg (2)'!C17*1000/85</f>
        <v>0</v>
      </c>
      <c r="AH13" s="736">
        <f>'Lpg (2)'!D17*1000/85</f>
        <v>0</v>
      </c>
      <c r="AI13" s="726">
        <f t="shared" si="12"/>
        <v>0</v>
      </c>
      <c r="AJ13" s="428">
        <f t="shared" si="4"/>
        <v>0</v>
      </c>
      <c r="AK13" s="132"/>
    </row>
    <row r="14" spans="1:37" ht="19.5" thickBot="1">
      <c r="A14" s="757">
        <f>Gen!A19</f>
        <v>44236</v>
      </c>
      <c r="B14" s="425">
        <f>'Summery Report'!E13</f>
        <v>0</v>
      </c>
      <c r="C14" s="762">
        <f>Gen!B19</f>
        <v>0</v>
      </c>
      <c r="D14" s="724">
        <f>'Summery Report'!E13</f>
        <v>0</v>
      </c>
      <c r="E14" s="724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4">
        <f>Gen!C19</f>
        <v>46273.7</v>
      </c>
      <c r="I14" s="724">
        <f>Gen!E19</f>
        <v>0</v>
      </c>
      <c r="J14" s="763">
        <f>Gen!T19</f>
        <v>0</v>
      </c>
      <c r="K14" s="768">
        <f>Gen!AK19</f>
        <v>0</v>
      </c>
      <c r="L14" s="759">
        <f t="shared" ref="L14:L37" si="17">SUM(J14:K14)</f>
        <v>0</v>
      </c>
      <c r="M14" s="448">
        <f>'Water-Meter'!K54</f>
        <v>0</v>
      </c>
      <c r="N14" s="719">
        <f>'Water-Meter'!E14</f>
        <v>0</v>
      </c>
      <c r="O14" s="709"/>
      <c r="P14" s="717"/>
      <c r="Q14" s="729">
        <f t="shared" si="2"/>
        <v>0</v>
      </c>
      <c r="R14" s="426">
        <f t="shared" si="5"/>
        <v>0</v>
      </c>
      <c r="S14" s="698"/>
      <c r="T14" s="705"/>
      <c r="U14" s="729">
        <f t="shared" si="6"/>
        <v>0</v>
      </c>
      <c r="V14" s="427">
        <f t="shared" si="16"/>
        <v>0</v>
      </c>
      <c r="W14" s="704"/>
      <c r="X14" s="710"/>
      <c r="Y14" s="729">
        <f t="shared" si="8"/>
        <v>0</v>
      </c>
      <c r="Z14" s="708">
        <f t="shared" si="9"/>
        <v>0</v>
      </c>
      <c r="AA14" s="716">
        <f t="shared" si="10"/>
        <v>0</v>
      </c>
      <c r="AB14" s="713"/>
      <c r="AC14" s="693">
        <f t="shared" si="11"/>
        <v>0</v>
      </c>
      <c r="AD14" s="695"/>
      <c r="AE14" s="178">
        <f t="shared" si="15"/>
        <v>0</v>
      </c>
      <c r="AF14" s="723">
        <f>'Lpg (2)'!B18*2000/85</f>
        <v>0</v>
      </c>
      <c r="AG14" s="266">
        <f>'Lpg (2)'!C18*1000/85</f>
        <v>0</v>
      </c>
      <c r="AH14" s="736">
        <f>'Lpg (2)'!D18*1000/85</f>
        <v>0</v>
      </c>
      <c r="AI14" s="726">
        <f t="shared" si="12"/>
        <v>0</v>
      </c>
      <c r="AJ14" s="428">
        <f t="shared" si="4"/>
        <v>0</v>
      </c>
      <c r="AK14" s="132"/>
    </row>
    <row r="15" spans="1:37" ht="19.5" thickBot="1">
      <c r="A15" s="757">
        <f>Gen!A20</f>
        <v>44237</v>
      </c>
      <c r="B15" s="425">
        <f>'Summery Report'!E14</f>
        <v>0</v>
      </c>
      <c r="C15" s="762">
        <f>Gen!B20</f>
        <v>0</v>
      </c>
      <c r="D15" s="724">
        <f>'Summery Report'!E14</f>
        <v>0</v>
      </c>
      <c r="E15" s="724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4">
        <f>Gen!C20</f>
        <v>46273.7</v>
      </c>
      <c r="I15" s="724">
        <f>Gen!E20</f>
        <v>0</v>
      </c>
      <c r="J15" s="763">
        <f>Gen!T20</f>
        <v>0</v>
      </c>
      <c r="K15" s="768">
        <f>Gen!AK20</f>
        <v>0</v>
      </c>
      <c r="L15" s="759">
        <f t="shared" si="17"/>
        <v>0</v>
      </c>
      <c r="M15" s="448">
        <f>'Water-Meter'!K55</f>
        <v>0</v>
      </c>
      <c r="N15" s="719">
        <f>'Water-Meter'!E15</f>
        <v>0</v>
      </c>
      <c r="O15" s="709"/>
      <c r="P15" s="717"/>
      <c r="Q15" s="729">
        <f t="shared" si="2"/>
        <v>0</v>
      </c>
      <c r="R15" s="426">
        <f t="shared" si="5"/>
        <v>0</v>
      </c>
      <c r="S15" s="698"/>
      <c r="T15" s="705"/>
      <c r="U15" s="729">
        <f t="shared" si="6"/>
        <v>0</v>
      </c>
      <c r="V15" s="427">
        <f t="shared" si="16"/>
        <v>0</v>
      </c>
      <c r="W15" s="704"/>
      <c r="X15" s="710"/>
      <c r="Y15" s="729">
        <f t="shared" si="8"/>
        <v>0</v>
      </c>
      <c r="Z15" s="708">
        <f t="shared" si="9"/>
        <v>0</v>
      </c>
      <c r="AA15" s="716">
        <f t="shared" si="10"/>
        <v>0</v>
      </c>
      <c r="AB15" s="713"/>
      <c r="AC15" s="693">
        <f t="shared" si="11"/>
        <v>0</v>
      </c>
      <c r="AD15" s="695"/>
      <c r="AE15" s="178">
        <f>AD15-AD14</f>
        <v>0</v>
      </c>
      <c r="AF15" s="723">
        <f>'Lpg (2)'!B19*2000/85</f>
        <v>0</v>
      </c>
      <c r="AG15" s="266">
        <f>'Lpg (2)'!C19*1000/85</f>
        <v>0</v>
      </c>
      <c r="AH15" s="736">
        <f>'Lpg (2)'!D19*1000/85</f>
        <v>0</v>
      </c>
      <c r="AI15" s="726">
        <f t="shared" ref="AI15:AI35" si="18">SUM(AF15*2000)+(AG15*1000)+(AH15*1000)</f>
        <v>0</v>
      </c>
      <c r="AJ15" s="428">
        <f t="shared" si="4"/>
        <v>0</v>
      </c>
      <c r="AK15" s="132"/>
    </row>
    <row r="16" spans="1:37" ht="19.5" thickBot="1">
      <c r="A16" s="757">
        <f>Gen!A21</f>
        <v>44238</v>
      </c>
      <c r="B16" s="425">
        <f>'Summery Report'!E15</f>
        <v>0</v>
      </c>
      <c r="C16" s="762">
        <f>Gen!B21</f>
        <v>0</v>
      </c>
      <c r="D16" s="724">
        <f>'Summery Report'!E15</f>
        <v>0</v>
      </c>
      <c r="E16" s="724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4">
        <f>Gen!C21</f>
        <v>46273.7</v>
      </c>
      <c r="I16" s="724">
        <f>Gen!E21</f>
        <v>0</v>
      </c>
      <c r="J16" s="763">
        <f>Gen!T21</f>
        <v>0</v>
      </c>
      <c r="K16" s="768">
        <f>Gen!AK21</f>
        <v>0</v>
      </c>
      <c r="L16" s="759">
        <f t="shared" si="17"/>
        <v>0</v>
      </c>
      <c r="M16" s="448">
        <f>'Water-Meter'!K56</f>
        <v>0</v>
      </c>
      <c r="N16" s="719">
        <f>'Water-Meter'!E16</f>
        <v>0</v>
      </c>
      <c r="O16" s="709"/>
      <c r="P16" s="717"/>
      <c r="Q16" s="729">
        <f t="shared" si="2"/>
        <v>0</v>
      </c>
      <c r="R16" s="426">
        <f t="shared" si="5"/>
        <v>0</v>
      </c>
      <c r="S16" s="698"/>
      <c r="T16" s="705"/>
      <c r="U16" s="729">
        <f t="shared" si="6"/>
        <v>0</v>
      </c>
      <c r="V16" s="427">
        <f t="shared" si="16"/>
        <v>0</v>
      </c>
      <c r="W16" s="704"/>
      <c r="X16" s="710"/>
      <c r="Y16" s="729">
        <f t="shared" si="8"/>
        <v>0</v>
      </c>
      <c r="Z16" s="708">
        <f t="shared" si="9"/>
        <v>0</v>
      </c>
      <c r="AA16" s="716">
        <f t="shared" si="10"/>
        <v>0</v>
      </c>
      <c r="AB16" s="713"/>
      <c r="AC16" s="693">
        <f t="shared" si="11"/>
        <v>0</v>
      </c>
      <c r="AD16" s="695"/>
      <c r="AE16" s="178">
        <f t="shared" si="15"/>
        <v>0</v>
      </c>
      <c r="AF16" s="723">
        <f>'Lpg (2)'!B20*2000/85</f>
        <v>0</v>
      </c>
      <c r="AG16" s="266">
        <f>'Lpg (2)'!C20*1000/85</f>
        <v>0</v>
      </c>
      <c r="AH16" s="736">
        <f>'Lpg (2)'!D20*1000/85</f>
        <v>0</v>
      </c>
      <c r="AI16" s="726">
        <f t="shared" si="18"/>
        <v>0</v>
      </c>
      <c r="AJ16" s="428">
        <f t="shared" si="4"/>
        <v>0</v>
      </c>
      <c r="AK16" s="132"/>
    </row>
    <row r="17" spans="1:37" ht="19.5" thickBot="1">
      <c r="A17" s="757">
        <f>Gen!A22</f>
        <v>44239</v>
      </c>
      <c r="B17" s="425">
        <f>'Summery Report'!E16</f>
        <v>0</v>
      </c>
      <c r="C17" s="762">
        <f>Gen!B22</f>
        <v>0</v>
      </c>
      <c r="D17" s="724">
        <f>'Summery Report'!E16</f>
        <v>0</v>
      </c>
      <c r="E17" s="724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4">
        <f>Gen!C22</f>
        <v>46273.7</v>
      </c>
      <c r="I17" s="724">
        <f>Gen!E22</f>
        <v>0</v>
      </c>
      <c r="J17" s="763">
        <f>Gen!T22</f>
        <v>0</v>
      </c>
      <c r="K17" s="768">
        <f>Gen!AK22</f>
        <v>0</v>
      </c>
      <c r="L17" s="759">
        <f t="shared" si="17"/>
        <v>0</v>
      </c>
      <c r="M17" s="448">
        <f>'Water-Meter'!K57</f>
        <v>0</v>
      </c>
      <c r="N17" s="719">
        <f>'Water-Meter'!E17</f>
        <v>0</v>
      </c>
      <c r="O17" s="709"/>
      <c r="P17" s="717"/>
      <c r="Q17" s="729">
        <f>SUM(P18-P16)</f>
        <v>0</v>
      </c>
      <c r="R17" s="426">
        <f t="shared" si="5"/>
        <v>0</v>
      </c>
      <c r="S17" s="698"/>
      <c r="T17" s="705"/>
      <c r="U17" s="729">
        <f t="shared" si="6"/>
        <v>0</v>
      </c>
      <c r="V17" s="427">
        <f t="shared" ref="V17:V36" si="19">SUM(U17*S17)</f>
        <v>0</v>
      </c>
      <c r="W17" s="704"/>
      <c r="X17" s="710"/>
      <c r="Y17" s="729">
        <f t="shared" si="8"/>
        <v>0</v>
      </c>
      <c r="Z17" s="708">
        <f t="shared" si="9"/>
        <v>0</v>
      </c>
      <c r="AA17" s="716">
        <f t="shared" si="10"/>
        <v>0</v>
      </c>
      <c r="AB17" s="713"/>
      <c r="AC17" s="693">
        <f t="shared" si="11"/>
        <v>0</v>
      </c>
      <c r="AD17" s="695"/>
      <c r="AE17" s="178">
        <f t="shared" si="15"/>
        <v>0</v>
      </c>
      <c r="AF17" s="723">
        <f>'Lpg (2)'!B21*2000/85</f>
        <v>0</v>
      </c>
      <c r="AG17" s="266">
        <f>'Lpg (2)'!C21*1000/85</f>
        <v>0</v>
      </c>
      <c r="AH17" s="736">
        <f>'Lpg (2)'!D21*1000/85</f>
        <v>0</v>
      </c>
      <c r="AI17" s="726">
        <f t="shared" si="18"/>
        <v>0</v>
      </c>
      <c r="AJ17" s="428">
        <f t="shared" si="4"/>
        <v>0</v>
      </c>
      <c r="AK17" s="132"/>
    </row>
    <row r="18" spans="1:37" ht="19.5" thickBot="1">
      <c r="A18" s="757">
        <f>Gen!A23</f>
        <v>44240</v>
      </c>
      <c r="B18" s="425">
        <f>'Summery Report'!E17</f>
        <v>0</v>
      </c>
      <c r="C18" s="762">
        <f>Gen!B23</f>
        <v>0</v>
      </c>
      <c r="D18" s="724">
        <f>'Summery Report'!E17</f>
        <v>0</v>
      </c>
      <c r="E18" s="724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4">
        <f>Gen!C23</f>
        <v>46273.7</v>
      </c>
      <c r="I18" s="724">
        <f>Gen!E23</f>
        <v>0</v>
      </c>
      <c r="J18" s="763">
        <f>Gen!T23</f>
        <v>0</v>
      </c>
      <c r="K18" s="768">
        <f>Gen!AK23</f>
        <v>0</v>
      </c>
      <c r="L18" s="759">
        <f t="shared" si="17"/>
        <v>0</v>
      </c>
      <c r="M18" s="448">
        <f>'Water-Meter'!K58</f>
        <v>0</v>
      </c>
      <c r="N18" s="719">
        <f>'Water-Meter'!E18</f>
        <v>0</v>
      </c>
      <c r="O18" s="709"/>
      <c r="P18" s="717"/>
      <c r="Q18" s="729"/>
      <c r="R18" s="426">
        <f t="shared" si="5"/>
        <v>0</v>
      </c>
      <c r="S18" s="698"/>
      <c r="T18" s="705"/>
      <c r="U18" s="729">
        <f t="shared" si="6"/>
        <v>0</v>
      </c>
      <c r="V18" s="427">
        <f t="shared" si="19"/>
        <v>0</v>
      </c>
      <c r="W18" s="704"/>
      <c r="X18" s="710"/>
      <c r="Y18" s="729">
        <f t="shared" si="8"/>
        <v>0</v>
      </c>
      <c r="Z18" s="708">
        <f t="shared" si="9"/>
        <v>0</v>
      </c>
      <c r="AA18" s="716">
        <f t="shared" si="10"/>
        <v>0</v>
      </c>
      <c r="AB18" s="713"/>
      <c r="AC18" s="693">
        <f t="shared" si="11"/>
        <v>0</v>
      </c>
      <c r="AD18" s="695"/>
      <c r="AE18" s="178">
        <f t="shared" si="15"/>
        <v>0</v>
      </c>
      <c r="AF18" s="723">
        <f>'Lpg (2)'!B22*2000/85</f>
        <v>0</v>
      </c>
      <c r="AG18" s="266">
        <f>'Lpg (2)'!C22*1000/85</f>
        <v>0</v>
      </c>
      <c r="AH18" s="736">
        <f>'Lpg (2)'!D22*1000/85</f>
        <v>0</v>
      </c>
      <c r="AI18" s="726">
        <f t="shared" si="18"/>
        <v>0</v>
      </c>
      <c r="AJ18" s="428">
        <f t="shared" si="4"/>
        <v>0</v>
      </c>
      <c r="AK18" s="132"/>
    </row>
    <row r="19" spans="1:37" ht="19.5" thickBot="1">
      <c r="A19" s="757">
        <f>Gen!A24</f>
        <v>44241</v>
      </c>
      <c r="B19" s="425">
        <f>'Summery Report'!E18</f>
        <v>0</v>
      </c>
      <c r="C19" s="762">
        <f>Gen!B24</f>
        <v>0</v>
      </c>
      <c r="D19" s="724">
        <f>'Summery Report'!E18</f>
        <v>0</v>
      </c>
      <c r="E19" s="724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4">
        <f>Gen!C24</f>
        <v>46273.7</v>
      </c>
      <c r="I19" s="724">
        <f>Gen!E24</f>
        <v>0</v>
      </c>
      <c r="J19" s="763">
        <f>Gen!T24</f>
        <v>0</v>
      </c>
      <c r="K19" s="768">
        <f>Gen!AK24</f>
        <v>0</v>
      </c>
      <c r="L19" s="759">
        <f t="shared" si="17"/>
        <v>0</v>
      </c>
      <c r="M19" s="448">
        <f>'Water-Meter'!K59</f>
        <v>0</v>
      </c>
      <c r="N19" s="719">
        <f>'Water-Meter'!E19</f>
        <v>0</v>
      </c>
      <c r="O19" s="709"/>
      <c r="P19" s="717"/>
      <c r="Q19" s="729"/>
      <c r="R19" s="426">
        <f t="shared" si="5"/>
        <v>0</v>
      </c>
      <c r="S19" s="698"/>
      <c r="T19" s="705"/>
      <c r="U19" s="729">
        <f t="shared" si="6"/>
        <v>0</v>
      </c>
      <c r="V19" s="427">
        <f t="shared" si="19"/>
        <v>0</v>
      </c>
      <c r="W19" s="704"/>
      <c r="X19" s="710"/>
      <c r="Y19" s="729">
        <f t="shared" si="8"/>
        <v>0</v>
      </c>
      <c r="Z19" s="708">
        <f t="shared" si="9"/>
        <v>0</v>
      </c>
      <c r="AA19" s="716">
        <f t="shared" si="10"/>
        <v>0</v>
      </c>
      <c r="AB19" s="713"/>
      <c r="AC19" s="693">
        <f t="shared" si="11"/>
        <v>0</v>
      </c>
      <c r="AD19" s="695"/>
      <c r="AE19" s="178">
        <f t="shared" si="15"/>
        <v>0</v>
      </c>
      <c r="AF19" s="723">
        <f>'Lpg (2)'!B23*2000/85</f>
        <v>0</v>
      </c>
      <c r="AG19" s="266">
        <f>'Lpg (2)'!C23*1000/85</f>
        <v>0</v>
      </c>
      <c r="AH19" s="736">
        <f>'Lpg (2)'!D23*1000/85</f>
        <v>0</v>
      </c>
      <c r="AI19" s="726">
        <f t="shared" si="18"/>
        <v>0</v>
      </c>
      <c r="AJ19" s="428">
        <f t="shared" si="4"/>
        <v>0</v>
      </c>
      <c r="AK19" s="132"/>
    </row>
    <row r="20" spans="1:37" ht="19.5" thickBot="1">
      <c r="A20" s="757">
        <f>Gen!A25</f>
        <v>44242</v>
      </c>
      <c r="B20" s="425">
        <f>'Summery Report'!E19</f>
        <v>0</v>
      </c>
      <c r="C20" s="762">
        <f>Gen!B25</f>
        <v>0</v>
      </c>
      <c r="D20" s="724">
        <f>'Summery Report'!E19</f>
        <v>0</v>
      </c>
      <c r="E20" s="724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4">
        <f>Gen!C25</f>
        <v>46273.7</v>
      </c>
      <c r="I20" s="724">
        <f>Gen!E25</f>
        <v>0</v>
      </c>
      <c r="J20" s="763">
        <f>Gen!T25</f>
        <v>0</v>
      </c>
      <c r="K20" s="768">
        <f>Gen!AK25</f>
        <v>0</v>
      </c>
      <c r="L20" s="759">
        <f t="shared" si="17"/>
        <v>0</v>
      </c>
      <c r="M20" s="448">
        <f>'Water-Meter'!K60</f>
        <v>0</v>
      </c>
      <c r="N20" s="719">
        <f>'Water-Meter'!E20</f>
        <v>0</v>
      </c>
      <c r="O20" s="709"/>
      <c r="P20" s="717"/>
      <c r="Q20" s="729">
        <f t="shared" si="2"/>
        <v>0</v>
      </c>
      <c r="R20" s="426">
        <f t="shared" si="5"/>
        <v>0</v>
      </c>
      <c r="S20" s="698"/>
      <c r="T20" s="705"/>
      <c r="U20" s="729">
        <f t="shared" si="6"/>
        <v>0</v>
      </c>
      <c r="V20" s="427">
        <f t="shared" si="19"/>
        <v>0</v>
      </c>
      <c r="W20" s="704"/>
      <c r="X20" s="710"/>
      <c r="Y20" s="729">
        <f t="shared" si="8"/>
        <v>0</v>
      </c>
      <c r="Z20" s="708">
        <f t="shared" si="9"/>
        <v>0</v>
      </c>
      <c r="AA20" s="716">
        <f t="shared" si="10"/>
        <v>0</v>
      </c>
      <c r="AB20" s="713"/>
      <c r="AC20" s="693">
        <f t="shared" si="11"/>
        <v>0</v>
      </c>
      <c r="AD20" s="695"/>
      <c r="AE20" s="178">
        <f t="shared" si="15"/>
        <v>0</v>
      </c>
      <c r="AF20" s="723">
        <f>'Lpg (2)'!B24*2000/85</f>
        <v>0</v>
      </c>
      <c r="AG20" s="266">
        <f>'Lpg (2)'!C24*1000/85</f>
        <v>0</v>
      </c>
      <c r="AH20" s="736">
        <f>'Lpg (2)'!D24*1000/85</f>
        <v>0</v>
      </c>
      <c r="AI20" s="726">
        <f t="shared" si="18"/>
        <v>0</v>
      </c>
      <c r="AJ20" s="428">
        <f t="shared" si="4"/>
        <v>0</v>
      </c>
      <c r="AK20" s="132"/>
    </row>
    <row r="21" spans="1:37" ht="18.75">
      <c r="A21" s="757">
        <f>Gen!A26</f>
        <v>44243</v>
      </c>
      <c r="B21" s="425">
        <f>'Summery Report'!E20</f>
        <v>0</v>
      </c>
      <c r="C21" s="762">
        <f>Gen!B26</f>
        <v>0</v>
      </c>
      <c r="D21" s="724">
        <f>'Summery Report'!E20</f>
        <v>0</v>
      </c>
      <c r="E21" s="724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4">
        <f>Gen!C26</f>
        <v>46273.7</v>
      </c>
      <c r="I21" s="724">
        <f>Gen!E26</f>
        <v>0</v>
      </c>
      <c r="J21" s="763">
        <f>Gen!T26</f>
        <v>0</v>
      </c>
      <c r="K21" s="768">
        <f>Gen!AK26</f>
        <v>0</v>
      </c>
      <c r="L21" s="759">
        <f t="shared" si="17"/>
        <v>0</v>
      </c>
      <c r="M21" s="448">
        <f>'Water-Meter'!K61</f>
        <v>0</v>
      </c>
      <c r="N21" s="719">
        <f>'Water-Meter'!E21</f>
        <v>0</v>
      </c>
      <c r="O21" s="709"/>
      <c r="P21" s="717"/>
      <c r="Q21" s="729">
        <f t="shared" si="2"/>
        <v>0</v>
      </c>
      <c r="R21" s="426">
        <f t="shared" si="5"/>
        <v>0</v>
      </c>
      <c r="S21" s="698"/>
      <c r="T21" s="705"/>
      <c r="U21" s="729">
        <f>T22-T20</f>
        <v>0</v>
      </c>
      <c r="V21" s="427">
        <f t="shared" si="19"/>
        <v>0</v>
      </c>
      <c r="W21" s="704"/>
      <c r="X21" s="710"/>
      <c r="Y21" s="729">
        <f t="shared" si="8"/>
        <v>0</v>
      </c>
      <c r="Z21" s="708">
        <f t="shared" si="9"/>
        <v>0</v>
      </c>
      <c r="AA21" s="716">
        <f t="shared" si="10"/>
        <v>0</v>
      </c>
      <c r="AB21" s="713"/>
      <c r="AC21" s="693">
        <f t="shared" si="11"/>
        <v>0</v>
      </c>
      <c r="AD21" s="695"/>
      <c r="AE21" s="178">
        <f t="shared" si="15"/>
        <v>0</v>
      </c>
      <c r="AF21" s="723">
        <f>'Lpg (2)'!B25*2000/85</f>
        <v>0</v>
      </c>
      <c r="AG21" s="266">
        <f>'Lpg (2)'!C25*1000/85</f>
        <v>0</v>
      </c>
      <c r="AH21" s="736">
        <f>'Lpg (2)'!D25*1000/85</f>
        <v>0</v>
      </c>
      <c r="AI21" s="726">
        <f t="shared" si="18"/>
        <v>0</v>
      </c>
      <c r="AJ21" s="428">
        <f t="shared" si="4"/>
        <v>0</v>
      </c>
      <c r="AK21" s="132"/>
    </row>
    <row r="22" spans="1:37" ht="18.75">
      <c r="A22" s="757">
        <f>Gen!A27</f>
        <v>44244</v>
      </c>
      <c r="B22" s="425">
        <f>'Summery Report'!E21</f>
        <v>0</v>
      </c>
      <c r="C22" s="762">
        <f>Gen!B27</f>
        <v>0</v>
      </c>
      <c r="D22" s="724">
        <f>'Summery Report'!E21</f>
        <v>0</v>
      </c>
      <c r="E22" s="724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4">
        <f>Gen!C27</f>
        <v>46273.7</v>
      </c>
      <c r="I22" s="724">
        <f>Gen!E27</f>
        <v>0</v>
      </c>
      <c r="J22" s="763">
        <f>Gen!T27</f>
        <v>0</v>
      </c>
      <c r="K22" s="768">
        <f>Gen!AK27</f>
        <v>0</v>
      </c>
      <c r="L22" s="759">
        <f t="shared" si="17"/>
        <v>0</v>
      </c>
      <c r="M22" s="448">
        <f>'Water-Meter'!K62</f>
        <v>0</v>
      </c>
      <c r="N22" s="719">
        <f>'Water-Meter'!E22</f>
        <v>0</v>
      </c>
      <c r="O22" s="709"/>
      <c r="P22" s="717"/>
      <c r="Q22" s="729">
        <f t="shared" si="2"/>
        <v>0</v>
      </c>
      <c r="R22" s="426">
        <f t="shared" si="5"/>
        <v>0</v>
      </c>
      <c r="S22" s="704"/>
      <c r="T22" s="705"/>
      <c r="U22" s="729">
        <f t="shared" ref="U22:U23" si="20">T23-T21</f>
        <v>0</v>
      </c>
      <c r="V22" s="427">
        <f t="shared" si="19"/>
        <v>0</v>
      </c>
      <c r="W22" s="704"/>
      <c r="X22" s="710"/>
      <c r="Y22" s="729">
        <f t="shared" si="8"/>
        <v>0</v>
      </c>
      <c r="Z22" s="708">
        <f t="shared" si="9"/>
        <v>0</v>
      </c>
      <c r="AA22" s="716">
        <f t="shared" si="10"/>
        <v>0</v>
      </c>
      <c r="AB22" s="713"/>
      <c r="AC22" s="693">
        <f t="shared" si="11"/>
        <v>0</v>
      </c>
      <c r="AD22" s="695"/>
      <c r="AE22" s="178">
        <f t="shared" si="15"/>
        <v>0</v>
      </c>
      <c r="AF22" s="723">
        <f>'Lpg (2)'!B26*2000/85</f>
        <v>0</v>
      </c>
      <c r="AG22" s="266">
        <f>'Lpg (2)'!C26*1000/85</f>
        <v>0</v>
      </c>
      <c r="AH22" s="736">
        <f>'Lpg (2)'!D26*1000/85</f>
        <v>0</v>
      </c>
      <c r="AI22" s="726">
        <f t="shared" si="18"/>
        <v>0</v>
      </c>
      <c r="AJ22" s="428">
        <f t="shared" si="4"/>
        <v>0</v>
      </c>
      <c r="AK22" s="132"/>
    </row>
    <row r="23" spans="1:37" ht="18.75">
      <c r="A23" s="757">
        <f>Gen!A28</f>
        <v>44245</v>
      </c>
      <c r="B23" s="425">
        <f>'Summery Report'!E22</f>
        <v>0</v>
      </c>
      <c r="C23" s="762">
        <f>Gen!B28</f>
        <v>0</v>
      </c>
      <c r="D23" s="724">
        <f>'Summery Report'!E22</f>
        <v>0</v>
      </c>
      <c r="E23" s="724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4">
        <f>Gen!C28</f>
        <v>46273.7</v>
      </c>
      <c r="I23" s="724">
        <f>Gen!E28</f>
        <v>0</v>
      </c>
      <c r="J23" s="763">
        <f>Gen!T28</f>
        <v>0</v>
      </c>
      <c r="K23" s="768">
        <f>Gen!AK28</f>
        <v>0</v>
      </c>
      <c r="L23" s="759">
        <f t="shared" si="17"/>
        <v>0</v>
      </c>
      <c r="M23" s="448">
        <f>'Water-Meter'!K63</f>
        <v>0</v>
      </c>
      <c r="N23" s="719">
        <f>'Water-Meter'!E23</f>
        <v>0</v>
      </c>
      <c r="O23" s="709"/>
      <c r="P23" s="717"/>
      <c r="Q23" s="729">
        <f t="shared" si="2"/>
        <v>0</v>
      </c>
      <c r="R23" s="426">
        <f t="shared" si="5"/>
        <v>0</v>
      </c>
      <c r="S23" s="704"/>
      <c r="T23" s="705"/>
      <c r="U23" s="729">
        <f t="shared" si="20"/>
        <v>0</v>
      </c>
      <c r="V23" s="427">
        <f t="shared" si="19"/>
        <v>0</v>
      </c>
      <c r="W23" s="704"/>
      <c r="X23" s="710"/>
      <c r="Y23" s="729">
        <f t="shared" si="8"/>
        <v>0</v>
      </c>
      <c r="Z23" s="708">
        <f t="shared" si="9"/>
        <v>0</v>
      </c>
      <c r="AA23" s="716">
        <f t="shared" si="10"/>
        <v>0</v>
      </c>
      <c r="AB23" s="713"/>
      <c r="AC23" s="693">
        <f t="shared" si="11"/>
        <v>0</v>
      </c>
      <c r="AD23" s="696"/>
      <c r="AE23" s="178">
        <f t="shared" si="15"/>
        <v>0</v>
      </c>
      <c r="AF23" s="723">
        <f>'Lpg (2)'!B27*2000/85</f>
        <v>0</v>
      </c>
      <c r="AG23" s="266">
        <f>'Lpg (2)'!C27*1000/85</f>
        <v>0</v>
      </c>
      <c r="AH23" s="736">
        <f>'Lpg (2)'!D27*1000/85</f>
        <v>0</v>
      </c>
      <c r="AI23" s="726">
        <f t="shared" si="18"/>
        <v>0</v>
      </c>
      <c r="AJ23" s="428">
        <f t="shared" si="4"/>
        <v>0</v>
      </c>
      <c r="AK23" s="132"/>
    </row>
    <row r="24" spans="1:37" ht="18.75">
      <c r="A24" s="757">
        <f>Gen!A29</f>
        <v>44246</v>
      </c>
      <c r="B24" s="425">
        <f>'Summery Report'!E23</f>
        <v>0</v>
      </c>
      <c r="C24" s="762">
        <f>Gen!B29</f>
        <v>0</v>
      </c>
      <c r="D24" s="724">
        <f>'Summery Report'!E23</f>
        <v>0</v>
      </c>
      <c r="E24" s="724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4">
        <f>Gen!C29</f>
        <v>46273.7</v>
      </c>
      <c r="I24" s="724">
        <f>Gen!E29</f>
        <v>0</v>
      </c>
      <c r="J24" s="763">
        <f>Gen!T29</f>
        <v>0</v>
      </c>
      <c r="K24" s="768">
        <f>Gen!AK29</f>
        <v>0</v>
      </c>
      <c r="L24" s="759">
        <f t="shared" si="17"/>
        <v>0</v>
      </c>
      <c r="M24" s="448">
        <f>'Water-Meter'!K64</f>
        <v>0</v>
      </c>
      <c r="N24" s="719">
        <f>'Water-Meter'!E24</f>
        <v>0</v>
      </c>
      <c r="O24" s="709"/>
      <c r="P24" s="717"/>
      <c r="Q24" s="729">
        <f t="shared" si="2"/>
        <v>0</v>
      </c>
      <c r="R24" s="426">
        <f t="shared" si="5"/>
        <v>0</v>
      </c>
      <c r="S24" s="704"/>
      <c r="T24" s="705"/>
      <c r="U24" s="729">
        <f t="shared" si="6"/>
        <v>0</v>
      </c>
      <c r="V24" s="427">
        <f t="shared" si="19"/>
        <v>0</v>
      </c>
      <c r="W24" s="704"/>
      <c r="X24" s="710"/>
      <c r="Y24" s="729">
        <f t="shared" si="8"/>
        <v>0</v>
      </c>
      <c r="Z24" s="708">
        <f t="shared" si="9"/>
        <v>0</v>
      </c>
      <c r="AA24" s="716">
        <f t="shared" si="10"/>
        <v>0</v>
      </c>
      <c r="AB24" s="713"/>
      <c r="AC24" s="693">
        <f t="shared" si="11"/>
        <v>0</v>
      </c>
      <c r="AD24" s="696"/>
      <c r="AE24" s="178">
        <f t="shared" si="15"/>
        <v>0</v>
      </c>
      <c r="AF24" s="723">
        <f>'Lpg (2)'!B28*2000/85</f>
        <v>0</v>
      </c>
      <c r="AG24" s="266">
        <f>'Lpg (2)'!C28*1000/85</f>
        <v>0</v>
      </c>
      <c r="AH24" s="736">
        <f>'Lpg (2)'!D28*1000/85</f>
        <v>0</v>
      </c>
      <c r="AI24" s="726">
        <f t="shared" si="18"/>
        <v>0</v>
      </c>
      <c r="AJ24" s="428">
        <f t="shared" si="4"/>
        <v>0</v>
      </c>
      <c r="AK24" s="132"/>
    </row>
    <row r="25" spans="1:37" ht="18.75">
      <c r="A25" s="757">
        <f>Gen!A30</f>
        <v>44247</v>
      </c>
      <c r="B25" s="425">
        <f>'Summery Report'!E24</f>
        <v>0</v>
      </c>
      <c r="C25" s="762">
        <f>Gen!B30</f>
        <v>0</v>
      </c>
      <c r="D25" s="724">
        <f>'Summery Report'!E24</f>
        <v>0</v>
      </c>
      <c r="E25" s="724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4">
        <f>Gen!C30</f>
        <v>46273.7</v>
      </c>
      <c r="I25" s="724">
        <f>Gen!E30</f>
        <v>0</v>
      </c>
      <c r="J25" s="763">
        <f>Gen!T30</f>
        <v>0</v>
      </c>
      <c r="K25" s="768">
        <f>Gen!AK30</f>
        <v>0</v>
      </c>
      <c r="L25" s="759">
        <f t="shared" si="17"/>
        <v>0</v>
      </c>
      <c r="M25" s="448">
        <f>'Water-Meter'!K65</f>
        <v>0</v>
      </c>
      <c r="N25" s="719">
        <f>'Water-Meter'!E25</f>
        <v>0</v>
      </c>
      <c r="O25" s="709"/>
      <c r="P25" s="717"/>
      <c r="Q25" s="729">
        <f t="shared" si="2"/>
        <v>0</v>
      </c>
      <c r="R25" s="426">
        <f t="shared" si="5"/>
        <v>0</v>
      </c>
      <c r="S25" s="704"/>
      <c r="T25" s="705"/>
      <c r="U25" s="729">
        <f t="shared" si="6"/>
        <v>0</v>
      </c>
      <c r="V25" s="427">
        <f t="shared" si="19"/>
        <v>0</v>
      </c>
      <c r="W25" s="704"/>
      <c r="X25" s="710"/>
      <c r="Y25" s="729">
        <f t="shared" si="8"/>
        <v>0</v>
      </c>
      <c r="Z25" s="708">
        <f t="shared" si="9"/>
        <v>0</v>
      </c>
      <c r="AA25" s="716">
        <f t="shared" si="10"/>
        <v>0</v>
      </c>
      <c r="AB25" s="713"/>
      <c r="AC25" s="693">
        <f t="shared" si="11"/>
        <v>0</v>
      </c>
      <c r="AD25" s="696"/>
      <c r="AE25" s="178">
        <f t="shared" si="15"/>
        <v>0</v>
      </c>
      <c r="AF25" s="723">
        <f>'Lpg (2)'!B29*2000/85</f>
        <v>0</v>
      </c>
      <c r="AG25" s="266">
        <f>'Lpg (2)'!C29*1000/85</f>
        <v>0</v>
      </c>
      <c r="AH25" s="736">
        <f>'Lpg (2)'!D29*1000/85</f>
        <v>0</v>
      </c>
      <c r="AI25" s="726">
        <f t="shared" si="18"/>
        <v>0</v>
      </c>
      <c r="AJ25" s="428">
        <f t="shared" si="4"/>
        <v>0</v>
      </c>
      <c r="AK25" s="132"/>
    </row>
    <row r="26" spans="1:37" ht="18.75">
      <c r="A26" s="757">
        <f>Gen!A31</f>
        <v>44248</v>
      </c>
      <c r="B26" s="425">
        <f>'Summery Report'!E25</f>
        <v>0</v>
      </c>
      <c r="C26" s="762">
        <f>Gen!B31</f>
        <v>0</v>
      </c>
      <c r="D26" s="724">
        <f>'Summery Report'!E25</f>
        <v>0</v>
      </c>
      <c r="E26" s="724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4">
        <f>Gen!C31</f>
        <v>46273.7</v>
      </c>
      <c r="I26" s="724">
        <f>Gen!E31</f>
        <v>0</v>
      </c>
      <c r="J26" s="763">
        <f>Gen!T31</f>
        <v>0</v>
      </c>
      <c r="K26" s="768">
        <f>Gen!AK31</f>
        <v>0</v>
      </c>
      <c r="L26" s="759">
        <f t="shared" si="17"/>
        <v>0</v>
      </c>
      <c r="M26" s="448">
        <f>'Water-Meter'!K66</f>
        <v>0</v>
      </c>
      <c r="N26" s="719">
        <f>'Water-Meter'!E26</f>
        <v>0</v>
      </c>
      <c r="O26" s="709"/>
      <c r="P26" s="717"/>
      <c r="Q26" s="729">
        <f t="shared" si="2"/>
        <v>0</v>
      </c>
      <c r="R26" s="426">
        <f t="shared" si="5"/>
        <v>0</v>
      </c>
      <c r="S26" s="704"/>
      <c r="T26" s="705"/>
      <c r="U26" s="729">
        <f t="shared" si="6"/>
        <v>0</v>
      </c>
      <c r="V26" s="427">
        <f t="shared" si="19"/>
        <v>0</v>
      </c>
      <c r="W26" s="704"/>
      <c r="X26" s="710"/>
      <c r="Y26" s="729">
        <f t="shared" si="8"/>
        <v>0</v>
      </c>
      <c r="Z26" s="708">
        <f t="shared" si="9"/>
        <v>0</v>
      </c>
      <c r="AA26" s="716">
        <f t="shared" si="10"/>
        <v>0</v>
      </c>
      <c r="AB26" s="713"/>
      <c r="AC26" s="693">
        <f t="shared" si="11"/>
        <v>0</v>
      </c>
      <c r="AD26" s="696"/>
      <c r="AE26" s="178">
        <f t="shared" si="15"/>
        <v>0</v>
      </c>
      <c r="AF26" s="723">
        <f>'Lpg (2)'!B30*2000/85</f>
        <v>0</v>
      </c>
      <c r="AG26" s="266">
        <f>'Lpg (2)'!C30*1000/85</f>
        <v>0</v>
      </c>
      <c r="AH26" s="736">
        <f>'Lpg (2)'!D30*1000/85</f>
        <v>0</v>
      </c>
      <c r="AI26" s="726">
        <f t="shared" si="18"/>
        <v>0</v>
      </c>
      <c r="AJ26" s="428">
        <f t="shared" si="4"/>
        <v>0</v>
      </c>
      <c r="AK26" s="132"/>
    </row>
    <row r="27" spans="1:37" ht="18.75">
      <c r="A27" s="757">
        <f>Gen!A32</f>
        <v>44249</v>
      </c>
      <c r="B27" s="425">
        <f>'Summery Report'!E26</f>
        <v>0</v>
      </c>
      <c r="C27" s="762">
        <f>Gen!B32</f>
        <v>0</v>
      </c>
      <c r="D27" s="724">
        <f>'Summery Report'!E26</f>
        <v>0</v>
      </c>
      <c r="E27" s="724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4">
        <f>Gen!C32</f>
        <v>46273.7</v>
      </c>
      <c r="I27" s="724">
        <f>Gen!E32</f>
        <v>0</v>
      </c>
      <c r="J27" s="763">
        <f>Gen!T32</f>
        <v>0</v>
      </c>
      <c r="K27" s="768">
        <f>Gen!AK32</f>
        <v>0</v>
      </c>
      <c r="L27" s="759">
        <f t="shared" si="17"/>
        <v>0</v>
      </c>
      <c r="M27" s="448">
        <f>'Water-Meter'!K67</f>
        <v>0</v>
      </c>
      <c r="N27" s="719">
        <f>'Water-Meter'!E27</f>
        <v>0</v>
      </c>
      <c r="O27" s="709"/>
      <c r="P27" s="717"/>
      <c r="Q27" s="729">
        <f t="shared" si="2"/>
        <v>0</v>
      </c>
      <c r="R27" s="426">
        <f t="shared" si="5"/>
        <v>0</v>
      </c>
      <c r="S27" s="704"/>
      <c r="T27" s="705"/>
      <c r="U27" s="729">
        <f t="shared" si="6"/>
        <v>0</v>
      </c>
      <c r="V27" s="427">
        <f t="shared" si="19"/>
        <v>0</v>
      </c>
      <c r="W27" s="704"/>
      <c r="X27" s="710"/>
      <c r="Y27" s="729">
        <f t="shared" si="8"/>
        <v>0</v>
      </c>
      <c r="Z27" s="708">
        <f t="shared" si="9"/>
        <v>0</v>
      </c>
      <c r="AA27" s="716">
        <f t="shared" si="10"/>
        <v>0</v>
      </c>
      <c r="AB27" s="713"/>
      <c r="AC27" s="693">
        <f t="shared" si="11"/>
        <v>0</v>
      </c>
      <c r="AD27" s="696"/>
      <c r="AE27" s="178">
        <f t="shared" si="15"/>
        <v>0</v>
      </c>
      <c r="AF27" s="723">
        <f>'Lpg (2)'!B31*2000/85</f>
        <v>0</v>
      </c>
      <c r="AG27" s="266">
        <f>'Lpg (2)'!C31*1000/85</f>
        <v>0</v>
      </c>
      <c r="AH27" s="736">
        <f>'Lpg (2)'!D31*1000/85</f>
        <v>0</v>
      </c>
      <c r="AI27" s="726">
        <f t="shared" si="18"/>
        <v>0</v>
      </c>
      <c r="AJ27" s="428">
        <f t="shared" si="4"/>
        <v>0</v>
      </c>
      <c r="AK27" s="132"/>
    </row>
    <row r="28" spans="1:37" ht="18.75">
      <c r="A28" s="757">
        <f>Gen!A33</f>
        <v>44250</v>
      </c>
      <c r="B28" s="425">
        <f>'Summery Report'!E27</f>
        <v>0</v>
      </c>
      <c r="C28" s="762">
        <f>Gen!B33</f>
        <v>0</v>
      </c>
      <c r="D28" s="724">
        <f>'Summery Report'!E27</f>
        <v>0</v>
      </c>
      <c r="E28" s="724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4">
        <f>Gen!C33</f>
        <v>46273.7</v>
      </c>
      <c r="I28" s="724">
        <f>Gen!E33</f>
        <v>18000</v>
      </c>
      <c r="J28" s="763">
        <f>Gen!T33</f>
        <v>0</v>
      </c>
      <c r="K28" s="768">
        <f>Gen!AK33</f>
        <v>0</v>
      </c>
      <c r="L28" s="759">
        <f t="shared" si="17"/>
        <v>0</v>
      </c>
      <c r="M28" s="448">
        <f>'Water-Meter'!K68</f>
        <v>0</v>
      </c>
      <c r="N28" s="719">
        <f>'Water-Meter'!E28</f>
        <v>0</v>
      </c>
      <c r="O28" s="709"/>
      <c r="P28" s="717"/>
      <c r="Q28" s="729">
        <f t="shared" si="2"/>
        <v>0</v>
      </c>
      <c r="R28" s="426">
        <f t="shared" si="5"/>
        <v>0</v>
      </c>
      <c r="S28" s="704"/>
      <c r="T28" s="705"/>
      <c r="U28" s="729">
        <f t="shared" si="6"/>
        <v>0</v>
      </c>
      <c r="V28" s="427">
        <f t="shared" si="19"/>
        <v>0</v>
      </c>
      <c r="W28" s="704"/>
      <c r="X28" s="710"/>
      <c r="Y28" s="729">
        <f t="shared" si="8"/>
        <v>0</v>
      </c>
      <c r="Z28" s="708">
        <f t="shared" si="9"/>
        <v>0</v>
      </c>
      <c r="AA28" s="716">
        <f t="shared" si="10"/>
        <v>0</v>
      </c>
      <c r="AB28" s="713"/>
      <c r="AC28" s="693">
        <f t="shared" ref="AC28:AC37" si="21">SUM(AB28-AB27)</f>
        <v>0</v>
      </c>
      <c r="AD28" s="696"/>
      <c r="AE28" s="178">
        <f t="shared" si="15"/>
        <v>0</v>
      </c>
      <c r="AF28" s="723">
        <f>'Lpg (2)'!B32*2000/85</f>
        <v>0</v>
      </c>
      <c r="AG28" s="266">
        <f>'Lpg (2)'!C32*1000/85</f>
        <v>0</v>
      </c>
      <c r="AH28" s="736">
        <f>'Lpg (2)'!D32*1000/85</f>
        <v>0</v>
      </c>
      <c r="AI28" s="726">
        <f t="shared" si="18"/>
        <v>0</v>
      </c>
      <c r="AJ28" s="428">
        <f t="shared" si="4"/>
        <v>0</v>
      </c>
      <c r="AK28" s="132"/>
    </row>
    <row r="29" spans="1:37" ht="18.75">
      <c r="A29" s="757">
        <f>Gen!A34</f>
        <v>44251</v>
      </c>
      <c r="B29" s="425">
        <f>'Summery Report'!E28</f>
        <v>0</v>
      </c>
      <c r="C29" s="762">
        <f>Gen!B34</f>
        <v>0</v>
      </c>
      <c r="D29" s="724">
        <f>'Summery Report'!E28</f>
        <v>0</v>
      </c>
      <c r="E29" s="724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4">
        <f>Gen!C34</f>
        <v>46273.7</v>
      </c>
      <c r="I29" s="724">
        <f>Gen!E34</f>
        <v>0</v>
      </c>
      <c r="J29" s="763">
        <f>Gen!T34</f>
        <v>0</v>
      </c>
      <c r="K29" s="768">
        <f>Gen!AK34</f>
        <v>0</v>
      </c>
      <c r="L29" s="759">
        <f t="shared" si="17"/>
        <v>0</v>
      </c>
      <c r="M29" s="448">
        <f>'Water-Meter'!K69</f>
        <v>0</v>
      </c>
      <c r="N29" s="719">
        <f>'Water-Meter'!E29</f>
        <v>0</v>
      </c>
      <c r="O29" s="709"/>
      <c r="P29" s="717"/>
      <c r="Q29" s="729">
        <f t="shared" si="2"/>
        <v>0</v>
      </c>
      <c r="R29" s="426">
        <f t="shared" si="5"/>
        <v>0</v>
      </c>
      <c r="S29" s="704"/>
      <c r="T29" s="705"/>
      <c r="U29" s="729">
        <f t="shared" si="6"/>
        <v>0</v>
      </c>
      <c r="V29" s="427">
        <f t="shared" si="19"/>
        <v>0</v>
      </c>
      <c r="W29" s="704"/>
      <c r="X29" s="710"/>
      <c r="Y29" s="729">
        <f t="shared" si="8"/>
        <v>0</v>
      </c>
      <c r="Z29" s="708">
        <f t="shared" si="9"/>
        <v>0</v>
      </c>
      <c r="AA29" s="716">
        <f t="shared" si="10"/>
        <v>0</v>
      </c>
      <c r="AB29" s="713"/>
      <c r="AC29" s="693">
        <f t="shared" si="21"/>
        <v>0</v>
      </c>
      <c r="AD29" s="696"/>
      <c r="AE29" s="178">
        <f t="shared" si="15"/>
        <v>0</v>
      </c>
      <c r="AF29" s="723">
        <f>'Lpg (2)'!B33*2000/85</f>
        <v>0</v>
      </c>
      <c r="AG29" s="266">
        <f>'Lpg (2)'!C33*1000/85</f>
        <v>0</v>
      </c>
      <c r="AH29" s="736">
        <f>'Lpg (2)'!D33*1000/85</f>
        <v>0</v>
      </c>
      <c r="AI29" s="726">
        <f t="shared" si="18"/>
        <v>0</v>
      </c>
      <c r="AJ29" s="428">
        <f t="shared" si="4"/>
        <v>0</v>
      </c>
      <c r="AK29" s="132"/>
    </row>
    <row r="30" spans="1:37" ht="18.75">
      <c r="A30" s="757">
        <f>Gen!A35</f>
        <v>44252</v>
      </c>
      <c r="B30" s="425">
        <f>'Summery Report'!E29</f>
        <v>0</v>
      </c>
      <c r="C30" s="762">
        <f>Gen!B35</f>
        <v>0</v>
      </c>
      <c r="D30" s="724">
        <f>'Summery Report'!E29</f>
        <v>0</v>
      </c>
      <c r="E30" s="724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4">
        <f>Gen!C35</f>
        <v>46273.7</v>
      </c>
      <c r="I30" s="724">
        <f>Gen!E35</f>
        <v>0</v>
      </c>
      <c r="J30" s="763">
        <f>Gen!T35</f>
        <v>0</v>
      </c>
      <c r="K30" s="768">
        <f>Gen!AK35</f>
        <v>0</v>
      </c>
      <c r="L30" s="759">
        <f t="shared" si="17"/>
        <v>0</v>
      </c>
      <c r="M30" s="448">
        <f>'Water-Meter'!K70</f>
        <v>0</v>
      </c>
      <c r="N30" s="719">
        <f>'Water-Meter'!E30</f>
        <v>0</v>
      </c>
      <c r="O30" s="709"/>
      <c r="P30" s="717"/>
      <c r="Q30" s="729">
        <f t="shared" si="2"/>
        <v>0</v>
      </c>
      <c r="R30" s="426">
        <f t="shared" si="5"/>
        <v>0</v>
      </c>
      <c r="S30" s="704"/>
      <c r="T30" s="705"/>
      <c r="U30" s="729">
        <f t="shared" si="6"/>
        <v>0</v>
      </c>
      <c r="V30" s="427">
        <f t="shared" si="19"/>
        <v>0</v>
      </c>
      <c r="W30" s="704"/>
      <c r="X30" s="710"/>
      <c r="Y30" s="729">
        <f t="shared" si="8"/>
        <v>0</v>
      </c>
      <c r="Z30" s="708">
        <f t="shared" si="9"/>
        <v>0</v>
      </c>
      <c r="AA30" s="716">
        <f t="shared" si="10"/>
        <v>0</v>
      </c>
      <c r="AB30" s="713"/>
      <c r="AC30" s="693">
        <f t="shared" si="21"/>
        <v>0</v>
      </c>
      <c r="AD30" s="696"/>
      <c r="AE30" s="178">
        <f t="shared" si="15"/>
        <v>0</v>
      </c>
      <c r="AF30" s="723">
        <f>'Lpg (2)'!B34*2000/85</f>
        <v>0</v>
      </c>
      <c r="AG30" s="266">
        <f>'Lpg (2)'!C34*1000/85</f>
        <v>0</v>
      </c>
      <c r="AH30" s="736">
        <f>'Lpg (2)'!D34*1000/85</f>
        <v>0</v>
      </c>
      <c r="AI30" s="726">
        <f t="shared" si="18"/>
        <v>0</v>
      </c>
      <c r="AJ30" s="428">
        <f t="shared" si="4"/>
        <v>0</v>
      </c>
      <c r="AK30" s="132"/>
    </row>
    <row r="31" spans="1:37" ht="18.75">
      <c r="A31" s="757">
        <f>Gen!A36</f>
        <v>44253</v>
      </c>
      <c r="B31" s="425">
        <f>'Summery Report'!E30</f>
        <v>0</v>
      </c>
      <c r="C31" s="762">
        <f>Gen!B36</f>
        <v>0</v>
      </c>
      <c r="D31" s="724">
        <f>'Summery Report'!E30</f>
        <v>0</v>
      </c>
      <c r="E31" s="724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4">
        <f>Gen!C36</f>
        <v>46273.7</v>
      </c>
      <c r="I31" s="724">
        <f>Gen!E36</f>
        <v>0</v>
      </c>
      <c r="J31" s="763">
        <f>Gen!T36</f>
        <v>0</v>
      </c>
      <c r="K31" s="768">
        <f>Gen!AK36</f>
        <v>0</v>
      </c>
      <c r="L31" s="759">
        <f t="shared" si="17"/>
        <v>0</v>
      </c>
      <c r="M31" s="448">
        <f>'Water-Meter'!K71</f>
        <v>0</v>
      </c>
      <c r="N31" s="719">
        <f>'Water-Meter'!E31</f>
        <v>0</v>
      </c>
      <c r="O31" s="709"/>
      <c r="P31" s="717"/>
      <c r="Q31" s="729">
        <f t="shared" si="2"/>
        <v>0</v>
      </c>
      <c r="R31" s="426">
        <f t="shared" si="5"/>
        <v>0</v>
      </c>
      <c r="S31" s="704"/>
      <c r="T31" s="705"/>
      <c r="U31" s="729">
        <f t="shared" si="6"/>
        <v>0</v>
      </c>
      <c r="V31" s="427">
        <f t="shared" si="19"/>
        <v>0</v>
      </c>
      <c r="W31" s="704"/>
      <c r="X31" s="711"/>
      <c r="Y31" s="729">
        <f t="shared" si="8"/>
        <v>0</v>
      </c>
      <c r="Z31" s="708">
        <f t="shared" si="9"/>
        <v>0</v>
      </c>
      <c r="AA31" s="716">
        <f t="shared" si="10"/>
        <v>0</v>
      </c>
      <c r="AB31" s="713"/>
      <c r="AC31" s="693">
        <f t="shared" si="21"/>
        <v>0</v>
      </c>
      <c r="AD31" s="696"/>
      <c r="AE31" s="178">
        <f t="shared" si="15"/>
        <v>0</v>
      </c>
      <c r="AF31" s="723">
        <f>'Lpg (2)'!B35*2000/85</f>
        <v>0</v>
      </c>
      <c r="AG31" s="266">
        <f>'Lpg (2)'!C35*1000/85</f>
        <v>0</v>
      </c>
      <c r="AH31" s="736">
        <f>'Lpg (2)'!D35*1000/85</f>
        <v>0</v>
      </c>
      <c r="AI31" s="726">
        <f t="shared" si="18"/>
        <v>0</v>
      </c>
      <c r="AJ31" s="428">
        <f t="shared" si="4"/>
        <v>0</v>
      </c>
      <c r="AK31" s="132"/>
    </row>
    <row r="32" spans="1:37" ht="18.75">
      <c r="A32" s="757">
        <f>Gen!A37</f>
        <v>44254</v>
      </c>
      <c r="B32" s="425">
        <f>'Summery Report'!E31</f>
        <v>0</v>
      </c>
      <c r="C32" s="762">
        <f>Gen!B37</f>
        <v>0</v>
      </c>
      <c r="D32" s="724">
        <f>'Summery Report'!E31</f>
        <v>0</v>
      </c>
      <c r="E32" s="724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4">
        <f>Gen!C37</f>
        <v>46273.7</v>
      </c>
      <c r="I32" s="724">
        <f>Gen!E37</f>
        <v>0</v>
      </c>
      <c r="J32" s="763">
        <f>Gen!T37</f>
        <v>0</v>
      </c>
      <c r="K32" s="768">
        <f>Gen!AK37</f>
        <v>0</v>
      </c>
      <c r="L32" s="759">
        <f t="shared" si="17"/>
        <v>0</v>
      </c>
      <c r="M32" s="448">
        <f>'Water-Meter'!K72</f>
        <v>0</v>
      </c>
      <c r="N32" s="719">
        <f>'Water-Meter'!E32</f>
        <v>0</v>
      </c>
      <c r="O32" s="709"/>
      <c r="P32" s="717"/>
      <c r="Q32" s="729">
        <f t="shared" si="2"/>
        <v>0</v>
      </c>
      <c r="R32" s="426">
        <f t="shared" si="5"/>
        <v>0</v>
      </c>
      <c r="S32" s="704"/>
      <c r="T32" s="705"/>
      <c r="U32" s="729">
        <f t="shared" si="6"/>
        <v>0</v>
      </c>
      <c r="V32" s="427">
        <f t="shared" si="19"/>
        <v>0</v>
      </c>
      <c r="W32" s="704"/>
      <c r="X32" s="710"/>
      <c r="Y32" s="729">
        <f t="shared" si="8"/>
        <v>0</v>
      </c>
      <c r="Z32" s="708">
        <f t="shared" si="9"/>
        <v>0</v>
      </c>
      <c r="AA32" s="716">
        <f t="shared" si="10"/>
        <v>0</v>
      </c>
      <c r="AB32" s="713"/>
      <c r="AC32" s="693">
        <f t="shared" si="21"/>
        <v>0</v>
      </c>
      <c r="AD32" s="696"/>
      <c r="AE32" s="178">
        <f t="shared" si="15"/>
        <v>0</v>
      </c>
      <c r="AF32" s="723">
        <f>'Lpg (2)'!B36*2000/85</f>
        <v>0</v>
      </c>
      <c r="AG32" s="266">
        <f>'Lpg (2)'!C36*1000/85</f>
        <v>0</v>
      </c>
      <c r="AH32" s="736">
        <f>'Lpg (2)'!D36*1000/85</f>
        <v>0</v>
      </c>
      <c r="AI32" s="726">
        <f t="shared" si="18"/>
        <v>0</v>
      </c>
      <c r="AJ32" s="428">
        <f t="shared" si="4"/>
        <v>0</v>
      </c>
      <c r="AK32" s="132"/>
    </row>
    <row r="33" spans="1:37" ht="18.75">
      <c r="A33" s="757">
        <f>Gen!A38</f>
        <v>44255</v>
      </c>
      <c r="B33" s="425">
        <f>'Summery Report'!E32</f>
        <v>0</v>
      </c>
      <c r="C33" s="762">
        <f>Gen!B38</f>
        <v>0</v>
      </c>
      <c r="D33" s="724">
        <f>'Summery Report'!E32</f>
        <v>0</v>
      </c>
      <c r="E33" s="724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4">
        <f>Gen!C38</f>
        <v>46273.7</v>
      </c>
      <c r="I33" s="724">
        <f>Gen!E38</f>
        <v>0</v>
      </c>
      <c r="J33" s="763">
        <f>Gen!T38</f>
        <v>0</v>
      </c>
      <c r="K33" s="768">
        <f>Gen!AK38</f>
        <v>0</v>
      </c>
      <c r="L33" s="759">
        <f t="shared" si="17"/>
        <v>0</v>
      </c>
      <c r="M33" s="448">
        <f>'Water-Meter'!K73</f>
        <v>0</v>
      </c>
      <c r="N33" s="719">
        <f>'Water-Meter'!E33</f>
        <v>0</v>
      </c>
      <c r="O33" s="709"/>
      <c r="P33" s="717"/>
      <c r="Q33" s="729">
        <f t="shared" si="2"/>
        <v>0</v>
      </c>
      <c r="R33" s="426">
        <f t="shared" si="5"/>
        <v>0</v>
      </c>
      <c r="S33" s="704"/>
      <c r="T33" s="705"/>
      <c r="U33" s="729">
        <f t="shared" si="6"/>
        <v>0</v>
      </c>
      <c r="V33" s="427">
        <f t="shared" si="19"/>
        <v>0</v>
      </c>
      <c r="W33" s="704"/>
      <c r="X33" s="710"/>
      <c r="Y33" s="729">
        <f t="shared" si="8"/>
        <v>0</v>
      </c>
      <c r="Z33" s="708">
        <f t="shared" si="9"/>
        <v>0</v>
      </c>
      <c r="AA33" s="716">
        <f t="shared" si="10"/>
        <v>0</v>
      </c>
      <c r="AB33" s="713"/>
      <c r="AC33" s="693">
        <f t="shared" si="21"/>
        <v>0</v>
      </c>
      <c r="AD33" s="696"/>
      <c r="AE33" s="178">
        <f t="shared" si="15"/>
        <v>0</v>
      </c>
      <c r="AF33" s="723">
        <f>'Lpg (2)'!B37*2000/85</f>
        <v>0</v>
      </c>
      <c r="AG33" s="266">
        <f>'Lpg (2)'!C37*1000/85</f>
        <v>0</v>
      </c>
      <c r="AH33" s="736">
        <f>'Lpg (2)'!D37*1000/85</f>
        <v>0</v>
      </c>
      <c r="AI33" s="726">
        <f t="shared" si="18"/>
        <v>0</v>
      </c>
      <c r="AJ33" s="428">
        <f t="shared" si="4"/>
        <v>0</v>
      </c>
      <c r="AK33" s="132"/>
    </row>
    <row r="34" spans="1:37" ht="18.75">
      <c r="A34" s="757">
        <f>Gen!A39</f>
        <v>0</v>
      </c>
      <c r="B34" s="425">
        <f>'Summery Report'!E33</f>
        <v>0</v>
      </c>
      <c r="C34" s="762">
        <f>Gen!B39</f>
        <v>0</v>
      </c>
      <c r="D34" s="724">
        <f>'Summery Report'!E33</f>
        <v>0</v>
      </c>
      <c r="E34" s="724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4">
        <f>Gen!C39</f>
        <v>46273.7</v>
      </c>
      <c r="I34" s="724">
        <f>Gen!E39</f>
        <v>0</v>
      </c>
      <c r="J34" s="763">
        <f>Gen!T39</f>
        <v>0</v>
      </c>
      <c r="K34" s="768">
        <f>Gen!AK39</f>
        <v>0</v>
      </c>
      <c r="L34" s="759">
        <f t="shared" si="17"/>
        <v>0</v>
      </c>
      <c r="M34" s="448">
        <f>'Water-Meter'!K74</f>
        <v>0</v>
      </c>
      <c r="N34" s="719">
        <f>'Water-Meter'!E34</f>
        <v>0</v>
      </c>
      <c r="O34" s="709"/>
      <c r="P34" s="717"/>
      <c r="Q34" s="729">
        <f t="shared" si="2"/>
        <v>0</v>
      </c>
      <c r="R34" s="426">
        <f t="shared" si="5"/>
        <v>0</v>
      </c>
      <c r="S34" s="704"/>
      <c r="T34" s="705"/>
      <c r="U34" s="729">
        <f t="shared" si="6"/>
        <v>0</v>
      </c>
      <c r="V34" s="427">
        <f t="shared" si="19"/>
        <v>0</v>
      </c>
      <c r="W34" s="704"/>
      <c r="X34" s="710"/>
      <c r="Y34" s="729">
        <f t="shared" si="8"/>
        <v>0</v>
      </c>
      <c r="Z34" s="708">
        <f t="shared" si="9"/>
        <v>0</v>
      </c>
      <c r="AA34" s="716">
        <f t="shared" si="10"/>
        <v>0</v>
      </c>
      <c r="AB34" s="713"/>
      <c r="AC34" s="693">
        <f t="shared" si="21"/>
        <v>0</v>
      </c>
      <c r="AD34" s="696"/>
      <c r="AE34" s="178">
        <f t="shared" si="15"/>
        <v>0</v>
      </c>
      <c r="AF34" s="723">
        <f>'Lpg (2)'!B38*2000/85</f>
        <v>0</v>
      </c>
      <c r="AG34" s="266">
        <f>'Lpg (2)'!C38*1000/85</f>
        <v>0</v>
      </c>
      <c r="AH34" s="736">
        <f>'Lpg (2)'!D38*1000/85</f>
        <v>0</v>
      </c>
      <c r="AI34" s="726">
        <f t="shared" si="18"/>
        <v>0</v>
      </c>
      <c r="AJ34" s="428">
        <f t="shared" si="4"/>
        <v>0</v>
      </c>
      <c r="AK34" s="132"/>
    </row>
    <row r="35" spans="1:37" ht="18.75">
      <c r="A35" s="757">
        <f>Gen!A40</f>
        <v>0</v>
      </c>
      <c r="B35" s="425">
        <f>'Summery Report'!E34</f>
        <v>0</v>
      </c>
      <c r="C35" s="762">
        <f>Gen!B40</f>
        <v>0</v>
      </c>
      <c r="D35" s="724">
        <f>'Summery Report'!E34</f>
        <v>0</v>
      </c>
      <c r="E35" s="724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4">
        <f>Gen!C40</f>
        <v>46273.7</v>
      </c>
      <c r="I35" s="724">
        <f>Gen!E40</f>
        <v>0</v>
      </c>
      <c r="J35" s="763">
        <f>Gen!T40</f>
        <v>0</v>
      </c>
      <c r="K35" s="768">
        <f>Gen!AK40</f>
        <v>0</v>
      </c>
      <c r="L35" s="759">
        <f t="shared" si="17"/>
        <v>0</v>
      </c>
      <c r="M35" s="448">
        <f>'Water-Meter'!K75</f>
        <v>0</v>
      </c>
      <c r="N35" s="719">
        <f>'Water-Meter'!E35</f>
        <v>0</v>
      </c>
      <c r="O35" s="709"/>
      <c r="P35" s="717"/>
      <c r="Q35" s="729">
        <f t="shared" si="2"/>
        <v>0</v>
      </c>
      <c r="R35" s="426">
        <f t="shared" si="5"/>
        <v>0</v>
      </c>
      <c r="S35" s="704"/>
      <c r="T35" s="705"/>
      <c r="U35" s="729">
        <f t="shared" si="6"/>
        <v>0</v>
      </c>
      <c r="V35" s="427">
        <f t="shared" si="19"/>
        <v>0</v>
      </c>
      <c r="W35" s="704"/>
      <c r="X35" s="710"/>
      <c r="Y35" s="729">
        <f t="shared" si="8"/>
        <v>0</v>
      </c>
      <c r="Z35" s="708">
        <f t="shared" si="9"/>
        <v>0</v>
      </c>
      <c r="AA35" s="716">
        <f t="shared" si="10"/>
        <v>0</v>
      </c>
      <c r="AB35" s="713"/>
      <c r="AC35" s="693">
        <f t="shared" si="21"/>
        <v>0</v>
      </c>
      <c r="AD35" s="696"/>
      <c r="AE35" s="178">
        <f t="shared" si="15"/>
        <v>0</v>
      </c>
      <c r="AF35" s="723">
        <f>'Lpg (2)'!B39*2000/85</f>
        <v>0</v>
      </c>
      <c r="AG35" s="266">
        <f>'Lpg (2)'!C39*1000/85</f>
        <v>0</v>
      </c>
      <c r="AH35" s="736">
        <f>'Lpg (2)'!D39*1000/85</f>
        <v>0</v>
      </c>
      <c r="AI35" s="726">
        <f t="shared" si="18"/>
        <v>0</v>
      </c>
      <c r="AJ35" s="428">
        <f t="shared" si="4"/>
        <v>0</v>
      </c>
      <c r="AK35" s="132"/>
    </row>
    <row r="36" spans="1:37" ht="18.75">
      <c r="A36" s="757">
        <f>Gen!A41</f>
        <v>0</v>
      </c>
      <c r="B36" s="425">
        <f>'Summery Report'!E35</f>
        <v>0</v>
      </c>
      <c r="C36" s="762">
        <f>Gen!B41</f>
        <v>0</v>
      </c>
      <c r="D36" s="724">
        <f>'Summery Report'!E35</f>
        <v>0</v>
      </c>
      <c r="E36" s="724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4">
        <f>Gen!C41</f>
        <v>46273.7</v>
      </c>
      <c r="I36" s="724">
        <f>Gen!E41</f>
        <v>0</v>
      </c>
      <c r="J36" s="763">
        <f>Gen!T41</f>
        <v>0</v>
      </c>
      <c r="K36" s="768">
        <f>Gen!AK41</f>
        <v>0</v>
      </c>
      <c r="L36" s="759">
        <f t="shared" si="17"/>
        <v>0</v>
      </c>
      <c r="M36" s="448">
        <f>'Water-Meter'!K76</f>
        <v>0</v>
      </c>
      <c r="N36" s="719">
        <f>'Water-Meter'!E36</f>
        <v>0</v>
      </c>
      <c r="O36" s="709"/>
      <c r="P36" s="717"/>
      <c r="Q36" s="729">
        <f t="shared" si="2"/>
        <v>0</v>
      </c>
      <c r="R36" s="426">
        <f t="shared" si="5"/>
        <v>0</v>
      </c>
      <c r="S36" s="704"/>
      <c r="T36" s="705"/>
      <c r="U36" s="729">
        <f t="shared" si="6"/>
        <v>0</v>
      </c>
      <c r="V36" s="427">
        <f t="shared" si="19"/>
        <v>0</v>
      </c>
      <c r="W36" s="704"/>
      <c r="X36" s="710"/>
      <c r="Y36" s="729">
        <f t="shared" si="8"/>
        <v>0</v>
      </c>
      <c r="Z36" s="708">
        <f t="shared" si="9"/>
        <v>0</v>
      </c>
      <c r="AA36" s="716">
        <f t="shared" si="10"/>
        <v>0</v>
      </c>
      <c r="AB36" s="713"/>
      <c r="AC36" s="693">
        <f t="shared" si="21"/>
        <v>0</v>
      </c>
      <c r="AD36" s="696"/>
      <c r="AE36" s="178">
        <f t="shared" si="15"/>
        <v>0</v>
      </c>
      <c r="AF36" s="723">
        <f>'Lpg (2)'!B40*2000/85</f>
        <v>0</v>
      </c>
      <c r="AG36" s="266">
        <f>'Lpg (2)'!C40*1000/85</f>
        <v>0</v>
      </c>
      <c r="AH36" s="736">
        <f>'Lpg (2)'!D40*1000/85</f>
        <v>0</v>
      </c>
      <c r="AI36" s="726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8">
        <f>Gen!A42</f>
        <v>0</v>
      </c>
      <c r="B37" s="769">
        <v>0</v>
      </c>
      <c r="C37" s="770"/>
      <c r="D37" s="770"/>
      <c r="E37" s="770"/>
      <c r="F37" s="770"/>
      <c r="G37" s="770"/>
      <c r="H37" s="771"/>
      <c r="I37" s="772"/>
      <c r="J37" s="773">
        <f>SUM(J6:J36)</f>
        <v>8354</v>
      </c>
      <c r="K37" s="774"/>
      <c r="L37" s="760">
        <f t="shared" si="17"/>
        <v>8354</v>
      </c>
      <c r="M37" s="448">
        <f>'Water-Meter'!K77</f>
        <v>0</v>
      </c>
      <c r="N37" s="720">
        <f>'Water-Meter'!E37</f>
        <v>0</v>
      </c>
      <c r="O37" s="706"/>
      <c r="P37" s="707"/>
      <c r="Q37" s="730">
        <f t="shared" ref="Q37" si="22">SUM(P37-P36)</f>
        <v>0</v>
      </c>
      <c r="R37" s="731">
        <f t="shared" ref="R37" si="23">SUM(Q37*O37)</f>
        <v>0</v>
      </c>
      <c r="S37" s="706"/>
      <c r="T37" s="707"/>
      <c r="U37" s="730">
        <f t="shared" ref="U37" si="24">T37-T36</f>
        <v>0</v>
      </c>
      <c r="V37" s="732">
        <f t="shared" ref="V37" si="25">SUM(U37*S37)</f>
        <v>0</v>
      </c>
      <c r="W37" s="706"/>
      <c r="X37" s="707"/>
      <c r="Y37" s="730">
        <f t="shared" ref="Y37" si="26">X37-X36</f>
        <v>0</v>
      </c>
      <c r="Z37" s="733">
        <f t="shared" ref="Z37" si="27">SUM(Y37*W37)</f>
        <v>0</v>
      </c>
      <c r="AA37" s="734">
        <f t="shared" ref="AA37" si="28">SUM(Z37*X39)</f>
        <v>0</v>
      </c>
      <c r="AB37" s="701"/>
      <c r="AC37" s="694">
        <f t="shared" si="21"/>
        <v>0</v>
      </c>
      <c r="AD37" s="697"/>
      <c r="AE37" s="702">
        <f t="shared" si="15"/>
        <v>0</v>
      </c>
      <c r="AF37" s="737">
        <f>'Lpg (2)'!B41*2000/85</f>
        <v>0</v>
      </c>
      <c r="AG37" s="738">
        <f>'Lpg (2)'!C41*1000/85</f>
        <v>0</v>
      </c>
      <c r="AH37" s="739">
        <f>'Lpg (2)'!D41*1000/85</f>
        <v>0</v>
      </c>
      <c r="AI37" s="727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8" sqref="W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8" t="s">
        <v>150</v>
      </c>
      <c r="C1" s="859"/>
      <c r="D1" s="859"/>
      <c r="E1" s="859"/>
      <c r="F1" s="860"/>
      <c r="G1" s="157"/>
      <c r="H1" s="858" t="s">
        <v>151</v>
      </c>
      <c r="I1" s="859"/>
      <c r="J1" s="859"/>
      <c r="K1" s="859"/>
      <c r="L1" s="860"/>
      <c r="M1" s="858" t="s">
        <v>170</v>
      </c>
      <c r="N1" s="859"/>
      <c r="O1" s="859"/>
      <c r="P1" s="859"/>
      <c r="Q1" s="860"/>
      <c r="R1" s="157"/>
      <c r="T1" s="858" t="s">
        <v>166</v>
      </c>
      <c r="U1" s="859"/>
      <c r="V1" s="859"/>
      <c r="W1" s="859"/>
      <c r="X1" s="860"/>
      <c r="Y1" s="858" t="s">
        <v>169</v>
      </c>
      <c r="Z1" s="859"/>
      <c r="AA1" s="859"/>
      <c r="AB1" s="859"/>
      <c r="AC1" s="860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8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44228</v>
      </c>
      <c r="B3" s="861" t="s">
        <v>156</v>
      </c>
      <c r="C3" s="862"/>
      <c r="D3" s="166"/>
      <c r="E3" s="579">
        <f>'[3]Kit report'!$E$34</f>
        <v>9077.7999999999993</v>
      </c>
      <c r="F3" s="586" t="s">
        <v>157</v>
      </c>
      <c r="G3" s="587"/>
      <c r="H3" s="861" t="s">
        <v>156</v>
      </c>
      <c r="I3" s="862"/>
      <c r="J3" s="613">
        <f>'Water-Meter'!G5</f>
        <v>0</v>
      </c>
      <c r="K3" s="588">
        <f>'Water-Meter'!G5</f>
        <v>0</v>
      </c>
      <c r="L3" s="241"/>
      <c r="M3" s="861" t="s">
        <v>156</v>
      </c>
      <c r="N3" s="862"/>
      <c r="O3" s="166"/>
      <c r="P3" s="589"/>
      <c r="Q3" s="165"/>
      <c r="R3" s="241"/>
      <c r="S3" s="639"/>
      <c r="T3" s="861" t="s">
        <v>156</v>
      </c>
      <c r="U3" s="862"/>
      <c r="V3" s="166"/>
      <c r="W3" s="580">
        <f>'[3]Kit report'!$W$34</f>
        <v>7987.2</v>
      </c>
      <c r="X3" s="590">
        <f t="shared" ref="X3:X35" si="0">(W3-V3)*200</f>
        <v>1597440</v>
      </c>
      <c r="Y3" s="861" t="s">
        <v>156</v>
      </c>
      <c r="Z3" s="862"/>
      <c r="AA3" s="166"/>
      <c r="AB3" s="169"/>
      <c r="AC3" s="170"/>
    </row>
    <row r="4" spans="1:29" ht="19.5" thickBot="1">
      <c r="A4" s="640">
        <f>Gen!B11</f>
        <v>9.0999999999999998E-2</v>
      </c>
      <c r="B4" s="591">
        <f>Gen!A11</f>
        <v>44228</v>
      </c>
      <c r="C4" s="592"/>
      <c r="D4" s="593">
        <f t="shared" ref="D4:D23" si="1">E3</f>
        <v>9077.7999999999993</v>
      </c>
      <c r="E4" s="579">
        <v>9079.9</v>
      </c>
      <c r="F4" s="593">
        <f t="shared" ref="F4:F15" si="2">SUM(E4-D4)*120</f>
        <v>252.00000000004366</v>
      </c>
      <c r="G4" s="592"/>
      <c r="H4" s="629">
        <f>B4</f>
        <v>44228</v>
      </c>
      <c r="I4" s="592"/>
      <c r="J4" s="630">
        <f>'Water-Meter'!G6</f>
        <v>0</v>
      </c>
      <c r="K4" s="631">
        <f>'Water-Meter'!G6</f>
        <v>0</v>
      </c>
      <c r="L4" s="592">
        <f t="shared" ref="L4:L34" si="3">SUM(K4-J4)</f>
        <v>0</v>
      </c>
      <c r="M4" s="629">
        <f>H4</f>
        <v>44228</v>
      </c>
      <c r="N4" s="592"/>
      <c r="O4" s="60"/>
      <c r="P4" s="599">
        <f>'Water-Meter'!J6</f>
        <v>8243</v>
      </c>
      <c r="Q4" s="165"/>
      <c r="R4" s="241"/>
      <c r="S4" s="632">
        <f>Gen!T11</f>
        <v>2906</v>
      </c>
      <c r="T4" s="629">
        <f>M4</f>
        <v>44228</v>
      </c>
      <c r="U4" s="592"/>
      <c r="V4" s="593">
        <f t="shared" ref="V4:V33" si="4">W3</f>
        <v>7987.2</v>
      </c>
      <c r="W4" s="580">
        <v>7988.8</v>
      </c>
      <c r="X4" s="593">
        <f t="shared" si="0"/>
        <v>320.00000000007276</v>
      </c>
      <c r="Y4" s="629">
        <f>T4</f>
        <v>44228</v>
      </c>
      <c r="Z4" s="592"/>
      <c r="AA4" s="592"/>
      <c r="AB4" s="599">
        <f>'Water-Meter'!P6</f>
        <v>20893</v>
      </c>
      <c r="AC4" s="600">
        <f>AA4-AB3</f>
        <v>0</v>
      </c>
    </row>
    <row r="5" spans="1:29" ht="19.5" thickBot="1">
      <c r="A5" s="641">
        <f>Gen!B12</f>
        <v>6.5000000000000002E-2</v>
      </c>
      <c r="B5" s="594">
        <f>Gen!A12</f>
        <v>44229</v>
      </c>
      <c r="C5" s="578"/>
      <c r="D5" s="583">
        <f t="shared" si="1"/>
        <v>9079.9</v>
      </c>
      <c r="E5" s="579">
        <v>9081.7999999999993</v>
      </c>
      <c r="F5" s="583">
        <f t="shared" si="2"/>
        <v>227.99999999995634</v>
      </c>
      <c r="G5" s="578"/>
      <c r="H5" s="625">
        <f t="shared" ref="H5:H35" si="5">B5</f>
        <v>44229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6">H5</f>
        <v>44229</v>
      </c>
      <c r="N5" s="578"/>
      <c r="O5" s="6"/>
      <c r="P5" s="582">
        <f>'Water-Meter'!J7</f>
        <v>8245</v>
      </c>
      <c r="Q5" s="165"/>
      <c r="R5" s="241"/>
      <c r="S5" s="628">
        <f>Gen!T12</f>
        <v>2849</v>
      </c>
      <c r="T5" s="625">
        <f t="shared" ref="T5:T30" si="7">M5</f>
        <v>44229</v>
      </c>
      <c r="U5" s="578"/>
      <c r="V5" s="583">
        <f t="shared" si="4"/>
        <v>7988.8</v>
      </c>
      <c r="W5" s="580">
        <v>7990.6</v>
      </c>
      <c r="X5" s="583">
        <f t="shared" si="0"/>
        <v>360.00000000003638</v>
      </c>
      <c r="Y5" s="625">
        <f t="shared" ref="Y5:Y30" si="8">T5</f>
        <v>44229</v>
      </c>
      <c r="Z5" s="578"/>
      <c r="AA5" s="578"/>
      <c r="AB5" s="582">
        <f>'Water-Meter'!P7</f>
        <v>20898</v>
      </c>
      <c r="AC5" s="633">
        <f t="shared" ref="AC5:AC35" si="9">AA5-AB4</f>
        <v>-20893</v>
      </c>
    </row>
    <row r="6" spans="1:29" ht="19.5" thickBot="1">
      <c r="A6" s="641">
        <f>Gen!B13</f>
        <v>3.9E-2</v>
      </c>
      <c r="B6" s="594">
        <f>Gen!A13</f>
        <v>44230</v>
      </c>
      <c r="C6" s="578"/>
      <c r="D6" s="583">
        <f t="shared" si="1"/>
        <v>9081.7999999999993</v>
      </c>
      <c r="E6" s="579">
        <v>9083.9</v>
      </c>
      <c r="F6" s="583">
        <f t="shared" si="2"/>
        <v>252.00000000004366</v>
      </c>
      <c r="G6" s="578"/>
      <c r="H6" s="625">
        <f t="shared" si="5"/>
        <v>44230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6"/>
        <v>44230</v>
      </c>
      <c r="N6" s="578"/>
      <c r="O6" s="6"/>
      <c r="P6" s="582">
        <f>'Water-Meter'!J8</f>
        <v>8246</v>
      </c>
      <c r="Q6" s="165"/>
      <c r="R6" s="241"/>
      <c r="S6" s="628">
        <f>Gen!T13</f>
        <v>2599</v>
      </c>
      <c r="T6" s="625">
        <f t="shared" si="7"/>
        <v>44230</v>
      </c>
      <c r="U6" s="578"/>
      <c r="V6" s="583">
        <f t="shared" si="4"/>
        <v>7990.6</v>
      </c>
      <c r="W6" s="580">
        <v>7991.7</v>
      </c>
      <c r="X6" s="583">
        <f t="shared" si="0"/>
        <v>219.99999999989086</v>
      </c>
      <c r="Y6" s="625">
        <f t="shared" si="8"/>
        <v>44230</v>
      </c>
      <c r="Z6" s="578"/>
      <c r="AA6" s="578"/>
      <c r="AB6" s="582">
        <f>'Water-Meter'!P8</f>
        <v>20901</v>
      </c>
      <c r="AC6" s="633">
        <f t="shared" si="9"/>
        <v>-20898</v>
      </c>
    </row>
    <row r="7" spans="1:29" ht="19.5" thickBot="1">
      <c r="A7" s="641">
        <f>Gen!B14</f>
        <v>0</v>
      </c>
      <c r="B7" s="594">
        <f>Gen!A14</f>
        <v>44231</v>
      </c>
      <c r="C7" s="578"/>
      <c r="D7" s="583">
        <f t="shared" si="1"/>
        <v>9083.9</v>
      </c>
      <c r="E7" s="579"/>
      <c r="F7" s="583">
        <f t="shared" si="2"/>
        <v>-1090068</v>
      </c>
      <c r="G7" s="578"/>
      <c r="H7" s="625">
        <f t="shared" si="5"/>
        <v>44231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6"/>
        <v>44231</v>
      </c>
      <c r="N7" s="578"/>
      <c r="O7" s="6"/>
      <c r="P7" s="582">
        <f>'Water-Meter'!J9</f>
        <v>0</v>
      </c>
      <c r="Q7" s="165"/>
      <c r="R7" s="241"/>
      <c r="S7" s="628">
        <f>Gen!T14</f>
        <v>0</v>
      </c>
      <c r="T7" s="625">
        <f t="shared" si="7"/>
        <v>44231</v>
      </c>
      <c r="U7" s="578"/>
      <c r="V7" s="583">
        <f t="shared" si="4"/>
        <v>7991.7</v>
      </c>
      <c r="W7" s="580"/>
      <c r="X7" s="583">
        <f t="shared" si="0"/>
        <v>-1598340</v>
      </c>
      <c r="Y7" s="625">
        <f t="shared" si="8"/>
        <v>44231</v>
      </c>
      <c r="Z7" s="578"/>
      <c r="AA7" s="578"/>
      <c r="AB7" s="582">
        <f>'Water-Meter'!P9</f>
        <v>0</v>
      </c>
      <c r="AC7" s="633">
        <f t="shared" si="9"/>
        <v>-20901</v>
      </c>
    </row>
    <row r="8" spans="1:29" ht="19.5" thickBot="1">
      <c r="A8" s="641">
        <f>Gen!B15</f>
        <v>0</v>
      </c>
      <c r="B8" s="594">
        <f>Gen!A15</f>
        <v>44232</v>
      </c>
      <c r="C8" s="578"/>
      <c r="D8" s="583">
        <f t="shared" si="1"/>
        <v>0</v>
      </c>
      <c r="E8" s="579"/>
      <c r="F8" s="583">
        <f t="shared" si="2"/>
        <v>0</v>
      </c>
      <c r="G8" s="578"/>
      <c r="H8" s="625">
        <f t="shared" si="5"/>
        <v>44232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6"/>
        <v>44232</v>
      </c>
      <c r="N8" s="578"/>
      <c r="O8" s="6"/>
      <c r="P8" s="582">
        <f>'Water-Meter'!J10</f>
        <v>0</v>
      </c>
      <c r="Q8" s="165"/>
      <c r="R8" s="241"/>
      <c r="S8" s="628">
        <f>Gen!T15</f>
        <v>0</v>
      </c>
      <c r="T8" s="625">
        <f t="shared" si="7"/>
        <v>44232</v>
      </c>
      <c r="U8" s="578"/>
      <c r="V8" s="583">
        <f t="shared" si="4"/>
        <v>0</v>
      </c>
      <c r="W8" s="580"/>
      <c r="X8" s="583">
        <f t="shared" si="0"/>
        <v>0</v>
      </c>
      <c r="Y8" s="625">
        <f t="shared" si="8"/>
        <v>44232</v>
      </c>
      <c r="Z8" s="578"/>
      <c r="AA8" s="578"/>
      <c r="AB8" s="582">
        <f>'Water-Meter'!P10</f>
        <v>0</v>
      </c>
      <c r="AC8" s="633">
        <f t="shared" si="9"/>
        <v>0</v>
      </c>
    </row>
    <row r="9" spans="1:29" ht="19.5" thickBot="1">
      <c r="A9" s="641">
        <f>Gen!B16</f>
        <v>0</v>
      </c>
      <c r="B9" s="594">
        <f>Gen!A16</f>
        <v>44233</v>
      </c>
      <c r="C9" s="578"/>
      <c r="D9" s="583">
        <f t="shared" si="1"/>
        <v>0</v>
      </c>
      <c r="E9" s="579"/>
      <c r="F9" s="583">
        <f t="shared" si="2"/>
        <v>0</v>
      </c>
      <c r="G9" s="578"/>
      <c r="H9" s="625">
        <f t="shared" si="5"/>
        <v>44233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6"/>
        <v>44233</v>
      </c>
      <c r="N9" s="578"/>
      <c r="O9" s="6"/>
      <c r="P9" s="582">
        <f>'Water-Meter'!J11</f>
        <v>0</v>
      </c>
      <c r="Q9" s="165"/>
      <c r="R9" s="241"/>
      <c r="S9" s="628">
        <f>Gen!T16</f>
        <v>0</v>
      </c>
      <c r="T9" s="625">
        <f t="shared" si="7"/>
        <v>44233</v>
      </c>
      <c r="U9" s="578"/>
      <c r="V9" s="583">
        <f t="shared" si="4"/>
        <v>0</v>
      </c>
      <c r="W9" s="580"/>
      <c r="X9" s="583">
        <f t="shared" si="0"/>
        <v>0</v>
      </c>
      <c r="Y9" s="625">
        <f t="shared" si="8"/>
        <v>44233</v>
      </c>
      <c r="Z9" s="578"/>
      <c r="AA9" s="578"/>
      <c r="AB9" s="582">
        <f>'Water-Meter'!P11</f>
        <v>0</v>
      </c>
      <c r="AC9" s="633">
        <f t="shared" si="9"/>
        <v>0</v>
      </c>
    </row>
    <row r="10" spans="1:29" ht="19.5" thickBot="1">
      <c r="A10" s="641">
        <f>Gen!B17</f>
        <v>0</v>
      </c>
      <c r="B10" s="594">
        <f>Gen!A17</f>
        <v>44234</v>
      </c>
      <c r="C10" s="578"/>
      <c r="D10" s="583">
        <f t="shared" si="1"/>
        <v>0</v>
      </c>
      <c r="E10" s="579"/>
      <c r="F10" s="583">
        <f t="shared" si="2"/>
        <v>0</v>
      </c>
      <c r="G10" s="578"/>
      <c r="H10" s="625">
        <f t="shared" si="5"/>
        <v>44234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6"/>
        <v>44234</v>
      </c>
      <c r="N10" s="578"/>
      <c r="O10" s="6"/>
      <c r="P10" s="582">
        <f>'Water-Meter'!J12</f>
        <v>0</v>
      </c>
      <c r="Q10" s="165"/>
      <c r="R10" s="241"/>
      <c r="S10" s="628">
        <f>Gen!T17</f>
        <v>0</v>
      </c>
      <c r="T10" s="625">
        <f t="shared" si="7"/>
        <v>44234</v>
      </c>
      <c r="U10" s="578"/>
      <c r="V10" s="583">
        <f t="shared" si="4"/>
        <v>0</v>
      </c>
      <c r="W10" s="580"/>
      <c r="X10" s="583">
        <f t="shared" si="0"/>
        <v>0</v>
      </c>
      <c r="Y10" s="625">
        <f t="shared" si="8"/>
        <v>44234</v>
      </c>
      <c r="Z10" s="578"/>
      <c r="AA10" s="578"/>
      <c r="AB10" s="582">
        <f>'Water-Meter'!P12</f>
        <v>0</v>
      </c>
      <c r="AC10" s="633">
        <f t="shared" si="9"/>
        <v>0</v>
      </c>
    </row>
    <row r="11" spans="1:29" ht="19.5" thickBot="1">
      <c r="A11" s="641">
        <f>Gen!B18</f>
        <v>0</v>
      </c>
      <c r="B11" s="594">
        <f>Gen!A18</f>
        <v>44235</v>
      </c>
      <c r="C11" s="578"/>
      <c r="D11" s="583">
        <f t="shared" si="1"/>
        <v>0</v>
      </c>
      <c r="E11" s="579"/>
      <c r="F11" s="583">
        <f t="shared" si="2"/>
        <v>0</v>
      </c>
      <c r="G11" s="578"/>
      <c r="H11" s="625">
        <f t="shared" si="5"/>
        <v>44235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6"/>
        <v>44235</v>
      </c>
      <c r="N11" s="578"/>
      <c r="O11" s="6"/>
      <c r="P11" s="582">
        <f>'Water-Meter'!J13</f>
        <v>0</v>
      </c>
      <c r="Q11" s="165"/>
      <c r="R11" s="241"/>
      <c r="S11" s="628">
        <f>Gen!T18</f>
        <v>0</v>
      </c>
      <c r="T11" s="625">
        <f t="shared" si="7"/>
        <v>44235</v>
      </c>
      <c r="U11" s="578"/>
      <c r="V11" s="583">
        <f t="shared" si="4"/>
        <v>0</v>
      </c>
      <c r="W11" s="580"/>
      <c r="X11" s="583">
        <f t="shared" si="0"/>
        <v>0</v>
      </c>
      <c r="Y11" s="625">
        <f t="shared" si="8"/>
        <v>44235</v>
      </c>
      <c r="Z11" s="578"/>
      <c r="AA11" s="578"/>
      <c r="AB11" s="582">
        <f>'Water-Meter'!P13</f>
        <v>0</v>
      </c>
      <c r="AC11" s="633">
        <f t="shared" si="9"/>
        <v>0</v>
      </c>
    </row>
    <row r="12" spans="1:29" ht="19.5" thickBot="1">
      <c r="A12" s="641">
        <f>Gen!B19</f>
        <v>0</v>
      </c>
      <c r="B12" s="594">
        <f>Gen!A19</f>
        <v>44236</v>
      </c>
      <c r="C12" s="578"/>
      <c r="D12" s="583">
        <f t="shared" si="1"/>
        <v>0</v>
      </c>
      <c r="E12" s="579"/>
      <c r="F12" s="583">
        <f t="shared" si="2"/>
        <v>0</v>
      </c>
      <c r="G12" s="578"/>
      <c r="H12" s="625">
        <f t="shared" si="5"/>
        <v>44236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6"/>
        <v>44236</v>
      </c>
      <c r="N12" s="578"/>
      <c r="O12" s="6"/>
      <c r="P12" s="582">
        <f>'Water-Meter'!J14</f>
        <v>0</v>
      </c>
      <c r="Q12" s="165"/>
      <c r="R12" s="241"/>
      <c r="S12" s="628">
        <f>Gen!T19</f>
        <v>0</v>
      </c>
      <c r="T12" s="625">
        <f t="shared" si="7"/>
        <v>44236</v>
      </c>
      <c r="U12" s="578"/>
      <c r="V12" s="583">
        <f t="shared" si="4"/>
        <v>0</v>
      </c>
      <c r="W12" s="580"/>
      <c r="X12" s="583">
        <f t="shared" si="0"/>
        <v>0</v>
      </c>
      <c r="Y12" s="625">
        <f t="shared" si="8"/>
        <v>44236</v>
      </c>
      <c r="Z12" s="578"/>
      <c r="AA12" s="578"/>
      <c r="AB12" s="582">
        <f>'Water-Meter'!P14</f>
        <v>0</v>
      </c>
      <c r="AC12" s="633">
        <f t="shared" si="9"/>
        <v>0</v>
      </c>
    </row>
    <row r="13" spans="1:29" ht="19.5" thickBot="1">
      <c r="A13" s="641">
        <f>Gen!B20</f>
        <v>0</v>
      </c>
      <c r="B13" s="594">
        <f>Gen!A20</f>
        <v>44237</v>
      </c>
      <c r="C13" s="578"/>
      <c r="D13" s="583">
        <f t="shared" si="1"/>
        <v>0</v>
      </c>
      <c r="E13" s="579"/>
      <c r="F13" s="583">
        <f t="shared" si="2"/>
        <v>0</v>
      </c>
      <c r="G13" s="578"/>
      <c r="H13" s="625">
        <f t="shared" si="5"/>
        <v>44237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6"/>
        <v>44237</v>
      </c>
      <c r="N13" s="578"/>
      <c r="O13" s="6"/>
      <c r="P13" s="582">
        <f>'Water-Meter'!J15</f>
        <v>0</v>
      </c>
      <c r="Q13" s="165"/>
      <c r="R13" s="241"/>
      <c r="S13" s="628">
        <f>Gen!T20</f>
        <v>0</v>
      </c>
      <c r="T13" s="625">
        <f t="shared" si="7"/>
        <v>44237</v>
      </c>
      <c r="U13" s="578"/>
      <c r="V13" s="583">
        <f t="shared" si="4"/>
        <v>0</v>
      </c>
      <c r="W13" s="580"/>
      <c r="X13" s="583">
        <f t="shared" si="0"/>
        <v>0</v>
      </c>
      <c r="Y13" s="625">
        <f t="shared" si="8"/>
        <v>44237</v>
      </c>
      <c r="Z13" s="578"/>
      <c r="AA13" s="578"/>
      <c r="AB13" s="582">
        <f>'Water-Meter'!P15</f>
        <v>0</v>
      </c>
      <c r="AC13" s="633">
        <f t="shared" si="9"/>
        <v>0</v>
      </c>
    </row>
    <row r="14" spans="1:29" ht="19.5" thickBot="1">
      <c r="A14" s="641">
        <f>Gen!B21</f>
        <v>0</v>
      </c>
      <c r="B14" s="594">
        <f>Gen!A21</f>
        <v>44238</v>
      </c>
      <c r="C14" s="578"/>
      <c r="D14" s="583">
        <f t="shared" si="1"/>
        <v>0</v>
      </c>
      <c r="E14" s="579"/>
      <c r="F14" s="583">
        <f t="shared" si="2"/>
        <v>0</v>
      </c>
      <c r="G14" s="578"/>
      <c r="H14" s="625">
        <f t="shared" si="5"/>
        <v>44238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6"/>
        <v>44238</v>
      </c>
      <c r="N14" s="578"/>
      <c r="O14" s="6"/>
      <c r="P14" s="582">
        <f>'Water-Meter'!J16</f>
        <v>0</v>
      </c>
      <c r="Q14" s="165"/>
      <c r="R14" s="241"/>
      <c r="S14" s="628">
        <f>Gen!T21</f>
        <v>0</v>
      </c>
      <c r="T14" s="625">
        <f t="shared" si="7"/>
        <v>44238</v>
      </c>
      <c r="U14" s="578"/>
      <c r="V14" s="583">
        <f t="shared" si="4"/>
        <v>0</v>
      </c>
      <c r="W14" s="580"/>
      <c r="X14" s="583">
        <f t="shared" si="0"/>
        <v>0</v>
      </c>
      <c r="Y14" s="625">
        <f t="shared" si="8"/>
        <v>44238</v>
      </c>
      <c r="Z14" s="578"/>
      <c r="AA14" s="578"/>
      <c r="AB14" s="582">
        <f>'Water-Meter'!P16</f>
        <v>0</v>
      </c>
      <c r="AC14" s="633">
        <v>20490</v>
      </c>
    </row>
    <row r="15" spans="1:29" ht="19.5" thickBot="1">
      <c r="A15" s="641">
        <f>Gen!B22</f>
        <v>0</v>
      </c>
      <c r="B15" s="594">
        <f>Gen!A22</f>
        <v>44239</v>
      </c>
      <c r="C15" s="578"/>
      <c r="D15" s="583">
        <f t="shared" si="1"/>
        <v>0</v>
      </c>
      <c r="E15" s="579"/>
      <c r="F15" s="583">
        <f t="shared" si="2"/>
        <v>0</v>
      </c>
      <c r="G15" s="578"/>
      <c r="H15" s="625">
        <f t="shared" si="5"/>
        <v>44239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6"/>
        <v>44239</v>
      </c>
      <c r="N15" s="578"/>
      <c r="O15" s="6"/>
      <c r="P15" s="582">
        <f>'Water-Meter'!J17</f>
        <v>0</v>
      </c>
      <c r="Q15" s="165"/>
      <c r="R15" s="241"/>
      <c r="S15" s="628">
        <f>Gen!T22</f>
        <v>0</v>
      </c>
      <c r="T15" s="625">
        <f t="shared" si="7"/>
        <v>44239</v>
      </c>
      <c r="U15" s="578"/>
      <c r="V15" s="583">
        <f t="shared" si="4"/>
        <v>0</v>
      </c>
      <c r="W15" s="580"/>
      <c r="X15" s="583">
        <f t="shared" si="0"/>
        <v>0</v>
      </c>
      <c r="Y15" s="625">
        <f t="shared" si="8"/>
        <v>44239</v>
      </c>
      <c r="Z15" s="578"/>
      <c r="AA15" s="578"/>
      <c r="AB15" s="582">
        <f>'Water-Meter'!P17</f>
        <v>0</v>
      </c>
      <c r="AC15" s="633">
        <f t="shared" si="9"/>
        <v>0</v>
      </c>
    </row>
    <row r="16" spans="1:29" ht="19.5" thickBot="1">
      <c r="A16" s="641">
        <f>Gen!B23</f>
        <v>0</v>
      </c>
      <c r="B16" s="594">
        <f>Gen!A23</f>
        <v>44240</v>
      </c>
      <c r="C16" s="578"/>
      <c r="D16" s="583">
        <f t="shared" si="1"/>
        <v>0</v>
      </c>
      <c r="E16" s="579"/>
      <c r="F16" s="583">
        <f>SUM(E16-D16)*120</f>
        <v>0</v>
      </c>
      <c r="G16" s="578"/>
      <c r="H16" s="625">
        <f t="shared" si="5"/>
        <v>44240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6"/>
        <v>44240</v>
      </c>
      <c r="N16" s="578"/>
      <c r="O16" s="6"/>
      <c r="P16" s="582">
        <f>'Water-Meter'!J18</f>
        <v>0</v>
      </c>
      <c r="Q16" s="165"/>
      <c r="R16" s="241"/>
      <c r="S16" s="628">
        <f>Gen!T23</f>
        <v>0</v>
      </c>
      <c r="T16" s="625">
        <f t="shared" si="7"/>
        <v>44240</v>
      </c>
      <c r="U16" s="578"/>
      <c r="V16" s="583">
        <f t="shared" si="4"/>
        <v>0</v>
      </c>
      <c r="W16" s="580"/>
      <c r="X16" s="583">
        <f t="shared" si="0"/>
        <v>0</v>
      </c>
      <c r="Y16" s="625">
        <f t="shared" si="8"/>
        <v>44240</v>
      </c>
      <c r="Z16" s="578"/>
      <c r="AA16" s="578"/>
      <c r="AB16" s="582">
        <f>'Water-Meter'!P18</f>
        <v>0</v>
      </c>
      <c r="AC16" s="633">
        <f t="shared" si="9"/>
        <v>0</v>
      </c>
    </row>
    <row r="17" spans="1:29" ht="19.5" thickBot="1">
      <c r="A17" s="641">
        <f>Gen!B24</f>
        <v>0</v>
      </c>
      <c r="B17" s="594">
        <f>Gen!A24</f>
        <v>44241</v>
      </c>
      <c r="C17" s="578"/>
      <c r="D17" s="583">
        <f t="shared" si="1"/>
        <v>0</v>
      </c>
      <c r="E17" s="579"/>
      <c r="F17" s="583">
        <f>SUM(E17-D17)*120</f>
        <v>0</v>
      </c>
      <c r="G17" s="578"/>
      <c r="H17" s="625">
        <f t="shared" si="5"/>
        <v>44241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6"/>
        <v>44241</v>
      </c>
      <c r="N17" s="578"/>
      <c r="O17" s="6"/>
      <c r="P17" s="582">
        <f>'Water-Meter'!J19</f>
        <v>0</v>
      </c>
      <c r="Q17" s="165"/>
      <c r="R17" s="241"/>
      <c r="S17" s="628">
        <f>Gen!T24</f>
        <v>0</v>
      </c>
      <c r="T17" s="625">
        <f t="shared" si="7"/>
        <v>44241</v>
      </c>
      <c r="U17" s="578"/>
      <c r="V17" s="583">
        <f t="shared" si="4"/>
        <v>0</v>
      </c>
      <c r="W17" s="580"/>
      <c r="X17" s="583">
        <f t="shared" si="0"/>
        <v>0</v>
      </c>
      <c r="Y17" s="625">
        <f t="shared" si="8"/>
        <v>44241</v>
      </c>
      <c r="Z17" s="578"/>
      <c r="AA17" s="578"/>
      <c r="AB17" s="582">
        <f>'Water-Meter'!P19</f>
        <v>0</v>
      </c>
      <c r="AC17" s="633">
        <f t="shared" si="9"/>
        <v>0</v>
      </c>
    </row>
    <row r="18" spans="1:29" ht="19.5" thickBot="1">
      <c r="A18" s="641">
        <f>Gen!B25</f>
        <v>0</v>
      </c>
      <c r="B18" s="594">
        <f>Gen!A25</f>
        <v>44242</v>
      </c>
      <c r="C18" s="578"/>
      <c r="D18" s="583">
        <f t="shared" si="1"/>
        <v>0</v>
      </c>
      <c r="E18" s="579"/>
      <c r="F18" s="583">
        <f t="shared" ref="F18:F22" si="10">SUM(E18-D18)*120</f>
        <v>0</v>
      </c>
      <c r="G18" s="578"/>
      <c r="H18" s="625">
        <f t="shared" si="5"/>
        <v>44242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6"/>
        <v>44242</v>
      </c>
      <c r="N18" s="578"/>
      <c r="O18" s="6"/>
      <c r="P18" s="582">
        <f>'Water-Meter'!J20</f>
        <v>0</v>
      </c>
      <c r="Q18" s="165"/>
      <c r="R18" s="241"/>
      <c r="S18" s="628">
        <f>Gen!T25</f>
        <v>0</v>
      </c>
      <c r="T18" s="625">
        <f t="shared" si="7"/>
        <v>44242</v>
      </c>
      <c r="U18" s="578"/>
      <c r="V18" s="583">
        <f t="shared" si="4"/>
        <v>0</v>
      </c>
      <c r="W18" s="580"/>
      <c r="X18" s="583">
        <f t="shared" si="0"/>
        <v>0</v>
      </c>
      <c r="Y18" s="625">
        <f t="shared" si="8"/>
        <v>44242</v>
      </c>
      <c r="Z18" s="578"/>
      <c r="AA18" s="578"/>
      <c r="AB18" s="582">
        <f>'Water-Meter'!P20</f>
        <v>0</v>
      </c>
      <c r="AC18" s="633">
        <f t="shared" si="9"/>
        <v>0</v>
      </c>
    </row>
    <row r="19" spans="1:29" ht="19.5" thickBot="1">
      <c r="A19" s="641">
        <f>Gen!B26</f>
        <v>0</v>
      </c>
      <c r="B19" s="594">
        <f>Gen!A26</f>
        <v>44243</v>
      </c>
      <c r="C19" s="581"/>
      <c r="D19" s="583">
        <f t="shared" si="1"/>
        <v>0</v>
      </c>
      <c r="E19" s="579"/>
      <c r="F19" s="583">
        <f t="shared" si="10"/>
        <v>0</v>
      </c>
      <c r="G19" s="578"/>
      <c r="H19" s="625">
        <f t="shared" si="5"/>
        <v>44243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6"/>
        <v>44243</v>
      </c>
      <c r="N19" s="581"/>
      <c r="O19" s="6"/>
      <c r="P19" s="582">
        <f>'Water-Meter'!J21</f>
        <v>0</v>
      </c>
      <c r="Q19" s="165"/>
      <c r="R19" s="241"/>
      <c r="S19" s="628">
        <f>Gen!T26</f>
        <v>0</v>
      </c>
      <c r="T19" s="625">
        <f t="shared" si="7"/>
        <v>44243</v>
      </c>
      <c r="U19" s="581"/>
      <c r="V19" s="583">
        <f t="shared" si="4"/>
        <v>0</v>
      </c>
      <c r="W19" s="580"/>
      <c r="X19" s="583">
        <f t="shared" si="0"/>
        <v>0</v>
      </c>
      <c r="Y19" s="625">
        <f t="shared" si="8"/>
        <v>44243</v>
      </c>
      <c r="Z19" s="581"/>
      <c r="AA19" s="578"/>
      <c r="AB19" s="582">
        <f>'Water-Meter'!P21</f>
        <v>0</v>
      </c>
      <c r="AC19" s="633">
        <f t="shared" si="9"/>
        <v>0</v>
      </c>
    </row>
    <row r="20" spans="1:29" ht="19.5" thickBot="1">
      <c r="A20" s="641">
        <f>Gen!B27</f>
        <v>0</v>
      </c>
      <c r="B20" s="594">
        <f>Gen!A27</f>
        <v>44244</v>
      </c>
      <c r="C20" s="581"/>
      <c r="D20" s="583">
        <f t="shared" si="1"/>
        <v>0</v>
      </c>
      <c r="E20" s="579"/>
      <c r="F20" s="583">
        <f t="shared" si="10"/>
        <v>0</v>
      </c>
      <c r="G20" s="578"/>
      <c r="H20" s="625">
        <f t="shared" si="5"/>
        <v>44244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6"/>
        <v>44244</v>
      </c>
      <c r="N20" s="581"/>
      <c r="O20" s="6"/>
      <c r="P20" s="582">
        <f>'Water-Meter'!J22</f>
        <v>0</v>
      </c>
      <c r="Q20" s="165"/>
      <c r="R20" s="241"/>
      <c r="S20" s="628">
        <f>Gen!T27</f>
        <v>0</v>
      </c>
      <c r="T20" s="625">
        <f t="shared" si="7"/>
        <v>44244</v>
      </c>
      <c r="U20" s="581"/>
      <c r="V20" s="583">
        <f t="shared" si="4"/>
        <v>0</v>
      </c>
      <c r="W20" s="580"/>
      <c r="X20" s="583">
        <f t="shared" si="0"/>
        <v>0</v>
      </c>
      <c r="Y20" s="625">
        <f t="shared" si="8"/>
        <v>44244</v>
      </c>
      <c r="Z20" s="581"/>
      <c r="AA20" s="578"/>
      <c r="AB20" s="582">
        <f>'Water-Meter'!P22</f>
        <v>0</v>
      </c>
      <c r="AC20" s="633">
        <f t="shared" si="9"/>
        <v>0</v>
      </c>
    </row>
    <row r="21" spans="1:29" ht="19.5" thickBot="1">
      <c r="A21" s="641">
        <f>Gen!B28</f>
        <v>0</v>
      </c>
      <c r="B21" s="594">
        <f>Gen!A28</f>
        <v>44245</v>
      </c>
      <c r="C21" s="581"/>
      <c r="D21" s="583">
        <f t="shared" si="1"/>
        <v>0</v>
      </c>
      <c r="E21" s="579"/>
      <c r="F21" s="583">
        <f t="shared" si="10"/>
        <v>0</v>
      </c>
      <c r="G21" s="578"/>
      <c r="H21" s="625">
        <f t="shared" si="5"/>
        <v>44245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6"/>
        <v>44245</v>
      </c>
      <c r="N21" s="581"/>
      <c r="O21" s="6"/>
      <c r="P21" s="582">
        <f>'Water-Meter'!J23</f>
        <v>0</v>
      </c>
      <c r="Q21" s="165"/>
      <c r="R21" s="241"/>
      <c r="S21" s="628">
        <f>Gen!T28</f>
        <v>0</v>
      </c>
      <c r="T21" s="625">
        <f t="shared" si="7"/>
        <v>44245</v>
      </c>
      <c r="U21" s="581"/>
      <c r="V21" s="583">
        <f t="shared" si="4"/>
        <v>0</v>
      </c>
      <c r="W21" s="580"/>
      <c r="X21" s="583">
        <f t="shared" si="0"/>
        <v>0</v>
      </c>
      <c r="Y21" s="625">
        <f t="shared" si="8"/>
        <v>44245</v>
      </c>
      <c r="Z21" s="581"/>
      <c r="AA21" s="578"/>
      <c r="AB21" s="582">
        <f>'Water-Meter'!P23</f>
        <v>0</v>
      </c>
      <c r="AC21" s="633">
        <f t="shared" si="9"/>
        <v>0</v>
      </c>
    </row>
    <row r="22" spans="1:29" ht="19.5" thickBot="1">
      <c r="A22" s="641">
        <f>Gen!B29</f>
        <v>0</v>
      </c>
      <c r="B22" s="594">
        <f>Gen!A29</f>
        <v>44246</v>
      </c>
      <c r="C22" s="578"/>
      <c r="D22" s="583">
        <f t="shared" si="1"/>
        <v>0</v>
      </c>
      <c r="E22" s="579"/>
      <c r="F22" s="583">
        <f t="shared" si="10"/>
        <v>0</v>
      </c>
      <c r="G22" s="578"/>
      <c r="H22" s="625">
        <f t="shared" si="5"/>
        <v>44246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6"/>
        <v>44246</v>
      </c>
      <c r="N22" s="578"/>
      <c r="O22" s="6"/>
      <c r="P22" s="582">
        <f>'Water-Meter'!J24</f>
        <v>0</v>
      </c>
      <c r="Q22" s="165"/>
      <c r="R22" s="241"/>
      <c r="S22" s="628">
        <f>Gen!T29</f>
        <v>0</v>
      </c>
      <c r="T22" s="625">
        <f t="shared" si="7"/>
        <v>44246</v>
      </c>
      <c r="U22" s="578"/>
      <c r="V22" s="583">
        <f t="shared" si="4"/>
        <v>0</v>
      </c>
      <c r="W22" s="580"/>
      <c r="X22" s="583">
        <f t="shared" si="0"/>
        <v>0</v>
      </c>
      <c r="Y22" s="625">
        <f t="shared" si="8"/>
        <v>44246</v>
      </c>
      <c r="Z22" s="578"/>
      <c r="AA22" s="578"/>
      <c r="AB22" s="582">
        <f>'Water-Meter'!P24</f>
        <v>0</v>
      </c>
      <c r="AC22" s="633">
        <f t="shared" si="9"/>
        <v>0</v>
      </c>
    </row>
    <row r="23" spans="1:29" ht="19.5" thickBot="1">
      <c r="A23" s="641">
        <f>Gen!B30</f>
        <v>0</v>
      </c>
      <c r="B23" s="594">
        <f>Gen!A30</f>
        <v>44247</v>
      </c>
      <c r="C23" s="581"/>
      <c r="D23" s="583">
        <f t="shared" si="1"/>
        <v>0</v>
      </c>
      <c r="E23" s="579"/>
      <c r="F23" s="583">
        <f t="shared" ref="F23:F34" si="11">SUM(E23-D23)*120</f>
        <v>0</v>
      </c>
      <c r="G23" s="578"/>
      <c r="H23" s="625">
        <f t="shared" si="5"/>
        <v>44247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6"/>
        <v>44247</v>
      </c>
      <c r="N23" s="581"/>
      <c r="O23" s="6"/>
      <c r="P23" s="582">
        <f>'Water-Meter'!J25</f>
        <v>0</v>
      </c>
      <c r="Q23" s="165"/>
      <c r="R23" s="241"/>
      <c r="S23" s="628">
        <f>Gen!T30</f>
        <v>0</v>
      </c>
      <c r="T23" s="625">
        <f t="shared" si="7"/>
        <v>44247</v>
      </c>
      <c r="U23" s="581"/>
      <c r="V23" s="583">
        <f t="shared" si="4"/>
        <v>0</v>
      </c>
      <c r="W23" s="580"/>
      <c r="X23" s="583">
        <f t="shared" si="0"/>
        <v>0</v>
      </c>
      <c r="Y23" s="625">
        <f t="shared" si="8"/>
        <v>44247</v>
      </c>
      <c r="Z23" s="581"/>
      <c r="AA23" s="578"/>
      <c r="AB23" s="582">
        <f>'Water-Meter'!P25</f>
        <v>0</v>
      </c>
      <c r="AC23" s="633">
        <f t="shared" si="9"/>
        <v>0</v>
      </c>
    </row>
    <row r="24" spans="1:29" ht="19.5" thickBot="1">
      <c r="A24" s="641">
        <f>Gen!B31</f>
        <v>0</v>
      </c>
      <c r="B24" s="594">
        <f>Gen!A31</f>
        <v>44248</v>
      </c>
      <c r="C24" s="581"/>
      <c r="D24" s="583">
        <f t="shared" ref="D24:D35" si="12">SUM(E23)</f>
        <v>0</v>
      </c>
      <c r="E24" s="579"/>
      <c r="F24" s="583">
        <f t="shared" si="11"/>
        <v>0</v>
      </c>
      <c r="G24" s="578"/>
      <c r="H24" s="625">
        <f t="shared" si="5"/>
        <v>44248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6"/>
        <v>44248</v>
      </c>
      <c r="N24" s="581"/>
      <c r="O24" s="6"/>
      <c r="P24" s="582">
        <f>'Water-Meter'!J26</f>
        <v>0</v>
      </c>
      <c r="Q24" s="165"/>
      <c r="R24" s="241"/>
      <c r="S24" s="628">
        <f>Gen!T31</f>
        <v>0</v>
      </c>
      <c r="T24" s="625">
        <v>5835.7</v>
      </c>
      <c r="U24" s="581"/>
      <c r="V24" s="583">
        <f t="shared" si="4"/>
        <v>0</v>
      </c>
      <c r="W24" s="580"/>
      <c r="X24" s="583">
        <f t="shared" si="0"/>
        <v>0</v>
      </c>
      <c r="Y24" s="625">
        <f t="shared" si="8"/>
        <v>5835.7</v>
      </c>
      <c r="Z24" s="581"/>
      <c r="AA24" s="578"/>
      <c r="AB24" s="582">
        <f>'Water-Meter'!P26</f>
        <v>0</v>
      </c>
      <c r="AC24" s="633">
        <f t="shared" si="9"/>
        <v>0</v>
      </c>
    </row>
    <row r="25" spans="1:29" ht="19.5" thickBot="1">
      <c r="A25" s="641">
        <f>Gen!B32</f>
        <v>0</v>
      </c>
      <c r="B25" s="594">
        <f>Gen!A32</f>
        <v>44249</v>
      </c>
      <c r="C25" s="581"/>
      <c r="D25" s="583">
        <f t="shared" si="12"/>
        <v>0</v>
      </c>
      <c r="E25" s="579"/>
      <c r="F25" s="583">
        <f t="shared" si="11"/>
        <v>0</v>
      </c>
      <c r="G25" s="578"/>
      <c r="H25" s="625">
        <f t="shared" si="5"/>
        <v>44249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6"/>
        <v>44249</v>
      </c>
      <c r="N25" s="581"/>
      <c r="O25" s="6"/>
      <c r="P25" s="582">
        <f>'Water-Meter'!J27</f>
        <v>0</v>
      </c>
      <c r="Q25" s="165"/>
      <c r="R25" s="241"/>
      <c r="S25" s="628">
        <f>Gen!T32</f>
        <v>0</v>
      </c>
      <c r="T25" s="625">
        <f t="shared" si="7"/>
        <v>44249</v>
      </c>
      <c r="U25" s="581"/>
      <c r="V25" s="583">
        <f t="shared" si="4"/>
        <v>0</v>
      </c>
      <c r="W25" s="580"/>
      <c r="X25" s="583">
        <f t="shared" si="0"/>
        <v>0</v>
      </c>
      <c r="Y25" s="625">
        <f t="shared" si="8"/>
        <v>44249</v>
      </c>
      <c r="Z25" s="581"/>
      <c r="AA25" s="578"/>
      <c r="AB25" s="582">
        <f>'Water-Meter'!P27</f>
        <v>0</v>
      </c>
      <c r="AC25" s="633">
        <f t="shared" si="9"/>
        <v>0</v>
      </c>
    </row>
    <row r="26" spans="1:29" ht="19.5" thickBot="1">
      <c r="A26" s="641">
        <f>Gen!B33</f>
        <v>0</v>
      </c>
      <c r="B26" s="594">
        <f>Gen!A33</f>
        <v>44250</v>
      </c>
      <c r="C26" s="581"/>
      <c r="D26" s="583">
        <f t="shared" si="12"/>
        <v>0</v>
      </c>
      <c r="E26" s="579"/>
      <c r="F26" s="583">
        <f t="shared" si="11"/>
        <v>0</v>
      </c>
      <c r="G26" s="578"/>
      <c r="H26" s="625">
        <f t="shared" si="5"/>
        <v>44250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6"/>
        <v>44250</v>
      </c>
      <c r="N26" s="581"/>
      <c r="O26" s="6"/>
      <c r="P26" s="582">
        <f>'Water-Meter'!J28</f>
        <v>0</v>
      </c>
      <c r="Q26" s="165"/>
      <c r="R26" s="241"/>
      <c r="S26" s="628">
        <f>Gen!T33</f>
        <v>0</v>
      </c>
      <c r="T26" s="625">
        <f t="shared" si="7"/>
        <v>44250</v>
      </c>
      <c r="U26" s="581"/>
      <c r="V26" s="583">
        <f t="shared" si="4"/>
        <v>0</v>
      </c>
      <c r="W26" s="580"/>
      <c r="X26" s="583">
        <f t="shared" si="0"/>
        <v>0</v>
      </c>
      <c r="Y26" s="625">
        <f t="shared" si="8"/>
        <v>44250</v>
      </c>
      <c r="Z26" s="581"/>
      <c r="AA26" s="578"/>
      <c r="AB26" s="582">
        <f>'Water-Meter'!P28</f>
        <v>0</v>
      </c>
      <c r="AC26" s="633">
        <f t="shared" si="9"/>
        <v>0</v>
      </c>
    </row>
    <row r="27" spans="1:29" ht="19.5" thickBot="1">
      <c r="A27" s="641">
        <f>Gen!B34</f>
        <v>0</v>
      </c>
      <c r="B27" s="594">
        <f>Gen!A34</f>
        <v>44251</v>
      </c>
      <c r="C27" s="581"/>
      <c r="D27" s="583">
        <f t="shared" si="12"/>
        <v>0</v>
      </c>
      <c r="E27" s="579"/>
      <c r="F27" s="583">
        <f t="shared" si="11"/>
        <v>0</v>
      </c>
      <c r="G27" s="578"/>
      <c r="H27" s="625">
        <f t="shared" si="5"/>
        <v>44251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6"/>
        <v>44251</v>
      </c>
      <c r="N27" s="581"/>
      <c r="O27" s="6"/>
      <c r="P27" s="582">
        <f>'Water-Meter'!J29</f>
        <v>0</v>
      </c>
      <c r="Q27" s="165"/>
      <c r="R27" s="241"/>
      <c r="S27" s="628">
        <f>Gen!T34</f>
        <v>0</v>
      </c>
      <c r="T27" s="625">
        <f t="shared" si="7"/>
        <v>44251</v>
      </c>
      <c r="U27" s="581"/>
      <c r="V27" s="583">
        <f t="shared" si="4"/>
        <v>0</v>
      </c>
      <c r="W27" s="580"/>
      <c r="X27" s="583">
        <f t="shared" si="0"/>
        <v>0</v>
      </c>
      <c r="Y27" s="625">
        <f t="shared" si="8"/>
        <v>44251</v>
      </c>
      <c r="Z27" s="581"/>
      <c r="AA27" s="578"/>
      <c r="AB27" s="582">
        <f>'Water-Meter'!P29</f>
        <v>0</v>
      </c>
      <c r="AC27" s="633">
        <f t="shared" si="9"/>
        <v>0</v>
      </c>
    </row>
    <row r="28" spans="1:29" ht="19.5" thickBot="1">
      <c r="A28" s="641">
        <f>Gen!B35</f>
        <v>0</v>
      </c>
      <c r="B28" s="594">
        <f>Gen!A35</f>
        <v>44252</v>
      </c>
      <c r="C28" s="581"/>
      <c r="D28" s="583">
        <f t="shared" si="12"/>
        <v>0</v>
      </c>
      <c r="E28" s="579"/>
      <c r="F28" s="583">
        <f t="shared" si="11"/>
        <v>0</v>
      </c>
      <c r="G28" s="578"/>
      <c r="H28" s="625">
        <f t="shared" si="5"/>
        <v>44252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6"/>
        <v>44252</v>
      </c>
      <c r="N28" s="581"/>
      <c r="O28" s="6"/>
      <c r="P28" s="582">
        <f>'Water-Meter'!J30</f>
        <v>0</v>
      </c>
      <c r="Q28" s="165"/>
      <c r="R28" s="241"/>
      <c r="S28" s="628">
        <f>Gen!T35</f>
        <v>0</v>
      </c>
      <c r="T28" s="625">
        <f t="shared" si="7"/>
        <v>44252</v>
      </c>
      <c r="U28" s="581"/>
      <c r="V28" s="583">
        <f t="shared" si="4"/>
        <v>0</v>
      </c>
      <c r="W28" s="580"/>
      <c r="X28" s="583">
        <f t="shared" si="0"/>
        <v>0</v>
      </c>
      <c r="Y28" s="625">
        <f t="shared" si="8"/>
        <v>44252</v>
      </c>
      <c r="Z28" s="581"/>
      <c r="AA28" s="578"/>
      <c r="AB28" s="582">
        <f>'Water-Meter'!P30</f>
        <v>0</v>
      </c>
      <c r="AC28" s="633">
        <f t="shared" si="9"/>
        <v>0</v>
      </c>
    </row>
    <row r="29" spans="1:29" ht="19.5" thickBot="1">
      <c r="A29" s="641">
        <f>Gen!B36</f>
        <v>0</v>
      </c>
      <c r="B29" s="594">
        <f>Gen!A36</f>
        <v>44253</v>
      </c>
      <c r="C29" s="581"/>
      <c r="D29" s="583">
        <f t="shared" si="12"/>
        <v>0</v>
      </c>
      <c r="E29" s="579"/>
      <c r="F29" s="583">
        <f t="shared" si="11"/>
        <v>0</v>
      </c>
      <c r="G29" s="578"/>
      <c r="H29" s="625">
        <f t="shared" si="5"/>
        <v>44253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6"/>
        <v>44253</v>
      </c>
      <c r="N29" s="581"/>
      <c r="O29" s="6"/>
      <c r="P29" s="582">
        <f>'Water-Meter'!J31</f>
        <v>0</v>
      </c>
      <c r="Q29" s="165"/>
      <c r="R29" s="241"/>
      <c r="S29" s="628">
        <f>Gen!T36</f>
        <v>0</v>
      </c>
      <c r="T29" s="625">
        <f t="shared" si="7"/>
        <v>44253</v>
      </c>
      <c r="U29" s="581"/>
      <c r="V29" s="583">
        <f t="shared" si="4"/>
        <v>0</v>
      </c>
      <c r="W29" s="580"/>
      <c r="X29" s="583">
        <f t="shared" si="0"/>
        <v>0</v>
      </c>
      <c r="Y29" s="625">
        <f t="shared" si="8"/>
        <v>44253</v>
      </c>
      <c r="Z29" s="581"/>
      <c r="AA29" s="578"/>
      <c r="AB29" s="582">
        <f>'Water-Meter'!P31</f>
        <v>0</v>
      </c>
      <c r="AC29" s="633">
        <f t="shared" si="9"/>
        <v>0</v>
      </c>
    </row>
    <row r="30" spans="1:29" ht="19.5" thickBot="1">
      <c r="A30" s="641">
        <f>Gen!B37</f>
        <v>0</v>
      </c>
      <c r="B30" s="594">
        <f>Gen!A37</f>
        <v>44254</v>
      </c>
      <c r="C30" s="581"/>
      <c r="D30" s="583">
        <f t="shared" si="12"/>
        <v>0</v>
      </c>
      <c r="E30" s="579"/>
      <c r="F30" s="583">
        <f t="shared" si="11"/>
        <v>0</v>
      </c>
      <c r="G30" s="578"/>
      <c r="H30" s="625">
        <f t="shared" si="5"/>
        <v>44254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6"/>
        <v>44254</v>
      </c>
      <c r="N30" s="581"/>
      <c r="O30" s="6"/>
      <c r="P30" s="582">
        <f>'Water-Meter'!J32</f>
        <v>0</v>
      </c>
      <c r="Q30" s="165"/>
      <c r="R30" s="241"/>
      <c r="S30" s="628">
        <f>Gen!T37</f>
        <v>0</v>
      </c>
      <c r="T30" s="625">
        <f t="shared" si="7"/>
        <v>44254</v>
      </c>
      <c r="U30" s="581"/>
      <c r="V30" s="583">
        <f t="shared" si="4"/>
        <v>0</v>
      </c>
      <c r="W30" s="580"/>
      <c r="X30" s="583">
        <f t="shared" si="0"/>
        <v>0</v>
      </c>
      <c r="Y30" s="625">
        <f t="shared" si="8"/>
        <v>44254</v>
      </c>
      <c r="Z30" s="581"/>
      <c r="AA30" s="578"/>
      <c r="AB30" s="582">
        <f>'Water-Meter'!P32</f>
        <v>0</v>
      </c>
      <c r="AC30" s="633">
        <f t="shared" si="9"/>
        <v>0</v>
      </c>
    </row>
    <row r="31" spans="1:29" ht="19.5" thickBot="1">
      <c r="A31" s="641">
        <f>Gen!B38</f>
        <v>0</v>
      </c>
      <c r="B31" s="594">
        <f>Gen!A38</f>
        <v>44255</v>
      </c>
      <c r="C31" s="581"/>
      <c r="D31" s="583">
        <f t="shared" si="12"/>
        <v>0</v>
      </c>
      <c r="E31" s="579"/>
      <c r="F31" s="583">
        <f t="shared" si="11"/>
        <v>0</v>
      </c>
      <c r="G31" s="578"/>
      <c r="H31" s="625">
        <f t="shared" si="5"/>
        <v>44255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6"/>
        <v>44255</v>
      </c>
      <c r="N31" s="581"/>
      <c r="O31" s="6"/>
      <c r="P31" s="582">
        <f>'Water-Meter'!J33</f>
        <v>0</v>
      </c>
      <c r="Q31" s="165"/>
      <c r="R31" s="241"/>
      <c r="S31" s="628">
        <f>Gen!T38</f>
        <v>0</v>
      </c>
      <c r="T31" s="625">
        <f>M31</f>
        <v>44255</v>
      </c>
      <c r="U31" s="581"/>
      <c r="V31" s="583">
        <f t="shared" si="4"/>
        <v>0</v>
      </c>
      <c r="W31" s="580"/>
      <c r="X31" s="583">
        <f t="shared" si="0"/>
        <v>0</v>
      </c>
      <c r="Y31" s="625">
        <f>T31</f>
        <v>44255</v>
      </c>
      <c r="Z31" s="581"/>
      <c r="AA31" s="578"/>
      <c r="AB31" s="582">
        <f>'Water-Meter'!P33</f>
        <v>0</v>
      </c>
      <c r="AC31" s="633">
        <f t="shared" si="9"/>
        <v>0</v>
      </c>
    </row>
    <row r="32" spans="1:29" ht="19.5" thickBot="1">
      <c r="A32" s="641">
        <f>Gen!B39</f>
        <v>0</v>
      </c>
      <c r="B32" s="594">
        <f>Gen!A39</f>
        <v>0</v>
      </c>
      <c r="C32" s="581"/>
      <c r="D32" s="583">
        <f t="shared" si="12"/>
        <v>0</v>
      </c>
      <c r="E32" s="579"/>
      <c r="F32" s="583">
        <f t="shared" si="11"/>
        <v>0</v>
      </c>
      <c r="G32" s="578"/>
      <c r="H32" s="625">
        <f t="shared" si="5"/>
        <v>0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6"/>
        <v>0</v>
      </c>
      <c r="N32" s="581"/>
      <c r="O32" s="6"/>
      <c r="P32" s="582">
        <f>'Water-Meter'!J34</f>
        <v>0</v>
      </c>
      <c r="Q32" s="165"/>
      <c r="R32" s="241"/>
      <c r="S32" s="628">
        <f>Gen!T39</f>
        <v>0</v>
      </c>
      <c r="T32" s="625">
        <f t="shared" ref="T32:T35" si="13">M32</f>
        <v>0</v>
      </c>
      <c r="U32" s="581"/>
      <c r="V32" s="583">
        <f t="shared" si="4"/>
        <v>0</v>
      </c>
      <c r="W32" s="580"/>
      <c r="X32" s="583">
        <f t="shared" si="0"/>
        <v>0</v>
      </c>
      <c r="Y32" s="625">
        <f t="shared" ref="Y32:Y35" si="14">T32</f>
        <v>0</v>
      </c>
      <c r="Z32" s="581"/>
      <c r="AA32" s="578"/>
      <c r="AB32" s="582">
        <f>'Water-Meter'!P34</f>
        <v>0</v>
      </c>
      <c r="AC32" s="633">
        <f t="shared" si="9"/>
        <v>0</v>
      </c>
    </row>
    <row r="33" spans="1:29" ht="19.5" thickBot="1">
      <c r="A33" s="641">
        <f>Gen!B40</f>
        <v>0</v>
      </c>
      <c r="B33" s="594">
        <f>Gen!A40</f>
        <v>0</v>
      </c>
      <c r="C33" s="581"/>
      <c r="D33" s="583">
        <f t="shared" si="12"/>
        <v>0</v>
      </c>
      <c r="E33" s="579"/>
      <c r="F33" s="583">
        <f t="shared" si="11"/>
        <v>0</v>
      </c>
      <c r="G33" s="578"/>
      <c r="H33" s="625">
        <f t="shared" si="5"/>
        <v>0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6"/>
        <v>0</v>
      </c>
      <c r="N33" s="581"/>
      <c r="O33" s="6"/>
      <c r="P33" s="582">
        <f>'Water-Meter'!J35</f>
        <v>0</v>
      </c>
      <c r="Q33" s="165"/>
      <c r="R33" s="241"/>
      <c r="S33" s="628">
        <f>Gen!T40</f>
        <v>0</v>
      </c>
      <c r="T33" s="625">
        <f t="shared" si="13"/>
        <v>0</v>
      </c>
      <c r="U33" s="581"/>
      <c r="V33" s="583">
        <f t="shared" si="4"/>
        <v>0</v>
      </c>
      <c r="W33" s="580"/>
      <c r="X33" s="583">
        <f t="shared" si="0"/>
        <v>0</v>
      </c>
      <c r="Y33" s="625">
        <f t="shared" si="14"/>
        <v>0</v>
      </c>
      <c r="Z33" s="581"/>
      <c r="AA33" s="578"/>
      <c r="AB33" s="582">
        <f>'Water-Meter'!P35</f>
        <v>0</v>
      </c>
      <c r="AC33" s="633">
        <f t="shared" si="9"/>
        <v>0</v>
      </c>
    </row>
    <row r="34" spans="1:29" ht="19.5" thickBot="1">
      <c r="A34" s="641">
        <f>Gen!B41</f>
        <v>0</v>
      </c>
      <c r="B34" s="594">
        <f>Gen!A41</f>
        <v>0</v>
      </c>
      <c r="C34" s="6"/>
      <c r="D34" s="583">
        <f t="shared" si="12"/>
        <v>0</v>
      </c>
      <c r="E34" s="579"/>
      <c r="F34" s="583">
        <f t="shared" si="11"/>
        <v>0</v>
      </c>
      <c r="G34" s="6"/>
      <c r="H34" s="625">
        <f t="shared" si="5"/>
        <v>0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6"/>
        <v>0</v>
      </c>
      <c r="N34" s="6"/>
      <c r="O34" s="6"/>
      <c r="P34" s="582">
        <f>'Water-Meter'!J36</f>
        <v>0</v>
      </c>
      <c r="Q34" s="165"/>
      <c r="R34" s="241"/>
      <c r="S34" s="628">
        <f>Gen!T41</f>
        <v>0</v>
      </c>
      <c r="T34" s="625">
        <f t="shared" si="13"/>
        <v>0</v>
      </c>
      <c r="U34" s="6"/>
      <c r="V34" s="583">
        <f t="shared" ref="V34:V35" si="15">SUM(W33)</f>
        <v>0</v>
      </c>
      <c r="W34" s="580"/>
      <c r="X34" s="583">
        <f t="shared" si="0"/>
        <v>0</v>
      </c>
      <c r="Y34" s="625">
        <f t="shared" si="14"/>
        <v>0</v>
      </c>
      <c r="Z34" s="6"/>
      <c r="AA34" s="578"/>
      <c r="AB34" s="582">
        <f>'Water-Meter'!P36</f>
        <v>0</v>
      </c>
      <c r="AC34" s="633">
        <f t="shared" si="9"/>
        <v>0</v>
      </c>
    </row>
    <row r="35" spans="1:29" ht="20.25" customHeight="1" thickBot="1">
      <c r="A35" s="642" t="e">
        <f>[1]Gen!B42</f>
        <v>#REF!</v>
      </c>
      <c r="B35" s="595" t="e">
        <f>[1]Gen!A42</f>
        <v>#REF!</v>
      </c>
      <c r="C35" s="7"/>
      <c r="D35" s="596">
        <f t="shared" si="12"/>
        <v>0</v>
      </c>
      <c r="E35" s="597"/>
      <c r="F35" s="598">
        <f>SUM(F4:F6)</f>
        <v>732.00000000004366</v>
      </c>
      <c r="G35" s="7"/>
      <c r="H35" s="634" t="e">
        <f t="shared" si="5"/>
        <v>#REF!</v>
      </c>
      <c r="I35" s="7"/>
      <c r="J35" s="601">
        <f t="shared" ref="J35" si="16">SUM(K34)</f>
        <v>0</v>
      </c>
      <c r="K35" s="635">
        <f>'Water-Meter'!G37</f>
        <v>0</v>
      </c>
      <c r="L35" s="7">
        <f>SUM(L5:L34)</f>
        <v>0</v>
      </c>
      <c r="M35" s="634" t="e">
        <f t="shared" si="6"/>
        <v>#REF!</v>
      </c>
      <c r="N35" s="7"/>
      <c r="O35" s="601"/>
      <c r="P35" s="602">
        <f>'Water-Meter'!J37</f>
        <v>0</v>
      </c>
      <c r="Q35" s="165"/>
      <c r="R35" s="241"/>
      <c r="S35" s="636">
        <f>Gen!T42</f>
        <v>0</v>
      </c>
      <c r="T35" s="634" t="e">
        <f t="shared" si="13"/>
        <v>#REF!</v>
      </c>
      <c r="U35" s="7"/>
      <c r="V35" s="596">
        <f t="shared" si="15"/>
        <v>0</v>
      </c>
      <c r="W35" s="603"/>
      <c r="X35" s="596">
        <f t="shared" si="0"/>
        <v>0</v>
      </c>
      <c r="Y35" s="634" t="e">
        <f t="shared" si="14"/>
        <v>#REF!</v>
      </c>
      <c r="Z35" s="7"/>
      <c r="AA35" s="601"/>
      <c r="AB35" s="602">
        <f>'Water-Meter'!P37</f>
        <v>0</v>
      </c>
      <c r="AC35" s="637">
        <f t="shared" si="9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900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3">
        <f>A5</f>
        <v>44228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</row>
    <row r="2" spans="1:13">
      <c r="A2" s="864"/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</row>
    <row r="3" spans="1:13" ht="50.25" customHeight="1" thickBot="1">
      <c r="A3" s="663"/>
      <c r="B3" s="664"/>
      <c r="C3" s="75"/>
      <c r="D3" s="75"/>
      <c r="E3" s="75"/>
      <c r="F3" s="75"/>
      <c r="G3" s="75"/>
      <c r="H3" s="75"/>
      <c r="I3" s="75"/>
      <c r="J3" s="75"/>
      <c r="K3" s="75"/>
      <c r="L3" s="665"/>
    </row>
    <row r="4" spans="1:13" s="50" customFormat="1" ht="50.25" customHeight="1" thickBot="1">
      <c r="A4" s="666" t="s">
        <v>0</v>
      </c>
      <c r="B4" s="667" t="s">
        <v>66</v>
      </c>
      <c r="C4" s="668" t="s">
        <v>50</v>
      </c>
      <c r="D4" s="669" t="s">
        <v>64</v>
      </c>
      <c r="E4" s="669" t="s">
        <v>65</v>
      </c>
      <c r="F4" s="670" t="s">
        <v>42</v>
      </c>
      <c r="G4" s="669" t="s">
        <v>203</v>
      </c>
      <c r="H4" s="669" t="s">
        <v>206</v>
      </c>
      <c r="I4" s="669" t="s">
        <v>204</v>
      </c>
      <c r="J4" s="669" t="s">
        <v>205</v>
      </c>
      <c r="K4" s="670" t="s">
        <v>51</v>
      </c>
      <c r="L4" s="671" t="s">
        <v>76</v>
      </c>
    </row>
    <row r="5" spans="1:13">
      <c r="A5" s="660">
        <f>Gen!A11</f>
        <v>44228</v>
      </c>
      <c r="B5" s="643">
        <f>'Daily report Gen'!Z6</f>
        <v>157480</v>
      </c>
      <c r="C5" s="644">
        <f>Gen!B11</f>
        <v>9.0999999999999998E-2</v>
      </c>
      <c r="D5" s="645">
        <f t="shared" ref="D5:D36" si="0">E5</f>
        <v>0</v>
      </c>
      <c r="E5" s="646"/>
      <c r="F5" s="70">
        <f>Gen!U11</f>
        <v>0.41609084652443218</v>
      </c>
      <c r="G5" s="647">
        <f>Gen!T9</f>
        <v>0</v>
      </c>
      <c r="H5" s="647">
        <f>Gen!AK11</f>
        <v>0</v>
      </c>
      <c r="I5" s="647">
        <f t="shared" ref="I5:I36" si="1">SUM(G5:H5)</f>
        <v>0</v>
      </c>
      <c r="J5" s="648">
        <f>Gen!C11</f>
        <v>35132.06</v>
      </c>
      <c r="K5" s="649">
        <f>'Water-Meter'!E6</f>
        <v>58</v>
      </c>
      <c r="L5" s="650">
        <f>'Lpg (2)'!G10</f>
        <v>74734.36</v>
      </c>
      <c r="M5" s="79" t="e">
        <f>SUM(#REF!-#REF!)</f>
        <v>#REF!</v>
      </c>
    </row>
    <row r="6" spans="1:13">
      <c r="A6" s="661">
        <f>Gen!A12</f>
        <v>44229</v>
      </c>
      <c r="B6" s="651">
        <f>'Daily report Gen'!Z7</f>
        <v>24</v>
      </c>
      <c r="C6" s="87">
        <f>Gen!B12</f>
        <v>6.5000000000000002E-2</v>
      </c>
      <c r="D6" s="434">
        <f t="shared" si="0"/>
        <v>0</v>
      </c>
      <c r="E6" s="74"/>
      <c r="F6" s="70">
        <f>Gen!U12</f>
        <v>0.41187785187785192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48625.25</v>
      </c>
      <c r="K6" s="295">
        <f>'Water-Meter'!E7</f>
        <v>56</v>
      </c>
      <c r="L6" s="652">
        <f>'Lpg (2)'!G11</f>
        <v>74755.839999999997</v>
      </c>
      <c r="M6" s="79" t="e">
        <f>SUM(#REF!-#REF!)</f>
        <v>#REF!</v>
      </c>
    </row>
    <row r="7" spans="1:13">
      <c r="A7" s="661">
        <f>Gen!A13</f>
        <v>44230</v>
      </c>
      <c r="B7" s="651">
        <f>'Daily report Gen'!Z8</f>
        <v>25</v>
      </c>
      <c r="C7" s="87">
        <f>Gen!B13</f>
        <v>3.9E-2</v>
      </c>
      <c r="D7" s="434">
        <f t="shared" si="0"/>
        <v>0</v>
      </c>
      <c r="E7" s="74"/>
      <c r="F7" s="70">
        <f>Gen!U13</f>
        <v>0.42344747979992303</v>
      </c>
      <c r="G7" s="85">
        <f>Gen!T11</f>
        <v>2906</v>
      </c>
      <c r="H7" s="85">
        <f>Gen!AK13</f>
        <v>0</v>
      </c>
      <c r="I7" s="85">
        <f t="shared" si="1"/>
        <v>2906</v>
      </c>
      <c r="J7" s="446">
        <f>Gen!C13</f>
        <v>47451.81</v>
      </c>
      <c r="K7" s="295">
        <f>'Water-Meter'!E8</f>
        <v>46</v>
      </c>
      <c r="L7" s="652">
        <f>'Lpg (2)'!G12</f>
        <v>0</v>
      </c>
      <c r="M7" s="79" t="e">
        <f>SUM(#REF!-#REF!)</f>
        <v>#REF!</v>
      </c>
    </row>
    <row r="8" spans="1:13">
      <c r="A8" s="661">
        <f>Gen!A14</f>
        <v>44231</v>
      </c>
      <c r="B8" s="651">
        <f>'Daily report Gen'!Z9</f>
        <v>-157529</v>
      </c>
      <c r="C8" s="87">
        <f>Gen!B14</f>
        <v>0</v>
      </c>
      <c r="D8" s="434">
        <f>E8</f>
        <v>0</v>
      </c>
      <c r="E8" s="74"/>
      <c r="F8" s="70" t="e">
        <f>Gen!U14</f>
        <v>#DIV/0!</v>
      </c>
      <c r="G8" s="85">
        <f>Gen!T12</f>
        <v>2849</v>
      </c>
      <c r="H8" s="85">
        <f>Gen!AK14</f>
        <v>0</v>
      </c>
      <c r="I8" s="85">
        <f t="shared" si="1"/>
        <v>2849</v>
      </c>
      <c r="J8" s="446">
        <f>Gen!C14</f>
        <v>46273.7</v>
      </c>
      <c r="K8" s="295" t="str">
        <f>'Water-Meter'!E9</f>
        <v>0</v>
      </c>
      <c r="L8" s="652">
        <f>'Lpg (2)'!G13</f>
        <v>0</v>
      </c>
      <c r="M8" s="79" t="e">
        <f>SUM(#REF!-#REF!)</f>
        <v>#REF!</v>
      </c>
    </row>
    <row r="9" spans="1:13">
      <c r="A9" s="661">
        <f>Gen!A15</f>
        <v>44232</v>
      </c>
      <c r="B9" s="651">
        <f>'Daily report Gen'!Z10</f>
        <v>0</v>
      </c>
      <c r="C9" s="87">
        <f>Gen!B15</f>
        <v>0</v>
      </c>
      <c r="D9" s="434">
        <f t="shared" si="0"/>
        <v>0</v>
      </c>
      <c r="E9" s="74"/>
      <c r="F9" s="70" t="e">
        <f>Gen!U15</f>
        <v>#DIV/0!</v>
      </c>
      <c r="G9" s="85">
        <f>Gen!T13</f>
        <v>2599</v>
      </c>
      <c r="H9" s="85">
        <f>Gen!AK15</f>
        <v>0</v>
      </c>
      <c r="I9" s="85">
        <f t="shared" si="1"/>
        <v>2599</v>
      </c>
      <c r="J9" s="446">
        <f>Gen!C15</f>
        <v>46273.7</v>
      </c>
      <c r="K9" s="295">
        <f>'Water-Meter'!E10</f>
        <v>0</v>
      </c>
      <c r="L9" s="652">
        <f>'Lpg (2)'!G14</f>
        <v>0</v>
      </c>
      <c r="M9" s="79" t="e">
        <f>SUM(#REF!-#REF!)</f>
        <v>#REF!</v>
      </c>
    </row>
    <row r="10" spans="1:13">
      <c r="A10" s="661">
        <f>Gen!A16</f>
        <v>44233</v>
      </c>
      <c r="B10" s="651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46273.7</v>
      </c>
      <c r="K10" s="295">
        <f>'Water-Meter'!E11</f>
        <v>0</v>
      </c>
      <c r="L10" s="652">
        <f>'Lpg (2)'!G15</f>
        <v>0</v>
      </c>
      <c r="M10" s="79" t="e">
        <f>SUM(#REF!-#REF!)</f>
        <v>#REF!</v>
      </c>
    </row>
    <row r="11" spans="1:13">
      <c r="A11" s="661">
        <f>Gen!A17</f>
        <v>44234</v>
      </c>
      <c r="B11" s="651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46273.7</v>
      </c>
      <c r="K11" s="295">
        <f>'Water-Meter'!E12</f>
        <v>0</v>
      </c>
      <c r="L11" s="652">
        <f>'Lpg (2)'!G16</f>
        <v>0</v>
      </c>
      <c r="M11" s="79" t="e">
        <f>SUM(#REF!-#REF!)</f>
        <v>#REF!</v>
      </c>
    </row>
    <row r="12" spans="1:13">
      <c r="A12" s="661">
        <f>Gen!A18</f>
        <v>44235</v>
      </c>
      <c r="B12" s="651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46273.7</v>
      </c>
      <c r="K12" s="295">
        <f>'Water-Meter'!E13</f>
        <v>0</v>
      </c>
      <c r="L12" s="652">
        <f>'Lpg (2)'!G17</f>
        <v>0</v>
      </c>
      <c r="M12" s="79" t="e">
        <f>SUM(#REF!-#REF!)</f>
        <v>#REF!</v>
      </c>
    </row>
    <row r="13" spans="1:13">
      <c r="A13" s="661">
        <f>Gen!A19</f>
        <v>44236</v>
      </c>
      <c r="B13" s="651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46273.7</v>
      </c>
      <c r="K13" s="295">
        <f>'Water-Meter'!E14</f>
        <v>0</v>
      </c>
      <c r="L13" s="652">
        <f>'Lpg (2)'!G18</f>
        <v>0</v>
      </c>
      <c r="M13" s="79" t="e">
        <f>SUM(#REF!-#REF!)</f>
        <v>#REF!</v>
      </c>
    </row>
    <row r="14" spans="1:13">
      <c r="A14" s="661">
        <f>Gen!A20</f>
        <v>44237</v>
      </c>
      <c r="B14" s="651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46273.7</v>
      </c>
      <c r="K14" s="295">
        <f>'Water-Meter'!E15</f>
        <v>0</v>
      </c>
      <c r="L14" s="652">
        <f>'Lpg (2)'!G19</f>
        <v>0</v>
      </c>
      <c r="M14" s="79" t="e">
        <f>SUM(#REF!-#REF!)</f>
        <v>#REF!</v>
      </c>
    </row>
    <row r="15" spans="1:13">
      <c r="A15" s="661">
        <f>Gen!A21</f>
        <v>44238</v>
      </c>
      <c r="B15" s="651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46273.7</v>
      </c>
      <c r="K15" s="295">
        <f>'Water-Meter'!E16</f>
        <v>0</v>
      </c>
      <c r="L15" s="652">
        <f>'Lpg (2)'!G20</f>
        <v>0</v>
      </c>
      <c r="M15" s="79" t="e">
        <f>SUM(#REF!-#REF!)</f>
        <v>#REF!</v>
      </c>
    </row>
    <row r="16" spans="1:13">
      <c r="A16" s="661">
        <f>Gen!A22</f>
        <v>44239</v>
      </c>
      <c r="B16" s="651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46273.7</v>
      </c>
      <c r="K16" s="295">
        <f>'Water-Meter'!E17</f>
        <v>0</v>
      </c>
      <c r="L16" s="652">
        <f>'Lpg (2)'!G21</f>
        <v>0</v>
      </c>
      <c r="M16" s="79" t="e">
        <f>SUM(#REF!-#REF!)</f>
        <v>#REF!</v>
      </c>
    </row>
    <row r="17" spans="1:13">
      <c r="A17" s="661">
        <f>Gen!A23</f>
        <v>44240</v>
      </c>
      <c r="B17" s="651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46273.7</v>
      </c>
      <c r="K17" s="295">
        <f>'Water-Meter'!E18</f>
        <v>0</v>
      </c>
      <c r="L17" s="652">
        <f>'Lpg (2)'!G22</f>
        <v>0</v>
      </c>
      <c r="M17" s="79" t="e">
        <f>SUM(#REF!-#REF!)</f>
        <v>#REF!</v>
      </c>
    </row>
    <row r="18" spans="1:13">
      <c r="A18" s="661">
        <f>Gen!A24</f>
        <v>44241</v>
      </c>
      <c r="B18" s="651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46273.7</v>
      </c>
      <c r="K18" s="295">
        <f>'Water-Meter'!E19</f>
        <v>0</v>
      </c>
      <c r="L18" s="652">
        <f>'Lpg (2)'!G23</f>
        <v>0</v>
      </c>
      <c r="M18" s="79" t="e">
        <f>SUM(#REF!-#REF!)</f>
        <v>#REF!</v>
      </c>
    </row>
    <row r="19" spans="1:13">
      <c r="A19" s="661">
        <f>Gen!A25</f>
        <v>44242</v>
      </c>
      <c r="B19" s="651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46273.7</v>
      </c>
      <c r="K19" s="295">
        <f>'Water-Meter'!E20</f>
        <v>0</v>
      </c>
      <c r="L19" s="652">
        <f>'Lpg (2)'!G24</f>
        <v>0</v>
      </c>
      <c r="M19" s="79" t="e">
        <f>SUM(#REF!-#REF!)</f>
        <v>#REF!</v>
      </c>
    </row>
    <row r="20" spans="1:13">
      <c r="A20" s="661">
        <f>Gen!A26</f>
        <v>44243</v>
      </c>
      <c r="B20" s="651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46273.7</v>
      </c>
      <c r="K20" s="295">
        <f>'Water-Meter'!E21</f>
        <v>0</v>
      </c>
      <c r="L20" s="652">
        <f>'Lpg (2)'!G25</f>
        <v>0</v>
      </c>
      <c r="M20" s="79" t="e">
        <f>SUM(#REF!-#REF!)</f>
        <v>#REF!</v>
      </c>
    </row>
    <row r="21" spans="1:13">
      <c r="A21" s="661">
        <f>Gen!A27</f>
        <v>44244</v>
      </c>
      <c r="B21" s="651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46273.7</v>
      </c>
      <c r="K21" s="295">
        <f>'Water-Meter'!E22</f>
        <v>0</v>
      </c>
      <c r="L21" s="652">
        <f>'Lpg (2)'!G26</f>
        <v>0</v>
      </c>
      <c r="M21" s="79" t="e">
        <f>SUM(#REF!-#REF!)</f>
        <v>#REF!</v>
      </c>
    </row>
    <row r="22" spans="1:13">
      <c r="A22" s="661">
        <f>Gen!A28</f>
        <v>44245</v>
      </c>
      <c r="B22" s="651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46273.7</v>
      </c>
      <c r="K22" s="295">
        <f>'Water-Meter'!E23</f>
        <v>0</v>
      </c>
      <c r="L22" s="652">
        <f>'Lpg (2)'!G27</f>
        <v>0</v>
      </c>
      <c r="M22" s="79" t="e">
        <f>SUM(#REF!-#REF!)</f>
        <v>#REF!</v>
      </c>
    </row>
    <row r="23" spans="1:13">
      <c r="A23" s="661">
        <f>Gen!A29</f>
        <v>44246</v>
      </c>
      <c r="B23" s="651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46273.7</v>
      </c>
      <c r="K23" s="295">
        <f>'Water-Meter'!E24</f>
        <v>0</v>
      </c>
      <c r="L23" s="652">
        <f>'Lpg (2)'!G28</f>
        <v>0</v>
      </c>
      <c r="M23" s="79" t="e">
        <f>SUM(#REF!-#REF!)</f>
        <v>#REF!</v>
      </c>
    </row>
    <row r="24" spans="1:13">
      <c r="A24" s="661">
        <f>Gen!A30</f>
        <v>44247</v>
      </c>
      <c r="B24" s="651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46273.7</v>
      </c>
      <c r="K24" s="295">
        <f>'Water-Meter'!E25</f>
        <v>0</v>
      </c>
      <c r="L24" s="652">
        <f>'Lpg (2)'!G29</f>
        <v>0</v>
      </c>
      <c r="M24" s="79" t="e">
        <f>SUM(#REF!-#REF!)</f>
        <v>#REF!</v>
      </c>
    </row>
    <row r="25" spans="1:13">
      <c r="A25" s="661">
        <f>Gen!A31</f>
        <v>44248</v>
      </c>
      <c r="B25" s="651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46273.7</v>
      </c>
      <c r="K25" s="295">
        <f>'Water-Meter'!E26</f>
        <v>0</v>
      </c>
      <c r="L25" s="652">
        <f>'Lpg (2)'!G30</f>
        <v>0</v>
      </c>
      <c r="M25" s="79" t="e">
        <f>SUM(#REF!-#REF!)</f>
        <v>#REF!</v>
      </c>
    </row>
    <row r="26" spans="1:13">
      <c r="A26" s="661">
        <f>Gen!A32</f>
        <v>44249</v>
      </c>
      <c r="B26" s="651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46273.7</v>
      </c>
      <c r="K26" s="295">
        <f>'Water-Meter'!E27</f>
        <v>0</v>
      </c>
      <c r="L26" s="652">
        <f>'Lpg (2)'!G31</f>
        <v>0</v>
      </c>
      <c r="M26" s="79" t="e">
        <f>SUM(#REF!-#REF!)</f>
        <v>#REF!</v>
      </c>
    </row>
    <row r="27" spans="1:13">
      <c r="A27" s="661">
        <f>Gen!A33</f>
        <v>44250</v>
      </c>
      <c r="B27" s="651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46273.7</v>
      </c>
      <c r="K27" s="295">
        <f>'Water-Meter'!E28</f>
        <v>0</v>
      </c>
      <c r="L27" s="652">
        <f>'Lpg (2)'!G32</f>
        <v>0</v>
      </c>
      <c r="M27" s="79" t="e">
        <f>SUM(#REF!-#REF!)</f>
        <v>#REF!</v>
      </c>
    </row>
    <row r="28" spans="1:13">
      <c r="A28" s="661">
        <f>Gen!A34</f>
        <v>44251</v>
      </c>
      <c r="B28" s="651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46273.7</v>
      </c>
      <c r="K28" s="295">
        <f>'Water-Meter'!E29</f>
        <v>0</v>
      </c>
      <c r="L28" s="652">
        <f>'Lpg (2)'!G33</f>
        <v>0</v>
      </c>
      <c r="M28" s="79" t="e">
        <f>SUM(#REF!-#REF!)</f>
        <v>#REF!</v>
      </c>
    </row>
    <row r="29" spans="1:13">
      <c r="A29" s="661">
        <f>Gen!A35</f>
        <v>44252</v>
      </c>
      <c r="B29" s="651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46273.7</v>
      </c>
      <c r="K29" s="295">
        <f>'Water-Meter'!E30</f>
        <v>0</v>
      </c>
      <c r="L29" s="652">
        <f>'Lpg (2)'!G34</f>
        <v>0</v>
      </c>
      <c r="M29" s="79" t="e">
        <f>SUM(#REF!-#REF!)</f>
        <v>#REF!</v>
      </c>
    </row>
    <row r="30" spans="1:13">
      <c r="A30" s="661">
        <f>Gen!A36</f>
        <v>44253</v>
      </c>
      <c r="B30" s="651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46273.7</v>
      </c>
      <c r="K30" s="295">
        <f>'Water-Meter'!E31</f>
        <v>0</v>
      </c>
      <c r="L30" s="652">
        <f>'Lpg (2)'!G35</f>
        <v>0</v>
      </c>
      <c r="M30" s="79" t="e">
        <f>SUM(#REF!-#REF!)</f>
        <v>#REF!</v>
      </c>
    </row>
    <row r="31" spans="1:13">
      <c r="A31" s="661">
        <f>Gen!A37</f>
        <v>44254</v>
      </c>
      <c r="B31" s="651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46273.7</v>
      </c>
      <c r="K31" s="295">
        <f>'Water-Meter'!E32</f>
        <v>0</v>
      </c>
      <c r="L31" s="652">
        <f>'Lpg (2)'!G36</f>
        <v>0</v>
      </c>
      <c r="M31" s="79" t="e">
        <f>SUM(#REF!-#REF!)</f>
        <v>#REF!</v>
      </c>
    </row>
    <row r="32" spans="1:13">
      <c r="A32" s="661">
        <f>Gen!A38</f>
        <v>44255</v>
      </c>
      <c r="B32" s="651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46273.7</v>
      </c>
      <c r="K32" s="295">
        <f>'Water-Meter'!E33</f>
        <v>0</v>
      </c>
      <c r="L32" s="652">
        <f>'Lpg (2)'!G37</f>
        <v>0</v>
      </c>
      <c r="M32" s="79" t="e">
        <f>SUM(#REF!-#REF!)</f>
        <v>#REF!</v>
      </c>
    </row>
    <row r="33" spans="1:13">
      <c r="A33" s="661">
        <f>Gen!A39</f>
        <v>0</v>
      </c>
      <c r="B33" s="651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46273.7</v>
      </c>
      <c r="K33" s="295">
        <f>'Water-Meter'!E34</f>
        <v>0</v>
      </c>
      <c r="L33" s="652">
        <f>'Lpg (2)'!G38</f>
        <v>0</v>
      </c>
      <c r="M33" s="79" t="e">
        <f>SUM(#REF!-#REF!)</f>
        <v>#REF!</v>
      </c>
    </row>
    <row r="34" spans="1:13">
      <c r="A34" s="661">
        <f>Gen!A40</f>
        <v>0</v>
      </c>
      <c r="B34" s="651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46273.7</v>
      </c>
      <c r="K34" s="295">
        <f>'Water-Meter'!E35</f>
        <v>0</v>
      </c>
      <c r="L34" s="652">
        <f>'Lpg (2)'!G39</f>
        <v>0</v>
      </c>
      <c r="M34" s="79" t="e">
        <f>SUM(#REF!-#REF!)</f>
        <v>#REF!</v>
      </c>
    </row>
    <row r="35" spans="1:13">
      <c r="A35" s="661">
        <f>Gen!A41</f>
        <v>0</v>
      </c>
      <c r="B35" s="651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46273.7</v>
      </c>
      <c r="K35" s="295">
        <f>'Water-Meter'!E36</f>
        <v>0</v>
      </c>
      <c r="L35" s="652">
        <f>'Lpg (2)'!G40</f>
        <v>0</v>
      </c>
      <c r="M35" s="79" t="e">
        <f>SUM(#REF!-#REF!)</f>
        <v>#REF!</v>
      </c>
    </row>
    <row r="36" spans="1:13" ht="13.5" thickBot="1">
      <c r="A36" s="662">
        <f>Gen!A42</f>
        <v>0</v>
      </c>
      <c r="B36" s="653">
        <f>'Daily report Gen'!Z37</f>
        <v>0</v>
      </c>
      <c r="C36" s="654">
        <f>Gen!B42</f>
        <v>0</v>
      </c>
      <c r="D36" s="655">
        <f t="shared" si="0"/>
        <v>0</v>
      </c>
      <c r="E36" s="656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7">
        <f>Gen!C42</f>
        <v>46273.7</v>
      </c>
      <c r="K36" s="658">
        <f>'Water-Meter'!E37</f>
        <v>0</v>
      </c>
      <c r="L36" s="659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D9" sqref="D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5">
        <f>A6</f>
        <v>44228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19"/>
    </row>
    <row r="2" spans="1:29" ht="12" customHeight="1" thickBot="1">
      <c r="A2" s="866"/>
      <c r="B2" s="866"/>
      <c r="C2" s="866"/>
      <c r="D2" s="866"/>
      <c r="E2" s="866"/>
      <c r="F2" s="866"/>
      <c r="G2" s="866"/>
      <c r="H2" s="866"/>
      <c r="I2" s="866"/>
      <c r="J2" s="866"/>
      <c r="K2" s="866"/>
      <c r="L2" s="866"/>
      <c r="M2" s="866"/>
      <c r="N2" s="866"/>
      <c r="O2" s="866"/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866"/>
      <c r="AB2" s="86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7" t="s">
        <v>298</v>
      </c>
      <c r="L3" s="868"/>
      <c r="M3" s="869"/>
      <c r="N3" s="867" t="s">
        <v>299</v>
      </c>
      <c r="O3" s="868"/>
      <c r="P3" s="869"/>
      <c r="Q3" s="867" t="s">
        <v>300</v>
      </c>
      <c r="R3" s="868"/>
      <c r="S3" s="869"/>
      <c r="T3" s="867" t="s">
        <v>301</v>
      </c>
      <c r="U3" s="868"/>
      <c r="V3" s="869"/>
      <c r="W3" s="867" t="s">
        <v>302</v>
      </c>
      <c r="X3" s="868"/>
      <c r="Y3" s="869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6" t="s">
        <v>191</v>
      </c>
      <c r="R4" s="339" t="s">
        <v>192</v>
      </c>
      <c r="S4" s="827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79"/>
      <c r="B5" s="672"/>
      <c r="C5" s="793"/>
      <c r="D5" s="673"/>
      <c r="E5" s="674"/>
      <c r="F5" s="674"/>
      <c r="G5" s="674"/>
      <c r="H5" s="674"/>
      <c r="I5" s="305"/>
      <c r="J5" s="676"/>
      <c r="K5" s="682"/>
      <c r="L5" s="305"/>
      <c r="M5" s="683"/>
      <c r="N5" s="673"/>
      <c r="O5" s="825"/>
      <c r="P5" s="684"/>
      <c r="Q5" s="673"/>
      <c r="R5" s="305"/>
      <c r="S5" s="684"/>
      <c r="T5" s="673"/>
      <c r="U5" s="825"/>
      <c r="V5" s="684"/>
      <c r="W5" s="673"/>
      <c r="X5" s="673"/>
      <c r="Y5" s="684"/>
      <c r="Z5" s="684"/>
      <c r="AA5" s="673"/>
      <c r="AB5" s="673"/>
      <c r="AC5" s="685"/>
    </row>
    <row r="6" spans="1:29" ht="20.100000000000001" customHeight="1" thickBot="1">
      <c r="A6" s="680">
        <f>Gen!A11</f>
        <v>44228</v>
      </c>
      <c r="B6" s="675">
        <f>Gen!B11</f>
        <v>9.0999999999999998E-2</v>
      </c>
      <c r="C6" s="793">
        <v>21669.19</v>
      </c>
      <c r="D6" s="673">
        <v>17143.12</v>
      </c>
      <c r="E6" s="491"/>
      <c r="F6" s="305"/>
      <c r="G6" s="674"/>
      <c r="H6" s="305"/>
      <c r="I6" s="305">
        <v>31575.200000000001</v>
      </c>
      <c r="J6" s="676">
        <v>21019.599999999999</v>
      </c>
      <c r="K6" s="686">
        <f>L5</f>
        <v>0</v>
      </c>
      <c r="L6" s="305">
        <v>35778</v>
      </c>
      <c r="M6" s="304">
        <f>L6-K6</f>
        <v>35778</v>
      </c>
      <c r="N6" s="306">
        <f>O5</f>
        <v>0</v>
      </c>
      <c r="O6" s="825">
        <v>30687</v>
      </c>
      <c r="P6" s="304">
        <f>O6-N6</f>
        <v>30687</v>
      </c>
      <c r="Q6" s="304">
        <f>R5</f>
        <v>0</v>
      </c>
      <c r="R6" s="305">
        <v>35974</v>
      </c>
      <c r="S6" s="304">
        <f>R6-Q6</f>
        <v>35974</v>
      </c>
      <c r="T6" s="304">
        <f>U5</f>
        <v>0</v>
      </c>
      <c r="U6" s="825">
        <v>33197</v>
      </c>
      <c r="V6" s="304">
        <f>U6-T6</f>
        <v>33197</v>
      </c>
      <c r="W6" s="306">
        <f>X5</f>
        <v>0</v>
      </c>
      <c r="X6" s="673">
        <v>21844</v>
      </c>
      <c r="Y6" s="304">
        <f>X6-W6</f>
        <v>21844</v>
      </c>
      <c r="Z6" s="307">
        <f>Y6+V6+S6+P6+M6</f>
        <v>157480</v>
      </c>
      <c r="AA6" s="673">
        <v>225</v>
      </c>
      <c r="AB6" s="673">
        <v>215</v>
      </c>
      <c r="AC6" s="687">
        <f>Gen!AR11</f>
        <v>1306.81</v>
      </c>
    </row>
    <row r="7" spans="1:29" ht="20.100000000000001" customHeight="1" thickBot="1">
      <c r="A7" s="680">
        <f>Gen!A12</f>
        <v>44229</v>
      </c>
      <c r="B7" s="675">
        <f>Gen!B12</f>
        <v>6.5000000000000002E-2</v>
      </c>
      <c r="C7" s="793">
        <v>19310.84</v>
      </c>
      <c r="D7" s="673">
        <v>17143.12</v>
      </c>
      <c r="E7" s="491"/>
      <c r="G7" s="674"/>
      <c r="H7" s="305"/>
      <c r="I7" s="305">
        <v>31579.7</v>
      </c>
      <c r="J7" s="676">
        <v>21023.4</v>
      </c>
      <c r="K7" s="686">
        <f t="shared" ref="K7:K37" si="0">L6</f>
        <v>35778</v>
      </c>
      <c r="L7" s="305">
        <v>35802</v>
      </c>
      <c r="M7" s="304">
        <f t="shared" ref="M7:M37" si="1">L7-K7</f>
        <v>24</v>
      </c>
      <c r="N7" s="306">
        <f t="shared" ref="N7:N37" si="2">O6</f>
        <v>30687</v>
      </c>
      <c r="O7" s="825">
        <v>30687</v>
      </c>
      <c r="P7" s="304">
        <f t="shared" ref="P7:P37" si="3">O7-N7</f>
        <v>0</v>
      </c>
      <c r="Q7" s="304">
        <f t="shared" ref="Q7:Q37" si="4">R6</f>
        <v>35974</v>
      </c>
      <c r="R7" s="305">
        <v>35974</v>
      </c>
      <c r="S7" s="304">
        <f t="shared" ref="S7:S37" si="5">R7-Q7</f>
        <v>0</v>
      </c>
      <c r="T7" s="304">
        <f t="shared" ref="T7:T37" si="6">U6</f>
        <v>33197</v>
      </c>
      <c r="U7" s="825">
        <v>33197</v>
      </c>
      <c r="V7" s="304">
        <f t="shared" ref="V7:V37" si="7">U7-T7</f>
        <v>0</v>
      </c>
      <c r="W7" s="306">
        <f t="shared" ref="W7:W37" si="8">X6</f>
        <v>21844</v>
      </c>
      <c r="X7" s="673">
        <v>21844</v>
      </c>
      <c r="Y7" s="304">
        <f t="shared" ref="Y7:Y37" si="9">X7-W7</f>
        <v>0</v>
      </c>
      <c r="Z7" s="307">
        <f t="shared" ref="Z7:Z25" si="10">Y7+V7+S7+P7+M7</f>
        <v>24</v>
      </c>
      <c r="AA7" s="673">
        <v>220</v>
      </c>
      <c r="AB7" s="673">
        <v>210</v>
      </c>
      <c r="AC7" s="687">
        <f>Gen!AR12</f>
        <v>1173.44</v>
      </c>
    </row>
    <row r="8" spans="1:29" ht="20.100000000000001" customHeight="1" thickBot="1">
      <c r="A8" s="680">
        <f>Gen!A13</f>
        <v>44230</v>
      </c>
      <c r="B8" s="675">
        <f>Gen!B13</f>
        <v>3.9E-2</v>
      </c>
      <c r="C8" s="793">
        <v>25000</v>
      </c>
      <c r="D8" s="673">
        <v>22273</v>
      </c>
      <c r="E8" s="491"/>
      <c r="F8">
        <f>D8+C8</f>
        <v>47273</v>
      </c>
      <c r="G8" s="674"/>
      <c r="H8" s="305"/>
      <c r="I8" s="305">
        <v>31588.7</v>
      </c>
      <c r="J8" s="676">
        <v>21030.1</v>
      </c>
      <c r="K8" s="686">
        <f t="shared" si="0"/>
        <v>35802</v>
      </c>
      <c r="L8" s="305">
        <v>35802</v>
      </c>
      <c r="M8" s="304">
        <f t="shared" si="1"/>
        <v>0</v>
      </c>
      <c r="N8" s="306">
        <f t="shared" si="2"/>
        <v>30687</v>
      </c>
      <c r="O8" s="825">
        <v>30687</v>
      </c>
      <c r="P8" s="304">
        <f t="shared" si="3"/>
        <v>0</v>
      </c>
      <c r="Q8" s="304">
        <f t="shared" si="4"/>
        <v>35974</v>
      </c>
      <c r="R8" s="305">
        <v>35974</v>
      </c>
      <c r="S8" s="304">
        <f t="shared" si="5"/>
        <v>0</v>
      </c>
      <c r="T8" s="304">
        <f t="shared" si="6"/>
        <v>33197</v>
      </c>
      <c r="U8" s="825">
        <v>33222</v>
      </c>
      <c r="V8" s="304">
        <f t="shared" si="7"/>
        <v>25</v>
      </c>
      <c r="W8" s="306">
        <f t="shared" si="8"/>
        <v>21844</v>
      </c>
      <c r="X8" s="673">
        <v>21844</v>
      </c>
      <c r="Y8" s="304">
        <f t="shared" si="9"/>
        <v>0</v>
      </c>
      <c r="Z8" s="307">
        <f t="shared" si="10"/>
        <v>25</v>
      </c>
      <c r="AA8" s="673">
        <v>200</v>
      </c>
      <c r="AB8" s="673">
        <v>150</v>
      </c>
      <c r="AC8" s="687">
        <f>Gen!AR13</f>
        <v>1178.1099999999999</v>
      </c>
    </row>
    <row r="9" spans="1:29" ht="20.100000000000001" customHeight="1" thickBot="1">
      <c r="A9" s="680">
        <f>Gen!A14</f>
        <v>44231</v>
      </c>
      <c r="B9" s="675">
        <f>Gen!B14</f>
        <v>0</v>
      </c>
      <c r="C9" s="793">
        <v>24000</v>
      </c>
      <c r="D9" s="673">
        <v>22273</v>
      </c>
      <c r="E9" s="491"/>
      <c r="G9" s="674"/>
      <c r="H9" s="305"/>
      <c r="I9" s="305"/>
      <c r="J9" s="676"/>
      <c r="K9" s="686">
        <f t="shared" si="0"/>
        <v>35802</v>
      </c>
      <c r="L9" s="305"/>
      <c r="M9" s="304">
        <f t="shared" si="1"/>
        <v>-35802</v>
      </c>
      <c r="N9" s="306">
        <f t="shared" si="2"/>
        <v>30687</v>
      </c>
      <c r="O9" s="825"/>
      <c r="P9" s="304">
        <f t="shared" si="3"/>
        <v>-30687</v>
      </c>
      <c r="Q9" s="304">
        <f t="shared" si="4"/>
        <v>35974</v>
      </c>
      <c r="R9" s="305"/>
      <c r="S9" s="304">
        <f t="shared" si="5"/>
        <v>-35974</v>
      </c>
      <c r="T9" s="304">
        <f t="shared" si="6"/>
        <v>33222</v>
      </c>
      <c r="U9" s="825"/>
      <c r="V9" s="304">
        <f t="shared" si="7"/>
        <v>-33222</v>
      </c>
      <c r="W9" s="306">
        <f t="shared" si="8"/>
        <v>21844</v>
      </c>
      <c r="X9" s="673"/>
      <c r="Y9" s="304">
        <f t="shared" si="9"/>
        <v>-21844</v>
      </c>
      <c r="Z9" s="307">
        <f t="shared" si="10"/>
        <v>-157529</v>
      </c>
      <c r="AA9" s="673"/>
      <c r="AB9" s="673"/>
      <c r="AC9" s="687">
        <f>Gen!AR14</f>
        <v>0</v>
      </c>
    </row>
    <row r="10" spans="1:29" ht="20.100000000000001" customHeight="1" thickBot="1">
      <c r="A10" s="680">
        <f>Gen!A15</f>
        <v>44232</v>
      </c>
      <c r="B10" s="675">
        <f>Gen!B15</f>
        <v>0</v>
      </c>
      <c r="C10" s="793"/>
      <c r="D10" s="673"/>
      <c r="E10" s="491"/>
      <c r="G10" s="674"/>
      <c r="H10" s="305"/>
      <c r="I10" s="305"/>
      <c r="J10" s="676"/>
      <c r="K10" s="686">
        <f t="shared" si="0"/>
        <v>0</v>
      </c>
      <c r="L10" s="305"/>
      <c r="M10" s="304">
        <f t="shared" si="1"/>
        <v>0</v>
      </c>
      <c r="N10" s="306">
        <f t="shared" si="2"/>
        <v>0</v>
      </c>
      <c r="O10" s="825"/>
      <c r="P10" s="304">
        <f t="shared" si="3"/>
        <v>0</v>
      </c>
      <c r="Q10" s="304">
        <f t="shared" si="4"/>
        <v>0</v>
      </c>
      <c r="R10" s="305"/>
      <c r="S10" s="304">
        <f t="shared" si="5"/>
        <v>0</v>
      </c>
      <c r="T10" s="304">
        <f t="shared" si="6"/>
        <v>0</v>
      </c>
      <c r="U10" s="825"/>
      <c r="V10" s="304">
        <f t="shared" si="7"/>
        <v>0</v>
      </c>
      <c r="W10" s="306">
        <f t="shared" si="8"/>
        <v>0</v>
      </c>
      <c r="X10" s="673"/>
      <c r="Y10" s="304">
        <f t="shared" si="9"/>
        <v>0</v>
      </c>
      <c r="Z10" s="307">
        <f t="shared" si="10"/>
        <v>0</v>
      </c>
      <c r="AA10" s="673"/>
      <c r="AB10" s="673"/>
      <c r="AC10" s="687">
        <f>Gen!AR15</f>
        <v>0</v>
      </c>
    </row>
    <row r="11" spans="1:29" ht="20.100000000000001" customHeight="1" thickBot="1">
      <c r="A11" s="680">
        <f>Gen!A16</f>
        <v>44233</v>
      </c>
      <c r="B11" s="675">
        <f>Gen!B16</f>
        <v>0</v>
      </c>
      <c r="C11" s="793"/>
      <c r="D11" s="673"/>
      <c r="E11" s="491"/>
      <c r="F11" s="305"/>
      <c r="G11" s="305"/>
      <c r="H11" s="305"/>
      <c r="I11" s="305"/>
      <c r="J11" s="676"/>
      <c r="K11" s="686">
        <f t="shared" si="0"/>
        <v>0</v>
      </c>
      <c r="L11" s="305"/>
      <c r="M11" s="304">
        <f t="shared" si="1"/>
        <v>0</v>
      </c>
      <c r="N11" s="306">
        <f t="shared" si="2"/>
        <v>0</v>
      </c>
      <c r="O11" s="8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825"/>
      <c r="V11" s="304">
        <f t="shared" si="7"/>
        <v>0</v>
      </c>
      <c r="W11" s="306">
        <f t="shared" si="8"/>
        <v>0</v>
      </c>
      <c r="X11" s="673"/>
      <c r="Y11" s="304">
        <f t="shared" si="9"/>
        <v>0</v>
      </c>
      <c r="Z11" s="307">
        <f t="shared" si="10"/>
        <v>0</v>
      </c>
      <c r="AA11" s="673"/>
      <c r="AB11" s="673"/>
      <c r="AC11" s="687">
        <f>Gen!AR16</f>
        <v>0</v>
      </c>
    </row>
    <row r="12" spans="1:29" ht="20.100000000000001" customHeight="1" thickBot="1">
      <c r="A12" s="680">
        <f>Gen!A17</f>
        <v>44234</v>
      </c>
      <c r="B12" s="675">
        <f>Gen!B17</f>
        <v>0</v>
      </c>
      <c r="C12" s="793"/>
      <c r="D12" s="673"/>
      <c r="E12" s="491"/>
      <c r="F12" s="305"/>
      <c r="G12" s="305"/>
      <c r="H12" s="305"/>
      <c r="I12" s="305"/>
      <c r="J12" s="676"/>
      <c r="K12" s="686">
        <f t="shared" si="0"/>
        <v>0</v>
      </c>
      <c r="L12" s="305"/>
      <c r="M12" s="304">
        <f t="shared" si="1"/>
        <v>0</v>
      </c>
      <c r="N12" s="306">
        <f t="shared" si="2"/>
        <v>0</v>
      </c>
      <c r="O12" s="8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825"/>
      <c r="V12" s="304">
        <f t="shared" si="7"/>
        <v>0</v>
      </c>
      <c r="W12" s="306">
        <f t="shared" si="8"/>
        <v>0</v>
      </c>
      <c r="X12" s="673"/>
      <c r="Y12" s="304">
        <f t="shared" si="9"/>
        <v>0</v>
      </c>
      <c r="Z12" s="307">
        <f t="shared" si="10"/>
        <v>0</v>
      </c>
      <c r="AA12" s="673"/>
      <c r="AB12" s="673"/>
      <c r="AC12" s="687">
        <f>Gen!AR17</f>
        <v>0</v>
      </c>
    </row>
    <row r="13" spans="1:29" ht="20.100000000000001" customHeight="1" thickBot="1">
      <c r="A13" s="680">
        <f>Gen!A18</f>
        <v>44235</v>
      </c>
      <c r="B13" s="675">
        <f>Gen!B18</f>
        <v>0</v>
      </c>
      <c r="C13" s="793"/>
      <c r="D13" s="673"/>
      <c r="E13" s="491"/>
      <c r="F13" s="305"/>
      <c r="G13" s="305"/>
      <c r="H13" s="305"/>
      <c r="I13" s="305"/>
      <c r="J13" s="676"/>
      <c r="K13" s="686">
        <f t="shared" si="0"/>
        <v>0</v>
      </c>
      <c r="L13" s="305"/>
      <c r="M13" s="304">
        <f t="shared" si="1"/>
        <v>0</v>
      </c>
      <c r="N13" s="306">
        <f t="shared" si="2"/>
        <v>0</v>
      </c>
      <c r="O13" s="825"/>
      <c r="P13" s="304">
        <f>O14-N13</f>
        <v>0</v>
      </c>
      <c r="Q13" s="304">
        <f t="shared" si="4"/>
        <v>0</v>
      </c>
      <c r="R13" s="305"/>
      <c r="S13" s="304">
        <f t="shared" si="5"/>
        <v>0</v>
      </c>
      <c r="T13" s="304">
        <f t="shared" si="6"/>
        <v>0</v>
      </c>
      <c r="U13" s="825"/>
      <c r="V13" s="304">
        <f t="shared" si="7"/>
        <v>0</v>
      </c>
      <c r="W13" s="306">
        <f t="shared" si="8"/>
        <v>0</v>
      </c>
      <c r="X13" s="673"/>
      <c r="Y13" s="304">
        <f t="shared" si="9"/>
        <v>0</v>
      </c>
      <c r="Z13" s="307">
        <f t="shared" si="10"/>
        <v>0</v>
      </c>
      <c r="AA13" s="673"/>
      <c r="AB13" s="673"/>
      <c r="AC13" s="687">
        <f>Gen!AR18</f>
        <v>0</v>
      </c>
    </row>
    <row r="14" spans="1:29" ht="20.100000000000001" customHeight="1" thickBot="1">
      <c r="A14" s="680">
        <f>Gen!A19</f>
        <v>44236</v>
      </c>
      <c r="B14" s="675">
        <f>Gen!B19</f>
        <v>0</v>
      </c>
      <c r="C14" s="793"/>
      <c r="D14" s="673"/>
      <c r="E14" s="491"/>
      <c r="F14" s="305"/>
      <c r="G14" s="305"/>
      <c r="H14" s="305"/>
      <c r="I14" s="305"/>
      <c r="J14" s="676"/>
      <c r="K14" s="686">
        <f t="shared" si="0"/>
        <v>0</v>
      </c>
      <c r="L14" s="305"/>
      <c r="M14" s="304">
        <f t="shared" si="1"/>
        <v>0</v>
      </c>
      <c r="N14" s="306">
        <f>O14</f>
        <v>0</v>
      </c>
      <c r="O14" s="825"/>
      <c r="P14" s="304" t="e">
        <f>#REF!-N14</f>
        <v>#REF!</v>
      </c>
      <c r="Q14" s="304">
        <f t="shared" si="4"/>
        <v>0</v>
      </c>
      <c r="R14" s="305"/>
      <c r="S14" s="304">
        <f t="shared" si="5"/>
        <v>0</v>
      </c>
      <c r="T14" s="304">
        <f t="shared" si="6"/>
        <v>0</v>
      </c>
      <c r="U14" s="825"/>
      <c r="V14" s="304">
        <f t="shared" si="7"/>
        <v>0</v>
      </c>
      <c r="W14" s="306">
        <f t="shared" si="8"/>
        <v>0</v>
      </c>
      <c r="X14" s="673"/>
      <c r="Y14" s="304">
        <f t="shared" si="9"/>
        <v>0</v>
      </c>
      <c r="Z14" s="307" t="e">
        <f t="shared" si="10"/>
        <v>#REF!</v>
      </c>
      <c r="AA14" s="673"/>
      <c r="AB14" s="673"/>
      <c r="AC14" s="687">
        <f>Gen!AR19</f>
        <v>0</v>
      </c>
    </row>
    <row r="15" spans="1:29" ht="20.100000000000001" customHeight="1" thickBot="1">
      <c r="A15" s="680">
        <f>Gen!A20</f>
        <v>44237</v>
      </c>
      <c r="B15" s="675">
        <f>Gen!B20</f>
        <v>0</v>
      </c>
      <c r="C15" s="793"/>
      <c r="D15" s="673"/>
      <c r="E15" s="491"/>
      <c r="F15" s="305"/>
      <c r="G15" s="305"/>
      <c r="H15" s="305"/>
      <c r="I15" s="305"/>
      <c r="J15" s="676"/>
      <c r="K15" s="686">
        <f t="shared" si="0"/>
        <v>0</v>
      </c>
      <c r="L15" s="305"/>
      <c r="M15" s="304">
        <f t="shared" si="1"/>
        <v>0</v>
      </c>
      <c r="N15" s="306" t="e">
        <f>#REF!</f>
        <v>#REF!</v>
      </c>
      <c r="O15" s="825"/>
      <c r="P15" s="304" t="e">
        <f t="shared" si="3"/>
        <v>#REF!</v>
      </c>
      <c r="Q15" s="304">
        <f t="shared" si="4"/>
        <v>0</v>
      </c>
      <c r="R15" s="305"/>
      <c r="S15" s="304">
        <f t="shared" si="5"/>
        <v>0</v>
      </c>
      <c r="T15" s="304">
        <f t="shared" si="6"/>
        <v>0</v>
      </c>
      <c r="U15" s="825"/>
      <c r="V15" s="304">
        <f t="shared" si="7"/>
        <v>0</v>
      </c>
      <c r="W15" s="306">
        <f t="shared" si="8"/>
        <v>0</v>
      </c>
      <c r="X15" s="673"/>
      <c r="Y15" s="304">
        <f t="shared" si="9"/>
        <v>0</v>
      </c>
      <c r="Z15" s="307" t="e">
        <f t="shared" si="10"/>
        <v>#REF!</v>
      </c>
      <c r="AA15" s="673"/>
      <c r="AB15" s="673"/>
      <c r="AC15" s="687">
        <f>Gen!AR20</f>
        <v>0</v>
      </c>
    </row>
    <row r="16" spans="1:29" ht="20.100000000000001" customHeight="1" thickBot="1">
      <c r="A16" s="680">
        <f>Gen!A21</f>
        <v>44238</v>
      </c>
      <c r="B16" s="675">
        <f>Gen!B21</f>
        <v>0</v>
      </c>
      <c r="C16" s="793"/>
      <c r="D16" s="673"/>
      <c r="E16" s="491"/>
      <c r="F16" s="305"/>
      <c r="G16" s="305"/>
      <c r="H16" s="305"/>
      <c r="I16" s="305"/>
      <c r="J16" s="676"/>
      <c r="K16" s="686">
        <f t="shared" si="0"/>
        <v>0</v>
      </c>
      <c r="L16" s="305"/>
      <c r="M16" s="304">
        <f>L16-K16</f>
        <v>0</v>
      </c>
      <c r="N16" s="306">
        <f t="shared" si="2"/>
        <v>0</v>
      </c>
      <c r="O16" s="825"/>
      <c r="P16" s="304">
        <f t="shared" si="3"/>
        <v>0</v>
      </c>
      <c r="Q16" s="304">
        <f t="shared" si="4"/>
        <v>0</v>
      </c>
      <c r="R16" s="305"/>
      <c r="S16" s="304">
        <f t="shared" si="5"/>
        <v>0</v>
      </c>
      <c r="T16" s="304">
        <f t="shared" si="6"/>
        <v>0</v>
      </c>
      <c r="U16" s="82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673"/>
      <c r="AB16" s="673"/>
      <c r="AC16" s="687">
        <f>Gen!AR21</f>
        <v>0</v>
      </c>
    </row>
    <row r="17" spans="1:29" ht="20.100000000000001" customHeight="1" thickBot="1">
      <c r="A17" s="680">
        <f>Gen!A22</f>
        <v>44239</v>
      </c>
      <c r="B17" s="675">
        <f>Gen!B22</f>
        <v>0</v>
      </c>
      <c r="C17" s="793"/>
      <c r="D17" s="673"/>
      <c r="E17" s="491"/>
      <c r="F17" s="305"/>
      <c r="G17" s="305"/>
      <c r="H17" s="305"/>
      <c r="I17" s="305"/>
      <c r="J17" s="676"/>
      <c r="K17" s="686">
        <f>L16</f>
        <v>0</v>
      </c>
      <c r="L17" s="305"/>
      <c r="M17" s="304">
        <f>L17-K17</f>
        <v>0</v>
      </c>
      <c r="N17" s="306">
        <f t="shared" si="2"/>
        <v>0</v>
      </c>
      <c r="O17" s="825"/>
      <c r="P17" s="304">
        <f t="shared" si="3"/>
        <v>0</v>
      </c>
      <c r="Q17" s="304">
        <f t="shared" si="4"/>
        <v>0</v>
      </c>
      <c r="R17" s="305"/>
      <c r="S17" s="304">
        <f t="shared" si="5"/>
        <v>0</v>
      </c>
      <c r="T17" s="304">
        <f t="shared" si="6"/>
        <v>0</v>
      </c>
      <c r="U17" s="82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673"/>
      <c r="AB17" s="673"/>
      <c r="AC17" s="687">
        <f>Gen!AR22</f>
        <v>0</v>
      </c>
    </row>
    <row r="18" spans="1:29" ht="20.100000000000001" customHeight="1" thickBot="1">
      <c r="A18" s="680">
        <f>Gen!A23</f>
        <v>44240</v>
      </c>
      <c r="B18" s="675">
        <f>Gen!B23</f>
        <v>0</v>
      </c>
      <c r="C18" s="793"/>
      <c r="D18" s="673"/>
      <c r="E18" s="305"/>
      <c r="F18" s="305"/>
      <c r="G18" s="305"/>
      <c r="H18" s="305"/>
      <c r="I18" s="305"/>
      <c r="J18" s="676"/>
      <c r="K18" s="686">
        <f>L17</f>
        <v>0</v>
      </c>
      <c r="L18" s="305"/>
      <c r="M18" s="304">
        <f t="shared" si="1"/>
        <v>0</v>
      </c>
      <c r="N18" s="306">
        <f t="shared" si="2"/>
        <v>0</v>
      </c>
      <c r="O18" s="825"/>
      <c r="P18" s="304">
        <f t="shared" si="3"/>
        <v>0</v>
      </c>
      <c r="Q18" s="304">
        <f t="shared" si="4"/>
        <v>0</v>
      </c>
      <c r="R18" s="305"/>
      <c r="S18" s="304">
        <f t="shared" si="5"/>
        <v>0</v>
      </c>
      <c r="T18" s="304">
        <f t="shared" si="6"/>
        <v>0</v>
      </c>
      <c r="U18" s="82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673"/>
      <c r="AB18" s="673"/>
      <c r="AC18" s="687">
        <f>Gen!AR23</f>
        <v>0</v>
      </c>
    </row>
    <row r="19" spans="1:29" ht="20.100000000000001" customHeight="1" thickBot="1">
      <c r="A19" s="680">
        <f>Gen!A24</f>
        <v>44241</v>
      </c>
      <c r="B19" s="675">
        <f>Gen!B24</f>
        <v>0</v>
      </c>
      <c r="C19" s="793"/>
      <c r="D19" s="673"/>
      <c r="E19" s="305"/>
      <c r="F19" s="305"/>
      <c r="G19" s="305"/>
      <c r="H19" s="305"/>
      <c r="I19" s="305"/>
      <c r="J19" s="676"/>
      <c r="K19" s="686">
        <f t="shared" si="0"/>
        <v>0</v>
      </c>
      <c r="L19" s="305"/>
      <c r="M19" s="304">
        <f t="shared" si="1"/>
        <v>0</v>
      </c>
      <c r="N19" s="306">
        <f t="shared" si="2"/>
        <v>0</v>
      </c>
      <c r="O19" s="825"/>
      <c r="P19" s="304">
        <f t="shared" si="3"/>
        <v>0</v>
      </c>
      <c r="Q19" s="304">
        <f t="shared" si="4"/>
        <v>0</v>
      </c>
      <c r="R19" s="305"/>
      <c r="S19" s="304">
        <f t="shared" si="5"/>
        <v>0</v>
      </c>
      <c r="T19" s="304">
        <f t="shared" si="6"/>
        <v>0</v>
      </c>
      <c r="U19" s="82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673"/>
      <c r="AB19" s="673"/>
      <c r="AC19" s="687">
        <f>Gen!AR24</f>
        <v>0</v>
      </c>
    </row>
    <row r="20" spans="1:29" ht="20.100000000000001" customHeight="1" thickBot="1">
      <c r="A20" s="680">
        <f>Gen!A25</f>
        <v>44242</v>
      </c>
      <c r="B20" s="675">
        <f>Gen!B25</f>
        <v>0</v>
      </c>
      <c r="C20" s="793"/>
      <c r="D20" s="673"/>
      <c r="E20" s="305"/>
      <c r="F20" s="305"/>
      <c r="G20" s="305"/>
      <c r="H20" s="305"/>
      <c r="I20" s="305"/>
      <c r="J20" s="676"/>
      <c r="K20" s="686">
        <f t="shared" si="0"/>
        <v>0</v>
      </c>
      <c r="L20" s="305"/>
      <c r="M20" s="304">
        <f t="shared" si="1"/>
        <v>0</v>
      </c>
      <c r="N20" s="306">
        <f t="shared" si="2"/>
        <v>0</v>
      </c>
      <c r="O20" s="825"/>
      <c r="P20" s="304">
        <f t="shared" si="3"/>
        <v>0</v>
      </c>
      <c r="Q20" s="304">
        <f t="shared" si="4"/>
        <v>0</v>
      </c>
      <c r="R20" s="305"/>
      <c r="S20" s="304">
        <f t="shared" si="5"/>
        <v>0</v>
      </c>
      <c r="T20" s="304">
        <f t="shared" si="6"/>
        <v>0</v>
      </c>
      <c r="U20" s="82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673"/>
      <c r="AB20" s="673"/>
      <c r="AC20" s="687">
        <f>Gen!AR25</f>
        <v>0</v>
      </c>
    </row>
    <row r="21" spans="1:29" ht="20.100000000000001" customHeight="1" thickBot="1">
      <c r="A21" s="680">
        <f>Gen!A26</f>
        <v>44243</v>
      </c>
      <c r="B21" s="675">
        <f>Gen!B26</f>
        <v>0</v>
      </c>
      <c r="C21" s="793"/>
      <c r="D21" s="673"/>
      <c r="E21" s="305"/>
      <c r="F21" s="305"/>
      <c r="G21" s="305"/>
      <c r="H21" s="305"/>
      <c r="I21" s="305"/>
      <c r="J21" s="676"/>
      <c r="K21" s="686">
        <f t="shared" si="0"/>
        <v>0</v>
      </c>
      <c r="L21" s="305"/>
      <c r="M21" s="304">
        <f t="shared" si="1"/>
        <v>0</v>
      </c>
      <c r="N21" s="306">
        <f t="shared" si="2"/>
        <v>0</v>
      </c>
      <c r="O21" s="825"/>
      <c r="P21" s="304">
        <f t="shared" si="3"/>
        <v>0</v>
      </c>
      <c r="Q21" s="304">
        <f t="shared" si="4"/>
        <v>0</v>
      </c>
      <c r="R21" s="305"/>
      <c r="S21" s="304">
        <f t="shared" si="5"/>
        <v>0</v>
      </c>
      <c r="T21" s="304">
        <f t="shared" si="6"/>
        <v>0</v>
      </c>
      <c r="U21" s="825"/>
      <c r="V21" s="304">
        <f t="shared" si="7"/>
        <v>0</v>
      </c>
      <c r="W21" s="306">
        <f t="shared" si="8"/>
        <v>0</v>
      </c>
      <c r="X21" s="673"/>
      <c r="Y21" s="304">
        <f t="shared" si="9"/>
        <v>0</v>
      </c>
      <c r="Z21" s="307">
        <f t="shared" si="10"/>
        <v>0</v>
      </c>
      <c r="AA21" s="673"/>
      <c r="AB21" s="673"/>
      <c r="AC21" s="687">
        <f>Gen!AR26</f>
        <v>0</v>
      </c>
    </row>
    <row r="22" spans="1:29" ht="18.75" customHeight="1" thickBot="1">
      <c r="A22" s="680">
        <f>Gen!A27</f>
        <v>44244</v>
      </c>
      <c r="B22" s="675">
        <f>Gen!B27</f>
        <v>0</v>
      </c>
      <c r="C22" s="793"/>
      <c r="D22" s="673"/>
      <c r="E22" s="305"/>
      <c r="F22" s="305"/>
      <c r="G22" s="305"/>
      <c r="H22" s="305"/>
      <c r="I22" s="305"/>
      <c r="J22" s="676"/>
      <c r="K22" s="686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673"/>
      <c r="AC22" s="687">
        <f>Gen!AR27</f>
        <v>0</v>
      </c>
    </row>
    <row r="23" spans="1:29" ht="20.100000000000001" customHeight="1">
      <c r="A23" s="680">
        <f>Gen!A28</f>
        <v>44245</v>
      </c>
      <c r="B23" s="675">
        <f>Gen!B28</f>
        <v>0</v>
      </c>
      <c r="C23" s="793"/>
      <c r="D23" s="673"/>
      <c r="E23" s="491"/>
      <c r="F23" s="305"/>
      <c r="G23" s="305"/>
      <c r="H23" s="305"/>
      <c r="I23" s="305"/>
      <c r="J23" s="676"/>
      <c r="K23" s="686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7">
        <f>Gen!AR28</f>
        <v>0</v>
      </c>
    </row>
    <row r="24" spans="1:29" ht="20.100000000000001" customHeight="1">
      <c r="A24" s="680">
        <f>Gen!A29</f>
        <v>44246</v>
      </c>
      <c r="B24" s="675">
        <f>Gen!B29</f>
        <v>0</v>
      </c>
      <c r="C24" s="793"/>
      <c r="D24" s="794"/>
      <c r="E24" s="305"/>
      <c r="F24" s="305"/>
      <c r="G24" s="305"/>
      <c r="H24" s="305"/>
      <c r="I24" s="305"/>
      <c r="J24" s="676"/>
      <c r="K24" s="686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7">
        <f>Gen!AR29</f>
        <v>0</v>
      </c>
    </row>
    <row r="25" spans="1:29" ht="18.75" customHeight="1">
      <c r="A25" s="680">
        <f>Gen!A30</f>
        <v>44247</v>
      </c>
      <c r="B25" s="675">
        <f>Gen!B30</f>
        <v>0</v>
      </c>
      <c r="C25" s="793"/>
      <c r="D25" s="794"/>
      <c r="E25" s="305"/>
      <c r="F25" s="305"/>
      <c r="G25" s="305"/>
      <c r="H25" s="305"/>
      <c r="I25" s="305"/>
      <c r="J25" s="676"/>
      <c r="K25" s="686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7">
        <f>Gen!AR30</f>
        <v>0</v>
      </c>
    </row>
    <row r="26" spans="1:29" ht="20.100000000000001" customHeight="1">
      <c r="A26" s="680">
        <f>Gen!A31</f>
        <v>44248</v>
      </c>
      <c r="B26" s="675">
        <f>Gen!B31</f>
        <v>0</v>
      </c>
      <c r="C26" s="793"/>
      <c r="D26" s="794"/>
      <c r="E26" s="305"/>
      <c r="F26" s="305"/>
      <c r="G26" s="305"/>
      <c r="H26" s="305"/>
      <c r="I26" s="305"/>
      <c r="J26" s="676"/>
      <c r="K26" s="686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7">
        <f>Gen!AR31</f>
        <v>0</v>
      </c>
    </row>
    <row r="27" spans="1:29" ht="20.100000000000001" customHeight="1">
      <c r="A27" s="680">
        <f>Gen!A32</f>
        <v>44249</v>
      </c>
      <c r="B27" s="675">
        <f>Gen!B32</f>
        <v>0</v>
      </c>
      <c r="C27" s="793"/>
      <c r="D27" s="794"/>
      <c r="E27" s="305"/>
      <c r="F27" s="305"/>
      <c r="G27" s="305"/>
      <c r="H27" s="305"/>
      <c r="I27" s="305"/>
      <c r="J27" s="676"/>
      <c r="K27" s="686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7">
        <f>Gen!AR32</f>
        <v>0</v>
      </c>
    </row>
    <row r="28" spans="1:29" ht="20.100000000000001" customHeight="1">
      <c r="A28" s="680">
        <f>Gen!A33</f>
        <v>44250</v>
      </c>
      <c r="B28" s="675">
        <f>Gen!B33</f>
        <v>0</v>
      </c>
      <c r="C28" s="793"/>
      <c r="D28" s="794"/>
      <c r="E28" s="305"/>
      <c r="F28" s="305"/>
      <c r="G28" s="305"/>
      <c r="H28" s="305"/>
      <c r="I28" s="305"/>
      <c r="J28" s="676"/>
      <c r="K28" s="686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7">
        <f>Gen!AR33</f>
        <v>0</v>
      </c>
    </row>
    <row r="29" spans="1:29" ht="20.100000000000001" customHeight="1">
      <c r="A29" s="680">
        <f>Gen!A34</f>
        <v>44251</v>
      </c>
      <c r="B29" s="675">
        <f>Gen!B34</f>
        <v>0</v>
      </c>
      <c r="C29" s="793"/>
      <c r="D29" s="794"/>
      <c r="E29" s="305"/>
      <c r="F29" s="305"/>
      <c r="G29" s="305"/>
      <c r="H29" s="305"/>
      <c r="I29" s="305"/>
      <c r="J29" s="676"/>
      <c r="K29" s="686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7">
        <f>Gen!AR34</f>
        <v>0</v>
      </c>
    </row>
    <row r="30" spans="1:29" ht="20.100000000000001" customHeight="1">
      <c r="A30" s="680">
        <f>Gen!A35</f>
        <v>44252</v>
      </c>
      <c r="B30" s="675">
        <f>Gen!B35</f>
        <v>0</v>
      </c>
      <c r="C30" s="793"/>
      <c r="D30" s="794"/>
      <c r="E30" s="305"/>
      <c r="F30" s="305"/>
      <c r="G30" s="305"/>
      <c r="H30" s="305"/>
      <c r="I30" s="305"/>
      <c r="J30" s="676"/>
      <c r="K30" s="686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7">
        <f>Gen!AR35</f>
        <v>0</v>
      </c>
    </row>
    <row r="31" spans="1:29" ht="20.100000000000001" customHeight="1">
      <c r="A31" s="680">
        <f>Gen!A36</f>
        <v>44253</v>
      </c>
      <c r="B31" s="675">
        <f>Gen!B36</f>
        <v>0</v>
      </c>
      <c r="C31" s="793"/>
      <c r="D31" s="794"/>
      <c r="E31" s="305"/>
      <c r="F31" s="305"/>
      <c r="G31" s="305"/>
      <c r="H31" s="305"/>
      <c r="I31" s="305"/>
      <c r="J31" s="676"/>
      <c r="K31" s="686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7">
        <f>Gen!AR36</f>
        <v>0</v>
      </c>
    </row>
    <row r="32" spans="1:29" ht="20.100000000000001" customHeight="1">
      <c r="A32" s="680">
        <f>Gen!A37</f>
        <v>44254</v>
      </c>
      <c r="B32" s="675">
        <f>Gen!B37</f>
        <v>0</v>
      </c>
      <c r="C32" s="793"/>
      <c r="D32" s="794"/>
      <c r="E32" s="305"/>
      <c r="F32" s="305"/>
      <c r="G32" s="305"/>
      <c r="H32" s="305"/>
      <c r="I32" s="305"/>
      <c r="J32" s="676"/>
      <c r="K32" s="686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7">
        <f>Gen!AR37</f>
        <v>0</v>
      </c>
    </row>
    <row r="33" spans="1:29" ht="20.100000000000001" customHeight="1">
      <c r="A33" s="680">
        <f>Gen!A38</f>
        <v>44255</v>
      </c>
      <c r="B33" s="675">
        <f>Gen!B38</f>
        <v>0</v>
      </c>
      <c r="C33" s="793"/>
      <c r="D33" s="794"/>
      <c r="E33" s="305"/>
      <c r="F33" s="305"/>
      <c r="G33" s="305"/>
      <c r="H33" s="305"/>
      <c r="I33" s="305"/>
      <c r="J33" s="676"/>
      <c r="K33" s="686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7">
        <f>Gen!AR38</f>
        <v>0</v>
      </c>
    </row>
    <row r="34" spans="1:29" ht="20.100000000000001" customHeight="1">
      <c r="A34" s="680">
        <f>Gen!A39</f>
        <v>0</v>
      </c>
      <c r="B34" s="675">
        <f>Gen!B39</f>
        <v>0</v>
      </c>
      <c r="C34" s="793"/>
      <c r="D34" s="794"/>
      <c r="E34" s="305"/>
      <c r="F34" s="305"/>
      <c r="G34" s="305"/>
      <c r="H34" s="305"/>
      <c r="I34" s="305"/>
      <c r="J34" s="676"/>
      <c r="K34" s="686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87">
        <f>Gen!AR39</f>
        <v>0</v>
      </c>
    </row>
    <row r="35" spans="1:29" ht="20.100000000000001" customHeight="1">
      <c r="A35" s="680">
        <f>Gen!A40</f>
        <v>0</v>
      </c>
      <c r="B35" s="675">
        <f>Gen!B40</f>
        <v>0</v>
      </c>
      <c r="C35" s="793"/>
      <c r="D35" s="794"/>
      <c r="E35" s="305"/>
      <c r="F35" s="305"/>
      <c r="G35" s="305"/>
      <c r="H35" s="305"/>
      <c r="I35" s="305"/>
      <c r="J35" s="676"/>
      <c r="K35" s="686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87">
        <f>Gen!AR40</f>
        <v>0</v>
      </c>
    </row>
    <row r="36" spans="1:29" ht="20.100000000000001" customHeight="1" thickBot="1">
      <c r="A36" s="681">
        <f>Gen!A41</f>
        <v>0</v>
      </c>
      <c r="B36" s="675">
        <f>Gen!B41</f>
        <v>0</v>
      </c>
      <c r="C36" s="793"/>
      <c r="D36" s="794"/>
      <c r="E36" s="305"/>
      <c r="F36" s="305"/>
      <c r="G36" s="305"/>
      <c r="H36" s="305"/>
      <c r="I36" s="305"/>
      <c r="J36" s="676"/>
      <c r="K36" s="686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7">
        <f>Gen!AR41</f>
        <v>0</v>
      </c>
    </row>
    <row r="37" spans="1:29" ht="21" customHeight="1" thickBot="1">
      <c r="A37" s="681">
        <f>Gen!A42</f>
        <v>0</v>
      </c>
      <c r="B37" s="675">
        <f>Gen!B42</f>
        <v>0</v>
      </c>
      <c r="C37" s="677"/>
      <c r="D37" s="677"/>
      <c r="E37" s="677"/>
      <c r="F37" s="677"/>
      <c r="G37" s="677"/>
      <c r="H37" s="677"/>
      <c r="I37" s="677"/>
      <c r="J37" s="678"/>
      <c r="K37" s="688">
        <f t="shared" si="0"/>
        <v>0</v>
      </c>
      <c r="L37" s="677"/>
      <c r="M37" s="689">
        <f t="shared" si="1"/>
        <v>0</v>
      </c>
      <c r="N37" s="690">
        <f t="shared" si="2"/>
        <v>0</v>
      </c>
      <c r="O37" s="677"/>
      <c r="P37" s="689">
        <f t="shared" si="3"/>
        <v>0</v>
      </c>
      <c r="Q37" s="689">
        <f t="shared" si="4"/>
        <v>0</v>
      </c>
      <c r="R37" s="677"/>
      <c r="S37" s="689">
        <f t="shared" si="5"/>
        <v>0</v>
      </c>
      <c r="T37" s="689">
        <f t="shared" si="6"/>
        <v>0</v>
      </c>
      <c r="U37" s="677"/>
      <c r="V37" s="689">
        <f t="shared" si="7"/>
        <v>0</v>
      </c>
      <c r="W37" s="690">
        <f t="shared" si="8"/>
        <v>0</v>
      </c>
      <c r="X37" s="305"/>
      <c r="Y37" s="689">
        <f t="shared" si="9"/>
        <v>0</v>
      </c>
      <c r="Z37" s="691">
        <f t="shared" si="11"/>
        <v>0</v>
      </c>
      <c r="AA37" s="692"/>
      <c r="AB37" s="692"/>
      <c r="AC37" s="687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abSelected="1" workbookViewId="0">
      <pane xSplit="1" topLeftCell="B1" activePane="topRight" state="frozen"/>
      <selection pane="topRight" activeCell="H17" sqref="H17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9"/>
      <c r="B1" s="879"/>
    </row>
    <row r="2" spans="1:46" ht="26.25">
      <c r="A2" s="879"/>
      <c r="B2" s="879"/>
      <c r="D2" s="880">
        <f>A11</f>
        <v>44228</v>
      </c>
      <c r="E2" s="880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881"/>
      <c r="AD2" s="881"/>
      <c r="AE2" s="881"/>
      <c r="AF2" s="881"/>
      <c r="AG2" s="881"/>
      <c r="AH2" s="881"/>
      <c r="AI2" s="881"/>
      <c r="AJ2" s="881"/>
      <c r="AK2" s="881"/>
      <c r="AL2" s="881"/>
      <c r="AM2" s="881"/>
      <c r="AN2" s="881"/>
      <c r="AO2" s="881"/>
      <c r="AP2" s="881"/>
      <c r="AQ2" s="881"/>
      <c r="AR2" s="881"/>
      <c r="AS2" s="881"/>
      <c r="AT2" s="881"/>
    </row>
    <row r="3" spans="1:46" ht="12.75" customHeight="1">
      <c r="A3" s="879"/>
      <c r="B3" s="879"/>
      <c r="H3" s="882"/>
      <c r="I3" s="882"/>
      <c r="J3" s="882"/>
      <c r="K3" s="181"/>
      <c r="Q3" s="181"/>
    </row>
    <row r="4" spans="1:46" ht="11.25" customHeight="1">
      <c r="A4" s="879"/>
      <c r="B4" s="879"/>
      <c r="H4" s="882"/>
      <c r="I4" s="882"/>
      <c r="J4" s="882"/>
      <c r="K4" s="181"/>
      <c r="Q4" s="181"/>
    </row>
    <row r="5" spans="1:46" ht="12" thickBot="1">
      <c r="A5" s="879"/>
      <c r="B5" s="87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9"/>
      <c r="B6" s="879"/>
      <c r="C6" s="186"/>
      <c r="F6" s="883" t="s">
        <v>57</v>
      </c>
      <c r="G6" s="884"/>
      <c r="H6" s="884"/>
      <c r="I6" s="884"/>
      <c r="J6" s="884"/>
      <c r="K6" s="884"/>
      <c r="L6" s="88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6" t="s">
        <v>201</v>
      </c>
      <c r="G7" s="887"/>
      <c r="H7" s="887"/>
      <c r="I7" s="887"/>
      <c r="J7" s="887"/>
      <c r="K7" s="887"/>
      <c r="L7" s="888"/>
      <c r="M7" s="889" t="s">
        <v>40</v>
      </c>
      <c r="N7" s="890"/>
      <c r="O7" s="890"/>
      <c r="P7" s="890"/>
      <c r="Q7" s="890"/>
      <c r="R7" s="89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8">
        <v>35132.06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44228</v>
      </c>
      <c r="B11" s="829">
        <v>9.0999999999999998E-2</v>
      </c>
      <c r="C11" s="807">
        <f>SUM(C9+D11)</f>
        <v>35132.06</v>
      </c>
      <c r="D11" s="808"/>
      <c r="E11" s="805"/>
      <c r="F11" s="526"/>
      <c r="G11" s="806"/>
      <c r="H11" s="204"/>
      <c r="I11" s="205"/>
      <c r="J11" s="204">
        <v>147.30000000000001</v>
      </c>
      <c r="K11" s="204"/>
      <c r="L11" s="299">
        <v>1061.8599999999999</v>
      </c>
      <c r="M11" s="298"/>
      <c r="N11" s="206"/>
      <c r="O11" s="206"/>
      <c r="P11" s="206">
        <v>388</v>
      </c>
      <c r="Q11" s="206"/>
      <c r="R11" s="563">
        <v>2518</v>
      </c>
      <c r="S11" s="571">
        <f t="shared" si="0"/>
        <v>1209.1599999999999</v>
      </c>
      <c r="T11" s="218">
        <f t="shared" si="1"/>
        <v>2906</v>
      </c>
      <c r="U11" s="572">
        <f t="shared" ref="U11:U41" si="4">S11/T11</f>
        <v>0.41609084652443218</v>
      </c>
      <c r="V11" s="211"/>
      <c r="W11" s="219">
        <v>34.4</v>
      </c>
      <c r="X11" s="197">
        <v>63.25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97.65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1306.81</v>
      </c>
      <c r="AS11" s="221">
        <f>AR11*AU11</f>
        <v>0</v>
      </c>
      <c r="AT11" s="283">
        <f t="shared" ref="AT11:AT43" si="5">C11</f>
        <v>35132.06</v>
      </c>
    </row>
    <row r="12" spans="1:46" ht="13.5" customHeight="1">
      <c r="A12" s="577">
        <v>44229</v>
      </c>
      <c r="B12" s="830">
        <v>6.5000000000000002E-2</v>
      </c>
      <c r="C12" s="807">
        <f t="shared" ref="C12:C43" si="6">SUM(C11-AR11+D12)</f>
        <v>48625.25</v>
      </c>
      <c r="D12" s="808">
        <v>14800</v>
      </c>
      <c r="E12" s="805"/>
      <c r="F12" s="526"/>
      <c r="G12" s="806">
        <v>1173.44</v>
      </c>
      <c r="H12" s="204"/>
      <c r="I12" s="223"/>
      <c r="J12" s="204"/>
      <c r="K12" s="204"/>
      <c r="L12" s="299"/>
      <c r="M12" s="298">
        <v>2849</v>
      </c>
      <c r="N12" s="206"/>
      <c r="O12" s="206"/>
      <c r="P12" s="206"/>
      <c r="Q12" s="206"/>
      <c r="R12" s="563"/>
      <c r="S12" s="571">
        <f t="shared" si="0"/>
        <v>1173.44</v>
      </c>
      <c r="T12" s="218">
        <f t="shared" si="1"/>
        <v>2849</v>
      </c>
      <c r="U12" s="572">
        <f t="shared" si="4"/>
        <v>0.41187785187785192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1173.44</v>
      </c>
      <c r="AS12" s="221">
        <f t="shared" ref="AS12:AS44" si="7">AR12*AU12</f>
        <v>0</v>
      </c>
      <c r="AT12" s="283">
        <f t="shared" si="5"/>
        <v>48625.25</v>
      </c>
    </row>
    <row r="13" spans="1:46" ht="13.5" customHeight="1">
      <c r="A13" s="577">
        <v>44230</v>
      </c>
      <c r="B13" s="831">
        <v>3.9E-2</v>
      </c>
      <c r="C13" s="807">
        <f t="shared" si="6"/>
        <v>47451.81</v>
      </c>
      <c r="D13" s="808"/>
      <c r="E13" s="805"/>
      <c r="F13" s="809"/>
      <c r="G13" s="806"/>
      <c r="H13" s="204"/>
      <c r="I13" s="223"/>
      <c r="J13" s="204"/>
      <c r="K13" s="204">
        <v>1100.54</v>
      </c>
      <c r="L13" s="299"/>
      <c r="M13" s="298"/>
      <c r="N13" s="206"/>
      <c r="O13" s="206"/>
      <c r="P13" s="206"/>
      <c r="Q13" s="206">
        <v>2599</v>
      </c>
      <c r="R13" s="563"/>
      <c r="S13" s="571">
        <f t="shared" si="0"/>
        <v>1100.54</v>
      </c>
      <c r="T13" s="218">
        <f t="shared" si="1"/>
        <v>2599</v>
      </c>
      <c r="U13" s="572">
        <f t="shared" si="4"/>
        <v>0.42344747979992303</v>
      </c>
      <c r="V13" s="211"/>
      <c r="W13" s="219"/>
      <c r="X13" s="197">
        <v>42.18</v>
      </c>
      <c r="Y13" s="219">
        <v>35.39</v>
      </c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77.569999999999993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1178.1099999999999</v>
      </c>
      <c r="AS13" s="221">
        <f t="shared" si="7"/>
        <v>0</v>
      </c>
      <c r="AT13" s="283">
        <f t="shared" si="5"/>
        <v>47451.81</v>
      </c>
    </row>
    <row r="14" spans="1:46" ht="13.5" customHeight="1">
      <c r="A14" s="577">
        <v>44231</v>
      </c>
      <c r="B14" s="831"/>
      <c r="C14" s="807">
        <f t="shared" si="6"/>
        <v>46273.7</v>
      </c>
      <c r="D14" s="808"/>
      <c r="E14" s="805"/>
      <c r="F14" s="809"/>
      <c r="G14" s="806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3"/>
      <c r="S14" s="571">
        <f t="shared" si="0"/>
        <v>0</v>
      </c>
      <c r="T14" s="218">
        <f t="shared" si="1"/>
        <v>0</v>
      </c>
      <c r="U14" s="572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46273.7</v>
      </c>
    </row>
    <row r="15" spans="1:46" ht="13.5" customHeight="1">
      <c r="A15" s="577">
        <v>44232</v>
      </c>
      <c r="B15" s="831"/>
      <c r="C15" s="807">
        <f t="shared" si="6"/>
        <v>46273.7</v>
      </c>
      <c r="D15" s="808"/>
      <c r="E15" s="805"/>
      <c r="F15" s="809"/>
      <c r="G15" s="806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3"/>
      <c r="S15" s="571">
        <f t="shared" si="0"/>
        <v>0</v>
      </c>
      <c r="T15" s="218">
        <f t="shared" si="1"/>
        <v>0</v>
      </c>
      <c r="U15" s="572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46273.7</v>
      </c>
    </row>
    <row r="16" spans="1:46" ht="13.5" customHeight="1">
      <c r="A16" s="577">
        <v>44233</v>
      </c>
      <c r="B16" s="831"/>
      <c r="C16" s="807">
        <f t="shared" si="6"/>
        <v>46273.7</v>
      </c>
      <c r="D16" s="808"/>
      <c r="E16" s="805"/>
      <c r="F16" s="809"/>
      <c r="G16" s="806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46273.7</v>
      </c>
    </row>
    <row r="17" spans="1:46" ht="13.5" customHeight="1">
      <c r="A17" s="577">
        <v>44234</v>
      </c>
      <c r="B17" s="831"/>
      <c r="C17" s="807">
        <f t="shared" si="6"/>
        <v>46273.7</v>
      </c>
      <c r="D17" s="808"/>
      <c r="E17" s="805"/>
      <c r="F17" s="809"/>
      <c r="G17" s="806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46273.7</v>
      </c>
    </row>
    <row r="18" spans="1:46" ht="13.5" customHeight="1">
      <c r="A18" s="577">
        <v>44235</v>
      </c>
      <c r="B18" s="831"/>
      <c r="C18" s="807">
        <f t="shared" si="6"/>
        <v>46273.7</v>
      </c>
      <c r="D18" s="808"/>
      <c r="E18" s="805">
        <v>15000</v>
      </c>
      <c r="F18" s="832" t="s">
        <v>330</v>
      </c>
      <c r="G18" s="806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46273.7</v>
      </c>
    </row>
    <row r="19" spans="1:46" ht="13.5" customHeight="1">
      <c r="A19" s="577">
        <v>44236</v>
      </c>
      <c r="B19" s="831"/>
      <c r="C19" s="807">
        <f t="shared" si="6"/>
        <v>46273.7</v>
      </c>
      <c r="D19" s="808"/>
      <c r="E19" s="805"/>
      <c r="F19" s="809"/>
      <c r="G19" s="806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46273.7</v>
      </c>
    </row>
    <row r="20" spans="1:46" ht="15.75">
      <c r="A20" s="577">
        <v>44237</v>
      </c>
      <c r="B20" s="831"/>
      <c r="C20" s="807">
        <f t="shared" si="6"/>
        <v>46273.7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46273.7</v>
      </c>
    </row>
    <row r="21" spans="1:46" ht="15.75">
      <c r="A21" s="577">
        <v>44238</v>
      </c>
      <c r="B21" s="831"/>
      <c r="C21" s="807">
        <f t="shared" si="6"/>
        <v>46273.7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46273.7</v>
      </c>
    </row>
    <row r="22" spans="1:46" ht="14.25">
      <c r="A22" s="577">
        <v>44239</v>
      </c>
      <c r="B22" s="575"/>
      <c r="C22" s="807">
        <f t="shared" si="6"/>
        <v>46273.7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46273.7</v>
      </c>
    </row>
    <row r="23" spans="1:46" ht="13.5" customHeight="1">
      <c r="A23" s="577">
        <v>44240</v>
      </c>
      <c r="B23" s="575"/>
      <c r="C23" s="807">
        <f t="shared" si="6"/>
        <v>46273.7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46273.7</v>
      </c>
    </row>
    <row r="24" spans="1:46" ht="14.25">
      <c r="A24" s="577">
        <v>44241</v>
      </c>
      <c r="B24" s="575"/>
      <c r="C24" s="807">
        <f t="shared" si="6"/>
        <v>46273.7</v>
      </c>
      <c r="D24" s="811"/>
      <c r="E24" s="805"/>
      <c r="F24" s="809"/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46273.7</v>
      </c>
    </row>
    <row r="25" spans="1:46" ht="14.25">
      <c r="A25" s="577">
        <v>44242</v>
      </c>
      <c r="B25" s="575"/>
      <c r="C25" s="807">
        <f t="shared" si="6"/>
        <v>46273.7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46273.7</v>
      </c>
    </row>
    <row r="26" spans="1:46" ht="14.25">
      <c r="A26" s="577">
        <v>44243</v>
      </c>
      <c r="B26" s="575"/>
      <c r="C26" s="807">
        <f t="shared" si="6"/>
        <v>46273.7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46273.7</v>
      </c>
    </row>
    <row r="27" spans="1:46" ht="14.25">
      <c r="A27" s="577">
        <v>44244</v>
      </c>
      <c r="B27" s="575"/>
      <c r="C27" s="807">
        <f t="shared" si="6"/>
        <v>46273.7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46273.7</v>
      </c>
    </row>
    <row r="28" spans="1:46" ht="14.25">
      <c r="A28" s="577">
        <v>44245</v>
      </c>
      <c r="B28" s="575"/>
      <c r="C28" s="807">
        <f t="shared" si="6"/>
        <v>46273.7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46273.7</v>
      </c>
    </row>
    <row r="29" spans="1:46" ht="14.25">
      <c r="A29" s="577">
        <v>44246</v>
      </c>
      <c r="B29" s="575"/>
      <c r="C29" s="807">
        <f t="shared" si="6"/>
        <v>46273.7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46273.7</v>
      </c>
    </row>
    <row r="30" spans="1:46" ht="14.25">
      <c r="A30" s="577">
        <v>44247</v>
      </c>
      <c r="B30" s="575"/>
      <c r="C30" s="807">
        <f t="shared" si="6"/>
        <v>46273.7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46273.7</v>
      </c>
    </row>
    <row r="31" spans="1:46" ht="14.25">
      <c r="A31" s="577">
        <v>44248</v>
      </c>
      <c r="B31" s="575"/>
      <c r="C31" s="807">
        <f t="shared" si="6"/>
        <v>46273.7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46273.7</v>
      </c>
    </row>
    <row r="32" spans="1:46" ht="14.25">
      <c r="A32" s="577">
        <v>44249</v>
      </c>
      <c r="B32" s="575"/>
      <c r="C32" s="807">
        <f t="shared" si="6"/>
        <v>46273.7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46273.7</v>
      </c>
    </row>
    <row r="33" spans="1:46" ht="14.25">
      <c r="A33" s="577">
        <v>44250</v>
      </c>
      <c r="B33" s="575"/>
      <c r="C33" s="807">
        <f t="shared" si="6"/>
        <v>46273.7</v>
      </c>
      <c r="D33" s="808"/>
      <c r="E33" s="805">
        <v>18000</v>
      </c>
      <c r="F33" s="833" t="s">
        <v>331</v>
      </c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46273.7</v>
      </c>
    </row>
    <row r="34" spans="1:46" ht="14.25">
      <c r="A34" s="577">
        <v>44251</v>
      </c>
      <c r="B34" s="575"/>
      <c r="C34" s="807">
        <f t="shared" si="6"/>
        <v>46273.7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46273.7</v>
      </c>
    </row>
    <row r="35" spans="1:46" ht="14.25">
      <c r="A35" s="577">
        <v>44252</v>
      </c>
      <c r="B35" s="575"/>
      <c r="C35" s="807">
        <f t="shared" si="6"/>
        <v>46273.7</v>
      </c>
      <c r="D35" s="808"/>
      <c r="E35" s="805"/>
      <c r="F35" s="809"/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46273.7</v>
      </c>
    </row>
    <row r="36" spans="1:46" ht="14.25">
      <c r="A36" s="577">
        <v>44253</v>
      </c>
      <c r="B36" s="575"/>
      <c r="C36" s="807">
        <f t="shared" si="6"/>
        <v>46273.7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46273.7</v>
      </c>
    </row>
    <row r="37" spans="1:46" ht="14.25">
      <c r="A37" s="577">
        <v>44254</v>
      </c>
      <c r="B37" s="575"/>
      <c r="C37" s="807">
        <f t="shared" si="6"/>
        <v>46273.7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46273.7</v>
      </c>
    </row>
    <row r="38" spans="1:46" ht="14.25">
      <c r="A38" s="577">
        <v>44255</v>
      </c>
      <c r="B38" s="575"/>
      <c r="C38" s="807">
        <f t="shared" si="6"/>
        <v>46273.7</v>
      </c>
      <c r="D38" s="808"/>
      <c r="E38" s="805"/>
      <c r="F38" s="526"/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46273.7</v>
      </c>
    </row>
    <row r="39" spans="1:46" ht="14.25">
      <c r="A39" s="577"/>
      <c r="B39" s="575"/>
      <c r="C39" s="807">
        <f t="shared" si="6"/>
        <v>46273.7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46273.7</v>
      </c>
    </row>
    <row r="40" spans="1:46" ht="14.25">
      <c r="A40" s="577"/>
      <c r="B40" s="575"/>
      <c r="C40" s="807">
        <f t="shared" si="6"/>
        <v>46273.7</v>
      </c>
      <c r="D40" s="808"/>
      <c r="E40" s="805"/>
      <c r="F40" s="526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46273.7</v>
      </c>
    </row>
    <row r="41" spans="1:46" ht="14.25">
      <c r="A41" s="577"/>
      <c r="B41" s="575"/>
      <c r="C41" s="807">
        <f t="shared" si="6"/>
        <v>46273.7</v>
      </c>
      <c r="D41" s="808"/>
      <c r="E41" s="805"/>
      <c r="F41" s="526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46273.7</v>
      </c>
    </row>
    <row r="42" spans="1:46" ht="14.25">
      <c r="A42" s="577"/>
      <c r="B42" s="576"/>
      <c r="C42" s="807">
        <f t="shared" si="6"/>
        <v>46273.7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46273.7</v>
      </c>
    </row>
    <row r="43" spans="1:46" ht="14.25">
      <c r="A43" s="496" t="s">
        <v>25</v>
      </c>
      <c r="B43" s="469">
        <f>AVERAGE(B11:B42)</f>
        <v>6.5000000000000002E-2</v>
      </c>
      <c r="C43" s="803">
        <f t="shared" si="6"/>
        <v>46273.7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46273.7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14800</v>
      </c>
      <c r="E45" s="313">
        <f>SUM(E11:E42)</f>
        <v>33000</v>
      </c>
      <c r="F45" s="819">
        <f t="shared" ref="F45:O45" si="8">SUM(F11:F44)</f>
        <v>0</v>
      </c>
      <c r="G45" s="313">
        <f t="shared" si="8"/>
        <v>1173.44</v>
      </c>
      <c r="H45" s="308">
        <f t="shared" si="8"/>
        <v>0</v>
      </c>
      <c r="I45" s="313">
        <f t="shared" si="8"/>
        <v>0</v>
      </c>
      <c r="J45" s="308">
        <f t="shared" si="8"/>
        <v>147.30000000000001</v>
      </c>
      <c r="K45" s="313">
        <f t="shared" si="8"/>
        <v>1100.54</v>
      </c>
      <c r="L45" s="308">
        <f t="shared" si="8"/>
        <v>1061.8599999999999</v>
      </c>
      <c r="M45" s="313">
        <f t="shared" si="8"/>
        <v>2849</v>
      </c>
      <c r="N45" s="554">
        <f t="shared" si="8"/>
        <v>0</v>
      </c>
      <c r="O45" s="313">
        <f t="shared" si="8"/>
        <v>0</v>
      </c>
      <c r="P45" s="308">
        <f>SUM(P11:P43)</f>
        <v>388</v>
      </c>
      <c r="Q45" s="313">
        <f>SUM(Q11:Q44)</f>
        <v>2599</v>
      </c>
      <c r="R45" s="308">
        <f>SUM(R11:R44)</f>
        <v>2518</v>
      </c>
      <c r="S45" s="552">
        <f>SUM(G45:L45)</f>
        <v>3483.1399999999994</v>
      </c>
      <c r="T45" s="308">
        <f>SUM(M45:R45)</f>
        <v>8354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34.4</v>
      </c>
      <c r="X45" s="547">
        <f t="shared" si="9"/>
        <v>105.43</v>
      </c>
      <c r="Y45" s="234">
        <f t="shared" si="9"/>
        <v>35.39</v>
      </c>
      <c r="Z45" s="547">
        <f t="shared" si="9"/>
        <v>0</v>
      </c>
      <c r="AA45" s="234">
        <f t="shared" si="9"/>
        <v>0</v>
      </c>
      <c r="AB45" s="547">
        <f t="shared" si="9"/>
        <v>0</v>
      </c>
      <c r="AC45" s="234">
        <f>SUM(AC10:AC44)</f>
        <v>0</v>
      </c>
      <c r="AD45" s="547">
        <f>SUM(AD10:AD44)</f>
        <v>0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0</v>
      </c>
      <c r="AI45" s="234">
        <f>SUM(AI9:AI39)</f>
        <v>0</v>
      </c>
      <c r="AJ45" s="547">
        <f>SUM(AJ9:AJ44)</f>
        <v>175.22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3658.3599999999997</v>
      </c>
      <c r="AS45" s="550">
        <f>SUM(AS11:AS44)</f>
        <v>0</v>
      </c>
      <c r="AT45" s="551"/>
    </row>
    <row r="46" spans="1:46" ht="14.25" thickBot="1">
      <c r="A46" s="795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112.35935483870968</v>
      </c>
      <c r="T47" s="316">
        <f>S45*2315</f>
        <v>8063469.0999999987</v>
      </c>
      <c r="U47" s="317" t="s">
        <v>244</v>
      </c>
      <c r="AR47" s="523">
        <f>AR45*2143</f>
        <v>7839865.4799999995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3522.7038444735686</v>
      </c>
      <c r="U48" s="317" t="s">
        <v>245</v>
      </c>
      <c r="W48" s="191"/>
      <c r="X48" s="191"/>
      <c r="Y48" s="191"/>
      <c r="Z48" s="191"/>
      <c r="AA48" s="191"/>
      <c r="AR48" s="316">
        <f>AR47/2289</f>
        <v>3425.0176845784185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2" t="s">
        <v>241</v>
      </c>
      <c r="C50" s="893"/>
      <c r="D50" s="893"/>
      <c r="E50" s="893"/>
      <c r="F50" s="894"/>
      <c r="H50" s="870" t="s">
        <v>213</v>
      </c>
      <c r="I50" s="871"/>
      <c r="J50" s="871"/>
      <c r="K50" s="871"/>
      <c r="L50" s="872"/>
      <c r="N50" s="873" t="s">
        <v>309</v>
      </c>
      <c r="O50" s="874"/>
      <c r="P50" s="874"/>
      <c r="Q50" s="874"/>
      <c r="R50" s="875"/>
      <c r="T50" s="876" t="s">
        <v>226</v>
      </c>
      <c r="U50" s="877"/>
      <c r="V50" s="877"/>
      <c r="W50" s="877"/>
      <c r="X50" s="877"/>
      <c r="Y50" s="878"/>
      <c r="AE50" s="182">
        <v>1306.81</v>
      </c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  <c r="AE51" s="182">
        <v>1173.44</v>
      </c>
    </row>
    <row r="52" spans="2:46" ht="11.25" customHeight="1" thickBot="1">
      <c r="B52" s="499">
        <v>44201</v>
      </c>
      <c r="C52" s="499" t="s">
        <v>323</v>
      </c>
      <c r="D52" s="501">
        <v>42</v>
      </c>
      <c r="E52" s="500" t="s">
        <v>324</v>
      </c>
      <c r="F52" s="527" t="s">
        <v>325</v>
      </c>
      <c r="H52" s="530"/>
      <c r="I52" s="507"/>
      <c r="J52" s="507"/>
      <c r="K52" s="507"/>
      <c r="L52" s="531"/>
      <c r="N52" s="348">
        <v>44197</v>
      </c>
      <c r="O52" s="507" t="s">
        <v>318</v>
      </c>
      <c r="P52" s="525">
        <v>31</v>
      </c>
      <c r="Q52" s="525" t="s">
        <v>319</v>
      </c>
      <c r="R52" s="511" t="s">
        <v>320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326</v>
      </c>
      <c r="D53" s="501">
        <v>56</v>
      </c>
      <c r="E53" s="500" t="s">
        <v>327</v>
      </c>
      <c r="F53" s="527" t="s">
        <v>325</v>
      </c>
      <c r="H53" s="821"/>
      <c r="I53" s="822"/>
      <c r="J53" s="822"/>
      <c r="K53" s="822"/>
      <c r="L53" s="527"/>
      <c r="N53" s="499">
        <v>44197</v>
      </c>
      <c r="O53" s="822" t="s">
        <v>321</v>
      </c>
      <c r="P53" s="823">
        <v>80</v>
      </c>
      <c r="Q53" s="823" t="s">
        <v>322</v>
      </c>
      <c r="R53" s="511" t="s">
        <v>320</v>
      </c>
      <c r="T53" s="499"/>
      <c r="U53" s="200"/>
      <c r="V53" s="614"/>
      <c r="W53" s="500"/>
      <c r="X53" s="500"/>
      <c r="Y53" s="824"/>
      <c r="AE53" s="182">
        <f>SUM(AE50:AE52)</f>
        <v>2480.25</v>
      </c>
    </row>
    <row r="54" spans="2:46" ht="11.25" customHeight="1">
      <c r="B54" s="499">
        <v>44203</v>
      </c>
      <c r="C54" s="499" t="s">
        <v>328</v>
      </c>
      <c r="D54" s="501">
        <v>80</v>
      </c>
      <c r="E54" s="500" t="s">
        <v>329</v>
      </c>
      <c r="F54" s="527" t="s">
        <v>325</v>
      </c>
      <c r="H54" s="516"/>
      <c r="I54" s="265"/>
      <c r="J54" s="265"/>
      <c r="K54" s="265"/>
      <c r="L54" s="527"/>
      <c r="N54" s="341">
        <v>44199</v>
      </c>
      <c r="O54" s="265" t="s">
        <v>321</v>
      </c>
      <c r="P54" s="420">
        <v>30</v>
      </c>
      <c r="Q54" s="420" t="s">
        <v>322</v>
      </c>
      <c r="R54" s="512" t="s">
        <v>320</v>
      </c>
      <c r="T54" s="341"/>
      <c r="U54" s="386"/>
      <c r="V54" s="615"/>
      <c r="W54" s="302"/>
      <c r="X54" s="302"/>
      <c r="Y54" s="535"/>
      <c r="AE54" s="182">
        <v>47250</v>
      </c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  <c r="AE55" s="182">
        <f>SUM(AE53:AE54)</f>
        <v>49730.25</v>
      </c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  <row r="101" spans="2:25">
      <c r="M101" s="835"/>
    </row>
    <row r="102" spans="2:25" ht="13.5">
      <c r="M102" s="836"/>
    </row>
    <row r="103" spans="2:25">
      <c r="M103" s="835"/>
    </row>
    <row r="104" spans="2:25">
      <c r="M104" s="837"/>
    </row>
    <row r="105" spans="2:25">
      <c r="M105" s="834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44228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44229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44230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44231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44232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44233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44234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44235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44236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44237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44238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44239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44240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44241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44242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44243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44244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44245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44246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44247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44248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44249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44250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44251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44252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44253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44254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44255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0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0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D13" sqref="D1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6"/>
      <c r="D6" s="897"/>
      <c r="E6" s="898"/>
      <c r="F6" s="898"/>
      <c r="G6" s="48" t="s">
        <v>4</v>
      </c>
      <c r="H6" s="46" t="s">
        <v>14</v>
      </c>
      <c r="I6" s="41"/>
      <c r="J6" s="113"/>
    </row>
    <row r="7" spans="1:15" ht="18" customHeight="1">
      <c r="A7" s="89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v>44228</v>
      </c>
      <c r="B10" s="268">
        <v>82</v>
      </c>
      <c r="C10" s="268">
        <v>0</v>
      </c>
      <c r="D10" s="268">
        <v>0</v>
      </c>
      <c r="E10" s="268"/>
      <c r="F10" s="268"/>
      <c r="G10" s="268">
        <v>74734.36</v>
      </c>
      <c r="H10" s="111"/>
      <c r="I10" s="6"/>
      <c r="J10" s="116"/>
      <c r="N10" s="156"/>
      <c r="O10" s="156"/>
    </row>
    <row r="11" spans="1:15" ht="18.75">
      <c r="A11" s="94">
        <v>44229</v>
      </c>
      <c r="B11" s="268">
        <v>81</v>
      </c>
      <c r="C11" s="268">
        <v>0</v>
      </c>
      <c r="D11" s="268">
        <v>0</v>
      </c>
      <c r="E11" s="268"/>
      <c r="F11" s="268"/>
      <c r="G11" s="268">
        <v>74755.839999999997</v>
      </c>
      <c r="H11" s="111"/>
      <c r="I11" s="6"/>
      <c r="J11" s="116"/>
      <c r="M11" s="156"/>
      <c r="N11" s="156"/>
    </row>
    <row r="12" spans="1:15" ht="18.75">
      <c r="A12" s="94">
        <v>44230</v>
      </c>
      <c r="B12" s="268"/>
      <c r="C12" s="268"/>
      <c r="D12" s="268"/>
      <c r="E12" s="268"/>
      <c r="F12" s="268"/>
      <c r="G12" s="268"/>
      <c r="H12" s="111"/>
      <c r="I12" s="6"/>
      <c r="J12" s="116"/>
      <c r="M12" s="156"/>
      <c r="N12" s="156"/>
    </row>
    <row r="13" spans="1:15" ht="18.75">
      <c r="A13" s="94">
        <v>44231</v>
      </c>
      <c r="B13" s="268"/>
      <c r="C13" s="268"/>
      <c r="D13" s="268"/>
      <c r="E13" s="268"/>
      <c r="F13" s="268"/>
      <c r="G13" s="268"/>
      <c r="H13" s="111"/>
      <c r="I13" s="6"/>
      <c r="J13" s="116"/>
      <c r="M13" s="156"/>
      <c r="N13" s="156"/>
    </row>
    <row r="14" spans="1:15" ht="18.75">
      <c r="A14" s="94">
        <v>44232</v>
      </c>
      <c r="B14" s="268"/>
      <c r="C14" s="268"/>
      <c r="D14" s="268"/>
      <c r="E14" s="268"/>
      <c r="F14" s="268"/>
      <c r="G14" s="268"/>
      <c r="H14" s="111"/>
      <c r="I14" s="6"/>
      <c r="J14" s="116"/>
      <c r="M14" s="156"/>
      <c r="N14" s="156"/>
    </row>
    <row r="15" spans="1:15" ht="18.75">
      <c r="A15" s="94">
        <v>44233</v>
      </c>
      <c r="B15" s="268"/>
      <c r="C15" s="268"/>
      <c r="D15" s="268"/>
      <c r="E15" s="268"/>
      <c r="F15" s="268"/>
      <c r="G15" s="268"/>
      <c r="H15" s="111"/>
      <c r="I15" s="6"/>
      <c r="J15" s="116"/>
      <c r="M15" s="156"/>
      <c r="N15" s="156"/>
    </row>
    <row r="16" spans="1:15" ht="18.75">
      <c r="A16" s="94">
        <v>44234</v>
      </c>
      <c r="B16" s="268"/>
      <c r="C16" s="268"/>
      <c r="D16" s="268"/>
      <c r="E16" s="268"/>
      <c r="F16" s="268"/>
      <c r="G16" s="268"/>
      <c r="H16" s="111"/>
      <c r="I16" s="6"/>
      <c r="J16" s="116"/>
      <c r="M16" s="156"/>
      <c r="N16" s="156"/>
    </row>
    <row r="17" spans="1:14" ht="18.75">
      <c r="A17" s="94">
        <v>44235</v>
      </c>
      <c r="B17" s="268"/>
      <c r="C17" s="268"/>
      <c r="D17" s="268"/>
      <c r="E17" s="268"/>
      <c r="F17" s="268"/>
      <c r="G17" s="268"/>
      <c r="H17" s="111"/>
      <c r="I17" s="6"/>
      <c r="J17" s="116"/>
      <c r="M17" s="156"/>
      <c r="N17" s="156"/>
    </row>
    <row r="18" spans="1:14" ht="18.75">
      <c r="A18" s="94">
        <v>44236</v>
      </c>
      <c r="B18" s="268"/>
      <c r="C18" s="268"/>
      <c r="D18" s="268"/>
      <c r="E18" s="268"/>
      <c r="F18" s="268"/>
      <c r="G18" s="268"/>
      <c r="H18" s="111"/>
      <c r="I18" s="6"/>
      <c r="J18" s="116"/>
      <c r="M18" s="156"/>
      <c r="N18" s="156"/>
    </row>
    <row r="19" spans="1:14" ht="18.75">
      <c r="A19" s="94">
        <v>44237</v>
      </c>
      <c r="B19" s="268"/>
      <c r="C19" s="268"/>
      <c r="D19" s="268"/>
      <c r="E19" s="268"/>
      <c r="F19" s="268"/>
      <c r="G19" s="268"/>
      <c r="H19" s="111"/>
      <c r="I19" s="6"/>
      <c r="J19" s="116"/>
      <c r="M19" s="156"/>
      <c r="N19" s="156"/>
    </row>
    <row r="20" spans="1:14" ht="18.75">
      <c r="A20" s="94">
        <v>44238</v>
      </c>
      <c r="B20" s="268"/>
      <c r="C20" s="268"/>
      <c r="D20" s="268"/>
      <c r="E20" s="268"/>
      <c r="F20" s="268"/>
      <c r="G20" s="268"/>
      <c r="H20" s="111"/>
      <c r="I20" s="6"/>
      <c r="J20" s="116"/>
    </row>
    <row r="21" spans="1:14" ht="18.75">
      <c r="A21" s="94">
        <v>44239</v>
      </c>
      <c r="B21" s="268"/>
      <c r="C21" s="268"/>
      <c r="D21" s="268"/>
      <c r="E21" s="268"/>
      <c r="F21" s="268"/>
      <c r="G21" s="268"/>
      <c r="H21" s="111"/>
      <c r="I21" s="6"/>
      <c r="J21" s="116"/>
    </row>
    <row r="22" spans="1:14" ht="18.75">
      <c r="A22" s="94">
        <v>44240</v>
      </c>
      <c r="B22" s="268"/>
      <c r="C22" s="268"/>
      <c r="D22" s="268"/>
      <c r="E22" s="268"/>
      <c r="F22" s="268"/>
      <c r="G22" s="268"/>
      <c r="H22" s="111"/>
      <c r="I22" s="6"/>
      <c r="J22" s="116"/>
    </row>
    <row r="23" spans="1:14" ht="18.75">
      <c r="A23" s="94">
        <v>44241</v>
      </c>
      <c r="B23" s="268"/>
      <c r="C23" s="268"/>
      <c r="D23" s="268"/>
      <c r="E23" s="268"/>
      <c r="F23" s="268"/>
      <c r="G23" s="268"/>
      <c r="H23" s="111"/>
      <c r="I23" s="6"/>
      <c r="J23" s="116"/>
    </row>
    <row r="24" spans="1:14" ht="18.75">
      <c r="A24" s="94">
        <v>44242</v>
      </c>
      <c r="B24" s="268"/>
      <c r="C24" s="268"/>
      <c r="D24" s="268"/>
      <c r="E24" s="268"/>
      <c r="F24" s="268"/>
      <c r="G24" s="268"/>
      <c r="H24" s="111"/>
      <c r="I24" s="6"/>
      <c r="J24" s="116"/>
    </row>
    <row r="25" spans="1:14" ht="18.75">
      <c r="A25" s="94">
        <v>44243</v>
      </c>
      <c r="B25" s="268"/>
      <c r="C25" s="268"/>
      <c r="D25" s="268"/>
      <c r="E25" s="268"/>
      <c r="F25" s="268"/>
      <c r="G25" s="268"/>
      <c r="H25" s="111"/>
      <c r="I25" s="6"/>
      <c r="J25" s="116"/>
    </row>
    <row r="26" spans="1:14" ht="18.75">
      <c r="A26" s="94">
        <v>44244</v>
      </c>
      <c r="B26" s="268"/>
      <c r="C26" s="268"/>
      <c r="D26" s="268"/>
      <c r="E26" s="268"/>
      <c r="F26" s="268"/>
      <c r="G26" s="268"/>
      <c r="H26" s="111"/>
      <c r="I26" s="6"/>
      <c r="J26" s="116"/>
    </row>
    <row r="27" spans="1:14" ht="18.75">
      <c r="A27" s="94">
        <v>44245</v>
      </c>
      <c r="B27" s="268"/>
      <c r="C27" s="268"/>
      <c r="D27" s="268"/>
      <c r="E27" s="268"/>
      <c r="F27" s="268"/>
      <c r="G27" s="268"/>
      <c r="H27" s="111"/>
      <c r="I27" s="6"/>
      <c r="J27" s="116"/>
    </row>
    <row r="28" spans="1:14" ht="18.75">
      <c r="A28" s="94">
        <v>44246</v>
      </c>
      <c r="B28" s="268"/>
      <c r="C28" s="268"/>
      <c r="D28" s="268"/>
      <c r="E28" s="268"/>
      <c r="F28" s="268"/>
      <c r="G28" s="268"/>
      <c r="H28" s="111"/>
      <c r="I28" s="6"/>
      <c r="J28" s="116"/>
    </row>
    <row r="29" spans="1:14" ht="18.75">
      <c r="A29" s="94">
        <v>44247</v>
      </c>
      <c r="B29" s="268"/>
      <c r="C29" s="268"/>
      <c r="D29" s="268"/>
      <c r="E29" s="268"/>
      <c r="F29" s="268"/>
      <c r="G29" s="268"/>
      <c r="H29" s="111"/>
      <c r="I29" s="6"/>
      <c r="J29" s="116"/>
    </row>
    <row r="30" spans="1:14" ht="18.75">
      <c r="A30" s="94">
        <v>44248</v>
      </c>
      <c r="B30" s="268"/>
      <c r="C30" s="268"/>
      <c r="D30" s="268"/>
      <c r="E30" s="268"/>
      <c r="F30" s="268"/>
      <c r="G30" s="268"/>
      <c r="H30" s="111"/>
      <c r="I30" s="6"/>
      <c r="J30" s="116"/>
    </row>
    <row r="31" spans="1:14" ht="18.75">
      <c r="A31" s="94">
        <v>44249</v>
      </c>
      <c r="B31" s="268"/>
      <c r="C31" s="268"/>
      <c r="D31" s="268"/>
      <c r="E31" s="268"/>
      <c r="F31" s="268"/>
      <c r="G31" s="268"/>
      <c r="H31" s="111"/>
      <c r="I31" s="6"/>
      <c r="J31" s="116"/>
    </row>
    <row r="32" spans="1:14" ht="18.75">
      <c r="A32" s="94">
        <v>44250</v>
      </c>
      <c r="B32" s="268"/>
      <c r="C32" s="268"/>
      <c r="D32" s="268"/>
      <c r="E32" s="268"/>
      <c r="F32" s="268"/>
      <c r="G32" s="268"/>
      <c r="H32" s="111"/>
      <c r="I32" s="6"/>
      <c r="J32" s="116"/>
    </row>
    <row r="33" spans="1:10" ht="18.75">
      <c r="A33" s="94">
        <v>44251</v>
      </c>
      <c r="B33" s="268"/>
      <c r="C33" s="268"/>
      <c r="D33" s="268"/>
      <c r="E33" s="268"/>
      <c r="F33" s="268"/>
      <c r="G33" s="268"/>
      <c r="H33" s="111"/>
      <c r="I33" s="6"/>
      <c r="J33" s="116"/>
    </row>
    <row r="34" spans="1:10" ht="18.75">
      <c r="A34" s="94">
        <v>44252</v>
      </c>
      <c r="B34" s="268"/>
      <c r="C34" s="268"/>
      <c r="D34" s="268"/>
      <c r="E34" s="268"/>
      <c r="F34" s="268"/>
      <c r="G34" s="268"/>
      <c r="H34" s="111"/>
      <c r="I34" s="6"/>
      <c r="J34" s="116"/>
    </row>
    <row r="35" spans="1:10" ht="18.75">
      <c r="A35" s="94">
        <v>44253</v>
      </c>
      <c r="B35" s="268"/>
      <c r="C35" s="268"/>
      <c r="D35" s="268"/>
      <c r="E35" s="268"/>
      <c r="F35" s="268"/>
      <c r="G35" s="268"/>
      <c r="H35" s="111"/>
      <c r="I35" s="6"/>
      <c r="J35" s="116"/>
    </row>
    <row r="36" spans="1:10" ht="18.75">
      <c r="A36" s="94">
        <v>44254</v>
      </c>
      <c r="B36" s="268"/>
      <c r="C36" s="268"/>
      <c r="D36" s="268"/>
      <c r="E36" s="268"/>
      <c r="F36" s="268"/>
      <c r="G36" s="268"/>
      <c r="H36" s="111"/>
      <c r="I36" s="6"/>
      <c r="J36" s="116"/>
    </row>
    <row r="37" spans="1:10" ht="18.75">
      <c r="A37" s="94">
        <v>44255</v>
      </c>
      <c r="B37" s="268"/>
      <c r="C37" s="268"/>
      <c r="D37" s="268"/>
      <c r="E37" s="268"/>
      <c r="F37" s="268"/>
      <c r="G37" s="268"/>
      <c r="H37" s="111"/>
      <c r="I37" s="6"/>
      <c r="J37" s="116"/>
    </row>
    <row r="38" spans="1:10" ht="18.75">
      <c r="A38" s="94"/>
      <c r="B38" s="268"/>
      <c r="C38" s="268"/>
      <c r="D38" s="268"/>
      <c r="E38" s="268"/>
      <c r="F38" s="268"/>
      <c r="G38" s="268"/>
      <c r="H38" s="111"/>
      <c r="I38" s="6"/>
      <c r="J38" s="116"/>
    </row>
    <row r="39" spans="1:10" ht="18.75">
      <c r="A39" s="94"/>
      <c r="B39" s="268"/>
      <c r="C39" s="268"/>
      <c r="D39" s="268"/>
      <c r="E39" s="268"/>
      <c r="F39" s="268"/>
      <c r="G39" s="268"/>
      <c r="H39" s="111"/>
      <c r="I39" s="6"/>
      <c r="J39" s="116"/>
    </row>
    <row r="40" spans="1:10" ht="18.75">
      <c r="A40" s="94"/>
      <c r="B40" s="268"/>
      <c r="C40" s="268"/>
      <c r="D40" s="268"/>
      <c r="E40" s="268"/>
      <c r="F40" s="268"/>
      <c r="G40" s="268"/>
      <c r="H40" s="111"/>
      <c r="I40" s="6"/>
      <c r="J40" s="116"/>
    </row>
    <row r="41" spans="1:10" ht="18.75">
      <c r="A41" s="94"/>
      <c r="B41" s="268"/>
      <c r="C41" s="268"/>
      <c r="D41" s="268"/>
      <c r="E41" s="268"/>
      <c r="F41" s="268"/>
      <c r="G41" s="268"/>
      <c r="H41" s="111"/>
      <c r="I41" s="6"/>
      <c r="J41" s="6"/>
    </row>
    <row r="42" spans="1:10" ht="17.25">
      <c r="A42" s="94"/>
      <c r="B42" s="5"/>
      <c r="C42" s="895" t="s">
        <v>6</v>
      </c>
      <c r="D42" s="895"/>
      <c r="E42" s="2">
        <f t="shared" ref="E42:F42" si="0">SUM(E10:E40)</f>
        <v>0</v>
      </c>
      <c r="F42" s="2">
        <f t="shared" si="0"/>
        <v>0</v>
      </c>
      <c r="G42" s="101">
        <f>SUM(G10:G40)</f>
        <v>149490.20000000001</v>
      </c>
      <c r="H42" s="111"/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44228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44229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44230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44231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44232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44233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44234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44235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44236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44237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44238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44239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44240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44241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44242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44243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44244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44245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44246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44247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44248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44249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44250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44251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44252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44253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44254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44255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0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0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AI10" sqref="AI1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5" t="s">
        <v>315</v>
      </c>
      <c r="B1" s="906"/>
      <c r="C1" s="906"/>
      <c r="D1" s="906"/>
      <c r="E1" s="906"/>
      <c r="F1" s="906"/>
      <c r="G1" s="906"/>
      <c r="H1" s="906"/>
      <c r="I1" s="906"/>
      <c r="J1" s="906"/>
      <c r="K1" s="906"/>
      <c r="L1" s="906"/>
      <c r="M1" s="906"/>
      <c r="N1" s="906"/>
      <c r="O1" s="906"/>
      <c r="P1" s="906"/>
      <c r="Q1" s="906"/>
      <c r="R1" s="906"/>
      <c r="S1" s="906"/>
      <c r="T1" s="906"/>
      <c r="U1" s="906"/>
      <c r="V1" s="906"/>
      <c r="W1" s="906"/>
      <c r="X1" s="906"/>
      <c r="Y1" s="906"/>
      <c r="Z1" s="906"/>
      <c r="AA1" s="906"/>
      <c r="AB1" s="906"/>
      <c r="AC1" s="906"/>
      <c r="AD1" s="906"/>
      <c r="AE1" s="906"/>
      <c r="AF1" s="906"/>
      <c r="AG1" s="906"/>
      <c r="AH1" s="906"/>
      <c r="AI1" s="906"/>
      <c r="AJ1" s="906"/>
      <c r="AK1" s="906"/>
      <c r="AL1" s="906"/>
      <c r="AM1" s="906"/>
      <c r="AN1" s="906"/>
    </row>
    <row r="2" spans="1:40" ht="13.5" customHeight="1" thickTop="1">
      <c r="A2" s="29"/>
      <c r="B2" s="29"/>
      <c r="C2" s="902" t="s">
        <v>52</v>
      </c>
      <c r="D2" s="902"/>
      <c r="E2" s="902"/>
      <c r="F2" s="902" t="s">
        <v>17</v>
      </c>
      <c r="G2" s="902"/>
      <c r="H2" s="902"/>
      <c r="I2" s="902" t="s">
        <v>131</v>
      </c>
      <c r="J2" s="902"/>
      <c r="K2" s="902"/>
      <c r="L2" s="902" t="s">
        <v>134</v>
      </c>
      <c r="M2" s="902"/>
      <c r="N2" s="902"/>
      <c r="O2" s="902" t="s">
        <v>132</v>
      </c>
      <c r="P2" s="902"/>
      <c r="Q2" s="902"/>
      <c r="R2" s="252"/>
      <c r="S2" s="913" t="s">
        <v>181</v>
      </c>
      <c r="T2" s="914"/>
      <c r="U2" s="915"/>
      <c r="V2" s="913" t="s">
        <v>182</v>
      </c>
      <c r="W2" s="914"/>
      <c r="X2" s="915"/>
      <c r="Y2" s="913" t="s">
        <v>183</v>
      </c>
      <c r="Z2" s="914"/>
      <c r="AA2" s="915"/>
      <c r="AB2" s="913" t="s">
        <v>184</v>
      </c>
      <c r="AC2" s="914"/>
      <c r="AD2" s="915"/>
      <c r="AE2" s="907" t="s">
        <v>239</v>
      </c>
      <c r="AF2" s="908"/>
      <c r="AG2" s="919"/>
      <c r="AH2" s="907" t="s">
        <v>243</v>
      </c>
      <c r="AI2" s="908"/>
      <c r="AJ2" s="919"/>
      <c r="AK2" s="907" t="s">
        <v>240</v>
      </c>
      <c r="AL2" s="908"/>
      <c r="AM2" s="908"/>
      <c r="AN2" s="911" t="s">
        <v>189</v>
      </c>
    </row>
    <row r="3" spans="1:40" ht="21.75" customHeight="1" thickBot="1">
      <c r="A3" s="903" t="s">
        <v>7</v>
      </c>
      <c r="B3" s="29"/>
      <c r="C3" s="902" t="s">
        <v>133</v>
      </c>
      <c r="D3" s="902" t="s">
        <v>15</v>
      </c>
      <c r="E3" s="902" t="s">
        <v>16</v>
      </c>
      <c r="F3" s="902" t="s">
        <v>133</v>
      </c>
      <c r="G3" s="902" t="s">
        <v>15</v>
      </c>
      <c r="H3" s="902" t="s">
        <v>16</v>
      </c>
      <c r="I3" s="902" t="s">
        <v>133</v>
      </c>
      <c r="J3" s="902" t="s">
        <v>15</v>
      </c>
      <c r="K3" s="902" t="s">
        <v>16</v>
      </c>
      <c r="L3" s="902" t="s">
        <v>133</v>
      </c>
      <c r="M3" s="902" t="s">
        <v>15</v>
      </c>
      <c r="N3" s="902" t="s">
        <v>16</v>
      </c>
      <c r="O3" s="902" t="s">
        <v>133</v>
      </c>
      <c r="P3" s="902" t="s">
        <v>15</v>
      </c>
      <c r="Q3" s="902" t="s">
        <v>16</v>
      </c>
      <c r="R3" s="921" t="s">
        <v>185</v>
      </c>
      <c r="S3" s="916"/>
      <c r="T3" s="917"/>
      <c r="U3" s="918"/>
      <c r="V3" s="916"/>
      <c r="W3" s="917"/>
      <c r="X3" s="918"/>
      <c r="Y3" s="916"/>
      <c r="Z3" s="917"/>
      <c r="AA3" s="918"/>
      <c r="AB3" s="916"/>
      <c r="AC3" s="917"/>
      <c r="AD3" s="918"/>
      <c r="AE3" s="909"/>
      <c r="AF3" s="910"/>
      <c r="AG3" s="920"/>
      <c r="AH3" s="909"/>
      <c r="AI3" s="910"/>
      <c r="AJ3" s="920"/>
      <c r="AK3" s="909"/>
      <c r="AL3" s="910"/>
      <c r="AM3" s="910"/>
      <c r="AN3" s="912"/>
    </row>
    <row r="4" spans="1:40" ht="15.75" thickTop="1">
      <c r="A4" s="904"/>
      <c r="B4" s="244"/>
      <c r="C4" s="902"/>
      <c r="D4" s="902"/>
      <c r="E4" s="902"/>
      <c r="F4" s="902"/>
      <c r="G4" s="902"/>
      <c r="H4" s="902"/>
      <c r="I4" s="902"/>
      <c r="J4" s="902"/>
      <c r="K4" s="902"/>
      <c r="L4" s="902"/>
      <c r="M4" s="902"/>
      <c r="N4" s="902"/>
      <c r="O4" s="902"/>
      <c r="P4" s="902"/>
      <c r="Q4" s="902"/>
      <c r="R4" s="921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249358</v>
      </c>
      <c r="E5" s="58">
        <f t="shared" ref="E5:E15" si="1">IF((D5-D4)&lt;0,"0",(D5-D4))</f>
        <v>249358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8241</v>
      </c>
      <c r="K5" s="474"/>
      <c r="L5" s="95">
        <f t="shared" ref="L5:L24" si="4">M4</f>
        <v>0</v>
      </c>
      <c r="M5" s="1"/>
      <c r="N5" s="474">
        <v>0</v>
      </c>
      <c r="O5" s="95">
        <f t="shared" ref="O5:O25" si="5">P4</f>
        <v>0</v>
      </c>
      <c r="P5" s="383">
        <v>20888</v>
      </c>
      <c r="Q5" s="474">
        <f t="shared" ref="Q5:Q27" si="6">IF((P5-P4)&lt;0,"0",(P5-P4))</f>
        <v>20888</v>
      </c>
      <c r="R5" s="246"/>
      <c r="S5" s="245"/>
      <c r="T5" s="384">
        <v>64582</v>
      </c>
      <c r="U5" s="245"/>
      <c r="V5" s="245" t="str">
        <f t="shared" ref="V5:V20" si="7">W4</f>
        <v>FINAL</v>
      </c>
      <c r="W5" s="384">
        <v>73031</v>
      </c>
      <c r="X5" s="246">
        <v>0</v>
      </c>
      <c r="Y5" s="245" t="str">
        <f t="shared" ref="Y5:Y37" si="8">Z4</f>
        <v>FINAL</v>
      </c>
      <c r="Z5" s="384">
        <v>89012</v>
      </c>
      <c r="AA5" s="246">
        <v>0</v>
      </c>
      <c r="AB5" s="608" t="str">
        <f>AC4</f>
        <v>FINAL</v>
      </c>
      <c r="AC5" s="612">
        <v>17837</v>
      </c>
      <c r="AD5" s="610"/>
      <c r="AE5" s="245" t="str">
        <f t="shared" ref="AE5:AE37" si="9">AF4</f>
        <v>FINAL</v>
      </c>
      <c r="AF5" s="385">
        <v>18300</v>
      </c>
      <c r="AG5" s="260">
        <v>0</v>
      </c>
      <c r="AH5" s="245" t="str">
        <f t="shared" ref="AH5:AH37" si="10">AI4</f>
        <v>FINAL</v>
      </c>
      <c r="AI5" s="385">
        <v>28766</v>
      </c>
      <c r="AJ5" s="260"/>
      <c r="AK5" s="315" t="str">
        <f t="shared" ref="AK5:AK37" si="11">AL4</f>
        <v>FINAL</v>
      </c>
      <c r="AL5" s="384"/>
      <c r="AM5" s="260"/>
      <c r="AN5" s="389"/>
    </row>
    <row r="6" spans="1:40" ht="23.1" customHeight="1">
      <c r="A6" s="57">
        <f>Gen!A11</f>
        <v>44228</v>
      </c>
      <c r="B6" s="4"/>
      <c r="C6" s="95">
        <f t="shared" si="0"/>
        <v>249358</v>
      </c>
      <c r="D6" s="1">
        <v>249416</v>
      </c>
      <c r="E6" s="58">
        <f t="shared" si="1"/>
        <v>58</v>
      </c>
      <c r="F6" s="95">
        <f t="shared" si="2"/>
        <v>0</v>
      </c>
      <c r="G6" s="387"/>
      <c r="H6" s="474">
        <f t="shared" ref="H6:H24" si="12">IF((G6-G5)&lt;0,"0",(G6-G5))</f>
        <v>0</v>
      </c>
      <c r="I6" s="95">
        <f t="shared" si="3"/>
        <v>8241</v>
      </c>
      <c r="J6" s="1">
        <v>8243</v>
      </c>
      <c r="K6" s="474"/>
      <c r="L6" s="95">
        <f t="shared" si="4"/>
        <v>0</v>
      </c>
      <c r="M6" s="1"/>
      <c r="N6" s="474">
        <f t="shared" ref="N6:N24" si="13">IF((M6-M5)&lt;0,"0",(M6-M5))</f>
        <v>0</v>
      </c>
      <c r="O6" s="95">
        <f t="shared" si="5"/>
        <v>20888</v>
      </c>
      <c r="P6" s="383">
        <v>20893</v>
      </c>
      <c r="Q6" s="474">
        <f t="shared" si="6"/>
        <v>5</v>
      </c>
      <c r="R6" s="250"/>
      <c r="S6" s="245"/>
      <c r="T6" s="384">
        <v>64664</v>
      </c>
      <c r="U6" s="475">
        <f t="shared" ref="U6:U24" si="14">IF((T6-T5)&lt;0,"0",(T6-T5))</f>
        <v>82</v>
      </c>
      <c r="V6" s="245">
        <f t="shared" si="7"/>
        <v>73031</v>
      </c>
      <c r="W6" s="384">
        <v>73031</v>
      </c>
      <c r="X6" s="475">
        <f t="shared" ref="X6:X37" si="15">IF((W6-W5)&lt;0,"0",(W6-W5))</f>
        <v>0</v>
      </c>
      <c r="Y6" s="245">
        <f t="shared" si="8"/>
        <v>89012</v>
      </c>
      <c r="Z6" s="384">
        <v>89094</v>
      </c>
      <c r="AA6" s="475">
        <f t="shared" ref="AA6:AA37" si="16">IF((Z6-Z5)&lt;0,"0",(Z6-Z5))</f>
        <v>82</v>
      </c>
      <c r="AB6" s="608">
        <f>AC5</f>
        <v>17837</v>
      </c>
      <c r="AC6" s="619">
        <v>17854</v>
      </c>
      <c r="AD6" s="611">
        <f>IF((AC6-AC5)&lt;0,"0",(AC6-AC5))</f>
        <v>17</v>
      </c>
      <c r="AE6" s="245">
        <f t="shared" si="9"/>
        <v>18300</v>
      </c>
      <c r="AF6" s="385">
        <v>18300</v>
      </c>
      <c r="AG6" s="475">
        <f t="shared" ref="AG6:AG37" si="17">IF((AF6-AF5)&lt;0,"0",(AF6-AF5))</f>
        <v>0</v>
      </c>
      <c r="AH6" s="245">
        <f t="shared" si="10"/>
        <v>28766</v>
      </c>
      <c r="AI6" s="385">
        <v>28792</v>
      </c>
      <c r="AJ6" s="475">
        <f t="shared" ref="AJ6:AJ37" si="18">IF((AI6-AI5)&lt;0,"0",(AI6-AI5))</f>
        <v>26</v>
      </c>
      <c r="AK6" s="315">
        <f t="shared" si="11"/>
        <v>0</v>
      </c>
      <c r="AL6" s="384"/>
      <c r="AM6" s="475">
        <f t="shared" ref="AM6:AM37" si="19">IF((AL6-AL5)&lt;0,"0",(AL6-AL5))</f>
        <v>0</v>
      </c>
      <c r="AN6" s="389">
        <f>U6+X6+AA6+AD6+AG6+AJ6+AM6</f>
        <v>207</v>
      </c>
    </row>
    <row r="7" spans="1:40" ht="23.1" customHeight="1">
      <c r="A7" s="57">
        <f>Gen!A12</f>
        <v>44229</v>
      </c>
      <c r="B7" s="4"/>
      <c r="C7" s="95">
        <f t="shared" si="0"/>
        <v>249416</v>
      </c>
      <c r="D7" s="1">
        <v>249472</v>
      </c>
      <c r="E7" s="58">
        <f t="shared" si="1"/>
        <v>56</v>
      </c>
      <c r="F7" s="95">
        <f t="shared" si="2"/>
        <v>0</v>
      </c>
      <c r="G7" s="387"/>
      <c r="H7" s="474">
        <f t="shared" si="12"/>
        <v>0</v>
      </c>
      <c r="I7" s="95">
        <f t="shared" si="3"/>
        <v>8243</v>
      </c>
      <c r="J7" s="1">
        <v>8245</v>
      </c>
      <c r="K7" s="474"/>
      <c r="L7" s="95">
        <f t="shared" si="4"/>
        <v>0</v>
      </c>
      <c r="M7" s="1"/>
      <c r="N7" s="474">
        <f t="shared" si="13"/>
        <v>0</v>
      </c>
      <c r="O7" s="95">
        <f t="shared" si="5"/>
        <v>20893</v>
      </c>
      <c r="P7" s="383">
        <v>20898</v>
      </c>
      <c r="Q7" s="474">
        <f t="shared" si="6"/>
        <v>5</v>
      </c>
      <c r="R7" s="250"/>
      <c r="S7" s="245"/>
      <c r="T7" s="384">
        <v>64664</v>
      </c>
      <c r="U7" s="475">
        <f t="shared" si="14"/>
        <v>0</v>
      </c>
      <c r="V7" s="245">
        <f t="shared" si="7"/>
        <v>73031</v>
      </c>
      <c r="W7" s="384">
        <v>73031</v>
      </c>
      <c r="X7" s="475">
        <f t="shared" si="15"/>
        <v>0</v>
      </c>
      <c r="Y7" s="245">
        <f t="shared" si="8"/>
        <v>89094</v>
      </c>
      <c r="Z7" s="384">
        <v>89188</v>
      </c>
      <c r="AA7" s="475">
        <f t="shared" si="16"/>
        <v>94</v>
      </c>
      <c r="AB7" s="608">
        <f t="shared" ref="AB7:AB37" si="20">AC6</f>
        <v>17854</v>
      </c>
      <c r="AC7" s="609">
        <v>17867</v>
      </c>
      <c r="AD7" s="611">
        <f t="shared" ref="AD7:AD37" si="21">IF((AC7-AC6)&lt;0,"0",(AC7-AC6))</f>
        <v>13</v>
      </c>
      <c r="AE7" s="245">
        <f t="shared" si="9"/>
        <v>18300</v>
      </c>
      <c r="AF7" s="385">
        <v>18300</v>
      </c>
      <c r="AG7" s="475">
        <f t="shared" si="17"/>
        <v>0</v>
      </c>
      <c r="AH7" s="245">
        <f t="shared" si="10"/>
        <v>28792</v>
      </c>
      <c r="AI7" s="385">
        <v>28818</v>
      </c>
      <c r="AJ7" s="475">
        <f t="shared" si="18"/>
        <v>26</v>
      </c>
      <c r="AK7" s="315">
        <f t="shared" si="11"/>
        <v>0</v>
      </c>
      <c r="AL7" s="384"/>
      <c r="AM7" s="475">
        <f t="shared" si="19"/>
        <v>0</v>
      </c>
      <c r="AN7" s="389">
        <f t="shared" ref="AN7:AN36" si="22">U7+X7+AA7+AD7+AG7+AJ7+AM7</f>
        <v>133</v>
      </c>
    </row>
    <row r="8" spans="1:40" ht="23.1" customHeight="1">
      <c r="A8" s="57">
        <f>Gen!A13</f>
        <v>44230</v>
      </c>
      <c r="B8" s="4"/>
      <c r="C8" s="95">
        <f t="shared" si="0"/>
        <v>249472</v>
      </c>
      <c r="D8" s="1">
        <v>249518</v>
      </c>
      <c r="E8" s="58">
        <f t="shared" si="1"/>
        <v>46</v>
      </c>
      <c r="F8" s="95">
        <f t="shared" si="2"/>
        <v>0</v>
      </c>
      <c r="G8" s="387"/>
      <c r="H8" s="474">
        <f t="shared" si="12"/>
        <v>0</v>
      </c>
      <c r="I8" s="95">
        <f t="shared" si="3"/>
        <v>8245</v>
      </c>
      <c r="J8" s="1">
        <v>8246</v>
      </c>
      <c r="K8" s="474"/>
      <c r="L8" s="95">
        <f t="shared" si="4"/>
        <v>0</v>
      </c>
      <c r="M8" s="1"/>
      <c r="N8" s="474">
        <f t="shared" si="13"/>
        <v>0</v>
      </c>
      <c r="O8" s="95">
        <f t="shared" si="5"/>
        <v>20898</v>
      </c>
      <c r="P8" s="383">
        <v>20901</v>
      </c>
      <c r="Q8" s="474">
        <f t="shared" si="6"/>
        <v>3</v>
      </c>
      <c r="R8" s="250"/>
      <c r="S8" s="245"/>
      <c r="T8" s="384">
        <v>64064</v>
      </c>
      <c r="U8" s="475" t="str">
        <f t="shared" si="14"/>
        <v>0</v>
      </c>
      <c r="V8" s="245">
        <f t="shared" si="7"/>
        <v>73031</v>
      </c>
      <c r="W8" s="384">
        <v>73031</v>
      </c>
      <c r="X8" s="475">
        <f t="shared" si="15"/>
        <v>0</v>
      </c>
      <c r="Y8" s="245">
        <f t="shared" si="8"/>
        <v>89188</v>
      </c>
      <c r="Z8" s="384">
        <v>89238</v>
      </c>
      <c r="AA8" s="475">
        <f t="shared" si="16"/>
        <v>50</v>
      </c>
      <c r="AB8" s="608">
        <f t="shared" si="20"/>
        <v>17867</v>
      </c>
      <c r="AC8" s="609">
        <v>17883</v>
      </c>
      <c r="AD8" s="611">
        <f t="shared" si="21"/>
        <v>16</v>
      </c>
      <c r="AE8" s="245">
        <f t="shared" si="9"/>
        <v>18300</v>
      </c>
      <c r="AF8" s="385">
        <v>18300</v>
      </c>
      <c r="AG8" s="475">
        <f t="shared" si="17"/>
        <v>0</v>
      </c>
      <c r="AH8" s="245">
        <f t="shared" si="10"/>
        <v>28818</v>
      </c>
      <c r="AI8" s="385">
        <v>28844</v>
      </c>
      <c r="AJ8" s="475">
        <f t="shared" si="18"/>
        <v>26</v>
      </c>
      <c r="AK8" s="315">
        <f t="shared" si="11"/>
        <v>0</v>
      </c>
      <c r="AL8" s="384"/>
      <c r="AM8" s="475">
        <f t="shared" si="19"/>
        <v>0</v>
      </c>
      <c r="AN8" s="389">
        <f t="shared" si="22"/>
        <v>92</v>
      </c>
    </row>
    <row r="9" spans="1:40" ht="23.1" customHeight="1">
      <c r="A9" s="57">
        <f>Gen!A14</f>
        <v>44231</v>
      </c>
      <c r="B9" s="4"/>
      <c r="C9" s="95">
        <f t="shared" si="0"/>
        <v>249518</v>
      </c>
      <c r="D9" s="1"/>
      <c r="E9" s="58" t="str">
        <f t="shared" si="1"/>
        <v>0</v>
      </c>
      <c r="F9" s="95">
        <f t="shared" si="2"/>
        <v>0</v>
      </c>
      <c r="G9" s="387"/>
      <c r="H9" s="474">
        <f t="shared" si="12"/>
        <v>0</v>
      </c>
      <c r="I9" s="95">
        <f t="shared" si="3"/>
        <v>8246</v>
      </c>
      <c r="J9" s="1"/>
      <c r="K9" s="474"/>
      <c r="L9" s="95">
        <f t="shared" si="4"/>
        <v>0</v>
      </c>
      <c r="M9" s="1"/>
      <c r="N9" s="474">
        <f t="shared" si="13"/>
        <v>0</v>
      </c>
      <c r="O9" s="95">
        <f t="shared" si="5"/>
        <v>20901</v>
      </c>
      <c r="P9" s="383"/>
      <c r="Q9" s="474" t="str">
        <f t="shared" si="6"/>
        <v>0</v>
      </c>
      <c r="R9" s="250"/>
      <c r="S9" s="245"/>
      <c r="T9" s="384"/>
      <c r="U9" s="475" t="str">
        <f t="shared" si="14"/>
        <v>0</v>
      </c>
      <c r="V9" s="245">
        <f t="shared" si="7"/>
        <v>73031</v>
      </c>
      <c r="W9" s="384"/>
      <c r="X9" s="475" t="str">
        <f t="shared" si="15"/>
        <v>0</v>
      </c>
      <c r="Y9" s="245">
        <f t="shared" si="8"/>
        <v>89238</v>
      </c>
      <c r="Z9" s="384"/>
      <c r="AA9" s="475" t="str">
        <f t="shared" si="16"/>
        <v>0</v>
      </c>
      <c r="AB9" s="608">
        <f t="shared" si="20"/>
        <v>17883</v>
      </c>
      <c r="AC9" s="609"/>
      <c r="AD9" s="611" t="str">
        <f t="shared" si="21"/>
        <v>0</v>
      </c>
      <c r="AE9" s="245">
        <f t="shared" si="9"/>
        <v>18300</v>
      </c>
      <c r="AF9" s="385"/>
      <c r="AG9" s="475" t="str">
        <f t="shared" si="17"/>
        <v>0</v>
      </c>
      <c r="AH9" s="245">
        <f t="shared" ref="AH9" si="23">AI9</f>
        <v>0</v>
      </c>
      <c r="AI9" s="385"/>
      <c r="AJ9" s="475" t="str">
        <f t="shared" si="18"/>
        <v>0</v>
      </c>
      <c r="AK9" s="315">
        <f t="shared" si="11"/>
        <v>0</v>
      </c>
      <c r="AL9" s="384"/>
      <c r="AM9" s="475">
        <f t="shared" si="19"/>
        <v>0</v>
      </c>
      <c r="AN9" s="389">
        <f t="shared" si="22"/>
        <v>0</v>
      </c>
    </row>
    <row r="10" spans="1:40" ht="23.1" customHeight="1">
      <c r="A10" s="57">
        <f>Gen!A15</f>
        <v>44232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2"/>
        <v>0</v>
      </c>
      <c r="I10" s="95">
        <f t="shared" si="3"/>
        <v>0</v>
      </c>
      <c r="J10" s="1"/>
      <c r="K10" s="474"/>
      <c r="L10" s="95">
        <f t="shared" si="4"/>
        <v>0</v>
      </c>
      <c r="M10" s="1"/>
      <c r="N10" s="474">
        <f t="shared" si="13"/>
        <v>0</v>
      </c>
      <c r="O10" s="95">
        <f t="shared" si="5"/>
        <v>0</v>
      </c>
      <c r="P10" s="383"/>
      <c r="Q10" s="474">
        <f t="shared" si="6"/>
        <v>0</v>
      </c>
      <c r="R10" s="250"/>
      <c r="S10" s="245"/>
      <c r="T10" s="384"/>
      <c r="U10" s="475">
        <f t="shared" si="14"/>
        <v>0</v>
      </c>
      <c r="V10" s="245">
        <f t="shared" si="7"/>
        <v>0</v>
      </c>
      <c r="W10" s="384"/>
      <c r="X10" s="475">
        <f t="shared" si="15"/>
        <v>0</v>
      </c>
      <c r="Y10" s="245">
        <f t="shared" si="8"/>
        <v>0</v>
      </c>
      <c r="Z10" s="384"/>
      <c r="AA10" s="475">
        <f t="shared" si="16"/>
        <v>0</v>
      </c>
      <c r="AB10" s="608">
        <f t="shared" si="20"/>
        <v>0</v>
      </c>
      <c r="AC10" s="609"/>
      <c r="AD10" s="611">
        <f t="shared" si="21"/>
        <v>0</v>
      </c>
      <c r="AE10" s="245">
        <f t="shared" si="9"/>
        <v>0</v>
      </c>
      <c r="AF10" s="385"/>
      <c r="AG10" s="475">
        <f t="shared" si="17"/>
        <v>0</v>
      </c>
      <c r="AH10" s="245">
        <f t="shared" si="10"/>
        <v>0</v>
      </c>
      <c r="AI10" s="385"/>
      <c r="AJ10" s="475">
        <f t="shared" si="18"/>
        <v>0</v>
      </c>
      <c r="AK10" s="315">
        <f t="shared" si="11"/>
        <v>0</v>
      </c>
      <c r="AL10" s="384"/>
      <c r="AM10" s="475">
        <f t="shared" si="19"/>
        <v>0</v>
      </c>
      <c r="AN10" s="389">
        <f t="shared" si="22"/>
        <v>0</v>
      </c>
    </row>
    <row r="11" spans="1:40" ht="23.1" customHeight="1">
      <c r="A11" s="57">
        <f>Gen!A16</f>
        <v>44233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2"/>
        <v>0</v>
      </c>
      <c r="I11" s="95">
        <f t="shared" si="3"/>
        <v>0</v>
      </c>
      <c r="J11" s="1"/>
      <c r="K11" s="474"/>
      <c r="L11" s="95">
        <f t="shared" si="4"/>
        <v>0</v>
      </c>
      <c r="M11" s="1"/>
      <c r="N11" s="474">
        <f t="shared" si="13"/>
        <v>0</v>
      </c>
      <c r="O11" s="95">
        <f t="shared" si="5"/>
        <v>0</v>
      </c>
      <c r="P11" s="383"/>
      <c r="Q11" s="474">
        <f t="shared" si="6"/>
        <v>0</v>
      </c>
      <c r="R11" s="250"/>
      <c r="S11" s="245"/>
      <c r="T11" s="384"/>
      <c r="U11" s="475">
        <f t="shared" si="14"/>
        <v>0</v>
      </c>
      <c r="V11" s="245">
        <f t="shared" si="7"/>
        <v>0</v>
      </c>
      <c r="W11" s="384"/>
      <c r="X11" s="475">
        <f t="shared" si="15"/>
        <v>0</v>
      </c>
      <c r="Y11" s="245">
        <f t="shared" si="8"/>
        <v>0</v>
      </c>
      <c r="Z11" s="384"/>
      <c r="AA11" s="475">
        <f t="shared" si="16"/>
        <v>0</v>
      </c>
      <c r="AB11" s="608">
        <f t="shared" si="20"/>
        <v>0</v>
      </c>
      <c r="AC11" s="609"/>
      <c r="AD11" s="611">
        <f t="shared" si="21"/>
        <v>0</v>
      </c>
      <c r="AE11" s="245">
        <f>AF11</f>
        <v>0</v>
      </c>
      <c r="AF11" s="385"/>
      <c r="AG11" s="475">
        <f t="shared" si="17"/>
        <v>0</v>
      </c>
      <c r="AH11" s="245">
        <f t="shared" si="10"/>
        <v>0</v>
      </c>
      <c r="AI11" s="385"/>
      <c r="AJ11" s="475">
        <f t="shared" si="18"/>
        <v>0</v>
      </c>
      <c r="AK11" s="315">
        <f t="shared" si="11"/>
        <v>0</v>
      </c>
      <c r="AL11" s="384"/>
      <c r="AM11" s="475">
        <f t="shared" si="19"/>
        <v>0</v>
      </c>
      <c r="AN11" s="389">
        <f t="shared" si="22"/>
        <v>0</v>
      </c>
    </row>
    <row r="12" spans="1:40" ht="23.1" customHeight="1">
      <c r="A12" s="57">
        <f>Gen!A17</f>
        <v>44234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2"/>
        <v>0</v>
      </c>
      <c r="I12" s="95">
        <f t="shared" si="3"/>
        <v>0</v>
      </c>
      <c r="J12" s="1"/>
      <c r="K12" s="474"/>
      <c r="L12" s="95">
        <f t="shared" si="4"/>
        <v>0</v>
      </c>
      <c r="M12" s="1"/>
      <c r="N12" s="474">
        <f t="shared" si="13"/>
        <v>0</v>
      </c>
      <c r="O12" s="95">
        <f t="shared" si="5"/>
        <v>0</v>
      </c>
      <c r="P12" s="383"/>
      <c r="Q12" s="474">
        <f t="shared" si="6"/>
        <v>0</v>
      </c>
      <c r="R12" s="250"/>
      <c r="S12" s="245"/>
      <c r="T12" s="384"/>
      <c r="U12" s="475">
        <f t="shared" si="14"/>
        <v>0</v>
      </c>
      <c r="V12" s="245">
        <f t="shared" si="7"/>
        <v>0</v>
      </c>
      <c r="W12" s="384"/>
      <c r="X12" s="475">
        <f t="shared" si="15"/>
        <v>0</v>
      </c>
      <c r="Y12" s="245">
        <f t="shared" si="8"/>
        <v>0</v>
      </c>
      <c r="Z12" s="384"/>
      <c r="AA12" s="475">
        <f t="shared" si="16"/>
        <v>0</v>
      </c>
      <c r="AB12" s="608">
        <f t="shared" si="20"/>
        <v>0</v>
      </c>
      <c r="AC12" s="609"/>
      <c r="AD12" s="611">
        <f t="shared" si="21"/>
        <v>0</v>
      </c>
      <c r="AE12" s="245">
        <f t="shared" ref="AE12:AE20" si="24">AF12</f>
        <v>0</v>
      </c>
      <c r="AF12" s="385"/>
      <c r="AG12" s="475">
        <f t="shared" si="17"/>
        <v>0</v>
      </c>
      <c r="AH12" s="245">
        <f t="shared" si="10"/>
        <v>0</v>
      </c>
      <c r="AI12" s="385"/>
      <c r="AJ12" s="475">
        <f t="shared" si="18"/>
        <v>0</v>
      </c>
      <c r="AK12" s="315">
        <f t="shared" si="11"/>
        <v>0</v>
      </c>
      <c r="AL12" s="384"/>
      <c r="AM12" s="475">
        <f t="shared" si="19"/>
        <v>0</v>
      </c>
      <c r="AN12" s="389">
        <f t="shared" si="22"/>
        <v>0</v>
      </c>
    </row>
    <row r="13" spans="1:40" ht="23.1" customHeight="1">
      <c r="A13" s="57">
        <f>Gen!A18</f>
        <v>44235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2"/>
        <v>0</v>
      </c>
      <c r="I13" s="95">
        <f t="shared" si="3"/>
        <v>0</v>
      </c>
      <c r="J13" s="1"/>
      <c r="K13" s="474"/>
      <c r="L13" s="95">
        <f t="shared" si="4"/>
        <v>0</v>
      </c>
      <c r="M13" s="1"/>
      <c r="N13" s="474">
        <f t="shared" si="13"/>
        <v>0</v>
      </c>
      <c r="O13" s="95">
        <f t="shared" si="5"/>
        <v>0</v>
      </c>
      <c r="P13" s="383"/>
      <c r="Q13" s="474">
        <f t="shared" si="6"/>
        <v>0</v>
      </c>
      <c r="R13" s="250"/>
      <c r="S13" s="245"/>
      <c r="T13" s="384"/>
      <c r="U13" s="475">
        <f t="shared" si="14"/>
        <v>0</v>
      </c>
      <c r="V13" s="245">
        <f t="shared" si="7"/>
        <v>0</v>
      </c>
      <c r="W13" s="384"/>
      <c r="X13" s="475">
        <f t="shared" si="15"/>
        <v>0</v>
      </c>
      <c r="Y13" s="245">
        <f t="shared" si="8"/>
        <v>0</v>
      </c>
      <c r="Z13" s="384"/>
      <c r="AA13" s="475">
        <f t="shared" si="16"/>
        <v>0</v>
      </c>
      <c r="AB13" s="608">
        <f t="shared" si="20"/>
        <v>0</v>
      </c>
      <c r="AC13" s="609"/>
      <c r="AD13" s="611">
        <f t="shared" si="21"/>
        <v>0</v>
      </c>
      <c r="AE13" s="245">
        <f t="shared" si="24"/>
        <v>0</v>
      </c>
      <c r="AF13" s="385"/>
      <c r="AG13" s="475">
        <f t="shared" si="17"/>
        <v>0</v>
      </c>
      <c r="AH13" s="245">
        <f t="shared" si="10"/>
        <v>0</v>
      </c>
      <c r="AI13" s="385"/>
      <c r="AJ13" s="475">
        <f t="shared" si="18"/>
        <v>0</v>
      </c>
      <c r="AK13" s="315">
        <f t="shared" si="11"/>
        <v>0</v>
      </c>
      <c r="AL13" s="384"/>
      <c r="AM13" s="475">
        <f t="shared" si="19"/>
        <v>0</v>
      </c>
      <c r="AN13" s="389">
        <f t="shared" si="22"/>
        <v>0</v>
      </c>
    </row>
    <row r="14" spans="1:40" ht="23.1" customHeight="1">
      <c r="A14" s="57">
        <f>Gen!A19</f>
        <v>44236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2"/>
        <v>0</v>
      </c>
      <c r="I14" s="95">
        <f t="shared" si="3"/>
        <v>0</v>
      </c>
      <c r="J14" s="1"/>
      <c r="K14" s="474"/>
      <c r="L14" s="95">
        <f t="shared" si="4"/>
        <v>0</v>
      </c>
      <c r="M14" s="1"/>
      <c r="N14" s="474">
        <f t="shared" si="13"/>
        <v>0</v>
      </c>
      <c r="O14" s="95">
        <f t="shared" si="5"/>
        <v>0</v>
      </c>
      <c r="P14" s="383"/>
      <c r="Q14" s="474">
        <f t="shared" si="6"/>
        <v>0</v>
      </c>
      <c r="R14" s="250"/>
      <c r="S14" s="245"/>
      <c r="T14" s="384"/>
      <c r="U14" s="475">
        <f t="shared" si="14"/>
        <v>0</v>
      </c>
      <c r="V14" s="245">
        <f t="shared" si="7"/>
        <v>0</v>
      </c>
      <c r="W14" s="384"/>
      <c r="X14" s="475">
        <f t="shared" si="15"/>
        <v>0</v>
      </c>
      <c r="Y14" s="245">
        <f t="shared" si="8"/>
        <v>0</v>
      </c>
      <c r="Z14" s="384"/>
      <c r="AA14" s="475">
        <f t="shared" si="16"/>
        <v>0</v>
      </c>
      <c r="AB14" s="608">
        <f t="shared" si="20"/>
        <v>0</v>
      </c>
      <c r="AC14" s="612"/>
      <c r="AD14" s="611">
        <f t="shared" si="21"/>
        <v>0</v>
      </c>
      <c r="AE14" s="245">
        <f t="shared" si="24"/>
        <v>0</v>
      </c>
      <c r="AF14" s="385"/>
      <c r="AG14" s="475">
        <f t="shared" si="17"/>
        <v>0</v>
      </c>
      <c r="AH14" s="245">
        <f t="shared" si="10"/>
        <v>0</v>
      </c>
      <c r="AI14" s="385"/>
      <c r="AJ14" s="475">
        <f t="shared" si="18"/>
        <v>0</v>
      </c>
      <c r="AK14" s="315">
        <f t="shared" si="11"/>
        <v>0</v>
      </c>
      <c r="AL14" s="384"/>
      <c r="AM14" s="475">
        <f t="shared" si="19"/>
        <v>0</v>
      </c>
      <c r="AN14" s="389">
        <f t="shared" si="22"/>
        <v>0</v>
      </c>
    </row>
    <row r="15" spans="1:40" ht="23.1" customHeight="1">
      <c r="A15" s="57">
        <f>Gen!A20</f>
        <v>44237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2"/>
        <v>0</v>
      </c>
      <c r="I15" s="95">
        <f t="shared" si="3"/>
        <v>0</v>
      </c>
      <c r="J15" s="1"/>
      <c r="K15" s="474"/>
      <c r="L15" s="95">
        <f t="shared" si="4"/>
        <v>0</v>
      </c>
      <c r="M15" s="1"/>
      <c r="N15" s="474">
        <f t="shared" si="13"/>
        <v>0</v>
      </c>
      <c r="O15" s="95">
        <f t="shared" si="5"/>
        <v>0</v>
      </c>
      <c r="P15" s="383"/>
      <c r="Q15" s="474">
        <f t="shared" si="6"/>
        <v>0</v>
      </c>
      <c r="R15" s="250"/>
      <c r="S15" s="245"/>
      <c r="T15" s="384"/>
      <c r="U15" s="475">
        <f t="shared" si="14"/>
        <v>0</v>
      </c>
      <c r="V15" s="245">
        <f t="shared" si="7"/>
        <v>0</v>
      </c>
      <c r="W15" s="384"/>
      <c r="X15" s="475">
        <f t="shared" si="15"/>
        <v>0</v>
      </c>
      <c r="Y15" s="245">
        <f t="shared" si="8"/>
        <v>0</v>
      </c>
      <c r="Z15" s="384"/>
      <c r="AA15" s="475">
        <f t="shared" si="16"/>
        <v>0</v>
      </c>
      <c r="AB15" s="608">
        <f t="shared" si="20"/>
        <v>0</v>
      </c>
      <c r="AC15" s="612"/>
      <c r="AD15" s="611">
        <f t="shared" si="21"/>
        <v>0</v>
      </c>
      <c r="AE15" s="245">
        <f t="shared" si="24"/>
        <v>0</v>
      </c>
      <c r="AF15" s="385"/>
      <c r="AG15" s="475">
        <f t="shared" si="17"/>
        <v>0</v>
      </c>
      <c r="AH15" s="245">
        <f t="shared" si="10"/>
        <v>0</v>
      </c>
      <c r="AI15" s="385"/>
      <c r="AJ15" s="475">
        <f t="shared" si="18"/>
        <v>0</v>
      </c>
      <c r="AK15" s="315">
        <f t="shared" si="11"/>
        <v>0</v>
      </c>
      <c r="AL15" s="384"/>
      <c r="AM15" s="475">
        <f t="shared" si="19"/>
        <v>0</v>
      </c>
      <c r="AN15" s="389">
        <f t="shared" si="22"/>
        <v>0</v>
      </c>
    </row>
    <row r="16" spans="1:40" ht="23.1" customHeight="1">
      <c r="A16" s="57">
        <f>Gen!A21</f>
        <v>44238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2"/>
        <v>0</v>
      </c>
      <c r="I16" s="95">
        <f t="shared" si="3"/>
        <v>0</v>
      </c>
      <c r="J16" s="1"/>
      <c r="K16" s="474"/>
      <c r="L16" s="95">
        <f t="shared" si="4"/>
        <v>0</v>
      </c>
      <c r="M16" s="1"/>
      <c r="N16" s="474">
        <f t="shared" si="13"/>
        <v>0</v>
      </c>
      <c r="O16" s="95">
        <f t="shared" si="5"/>
        <v>0</v>
      </c>
      <c r="P16" s="383"/>
      <c r="Q16" s="474">
        <f t="shared" si="6"/>
        <v>0</v>
      </c>
      <c r="R16" s="250"/>
      <c r="S16" s="245"/>
      <c r="T16" s="384"/>
      <c r="U16" s="475">
        <f t="shared" si="14"/>
        <v>0</v>
      </c>
      <c r="V16" s="245">
        <f t="shared" si="7"/>
        <v>0</v>
      </c>
      <c r="W16" s="384"/>
      <c r="X16" s="475">
        <f t="shared" si="15"/>
        <v>0</v>
      </c>
      <c r="Y16" s="245">
        <f t="shared" si="8"/>
        <v>0</v>
      </c>
      <c r="Z16" s="384"/>
      <c r="AA16" s="475">
        <f t="shared" si="16"/>
        <v>0</v>
      </c>
      <c r="AB16" s="608">
        <f t="shared" si="20"/>
        <v>0</v>
      </c>
      <c r="AC16" s="612"/>
      <c r="AD16" s="611">
        <f t="shared" si="21"/>
        <v>0</v>
      </c>
      <c r="AE16" s="245">
        <f t="shared" si="24"/>
        <v>0</v>
      </c>
      <c r="AF16" s="385"/>
      <c r="AG16" s="475">
        <f t="shared" si="17"/>
        <v>0</v>
      </c>
      <c r="AH16" s="245">
        <f t="shared" si="10"/>
        <v>0</v>
      </c>
      <c r="AI16" s="385"/>
      <c r="AJ16" s="475">
        <f t="shared" si="18"/>
        <v>0</v>
      </c>
      <c r="AK16" s="315">
        <f t="shared" si="11"/>
        <v>0</v>
      </c>
      <c r="AL16" s="384"/>
      <c r="AM16" s="475">
        <f t="shared" si="19"/>
        <v>0</v>
      </c>
      <c r="AN16" s="389">
        <f t="shared" si="22"/>
        <v>0</v>
      </c>
    </row>
    <row r="17" spans="1:40" ht="23.1" customHeight="1">
      <c r="A17" s="57">
        <f>Gen!A22</f>
        <v>44239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2"/>
        <v>0</v>
      </c>
      <c r="I17" s="95">
        <f t="shared" si="3"/>
        <v>0</v>
      </c>
      <c r="J17" s="1"/>
      <c r="K17" s="474"/>
      <c r="L17" s="95">
        <f t="shared" si="4"/>
        <v>0</v>
      </c>
      <c r="M17" s="1"/>
      <c r="N17" s="474">
        <f t="shared" si="13"/>
        <v>0</v>
      </c>
      <c r="O17" s="95">
        <f t="shared" si="5"/>
        <v>0</v>
      </c>
      <c r="P17" s="383"/>
      <c r="Q17" s="474">
        <f t="shared" si="6"/>
        <v>0</v>
      </c>
      <c r="R17" s="250"/>
      <c r="S17" s="245"/>
      <c r="T17" s="384"/>
      <c r="U17" s="475">
        <f t="shared" si="14"/>
        <v>0</v>
      </c>
      <c r="V17" s="245">
        <f t="shared" si="7"/>
        <v>0</v>
      </c>
      <c r="W17" s="384"/>
      <c r="X17" s="475">
        <f>IF((W17-W16)&lt;0,"0",(W17-W16))</f>
        <v>0</v>
      </c>
      <c r="Y17" s="245">
        <f t="shared" si="8"/>
        <v>0</v>
      </c>
      <c r="Z17" s="384"/>
      <c r="AA17" s="475">
        <f>IF((Z17-Z16)&lt;0,"0",(Z17-Z16))</f>
        <v>0</v>
      </c>
      <c r="AB17" s="608">
        <f t="shared" si="20"/>
        <v>0</v>
      </c>
      <c r="AC17" s="612"/>
      <c r="AD17" s="611">
        <f t="shared" si="21"/>
        <v>0</v>
      </c>
      <c r="AE17" s="245">
        <f t="shared" si="24"/>
        <v>0</v>
      </c>
      <c r="AF17" s="385"/>
      <c r="AG17" s="475">
        <f t="shared" si="17"/>
        <v>0</v>
      </c>
      <c r="AH17" s="245">
        <f t="shared" si="10"/>
        <v>0</v>
      </c>
      <c r="AI17" s="385"/>
      <c r="AJ17" s="475">
        <f t="shared" si="18"/>
        <v>0</v>
      </c>
      <c r="AK17" s="315">
        <f t="shared" si="11"/>
        <v>0</v>
      </c>
      <c r="AL17" s="384"/>
      <c r="AM17" s="475">
        <f>IF((AL17-AL16)&lt;0,"0",(AL17-AL16))</f>
        <v>0</v>
      </c>
      <c r="AN17" s="389">
        <f t="shared" si="22"/>
        <v>0</v>
      </c>
    </row>
    <row r="18" spans="1:40" ht="23.1" customHeight="1">
      <c r="A18" s="57">
        <f>Gen!A23</f>
        <v>44240</v>
      </c>
      <c r="B18" s="4"/>
      <c r="C18" s="95">
        <f t="shared" si="0"/>
        <v>0</v>
      </c>
      <c r="D18" s="1"/>
      <c r="E18" s="474">
        <f t="shared" ref="E18:E37" si="25">IF((D18-D17)&lt;0,"0",(D18-D17))</f>
        <v>0</v>
      </c>
      <c r="F18" s="95">
        <f t="shared" si="2"/>
        <v>0</v>
      </c>
      <c r="G18" s="387"/>
      <c r="H18" s="474">
        <f t="shared" si="12"/>
        <v>0</v>
      </c>
      <c r="I18" s="95"/>
      <c r="J18" s="1"/>
      <c r="K18" s="474"/>
      <c r="L18" s="95">
        <f t="shared" si="4"/>
        <v>0</v>
      </c>
      <c r="M18" s="1"/>
      <c r="N18" s="474">
        <f t="shared" si="13"/>
        <v>0</v>
      </c>
      <c r="O18" s="95">
        <f t="shared" si="5"/>
        <v>0</v>
      </c>
      <c r="P18" s="383"/>
      <c r="Q18" s="474">
        <f t="shared" si="6"/>
        <v>0</v>
      </c>
      <c r="R18" s="250"/>
      <c r="S18" s="245"/>
      <c r="T18" s="384"/>
      <c r="U18" s="475">
        <f t="shared" si="14"/>
        <v>0</v>
      </c>
      <c r="V18" s="245">
        <f t="shared" si="7"/>
        <v>0</v>
      </c>
      <c r="W18" s="384"/>
      <c r="X18" s="475">
        <f t="shared" si="15"/>
        <v>0</v>
      </c>
      <c r="Y18" s="245">
        <f t="shared" si="8"/>
        <v>0</v>
      </c>
      <c r="Z18" s="384"/>
      <c r="AA18" s="475">
        <f t="shared" si="16"/>
        <v>0</v>
      </c>
      <c r="AB18" s="608">
        <f t="shared" si="20"/>
        <v>0</v>
      </c>
      <c r="AC18" s="612"/>
      <c r="AD18" s="611">
        <f t="shared" si="21"/>
        <v>0</v>
      </c>
      <c r="AE18" s="245">
        <f t="shared" si="24"/>
        <v>0</v>
      </c>
      <c r="AF18" s="385"/>
      <c r="AG18" s="475">
        <f t="shared" si="17"/>
        <v>0</v>
      </c>
      <c r="AH18" s="245">
        <f>AI17</f>
        <v>0</v>
      </c>
      <c r="AI18" s="385"/>
      <c r="AJ18" s="475">
        <f t="shared" si="18"/>
        <v>0</v>
      </c>
      <c r="AK18" s="315">
        <f t="shared" si="11"/>
        <v>0</v>
      </c>
      <c r="AL18" s="384"/>
      <c r="AM18" s="475">
        <f t="shared" ref="AM18:AM26" si="26">IF((AL18-AL17)&lt;0,"0",(AL18-AL17))</f>
        <v>0</v>
      </c>
      <c r="AN18" s="389">
        <f t="shared" si="22"/>
        <v>0</v>
      </c>
    </row>
    <row r="19" spans="1:40" ht="23.1" customHeight="1">
      <c r="A19" s="57">
        <f>Gen!A24</f>
        <v>44241</v>
      </c>
      <c r="B19" s="4"/>
      <c r="C19" s="95">
        <f t="shared" si="0"/>
        <v>0</v>
      </c>
      <c r="D19" s="1"/>
      <c r="E19" s="474">
        <f t="shared" si="25"/>
        <v>0</v>
      </c>
      <c r="F19" s="95">
        <f t="shared" si="2"/>
        <v>0</v>
      </c>
      <c r="G19" s="387"/>
      <c r="H19" s="474">
        <f t="shared" si="12"/>
        <v>0</v>
      </c>
      <c r="I19" s="95">
        <f t="shared" si="3"/>
        <v>0</v>
      </c>
      <c r="J19" s="1"/>
      <c r="K19" s="474"/>
      <c r="L19" s="95">
        <f t="shared" si="4"/>
        <v>0</v>
      </c>
      <c r="M19" s="1"/>
      <c r="N19" s="474">
        <f t="shared" si="13"/>
        <v>0</v>
      </c>
      <c r="O19" s="95">
        <f t="shared" si="5"/>
        <v>0</v>
      </c>
      <c r="P19" s="383"/>
      <c r="Q19" s="474">
        <f t="shared" si="6"/>
        <v>0</v>
      </c>
      <c r="R19" s="250"/>
      <c r="S19" s="245"/>
      <c r="T19" s="384"/>
      <c r="U19" s="475">
        <f t="shared" si="14"/>
        <v>0</v>
      </c>
      <c r="V19" s="245">
        <f t="shared" si="7"/>
        <v>0</v>
      </c>
      <c r="W19" s="384"/>
      <c r="X19" s="475">
        <f t="shared" si="15"/>
        <v>0</v>
      </c>
      <c r="Y19" s="245">
        <f t="shared" si="8"/>
        <v>0</v>
      </c>
      <c r="Z19" s="384"/>
      <c r="AA19" s="475">
        <f t="shared" si="16"/>
        <v>0</v>
      </c>
      <c r="AB19" s="608">
        <f t="shared" si="20"/>
        <v>0</v>
      </c>
      <c r="AC19" s="612"/>
      <c r="AD19" s="611">
        <f t="shared" si="21"/>
        <v>0</v>
      </c>
      <c r="AE19" s="245">
        <f t="shared" si="24"/>
        <v>0</v>
      </c>
      <c r="AF19" s="385"/>
      <c r="AG19" s="475">
        <f t="shared" si="17"/>
        <v>0</v>
      </c>
      <c r="AH19" s="245">
        <f>AI18</f>
        <v>0</v>
      </c>
      <c r="AI19" s="385"/>
      <c r="AJ19" s="475">
        <f t="shared" si="18"/>
        <v>0</v>
      </c>
      <c r="AK19" s="315">
        <f t="shared" si="11"/>
        <v>0</v>
      </c>
      <c r="AL19" s="384"/>
      <c r="AM19" s="475">
        <f t="shared" si="26"/>
        <v>0</v>
      </c>
      <c r="AN19" s="389">
        <f t="shared" si="22"/>
        <v>0</v>
      </c>
    </row>
    <row r="20" spans="1:40" ht="23.1" customHeight="1">
      <c r="A20" s="57">
        <f>Gen!A25</f>
        <v>44242</v>
      </c>
      <c r="B20" s="4"/>
      <c r="C20" s="95">
        <f t="shared" si="0"/>
        <v>0</v>
      </c>
      <c r="D20" s="1"/>
      <c r="E20" s="474">
        <f t="shared" si="25"/>
        <v>0</v>
      </c>
      <c r="F20" s="95">
        <f t="shared" si="2"/>
        <v>0</v>
      </c>
      <c r="G20" s="387"/>
      <c r="H20" s="474">
        <f t="shared" si="12"/>
        <v>0</v>
      </c>
      <c r="I20" s="95">
        <f t="shared" si="3"/>
        <v>0</v>
      </c>
      <c r="J20" s="1"/>
      <c r="K20" s="474"/>
      <c r="L20" s="95">
        <f t="shared" si="4"/>
        <v>0</v>
      </c>
      <c r="M20" s="1"/>
      <c r="N20" s="474">
        <f t="shared" si="13"/>
        <v>0</v>
      </c>
      <c r="O20" s="95">
        <f t="shared" si="5"/>
        <v>0</v>
      </c>
      <c r="P20" s="383"/>
      <c r="Q20" s="474">
        <f t="shared" si="6"/>
        <v>0</v>
      </c>
      <c r="R20" s="250"/>
      <c r="S20" s="245"/>
      <c r="T20" s="384"/>
      <c r="U20" s="475">
        <f t="shared" si="14"/>
        <v>0</v>
      </c>
      <c r="V20" s="245">
        <f t="shared" si="7"/>
        <v>0</v>
      </c>
      <c r="W20" s="384"/>
      <c r="X20" s="475">
        <f t="shared" si="15"/>
        <v>0</v>
      </c>
      <c r="Y20" s="245">
        <f t="shared" si="8"/>
        <v>0</v>
      </c>
      <c r="Z20" s="384"/>
      <c r="AA20" s="475">
        <f t="shared" si="16"/>
        <v>0</v>
      </c>
      <c r="AB20" s="608">
        <f t="shared" si="20"/>
        <v>0</v>
      </c>
      <c r="AC20" s="612"/>
      <c r="AD20" s="611">
        <f t="shared" si="21"/>
        <v>0</v>
      </c>
      <c r="AE20" s="245">
        <f t="shared" si="24"/>
        <v>0</v>
      </c>
      <c r="AF20" s="385"/>
      <c r="AG20" s="475">
        <f t="shared" si="17"/>
        <v>0</v>
      </c>
      <c r="AH20" s="245">
        <f t="shared" si="10"/>
        <v>0</v>
      </c>
      <c r="AI20" s="385"/>
      <c r="AJ20" s="475">
        <f t="shared" si="18"/>
        <v>0</v>
      </c>
      <c r="AK20" s="315">
        <f t="shared" si="11"/>
        <v>0</v>
      </c>
      <c r="AL20" s="384"/>
      <c r="AM20" s="475">
        <f t="shared" si="26"/>
        <v>0</v>
      </c>
      <c r="AN20" s="389">
        <f t="shared" si="22"/>
        <v>0</v>
      </c>
    </row>
    <row r="21" spans="1:40" ht="23.1" customHeight="1">
      <c r="A21" s="57">
        <f>Gen!A26</f>
        <v>44243</v>
      </c>
      <c r="B21" s="4"/>
      <c r="C21" s="95">
        <f t="shared" si="0"/>
        <v>0</v>
      </c>
      <c r="D21" s="1"/>
      <c r="E21" s="474">
        <f t="shared" si="25"/>
        <v>0</v>
      </c>
      <c r="F21" s="95">
        <f t="shared" si="2"/>
        <v>0</v>
      </c>
      <c r="G21" s="387"/>
      <c r="H21" s="474">
        <f t="shared" si="12"/>
        <v>0</v>
      </c>
      <c r="I21" s="95">
        <f t="shared" si="3"/>
        <v>0</v>
      </c>
      <c r="J21" s="1"/>
      <c r="K21" s="474"/>
      <c r="L21" s="95">
        <f t="shared" si="4"/>
        <v>0</v>
      </c>
      <c r="M21" s="1"/>
      <c r="N21" s="474">
        <f t="shared" si="13"/>
        <v>0</v>
      </c>
      <c r="O21" s="95">
        <f t="shared" si="5"/>
        <v>0</v>
      </c>
      <c r="P21" s="383"/>
      <c r="Q21" s="474">
        <f t="shared" si="6"/>
        <v>0</v>
      </c>
      <c r="R21" s="250"/>
      <c r="S21" s="245"/>
      <c r="T21" s="384"/>
      <c r="U21" s="475">
        <f t="shared" si="14"/>
        <v>0</v>
      </c>
      <c r="V21" s="245">
        <f t="shared" ref="V21:V37" si="27">W20</f>
        <v>0</v>
      </c>
      <c r="W21" s="384"/>
      <c r="X21" s="475">
        <f t="shared" si="15"/>
        <v>0</v>
      </c>
      <c r="Y21" s="245">
        <f t="shared" si="8"/>
        <v>0</v>
      </c>
      <c r="Z21" s="384"/>
      <c r="AA21" s="475">
        <f t="shared" si="16"/>
        <v>0</v>
      </c>
      <c r="AB21" s="608">
        <f t="shared" si="20"/>
        <v>0</v>
      </c>
      <c r="AC21" s="612"/>
      <c r="AD21" s="611">
        <f t="shared" si="21"/>
        <v>0</v>
      </c>
      <c r="AE21" s="245">
        <f t="shared" si="9"/>
        <v>0</v>
      </c>
      <c r="AF21" s="385"/>
      <c r="AG21" s="475">
        <f t="shared" si="17"/>
        <v>0</v>
      </c>
      <c r="AH21" s="245">
        <f t="shared" si="10"/>
        <v>0</v>
      </c>
      <c r="AI21" s="385"/>
      <c r="AJ21" s="475">
        <f t="shared" si="18"/>
        <v>0</v>
      </c>
      <c r="AK21" s="315">
        <f t="shared" si="11"/>
        <v>0</v>
      </c>
      <c r="AL21" s="384"/>
      <c r="AM21" s="475">
        <f t="shared" si="26"/>
        <v>0</v>
      </c>
      <c r="AN21" s="389">
        <f t="shared" si="22"/>
        <v>0</v>
      </c>
    </row>
    <row r="22" spans="1:40" ht="23.1" customHeight="1">
      <c r="A22" s="57">
        <f>Gen!A27</f>
        <v>44244</v>
      </c>
      <c r="B22" s="4"/>
      <c r="C22" s="95">
        <f t="shared" si="0"/>
        <v>0</v>
      </c>
      <c r="D22" s="1"/>
      <c r="E22" s="474">
        <f t="shared" si="25"/>
        <v>0</v>
      </c>
      <c r="F22" s="95">
        <f t="shared" si="2"/>
        <v>0</v>
      </c>
      <c r="G22" s="387"/>
      <c r="H22" s="474">
        <f t="shared" si="12"/>
        <v>0</v>
      </c>
      <c r="I22" s="95">
        <f t="shared" si="3"/>
        <v>0</v>
      </c>
      <c r="J22" s="1"/>
      <c r="K22" s="474"/>
      <c r="L22" s="95">
        <f t="shared" si="4"/>
        <v>0</v>
      </c>
      <c r="M22" s="1"/>
      <c r="N22" s="474">
        <f t="shared" si="13"/>
        <v>0</v>
      </c>
      <c r="O22" s="95">
        <f t="shared" si="5"/>
        <v>0</v>
      </c>
      <c r="P22" s="383"/>
      <c r="Q22" s="474">
        <f t="shared" si="6"/>
        <v>0</v>
      </c>
      <c r="R22" s="250"/>
      <c r="S22" s="245"/>
      <c r="T22" s="384"/>
      <c r="U22" s="475">
        <f t="shared" si="14"/>
        <v>0</v>
      </c>
      <c r="V22" s="245">
        <f t="shared" si="27"/>
        <v>0</v>
      </c>
      <c r="W22" s="384"/>
      <c r="X22" s="475">
        <f t="shared" si="15"/>
        <v>0</v>
      </c>
      <c r="Y22" s="245">
        <f t="shared" si="8"/>
        <v>0</v>
      </c>
      <c r="Z22" s="384"/>
      <c r="AA22" s="475">
        <f t="shared" si="16"/>
        <v>0</v>
      </c>
      <c r="AB22" s="608">
        <f t="shared" si="20"/>
        <v>0</v>
      </c>
      <c r="AC22" s="612"/>
      <c r="AD22" s="611">
        <f t="shared" si="21"/>
        <v>0</v>
      </c>
      <c r="AE22" s="245">
        <f t="shared" si="9"/>
        <v>0</v>
      </c>
      <c r="AF22" s="385"/>
      <c r="AG22" s="475">
        <f t="shared" si="17"/>
        <v>0</v>
      </c>
      <c r="AH22" s="245">
        <f t="shared" si="10"/>
        <v>0</v>
      </c>
      <c r="AI22" s="385"/>
      <c r="AJ22" s="475">
        <f t="shared" si="18"/>
        <v>0</v>
      </c>
      <c r="AK22" s="315">
        <f t="shared" si="11"/>
        <v>0</v>
      </c>
      <c r="AL22" s="384"/>
      <c r="AM22" s="475">
        <f t="shared" si="26"/>
        <v>0</v>
      </c>
      <c r="AN22" s="389">
        <f t="shared" si="22"/>
        <v>0</v>
      </c>
    </row>
    <row r="23" spans="1:40" ht="23.1" customHeight="1">
      <c r="A23" s="57">
        <f>Gen!A28</f>
        <v>44245</v>
      </c>
      <c r="B23" s="4"/>
      <c r="C23" s="95">
        <f t="shared" si="0"/>
        <v>0</v>
      </c>
      <c r="D23" s="1"/>
      <c r="E23" s="474">
        <f t="shared" si="25"/>
        <v>0</v>
      </c>
      <c r="F23" s="95">
        <f t="shared" si="2"/>
        <v>0</v>
      </c>
      <c r="G23" s="387"/>
      <c r="H23" s="474">
        <f t="shared" si="12"/>
        <v>0</v>
      </c>
      <c r="I23" s="95">
        <f t="shared" si="3"/>
        <v>0</v>
      </c>
      <c r="J23" s="1"/>
      <c r="K23" s="474"/>
      <c r="L23" s="95">
        <f t="shared" si="4"/>
        <v>0</v>
      </c>
      <c r="M23" s="1"/>
      <c r="N23" s="474">
        <f t="shared" si="13"/>
        <v>0</v>
      </c>
      <c r="O23" s="95">
        <f t="shared" si="5"/>
        <v>0</v>
      </c>
      <c r="P23" s="383"/>
      <c r="Q23" s="474">
        <f t="shared" si="6"/>
        <v>0</v>
      </c>
      <c r="R23" s="250"/>
      <c r="S23" s="245"/>
      <c r="T23" s="384"/>
      <c r="U23" s="475">
        <f t="shared" si="14"/>
        <v>0</v>
      </c>
      <c r="V23" s="245">
        <f t="shared" si="27"/>
        <v>0</v>
      </c>
      <c r="W23" s="384"/>
      <c r="X23" s="475">
        <f t="shared" si="15"/>
        <v>0</v>
      </c>
      <c r="Y23" s="245">
        <f t="shared" si="8"/>
        <v>0</v>
      </c>
      <c r="Z23" s="384"/>
      <c r="AA23" s="475">
        <f t="shared" si="16"/>
        <v>0</v>
      </c>
      <c r="AB23" s="608">
        <f t="shared" si="20"/>
        <v>0</v>
      </c>
      <c r="AC23" s="609"/>
      <c r="AD23" s="611">
        <f t="shared" si="21"/>
        <v>0</v>
      </c>
      <c r="AE23" s="245">
        <f t="shared" si="9"/>
        <v>0</v>
      </c>
      <c r="AF23" s="385"/>
      <c r="AG23" s="475">
        <f t="shared" si="17"/>
        <v>0</v>
      </c>
      <c r="AH23" s="245">
        <f t="shared" si="10"/>
        <v>0</v>
      </c>
      <c r="AI23" s="385"/>
      <c r="AJ23" s="475">
        <f t="shared" si="18"/>
        <v>0</v>
      </c>
      <c r="AK23" s="315">
        <f t="shared" si="11"/>
        <v>0</v>
      </c>
      <c r="AL23" s="384"/>
      <c r="AM23" s="475">
        <f t="shared" si="26"/>
        <v>0</v>
      </c>
      <c r="AN23" s="389">
        <f t="shared" si="22"/>
        <v>0</v>
      </c>
    </row>
    <row r="24" spans="1:40" ht="23.1" customHeight="1">
      <c r="A24" s="57">
        <f>Gen!A29</f>
        <v>44246</v>
      </c>
      <c r="B24" s="4"/>
      <c r="C24" s="95">
        <f t="shared" si="0"/>
        <v>0</v>
      </c>
      <c r="D24" s="1"/>
      <c r="E24" s="474">
        <f t="shared" si="25"/>
        <v>0</v>
      </c>
      <c r="F24" s="95">
        <f t="shared" si="2"/>
        <v>0</v>
      </c>
      <c r="G24" s="387"/>
      <c r="H24" s="474">
        <f t="shared" si="12"/>
        <v>0</v>
      </c>
      <c r="I24" s="95">
        <f t="shared" si="3"/>
        <v>0</v>
      </c>
      <c r="J24" s="1"/>
      <c r="K24" s="474"/>
      <c r="L24" s="95">
        <f t="shared" si="4"/>
        <v>0</v>
      </c>
      <c r="M24" s="1"/>
      <c r="N24" s="474">
        <f t="shared" si="13"/>
        <v>0</v>
      </c>
      <c r="O24" s="95">
        <f t="shared" si="5"/>
        <v>0</v>
      </c>
      <c r="P24" s="383"/>
      <c r="Q24" s="474">
        <f t="shared" si="6"/>
        <v>0</v>
      </c>
      <c r="R24" s="250"/>
      <c r="S24" s="245"/>
      <c r="T24" s="384"/>
      <c r="U24" s="475">
        <f t="shared" si="14"/>
        <v>0</v>
      </c>
      <c r="V24" s="245">
        <f t="shared" si="27"/>
        <v>0</v>
      </c>
      <c r="W24" s="384"/>
      <c r="X24" s="475">
        <f t="shared" si="15"/>
        <v>0</v>
      </c>
      <c r="Y24" s="245">
        <f t="shared" si="8"/>
        <v>0</v>
      </c>
      <c r="Z24" s="384"/>
      <c r="AA24" s="475">
        <f t="shared" si="16"/>
        <v>0</v>
      </c>
      <c r="AB24" s="608">
        <f t="shared" si="20"/>
        <v>0</v>
      </c>
      <c r="AC24" s="609"/>
      <c r="AD24" s="611">
        <f t="shared" si="21"/>
        <v>0</v>
      </c>
      <c r="AE24" s="245">
        <f t="shared" si="9"/>
        <v>0</v>
      </c>
      <c r="AF24" s="385"/>
      <c r="AG24" s="475">
        <f t="shared" si="17"/>
        <v>0</v>
      </c>
      <c r="AH24" s="245">
        <f t="shared" si="10"/>
        <v>0</v>
      </c>
      <c r="AI24" s="385"/>
      <c r="AJ24" s="475">
        <f t="shared" si="18"/>
        <v>0</v>
      </c>
      <c r="AK24" s="315">
        <f t="shared" si="11"/>
        <v>0</v>
      </c>
      <c r="AL24" s="384"/>
      <c r="AM24" s="475">
        <f t="shared" si="26"/>
        <v>0</v>
      </c>
      <c r="AN24" s="389">
        <f t="shared" si="22"/>
        <v>0</v>
      </c>
    </row>
    <row r="25" spans="1:40" ht="23.1" customHeight="1">
      <c r="A25" s="57">
        <f>Gen!A30</f>
        <v>44247</v>
      </c>
      <c r="B25" s="4"/>
      <c r="C25" s="95">
        <f>D24</f>
        <v>0</v>
      </c>
      <c r="D25" s="1"/>
      <c r="E25" s="474">
        <f t="shared" si="25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28">J24</f>
        <v>0</v>
      </c>
      <c r="J25" s="1"/>
      <c r="K25" s="474"/>
      <c r="L25" s="95">
        <f t="shared" ref="L25:L37" si="29">M24</f>
        <v>0</v>
      </c>
      <c r="M25" s="1"/>
      <c r="N25" s="474">
        <f t="shared" ref="N25:N37" si="30">IF((M25-M24)&lt;0,"0",(M25-M24))</f>
        <v>0</v>
      </c>
      <c r="O25" s="95">
        <f t="shared" si="5"/>
        <v>0</v>
      </c>
      <c r="P25" s="383"/>
      <c r="Q25" s="474">
        <f t="shared" si="6"/>
        <v>0</v>
      </c>
      <c r="R25" s="250"/>
      <c r="S25" s="245"/>
      <c r="T25" s="384"/>
      <c r="U25" s="475">
        <f t="shared" ref="U25:U37" si="31">IF((T25-T24)&lt;0,"0",(T25-T24))</f>
        <v>0</v>
      </c>
      <c r="V25" s="245">
        <f t="shared" si="27"/>
        <v>0</v>
      </c>
      <c r="W25" s="384"/>
      <c r="X25" s="475">
        <f t="shared" si="15"/>
        <v>0</v>
      </c>
      <c r="Y25" s="245">
        <f t="shared" si="8"/>
        <v>0</v>
      </c>
      <c r="Z25" s="384"/>
      <c r="AA25" s="475">
        <f t="shared" si="16"/>
        <v>0</v>
      </c>
      <c r="AB25" s="608">
        <f t="shared" si="20"/>
        <v>0</v>
      </c>
      <c r="AC25" s="609"/>
      <c r="AD25" s="611">
        <f t="shared" si="21"/>
        <v>0</v>
      </c>
      <c r="AE25" s="245">
        <f t="shared" si="9"/>
        <v>0</v>
      </c>
      <c r="AF25" s="385"/>
      <c r="AG25" s="475">
        <f t="shared" si="17"/>
        <v>0</v>
      </c>
      <c r="AH25" s="245">
        <f t="shared" si="10"/>
        <v>0</v>
      </c>
      <c r="AI25" s="385"/>
      <c r="AJ25" s="475">
        <f t="shared" si="18"/>
        <v>0</v>
      </c>
      <c r="AK25" s="315">
        <f t="shared" si="11"/>
        <v>0</v>
      </c>
      <c r="AL25" s="384"/>
      <c r="AM25" s="475">
        <f t="shared" si="26"/>
        <v>0</v>
      </c>
      <c r="AN25" s="389">
        <f t="shared" si="22"/>
        <v>0</v>
      </c>
    </row>
    <row r="26" spans="1:40" ht="23.1" customHeight="1">
      <c r="A26" s="57">
        <f>Gen!A31</f>
        <v>44248</v>
      </c>
      <c r="B26" s="4"/>
      <c r="C26" s="95">
        <f>D25</f>
        <v>0</v>
      </c>
      <c r="D26" s="1"/>
      <c r="E26" s="474">
        <f t="shared" si="25"/>
        <v>0</v>
      </c>
      <c r="F26" s="95">
        <f>G26</f>
        <v>0</v>
      </c>
      <c r="G26" s="387"/>
      <c r="H26" s="474">
        <f t="shared" ref="H26:H27" si="32">IF((G27-G25)&lt;0,"0",(G27-G25))</f>
        <v>0</v>
      </c>
      <c r="I26" s="95">
        <f t="shared" si="28"/>
        <v>0</v>
      </c>
      <c r="J26" s="1"/>
      <c r="K26" s="474"/>
      <c r="L26" s="95">
        <f t="shared" si="29"/>
        <v>0</v>
      </c>
      <c r="M26" s="1"/>
      <c r="N26" s="474">
        <f t="shared" si="30"/>
        <v>0</v>
      </c>
      <c r="O26" s="95">
        <f t="shared" ref="O26:O37" si="33">P25</f>
        <v>0</v>
      </c>
      <c r="P26" s="383"/>
      <c r="Q26" s="474">
        <f t="shared" si="6"/>
        <v>0</v>
      </c>
      <c r="R26" s="250"/>
      <c r="S26" s="245"/>
      <c r="T26" s="384"/>
      <c r="U26" s="475">
        <f t="shared" si="31"/>
        <v>0</v>
      </c>
      <c r="V26" s="245">
        <f t="shared" si="27"/>
        <v>0</v>
      </c>
      <c r="W26" s="384"/>
      <c r="X26" s="475">
        <f t="shared" si="15"/>
        <v>0</v>
      </c>
      <c r="Y26" s="245">
        <f t="shared" si="8"/>
        <v>0</v>
      </c>
      <c r="Z26" s="384"/>
      <c r="AA26" s="475">
        <f t="shared" si="16"/>
        <v>0</v>
      </c>
      <c r="AB26" s="608">
        <f t="shared" si="20"/>
        <v>0</v>
      </c>
      <c r="AC26" s="609"/>
      <c r="AD26" s="611">
        <f t="shared" si="21"/>
        <v>0</v>
      </c>
      <c r="AE26" s="245">
        <f t="shared" si="9"/>
        <v>0</v>
      </c>
      <c r="AF26" s="385"/>
      <c r="AG26" s="475">
        <f t="shared" si="17"/>
        <v>0</v>
      </c>
      <c r="AH26" s="245">
        <f t="shared" si="10"/>
        <v>0</v>
      </c>
      <c r="AI26" s="385"/>
      <c r="AJ26" s="475">
        <f t="shared" si="18"/>
        <v>0</v>
      </c>
      <c r="AK26" s="315">
        <f t="shared" si="11"/>
        <v>0</v>
      </c>
      <c r="AL26" s="384"/>
      <c r="AM26" s="475">
        <f t="shared" si="26"/>
        <v>0</v>
      </c>
      <c r="AN26" s="389">
        <f t="shared" si="22"/>
        <v>0</v>
      </c>
    </row>
    <row r="27" spans="1:40" ht="23.1" customHeight="1">
      <c r="A27" s="57">
        <f>Gen!A32</f>
        <v>44249</v>
      </c>
      <c r="B27" s="4"/>
      <c r="C27" s="95">
        <f>D26</f>
        <v>0</v>
      </c>
      <c r="D27" s="1"/>
      <c r="E27" s="474">
        <f t="shared" si="25"/>
        <v>0</v>
      </c>
      <c r="F27" s="95">
        <f t="shared" ref="F27:F31" si="34">G27</f>
        <v>0</v>
      </c>
      <c r="G27" s="387"/>
      <c r="H27" s="474">
        <f t="shared" si="32"/>
        <v>0</v>
      </c>
      <c r="I27" s="95">
        <f t="shared" si="28"/>
        <v>0</v>
      </c>
      <c r="J27" s="1"/>
      <c r="K27" s="474"/>
      <c r="L27" s="95">
        <f t="shared" si="29"/>
        <v>0</v>
      </c>
      <c r="M27" s="1"/>
      <c r="N27" s="474">
        <f t="shared" si="30"/>
        <v>0</v>
      </c>
      <c r="O27" s="95">
        <f t="shared" si="33"/>
        <v>0</v>
      </c>
      <c r="P27" s="383"/>
      <c r="Q27" s="474">
        <f t="shared" si="6"/>
        <v>0</v>
      </c>
      <c r="R27" s="250"/>
      <c r="S27" s="245"/>
      <c r="T27" s="384"/>
      <c r="U27" s="475">
        <f t="shared" si="31"/>
        <v>0</v>
      </c>
      <c r="V27" s="245">
        <f t="shared" si="27"/>
        <v>0</v>
      </c>
      <c r="W27" s="384"/>
      <c r="X27" s="475">
        <f t="shared" si="15"/>
        <v>0</v>
      </c>
      <c r="Y27" s="245">
        <f t="shared" si="8"/>
        <v>0</v>
      </c>
      <c r="Z27" s="384"/>
      <c r="AA27" s="475">
        <f t="shared" si="16"/>
        <v>0</v>
      </c>
      <c r="AB27" s="608">
        <f t="shared" si="20"/>
        <v>0</v>
      </c>
      <c r="AC27" s="609"/>
      <c r="AD27" s="611">
        <f t="shared" si="21"/>
        <v>0</v>
      </c>
      <c r="AE27" s="245">
        <f t="shared" si="9"/>
        <v>0</v>
      </c>
      <c r="AF27" s="385"/>
      <c r="AG27" s="475">
        <f t="shared" si="17"/>
        <v>0</v>
      </c>
      <c r="AH27" s="245">
        <f t="shared" si="10"/>
        <v>0</v>
      </c>
      <c r="AI27" s="385"/>
      <c r="AJ27" s="475">
        <f t="shared" si="18"/>
        <v>0</v>
      </c>
      <c r="AK27" s="315">
        <f t="shared" si="11"/>
        <v>0</v>
      </c>
      <c r="AL27" s="384"/>
      <c r="AM27" s="475">
        <f t="shared" si="19"/>
        <v>0</v>
      </c>
      <c r="AN27" s="389">
        <f t="shared" si="22"/>
        <v>0</v>
      </c>
    </row>
    <row r="28" spans="1:40" ht="23.1" customHeight="1">
      <c r="A28" s="57">
        <f>Gen!A33</f>
        <v>44250</v>
      </c>
      <c r="B28" s="4"/>
      <c r="C28" s="95">
        <f t="shared" ref="C28:C37" si="35">D27</f>
        <v>0</v>
      </c>
      <c r="D28" s="1"/>
      <c r="E28" s="474">
        <f t="shared" si="25"/>
        <v>0</v>
      </c>
      <c r="F28" s="95">
        <f t="shared" si="34"/>
        <v>0</v>
      </c>
      <c r="G28" s="387"/>
      <c r="H28" s="474">
        <f t="shared" ref="H28:H37" si="36">IF((G28-G27)&lt;0,"0",(G28-G27))</f>
        <v>0</v>
      </c>
      <c r="I28" s="95">
        <f t="shared" si="28"/>
        <v>0</v>
      </c>
      <c r="J28" s="1"/>
      <c r="K28" s="474"/>
      <c r="L28" s="95">
        <f t="shared" si="29"/>
        <v>0</v>
      </c>
      <c r="M28" s="1"/>
      <c r="N28" s="474">
        <f t="shared" si="30"/>
        <v>0</v>
      </c>
      <c r="O28" s="95">
        <f t="shared" si="33"/>
        <v>0</v>
      </c>
      <c r="P28" s="383"/>
      <c r="Q28" s="474">
        <f t="shared" ref="Q28:Q37" si="37">IF((P28-P27)&lt;0,"0",(P28-P27))</f>
        <v>0</v>
      </c>
      <c r="R28" s="250"/>
      <c r="S28" s="245"/>
      <c r="T28" s="384"/>
      <c r="U28" s="475">
        <f t="shared" si="31"/>
        <v>0</v>
      </c>
      <c r="V28" s="245">
        <f t="shared" si="27"/>
        <v>0</v>
      </c>
      <c r="W28" s="384"/>
      <c r="X28" s="475">
        <f t="shared" si="15"/>
        <v>0</v>
      </c>
      <c r="Y28" s="245">
        <f t="shared" si="8"/>
        <v>0</v>
      </c>
      <c r="Z28" s="384"/>
      <c r="AA28" s="475">
        <f t="shared" si="16"/>
        <v>0</v>
      </c>
      <c r="AB28" s="608">
        <f t="shared" si="20"/>
        <v>0</v>
      </c>
      <c r="AC28" s="609"/>
      <c r="AD28" s="611">
        <f t="shared" si="21"/>
        <v>0</v>
      </c>
      <c r="AE28" s="245">
        <f t="shared" si="9"/>
        <v>0</v>
      </c>
      <c r="AF28" s="385"/>
      <c r="AG28" s="475">
        <f t="shared" si="17"/>
        <v>0</v>
      </c>
      <c r="AH28" s="245">
        <f t="shared" si="10"/>
        <v>0</v>
      </c>
      <c r="AI28" s="385"/>
      <c r="AJ28" s="475">
        <f t="shared" si="18"/>
        <v>0</v>
      </c>
      <c r="AK28" s="315">
        <f t="shared" si="11"/>
        <v>0</v>
      </c>
      <c r="AL28" s="384"/>
      <c r="AM28" s="475">
        <f t="shared" si="19"/>
        <v>0</v>
      </c>
      <c r="AN28" s="389">
        <f t="shared" si="22"/>
        <v>0</v>
      </c>
    </row>
    <row r="29" spans="1:40" ht="23.1" customHeight="1">
      <c r="A29" s="57">
        <f>Gen!A34</f>
        <v>44251</v>
      </c>
      <c r="B29" s="4"/>
      <c r="C29" s="95">
        <f t="shared" si="35"/>
        <v>0</v>
      </c>
      <c r="D29" s="1"/>
      <c r="E29" s="474">
        <f t="shared" si="25"/>
        <v>0</v>
      </c>
      <c r="F29" s="95">
        <f t="shared" si="34"/>
        <v>0</v>
      </c>
      <c r="G29" s="387"/>
      <c r="H29" s="474">
        <f t="shared" si="36"/>
        <v>0</v>
      </c>
      <c r="I29" s="95">
        <f t="shared" si="28"/>
        <v>0</v>
      </c>
      <c r="J29" s="1"/>
      <c r="K29" s="474"/>
      <c r="L29" s="95">
        <f t="shared" si="29"/>
        <v>0</v>
      </c>
      <c r="M29" s="1"/>
      <c r="N29" s="474">
        <f t="shared" si="30"/>
        <v>0</v>
      </c>
      <c r="O29" s="95">
        <f t="shared" si="33"/>
        <v>0</v>
      </c>
      <c r="P29" s="383"/>
      <c r="Q29" s="474">
        <f t="shared" si="37"/>
        <v>0</v>
      </c>
      <c r="R29" s="250"/>
      <c r="S29" s="245"/>
      <c r="T29" s="384"/>
      <c r="U29" s="475">
        <f t="shared" si="31"/>
        <v>0</v>
      </c>
      <c r="V29" s="245">
        <f t="shared" si="27"/>
        <v>0</v>
      </c>
      <c r="W29" s="384"/>
      <c r="X29" s="475">
        <f t="shared" si="15"/>
        <v>0</v>
      </c>
      <c r="Y29" s="245">
        <f t="shared" si="8"/>
        <v>0</v>
      </c>
      <c r="Z29" s="384"/>
      <c r="AA29" s="475">
        <f t="shared" si="16"/>
        <v>0</v>
      </c>
      <c r="AB29" s="608">
        <f t="shared" si="20"/>
        <v>0</v>
      </c>
      <c r="AC29" s="609"/>
      <c r="AD29" s="611">
        <f t="shared" si="21"/>
        <v>0</v>
      </c>
      <c r="AE29" s="245">
        <f t="shared" si="9"/>
        <v>0</v>
      </c>
      <c r="AF29" s="385"/>
      <c r="AG29" s="475">
        <f t="shared" si="17"/>
        <v>0</v>
      </c>
      <c r="AH29" s="245">
        <f t="shared" si="10"/>
        <v>0</v>
      </c>
      <c r="AI29" s="385"/>
      <c r="AJ29" s="475">
        <f t="shared" si="18"/>
        <v>0</v>
      </c>
      <c r="AK29" s="315">
        <f t="shared" si="11"/>
        <v>0</v>
      </c>
      <c r="AL29" s="384"/>
      <c r="AM29" s="475">
        <f t="shared" si="19"/>
        <v>0</v>
      </c>
      <c r="AN29" s="389">
        <f t="shared" si="22"/>
        <v>0</v>
      </c>
    </row>
    <row r="30" spans="1:40" ht="23.1" customHeight="1">
      <c r="A30" s="57">
        <f>Gen!A35</f>
        <v>44252</v>
      </c>
      <c r="B30" s="4"/>
      <c r="C30" s="95">
        <f t="shared" si="35"/>
        <v>0</v>
      </c>
      <c r="D30" s="1"/>
      <c r="E30" s="474">
        <f t="shared" si="25"/>
        <v>0</v>
      </c>
      <c r="F30" s="95">
        <f t="shared" si="34"/>
        <v>0</v>
      </c>
      <c r="G30" s="387"/>
      <c r="H30" s="474">
        <f t="shared" si="36"/>
        <v>0</v>
      </c>
      <c r="I30" s="95">
        <f t="shared" si="28"/>
        <v>0</v>
      </c>
      <c r="J30" s="1"/>
      <c r="K30" s="474"/>
      <c r="L30" s="95">
        <f t="shared" si="29"/>
        <v>0</v>
      </c>
      <c r="M30" s="1"/>
      <c r="N30" s="474">
        <f t="shared" si="30"/>
        <v>0</v>
      </c>
      <c r="O30" s="95">
        <f t="shared" si="33"/>
        <v>0</v>
      </c>
      <c r="P30" s="383"/>
      <c r="Q30" s="474">
        <f t="shared" si="37"/>
        <v>0</v>
      </c>
      <c r="R30" s="250"/>
      <c r="S30" s="245"/>
      <c r="T30" s="384"/>
      <c r="U30" s="475">
        <f t="shared" si="31"/>
        <v>0</v>
      </c>
      <c r="V30" s="245">
        <f t="shared" si="27"/>
        <v>0</v>
      </c>
      <c r="W30" s="384"/>
      <c r="X30" s="475">
        <f t="shared" si="15"/>
        <v>0</v>
      </c>
      <c r="Y30" s="245">
        <f t="shared" si="8"/>
        <v>0</v>
      </c>
      <c r="Z30" s="384"/>
      <c r="AA30" s="475">
        <f t="shared" si="16"/>
        <v>0</v>
      </c>
      <c r="AB30" s="608">
        <f t="shared" si="20"/>
        <v>0</v>
      </c>
      <c r="AC30" s="609"/>
      <c r="AD30" s="611">
        <f t="shared" si="21"/>
        <v>0</v>
      </c>
      <c r="AE30" s="245">
        <f t="shared" si="9"/>
        <v>0</v>
      </c>
      <c r="AF30" s="385"/>
      <c r="AG30" s="475">
        <f t="shared" si="17"/>
        <v>0</v>
      </c>
      <c r="AH30" s="245">
        <f t="shared" si="10"/>
        <v>0</v>
      </c>
      <c r="AI30" s="385"/>
      <c r="AJ30" s="475">
        <f t="shared" si="18"/>
        <v>0</v>
      </c>
      <c r="AK30" s="315">
        <f t="shared" si="11"/>
        <v>0</v>
      </c>
      <c r="AL30" s="384"/>
      <c r="AM30" s="475">
        <f t="shared" si="19"/>
        <v>0</v>
      </c>
      <c r="AN30" s="389">
        <f t="shared" si="22"/>
        <v>0</v>
      </c>
    </row>
    <row r="31" spans="1:40" ht="23.1" customHeight="1">
      <c r="A31" s="57">
        <f>Gen!A36</f>
        <v>44253</v>
      </c>
      <c r="B31" s="4"/>
      <c r="C31" s="95">
        <f t="shared" si="35"/>
        <v>0</v>
      </c>
      <c r="D31" s="1"/>
      <c r="E31" s="474">
        <f t="shared" si="25"/>
        <v>0</v>
      </c>
      <c r="F31" s="95">
        <f t="shared" si="34"/>
        <v>0</v>
      </c>
      <c r="G31" s="387"/>
      <c r="H31" s="474">
        <f t="shared" si="36"/>
        <v>0</v>
      </c>
      <c r="I31" s="95">
        <f t="shared" si="28"/>
        <v>0</v>
      </c>
      <c r="J31" s="1"/>
      <c r="K31" s="474">
        <f t="shared" ref="K31:K37" si="38">IF((J31-J30)&lt;0,"0",(J31-J30))</f>
        <v>0</v>
      </c>
      <c r="L31" s="95">
        <f t="shared" si="29"/>
        <v>0</v>
      </c>
      <c r="M31" s="1"/>
      <c r="N31" s="474">
        <f t="shared" si="30"/>
        <v>0</v>
      </c>
      <c r="O31" s="95">
        <f t="shared" si="33"/>
        <v>0</v>
      </c>
      <c r="P31" s="383"/>
      <c r="Q31" s="474">
        <f t="shared" si="37"/>
        <v>0</v>
      </c>
      <c r="R31" s="250"/>
      <c r="S31" s="245"/>
      <c r="T31" s="384"/>
      <c r="U31" s="475">
        <f t="shared" si="31"/>
        <v>0</v>
      </c>
      <c r="V31" s="245">
        <f t="shared" si="27"/>
        <v>0</v>
      </c>
      <c r="W31" s="384"/>
      <c r="X31" s="475">
        <f t="shared" si="15"/>
        <v>0</v>
      </c>
      <c r="Y31" s="245">
        <f t="shared" si="8"/>
        <v>0</v>
      </c>
      <c r="Z31" s="384"/>
      <c r="AA31" s="475">
        <f t="shared" si="16"/>
        <v>0</v>
      </c>
      <c r="AB31" s="608">
        <f t="shared" si="20"/>
        <v>0</v>
      </c>
      <c r="AC31" s="609"/>
      <c r="AD31" s="611">
        <f t="shared" si="21"/>
        <v>0</v>
      </c>
      <c r="AE31" s="245">
        <f t="shared" si="9"/>
        <v>0</v>
      </c>
      <c r="AF31" s="385"/>
      <c r="AG31" s="475">
        <f t="shared" si="17"/>
        <v>0</v>
      </c>
      <c r="AH31" s="245">
        <f t="shared" si="10"/>
        <v>0</v>
      </c>
      <c r="AI31" s="385"/>
      <c r="AJ31" s="475">
        <f t="shared" si="18"/>
        <v>0</v>
      </c>
      <c r="AK31" s="315">
        <f t="shared" si="11"/>
        <v>0</v>
      </c>
      <c r="AL31" s="384"/>
      <c r="AM31" s="475">
        <f t="shared" si="19"/>
        <v>0</v>
      </c>
      <c r="AN31" s="389">
        <f t="shared" si="22"/>
        <v>0</v>
      </c>
    </row>
    <row r="32" spans="1:40" ht="23.1" customHeight="1">
      <c r="A32" s="57">
        <f>Gen!A37</f>
        <v>44254</v>
      </c>
      <c r="B32" s="4" t="s">
        <v>27</v>
      </c>
      <c r="C32" s="95">
        <f t="shared" si="35"/>
        <v>0</v>
      </c>
      <c r="D32" s="1"/>
      <c r="E32" s="474">
        <f t="shared" si="25"/>
        <v>0</v>
      </c>
      <c r="F32" s="95">
        <f t="shared" si="2"/>
        <v>0</v>
      </c>
      <c r="G32" s="387"/>
      <c r="H32" s="474">
        <f t="shared" si="36"/>
        <v>0</v>
      </c>
      <c r="I32" s="95">
        <f t="shared" si="28"/>
        <v>0</v>
      </c>
      <c r="J32" s="1"/>
      <c r="K32" s="474">
        <f t="shared" si="38"/>
        <v>0</v>
      </c>
      <c r="L32" s="95">
        <f t="shared" si="29"/>
        <v>0</v>
      </c>
      <c r="M32" s="1"/>
      <c r="N32" s="474">
        <f t="shared" si="30"/>
        <v>0</v>
      </c>
      <c r="O32" s="95">
        <f t="shared" si="33"/>
        <v>0</v>
      </c>
      <c r="P32" s="383"/>
      <c r="Q32" s="474">
        <f t="shared" si="37"/>
        <v>0</v>
      </c>
      <c r="R32" s="250"/>
      <c r="S32" s="245"/>
      <c r="T32" s="384"/>
      <c r="U32" s="475">
        <f t="shared" si="31"/>
        <v>0</v>
      </c>
      <c r="V32" s="245">
        <f t="shared" si="27"/>
        <v>0</v>
      </c>
      <c r="W32" s="384"/>
      <c r="X32" s="475">
        <f t="shared" si="15"/>
        <v>0</v>
      </c>
      <c r="Y32" s="245">
        <f t="shared" si="8"/>
        <v>0</v>
      </c>
      <c r="Z32" s="384"/>
      <c r="AA32" s="475">
        <f t="shared" si="16"/>
        <v>0</v>
      </c>
      <c r="AB32" s="608">
        <f t="shared" si="20"/>
        <v>0</v>
      </c>
      <c r="AC32" s="609"/>
      <c r="AD32" s="611">
        <f t="shared" si="21"/>
        <v>0</v>
      </c>
      <c r="AE32" s="245">
        <f t="shared" si="9"/>
        <v>0</v>
      </c>
      <c r="AF32" s="385"/>
      <c r="AG32" s="475">
        <f t="shared" si="17"/>
        <v>0</v>
      </c>
      <c r="AH32" s="245">
        <f t="shared" si="10"/>
        <v>0</v>
      </c>
      <c r="AI32" s="385"/>
      <c r="AJ32" s="475">
        <f t="shared" si="18"/>
        <v>0</v>
      </c>
      <c r="AK32" s="315">
        <f t="shared" si="11"/>
        <v>0</v>
      </c>
      <c r="AL32" s="384"/>
      <c r="AM32" s="475">
        <f t="shared" si="19"/>
        <v>0</v>
      </c>
      <c r="AN32" s="389">
        <f t="shared" si="22"/>
        <v>0</v>
      </c>
    </row>
    <row r="33" spans="1:41" ht="23.1" customHeight="1">
      <c r="A33" s="57">
        <f>Gen!A38</f>
        <v>44255</v>
      </c>
      <c r="B33" s="4"/>
      <c r="C33" s="95">
        <f t="shared" si="35"/>
        <v>0</v>
      </c>
      <c r="D33" s="1"/>
      <c r="E33" s="474">
        <f t="shared" si="25"/>
        <v>0</v>
      </c>
      <c r="F33" s="95">
        <f t="shared" si="2"/>
        <v>0</v>
      </c>
      <c r="G33" s="387"/>
      <c r="H33" s="474">
        <f t="shared" si="36"/>
        <v>0</v>
      </c>
      <c r="I33" s="95">
        <f t="shared" si="28"/>
        <v>0</v>
      </c>
      <c r="J33" s="1"/>
      <c r="K33" s="474">
        <f t="shared" si="38"/>
        <v>0</v>
      </c>
      <c r="L33" s="95">
        <f t="shared" si="29"/>
        <v>0</v>
      </c>
      <c r="M33" s="1"/>
      <c r="N33" s="474">
        <f t="shared" si="30"/>
        <v>0</v>
      </c>
      <c r="O33" s="95">
        <f t="shared" si="33"/>
        <v>0</v>
      </c>
      <c r="P33" s="383"/>
      <c r="Q33" s="474">
        <f t="shared" si="37"/>
        <v>0</v>
      </c>
      <c r="R33" s="250"/>
      <c r="S33" s="245"/>
      <c r="T33" s="384"/>
      <c r="U33" s="475">
        <f t="shared" si="31"/>
        <v>0</v>
      </c>
      <c r="V33" s="245">
        <f t="shared" si="27"/>
        <v>0</v>
      </c>
      <c r="W33" s="384"/>
      <c r="X33" s="475">
        <f t="shared" si="15"/>
        <v>0</v>
      </c>
      <c r="Y33" s="245">
        <f t="shared" si="8"/>
        <v>0</v>
      </c>
      <c r="Z33" s="384"/>
      <c r="AA33" s="475">
        <f t="shared" si="16"/>
        <v>0</v>
      </c>
      <c r="AB33" s="608">
        <f t="shared" si="20"/>
        <v>0</v>
      </c>
      <c r="AC33" s="246"/>
      <c r="AD33" s="611">
        <f t="shared" si="21"/>
        <v>0</v>
      </c>
      <c r="AE33" s="245">
        <f t="shared" si="9"/>
        <v>0</v>
      </c>
      <c r="AF33" s="385"/>
      <c r="AG33" s="475">
        <f t="shared" si="17"/>
        <v>0</v>
      </c>
      <c r="AH33" s="245">
        <f t="shared" si="10"/>
        <v>0</v>
      </c>
      <c r="AI33" s="385"/>
      <c r="AJ33" s="475">
        <f t="shared" si="18"/>
        <v>0</v>
      </c>
      <c r="AK33" s="315">
        <f t="shared" si="11"/>
        <v>0</v>
      </c>
      <c r="AL33" s="384"/>
      <c r="AM33" s="475">
        <f t="shared" si="19"/>
        <v>0</v>
      </c>
      <c r="AN33" s="389">
        <f t="shared" si="22"/>
        <v>0</v>
      </c>
    </row>
    <row r="34" spans="1:41" ht="23.1" customHeight="1">
      <c r="A34" s="57">
        <f>Gen!A39</f>
        <v>0</v>
      </c>
      <c r="B34" s="148"/>
      <c r="C34" s="95">
        <f t="shared" si="35"/>
        <v>0</v>
      </c>
      <c r="D34" s="1"/>
      <c r="E34" s="474">
        <f t="shared" si="25"/>
        <v>0</v>
      </c>
      <c r="F34" s="95">
        <f t="shared" si="2"/>
        <v>0</v>
      </c>
      <c r="G34" s="387"/>
      <c r="H34" s="474">
        <f t="shared" si="36"/>
        <v>0</v>
      </c>
      <c r="I34" s="95">
        <f t="shared" si="28"/>
        <v>0</v>
      </c>
      <c r="J34" s="1"/>
      <c r="K34" s="474">
        <f t="shared" si="38"/>
        <v>0</v>
      </c>
      <c r="L34" s="95">
        <f t="shared" si="29"/>
        <v>0</v>
      </c>
      <c r="M34" s="1"/>
      <c r="N34" s="474">
        <f t="shared" si="30"/>
        <v>0</v>
      </c>
      <c r="O34" s="95">
        <f t="shared" si="33"/>
        <v>0</v>
      </c>
      <c r="P34" s="383"/>
      <c r="Q34" s="474">
        <f t="shared" si="37"/>
        <v>0</v>
      </c>
      <c r="R34" s="250"/>
      <c r="S34" s="245"/>
      <c r="T34" s="384"/>
      <c r="U34" s="475">
        <f t="shared" si="31"/>
        <v>0</v>
      </c>
      <c r="V34" s="245">
        <f t="shared" si="27"/>
        <v>0</v>
      </c>
      <c r="W34" s="384"/>
      <c r="X34" s="475">
        <f t="shared" si="15"/>
        <v>0</v>
      </c>
      <c r="Y34" s="245">
        <f t="shared" si="8"/>
        <v>0</v>
      </c>
      <c r="Z34" s="384"/>
      <c r="AA34" s="475">
        <f t="shared" si="16"/>
        <v>0</v>
      </c>
      <c r="AB34" s="608">
        <f t="shared" si="20"/>
        <v>0</v>
      </c>
      <c r="AC34" s="246"/>
      <c r="AD34" s="611">
        <f t="shared" si="21"/>
        <v>0</v>
      </c>
      <c r="AE34" s="245">
        <f t="shared" si="9"/>
        <v>0</v>
      </c>
      <c r="AF34" s="385"/>
      <c r="AG34" s="475">
        <f t="shared" si="17"/>
        <v>0</v>
      </c>
      <c r="AH34" s="245">
        <f t="shared" si="10"/>
        <v>0</v>
      </c>
      <c r="AI34" s="385"/>
      <c r="AJ34" s="475">
        <f t="shared" si="18"/>
        <v>0</v>
      </c>
      <c r="AK34" s="315">
        <f t="shared" si="11"/>
        <v>0</v>
      </c>
      <c r="AL34" s="384"/>
      <c r="AM34" s="475">
        <f t="shared" si="19"/>
        <v>0</v>
      </c>
      <c r="AN34" s="389">
        <f t="shared" si="22"/>
        <v>0</v>
      </c>
    </row>
    <row r="35" spans="1:41" ht="23.1" customHeight="1">
      <c r="A35" s="57">
        <f>Gen!A40</f>
        <v>0</v>
      </c>
      <c r="B35" s="148"/>
      <c r="C35" s="95">
        <f t="shared" si="35"/>
        <v>0</v>
      </c>
      <c r="D35" s="1"/>
      <c r="E35" s="474">
        <f t="shared" si="25"/>
        <v>0</v>
      </c>
      <c r="F35" s="95">
        <f t="shared" si="2"/>
        <v>0</v>
      </c>
      <c r="G35" s="387"/>
      <c r="H35" s="474">
        <f t="shared" si="36"/>
        <v>0</v>
      </c>
      <c r="I35" s="95">
        <f t="shared" si="28"/>
        <v>0</v>
      </c>
      <c r="J35" s="1"/>
      <c r="K35" s="474">
        <f t="shared" si="38"/>
        <v>0</v>
      </c>
      <c r="L35" s="95">
        <f t="shared" si="29"/>
        <v>0</v>
      </c>
      <c r="M35" s="1"/>
      <c r="N35" s="474">
        <f t="shared" si="30"/>
        <v>0</v>
      </c>
      <c r="O35" s="95">
        <f t="shared" si="33"/>
        <v>0</v>
      </c>
      <c r="P35" s="383"/>
      <c r="Q35" s="474">
        <f t="shared" si="37"/>
        <v>0</v>
      </c>
      <c r="R35" s="250"/>
      <c r="S35" s="245">
        <f t="shared" ref="S35:S37" si="39">T34</f>
        <v>0</v>
      </c>
      <c r="T35" s="384"/>
      <c r="U35" s="475">
        <f t="shared" si="31"/>
        <v>0</v>
      </c>
      <c r="V35" s="245">
        <f t="shared" si="27"/>
        <v>0</v>
      </c>
      <c r="W35" s="384"/>
      <c r="X35" s="475">
        <f t="shared" si="15"/>
        <v>0</v>
      </c>
      <c r="Y35" s="245">
        <f t="shared" si="8"/>
        <v>0</v>
      </c>
      <c r="Z35" s="384"/>
      <c r="AA35" s="475">
        <f t="shared" si="16"/>
        <v>0</v>
      </c>
      <c r="AB35" s="608">
        <f t="shared" si="20"/>
        <v>0</v>
      </c>
      <c r="AC35" s="246"/>
      <c r="AD35" s="611">
        <f t="shared" si="21"/>
        <v>0</v>
      </c>
      <c r="AE35" s="245">
        <f t="shared" si="9"/>
        <v>0</v>
      </c>
      <c r="AF35" s="385"/>
      <c r="AG35" s="475">
        <f t="shared" si="17"/>
        <v>0</v>
      </c>
      <c r="AH35" s="245">
        <f t="shared" si="10"/>
        <v>0</v>
      </c>
      <c r="AI35" s="385"/>
      <c r="AJ35" s="475">
        <f t="shared" si="18"/>
        <v>0</v>
      </c>
      <c r="AK35" s="315">
        <f t="shared" si="11"/>
        <v>0</v>
      </c>
      <c r="AL35" s="384"/>
      <c r="AM35" s="475">
        <f t="shared" si="19"/>
        <v>0</v>
      </c>
      <c r="AN35" s="389">
        <f t="shared" si="22"/>
        <v>0</v>
      </c>
    </row>
    <row r="36" spans="1:41" ht="23.1" customHeight="1">
      <c r="A36" s="57">
        <f>Gen!A41</f>
        <v>0</v>
      </c>
      <c r="B36" s="149"/>
      <c r="C36" s="95">
        <f t="shared" si="35"/>
        <v>0</v>
      </c>
      <c r="D36" s="1"/>
      <c r="E36" s="474">
        <f t="shared" si="25"/>
        <v>0</v>
      </c>
      <c r="F36" s="95">
        <f t="shared" si="2"/>
        <v>0</v>
      </c>
      <c r="G36" s="387"/>
      <c r="H36" s="474">
        <f t="shared" si="36"/>
        <v>0</v>
      </c>
      <c r="I36" s="95">
        <f t="shared" si="28"/>
        <v>0</v>
      </c>
      <c r="J36" s="1"/>
      <c r="K36" s="474">
        <f t="shared" si="38"/>
        <v>0</v>
      </c>
      <c r="L36" s="95">
        <f t="shared" si="29"/>
        <v>0</v>
      </c>
      <c r="M36" s="1"/>
      <c r="N36" s="474">
        <f t="shared" si="30"/>
        <v>0</v>
      </c>
      <c r="O36" s="95">
        <f t="shared" si="33"/>
        <v>0</v>
      </c>
      <c r="P36" s="383"/>
      <c r="Q36" s="474">
        <f t="shared" si="37"/>
        <v>0</v>
      </c>
      <c r="R36" s="250"/>
      <c r="S36" s="245">
        <f t="shared" si="39"/>
        <v>0</v>
      </c>
      <c r="T36" s="384"/>
      <c r="U36" s="475">
        <f t="shared" si="31"/>
        <v>0</v>
      </c>
      <c r="V36" s="245">
        <f t="shared" si="27"/>
        <v>0</v>
      </c>
      <c r="W36" s="384"/>
      <c r="X36" s="475">
        <f t="shared" si="15"/>
        <v>0</v>
      </c>
      <c r="Y36" s="245">
        <f t="shared" si="8"/>
        <v>0</v>
      </c>
      <c r="Z36" s="384"/>
      <c r="AA36" s="475">
        <f t="shared" si="16"/>
        <v>0</v>
      </c>
      <c r="AB36" s="608">
        <f t="shared" si="20"/>
        <v>0</v>
      </c>
      <c r="AC36" s="246"/>
      <c r="AD36" s="611">
        <f t="shared" si="21"/>
        <v>0</v>
      </c>
      <c r="AE36" s="245">
        <f t="shared" si="9"/>
        <v>0</v>
      </c>
      <c r="AF36" s="385"/>
      <c r="AG36" s="475">
        <f t="shared" si="17"/>
        <v>0</v>
      </c>
      <c r="AH36" s="245">
        <f t="shared" si="10"/>
        <v>0</v>
      </c>
      <c r="AI36" s="385"/>
      <c r="AJ36" s="475">
        <f t="shared" si="18"/>
        <v>0</v>
      </c>
      <c r="AK36" s="315">
        <f t="shared" si="11"/>
        <v>0</v>
      </c>
      <c r="AL36" s="384"/>
      <c r="AM36" s="475">
        <f t="shared" si="19"/>
        <v>0</v>
      </c>
      <c r="AN36" s="389">
        <f t="shared" si="22"/>
        <v>0</v>
      </c>
    </row>
    <row r="37" spans="1:41" ht="24" customHeight="1">
      <c r="A37" s="57">
        <f>Gen!A42</f>
        <v>0</v>
      </c>
      <c r="B37" s="3"/>
      <c r="C37" s="95">
        <f t="shared" si="35"/>
        <v>0</v>
      </c>
      <c r="D37" s="1"/>
      <c r="E37" s="474">
        <f t="shared" si="25"/>
        <v>0</v>
      </c>
      <c r="F37" s="95">
        <f t="shared" si="2"/>
        <v>0</v>
      </c>
      <c r="G37" s="387"/>
      <c r="H37" s="474">
        <f t="shared" si="36"/>
        <v>0</v>
      </c>
      <c r="I37" s="95">
        <f t="shared" si="28"/>
        <v>0</v>
      </c>
      <c r="J37" s="1"/>
      <c r="K37" s="474">
        <f t="shared" si="38"/>
        <v>0</v>
      </c>
      <c r="L37" s="95">
        <f t="shared" si="29"/>
        <v>0</v>
      </c>
      <c r="M37" s="1"/>
      <c r="N37" s="474">
        <f t="shared" si="30"/>
        <v>0</v>
      </c>
      <c r="O37" s="95">
        <f t="shared" si="33"/>
        <v>0</v>
      </c>
      <c r="P37" s="383"/>
      <c r="Q37" s="474">
        <f t="shared" si="37"/>
        <v>0</v>
      </c>
      <c r="R37" s="250"/>
      <c r="S37" s="245">
        <f t="shared" si="39"/>
        <v>0</v>
      </c>
      <c r="T37" s="384"/>
      <c r="U37" s="475">
        <f t="shared" si="31"/>
        <v>0</v>
      </c>
      <c r="V37" s="245">
        <f t="shared" si="27"/>
        <v>0</v>
      </c>
      <c r="W37" s="384"/>
      <c r="X37" s="475">
        <f t="shared" si="15"/>
        <v>0</v>
      </c>
      <c r="Y37" s="245">
        <f t="shared" si="8"/>
        <v>0</v>
      </c>
      <c r="Z37" s="384"/>
      <c r="AA37" s="475">
        <f t="shared" si="16"/>
        <v>0</v>
      </c>
      <c r="AB37" s="608">
        <f t="shared" si="20"/>
        <v>0</v>
      </c>
      <c r="AC37" s="246"/>
      <c r="AD37" s="611">
        <f t="shared" si="21"/>
        <v>0</v>
      </c>
      <c r="AE37" s="245">
        <f t="shared" si="9"/>
        <v>0</v>
      </c>
      <c r="AF37" s="385"/>
      <c r="AG37" s="475">
        <f t="shared" si="17"/>
        <v>0</v>
      </c>
      <c r="AH37" s="245">
        <f t="shared" si="10"/>
        <v>0</v>
      </c>
      <c r="AI37" s="385"/>
      <c r="AJ37" s="475">
        <f t="shared" si="18"/>
        <v>0</v>
      </c>
      <c r="AK37" s="315">
        <f t="shared" si="11"/>
        <v>0</v>
      </c>
      <c r="AL37" s="384"/>
      <c r="AM37" s="475">
        <f t="shared" si="19"/>
        <v>0</v>
      </c>
      <c r="AN37" s="389">
        <f t="shared" ref="AN37" si="40">U38+X38+AA38+AD38+AG38+AJ38+AM38</f>
        <v>82</v>
      </c>
    </row>
    <row r="38" spans="1:41" ht="18.75">
      <c r="A38" s="57"/>
      <c r="B38" s="21"/>
      <c r="C38" s="901" t="s">
        <v>6</v>
      </c>
      <c r="D38" s="901"/>
      <c r="E38" s="22">
        <f>SUM(E6:E36)</f>
        <v>160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7"/>
      <c r="M38" s="147"/>
      <c r="N38" s="28">
        <f t="shared" ref="N38" si="41">M38-M37</f>
        <v>0</v>
      </c>
      <c r="O38" s="26"/>
      <c r="P38" s="247"/>
      <c r="Q38" s="248">
        <f t="shared" ref="Q38" si="42">P38-O38</f>
        <v>0</v>
      </c>
      <c r="R38" s="249">
        <f>E38</f>
        <v>160</v>
      </c>
      <c r="S38" s="247"/>
      <c r="T38" s="247"/>
      <c r="U38" s="257">
        <f>SUM(U6:U37)</f>
        <v>82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3">IF((AI39-AI37)&lt;0,"0",(AI39-AI37))</f>
        <v>0</v>
      </c>
      <c r="AK38" s="247"/>
      <c r="AL38" s="247"/>
      <c r="AM38" s="247"/>
      <c r="AN38" s="253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7"/>
      <c r="B42" s="277"/>
      <c r="C42" s="924" t="s">
        <v>222</v>
      </c>
      <c r="D42" s="925"/>
      <c r="E42" s="925"/>
      <c r="F42" s="925"/>
      <c r="G42" s="925"/>
      <c r="H42" s="925"/>
      <c r="I42" s="925"/>
      <c r="J42" s="925"/>
      <c r="K42" s="926"/>
      <c r="R42" s="19"/>
    </row>
    <row r="43" spans="1:41" ht="24.75" customHeight="1">
      <c r="A43" s="928"/>
      <c r="B43" s="19"/>
      <c r="C43" s="930" t="s">
        <v>216</v>
      </c>
      <c r="D43" s="931"/>
      <c r="E43" s="932" t="s">
        <v>237</v>
      </c>
      <c r="F43" s="933"/>
      <c r="G43" s="934" t="s">
        <v>217</v>
      </c>
      <c r="H43" s="935"/>
      <c r="I43" s="934" t="s">
        <v>238</v>
      </c>
      <c r="J43" s="935"/>
      <c r="K43" s="922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8"/>
      <c r="B44" s="19"/>
      <c r="C44" s="936" t="s">
        <v>218</v>
      </c>
      <c r="D44" s="937"/>
      <c r="E44" s="936" t="s">
        <v>219</v>
      </c>
      <c r="F44" s="937"/>
      <c r="G44" s="936" t="s">
        <v>220</v>
      </c>
      <c r="H44" s="937"/>
      <c r="I44" s="936" t="s">
        <v>221</v>
      </c>
      <c r="J44" s="937"/>
      <c r="K44" s="923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9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44228</v>
      </c>
      <c r="B46" s="19"/>
      <c r="C46" s="62">
        <v>215</v>
      </c>
      <c r="D46" s="325">
        <f t="shared" ref="D46:D77" si="45">C46*217/300</f>
        <v>155.51666666666668</v>
      </c>
      <c r="E46" s="6">
        <v>180</v>
      </c>
      <c r="F46" s="325">
        <f t="shared" ref="F46:F77" si="46">E46*92/305</f>
        <v>54.295081967213115</v>
      </c>
      <c r="G46" s="620">
        <v>300</v>
      </c>
      <c r="H46" s="325">
        <f t="shared" ref="H46:H77" si="47">G46*146/383</f>
        <v>114.36031331592689</v>
      </c>
      <c r="I46" s="6">
        <v>284</v>
      </c>
      <c r="J46" s="325">
        <f t="shared" ref="J46:J77" si="48">I46*213/308</f>
        <v>196.40259740259739</v>
      </c>
      <c r="K46" s="331">
        <f>D46+F46+H46+J46</f>
        <v>520.57465935240407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44229</v>
      </c>
      <c r="B47" s="19"/>
      <c r="C47" s="62">
        <v>300</v>
      </c>
      <c r="D47" s="325">
        <f t="shared" si="45"/>
        <v>217</v>
      </c>
      <c r="E47" s="6">
        <v>295</v>
      </c>
      <c r="F47" s="325">
        <f t="shared" si="46"/>
        <v>88.983606557377044</v>
      </c>
      <c r="G47" s="477">
        <v>295</v>
      </c>
      <c r="H47" s="325">
        <f t="shared" si="47"/>
        <v>112.45430809399478</v>
      </c>
      <c r="I47" s="6">
        <v>290</v>
      </c>
      <c r="J47" s="325">
        <f t="shared" si="48"/>
        <v>200.55194805194805</v>
      </c>
      <c r="K47" s="331">
        <f t="shared" ref="K47:K77" si="49">D47+F47+H47+J47</f>
        <v>618.98986270331989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44230</v>
      </c>
      <c r="B48" s="19"/>
      <c r="C48" s="62">
        <v>300</v>
      </c>
      <c r="D48" s="325">
        <f t="shared" si="45"/>
        <v>217</v>
      </c>
      <c r="E48" s="6">
        <v>270</v>
      </c>
      <c r="F48" s="325">
        <f t="shared" si="46"/>
        <v>81.442622950819668</v>
      </c>
      <c r="G48" s="477">
        <v>235</v>
      </c>
      <c r="H48" s="325">
        <f t="shared" si="47"/>
        <v>89.582245430809394</v>
      </c>
      <c r="I48" s="6">
        <v>293</v>
      </c>
      <c r="J48" s="325">
        <f t="shared" si="48"/>
        <v>202.62662337662337</v>
      </c>
      <c r="K48" s="331">
        <f t="shared" si="49"/>
        <v>590.6514917582524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44231</v>
      </c>
      <c r="B49" s="19"/>
      <c r="C49" s="62">
        <v>285</v>
      </c>
      <c r="D49" s="325">
        <f t="shared" si="45"/>
        <v>206.15</v>
      </c>
      <c r="E49" s="6">
        <v>275</v>
      </c>
      <c r="F49" s="325">
        <f t="shared" si="46"/>
        <v>82.950819672131146</v>
      </c>
      <c r="G49" s="477">
        <v>225</v>
      </c>
      <c r="H49" s="325">
        <f t="shared" si="47"/>
        <v>85.770234986945169</v>
      </c>
      <c r="I49" s="6">
        <v>285</v>
      </c>
      <c r="J49" s="325">
        <f t="shared" si="48"/>
        <v>197.09415584415584</v>
      </c>
      <c r="K49" s="331">
        <f t="shared" si="49"/>
        <v>571.96521050323213</v>
      </c>
    </row>
    <row r="50" spans="1:15" ht="13.5">
      <c r="A50" s="293">
        <f>Gen!A15</f>
        <v>44232</v>
      </c>
      <c r="B50" s="19"/>
      <c r="C50" s="62"/>
      <c r="D50" s="325">
        <f t="shared" si="45"/>
        <v>0</v>
      </c>
      <c r="E50" s="6"/>
      <c r="F50" s="325">
        <f t="shared" si="46"/>
        <v>0</v>
      </c>
      <c r="G50" s="477"/>
      <c r="H50" s="325">
        <f t="shared" si="47"/>
        <v>0</v>
      </c>
      <c r="I50" s="6"/>
      <c r="J50" s="325">
        <f t="shared" si="48"/>
        <v>0</v>
      </c>
      <c r="K50" s="331">
        <f t="shared" si="49"/>
        <v>0</v>
      </c>
    </row>
    <row r="51" spans="1:15" ht="13.5">
      <c r="A51" s="293">
        <f>Gen!A16</f>
        <v>44233</v>
      </c>
      <c r="B51" s="19"/>
      <c r="C51" s="62"/>
      <c r="D51" s="325">
        <f t="shared" si="45"/>
        <v>0</v>
      </c>
      <c r="E51" s="6"/>
      <c r="F51" s="325">
        <f t="shared" si="46"/>
        <v>0</v>
      </c>
      <c r="G51" s="477"/>
      <c r="H51" s="325">
        <f t="shared" si="47"/>
        <v>0</v>
      </c>
      <c r="I51" s="6"/>
      <c r="J51" s="325">
        <f t="shared" si="48"/>
        <v>0</v>
      </c>
      <c r="K51" s="331">
        <f t="shared" si="49"/>
        <v>0</v>
      </c>
    </row>
    <row r="52" spans="1:15" ht="13.5">
      <c r="A52" s="293">
        <f>Gen!A17</f>
        <v>44234</v>
      </c>
      <c r="B52" s="19"/>
      <c r="C52" s="62"/>
      <c r="D52" s="325">
        <f t="shared" si="45"/>
        <v>0</v>
      </c>
      <c r="E52" s="6"/>
      <c r="F52" s="325">
        <f t="shared" si="46"/>
        <v>0</v>
      </c>
      <c r="G52" s="477"/>
      <c r="H52" s="325">
        <f t="shared" si="47"/>
        <v>0</v>
      </c>
      <c r="I52" s="6"/>
      <c r="J52" s="325">
        <f t="shared" si="48"/>
        <v>0</v>
      </c>
      <c r="K52" s="331">
        <f t="shared" si="49"/>
        <v>0</v>
      </c>
    </row>
    <row r="53" spans="1:15" ht="13.5">
      <c r="A53" s="293">
        <f>Gen!A18</f>
        <v>44235</v>
      </c>
      <c r="B53" s="19"/>
      <c r="C53" s="62"/>
      <c r="D53" s="325">
        <f t="shared" si="45"/>
        <v>0</v>
      </c>
      <c r="E53" s="6"/>
      <c r="F53" s="325">
        <f t="shared" si="46"/>
        <v>0</v>
      </c>
      <c r="G53" s="477"/>
      <c r="H53" s="325">
        <f t="shared" si="47"/>
        <v>0</v>
      </c>
      <c r="I53" s="6"/>
      <c r="J53" s="325">
        <f t="shared" si="48"/>
        <v>0</v>
      </c>
      <c r="K53" s="331">
        <f t="shared" si="49"/>
        <v>0</v>
      </c>
    </row>
    <row r="54" spans="1:15" ht="13.5">
      <c r="A54" s="293">
        <f>Gen!A19</f>
        <v>44236</v>
      </c>
      <c r="B54" s="19"/>
      <c r="C54" s="62"/>
      <c r="D54" s="325">
        <f t="shared" si="45"/>
        <v>0</v>
      </c>
      <c r="E54" s="6"/>
      <c r="F54" s="325">
        <f t="shared" si="46"/>
        <v>0</v>
      </c>
      <c r="G54" s="477"/>
      <c r="H54" s="325">
        <f t="shared" si="47"/>
        <v>0</v>
      </c>
      <c r="I54" s="6"/>
      <c r="J54" s="325">
        <f t="shared" si="48"/>
        <v>0</v>
      </c>
      <c r="K54" s="331">
        <f t="shared" si="49"/>
        <v>0</v>
      </c>
    </row>
    <row r="55" spans="1:15" ht="13.5">
      <c r="A55" s="293">
        <f>Gen!A20</f>
        <v>44237</v>
      </c>
      <c r="B55" s="19"/>
      <c r="C55" s="62"/>
      <c r="D55" s="325">
        <f t="shared" si="45"/>
        <v>0</v>
      </c>
      <c r="E55" s="6"/>
      <c r="F55" s="325">
        <f t="shared" si="46"/>
        <v>0</v>
      </c>
      <c r="G55" s="477"/>
      <c r="H55" s="325">
        <f t="shared" si="47"/>
        <v>0</v>
      </c>
      <c r="I55" s="6"/>
      <c r="J55" s="325">
        <f>I56*213/308</f>
        <v>0</v>
      </c>
      <c r="K55" s="331">
        <f t="shared" si="49"/>
        <v>0</v>
      </c>
    </row>
    <row r="56" spans="1:15" ht="13.5">
      <c r="A56" s="293">
        <f>Gen!A21</f>
        <v>44238</v>
      </c>
      <c r="B56" s="19"/>
      <c r="C56" s="62"/>
      <c r="D56" s="325">
        <f t="shared" si="45"/>
        <v>0</v>
      </c>
      <c r="E56" s="6"/>
      <c r="F56" s="325">
        <f t="shared" si="46"/>
        <v>0</v>
      </c>
      <c r="G56" s="477"/>
      <c r="H56" s="325">
        <f t="shared" si="47"/>
        <v>0</v>
      </c>
      <c r="I56" s="6"/>
      <c r="J56" s="325">
        <f>I57*213/308</f>
        <v>0</v>
      </c>
      <c r="K56" s="331">
        <f t="shared" si="49"/>
        <v>0</v>
      </c>
    </row>
    <row r="57" spans="1:15" ht="13.5">
      <c r="A57" s="293">
        <f>Gen!A22</f>
        <v>44239</v>
      </c>
      <c r="B57" s="19"/>
      <c r="C57" s="62"/>
      <c r="D57" s="325">
        <f t="shared" si="45"/>
        <v>0</v>
      </c>
      <c r="E57" s="6"/>
      <c r="F57" s="325">
        <f t="shared" si="46"/>
        <v>0</v>
      </c>
      <c r="G57" s="477"/>
      <c r="H57" s="325">
        <f t="shared" si="47"/>
        <v>0</v>
      </c>
      <c r="I57" s="6"/>
      <c r="J57" s="325">
        <f t="shared" si="48"/>
        <v>0</v>
      </c>
      <c r="K57" s="331">
        <f t="shared" si="49"/>
        <v>0</v>
      </c>
    </row>
    <row r="58" spans="1:15" ht="13.5">
      <c r="A58" s="293">
        <f>Gen!A23</f>
        <v>44240</v>
      </c>
      <c r="B58" s="19"/>
      <c r="C58" s="62"/>
      <c r="D58" s="325">
        <f t="shared" si="45"/>
        <v>0</v>
      </c>
      <c r="E58" s="6"/>
      <c r="F58" s="325">
        <f t="shared" si="46"/>
        <v>0</v>
      </c>
      <c r="G58" s="477"/>
      <c r="H58" s="325">
        <f t="shared" si="47"/>
        <v>0</v>
      </c>
      <c r="I58" s="6"/>
      <c r="J58" s="325">
        <f t="shared" si="48"/>
        <v>0</v>
      </c>
      <c r="K58" s="331">
        <f t="shared" si="49"/>
        <v>0</v>
      </c>
    </row>
    <row r="59" spans="1:15" ht="13.5">
      <c r="A59" s="293">
        <f>Gen!A24</f>
        <v>44241</v>
      </c>
      <c r="B59" s="19"/>
      <c r="C59" s="62"/>
      <c r="D59" s="325">
        <f t="shared" si="45"/>
        <v>0</v>
      </c>
      <c r="E59" s="6"/>
      <c r="F59" s="325">
        <f t="shared" si="46"/>
        <v>0</v>
      </c>
      <c r="G59" s="477"/>
      <c r="H59" s="325">
        <f t="shared" si="47"/>
        <v>0</v>
      </c>
      <c r="I59" s="6"/>
      <c r="J59" s="325">
        <f t="shared" si="48"/>
        <v>0</v>
      </c>
      <c r="K59" s="331">
        <f t="shared" si="49"/>
        <v>0</v>
      </c>
    </row>
    <row r="60" spans="1:15" ht="13.5">
      <c r="A60" s="293">
        <f>Gen!A25</f>
        <v>44242</v>
      </c>
      <c r="B60" s="19"/>
      <c r="C60" s="62"/>
      <c r="D60" s="325">
        <f t="shared" si="45"/>
        <v>0</v>
      </c>
      <c r="E60" s="6"/>
      <c r="F60" s="325">
        <f t="shared" si="46"/>
        <v>0</v>
      </c>
      <c r="G60" s="477"/>
      <c r="H60" s="325">
        <f t="shared" si="47"/>
        <v>0</v>
      </c>
      <c r="I60" s="6"/>
      <c r="J60" s="325">
        <f t="shared" si="48"/>
        <v>0</v>
      </c>
      <c r="K60" s="331">
        <f t="shared" si="49"/>
        <v>0</v>
      </c>
      <c r="L60" t="s">
        <v>249</v>
      </c>
      <c r="O60" t="s">
        <v>250</v>
      </c>
    </row>
    <row r="61" spans="1:15" ht="13.5">
      <c r="A61" s="293">
        <f>Gen!A26</f>
        <v>44243</v>
      </c>
      <c r="B61" s="19"/>
      <c r="C61" s="62"/>
      <c r="D61" s="325">
        <f t="shared" si="45"/>
        <v>0</v>
      </c>
      <c r="E61" s="6"/>
      <c r="F61" s="325">
        <f t="shared" si="46"/>
        <v>0</v>
      </c>
      <c r="G61" s="477"/>
      <c r="H61" s="325">
        <f t="shared" si="47"/>
        <v>0</v>
      </c>
      <c r="I61" s="6"/>
      <c r="J61" s="325">
        <f t="shared" si="48"/>
        <v>0</v>
      </c>
      <c r="K61" s="331">
        <f t="shared" si="49"/>
        <v>0</v>
      </c>
      <c r="L61" t="s">
        <v>252</v>
      </c>
      <c r="N61" t="s">
        <v>251</v>
      </c>
    </row>
    <row r="62" spans="1:15" ht="13.5">
      <c r="A62" s="293">
        <f>Gen!A27</f>
        <v>44244</v>
      </c>
      <c r="B62" s="19"/>
      <c r="C62" s="62"/>
      <c r="D62" s="325">
        <f t="shared" si="45"/>
        <v>0</v>
      </c>
      <c r="E62" s="6"/>
      <c r="F62" s="325">
        <f t="shared" si="46"/>
        <v>0</v>
      </c>
      <c r="G62" s="477"/>
      <c r="H62" s="325">
        <f t="shared" si="47"/>
        <v>0</v>
      </c>
      <c r="I62" s="6"/>
      <c r="J62" s="325">
        <f t="shared" si="48"/>
        <v>0</v>
      </c>
      <c r="K62" s="331">
        <f t="shared" si="49"/>
        <v>0</v>
      </c>
    </row>
    <row r="63" spans="1:15" ht="13.5">
      <c r="A63" s="293">
        <f>Gen!A28</f>
        <v>44245</v>
      </c>
      <c r="B63" s="19"/>
      <c r="C63" s="62"/>
      <c r="D63" s="325">
        <f t="shared" si="45"/>
        <v>0</v>
      </c>
      <c r="E63" s="6"/>
      <c r="F63" s="325">
        <f t="shared" si="46"/>
        <v>0</v>
      </c>
      <c r="G63" s="477"/>
      <c r="H63" s="325">
        <f t="shared" si="47"/>
        <v>0</v>
      </c>
      <c r="I63" s="6"/>
      <c r="J63" s="325">
        <f t="shared" si="48"/>
        <v>0</v>
      </c>
      <c r="K63" s="331">
        <f t="shared" si="49"/>
        <v>0</v>
      </c>
    </row>
    <row r="64" spans="1:15" ht="13.5">
      <c r="A64" s="293">
        <f>Gen!A29</f>
        <v>44246</v>
      </c>
      <c r="B64" s="19"/>
      <c r="C64" s="62"/>
      <c r="D64" s="325">
        <f t="shared" si="45"/>
        <v>0</v>
      </c>
      <c r="E64" s="6"/>
      <c r="F64" s="325">
        <f t="shared" si="46"/>
        <v>0</v>
      </c>
      <c r="G64" s="477"/>
      <c r="H64" s="325">
        <f t="shared" si="47"/>
        <v>0</v>
      </c>
      <c r="I64" s="6"/>
      <c r="J64" s="325">
        <f t="shared" si="48"/>
        <v>0</v>
      </c>
      <c r="K64" s="331">
        <f t="shared" si="49"/>
        <v>0</v>
      </c>
    </row>
    <row r="65" spans="1:11" ht="13.5">
      <c r="A65" s="293">
        <f>Gen!A30</f>
        <v>44247</v>
      </c>
      <c r="B65" s="19"/>
      <c r="C65" s="62"/>
      <c r="D65" s="325">
        <f t="shared" si="45"/>
        <v>0</v>
      </c>
      <c r="E65" s="6"/>
      <c r="F65" s="325">
        <f t="shared" si="46"/>
        <v>0</v>
      </c>
      <c r="G65" s="477"/>
      <c r="H65" s="325">
        <f t="shared" si="47"/>
        <v>0</v>
      </c>
      <c r="I65" s="6"/>
      <c r="J65" s="325">
        <f t="shared" si="48"/>
        <v>0</v>
      </c>
      <c r="K65" s="331">
        <f t="shared" si="49"/>
        <v>0</v>
      </c>
    </row>
    <row r="66" spans="1:11" ht="13.5">
      <c r="A66" s="293">
        <f>Gen!A31</f>
        <v>44248</v>
      </c>
      <c r="B66" s="19"/>
      <c r="C66" s="62"/>
      <c r="D66" s="325">
        <f t="shared" si="45"/>
        <v>0</v>
      </c>
      <c r="E66" s="6"/>
      <c r="F66" s="325">
        <f t="shared" si="46"/>
        <v>0</v>
      </c>
      <c r="G66" s="477"/>
      <c r="H66" s="325">
        <f t="shared" si="47"/>
        <v>0</v>
      </c>
      <c r="I66" s="6"/>
      <c r="J66" s="325">
        <f t="shared" si="48"/>
        <v>0</v>
      </c>
      <c r="K66" s="331">
        <f t="shared" si="49"/>
        <v>0</v>
      </c>
    </row>
    <row r="67" spans="1:11" ht="13.5">
      <c r="A67" s="293">
        <f>Gen!A32</f>
        <v>44249</v>
      </c>
      <c r="B67" s="19"/>
      <c r="C67" s="62"/>
      <c r="D67" s="325">
        <f t="shared" si="45"/>
        <v>0</v>
      </c>
      <c r="E67" s="6"/>
      <c r="F67" s="325">
        <f t="shared" si="46"/>
        <v>0</v>
      </c>
      <c r="G67" s="477"/>
      <c r="H67" s="325">
        <f t="shared" si="47"/>
        <v>0</v>
      </c>
      <c r="I67" s="6"/>
      <c r="J67" s="325">
        <f t="shared" si="48"/>
        <v>0</v>
      </c>
      <c r="K67" s="331">
        <f t="shared" si="49"/>
        <v>0</v>
      </c>
    </row>
    <row r="68" spans="1:11" ht="13.5">
      <c r="A68" s="293">
        <f>Gen!A33</f>
        <v>44250</v>
      </c>
      <c r="B68" s="19"/>
      <c r="C68" s="62"/>
      <c r="D68" s="325">
        <f t="shared" si="45"/>
        <v>0</v>
      </c>
      <c r="E68" s="6"/>
      <c r="F68" s="325">
        <f t="shared" si="46"/>
        <v>0</v>
      </c>
      <c r="G68" s="477"/>
      <c r="H68" s="325">
        <f t="shared" si="47"/>
        <v>0</v>
      </c>
      <c r="I68" s="6"/>
      <c r="J68" s="325">
        <f t="shared" si="48"/>
        <v>0</v>
      </c>
      <c r="K68" s="331">
        <f t="shared" si="49"/>
        <v>0</v>
      </c>
    </row>
    <row r="69" spans="1:11" ht="13.5">
      <c r="A69" s="293">
        <f>Gen!A34</f>
        <v>44251</v>
      </c>
      <c r="B69" s="19"/>
      <c r="C69" s="62"/>
      <c r="D69" s="325">
        <f t="shared" si="45"/>
        <v>0</v>
      </c>
      <c r="E69" s="6"/>
      <c r="F69" s="325">
        <f t="shared" si="46"/>
        <v>0</v>
      </c>
      <c r="G69" s="477"/>
      <c r="H69" s="325">
        <f t="shared" si="47"/>
        <v>0</v>
      </c>
      <c r="I69" s="6"/>
      <c r="J69" s="325">
        <f t="shared" si="48"/>
        <v>0</v>
      </c>
      <c r="K69" s="331">
        <f t="shared" si="49"/>
        <v>0</v>
      </c>
    </row>
    <row r="70" spans="1:11" ht="13.5">
      <c r="A70" s="293">
        <f>Gen!A35</f>
        <v>44252</v>
      </c>
      <c r="B70" s="19"/>
      <c r="C70" s="62"/>
      <c r="D70" s="325">
        <f t="shared" si="45"/>
        <v>0</v>
      </c>
      <c r="E70" s="6"/>
      <c r="F70" s="325">
        <f t="shared" si="46"/>
        <v>0</v>
      </c>
      <c r="G70" s="477"/>
      <c r="H70" s="325">
        <f t="shared" si="47"/>
        <v>0</v>
      </c>
      <c r="I70" s="6"/>
      <c r="J70" s="325">
        <f t="shared" si="48"/>
        <v>0</v>
      </c>
      <c r="K70" s="331">
        <f t="shared" si="49"/>
        <v>0</v>
      </c>
    </row>
    <row r="71" spans="1:11" ht="13.5">
      <c r="A71" s="293">
        <f>Gen!A36</f>
        <v>44253</v>
      </c>
      <c r="B71" s="19"/>
      <c r="C71" s="62"/>
      <c r="D71" s="325">
        <f t="shared" si="45"/>
        <v>0</v>
      </c>
      <c r="E71" s="6"/>
      <c r="F71" s="325">
        <f t="shared" si="46"/>
        <v>0</v>
      </c>
      <c r="G71" s="477"/>
      <c r="H71" s="325">
        <f t="shared" si="47"/>
        <v>0</v>
      </c>
      <c r="I71" s="6"/>
      <c r="J71" s="325">
        <f t="shared" si="48"/>
        <v>0</v>
      </c>
      <c r="K71" s="331">
        <f t="shared" si="49"/>
        <v>0</v>
      </c>
    </row>
    <row r="72" spans="1:11" ht="13.5">
      <c r="A72" s="293">
        <f>Gen!A37</f>
        <v>44254</v>
      </c>
      <c r="B72" s="19"/>
      <c r="C72" s="62"/>
      <c r="D72" s="325">
        <f t="shared" si="45"/>
        <v>0</v>
      </c>
      <c r="E72" s="6"/>
      <c r="F72" s="325">
        <f t="shared" si="46"/>
        <v>0</v>
      </c>
      <c r="G72" s="477"/>
      <c r="H72" s="325">
        <f t="shared" si="47"/>
        <v>0</v>
      </c>
      <c r="I72" s="6"/>
      <c r="J72" s="325">
        <f t="shared" si="48"/>
        <v>0</v>
      </c>
      <c r="K72" s="331">
        <f t="shared" si="49"/>
        <v>0</v>
      </c>
    </row>
    <row r="73" spans="1:11" ht="13.5">
      <c r="A73" s="293">
        <f>Gen!A38</f>
        <v>44255</v>
      </c>
      <c r="B73" s="19"/>
      <c r="C73" s="62"/>
      <c r="D73" s="325">
        <f t="shared" si="45"/>
        <v>0</v>
      </c>
      <c r="E73" s="6"/>
      <c r="F73" s="325">
        <f t="shared" si="46"/>
        <v>0</v>
      </c>
      <c r="G73" s="477"/>
      <c r="H73" s="325">
        <f t="shared" si="47"/>
        <v>0</v>
      </c>
      <c r="I73" s="6"/>
      <c r="J73" s="325">
        <f t="shared" si="48"/>
        <v>0</v>
      </c>
      <c r="K73" s="331">
        <f t="shared" si="49"/>
        <v>0</v>
      </c>
    </row>
    <row r="74" spans="1:11" ht="13.5">
      <c r="A74" s="293">
        <f>Gen!A39</f>
        <v>0</v>
      </c>
      <c r="B74" s="19"/>
      <c r="C74" s="62"/>
      <c r="D74" s="325">
        <f t="shared" si="45"/>
        <v>0</v>
      </c>
      <c r="E74" s="6"/>
      <c r="F74" s="325">
        <f t="shared" si="46"/>
        <v>0</v>
      </c>
      <c r="G74" s="477"/>
      <c r="H74" s="325">
        <f t="shared" si="47"/>
        <v>0</v>
      </c>
      <c r="I74" s="6"/>
      <c r="J74" s="325">
        <f t="shared" si="48"/>
        <v>0</v>
      </c>
      <c r="K74" s="331">
        <f t="shared" si="49"/>
        <v>0</v>
      </c>
    </row>
    <row r="75" spans="1:11" ht="14.25" thickBot="1">
      <c r="A75" s="293">
        <f>Gen!A40</f>
        <v>0</v>
      </c>
      <c r="B75" s="251"/>
      <c r="C75" s="62"/>
      <c r="D75" s="325">
        <f t="shared" si="45"/>
        <v>0</v>
      </c>
      <c r="E75" s="6"/>
      <c r="F75" s="325">
        <f t="shared" si="46"/>
        <v>0</v>
      </c>
      <c r="G75" s="477"/>
      <c r="H75" s="325">
        <f t="shared" si="47"/>
        <v>0</v>
      </c>
      <c r="I75" s="6"/>
      <c r="J75" s="325">
        <f t="shared" si="48"/>
        <v>0</v>
      </c>
      <c r="K75" s="331">
        <f t="shared" si="49"/>
        <v>0</v>
      </c>
    </row>
    <row r="76" spans="1:11" ht="13.5">
      <c r="A76" s="293">
        <f>Gen!A41</f>
        <v>0</v>
      </c>
      <c r="C76" s="62"/>
      <c r="D76" s="325">
        <f t="shared" si="45"/>
        <v>0</v>
      </c>
      <c r="E76" s="6"/>
      <c r="F76" s="325">
        <f t="shared" si="46"/>
        <v>0</v>
      </c>
      <c r="G76" s="477"/>
      <c r="H76" s="325">
        <f t="shared" si="47"/>
        <v>0</v>
      </c>
      <c r="I76" s="6"/>
      <c r="J76" s="325">
        <f t="shared" si="48"/>
        <v>0</v>
      </c>
      <c r="K76" s="331">
        <f t="shared" si="49"/>
        <v>0</v>
      </c>
    </row>
    <row r="77" spans="1:11" ht="14.25" thickBot="1">
      <c r="A77" s="293">
        <f>Gen!A42</f>
        <v>0</v>
      </c>
      <c r="C77" s="62"/>
      <c r="D77" s="325">
        <f t="shared" si="45"/>
        <v>0</v>
      </c>
      <c r="E77" s="6"/>
      <c r="F77" s="325">
        <f t="shared" si="46"/>
        <v>0</v>
      </c>
      <c r="G77" s="477"/>
      <c r="H77" s="325">
        <f t="shared" si="47"/>
        <v>0</v>
      </c>
      <c r="I77" s="6"/>
      <c r="J77" s="325">
        <f t="shared" si="48"/>
        <v>0</v>
      </c>
      <c r="K77" s="332">
        <f t="shared" si="49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44228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44229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44230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44231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44232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44233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44234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44235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44236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44237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44238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44239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44240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44241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44242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44243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44244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44245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44246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44247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44248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44249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44250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44251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44252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44253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44254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44255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0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0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8" t="s">
        <v>316</v>
      </c>
      <c r="B2" s="939"/>
      <c r="C2" s="939"/>
      <c r="D2" s="939"/>
      <c r="E2" s="94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44228</v>
      </c>
      <c r="B5" s="82">
        <v>0</v>
      </c>
      <c r="C5" s="87">
        <f>Gen!B11</f>
        <v>9.0999999999999998E-2</v>
      </c>
      <c r="D5" s="434">
        <f>SUM(77*C5)</f>
        <v>7.0069999999999997</v>
      </c>
      <c r="E5" s="74"/>
      <c r="F5" s="70">
        <f>Gen!U11</f>
        <v>0.41609084652443218</v>
      </c>
      <c r="G5" s="85">
        <f>Gen!T11</f>
        <v>2906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58</v>
      </c>
      <c r="L5" s="447">
        <f>'Lpg (2)'!G10</f>
        <v>74734.36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3.7348484848484849</v>
      </c>
      <c r="U5" s="122">
        <f>SUM(L5*1963)/X5</f>
        <v>92615.876691919198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44229</v>
      </c>
      <c r="B6" s="82">
        <v>0</v>
      </c>
      <c r="C6" s="87">
        <f>Gen!B12</f>
        <v>6.5000000000000002E-2</v>
      </c>
      <c r="D6" s="434">
        <f t="shared" ref="D6:D35" si="2">SUM(77*C6)</f>
        <v>5.0049999999999999</v>
      </c>
      <c r="E6" s="74"/>
      <c r="F6" s="70">
        <f>Gen!U12</f>
        <v>0.41187785187785192</v>
      </c>
      <c r="G6" s="85">
        <f>Gen!T12</f>
        <v>2849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74755.839999999997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92642.49616161616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44230</v>
      </c>
      <c r="B7" s="82">
        <v>0</v>
      </c>
      <c r="C7" s="87">
        <f>Gen!B13</f>
        <v>3.9E-2</v>
      </c>
      <c r="D7" s="434">
        <f t="shared" si="2"/>
        <v>3.0030000000000001</v>
      </c>
      <c r="E7" s="74"/>
      <c r="F7" s="70">
        <f>Gen!U13</f>
        <v>0.42344747979992303</v>
      </c>
      <c r="G7" s="85">
        <f>Gen!T13</f>
        <v>2599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46</v>
      </c>
      <c r="L7" s="447">
        <f>'Lpg (2)'!G12</f>
        <v>0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2.9621212121212119</v>
      </c>
      <c r="U7" s="122">
        <f t="shared" si="6"/>
        <v>0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44231</v>
      </c>
      <c r="B8" s="82">
        <v>0</v>
      </c>
      <c r="C8" s="87">
        <f>Gen!B14</f>
        <v>0</v>
      </c>
      <c r="D8" s="434">
        <f t="shared" si="2"/>
        <v>0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 t="str">
        <f>'Water-Meter'!E9</f>
        <v>0</v>
      </c>
      <c r="L8" s="447">
        <f>'Lpg (2)'!G13</f>
        <v>0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0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44232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44233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44234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44235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44236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44237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44238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44239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44240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44241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44242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44243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44244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44245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44246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44247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44248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44249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44250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44251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44252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44253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44254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44255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0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0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160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2">
        <v>8470098</v>
      </c>
      <c r="D36" s="392">
        <f t="shared" si="1"/>
        <v>15727</v>
      </c>
      <c r="E36" s="792">
        <v>15726.66</v>
      </c>
      <c r="F36" s="488">
        <f t="shared" si="2"/>
        <v>0.34000000000014552</v>
      </c>
      <c r="G36" s="489">
        <f t="shared" si="3"/>
        <v>270861</v>
      </c>
      <c r="H36" s="792">
        <v>271447</v>
      </c>
      <c r="I36" s="269">
        <f t="shared" si="4"/>
        <v>586</v>
      </c>
      <c r="J36" s="792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44228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44228</v>
      </c>
      <c r="B5" s="399">
        <f>Gen!B11</f>
        <v>9.0999999999999998E-2</v>
      </c>
      <c r="C5" s="443">
        <f>Gen!AJ11</f>
        <v>97.65</v>
      </c>
      <c r="D5" s="444">
        <f>Gen!S11</f>
        <v>1209.1599999999999</v>
      </c>
      <c r="E5" s="395">
        <f>Gen!C11</f>
        <v>35132.06</v>
      </c>
      <c r="F5" s="396">
        <f>'Water-Meter'!E6</f>
        <v>58</v>
      </c>
      <c r="G5" s="397">
        <f>'Water-Meter'!AN6</f>
        <v>207</v>
      </c>
      <c r="H5" s="395">
        <f>'Utility report '!AC6</f>
        <v>49</v>
      </c>
      <c r="I5" s="394">
        <f>'Kit report'!F4</f>
        <v>252.00000000004366</v>
      </c>
      <c r="J5" s="395">
        <f>'Kit report'!X4</f>
        <v>320.00000000007276</v>
      </c>
    </row>
    <row r="6" spans="1:10" ht="17.100000000000001" customHeight="1" thickBot="1">
      <c r="A6" s="217">
        <f>Gen!A12</f>
        <v>44229</v>
      </c>
      <c r="B6" s="399">
        <f>Gen!B12</f>
        <v>6.5000000000000002E-2</v>
      </c>
      <c r="C6" s="443">
        <f>Gen!AJ12</f>
        <v>0</v>
      </c>
      <c r="D6" s="444">
        <f>Gen!S12</f>
        <v>1173.44</v>
      </c>
      <c r="E6" s="395">
        <f>Gen!C12</f>
        <v>48625.25</v>
      </c>
      <c r="F6" s="396">
        <f>'Water-Meter'!E7</f>
        <v>56</v>
      </c>
      <c r="G6" s="397">
        <f>'Water-Meter'!AN7</f>
        <v>133</v>
      </c>
      <c r="H6" s="395">
        <f>'Utility report '!AC7</f>
        <v>26</v>
      </c>
      <c r="I6" s="394">
        <f>'Kit report'!F5</f>
        <v>227.99999999995634</v>
      </c>
      <c r="J6" s="395">
        <f>'Kit report'!X5</f>
        <v>360.00000000003638</v>
      </c>
    </row>
    <row r="7" spans="1:10" ht="17.100000000000001" customHeight="1" thickBot="1">
      <c r="A7" s="217">
        <f>Gen!A13</f>
        <v>44230</v>
      </c>
      <c r="B7" s="399">
        <f>Gen!B13</f>
        <v>3.9E-2</v>
      </c>
      <c r="C7" s="443">
        <f>Gen!AJ13</f>
        <v>77.569999999999993</v>
      </c>
      <c r="D7" s="444">
        <f>Gen!S13</f>
        <v>1100.54</v>
      </c>
      <c r="E7" s="395">
        <f>Gen!C13</f>
        <v>47451.81</v>
      </c>
      <c r="F7" s="396">
        <f>'Water-Meter'!E8</f>
        <v>46</v>
      </c>
      <c r="G7" s="397">
        <f>'Water-Meter'!AN8</f>
        <v>92</v>
      </c>
      <c r="H7" s="395">
        <f>'Utility report '!AC8</f>
        <v>49</v>
      </c>
      <c r="I7" s="394">
        <f>'Kit report'!F6</f>
        <v>252.00000000004366</v>
      </c>
      <c r="J7" s="395">
        <f>'Kit report'!X6</f>
        <v>219.99999999989086</v>
      </c>
    </row>
    <row r="8" spans="1:10" ht="17.100000000000001" customHeight="1" thickBot="1">
      <c r="A8" s="217">
        <f>Gen!A14</f>
        <v>44231</v>
      </c>
      <c r="B8" s="399">
        <f>Gen!B14</f>
        <v>0</v>
      </c>
      <c r="C8" s="443">
        <f>Gen!AJ14</f>
        <v>0</v>
      </c>
      <c r="D8" s="444">
        <f>Gen!S14</f>
        <v>0</v>
      </c>
      <c r="E8" s="395">
        <f>Gen!C14</f>
        <v>46273.7</v>
      </c>
      <c r="F8" s="396" t="str">
        <f>'Water-Meter'!E9</f>
        <v>0</v>
      </c>
      <c r="G8" s="397">
        <f>'Water-Meter'!AN9</f>
        <v>0</v>
      </c>
      <c r="H8" s="395">
        <f>'Utility report '!AC9</f>
        <v>-45959</v>
      </c>
      <c r="I8" s="394">
        <f>'Kit report'!F7</f>
        <v>-1090068</v>
      </c>
      <c r="J8" s="395">
        <f>'Kit report'!X7</f>
        <v>-1598340</v>
      </c>
    </row>
    <row r="9" spans="1:10" ht="17.100000000000001" customHeight="1" thickBot="1">
      <c r="A9" s="217">
        <f>Gen!A15</f>
        <v>44232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46273.7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44233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46273.7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44234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46273.7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44235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46273.7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44236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46273.7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44237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46273.7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44238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46273.7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44239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46273.7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44240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46273.7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44241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46273.7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44242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46273.7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44243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46273.7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44244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46273.7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44245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46273.7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44246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46273.7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44247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46273.7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44248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46273.7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44249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46273.7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44250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46273.7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44251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46273.7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44252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46273.7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44253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46273.7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44254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46273.7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44255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46273.7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0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46273.7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0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46273.7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46273.7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46273.7</v>
      </c>
      <c r="F36" s="396">
        <f>'Water-Meter'!E37</f>
        <v>0</v>
      </c>
      <c r="G36" s="397">
        <f>'Water-Meter'!AN37</f>
        <v>82</v>
      </c>
      <c r="H36" s="395">
        <f>'Utility report '!AC37</f>
        <v>0</v>
      </c>
      <c r="I36" s="394">
        <f>'Kit report'!F35</f>
        <v>732.00000000004366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2021-02-04T11:31:58Z</dcterms:modified>
</cp:coreProperties>
</file>