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I3" i="5"/>
  <c r="I4" i="5"/>
  <c r="I5" i="5"/>
  <c r="I6" i="5"/>
  <c r="I4" i="10"/>
  <c r="J4" i="9" l="1"/>
  <c r="H4" i="8"/>
  <c r="I2" i="5" s="1"/>
  <c r="E2" i="5" l="1"/>
  <c r="E3" i="5"/>
  <c r="B32" i="5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30" i="8" l="1"/>
  <c r="H31" i="8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H5" i="10"/>
  <c r="H6" i="10"/>
  <c r="H7" i="10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J12" i="9" l="1"/>
  <c r="I7" i="10"/>
  <c r="E5" i="5" s="1"/>
  <c r="J30" i="9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<sst xmlns="http://schemas.openxmlformats.org/spreadsheetml/2006/main" count="76" uniqueCount="40">
  <si>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</si>
  <si>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</si>
  <si>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</si>
  <si>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</si>
  <si>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</si>
  <si>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</si>
  <si>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</si>
  <si>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</si>
  <si>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</si>
  <si>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</si>
  <si>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</si>
  <si>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</si>
  <si>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</si>
  <si>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</si>
  <si>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</si>
  <si>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</si>
  <si>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</si>
  <si>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</si>
  <si>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</si>
  <si>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</si>
  <si>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</si>
  <si>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</si>
  <si>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</si>
  <si>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</si>
  <si>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</si>
  <si>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</si>
  <si>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</si>
  <si>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</si>
  <si>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</si>
  <si>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</si>
  <si>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</si>
  <si>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</si>
  <si>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</si>
  <si>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</si>
  <si>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</si>
  <si>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</si>
  <si>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</si>
  <si>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DEC.2022</t>
  </si>
  <si>
    <t>NATURAL GAS CONSUMPTION , DEC.2022</t>
  </si>
  <si>
    <t>WATER CONSUMPTION , DEC.2022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</si>
</sst>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9" sqref="A9:XFD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1.2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1.2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1.2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1.2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1.2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1.2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1.2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</v>
      </c>
      <c r="D10" s="12">
        <v>2022</v>
      </c>
      <c r="E10" s="13">
        <f>Electricity!I12</f>
        <v>-13203743.4</v>
      </c>
      <c r="F10" s="3">
        <v>1.2</v>
      </c>
      <c r="G10" s="13">
        <f>Gas!J12</f>
        <v>-1176540.4133199998</v>
      </c>
      <c r="H10" s="3">
        <v>1.69</v>
      </c>
      <c r="I10" s="13">
        <f>Water!H12</f>
        <v>-11524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</v>
      </c>
      <c r="D11" s="12">
        <v>2022</v>
      </c>
      <c r="E11" s="13">
        <f>Electricity!I13</f>
        <v>0</v>
      </c>
      <c r="F11" s="3">
        <v>1.2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</v>
      </c>
      <c r="D12" s="12">
        <v>2022</v>
      </c>
      <c r="E12" s="13">
        <f>Electricity!I14</f>
        <v>0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</v>
      </c>
      <c r="D13" s="12">
        <v>2022</v>
      </c>
      <c r="E13" s="13">
        <f>Electricity!I15</f>
        <v>0</v>
      </c>
      <c r="F13" s="3">
        <v>1.2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</v>
      </c>
      <c r="D14" s="12">
        <v>2022</v>
      </c>
      <c r="E14" s="13">
        <f>Electricity!I16</f>
        <v>0</v>
      </c>
      <c r="F14" s="3">
        <v>1.2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</v>
      </c>
      <c r="D15" s="12">
        <v>2022</v>
      </c>
      <c r="E15" s="13">
        <f>Electricity!I17</f>
        <v>0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</v>
      </c>
      <c r="D16" s="12">
        <v>2022</v>
      </c>
      <c r="E16" s="13">
        <f>Electricity!I18</f>
        <v>0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</v>
      </c>
      <c r="D17" s="12">
        <v>2022</v>
      </c>
      <c r="E17" s="13">
        <f>Electricity!I19</f>
        <v>0</v>
      </c>
      <c r="F17" s="3">
        <v>1.2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</v>
      </c>
      <c r="D18" s="12">
        <v>2022</v>
      </c>
      <c r="E18" s="13">
        <f>Electricity!I20</f>
        <v>0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</v>
      </c>
      <c r="D19" s="12">
        <v>2022</v>
      </c>
      <c r="E19" s="13">
        <f>Electricity!I21</f>
        <v>0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</v>
      </c>
      <c r="D20" s="12">
        <v>2022</v>
      </c>
      <c r="E20" s="13">
        <f>Electricity!I22</f>
        <v>0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</v>
      </c>
      <c r="D21" s="12">
        <v>2022</v>
      </c>
      <c r="E21" s="13">
        <f>Electricity!I23</f>
        <v>0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</v>
      </c>
      <c r="D22" s="12">
        <v>2022</v>
      </c>
      <c r="E22" s="13">
        <f>Electricity!I24</f>
        <v>0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</v>
      </c>
      <c r="D23" s="12">
        <v>2022</v>
      </c>
      <c r="E23" s="13">
        <f>Electricity!I25</f>
        <v>0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</v>
      </c>
      <c r="D24" s="12">
        <v>2022</v>
      </c>
      <c r="E24" s="13">
        <f>Electricity!I26</f>
        <v>0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</v>
      </c>
      <c r="D25" s="12">
        <v>2022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</v>
      </c>
      <c r="D26" s="12">
        <v>2022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</v>
      </c>
      <c r="D27" s="12">
        <v>2022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</v>
      </c>
      <c r="D28" s="12">
        <v>2022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</v>
      </c>
      <c r="D29" s="12">
        <v>2022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</v>
      </c>
      <c r="D30" s="12">
        <v>2022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</v>
      </c>
      <c r="D31" s="12">
        <v>2022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</v>
      </c>
      <c r="D32" s="12">
        <v>2022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3" sqref="E1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2" t="s">
        <v>39</v>
      </c>
      <c r="E1" s="112"/>
      <c r="F1" s="112"/>
      <c r="G1" s="112"/>
      <c r="H1" s="112"/>
      <c r="I1" s="112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44570</v>
      </c>
      <c r="E12" s="24"/>
      <c r="F12" s="24">
        <v>1065</v>
      </c>
      <c r="G12" s="24">
        <f t="shared" si="0"/>
        <v>1065</v>
      </c>
      <c r="H12" s="25">
        <f t="shared" si="1"/>
        <v>-11524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44571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44572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44573</v>
      </c>
      <c r="E15" s="110"/>
      <c r="F15" s="24">
        <v>1065</v>
      </c>
      <c r="G15" s="24">
        <f t="shared" si="0"/>
        <v>1065</v>
      </c>
      <c r="H15" s="25">
        <f t="shared" si="1"/>
        <v>0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44574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44575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44576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44577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44578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44579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44580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44581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44582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44583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44584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44585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44586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44587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44588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44589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44590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44591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44592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12" sqref="F1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2" t="s">
        <v>38</v>
      </c>
      <c r="E1" s="112"/>
      <c r="F1" s="112"/>
      <c r="G1" s="112"/>
      <c r="H1" s="112"/>
      <c r="I1" s="112"/>
      <c r="J1" s="112"/>
      <c r="K1" s="112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44570</v>
      </c>
      <c r="E12" s="24"/>
      <c r="F12" s="24"/>
      <c r="G12" s="24">
        <f t="shared" si="0"/>
        <v>0</v>
      </c>
      <c r="H12" s="18">
        <v>1.2611239999999999</v>
      </c>
      <c r="I12" s="24">
        <f t="shared" si="1"/>
        <v>0</v>
      </c>
      <c r="J12" s="25">
        <f t="shared" si="2"/>
        <v>-1176540.4133199998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44571</v>
      </c>
      <c r="E13" s="24"/>
      <c r="F13" s="24"/>
      <c r="G13" s="24">
        <f t="shared" si="0"/>
        <v>0</v>
      </c>
      <c r="H13" s="18">
        <v>1.2611239999999999</v>
      </c>
      <c r="I13" s="24">
        <f t="shared" si="1"/>
        <v>0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44572</v>
      </c>
      <c r="E14" s="24"/>
      <c r="F14" s="24"/>
      <c r="G14" s="24">
        <f t="shared" si="0"/>
        <v>0</v>
      </c>
      <c r="H14" s="18">
        <v>1.2611239999999999</v>
      </c>
      <c r="I14" s="24">
        <f t="shared" si="1"/>
        <v>0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44573</v>
      </c>
      <c r="E15" s="24"/>
      <c r="F15" s="24"/>
      <c r="G15" s="24">
        <f t="shared" si="0"/>
        <v>0</v>
      </c>
      <c r="H15" s="18">
        <v>1.2611239999999999</v>
      </c>
      <c r="I15" s="24">
        <f t="shared" si="1"/>
        <v>0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44574</v>
      </c>
      <c r="E16" s="24"/>
      <c r="F16" s="24"/>
      <c r="G16" s="24">
        <f t="shared" si="0"/>
        <v>0</v>
      </c>
      <c r="H16" s="18">
        <v>1.2611239999999999</v>
      </c>
      <c r="I16" s="24">
        <f t="shared" si="1"/>
        <v>0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44575</v>
      </c>
      <c r="E17" s="24"/>
      <c r="F17" s="24"/>
      <c r="G17" s="24">
        <f t="shared" si="0"/>
        <v>0</v>
      </c>
      <c r="H17" s="18">
        <v>1.2611239999999999</v>
      </c>
      <c r="I17" s="24">
        <f t="shared" si="1"/>
        <v>0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44576</v>
      </c>
      <c r="E18" s="24"/>
      <c r="F18" s="24"/>
      <c r="G18" s="24">
        <f t="shared" si="0"/>
        <v>0</v>
      </c>
      <c r="H18" s="18">
        <v>1.2611239999999999</v>
      </c>
      <c r="I18" s="24">
        <f t="shared" si="1"/>
        <v>0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44577</v>
      </c>
      <c r="E19" s="24"/>
      <c r="F19" s="24"/>
      <c r="G19" s="24">
        <f t="shared" si="0"/>
        <v>0</v>
      </c>
      <c r="H19" s="18">
        <v>1.2611239999999999</v>
      </c>
      <c r="I19" s="24">
        <f t="shared" si="1"/>
        <v>0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44578</v>
      </c>
      <c r="E20" s="24"/>
      <c r="F20" s="24"/>
      <c r="G20" s="24">
        <f t="shared" si="0"/>
        <v>0</v>
      </c>
      <c r="H20" s="18">
        <v>1.2611239999999999</v>
      </c>
      <c r="I20" s="24">
        <f t="shared" si="1"/>
        <v>0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44579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44580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44581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44582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44583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44584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44585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44586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44587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44588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44589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44590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44591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44592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</v>
      </c>
      <c r="M37" s="17">
        <f>+(L37*31)</f>
        <v>0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2" workbookViewId="0">
      <selection activeCell="F19" sqref="F19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2" t="s">
        <v>37</v>
      </c>
      <c r="F1" s="112"/>
      <c r="G1" s="112"/>
      <c r="H1" s="112"/>
      <c r="I1" s="112"/>
      <c r="J1" s="112"/>
      <c r="K1" s="31"/>
      <c r="L1" s="31"/>
      <c r="M1" s="31"/>
      <c r="N1" s="31"/>
      <c r="O1" s="17"/>
      <c r="P1" s="17"/>
      <c r="Q1" s="112"/>
      <c r="R1" s="112"/>
      <c r="S1" s="112"/>
      <c r="T1" s="112"/>
      <c r="U1" s="112"/>
      <c r="V1" s="112"/>
      <c r="W1" s="112"/>
      <c r="X1" s="112"/>
      <c r="Y1" s="17"/>
      <c r="Z1" s="112"/>
      <c r="AA1" s="112"/>
      <c r="AB1" s="112"/>
      <c r="AC1" s="112"/>
      <c r="AD1" s="112"/>
      <c r="AE1" s="112"/>
      <c r="AF1" s="112"/>
      <c r="AG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3"/>
      <c r="AP3" s="114"/>
      <c r="AQ3" s="113"/>
      <c r="AR3" s="114"/>
      <c r="AS3" s="113"/>
      <c r="AT3" s="114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44562</v>
      </c>
      <c r="F4" s="92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44563</v>
      </c>
      <c r="F5" s="92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44564</v>
      </c>
      <c r="F6" s="92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44565</v>
      </c>
      <c r="F7" s="92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44566</v>
      </c>
      <c r="F8" s="92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44567</v>
      </c>
      <c r="F9" s="92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44568</v>
      </c>
      <c r="F10" s="92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44569</v>
      </c>
      <c r="F11" s="92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44570</v>
      </c>
      <c r="F12" s="92"/>
      <c r="G12" s="23">
        <v>2760</v>
      </c>
      <c r="H12" s="24">
        <f t="shared" si="0"/>
        <v>0</v>
      </c>
      <c r="I12" s="25">
        <f t="shared" si="1"/>
        <v>-13203743.4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44571</v>
      </c>
      <c r="F13" s="92"/>
      <c r="G13" s="23">
        <v>2760</v>
      </c>
      <c r="H13" s="24">
        <f t="shared" si="0"/>
        <v>0</v>
      </c>
      <c r="I13" s="25">
        <f t="shared" si="1"/>
        <v>0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44572</v>
      </c>
      <c r="F14" s="92"/>
      <c r="G14" s="23">
        <v>2760</v>
      </c>
      <c r="H14" s="24">
        <f t="shared" si="0"/>
        <v>0</v>
      </c>
      <c r="I14" s="25">
        <f t="shared" si="1"/>
        <v>0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44573</v>
      </c>
      <c r="F15" s="92"/>
      <c r="G15" s="23">
        <v>2760</v>
      </c>
      <c r="H15" s="24">
        <f t="shared" si="0"/>
        <v>0</v>
      </c>
      <c r="I15" s="25">
        <f t="shared" si="1"/>
        <v>0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44574</v>
      </c>
      <c r="F16" s="92"/>
      <c r="G16" s="23">
        <v>2760</v>
      </c>
      <c r="H16" s="24">
        <f t="shared" si="0"/>
        <v>0</v>
      </c>
      <c r="I16" s="25">
        <f t="shared" si="1"/>
        <v>0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44575</v>
      </c>
      <c r="F17" s="92"/>
      <c r="G17" s="23">
        <v>2760</v>
      </c>
      <c r="H17" s="24">
        <f t="shared" si="0"/>
        <v>0</v>
      </c>
      <c r="I17" s="25">
        <f t="shared" si="1"/>
        <v>0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44576</v>
      </c>
      <c r="F18" s="92"/>
      <c r="G18" s="23">
        <v>2760</v>
      </c>
      <c r="H18" s="24">
        <f t="shared" si="0"/>
        <v>0</v>
      </c>
      <c r="I18" s="25">
        <f t="shared" si="1"/>
        <v>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44577</v>
      </c>
      <c r="F19" s="92"/>
      <c r="G19" s="23">
        <v>2760</v>
      </c>
      <c r="H19" s="24">
        <f t="shared" si="0"/>
        <v>0</v>
      </c>
      <c r="I19" s="25">
        <f t="shared" si="1"/>
        <v>0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44578</v>
      </c>
      <c r="F20" s="92"/>
      <c r="G20" s="23">
        <v>2760</v>
      </c>
      <c r="H20" s="24">
        <f t="shared" si="0"/>
        <v>0</v>
      </c>
      <c r="I20" s="25">
        <f t="shared" si="1"/>
        <v>0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44579</v>
      </c>
      <c r="F21" s="92"/>
      <c r="G21" s="23">
        <v>2760</v>
      </c>
      <c r="H21" s="24">
        <f t="shared" si="0"/>
        <v>0</v>
      </c>
      <c r="I21" s="25">
        <f t="shared" si="1"/>
        <v>0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44580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44581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44582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44583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44584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44585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44586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44587</v>
      </c>
      <c r="F29" s="111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44588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44589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44590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44591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44592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2022-01-08T04:41:28Z</dcterms:modified>
</cp:coreProperties>
</file>