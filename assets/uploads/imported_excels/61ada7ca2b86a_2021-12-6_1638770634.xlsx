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S350" i="4"/>
  <c r="R350" i="4"/>
  <c r="O350" i="4"/>
  <c r="L350" i="4"/>
  <c r="M350" i="4" s="1"/>
  <c r="J350" i="4"/>
  <c r="K350" i="4" s="1"/>
  <c r="S349" i="4"/>
  <c r="R349" i="4"/>
  <c r="O349" i="4"/>
  <c r="M349" i="4"/>
  <c r="J349" i="4"/>
  <c r="K349" i="4" s="1"/>
  <c r="S348" i="4"/>
  <c r="R348" i="4"/>
  <c r="O348" i="4"/>
  <c r="M348" i="4"/>
  <c r="J348" i="4"/>
  <c r="K348" i="4" s="1"/>
  <c r="S347" i="4"/>
  <c r="R347" i="4"/>
  <c r="O347" i="4"/>
  <c r="M347" i="4"/>
  <c r="J347" i="4"/>
  <c r="K347" i="4" s="1"/>
  <c r="S346" i="4"/>
  <c r="R346" i="4"/>
  <c r="O346" i="4"/>
  <c r="M346" i="4"/>
  <c r="J346" i="4"/>
  <c r="K346" i="4" s="1"/>
  <c r="S345" i="4"/>
  <c r="R345" i="4"/>
  <c r="O345" i="4"/>
  <c r="M345" i="4"/>
  <c r="J345" i="4"/>
  <c r="K345" i="4" s="1"/>
  <c r="S344" i="4"/>
  <c r="R344" i="4"/>
  <c r="O344" i="4"/>
  <c r="M344" i="4"/>
  <c r="J344" i="4"/>
  <c r="K344" i="4" s="1"/>
  <c r="S343" i="4"/>
  <c r="R343" i="4"/>
  <c r="O343" i="4"/>
  <c r="M343" i="4"/>
  <c r="J343" i="4"/>
  <c r="K343" i="4" s="1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<sst xmlns="http://schemas.openxmlformats.org/spreadsheetml/2006/main" count="608" uniqueCount="78">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</sst>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30" workbookViewId="0">
      <selection activeCell="Q342" sqref="Q34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0.97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13.9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0.97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13.9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0.97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13.9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0.97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13.9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0.97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13.9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0.97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13.9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0.97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13.9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0.97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13.9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0.97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13.9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0.97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13.9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0.97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13.9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0.97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13.9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>
        <v>0.97</v>
      </c>
      <c r="G341" s="4" t="str">
        <f>'Gas Water'!M343</f>
        <v/>
      </c>
      <c r="H341" s="153">
        <v>3.85</v>
      </c>
      <c r="I341" s="2" t="str">
        <f>'Gas Water'!L343</f>
        <v/>
      </c>
      <c r="J341" s="153">
        <v>13.9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>
        <v>0.97</v>
      </c>
      <c r="G342" s="4" t="str">
        <f>'Gas Water'!M344</f>
        <v/>
      </c>
      <c r="H342" s="153">
        <v>3.85</v>
      </c>
      <c r="I342" s="2" t="str">
        <f>'Gas Water'!L344</f>
        <v/>
      </c>
      <c r="J342" s="153">
        <v>13.9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>
        <v>0.97</v>
      </c>
      <c r="G343" s="4" t="str">
        <f>'Gas Water'!M345</f>
        <v/>
      </c>
      <c r="H343" s="153">
        <v>3.85</v>
      </c>
      <c r="I343" s="2" t="str">
        <f>'Gas Water'!L345</f>
        <v/>
      </c>
      <c r="J343" s="153">
        <v>13.9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>
        <v>0.97</v>
      </c>
      <c r="G344" s="4" t="str">
        <f>'Gas Water'!M346</f>
        <v/>
      </c>
      <c r="H344" s="153">
        <v>3.85</v>
      </c>
      <c r="I344" s="2" t="str">
        <f>'Gas Water'!L346</f>
        <v/>
      </c>
      <c r="J344" s="153">
        <v>13.9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>
        <v>0.97</v>
      </c>
      <c r="G345" s="4" t="str">
        <f>'Gas Water'!M347</f>
        <v/>
      </c>
      <c r="H345" s="153">
        <v>3.85</v>
      </c>
      <c r="I345" s="2" t="str">
        <f>'Gas Water'!L347</f>
        <v/>
      </c>
      <c r="J345" s="153">
        <v>13.9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>
        <v>0.97</v>
      </c>
      <c r="G346" s="4" t="str">
        <f>'Gas Water'!M348</f>
        <v/>
      </c>
      <c r="H346" s="153">
        <v>3.85</v>
      </c>
      <c r="I346" s="2" t="str">
        <f>'Gas Water'!L348</f>
        <v/>
      </c>
      <c r="J346" s="153">
        <v>13.9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>
        <v>0.97</v>
      </c>
      <c r="G347" s="4" t="str">
        <f>'Gas Water'!M349</f>
        <v/>
      </c>
      <c r="H347" s="153">
        <v>3.85</v>
      </c>
      <c r="I347" s="2" t="str">
        <f>'Gas Water'!L349</f>
        <v/>
      </c>
      <c r="J347" s="153">
        <v>13.9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>
        <v>0.97</v>
      </c>
      <c r="G348" s="4" t="str">
        <f>'Gas Water'!M350</f>
        <v/>
      </c>
      <c r="H348" s="153">
        <v>3.85</v>
      </c>
      <c r="I348" s="2" t="str">
        <f>'Gas Water'!L350</f>
        <v/>
      </c>
      <c r="J348" s="153">
        <v>13.9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>
        <v>0.97</v>
      </c>
      <c r="G349" s="4" t="str">
        <f>'Gas Water'!M351</f>
        <v/>
      </c>
      <c r="H349" s="153">
        <v>3.85</v>
      </c>
      <c r="I349" s="2" t="str">
        <f>'Gas Water'!L351</f>
        <v/>
      </c>
      <c r="J349" s="153">
        <v>13.9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>
        <v>0.97</v>
      </c>
      <c r="G350" s="4" t="str">
        <f>'Gas Water'!M352</f>
        <v/>
      </c>
      <c r="H350" s="153">
        <v>3.85</v>
      </c>
      <c r="I350" s="2" t="str">
        <f>'Gas Water'!L352</f>
        <v/>
      </c>
      <c r="J350" s="153">
        <v>13.9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>
        <v>0.97</v>
      </c>
      <c r="G351" s="4" t="str">
        <f>'Gas Water'!M353</f>
        <v/>
      </c>
      <c r="H351" s="153">
        <v>3.85</v>
      </c>
      <c r="I351" s="2" t="str">
        <f>'Gas Water'!L353</f>
        <v/>
      </c>
      <c r="J351" s="153">
        <v>13.9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>
        <v>0.97</v>
      </c>
      <c r="G352" s="4" t="str">
        <f>'Gas Water'!M354</f>
        <v/>
      </c>
      <c r="H352" s="153">
        <v>3.85</v>
      </c>
      <c r="I352" s="2" t="str">
        <f>'Gas Water'!L354</f>
        <v/>
      </c>
      <c r="J352" s="153">
        <v>13.9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>
        <v>0.97</v>
      </c>
      <c r="G353" s="4" t="str">
        <f>'Gas Water'!M355</f>
        <v/>
      </c>
      <c r="H353" s="153">
        <v>3.85</v>
      </c>
      <c r="I353" s="2" t="str">
        <f>'Gas Water'!L355</f>
        <v/>
      </c>
      <c r="J353" s="153">
        <v>13.9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>
        <v>0.97</v>
      </c>
      <c r="G354" s="4" t="str">
        <f>'Gas Water'!M356</f>
        <v/>
      </c>
      <c r="H354" s="153">
        <v>3.85</v>
      </c>
      <c r="I354" s="2" t="str">
        <f>'Gas Water'!L356</f>
        <v/>
      </c>
      <c r="J354" s="153">
        <v>13.9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>
        <v>0.97</v>
      </c>
      <c r="G355" s="4" t="str">
        <f>'Gas Water'!M357</f>
        <v/>
      </c>
      <c r="H355" s="153">
        <v>3.85</v>
      </c>
      <c r="I355" s="2" t="str">
        <f>'Gas Water'!L357</f>
        <v/>
      </c>
      <c r="J355" s="153">
        <v>13.9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>
        <v>0.97</v>
      </c>
      <c r="G356" s="4" t="str">
        <f>'Gas Water'!M358</f>
        <v/>
      </c>
      <c r="H356" s="153">
        <v>3.85</v>
      </c>
      <c r="I356" s="2" t="str">
        <f>'Gas Water'!L358</f>
        <v/>
      </c>
      <c r="J356" s="153">
        <v>13.9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>
        <v>0.97</v>
      </c>
      <c r="G357" s="4" t="str">
        <f>'Gas Water'!M359</f>
        <v/>
      </c>
      <c r="H357" s="153">
        <v>3.85</v>
      </c>
      <c r="I357" s="2" t="str">
        <f>'Gas Water'!L359</f>
        <v/>
      </c>
      <c r="J357" s="153">
        <v>13.9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>
        <v>0.97</v>
      </c>
      <c r="G358" s="4" t="str">
        <f>'Gas Water'!M360</f>
        <v/>
      </c>
      <c r="H358" s="153">
        <v>3.85</v>
      </c>
      <c r="I358" s="2" t="str">
        <f>'Gas Water'!L360</f>
        <v/>
      </c>
      <c r="J358" s="153">
        <v>13.9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>
        <v>0.97</v>
      </c>
      <c r="G359" s="4" t="str">
        <f>'Gas Water'!M361</f>
        <v/>
      </c>
      <c r="H359" s="153">
        <v>3.85</v>
      </c>
      <c r="I359" s="2" t="str">
        <f>'Gas Water'!L361</f>
        <v/>
      </c>
      <c r="J359" s="153">
        <v>13.9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>
        <v>0.97</v>
      </c>
      <c r="G360" s="4" t="str">
        <f>'Gas Water'!M362</f>
        <v/>
      </c>
      <c r="H360" s="153">
        <v>3.85</v>
      </c>
      <c r="I360" s="2" t="str">
        <f>'Gas Water'!L362</f>
        <v/>
      </c>
      <c r="J360" s="153">
        <v>13.9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>
        <v>0.97</v>
      </c>
      <c r="G361" s="4" t="str">
        <f>'Gas Water'!M363</f>
        <v/>
      </c>
      <c r="H361" s="153">
        <v>3.85</v>
      </c>
      <c r="I361" s="2" t="str">
        <f>'Gas Water'!L363</f>
        <v/>
      </c>
      <c r="J361" s="153">
        <v>13.9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0.97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13.9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0.97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13.9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0.97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13.9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0.97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13.9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0.97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13.9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07" workbookViewId="0">
      <selection activeCell="S343" sqref="S34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675</v>
      </c>
      <c r="O362" s="32">
        <f>SUM(M339:M369)</f>
        <v>7814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168.75</v>
      </c>
      <c r="O365" s="32">
        <f>AVERAGE(M339:M369)</f>
        <v>1953.5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599129</v>
      </c>
      <c r="J371" s="40">
        <f t="shared" si="30"/>
        <v>62630</v>
      </c>
      <c r="K371" s="40">
        <f t="shared" si="30"/>
        <v>58098</v>
      </c>
      <c r="L371" s="40">
        <f t="shared" si="30"/>
        <v>63794</v>
      </c>
      <c r="M371" s="40">
        <f t="shared" si="30"/>
        <v>719857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17" workbookViewId="0">
      <selection activeCell="J345" sqref="J345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4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2"/>
        <v/>
      </c>
      <c r="J342" s="59" t="str">
        <f t="shared" si="43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2"/>
        <v/>
      </c>
      <c r="J343" s="59" t="str">
        <f t="shared" ref="I343:J368" si="52">IF(E343="","",+(E343-E342)*4140)</f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2"/>
        <v/>
      </c>
      <c r="J344" s="59" t="str">
        <f t="shared" si="52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2"/>
        <v/>
      </c>
      <c r="J345" s="59" t="str">
        <f t="shared" si="52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2"/>
        <v/>
      </c>
      <c r="J346" s="59" t="str">
        <f t="shared" si="52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2"/>
        <v/>
      </c>
      <c r="J347" s="59" t="str">
        <f t="shared" si="52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2"/>
        <v/>
      </c>
      <c r="J348" s="59" t="str">
        <f t="shared" si="52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52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52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52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52"/>
        <v/>
      </c>
      <c r="J352" s="59" t="str">
        <f t="shared" si="52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2.8406859536588499E-2</v>
      </c>
      <c r="Q359" s="70">
        <f>IF(L338="",0,+SUM(L338:L368)/SUM(I338:I368))</f>
        <v>2.8406859536588499E-2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8741779.2600000016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2021-12-06T06:03:23Z</dcterms:modified>
  <cp:category/>
  <cp:contentStatus/>
</cp:coreProperties>
</file>