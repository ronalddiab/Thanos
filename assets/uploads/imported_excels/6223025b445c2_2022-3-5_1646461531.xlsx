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1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4" i="10"/>
  <c r="G32" i="8" l="1"/>
  <c r="G33" i="8"/>
  <c r="G34" i="8"/>
  <c r="J32" i="9"/>
  <c r="J33" i="9"/>
  <c r="J34" i="9"/>
  <c r="I32" i="9"/>
  <c r="I33" i="9"/>
  <c r="I34" i="9"/>
  <c r="G32" i="9"/>
  <c r="G33" i="9"/>
  <c r="G34" i="9"/>
  <c r="I33" i="10"/>
  <c r="I34" i="10"/>
  <c r="H33" i="10"/>
  <c r="H34" i="10"/>
  <c r="H34" i="8" l="1"/>
  <c r="H33" i="8"/>
  <c r="I4" i="9"/>
  <c r="H32" i="10" l="1"/>
  <c r="H31" i="10"/>
  <c r="H30" i="10"/>
  <c r="H29" i="10"/>
  <c r="H28" i="10"/>
  <c r="H27" i="10"/>
  <c r="I27" i="10" s="1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I5" i="10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9" i="10" l="1"/>
  <c r="I13" i="10"/>
  <c r="I23" i="10"/>
  <c r="I31" i="10"/>
  <c r="I32" i="10"/>
  <c r="I29" i="10"/>
  <c r="I30" i="10"/>
  <c r="I28" i="10"/>
  <c r="I25" i="10"/>
  <c r="I24" i="10"/>
  <c r="J21" i="9"/>
  <c r="I26" i="10"/>
  <c r="I21" i="10"/>
  <c r="I22" i="10"/>
  <c r="I19" i="10"/>
  <c r="I20" i="10"/>
  <c r="I17" i="10"/>
  <c r="I18" i="10"/>
  <c r="J16" i="9"/>
  <c r="I15" i="10"/>
  <c r="I16" i="10"/>
  <c r="I14" i="10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H32" i="8" s="1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9" i="8" l="1"/>
  <c r="H16" i="8"/>
  <c r="H27" i="8"/>
  <c r="H24" i="8"/>
  <c r="H20" i="8"/>
  <c r="H17" i="8"/>
  <c r="H8" i="8"/>
  <c r="I35" i="10"/>
  <c r="H6" i="8"/>
  <c r="J35" i="9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5" i="8" l="1"/>
  <c r="I3" i="5"/>
  <c r="I4" i="5"/>
  <c r="I5" i="5"/>
  <c r="I6" i="5"/>
  <c r="I2" i="5" l="1"/>
  <c r="B32" i="5" l="1"/>
  <c r="I32" i="5" l="1"/>
  <c r="I31" i="5" l="1"/>
  <c r="G4" i="5"/>
  <c r="G32" i="5"/>
  <c r="G2" i="5"/>
  <c r="E5" i="5" l="1"/>
  <c r="E3" i="5"/>
  <c r="E32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<sst xmlns="http://schemas.openxmlformats.org/spreadsheetml/2006/main" count="73" uniqueCount="38">
  <si>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</si>
  <si>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</si>
  <si>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</si>
  <si>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</si>
  <si>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</si>
  <si>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</si>
  <si>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</si>
  <si>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</si>
  <si>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</si>
  <si>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</si>
  <si>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</si>
  <si>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</si>
  <si>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</si>
  <si>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</si>
  <si>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</si>
  <si>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</si>
  <si>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</si>
  <si>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</si>
  <si>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</si>
  <si>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</si>
  <si>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</si>
  <si>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</si>
  <si>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</si>
  <si>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</si>
  <si>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</si>
  <si>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</si>
  <si>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</si>
  <si>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</si>
  <si>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</si>
  <si>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</si>
  <si>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</si>
  <si>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</si>
  <si>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</si>
  <si>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</si>
  <si>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</si>
  <si>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MAR.2022</t>
  </si>
  <si>
    <t>NATURAL GAS CONSUMPTION , MAR.2022</t>
  </si>
  <si>
    <t>WATER CONSUMPTION ,MAR.2022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</si>
</sst>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4" sqref="A4:XFD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3</v>
      </c>
      <c r="D2" s="12">
        <v>2022</v>
      </c>
      <c r="E2" s="13">
        <v>2597</v>
      </c>
      <c r="F2" s="3">
        <v>2.1</v>
      </c>
      <c r="G2" s="13">
        <f>Gas!J4</f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3</v>
      </c>
      <c r="D3" s="12">
        <v>2022</v>
      </c>
      <c r="E3" s="13">
        <f>Electricity!I5</f>
        <v>1291.6800000015646</v>
      </c>
      <c r="F3" s="3">
        <v>2.1</v>
      </c>
      <c r="G3" s="13">
        <f>Gas!J5</f>
        <v>0</v>
      </c>
      <c r="H3" s="3">
        <v>1.69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3</v>
      </c>
      <c r="D4" s="12">
        <v>2022</v>
      </c>
      <c r="E4" s="13">
        <f>Electricity!I6</f>
        <v>1639.4399999976158</v>
      </c>
      <c r="F4" s="3">
        <v>2.1</v>
      </c>
      <c r="G4" s="13">
        <f>Gas!J6</f>
        <v>0</v>
      </c>
      <c r="H4" s="3">
        <v>1.69</v>
      </c>
      <c r="I4" s="13">
        <f>Water!H6</f>
        <v>7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3</v>
      </c>
      <c r="D5" s="12">
        <v>2022</v>
      </c>
      <c r="E5" s="13">
        <f>Electricity!I7</f>
        <v>1727.7600000016391</v>
      </c>
      <c r="F5" s="3">
        <v>2.1</v>
      </c>
      <c r="G5" s="13">
        <f>Gas!J7</f>
        <v>0</v>
      </c>
      <c r="H5" s="3">
        <v>1.69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3</v>
      </c>
      <c r="D6" s="12">
        <v>2022</v>
      </c>
      <c r="E6" s="13">
        <f>Electricity!I8</f>
        <v>1747.0799999982119</v>
      </c>
      <c r="F6" s="3">
        <v>2.1</v>
      </c>
      <c r="G6" s="13">
        <f>Gas!J8</f>
        <v>0</v>
      </c>
      <c r="H6" s="3">
        <v>1.69</v>
      </c>
      <c r="I6" s="13">
        <f>Water!H8</f>
        <v>13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3</v>
      </c>
      <c r="D7" s="12">
        <v>2022</v>
      </c>
      <c r="E7" s="13">
        <f>Electricity!I9</f>
        <v>-13304414.399999999</v>
      </c>
      <c r="F7" s="3">
        <v>2.1</v>
      </c>
      <c r="G7" s="13">
        <f>Gas!J9</f>
        <v>-1176540.4133199998</v>
      </c>
      <c r="H7" s="3">
        <v>1.69</v>
      </c>
      <c r="I7" s="13">
        <f>Water!H9</f>
        <v>-11761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3</v>
      </c>
      <c r="D8" s="12">
        <v>2022</v>
      </c>
      <c r="E8" s="13">
        <f>Electricity!I10</f>
        <v>0</v>
      </c>
      <c r="F8" s="3">
        <v>2.1</v>
      </c>
      <c r="G8" s="13">
        <f>Gas!J10</f>
        <v>0</v>
      </c>
      <c r="H8" s="3">
        <v>1.69</v>
      </c>
      <c r="I8" s="13">
        <f>Water!H10</f>
        <v>0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3</v>
      </c>
      <c r="D9" s="12">
        <v>2022</v>
      </c>
      <c r="E9" s="13">
        <f>Electricity!I11</f>
        <v>0</v>
      </c>
      <c r="F9" s="3">
        <v>2.1</v>
      </c>
      <c r="G9" s="13">
        <f>Gas!J11</f>
        <v>0</v>
      </c>
      <c r="H9" s="3">
        <v>1.69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3</v>
      </c>
      <c r="D10" s="12">
        <v>2022</v>
      </c>
      <c r="E10" s="13">
        <f>Electricity!I12</f>
        <v>0</v>
      </c>
      <c r="F10" s="3">
        <v>2.1</v>
      </c>
      <c r="G10" s="13">
        <f>Gas!J12</f>
        <v>0</v>
      </c>
      <c r="H10" s="3">
        <v>1.69</v>
      </c>
      <c r="I10" s="13">
        <f>Water!H12</f>
        <v>0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3</v>
      </c>
      <c r="D11" s="12">
        <v>2022</v>
      </c>
      <c r="E11" s="13">
        <f>Electricity!I13</f>
        <v>0</v>
      </c>
      <c r="F11" s="3">
        <v>2.1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3</v>
      </c>
      <c r="D12" s="12">
        <v>2022</v>
      </c>
      <c r="E12" s="13">
        <f>Electricity!I14</f>
        <v>0</v>
      </c>
      <c r="F12" s="3">
        <v>2.1</v>
      </c>
      <c r="G12" s="13">
        <f>Gas!J14</f>
        <v>0</v>
      </c>
      <c r="H12" s="3">
        <v>1.69</v>
      </c>
      <c r="I12" s="13">
        <f>Water!H14</f>
        <v>0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3</v>
      </c>
      <c r="D13" s="12">
        <v>2022</v>
      </c>
      <c r="E13" s="13">
        <f>Electricity!I15</f>
        <v>0</v>
      </c>
      <c r="F13" s="3">
        <v>2.1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3</v>
      </c>
      <c r="D14" s="12">
        <v>2022</v>
      </c>
      <c r="E14" s="13">
        <f>Electricity!I16</f>
        <v>0</v>
      </c>
      <c r="F14" s="3">
        <v>2.1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3</v>
      </c>
      <c r="D15" s="12">
        <v>2022</v>
      </c>
      <c r="E15" s="13">
        <f>Electricity!I17</f>
        <v>0</v>
      </c>
      <c r="F15" s="3">
        <v>2.1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3</v>
      </c>
      <c r="D16" s="12">
        <v>2022</v>
      </c>
      <c r="E16" s="13">
        <f>Electricity!I18</f>
        <v>0</v>
      </c>
      <c r="F16" s="3">
        <v>2.1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3</v>
      </c>
      <c r="D17" s="12">
        <v>2022</v>
      </c>
      <c r="E17" s="13">
        <f>Electricity!I19</f>
        <v>0</v>
      </c>
      <c r="F17" s="3">
        <v>2.1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3</v>
      </c>
      <c r="D18" s="12">
        <v>2022</v>
      </c>
      <c r="E18" s="13">
        <f>Electricity!I20</f>
        <v>0</v>
      </c>
      <c r="F18" s="3">
        <v>2.1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3</v>
      </c>
      <c r="D19" s="12">
        <v>2022</v>
      </c>
      <c r="E19" s="13">
        <f>Electricity!I21</f>
        <v>0</v>
      </c>
      <c r="F19" s="3">
        <v>2.1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3</v>
      </c>
      <c r="D20" s="12">
        <v>2022</v>
      </c>
      <c r="E20" s="13">
        <f>Electricity!I22</f>
        <v>0</v>
      </c>
      <c r="F20" s="3">
        <v>2.1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3</v>
      </c>
      <c r="D21" s="12">
        <v>2022</v>
      </c>
      <c r="E21" s="13">
        <f>Electricity!I23</f>
        <v>0</v>
      </c>
      <c r="F21" s="3">
        <v>2.1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3</v>
      </c>
      <c r="D22" s="12">
        <v>2022</v>
      </c>
      <c r="E22" s="13">
        <f>Electricity!I24</f>
        <v>0</v>
      </c>
      <c r="F22" s="3">
        <v>2.1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3</v>
      </c>
      <c r="D23" s="12">
        <v>2022</v>
      </c>
      <c r="E23" s="13">
        <f>Electricity!I25</f>
        <v>0</v>
      </c>
      <c r="F23" s="3">
        <v>2.1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3</v>
      </c>
      <c r="D24" s="12">
        <v>2022</v>
      </c>
      <c r="E24" s="13">
        <f>Electricity!I26</f>
        <v>0</v>
      </c>
      <c r="F24" s="3">
        <v>2.1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3</v>
      </c>
      <c r="D25" s="12">
        <v>2022</v>
      </c>
      <c r="E25" s="13">
        <f>Electricity!I27</f>
        <v>0</v>
      </c>
      <c r="F25" s="3">
        <v>2.1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3</v>
      </c>
      <c r="D26" s="12">
        <v>2022</v>
      </c>
      <c r="E26" s="13">
        <f>Electricity!I28</f>
        <v>0</v>
      </c>
      <c r="F26" s="3">
        <v>2.1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3</v>
      </c>
      <c r="D27" s="12">
        <v>2022</v>
      </c>
      <c r="E27" s="13">
        <f>Electricity!I29</f>
        <v>0</v>
      </c>
      <c r="F27" s="3">
        <v>2.1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3</v>
      </c>
      <c r="D28" s="12">
        <v>2022</v>
      </c>
      <c r="E28" s="13">
        <f>Electricity!I30</f>
        <v>0</v>
      </c>
      <c r="F28" s="3">
        <v>2.1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3</v>
      </c>
      <c r="D29" s="12">
        <v>2022</v>
      </c>
      <c r="E29" s="13">
        <f>Electricity!I31</f>
        <v>0</v>
      </c>
      <c r="F29" s="3">
        <v>2.1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3</v>
      </c>
      <c r="D30" s="12">
        <v>2022</v>
      </c>
      <c r="E30" s="13">
        <f>Electricity!I32</f>
        <v>0</v>
      </c>
      <c r="F30" s="3">
        <v>2.1</v>
      </c>
      <c r="G30" s="13">
        <f>Gas!J34</f>
        <v>0</v>
      </c>
      <c r="H30" s="3">
        <v>1.69</v>
      </c>
      <c r="I30" s="13">
        <f>Water!H34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3</v>
      </c>
      <c r="D31" s="12">
        <v>2022</v>
      </c>
      <c r="E31" s="13">
        <f>Electricity!I33</f>
        <v>0</v>
      </c>
      <c r="F31" s="3">
        <v>2.1</v>
      </c>
      <c r="G31" s="13">
        <f>Gas!J35</f>
        <v>-1176540.4133199998</v>
      </c>
      <c r="H31" s="3">
        <v>1.69</v>
      </c>
      <c r="I31" s="13">
        <f>Water!H35</f>
        <v>-11741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3</v>
      </c>
      <c r="D32" s="12">
        <v>2022</v>
      </c>
      <c r="E32" s="13" t="e">
        <f>Electricity!I35</f>
        <v>#VALUE!</v>
      </c>
      <c r="F32" s="3">
        <v>2.1</v>
      </c>
      <c r="G32" s="13">
        <f>Gas!J36</f>
        <v>0</v>
      </c>
      <c r="H32" s="3">
        <v>1.69</v>
      </c>
      <c r="I32" s="13">
        <f>Water!H36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tabSelected="1" workbookViewId="0">
      <selection activeCell="E9" sqref="E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37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44621</v>
      </c>
      <c r="E4" s="24">
        <v>11741</v>
      </c>
      <c r="F4" s="72">
        <v>1065</v>
      </c>
      <c r="G4" s="72">
        <f t="shared" ref="G4:G30" si="0">E4+F4</f>
        <v>12806</v>
      </c>
      <c r="H4" s="73">
        <v>0</v>
      </c>
    </row>
    <row r="5" spans="2:9" s="32" customFormat="1" ht="11.25" x14ac:dyDescent="0.25">
      <c r="D5" s="71">
        <v>44622</v>
      </c>
      <c r="E5" s="24">
        <v>11741</v>
      </c>
      <c r="F5" s="24">
        <v>1065</v>
      </c>
      <c r="G5" s="24">
        <f t="shared" si="0"/>
        <v>12806</v>
      </c>
      <c r="H5" s="25">
        <f t="shared" ref="H5:H34" si="1">G5-G4</f>
        <v>0</v>
      </c>
    </row>
    <row r="6" spans="2:9" s="32" customFormat="1" ht="11.25" x14ac:dyDescent="0.25">
      <c r="D6" s="71">
        <v>44623</v>
      </c>
      <c r="E6" s="24">
        <v>11748</v>
      </c>
      <c r="F6" s="24">
        <v>1065</v>
      </c>
      <c r="G6" s="24">
        <f t="shared" si="0"/>
        <v>12813</v>
      </c>
      <c r="H6" s="25">
        <f t="shared" si="1"/>
        <v>7</v>
      </c>
    </row>
    <row r="7" spans="2:9" s="32" customFormat="1" ht="11.25" x14ac:dyDescent="0.25">
      <c r="D7" s="71">
        <v>44624</v>
      </c>
      <c r="E7" s="24">
        <v>11748</v>
      </c>
      <c r="F7" s="24">
        <v>1065</v>
      </c>
      <c r="G7" s="24">
        <f t="shared" si="0"/>
        <v>12813</v>
      </c>
      <c r="H7" s="25">
        <f t="shared" si="1"/>
        <v>0</v>
      </c>
    </row>
    <row r="8" spans="2:9" s="32" customFormat="1" ht="11.25" x14ac:dyDescent="0.25">
      <c r="D8" s="71">
        <v>44625</v>
      </c>
      <c r="E8" s="24">
        <v>11761</v>
      </c>
      <c r="F8" s="24">
        <v>1065</v>
      </c>
      <c r="G8" s="24">
        <f t="shared" si="0"/>
        <v>12826</v>
      </c>
      <c r="H8" s="25">
        <f t="shared" si="1"/>
        <v>13</v>
      </c>
    </row>
    <row r="9" spans="2:9" s="32" customFormat="1" ht="11.25" x14ac:dyDescent="0.25">
      <c r="D9" s="71">
        <v>44626</v>
      </c>
      <c r="E9" s="24"/>
      <c r="F9" s="24">
        <v>1065</v>
      </c>
      <c r="G9" s="24">
        <f t="shared" si="0"/>
        <v>1065</v>
      </c>
      <c r="H9" s="25">
        <f t="shared" si="1"/>
        <v>-11761</v>
      </c>
    </row>
    <row r="10" spans="2:9" s="32" customFormat="1" ht="11.25" x14ac:dyDescent="0.25">
      <c r="D10" s="71">
        <v>44627</v>
      </c>
      <c r="E10" s="24"/>
      <c r="F10" s="24">
        <v>1065</v>
      </c>
      <c r="G10" s="24">
        <f t="shared" si="0"/>
        <v>1065</v>
      </c>
      <c r="H10" s="25">
        <f t="shared" si="1"/>
        <v>0</v>
      </c>
    </row>
    <row r="11" spans="2:9" s="32" customFormat="1" ht="11.25" x14ac:dyDescent="0.25">
      <c r="D11" s="71">
        <v>44628</v>
      </c>
      <c r="E11" s="24"/>
      <c r="F11" s="24">
        <v>1065</v>
      </c>
      <c r="G11" s="24">
        <f t="shared" si="0"/>
        <v>1065</v>
      </c>
      <c r="H11" s="25">
        <f t="shared" si="1"/>
        <v>0</v>
      </c>
    </row>
    <row r="12" spans="2:9" s="32" customFormat="1" ht="11.25" x14ac:dyDescent="0.25">
      <c r="D12" s="71">
        <v>44629</v>
      </c>
      <c r="E12" s="24"/>
      <c r="F12" s="24">
        <v>1065</v>
      </c>
      <c r="G12" s="24">
        <f t="shared" si="0"/>
        <v>1065</v>
      </c>
      <c r="H12" s="25">
        <f t="shared" si="1"/>
        <v>0</v>
      </c>
    </row>
    <row r="13" spans="2:9" s="32" customFormat="1" ht="11.25" x14ac:dyDescent="0.25">
      <c r="D13" s="71">
        <v>44630</v>
      </c>
      <c r="E13" s="24"/>
      <c r="F13" s="24">
        <v>1065</v>
      </c>
      <c r="G13" s="24">
        <f t="shared" si="0"/>
        <v>1065</v>
      </c>
      <c r="H13" s="25">
        <f t="shared" si="1"/>
        <v>0</v>
      </c>
    </row>
    <row r="14" spans="2:9" s="32" customFormat="1" ht="11.25" x14ac:dyDescent="0.25">
      <c r="D14" s="71">
        <v>44631</v>
      </c>
      <c r="E14" s="24"/>
      <c r="F14" s="24">
        <v>1065</v>
      </c>
      <c r="G14" s="24">
        <f t="shared" si="0"/>
        <v>1065</v>
      </c>
      <c r="H14" s="25">
        <f t="shared" si="1"/>
        <v>0</v>
      </c>
    </row>
    <row r="15" spans="2:9" s="35" customFormat="1" ht="11.25" x14ac:dyDescent="0.25">
      <c r="D15" s="71">
        <v>44632</v>
      </c>
      <c r="E15" s="24"/>
      <c r="F15" s="24">
        <v>1065</v>
      </c>
      <c r="G15" s="24">
        <f t="shared" si="0"/>
        <v>1065</v>
      </c>
      <c r="H15" s="25">
        <f t="shared" si="1"/>
        <v>0</v>
      </c>
      <c r="I15" s="35" t="s">
        <v>27</v>
      </c>
    </row>
    <row r="16" spans="2:9" s="32" customFormat="1" ht="11.25" x14ac:dyDescent="0.25">
      <c r="D16" s="71">
        <v>44633</v>
      </c>
      <c r="E16" s="24"/>
      <c r="F16" s="24">
        <v>1065</v>
      </c>
      <c r="G16" s="24">
        <f t="shared" si="0"/>
        <v>1065</v>
      </c>
      <c r="H16" s="25">
        <f t="shared" si="1"/>
        <v>0</v>
      </c>
    </row>
    <row r="17" spans="4:8" s="32" customFormat="1" ht="11.25" customHeight="1" x14ac:dyDescent="0.25">
      <c r="D17" s="71">
        <v>44634</v>
      </c>
      <c r="E17" s="24"/>
      <c r="F17" s="24">
        <v>1065</v>
      </c>
      <c r="G17" s="24">
        <f t="shared" si="0"/>
        <v>1065</v>
      </c>
      <c r="H17" s="25">
        <f t="shared" si="1"/>
        <v>0</v>
      </c>
    </row>
    <row r="18" spans="4:8" s="32" customFormat="1" ht="11.25" customHeight="1" x14ac:dyDescent="0.25">
      <c r="D18" s="71">
        <v>44635</v>
      </c>
      <c r="E18" s="24"/>
      <c r="F18" s="24">
        <v>1065</v>
      </c>
      <c r="G18" s="24">
        <f t="shared" si="0"/>
        <v>1065</v>
      </c>
      <c r="H18" s="25">
        <f t="shared" si="1"/>
        <v>0</v>
      </c>
    </row>
    <row r="19" spans="4:8" s="32" customFormat="1" ht="11.25" customHeight="1" x14ac:dyDescent="0.25">
      <c r="D19" s="71">
        <v>44636</v>
      </c>
      <c r="E19" s="24"/>
      <c r="F19" s="24">
        <v>1065</v>
      </c>
      <c r="G19" s="24">
        <f t="shared" si="0"/>
        <v>1065</v>
      </c>
      <c r="H19" s="25">
        <f t="shared" si="1"/>
        <v>0</v>
      </c>
    </row>
    <row r="20" spans="4:8" s="32" customFormat="1" ht="11.25" customHeight="1" x14ac:dyDescent="0.25">
      <c r="D20" s="71">
        <v>44637</v>
      </c>
      <c r="E20" s="24"/>
      <c r="F20" s="24">
        <v>1065</v>
      </c>
      <c r="G20" s="24">
        <f t="shared" si="0"/>
        <v>1065</v>
      </c>
      <c r="H20" s="25">
        <f t="shared" si="1"/>
        <v>0</v>
      </c>
    </row>
    <row r="21" spans="4:8" s="32" customFormat="1" ht="11.25" customHeight="1" x14ac:dyDescent="0.25">
      <c r="D21" s="71">
        <v>44638</v>
      </c>
      <c r="E21" s="24"/>
      <c r="F21" s="24">
        <v>1065</v>
      </c>
      <c r="G21" s="24">
        <f t="shared" si="0"/>
        <v>1065</v>
      </c>
      <c r="H21" s="25">
        <f t="shared" si="1"/>
        <v>0</v>
      </c>
    </row>
    <row r="22" spans="4:8" s="32" customFormat="1" ht="11.25" customHeight="1" x14ac:dyDescent="0.25">
      <c r="D22" s="71">
        <v>44639</v>
      </c>
      <c r="E22" s="24"/>
      <c r="F22" s="24">
        <v>1065</v>
      </c>
      <c r="G22" s="24">
        <f t="shared" si="0"/>
        <v>1065</v>
      </c>
      <c r="H22" s="25">
        <f t="shared" si="1"/>
        <v>0</v>
      </c>
    </row>
    <row r="23" spans="4:8" s="32" customFormat="1" ht="11.25" customHeight="1" x14ac:dyDescent="0.25">
      <c r="D23" s="71">
        <v>44640</v>
      </c>
      <c r="E23" s="24"/>
      <c r="F23" s="24">
        <v>1065</v>
      </c>
      <c r="G23" s="24">
        <f t="shared" si="0"/>
        <v>1065</v>
      </c>
      <c r="H23" s="25">
        <f t="shared" si="1"/>
        <v>0</v>
      </c>
    </row>
    <row r="24" spans="4:8" s="32" customFormat="1" ht="11.25" customHeight="1" x14ac:dyDescent="0.25">
      <c r="D24" s="71">
        <v>44641</v>
      </c>
      <c r="E24" s="24"/>
      <c r="F24" s="24">
        <v>1065</v>
      </c>
      <c r="G24" s="24">
        <f t="shared" si="0"/>
        <v>1065</v>
      </c>
      <c r="H24" s="25">
        <f t="shared" si="1"/>
        <v>0</v>
      </c>
    </row>
    <row r="25" spans="4:8" s="32" customFormat="1" ht="11.25" customHeight="1" x14ac:dyDescent="0.25">
      <c r="D25" s="71">
        <v>44642</v>
      </c>
      <c r="E25" s="24"/>
      <c r="F25" s="24">
        <v>1065</v>
      </c>
      <c r="G25" s="24">
        <f t="shared" si="0"/>
        <v>1065</v>
      </c>
      <c r="H25" s="25">
        <f t="shared" si="1"/>
        <v>0</v>
      </c>
    </row>
    <row r="26" spans="4:8" s="32" customFormat="1" ht="11.25" customHeight="1" x14ac:dyDescent="0.25">
      <c r="D26" s="71">
        <v>44643</v>
      </c>
      <c r="E26" s="24"/>
      <c r="F26" s="24">
        <v>1065</v>
      </c>
      <c r="G26" s="24">
        <f>E26+F26</f>
        <v>1065</v>
      </c>
      <c r="H26" s="25">
        <f t="shared" si="1"/>
        <v>0</v>
      </c>
    </row>
    <row r="27" spans="4:8" s="32" customFormat="1" ht="11.25" customHeight="1" x14ac:dyDescent="0.25">
      <c r="D27" s="71">
        <v>44644</v>
      </c>
      <c r="E27" s="24"/>
      <c r="F27" s="24">
        <v>1065</v>
      </c>
      <c r="G27" s="24">
        <f>E27+F27</f>
        <v>1065</v>
      </c>
      <c r="H27" s="25">
        <f t="shared" si="1"/>
        <v>0</v>
      </c>
    </row>
    <row r="28" spans="4:8" s="32" customFormat="1" ht="11.25" customHeight="1" x14ac:dyDescent="0.25">
      <c r="D28" s="71">
        <v>44645</v>
      </c>
      <c r="E28" s="24"/>
      <c r="F28" s="24">
        <v>1065</v>
      </c>
      <c r="G28" s="24">
        <f>E28+F28</f>
        <v>1065</v>
      </c>
      <c r="H28" s="25">
        <f>G28-G27</f>
        <v>0</v>
      </c>
    </row>
    <row r="29" spans="4:8" s="32" customFormat="1" ht="11.25" customHeight="1" x14ac:dyDescent="0.25">
      <c r="D29" s="71">
        <v>44646</v>
      </c>
      <c r="E29" s="24"/>
      <c r="F29" s="24">
        <v>1065</v>
      </c>
      <c r="G29" s="24">
        <f t="shared" si="0"/>
        <v>1065</v>
      </c>
      <c r="H29" s="25">
        <f t="shared" si="1"/>
        <v>0</v>
      </c>
    </row>
    <row r="30" spans="4:8" s="32" customFormat="1" ht="11.25" customHeight="1" x14ac:dyDescent="0.25">
      <c r="D30" s="71">
        <v>44647</v>
      </c>
      <c r="E30" s="24"/>
      <c r="F30" s="24">
        <v>1065</v>
      </c>
      <c r="G30" s="24">
        <f t="shared" si="0"/>
        <v>1065</v>
      </c>
      <c r="H30" s="25">
        <f t="shared" si="1"/>
        <v>0</v>
      </c>
    </row>
    <row r="31" spans="4:8" s="32" customFormat="1" ht="11.25" customHeight="1" x14ac:dyDescent="0.25">
      <c r="D31" s="71">
        <v>44648</v>
      </c>
      <c r="E31" s="24"/>
      <c r="F31" s="24">
        <v>1065</v>
      </c>
      <c r="G31" s="24">
        <f>E31+F31</f>
        <v>1065</v>
      </c>
      <c r="H31" s="25">
        <f t="shared" si="1"/>
        <v>0</v>
      </c>
    </row>
    <row r="32" spans="4:8" s="32" customFormat="1" ht="11.25" customHeight="1" x14ac:dyDescent="0.25">
      <c r="D32" s="71">
        <v>44649</v>
      </c>
      <c r="E32" s="24"/>
      <c r="F32" s="24">
        <v>1065</v>
      </c>
      <c r="G32" s="24">
        <f t="shared" ref="G32:G34" si="2">E32+F32</f>
        <v>1065</v>
      </c>
      <c r="H32" s="25">
        <f t="shared" si="1"/>
        <v>0</v>
      </c>
    </row>
    <row r="33" spans="2:8" s="32" customFormat="1" ht="11.25" customHeight="1" x14ac:dyDescent="0.25">
      <c r="D33" s="71">
        <v>44650</v>
      </c>
      <c r="E33" s="24"/>
      <c r="F33" s="24">
        <v>1065</v>
      </c>
      <c r="G33" s="24">
        <f t="shared" si="2"/>
        <v>1065</v>
      </c>
      <c r="H33" s="25">
        <f t="shared" si="1"/>
        <v>0</v>
      </c>
    </row>
    <row r="34" spans="2:8" s="32" customFormat="1" ht="11.25" customHeight="1" x14ac:dyDescent="0.25">
      <c r="D34" s="71">
        <v>44651</v>
      </c>
      <c r="E34" s="24"/>
      <c r="F34" s="24">
        <v>1065</v>
      </c>
      <c r="G34" s="24">
        <f t="shared" si="2"/>
        <v>1065</v>
      </c>
      <c r="H34" s="25">
        <f t="shared" si="1"/>
        <v>0</v>
      </c>
    </row>
    <row r="35" spans="2:8" s="32" customFormat="1" ht="11.25" customHeight="1" x14ac:dyDescent="0.25">
      <c r="B35" s="33"/>
      <c r="C35" s="33"/>
      <c r="D35" s="74" t="s">
        <v>28</v>
      </c>
      <c r="E35" s="75"/>
      <c r="F35" s="75"/>
      <c r="G35" s="76"/>
      <c r="H35" s="77">
        <f>SUM(H4:H34)</f>
        <v>-11741</v>
      </c>
    </row>
    <row r="36" spans="2:8" s="32" customFormat="1" ht="11.25" customHeight="1" x14ac:dyDescent="0.25">
      <c r="B36" s="33"/>
      <c r="C36" s="33"/>
      <c r="D36" s="34"/>
      <c r="E36" s="24"/>
      <c r="F36" s="24"/>
      <c r="G36" s="24"/>
      <c r="H36" s="25"/>
    </row>
    <row r="37" spans="2:8" s="32" customFormat="1" ht="11.25" customHeight="1" x14ac:dyDescent="0.25">
      <c r="D37" s="36"/>
      <c r="E37" s="43"/>
      <c r="F37" s="43"/>
      <c r="G37" s="44"/>
      <c r="H37" s="38"/>
    </row>
    <row r="38" spans="2:8" x14ac:dyDescent="0.25">
      <c r="H38" s="39"/>
    </row>
    <row r="39" spans="2:8" x14ac:dyDescent="0.25">
      <c r="D39" s="40"/>
    </row>
    <row r="41" spans="2:8" x14ac:dyDescent="0.25">
      <c r="D41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8"/>
  <sheetViews>
    <sheetView workbookViewId="0">
      <selection activeCell="F9" sqref="F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44621</v>
      </c>
      <c r="E4" s="24">
        <v>760788</v>
      </c>
      <c r="F4" s="78">
        <v>172142</v>
      </c>
      <c r="G4" s="24">
        <f>E4+F4</f>
        <v>932930</v>
      </c>
      <c r="H4" s="18">
        <v>1.2611239999999999</v>
      </c>
      <c r="I4" s="24">
        <f t="shared" ref="I4" si="0">H4*G4</f>
        <v>1176540.4133199998</v>
      </c>
      <c r="J4" s="25">
        <v>0</v>
      </c>
    </row>
    <row r="5" spans="2:10" s="32" customFormat="1" ht="11.25" customHeight="1" x14ac:dyDescent="0.25">
      <c r="D5" s="34">
        <v>44622</v>
      </c>
      <c r="E5" s="24">
        <v>760788</v>
      </c>
      <c r="F5" s="24">
        <v>172142</v>
      </c>
      <c r="G5" s="24">
        <f>E5+F5</f>
        <v>932930</v>
      </c>
      <c r="H5" s="18">
        <v>1.2611239999999999</v>
      </c>
      <c r="I5" s="24">
        <f t="shared" ref="I5:I34" si="1">H5*G5</f>
        <v>1176540.4133199998</v>
      </c>
      <c r="J5" s="25">
        <f t="shared" ref="J5:J27" si="2">I5-I4</f>
        <v>0</v>
      </c>
    </row>
    <row r="6" spans="2:10" s="32" customFormat="1" ht="11.25" customHeight="1" x14ac:dyDescent="0.25">
      <c r="D6" s="34">
        <v>44623</v>
      </c>
      <c r="E6" s="24">
        <v>760788</v>
      </c>
      <c r="F6" s="24">
        <v>172142</v>
      </c>
      <c r="G6" s="24">
        <f>E6+F6</f>
        <v>932930</v>
      </c>
      <c r="H6" s="18">
        <v>1.2611239999999999</v>
      </c>
      <c r="I6" s="24">
        <f t="shared" si="1"/>
        <v>1176540.4133199998</v>
      </c>
      <c r="J6" s="25">
        <f t="shared" si="2"/>
        <v>0</v>
      </c>
    </row>
    <row r="7" spans="2:10" s="32" customFormat="1" ht="11.25" customHeight="1" x14ac:dyDescent="0.25">
      <c r="D7" s="34">
        <v>44624</v>
      </c>
      <c r="E7" s="24">
        <v>760788</v>
      </c>
      <c r="F7" s="24">
        <v>172142</v>
      </c>
      <c r="G7" s="24">
        <f>E7+F7</f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</row>
    <row r="8" spans="2:10" s="32" customFormat="1" ht="11.25" customHeight="1" x14ac:dyDescent="0.25">
      <c r="D8" s="34">
        <v>44625</v>
      </c>
      <c r="E8" s="24">
        <v>760788</v>
      </c>
      <c r="F8" s="24">
        <v>172142</v>
      </c>
      <c r="G8" s="24">
        <f>E8+F8</f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</row>
    <row r="9" spans="2:10" s="32" customFormat="1" ht="11.25" customHeight="1" x14ac:dyDescent="0.25">
      <c r="D9" s="34">
        <v>44626</v>
      </c>
      <c r="E9" s="24"/>
      <c r="F9" s="24"/>
      <c r="G9" s="24">
        <f t="shared" ref="G9:G27" si="3">E9+F9</f>
        <v>0</v>
      </c>
      <c r="H9" s="18">
        <v>1.2611239999999999</v>
      </c>
      <c r="I9" s="24">
        <f t="shared" si="1"/>
        <v>0</v>
      </c>
      <c r="J9" s="25">
        <f t="shared" si="2"/>
        <v>-1176540.4133199998</v>
      </c>
    </row>
    <row r="10" spans="2:10" s="32" customFormat="1" ht="11.25" x14ac:dyDescent="0.25">
      <c r="D10" s="34">
        <v>44627</v>
      </c>
      <c r="E10" s="24"/>
      <c r="F10" s="24"/>
      <c r="G10" s="24">
        <f t="shared" si="3"/>
        <v>0</v>
      </c>
      <c r="H10" s="18">
        <v>1.2611239999999999</v>
      </c>
      <c r="I10" s="24">
        <f t="shared" si="1"/>
        <v>0</v>
      </c>
      <c r="J10" s="25">
        <f t="shared" si="2"/>
        <v>0</v>
      </c>
    </row>
    <row r="11" spans="2:10" s="32" customFormat="1" ht="11.25" customHeight="1" x14ac:dyDescent="0.25">
      <c r="D11" s="34">
        <v>44628</v>
      </c>
      <c r="E11" s="24"/>
      <c r="F11" s="24"/>
      <c r="G11" s="24">
        <f t="shared" si="3"/>
        <v>0</v>
      </c>
      <c r="H11" s="18">
        <v>1.2611239999999999</v>
      </c>
      <c r="I11" s="24">
        <f t="shared" si="1"/>
        <v>0</v>
      </c>
      <c r="J11" s="25">
        <f t="shared" si="2"/>
        <v>0</v>
      </c>
    </row>
    <row r="12" spans="2:10" s="32" customFormat="1" ht="11.25" customHeight="1" x14ac:dyDescent="0.25">
      <c r="D12" s="34">
        <v>44629</v>
      </c>
      <c r="E12" s="24"/>
      <c r="F12" s="24"/>
      <c r="G12" s="24">
        <f t="shared" si="3"/>
        <v>0</v>
      </c>
      <c r="H12" s="18">
        <v>1.2611239999999999</v>
      </c>
      <c r="I12" s="24">
        <f t="shared" si="1"/>
        <v>0</v>
      </c>
      <c r="J12" s="25">
        <f t="shared" si="2"/>
        <v>0</v>
      </c>
    </row>
    <row r="13" spans="2:10" s="32" customFormat="1" ht="11.25" customHeight="1" x14ac:dyDescent="0.25">
      <c r="D13" s="34">
        <v>44630</v>
      </c>
      <c r="E13" s="24"/>
      <c r="F13" s="24"/>
      <c r="G13" s="24">
        <f t="shared" si="3"/>
        <v>0</v>
      </c>
      <c r="H13" s="18">
        <v>1.2611239999999999</v>
      </c>
      <c r="I13" s="24">
        <f t="shared" si="1"/>
        <v>0</v>
      </c>
      <c r="J13" s="25">
        <f t="shared" si="2"/>
        <v>0</v>
      </c>
    </row>
    <row r="14" spans="2:10" s="32" customFormat="1" ht="11.25" customHeight="1" x14ac:dyDescent="0.25">
      <c r="D14" s="34">
        <v>44631</v>
      </c>
      <c r="E14" s="24"/>
      <c r="F14" s="24"/>
      <c r="G14" s="24">
        <f t="shared" si="3"/>
        <v>0</v>
      </c>
      <c r="H14" s="18">
        <v>1.2611239999999999</v>
      </c>
      <c r="I14" s="24">
        <f t="shared" si="1"/>
        <v>0</v>
      </c>
      <c r="J14" s="25">
        <f t="shared" si="2"/>
        <v>0</v>
      </c>
    </row>
    <row r="15" spans="2:10" s="32" customFormat="1" ht="11.25" customHeight="1" x14ac:dyDescent="0.25">
      <c r="D15" s="34">
        <v>44632</v>
      </c>
      <c r="E15" s="24"/>
      <c r="F15" s="24"/>
      <c r="G15" s="24">
        <f t="shared" si="3"/>
        <v>0</v>
      </c>
      <c r="H15" s="18">
        <v>1.2611239999999999</v>
      </c>
      <c r="I15" s="24">
        <f t="shared" si="1"/>
        <v>0</v>
      </c>
      <c r="J15" s="25">
        <f t="shared" si="2"/>
        <v>0</v>
      </c>
    </row>
    <row r="16" spans="2:10" s="32" customFormat="1" ht="11.25" customHeight="1" x14ac:dyDescent="0.25">
      <c r="D16" s="34">
        <v>44633</v>
      </c>
      <c r="E16" s="24"/>
      <c r="F16" s="24"/>
      <c r="G16" s="24">
        <f t="shared" si="3"/>
        <v>0</v>
      </c>
      <c r="H16" s="18">
        <v>1.2611239999999999</v>
      </c>
      <c r="I16" s="24">
        <f t="shared" si="1"/>
        <v>0</v>
      </c>
      <c r="J16" s="25">
        <f t="shared" si="2"/>
        <v>0</v>
      </c>
    </row>
    <row r="17" spans="4:10" s="32" customFormat="1" ht="11.25" customHeight="1" x14ac:dyDescent="0.25">
      <c r="D17" s="34">
        <v>44634</v>
      </c>
      <c r="E17" s="24"/>
      <c r="F17" s="24"/>
      <c r="G17" s="24">
        <f t="shared" si="3"/>
        <v>0</v>
      </c>
      <c r="H17" s="18">
        <v>1.2611239999999999</v>
      </c>
      <c r="I17" s="24">
        <f t="shared" si="1"/>
        <v>0</v>
      </c>
      <c r="J17" s="25">
        <f t="shared" si="2"/>
        <v>0</v>
      </c>
    </row>
    <row r="18" spans="4:10" s="32" customFormat="1" ht="11.25" customHeight="1" x14ac:dyDescent="0.25">
      <c r="D18" s="34">
        <v>44635</v>
      </c>
      <c r="E18" s="24"/>
      <c r="F18" s="24"/>
      <c r="G18" s="24">
        <f t="shared" si="3"/>
        <v>0</v>
      </c>
      <c r="H18" s="18">
        <v>1.2611239999999999</v>
      </c>
      <c r="I18" s="24">
        <f t="shared" si="1"/>
        <v>0</v>
      </c>
      <c r="J18" s="25">
        <f t="shared" si="2"/>
        <v>0</v>
      </c>
    </row>
    <row r="19" spans="4:10" s="32" customFormat="1" ht="11.25" customHeight="1" x14ac:dyDescent="0.25">
      <c r="D19" s="34">
        <v>44636</v>
      </c>
      <c r="E19" s="24"/>
      <c r="F19" s="24"/>
      <c r="G19" s="24">
        <f t="shared" si="3"/>
        <v>0</v>
      </c>
      <c r="H19" s="18">
        <v>1.2611239999999999</v>
      </c>
      <c r="I19" s="24">
        <f t="shared" si="1"/>
        <v>0</v>
      </c>
      <c r="J19" s="25">
        <f t="shared" si="2"/>
        <v>0</v>
      </c>
    </row>
    <row r="20" spans="4:10" s="32" customFormat="1" ht="11.25" customHeight="1" x14ac:dyDescent="0.25">
      <c r="D20" s="34">
        <v>44637</v>
      </c>
      <c r="E20" s="24"/>
      <c r="F20" s="24"/>
      <c r="G20" s="24">
        <f t="shared" si="3"/>
        <v>0</v>
      </c>
      <c r="H20" s="18">
        <v>1.2611239999999999</v>
      </c>
      <c r="I20" s="24">
        <f t="shared" si="1"/>
        <v>0</v>
      </c>
      <c r="J20" s="25">
        <f t="shared" si="2"/>
        <v>0</v>
      </c>
    </row>
    <row r="21" spans="4:10" s="32" customFormat="1" ht="11.25" customHeight="1" x14ac:dyDescent="0.25">
      <c r="D21" s="34">
        <v>44638</v>
      </c>
      <c r="E21" s="24"/>
      <c r="F21" s="24"/>
      <c r="G21" s="24">
        <f t="shared" si="3"/>
        <v>0</v>
      </c>
      <c r="H21" s="18">
        <v>1.2611239999999999</v>
      </c>
      <c r="I21" s="24">
        <f t="shared" si="1"/>
        <v>0</v>
      </c>
      <c r="J21" s="25">
        <f t="shared" si="2"/>
        <v>0</v>
      </c>
    </row>
    <row r="22" spans="4:10" s="32" customFormat="1" ht="11.25" customHeight="1" x14ac:dyDescent="0.25">
      <c r="D22" s="34">
        <v>44639</v>
      </c>
      <c r="E22" s="24"/>
      <c r="F22" s="24"/>
      <c r="G22" s="24">
        <f t="shared" si="3"/>
        <v>0</v>
      </c>
      <c r="H22" s="18">
        <v>1.2611239999999999</v>
      </c>
      <c r="I22" s="24">
        <f t="shared" si="1"/>
        <v>0</v>
      </c>
      <c r="J22" s="25">
        <f t="shared" si="2"/>
        <v>0</v>
      </c>
    </row>
    <row r="23" spans="4:10" s="32" customFormat="1" ht="11.25" customHeight="1" x14ac:dyDescent="0.25">
      <c r="D23" s="34">
        <v>44640</v>
      </c>
      <c r="E23" s="24"/>
      <c r="F23" s="24"/>
      <c r="G23" s="24">
        <f t="shared" si="3"/>
        <v>0</v>
      </c>
      <c r="H23" s="18">
        <v>1.2611239999999999</v>
      </c>
      <c r="I23" s="24">
        <f t="shared" si="1"/>
        <v>0</v>
      </c>
      <c r="J23" s="25">
        <f t="shared" si="2"/>
        <v>0</v>
      </c>
    </row>
    <row r="24" spans="4:10" s="32" customFormat="1" ht="11.25" customHeight="1" x14ac:dyDescent="0.25">
      <c r="D24" s="34">
        <v>44641</v>
      </c>
      <c r="E24" s="24"/>
      <c r="F24" s="24"/>
      <c r="G24" s="24">
        <f t="shared" si="3"/>
        <v>0</v>
      </c>
      <c r="H24" s="18">
        <v>1.2611239999999999</v>
      </c>
      <c r="I24" s="24">
        <f t="shared" si="1"/>
        <v>0</v>
      </c>
      <c r="J24" s="25">
        <f t="shared" si="2"/>
        <v>0</v>
      </c>
    </row>
    <row r="25" spans="4:10" s="32" customFormat="1" ht="11.25" customHeight="1" x14ac:dyDescent="0.25">
      <c r="D25" s="34">
        <v>44642</v>
      </c>
      <c r="E25" s="24"/>
      <c r="F25" s="24"/>
      <c r="G25" s="24">
        <f t="shared" si="3"/>
        <v>0</v>
      </c>
      <c r="H25" s="18">
        <v>1.2611239999999999</v>
      </c>
      <c r="I25" s="24">
        <f t="shared" si="1"/>
        <v>0</v>
      </c>
      <c r="J25" s="25">
        <f t="shared" si="2"/>
        <v>0</v>
      </c>
    </row>
    <row r="26" spans="4:10" s="32" customFormat="1" ht="11.25" customHeight="1" x14ac:dyDescent="0.25">
      <c r="D26" s="34">
        <v>44643</v>
      </c>
      <c r="E26" s="24"/>
      <c r="F26" s="24"/>
      <c r="G26" s="24">
        <f t="shared" si="3"/>
        <v>0</v>
      </c>
      <c r="H26" s="18">
        <v>1.2611239999999999</v>
      </c>
      <c r="I26" s="24">
        <f t="shared" si="1"/>
        <v>0</v>
      </c>
      <c r="J26" s="25">
        <f t="shared" si="2"/>
        <v>0</v>
      </c>
    </row>
    <row r="27" spans="4:10" s="32" customFormat="1" ht="11.25" customHeight="1" x14ac:dyDescent="0.25">
      <c r="D27" s="34">
        <v>44644</v>
      </c>
      <c r="E27" s="24"/>
      <c r="F27" s="24"/>
      <c r="G27" s="24">
        <f t="shared" si="3"/>
        <v>0</v>
      </c>
      <c r="H27" s="18">
        <v>1.2611239999999999</v>
      </c>
      <c r="I27" s="24">
        <f t="shared" si="1"/>
        <v>0</v>
      </c>
      <c r="J27" s="25">
        <f t="shared" si="2"/>
        <v>0</v>
      </c>
    </row>
    <row r="28" spans="4:10" s="32" customFormat="1" ht="11.25" customHeight="1" x14ac:dyDescent="0.25">
      <c r="D28" s="34">
        <v>44645</v>
      </c>
      <c r="E28" s="24"/>
      <c r="F28" s="24"/>
      <c r="G28" s="24">
        <f>E28+F28</f>
        <v>0</v>
      </c>
      <c r="H28" s="18">
        <v>1.2611239999999999</v>
      </c>
      <c r="I28" s="24">
        <f t="shared" si="1"/>
        <v>0</v>
      </c>
      <c r="J28" s="25">
        <f>I28-I27</f>
        <v>0</v>
      </c>
    </row>
    <row r="29" spans="4:10" s="32" customFormat="1" ht="11.25" customHeight="1" x14ac:dyDescent="0.25">
      <c r="D29" s="34">
        <v>44646</v>
      </c>
      <c r="E29" s="24"/>
      <c r="F29" s="24"/>
      <c r="G29" s="24">
        <f>E29+F29</f>
        <v>0</v>
      </c>
      <c r="H29" s="18">
        <v>1.2611239999999999</v>
      </c>
      <c r="I29" s="24">
        <f t="shared" si="1"/>
        <v>0</v>
      </c>
      <c r="J29" s="25">
        <f>I29-I28</f>
        <v>0</v>
      </c>
    </row>
    <row r="30" spans="4:10" s="32" customFormat="1" ht="11.25" customHeight="1" x14ac:dyDescent="0.25">
      <c r="D30" s="34">
        <v>44647</v>
      </c>
      <c r="E30" s="24"/>
      <c r="F30" s="24"/>
      <c r="G30" s="24">
        <f>E30+F30</f>
        <v>0</v>
      </c>
      <c r="H30" s="18">
        <v>1.2611239999999999</v>
      </c>
      <c r="I30" s="24">
        <f t="shared" si="1"/>
        <v>0</v>
      </c>
      <c r="J30" s="25">
        <f>I30-I29</f>
        <v>0</v>
      </c>
    </row>
    <row r="31" spans="4:10" s="32" customFormat="1" ht="11.25" customHeight="1" x14ac:dyDescent="0.25">
      <c r="D31" s="34">
        <v>44648</v>
      </c>
      <c r="E31" s="24"/>
      <c r="F31" s="24"/>
      <c r="G31" s="24">
        <f>E31+F31</f>
        <v>0</v>
      </c>
      <c r="H31" s="18">
        <v>1.2611239999999999</v>
      </c>
      <c r="I31" s="24">
        <f t="shared" si="1"/>
        <v>0</v>
      </c>
      <c r="J31" s="25">
        <f>I31-I30</f>
        <v>0</v>
      </c>
    </row>
    <row r="32" spans="4:10" s="32" customFormat="1" ht="11.25" customHeight="1" x14ac:dyDescent="0.25">
      <c r="D32" s="34">
        <v>44649</v>
      </c>
      <c r="E32" s="24"/>
      <c r="F32" s="24"/>
      <c r="G32" s="24">
        <f t="shared" ref="G32:G34" si="4">E32+F32</f>
        <v>0</v>
      </c>
      <c r="H32" s="18">
        <v>1.2611239999999999</v>
      </c>
      <c r="I32" s="24">
        <f t="shared" si="1"/>
        <v>0</v>
      </c>
      <c r="J32" s="25">
        <f t="shared" ref="J32:J34" si="5">I32-I31</f>
        <v>0</v>
      </c>
    </row>
    <row r="33" spans="4:10" s="32" customFormat="1" ht="11.25" customHeight="1" x14ac:dyDescent="0.25">
      <c r="D33" s="34">
        <v>44650</v>
      </c>
      <c r="E33" s="24"/>
      <c r="F33" s="24"/>
      <c r="G33" s="24">
        <f t="shared" si="4"/>
        <v>0</v>
      </c>
      <c r="H33" s="18">
        <v>1.2611239999999999</v>
      </c>
      <c r="I33" s="24">
        <f t="shared" si="1"/>
        <v>0</v>
      </c>
      <c r="J33" s="25">
        <f t="shared" si="5"/>
        <v>0</v>
      </c>
    </row>
    <row r="34" spans="4:10" s="32" customFormat="1" ht="11.25" customHeight="1" x14ac:dyDescent="0.25">
      <c r="D34" s="34">
        <v>44651</v>
      </c>
      <c r="E34" s="24"/>
      <c r="F34" s="24"/>
      <c r="G34" s="24">
        <f t="shared" si="4"/>
        <v>0</v>
      </c>
      <c r="H34" s="18">
        <v>1.2611239999999999</v>
      </c>
      <c r="I34" s="24">
        <f t="shared" si="1"/>
        <v>0</v>
      </c>
      <c r="J34" s="25">
        <f t="shared" si="5"/>
        <v>0</v>
      </c>
    </row>
    <row r="35" spans="4:10" s="32" customFormat="1" ht="11.25" customHeight="1" x14ac:dyDescent="0.25">
      <c r="D35" s="36" t="s">
        <v>28</v>
      </c>
      <c r="E35" s="43"/>
      <c r="F35" s="43"/>
      <c r="G35" s="43"/>
      <c r="H35" s="18"/>
      <c r="I35" s="44"/>
      <c r="J35" s="38">
        <f>SUM(J4:J31)</f>
        <v>-1176540.4133199998</v>
      </c>
    </row>
    <row r="36" spans="4:10" s="32" customFormat="1" ht="11.25" customHeight="1" x14ac:dyDescent="0.25">
      <c r="D36" s="34"/>
      <c r="E36" s="24"/>
      <c r="F36" s="24"/>
      <c r="G36" s="24"/>
      <c r="H36" s="18"/>
      <c r="I36" s="24"/>
      <c r="J36" s="25"/>
    </row>
    <row r="37" spans="4:10" s="32" customFormat="1" ht="11.25" customHeight="1" x14ac:dyDescent="0.25">
      <c r="D37" s="36"/>
      <c r="E37" s="43"/>
      <c r="F37" s="43"/>
      <c r="G37" s="43"/>
      <c r="H37" s="43"/>
      <c r="I37" s="44"/>
      <c r="J37" s="38"/>
    </row>
    <row r="38" spans="4:10" ht="12" customHeight="1" x14ac:dyDescent="0.25"/>
    <row r="39" spans="4:10" ht="12.75" customHeight="1" x14ac:dyDescent="0.25"/>
    <row r="40" spans="4:10" ht="12.75" customHeight="1" x14ac:dyDescent="0.25">
      <c r="D40" s="40"/>
    </row>
    <row r="41" spans="4:10" ht="12.75" customHeight="1" x14ac:dyDescent="0.25">
      <c r="D41" s="41"/>
    </row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8.1" customHeight="1" x14ac:dyDescent="0.25"/>
    <row r="58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5"/>
  <sheetViews>
    <sheetView workbookViewId="0">
      <selection activeCell="F9" sqref="F9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35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44621</v>
      </c>
      <c r="F4" s="68">
        <v>4818.1189999999997</v>
      </c>
      <c r="G4" s="23">
        <v>2760</v>
      </c>
      <c r="H4" s="29">
        <f>G4*F4</f>
        <v>13298008.439999999</v>
      </c>
      <c r="I4" s="25" t="e">
        <f>H4-H3</f>
        <v>#VALUE!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44622</v>
      </c>
      <c r="F5" s="68">
        <v>4818.5870000000004</v>
      </c>
      <c r="G5" s="23">
        <v>2760</v>
      </c>
      <c r="H5" s="24">
        <f t="shared" ref="H5:H27" si="0">G5*F5</f>
        <v>13299300.120000001</v>
      </c>
      <c r="I5" s="25">
        <f t="shared" ref="I5:I34" si="1">H5-H4</f>
        <v>1291.6800000015646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44623</v>
      </c>
      <c r="F6" s="68">
        <v>4819.1809999999996</v>
      </c>
      <c r="G6" s="23">
        <v>2760</v>
      </c>
      <c r="H6" s="24">
        <f t="shared" si="0"/>
        <v>13300939.559999999</v>
      </c>
      <c r="I6" s="25">
        <f t="shared" si="1"/>
        <v>1639.4399999976158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44624</v>
      </c>
      <c r="F7" s="68">
        <v>4819.8069999999998</v>
      </c>
      <c r="G7" s="23">
        <v>2760</v>
      </c>
      <c r="H7" s="24">
        <f t="shared" si="0"/>
        <v>13302667.32</v>
      </c>
      <c r="I7" s="25">
        <f t="shared" si="1"/>
        <v>1727.7600000016391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44625</v>
      </c>
      <c r="F8" s="68">
        <v>4820.4399999999996</v>
      </c>
      <c r="G8" s="23">
        <v>2760</v>
      </c>
      <c r="H8" s="24">
        <f>G8*F8</f>
        <v>13304414.399999999</v>
      </c>
      <c r="I8" s="25">
        <f>H8-H7</f>
        <v>1747.0799999982119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44626</v>
      </c>
      <c r="F9" s="68"/>
      <c r="G9" s="23">
        <v>2760</v>
      </c>
      <c r="H9" s="24">
        <f>G9*F9</f>
        <v>0</v>
      </c>
      <c r="I9" s="25">
        <f>H9-H8</f>
        <v>-13304414.399999999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44627</v>
      </c>
      <c r="F10" s="68"/>
      <c r="G10" s="23">
        <v>2760</v>
      </c>
      <c r="H10" s="24">
        <f t="shared" si="0"/>
        <v>0</v>
      </c>
      <c r="I10" s="25">
        <f t="shared" si="1"/>
        <v>0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44628</v>
      </c>
      <c r="F11" s="68"/>
      <c r="G11" s="23">
        <v>2760</v>
      </c>
      <c r="H11" s="24">
        <f t="shared" si="0"/>
        <v>0</v>
      </c>
      <c r="I11" s="25">
        <f t="shared" si="1"/>
        <v>0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44629</v>
      </c>
      <c r="F12" s="68"/>
      <c r="G12" s="23">
        <v>2760</v>
      </c>
      <c r="H12" s="24">
        <f t="shared" si="0"/>
        <v>0</v>
      </c>
      <c r="I12" s="25">
        <f t="shared" si="1"/>
        <v>0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44630</v>
      </c>
      <c r="F13" s="68"/>
      <c r="G13" s="23">
        <v>2760</v>
      </c>
      <c r="H13" s="24">
        <f t="shared" si="0"/>
        <v>0</v>
      </c>
      <c r="I13" s="25">
        <f t="shared" si="1"/>
        <v>0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44631</v>
      </c>
      <c r="F14" s="68"/>
      <c r="G14" s="23">
        <v>2760</v>
      </c>
      <c r="H14" s="24">
        <f t="shared" si="0"/>
        <v>0</v>
      </c>
      <c r="I14" s="25">
        <f t="shared" si="1"/>
        <v>0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44632</v>
      </c>
      <c r="F15" s="68"/>
      <c r="G15" s="23">
        <v>2760</v>
      </c>
      <c r="H15" s="24">
        <f t="shared" si="0"/>
        <v>0</v>
      </c>
      <c r="I15" s="25">
        <f t="shared" si="1"/>
        <v>0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44633</v>
      </c>
      <c r="F16" s="68"/>
      <c r="G16" s="23">
        <v>2760</v>
      </c>
      <c r="H16" s="24">
        <f t="shared" si="0"/>
        <v>0</v>
      </c>
      <c r="I16" s="25">
        <f t="shared" si="1"/>
        <v>0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44634</v>
      </c>
      <c r="F17" s="68"/>
      <c r="G17" s="23">
        <v>2760</v>
      </c>
      <c r="H17" s="24">
        <f t="shared" si="0"/>
        <v>0</v>
      </c>
      <c r="I17" s="25">
        <f t="shared" si="1"/>
        <v>0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44635</v>
      </c>
      <c r="F18" s="68"/>
      <c r="G18" s="23">
        <v>2760</v>
      </c>
      <c r="H18" s="24">
        <f t="shared" si="0"/>
        <v>0</v>
      </c>
      <c r="I18" s="25">
        <f t="shared" si="1"/>
        <v>0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44636</v>
      </c>
      <c r="F19" s="68"/>
      <c r="G19" s="23">
        <v>2760</v>
      </c>
      <c r="H19" s="24">
        <f t="shared" si="0"/>
        <v>0</v>
      </c>
      <c r="I19" s="25">
        <f t="shared" si="1"/>
        <v>0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44637</v>
      </c>
      <c r="F20" s="68"/>
      <c r="G20" s="23">
        <v>2760</v>
      </c>
      <c r="H20" s="24">
        <f t="shared" si="0"/>
        <v>0</v>
      </c>
      <c r="I20" s="25">
        <f t="shared" si="1"/>
        <v>0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44638</v>
      </c>
      <c r="F21" s="68"/>
      <c r="G21" s="23">
        <v>2760</v>
      </c>
      <c r="H21" s="24">
        <f t="shared" si="0"/>
        <v>0</v>
      </c>
      <c r="I21" s="25">
        <f t="shared" si="1"/>
        <v>0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44639</v>
      </c>
      <c r="F22" s="68"/>
      <c r="G22" s="23">
        <v>2760</v>
      </c>
      <c r="H22" s="24">
        <f t="shared" si="0"/>
        <v>0</v>
      </c>
      <c r="I22" s="25">
        <f t="shared" si="1"/>
        <v>0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44640</v>
      </c>
      <c r="F23" s="68"/>
      <c r="G23" s="23">
        <v>2760</v>
      </c>
      <c r="H23" s="24">
        <f t="shared" si="0"/>
        <v>0</v>
      </c>
      <c r="I23" s="25">
        <f t="shared" si="1"/>
        <v>0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44641</v>
      </c>
      <c r="F24" s="68"/>
      <c r="G24" s="23">
        <v>2760</v>
      </c>
      <c r="H24" s="24">
        <f t="shared" si="0"/>
        <v>0</v>
      </c>
      <c r="I24" s="25">
        <f t="shared" si="1"/>
        <v>0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44642</v>
      </c>
      <c r="F25" s="68"/>
      <c r="G25" s="23">
        <v>2760</v>
      </c>
      <c r="H25" s="24">
        <f t="shared" si="0"/>
        <v>0</v>
      </c>
      <c r="I25" s="25">
        <f t="shared" si="1"/>
        <v>0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44643</v>
      </c>
      <c r="F26" s="70"/>
      <c r="G26" s="28">
        <v>2760</v>
      </c>
      <c r="H26" s="29">
        <f t="shared" si="0"/>
        <v>0</v>
      </c>
      <c r="I26" s="25">
        <f t="shared" si="1"/>
        <v>0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44644</v>
      </c>
      <c r="F27" s="70"/>
      <c r="G27" s="28">
        <v>2760</v>
      </c>
      <c r="H27" s="29">
        <f t="shared" si="0"/>
        <v>0</v>
      </c>
      <c r="I27" s="25">
        <f t="shared" si="1"/>
        <v>0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44645</v>
      </c>
      <c r="F28" s="70"/>
      <c r="G28" s="28">
        <v>2760</v>
      </c>
      <c r="H28" s="29">
        <f>G28*F28</f>
        <v>0</v>
      </c>
      <c r="I28" s="25">
        <f t="shared" si="1"/>
        <v>0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44646</v>
      </c>
      <c r="F29" s="70"/>
      <c r="G29" s="28">
        <v>2760</v>
      </c>
      <c r="H29" s="29">
        <f>G29*F29</f>
        <v>0</v>
      </c>
      <c r="I29" s="25">
        <f t="shared" si="1"/>
        <v>0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44647</v>
      </c>
      <c r="F30" s="70"/>
      <c r="G30" s="28">
        <v>2760</v>
      </c>
      <c r="H30" s="29">
        <f>G30*F30</f>
        <v>0</v>
      </c>
      <c r="I30" s="25">
        <f t="shared" si="1"/>
        <v>0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44648</v>
      </c>
      <c r="F31" s="70"/>
      <c r="G31" s="28">
        <v>2760</v>
      </c>
      <c r="H31" s="29">
        <f>G31*F31</f>
        <v>0</v>
      </c>
      <c r="I31" s="25">
        <f t="shared" si="1"/>
        <v>0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>
        <v>44649</v>
      </c>
      <c r="F32" s="70"/>
      <c r="G32" s="28">
        <v>2760</v>
      </c>
      <c r="H32" s="29">
        <f>G32*F32</f>
        <v>0</v>
      </c>
      <c r="I32" s="25">
        <f t="shared" si="1"/>
        <v>0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>
        <v>44650</v>
      </c>
      <c r="F33" s="68"/>
      <c r="G33" s="28">
        <v>2760</v>
      </c>
      <c r="H33" s="29">
        <f t="shared" ref="H33:H34" si="2">G33*F33</f>
        <v>0</v>
      </c>
      <c r="I33" s="25">
        <f t="shared" si="1"/>
        <v>0</v>
      </c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4">
        <v>44651</v>
      </c>
      <c r="F34" s="68"/>
      <c r="G34" s="28">
        <v>2760</v>
      </c>
      <c r="H34" s="29">
        <f t="shared" si="2"/>
        <v>0</v>
      </c>
      <c r="I34" s="25">
        <f t="shared" si="1"/>
        <v>0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 t="s">
        <v>28</v>
      </c>
      <c r="F35" s="37"/>
      <c r="G35" s="37"/>
      <c r="H35" s="29"/>
      <c r="I35" s="69" t="e">
        <f>SUM(I4:I33)</f>
        <v>#VALUE!</v>
      </c>
      <c r="J35" s="60"/>
      <c r="K35" s="61"/>
      <c r="L35" s="34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C36" s="48"/>
      <c r="D36" s="48"/>
      <c r="E36" s="36"/>
      <c r="F36" s="37"/>
      <c r="G36" s="37"/>
      <c r="H36" s="29"/>
      <c r="I36" s="79"/>
      <c r="J36" s="60"/>
      <c r="K36" s="61"/>
      <c r="L36" s="65"/>
      <c r="M36" s="62"/>
      <c r="N36" s="62"/>
      <c r="O36" s="51"/>
      <c r="P36" s="63"/>
      <c r="Q36" s="63"/>
      <c r="R36" s="64"/>
      <c r="S36" s="53"/>
      <c r="T36" s="32"/>
      <c r="U36" s="34"/>
      <c r="V36" s="58"/>
      <c r="W36" s="51"/>
      <c r="X36" s="51"/>
      <c r="Y36" s="25"/>
      <c r="Z36" s="25"/>
      <c r="AA36" s="64"/>
      <c r="AB36" s="53"/>
      <c r="AD36" s="34"/>
      <c r="AE36" s="22"/>
      <c r="AF36" s="27"/>
      <c r="AG36" s="27"/>
      <c r="AH36" s="27"/>
      <c r="AI36" s="28"/>
      <c r="AJ36" s="28"/>
      <c r="AK36" s="54"/>
      <c r="AL36" s="28"/>
      <c r="AM36" s="55"/>
      <c r="AN36" s="28"/>
      <c r="AO36" s="56"/>
      <c r="AP36" s="57"/>
      <c r="AQ36" s="29"/>
      <c r="AR36" s="25"/>
      <c r="AS36" s="25"/>
    </row>
    <row r="37" spans="3:45" x14ac:dyDescent="0.25">
      <c r="E37" s="17"/>
      <c r="F37" s="17"/>
      <c r="G37" s="17"/>
      <c r="H37" s="17"/>
      <c r="I37" s="39"/>
      <c r="J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V37" s="17"/>
      <c r="W37" s="17"/>
      <c r="Z37" s="66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9"/>
      <c r="AS37" s="17"/>
    </row>
    <row r="38" spans="3:45" x14ac:dyDescent="0.25">
      <c r="D38" s="40" t="s">
        <v>33</v>
      </c>
      <c r="E38" s="40"/>
      <c r="F38" s="67"/>
      <c r="G38" s="31"/>
      <c r="H38" s="17"/>
      <c r="I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AD38" s="17"/>
      <c r="AE38" s="40"/>
      <c r="AF38" s="40"/>
      <c r="AG38" s="40"/>
      <c r="AH38" s="40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39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32"/>
      <c r="L41" s="17"/>
      <c r="M41" s="17"/>
      <c r="N41" s="17"/>
      <c r="O41" s="17"/>
      <c r="P41" s="17"/>
      <c r="Q41" s="17"/>
      <c r="R41" s="17"/>
      <c r="S41" s="17"/>
      <c r="T41" s="32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41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41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41"/>
      <c r="F66" s="17"/>
      <c r="G66" s="17"/>
      <c r="H66" s="17"/>
      <c r="I66" s="17"/>
      <c r="J66" s="17"/>
      <c r="K66" s="17"/>
      <c r="L66" s="41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41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41"/>
      <c r="F68" s="17"/>
      <c r="G68" s="17"/>
      <c r="H68" s="17"/>
      <c r="I68" s="17"/>
      <c r="J68" s="17"/>
      <c r="K68" s="17"/>
      <c r="L68" s="41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41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  <row r="85" spans="5:45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2022-03-05T06:23:59Z</dcterms:modified>
</cp:coreProperties>
</file>