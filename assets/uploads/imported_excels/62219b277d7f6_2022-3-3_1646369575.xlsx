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7B513CBE-7782-4D77-AD9F-ACCEE4B0507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4" r:id="rId1"/>
    <sheet name="Electricity" sheetId="1" r:id="rId2"/>
    <sheet name="Wat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" i="1" l="1"/>
  <c r="N39" i="1"/>
  <c r="L39" i="1"/>
  <c r="AW40" i="3"/>
  <c r="E40" i="3"/>
  <c r="G40" i="3"/>
  <c r="I40" i="3"/>
  <c r="K40" i="3"/>
  <c r="M40" i="3"/>
  <c r="O40" i="3"/>
  <c r="Q40" i="3"/>
  <c r="S40" i="3"/>
  <c r="U40" i="3"/>
  <c r="W40" i="3"/>
  <c r="Y40" i="3"/>
  <c r="AA40" i="3"/>
  <c r="AB40" i="3"/>
  <c r="AD40" i="3"/>
  <c r="AE40" i="3"/>
  <c r="AF40" i="3"/>
  <c r="AH40" i="3"/>
  <c r="AJ40" i="3"/>
  <c r="AL40" i="3"/>
  <c r="AN40" i="3"/>
  <c r="AP40" i="3"/>
  <c r="AR40" i="3"/>
  <c r="AT40" i="3"/>
  <c r="AV40" i="3"/>
  <c r="C40" i="3"/>
  <c r="I43" i="1" l="1"/>
  <c r="I40" i="1"/>
  <c r="J39" i="1"/>
  <c r="I39" i="1"/>
  <c r="I42" i="1" s="1"/>
  <c r="I44" i="1" s="1"/>
  <c r="H39" i="1"/>
  <c r="G39" i="1"/>
  <c r="F39" i="1"/>
  <c r="E39" i="1"/>
  <c r="D39" i="1"/>
  <c r="C39" i="1"/>
  <c r="B39" i="1"/>
  <c r="I45" i="1" l="1"/>
  <c r="I46" i="1" s="1"/>
  <c r="H34" i="1" l="1"/>
  <c r="G34" i="1"/>
  <c r="F34" i="1"/>
  <c r="I34" i="1" s="1"/>
  <c r="E34" i="1"/>
  <c r="J34" i="1" s="1"/>
  <c r="I33" i="1"/>
  <c r="H33" i="1"/>
  <c r="G33" i="1"/>
  <c r="F33" i="1"/>
  <c r="E33" i="1"/>
  <c r="J33" i="1" s="1"/>
  <c r="H32" i="1"/>
  <c r="G32" i="1"/>
  <c r="F32" i="1"/>
  <c r="I32" i="1" s="1"/>
  <c r="E32" i="1"/>
  <c r="J32" i="1" s="1"/>
  <c r="I31" i="1"/>
  <c r="H31" i="1"/>
  <c r="G31" i="1"/>
  <c r="F31" i="1"/>
  <c r="E31" i="1"/>
  <c r="J31" i="1" s="1"/>
  <c r="H30" i="1"/>
  <c r="G30" i="1"/>
  <c r="F30" i="1"/>
  <c r="I30" i="1" s="1"/>
  <c r="E30" i="1"/>
  <c r="J30" i="1" s="1"/>
  <c r="I29" i="1"/>
  <c r="H29" i="1"/>
  <c r="G29" i="1"/>
  <c r="F29" i="1"/>
  <c r="E29" i="1"/>
  <c r="J29" i="1" s="1"/>
  <c r="H28" i="1"/>
  <c r="G28" i="1"/>
  <c r="F28" i="1"/>
  <c r="I28" i="1" s="1"/>
  <c r="E28" i="1"/>
  <c r="J28" i="1" s="1"/>
  <c r="I27" i="1"/>
  <c r="H27" i="1"/>
  <c r="G27" i="1"/>
  <c r="F27" i="1"/>
  <c r="E27" i="1"/>
  <c r="J27" i="1" s="1"/>
  <c r="H26" i="1"/>
  <c r="G26" i="1"/>
  <c r="F26" i="1"/>
  <c r="I26" i="1" s="1"/>
  <c r="E26" i="1"/>
  <c r="J26" i="1" s="1"/>
  <c r="I25" i="1"/>
  <c r="H25" i="1"/>
  <c r="G25" i="1"/>
  <c r="F25" i="1"/>
  <c r="E25" i="1"/>
  <c r="J25" i="1" s="1"/>
  <c r="H24" i="1"/>
  <c r="G24" i="1"/>
  <c r="F24" i="1"/>
  <c r="I24" i="1" s="1"/>
  <c r="E24" i="1"/>
  <c r="J24" i="1" s="1"/>
  <c r="I23" i="1"/>
  <c r="H23" i="1"/>
  <c r="G23" i="1"/>
  <c r="F23" i="1"/>
  <c r="E23" i="1"/>
  <c r="J23" i="1" s="1"/>
  <c r="H22" i="1"/>
  <c r="G22" i="1"/>
  <c r="F22" i="1"/>
  <c r="I22" i="1" s="1"/>
  <c r="E22" i="1"/>
  <c r="J22" i="1" s="1"/>
  <c r="I21" i="1"/>
  <c r="H21" i="1"/>
  <c r="G21" i="1"/>
  <c r="F21" i="1"/>
  <c r="E21" i="1"/>
  <c r="J21" i="1" s="1"/>
  <c r="H20" i="1"/>
  <c r="G20" i="1"/>
  <c r="F20" i="1"/>
  <c r="I20" i="1" s="1"/>
  <c r="E20" i="1"/>
  <c r="J20" i="1" s="1"/>
  <c r="I19" i="1"/>
  <c r="H19" i="1"/>
  <c r="G19" i="1"/>
  <c r="F19" i="1"/>
  <c r="E19" i="1"/>
  <c r="J19" i="1" s="1"/>
  <c r="H18" i="1"/>
  <c r="G18" i="1"/>
  <c r="F18" i="1"/>
  <c r="I18" i="1" s="1"/>
  <c r="E18" i="1"/>
  <c r="J18" i="1" s="1"/>
  <c r="I17" i="1"/>
  <c r="H17" i="1"/>
  <c r="G17" i="1"/>
  <c r="F17" i="1"/>
  <c r="E17" i="1"/>
  <c r="J17" i="1" s="1"/>
  <c r="H16" i="1"/>
  <c r="G16" i="1"/>
  <c r="F16" i="1"/>
  <c r="I16" i="1" s="1"/>
  <c r="E16" i="1"/>
  <c r="J16" i="1" s="1"/>
  <c r="I15" i="1"/>
  <c r="H15" i="1"/>
  <c r="G15" i="1"/>
  <c r="F15" i="1"/>
  <c r="E15" i="1"/>
  <c r="J15" i="1" s="1"/>
  <c r="H14" i="1"/>
  <c r="G14" i="1"/>
  <c r="F14" i="1"/>
  <c r="I14" i="1" s="1"/>
  <c r="E14" i="1"/>
  <c r="J14" i="1" s="1"/>
  <c r="I13" i="1"/>
  <c r="H13" i="1"/>
  <c r="G13" i="1"/>
  <c r="F13" i="1"/>
  <c r="E13" i="1"/>
  <c r="J13" i="1" s="1"/>
  <c r="H12" i="1"/>
  <c r="G12" i="1"/>
  <c r="F12" i="1"/>
  <c r="I12" i="1" s="1"/>
  <c r="E12" i="1"/>
  <c r="J12" i="1" s="1"/>
  <c r="I11" i="1"/>
  <c r="H11" i="1"/>
  <c r="G11" i="1"/>
  <c r="F11" i="1"/>
  <c r="E11" i="1"/>
  <c r="J11" i="1" s="1"/>
  <c r="H10" i="1"/>
  <c r="G10" i="1"/>
  <c r="F10" i="1"/>
  <c r="I10" i="1" s="1"/>
  <c r="E10" i="1"/>
  <c r="J10" i="1" s="1"/>
  <c r="I9" i="1"/>
  <c r="H9" i="1"/>
  <c r="G9" i="1"/>
  <c r="F9" i="1"/>
  <c r="E9" i="1"/>
  <c r="J9" i="1" s="1"/>
  <c r="H8" i="1"/>
  <c r="G8" i="1"/>
  <c r="F8" i="1"/>
  <c r="I8" i="1" s="1"/>
  <c r="E8" i="1"/>
  <c r="J8" i="1" s="1"/>
  <c r="I7" i="1"/>
  <c r="H7" i="1"/>
  <c r="G7" i="1"/>
  <c r="F7" i="1"/>
  <c r="E7" i="1"/>
  <c r="J7" i="1" s="1"/>
  <c r="G32" i="4" l="1"/>
  <c r="F32" i="4"/>
  <c r="E32" i="4"/>
  <c r="G2" i="4" l="1"/>
  <c r="G3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1" i="4" l="1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E2" i="4" l="1"/>
  <c r="F10" i="4" l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F20" i="4"/>
  <c r="F21" i="4"/>
  <c r="F25" i="4"/>
  <c r="F29" i="4"/>
  <c r="F5" i="4"/>
  <c r="F9" i="4"/>
  <c r="F13" i="4"/>
  <c r="F17" i="4"/>
  <c r="F22" i="4"/>
  <c r="F26" i="4"/>
  <c r="F30" i="4"/>
  <c r="F23" i="4"/>
  <c r="F27" i="4"/>
  <c r="F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  <comment ref="AI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นำจะส่งไปใช้ 2ที่คือ สปากับอรายเวอร์ศาลาตั้งแต่ปากทางออกไปถึงถนนใหญ่</t>
        </r>
      </text>
    </comment>
    <comment ref="S8" authorId="0" shapeId="0" xr:uid="{B7D12E13-3E25-48C1-97B5-8FA978568AD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HK left 703 bathtub tap open since 21 Jan</t>
        </r>
      </text>
    </comment>
    <comment ref="I16" authorId="0" shapeId="0" xr:uid="{E5C53072-0E65-4AFB-B413-F89B40440FF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Fill Water Villa 205</t>
        </r>
      </text>
    </comment>
  </commentList>
</comments>
</file>

<file path=xl/sharedStrings.xml><?xml version="1.0" encoding="utf-8"?>
<sst xmlns="http://schemas.openxmlformats.org/spreadsheetml/2006/main" count="130" uniqueCount="72">
  <si>
    <t>Site Name</t>
  </si>
  <si>
    <t>Day</t>
  </si>
  <si>
    <t>Month</t>
  </si>
  <si>
    <t>Year</t>
  </si>
  <si>
    <t>Total Electricity Kwh</t>
  </si>
  <si>
    <t>Electricity Tariff ($/Kwh)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</si>
  <si>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</si>
  <si>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</si>
  <si>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</si>
  <si>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</si>
  <si>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</si>
  <si>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</si>
  <si>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</si>
  <si>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</si>
  <si>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</si>
  <si>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</si>
  <si>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</si>
  <si>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</si>
  <si>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</si>
  <si>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</si>
  <si>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</si>
  <si>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</si>
  <si>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</si>
  <si>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</si>
  <si>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</si>
  <si>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</si>
  <si>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</si>
  <si>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</si>
  <si>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</si>
  <si>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>Date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</si>
  <si>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</si>
  <si>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</si>
  <si>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</si>
  <si>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</si>
  <si>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</si>
  <si>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</si>
  <si>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</si>
  <si>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</si>
  <si>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</si>
  <si>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</si>
  <si>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</si>
  <si>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</si>
  <si>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</si>
  <si>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</si>
  <si>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</si>
  <si>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</si>
  <si>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</si>
  <si>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</si>
  <si>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</si>
  <si>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</si>
  <si>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</si>
  <si>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</si>
  <si>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</si>
  <si>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</si>
  <si>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</si>
  <si>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</si>
  <si>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</si>
  <si>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</si>
  <si>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</si>
  <si>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</si>
  <si>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</si>
  <si>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</si>
  <si>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</si>
  <si>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Remark</t>
  </si>
  <si>
    <t>FT cost</t>
  </si>
  <si>
    <t>Baht</t>
  </si>
  <si>
    <t>Vat  7%</t>
  </si>
  <si>
    <t>Peak Demand</t>
  </si>
  <si>
    <t xml:space="preserve">             Peak Demand</t>
  </si>
  <si>
    <t>Time</t>
  </si>
  <si>
    <t xml:space="preserve">Service  </t>
  </si>
  <si>
    <t xml:space="preserve">Electric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</si>
</sst>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79">
    <xf numFmtId="0" fontId="0" fillId="0" borderId="0" xfId="0"/>
    <xf numFmtId="0" fontId="3" fillId="0" borderId="0" xfId="2" applyFo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3" fillId="8" borderId="13" xfId="2" applyFont="1" applyFill="1" applyBorder="1" applyAlignment="1">
      <alignment horizontal="center" vertical="center"/>
    </xf>
    <xf numFmtId="0" fontId="9" fillId="0" borderId="0" xfId="2" applyFont="1"/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6" xfId="1" quotePrefix="1" applyNumberFormat="1" applyFont="1" applyBorder="1" applyAlignment="1"/>
    <xf numFmtId="0" fontId="8" fillId="0" borderId="0" xfId="2" quotePrefix="1" applyFont="1"/>
    <xf numFmtId="165" fontId="3" fillId="0" borderId="0" xfId="1" applyNumberFormat="1" applyFont="1" applyAlignment="1"/>
    <xf numFmtId="9" fontId="3" fillId="0" borderId="0" xfId="2" applyNumberFormat="1" applyFont="1" applyAlignment="1">
      <alignment horizontal="center"/>
    </xf>
    <xf numFmtId="165" fontId="3" fillId="13" borderId="0" xfId="2" applyNumberFormat="1" applyFont="1" applyFill="1"/>
    <xf numFmtId="0" fontId="11" fillId="0" borderId="0" xfId="2" applyFont="1" applyAlignment="1">
      <alignment horizontal="right"/>
    </xf>
    <xf numFmtId="0" fontId="11" fillId="0" borderId="0" xfId="2" applyFont="1"/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14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wrapText="1"/>
    </xf>
    <xf numFmtId="0" fontId="21" fillId="13" borderId="0" xfId="0" applyFont="1" applyFill="1" applyAlignment="1">
      <alignment horizont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15" borderId="16" xfId="0" applyFont="1" applyFill="1" applyBorder="1" applyAlignment="1">
      <alignment horizontal="center" vertical="center" wrapText="1"/>
    </xf>
    <xf numFmtId="0" fontId="24" fillId="13" borderId="16" xfId="0" applyFont="1" applyFill="1" applyBorder="1" applyAlignment="1">
      <alignment horizontal="center" vertical="center" wrapText="1"/>
    </xf>
    <xf numFmtId="0" fontId="24" fillId="8" borderId="16" xfId="0" applyFont="1" applyFill="1" applyBorder="1" applyAlignment="1">
      <alignment horizontal="center" vertical="center" wrapText="1"/>
    </xf>
    <xf numFmtId="0" fontId="24" fillId="10" borderId="16" xfId="0" applyFont="1" applyFill="1" applyBorder="1" applyAlignment="1">
      <alignment horizontal="center" vertical="center" wrapText="1"/>
    </xf>
    <xf numFmtId="0" fontId="24" fillId="11" borderId="16" xfId="0" applyFont="1" applyFill="1" applyBorder="1" applyAlignment="1">
      <alignment horizontal="center" vertical="center" wrapText="1"/>
    </xf>
    <xf numFmtId="0" fontId="24" fillId="12" borderId="16" xfId="0" applyFont="1" applyFill="1" applyBorder="1" applyAlignment="1">
      <alignment horizontal="center" vertical="center" wrapText="1"/>
    </xf>
    <xf numFmtId="0" fontId="24" fillId="9" borderId="16" xfId="0" applyFont="1" applyFill="1" applyBorder="1" applyAlignment="1">
      <alignment horizontal="center" vertical="center" wrapText="1"/>
    </xf>
    <xf numFmtId="0" fontId="24" fillId="16" borderId="16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0" fontId="24" fillId="18" borderId="16" xfId="0" applyFont="1" applyFill="1" applyBorder="1" applyAlignment="1">
      <alignment horizontal="center" vertical="center" wrapText="1"/>
    </xf>
    <xf numFmtId="0" fontId="24" fillId="19" borderId="16" xfId="0" applyFont="1" applyFill="1" applyBorder="1" applyAlignment="1">
      <alignment horizontal="center" vertical="center" wrapText="1"/>
    </xf>
    <xf numFmtId="0" fontId="24" fillId="20" borderId="16" xfId="0" applyFont="1" applyFill="1" applyBorder="1" applyAlignment="1">
      <alignment horizontal="center" vertical="center" wrapText="1"/>
    </xf>
    <xf numFmtId="0" fontId="24" fillId="20" borderId="17" xfId="0" applyFont="1" applyFill="1" applyBorder="1" applyAlignment="1">
      <alignment horizontal="center" vertical="center" wrapText="1"/>
    </xf>
    <xf numFmtId="0" fontId="24" fillId="21" borderId="16" xfId="0" applyFont="1" applyFill="1" applyBorder="1" applyAlignment="1">
      <alignment horizontal="center" vertical="center" wrapText="1"/>
    </xf>
    <xf numFmtId="0" fontId="25" fillId="22" borderId="16" xfId="0" applyFont="1" applyFill="1" applyBorder="1" applyAlignment="1">
      <alignment horizontal="left" vertical="center" wrapText="1" indent="1"/>
    </xf>
    <xf numFmtId="0" fontId="24" fillId="22" borderId="16" xfId="0" applyFont="1" applyFill="1" applyBorder="1" applyAlignment="1">
      <alignment horizontal="center" vertical="center" wrapText="1"/>
    </xf>
    <xf numFmtId="0" fontId="24" fillId="23" borderId="16" xfId="0" applyFont="1" applyFill="1" applyBorder="1" applyAlignment="1">
      <alignment horizontal="center" vertical="center" wrapText="1"/>
    </xf>
    <xf numFmtId="0" fontId="24" fillId="24" borderId="16" xfId="0" applyFont="1" applyFill="1" applyBorder="1" applyAlignment="1">
      <alignment horizontal="center" vertical="center" wrapText="1"/>
    </xf>
    <xf numFmtId="0" fontId="24" fillId="25" borderId="16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7" fillId="13" borderId="19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4" fillId="26" borderId="16" xfId="0" applyFont="1" applyFill="1" applyBorder="1" applyAlignment="1">
      <alignment horizontal="center"/>
    </xf>
    <xf numFmtId="0" fontId="14" fillId="26" borderId="20" xfId="0" applyFont="1" applyFill="1" applyBorder="1" applyAlignment="1">
      <alignment horizontal="center"/>
    </xf>
    <xf numFmtId="2" fontId="14" fillId="26" borderId="21" xfId="0" applyNumberFormat="1" applyFont="1" applyFill="1" applyBorder="1" applyAlignment="1">
      <alignment horizontal="center" vertical="center"/>
    </xf>
    <xf numFmtId="0" fontId="14" fillId="0" borderId="0" xfId="0" applyFont="1"/>
    <xf numFmtId="0" fontId="17" fillId="2" borderId="22" xfId="0" applyFont="1" applyFill="1" applyBorder="1" applyAlignment="1">
      <alignment horizontal="center"/>
    </xf>
    <xf numFmtId="2" fontId="17" fillId="0" borderId="23" xfId="0" applyNumberFormat="1" applyFont="1" applyBorder="1" applyAlignment="1">
      <alignment horizontal="center" vertical="center"/>
    </xf>
    <xf numFmtId="0" fontId="17" fillId="0" borderId="6" xfId="0" applyFont="1" applyBorder="1"/>
    <xf numFmtId="0" fontId="17" fillId="2" borderId="20" xfId="0" applyFont="1" applyFill="1" applyBorder="1" applyAlignment="1">
      <alignment horizontal="center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16" fillId="0" borderId="6" xfId="3" applyFont="1" applyBorder="1" applyAlignment="1">
      <alignment horizontal="center" vertical="center"/>
    </xf>
    <xf numFmtId="0" fontId="19" fillId="0" borderId="6" xfId="3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2" fontId="19" fillId="0" borderId="6" xfId="3" applyNumberFormat="1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2" fillId="0" borderId="0" xfId="3"/>
    <xf numFmtId="0" fontId="36" fillId="0" borderId="6" xfId="3" applyFont="1" applyBorder="1" applyAlignment="1">
      <alignment horizontal="center"/>
    </xf>
    <xf numFmtId="0" fontId="16" fillId="0" borderId="6" xfId="3" applyFont="1" applyBorder="1" applyAlignment="1">
      <alignment horizontal="center"/>
    </xf>
    <xf numFmtId="0" fontId="19" fillId="0" borderId="6" xfId="3" applyFont="1" applyBorder="1" applyAlignment="1">
      <alignment horizontal="center"/>
    </xf>
    <xf numFmtId="1" fontId="2" fillId="0" borderId="6" xfId="3" applyNumberFormat="1" applyBorder="1" applyAlignment="1">
      <alignment horizontal="center"/>
    </xf>
    <xf numFmtId="2" fontId="15" fillId="0" borderId="6" xfId="3" applyNumberFormat="1" applyFont="1" applyBorder="1" applyAlignment="1">
      <alignment horizontal="center"/>
    </xf>
    <xf numFmtId="1" fontId="15" fillId="0" borderId="6" xfId="3" applyNumberFormat="1" applyFont="1" applyBorder="1" applyAlignment="1">
      <alignment horizontal="center"/>
    </xf>
    <xf numFmtId="4" fontId="7" fillId="16" borderId="6" xfId="2" applyNumberFormat="1" applyFont="1" applyFill="1" applyBorder="1" applyAlignment="1">
      <alignment horizontal="center"/>
    </xf>
    <xf numFmtId="4" fontId="2" fillId="16" borderId="13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wrapText="1"/>
    </xf>
    <xf numFmtId="4" fontId="2" fillId="16" borderId="6" xfId="2" applyNumberFormat="1" applyFill="1" applyBorder="1" applyAlignment="1">
      <alignment horizontal="center" vertical="center" wrapText="1"/>
    </xf>
    <xf numFmtId="4" fontId="2" fillId="16" borderId="6" xfId="2" applyNumberFormat="1" applyFill="1" applyBorder="1" applyAlignment="1">
      <alignment horizontal="center"/>
    </xf>
    <xf numFmtId="0" fontId="27" fillId="0" borderId="25" xfId="0" applyFont="1" applyBorder="1" applyAlignment="1">
      <alignment horizontal="center"/>
    </xf>
    <xf numFmtId="4" fontId="3" fillId="0" borderId="0" xfId="2" applyNumberFormat="1" applyFont="1"/>
    <xf numFmtId="0" fontId="27" fillId="0" borderId="28" xfId="0" applyFont="1" applyBorder="1" applyAlignment="1">
      <alignment horizontal="center"/>
    </xf>
    <xf numFmtId="4" fontId="37" fillId="29" borderId="24" xfId="0" applyNumberFormat="1" applyFont="1" applyFill="1" applyBorder="1"/>
    <xf numFmtId="4" fontId="37" fillId="30" borderId="24" xfId="0" applyNumberFormat="1" applyFont="1" applyFill="1" applyBorder="1"/>
    <xf numFmtId="0" fontId="37" fillId="30" borderId="24" xfId="0" applyFont="1" applyFill="1" applyBorder="1"/>
    <xf numFmtId="4" fontId="7" fillId="31" borderId="24" xfId="0" applyNumberFormat="1" applyFont="1" applyFill="1" applyBorder="1" applyAlignment="1">
      <alignment horizontal="center" vertical="center"/>
    </xf>
    <xf numFmtId="0" fontId="2" fillId="32" borderId="24" xfId="0" applyFont="1" applyFill="1" applyBorder="1"/>
    <xf numFmtId="0" fontId="27" fillId="0" borderId="27" xfId="0" applyFont="1" applyBorder="1" applyAlignment="1">
      <alignment horizontal="center"/>
    </xf>
    <xf numFmtId="4" fontId="2" fillId="28" borderId="24" xfId="0" applyNumberFormat="1" applyFont="1" applyFill="1" applyBorder="1" applyAlignment="1">
      <alignment horizontal="right"/>
    </xf>
    <xf numFmtId="0" fontId="2" fillId="28" borderId="24" xfId="0" applyFont="1" applyFill="1" applyBorder="1" applyAlignment="1">
      <alignment horizontal="right" wrapText="1"/>
    </xf>
    <xf numFmtId="0" fontId="2" fillId="28" borderId="24" xfId="0" applyFont="1" applyFill="1" applyBorder="1" applyAlignment="1">
      <alignment horizontal="right" vertical="center" wrapText="1"/>
    </xf>
    <xf numFmtId="168" fontId="2" fillId="27" borderId="25" xfId="1" applyNumberFormat="1" applyFont="1" applyFill="1" applyBorder="1" applyAlignment="1">
      <alignment horizontal="center"/>
    </xf>
    <xf numFmtId="168" fontId="2" fillId="27" borderId="27" xfId="1" applyNumberFormat="1" applyFont="1" applyFill="1" applyBorder="1" applyAlignment="1">
      <alignment horizontal="center"/>
    </xf>
    <xf numFmtId="168" fontId="2" fillId="27" borderId="29" xfId="1" applyNumberFormat="1" applyFont="1" applyFill="1" applyBorder="1" applyAlignment="1">
      <alignment horizontal="center"/>
    </xf>
    <xf numFmtId="168" fontId="38" fillId="27" borderId="29" xfId="1" applyNumberFormat="1" applyFont="1" applyFill="1" applyBorder="1" applyAlignment="1">
      <alignment horizontal="center"/>
    </xf>
    <xf numFmtId="168" fontId="38" fillId="27" borderId="25" xfId="1" applyNumberFormat="1" applyFont="1" applyFill="1" applyBorder="1" applyAlignment="1">
      <alignment horizontal="center"/>
    </xf>
    <xf numFmtId="168" fontId="24" fillId="0" borderId="29" xfId="0" applyNumberFormat="1" applyFont="1" applyBorder="1" applyAlignment="1">
      <alignment horizontal="center"/>
    </xf>
    <xf numFmtId="0" fontId="39" fillId="20" borderId="16" xfId="0" applyFont="1" applyFill="1" applyBorder="1" applyAlignment="1">
      <alignment horizontal="center" vertical="center" wrapText="1"/>
    </xf>
    <xf numFmtId="168" fontId="17" fillId="0" borderId="0" xfId="0" applyNumberFormat="1" applyFont="1" applyAlignment="1">
      <alignment horizontal="center"/>
    </xf>
    <xf numFmtId="0" fontId="3" fillId="0" borderId="31" xfId="2" applyFont="1" applyBorder="1" applyAlignment="1">
      <alignment horizontal="center"/>
    </xf>
    <xf numFmtId="165" fontId="3" fillId="0" borderId="32" xfId="1" applyNumberFormat="1" applyFont="1" applyBorder="1"/>
    <xf numFmtId="165" fontId="6" fillId="0" borderId="32" xfId="1" applyNumberFormat="1" applyFont="1" applyBorder="1"/>
    <xf numFmtId="0" fontId="17" fillId="2" borderId="33" xfId="0" applyFont="1" applyFill="1" applyBorder="1" applyAlignment="1">
      <alignment horizontal="center"/>
    </xf>
    <xf numFmtId="0" fontId="27" fillId="0" borderId="34" xfId="0" applyFont="1" applyBorder="1" applyAlignment="1">
      <alignment horizontal="center"/>
    </xf>
    <xf numFmtId="168" fontId="2" fillId="27" borderId="34" xfId="1" applyNumberFormat="1" applyFont="1" applyFill="1" applyBorder="1" applyAlignment="1">
      <alignment horizontal="center"/>
    </xf>
    <xf numFmtId="168" fontId="24" fillId="0" borderId="33" xfId="0" applyNumberFormat="1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3" fillId="14" borderId="6" xfId="0" applyFont="1" applyFill="1" applyBorder="1" applyAlignment="1">
      <alignment horizontal="center"/>
    </xf>
    <xf numFmtId="4" fontId="7" fillId="14" borderId="6" xfId="2" applyNumberFormat="1" applyFont="1" applyFill="1" applyBorder="1" applyAlignment="1">
      <alignment horizontal="center"/>
    </xf>
    <xf numFmtId="4" fontId="2" fillId="14" borderId="13" xfId="2" applyNumberFormat="1" applyFill="1" applyBorder="1" applyAlignment="1">
      <alignment horizontal="center" wrapText="1"/>
    </xf>
    <xf numFmtId="4" fontId="2" fillId="14" borderId="6" xfId="2" applyNumberFormat="1" applyFill="1" applyBorder="1" applyAlignment="1">
      <alignment horizontal="center" wrapText="1"/>
    </xf>
    <xf numFmtId="4" fontId="2" fillId="14" borderId="6" xfId="2" applyNumberFormat="1" applyFill="1" applyBorder="1" applyAlignment="1">
      <alignment horizontal="center" vertical="center" wrapText="1"/>
    </xf>
    <xf numFmtId="4" fontId="2" fillId="14" borderId="6" xfId="2" applyNumberFormat="1" applyFill="1" applyBorder="1" applyAlignment="1">
      <alignment horizontal="center"/>
    </xf>
    <xf numFmtId="4" fontId="2" fillId="28" borderId="24" xfId="0" applyNumberFormat="1" applyFont="1" applyFill="1" applyBorder="1" applyAlignment="1">
      <alignment horizontal="right" vertical="center"/>
    </xf>
    <xf numFmtId="4" fontId="37" fillId="29" borderId="24" xfId="0" applyNumberFormat="1" applyFont="1" applyFill="1" applyBorder="1" applyAlignment="1">
      <alignment vertical="center"/>
    </xf>
    <xf numFmtId="4" fontId="37" fillId="30" borderId="24" xfId="0" applyNumberFormat="1" applyFont="1" applyFill="1" applyBorder="1" applyAlignment="1">
      <alignment vertical="center"/>
    </xf>
    <xf numFmtId="0" fontId="37" fillId="30" borderId="24" xfId="0" applyFont="1" applyFill="1" applyBorder="1" applyAlignment="1">
      <alignment vertical="center"/>
    </xf>
    <xf numFmtId="0" fontId="2" fillId="32" borderId="24" xfId="0" applyFont="1" applyFill="1" applyBorder="1" applyAlignment="1">
      <alignment vertical="center"/>
    </xf>
    <xf numFmtId="0" fontId="3" fillId="14" borderId="0" xfId="2" applyFont="1" applyFill="1" applyAlignment="1">
      <alignment vertical="center"/>
    </xf>
    <xf numFmtId="0" fontId="3" fillId="0" borderId="0" xfId="2" applyFont="1" applyAlignment="1">
      <alignment vertical="center"/>
    </xf>
    <xf numFmtId="0" fontId="3" fillId="8" borderId="30" xfId="2" applyFont="1" applyFill="1" applyBorder="1" applyAlignment="1">
      <alignment horizontal="center" vertical="center"/>
    </xf>
    <xf numFmtId="43" fontId="2" fillId="33" borderId="30" xfId="2" applyNumberFormat="1" applyFill="1" applyBorder="1" applyAlignment="1">
      <alignment horizontal="right"/>
    </xf>
    <xf numFmtId="43" fontId="2" fillId="33" borderId="30" xfId="2" applyNumberFormat="1" applyFill="1" applyBorder="1" applyAlignment="1">
      <alignment horizontal="right" wrapText="1"/>
    </xf>
    <xf numFmtId="43" fontId="3" fillId="9" borderId="30" xfId="2" applyNumberFormat="1" applyFont="1" applyFill="1" applyBorder="1"/>
    <xf numFmtId="165" fontId="3" fillId="10" borderId="30" xfId="1" applyNumberFormat="1" applyFont="1" applyFill="1" applyBorder="1"/>
    <xf numFmtId="165" fontId="8" fillId="11" borderId="30" xfId="1" applyNumberFormat="1" applyFont="1" applyFill="1" applyBorder="1" applyAlignment="1">
      <alignment horizontal="center" vertical="center"/>
    </xf>
    <xf numFmtId="165" fontId="2" fillId="12" borderId="30" xfId="1" applyNumberFormat="1" applyFont="1" applyFill="1" applyBorder="1"/>
    <xf numFmtId="0" fontId="3" fillId="8" borderId="24" xfId="2" applyFont="1" applyFill="1" applyBorder="1" applyAlignment="1">
      <alignment horizontal="center" vertical="center"/>
    </xf>
    <xf numFmtId="43" fontId="2" fillId="33" borderId="24" xfId="2" applyNumberFormat="1" applyFill="1" applyBorder="1" applyAlignment="1">
      <alignment horizontal="right"/>
    </xf>
    <xf numFmtId="43" fontId="2" fillId="33" borderId="24" xfId="2" applyNumberFormat="1" applyFill="1" applyBorder="1" applyAlignment="1">
      <alignment horizontal="right" wrapText="1"/>
    </xf>
    <xf numFmtId="43" fontId="3" fillId="9" borderId="24" xfId="2" applyNumberFormat="1" applyFont="1" applyFill="1" applyBorder="1"/>
    <xf numFmtId="165" fontId="3" fillId="10" borderId="24" xfId="1" applyNumberFormat="1" applyFont="1" applyFill="1" applyBorder="1"/>
    <xf numFmtId="165" fontId="8" fillId="11" borderId="24" xfId="1" applyNumberFormat="1" applyFont="1" applyFill="1" applyBorder="1" applyAlignment="1">
      <alignment horizontal="center" vertical="center"/>
    </xf>
    <xf numFmtId="165" fontId="2" fillId="12" borderId="24" xfId="1" applyNumberFormat="1" applyFont="1" applyFill="1" applyBorder="1"/>
    <xf numFmtId="43" fontId="2" fillId="33" borderId="24" xfId="2" applyNumberFormat="1" applyFill="1" applyBorder="1" applyAlignment="1">
      <alignment horizontal="right" vertical="center" wrapText="1"/>
    </xf>
    <xf numFmtId="43" fontId="10" fillId="9" borderId="24" xfId="2" applyNumberFormat="1" applyFont="1" applyFill="1" applyBorder="1"/>
    <xf numFmtId="43" fontId="2" fillId="33" borderId="26" xfId="2" applyNumberFormat="1" applyFill="1" applyBorder="1" applyAlignment="1">
      <alignment horizontal="right"/>
    </xf>
    <xf numFmtId="168" fontId="17" fillId="0" borderId="6" xfId="0" applyNumberFormat="1" applyFont="1" applyBorder="1" applyAlignment="1">
      <alignment horizontal="center"/>
    </xf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3" fillId="16" borderId="3" xfId="2" applyFont="1" applyFill="1" applyBorder="1" applyAlignment="1">
      <alignment horizontal="center" vertical="center"/>
    </xf>
    <xf numFmtId="0" fontId="3" fillId="16" borderId="7" xfId="2" applyFont="1" applyFill="1" applyBorder="1" applyAlignment="1">
      <alignment horizontal="center" vertical="center"/>
    </xf>
    <xf numFmtId="0" fontId="3" fillId="16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/>
    </xf>
    <xf numFmtId="164" fontId="20" fillId="0" borderId="0" xfId="0" applyNumberFormat="1" applyFont="1" applyAlignment="1">
      <alignment horizontal="left"/>
    </xf>
    <xf numFmtId="4" fontId="2" fillId="0" borderId="0" xfId="3" applyNumberFormat="1"/>
  </cellXfs>
  <cellStyles count="4">
    <cellStyle name="Comma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2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workbookViewId="0">
      <pane ySplit="1" topLeftCell="A14" activePane="bottomLeft" state="frozen"/>
      <selection pane="bottomLeft" activeCell="I33" sqref="I33"/>
    </sheetView>
  </sheetViews>
  <sheetFormatPr defaultRowHeight="12.75" x14ac:dyDescent="0.2"/>
  <cols>
    <col min="1" max="1" width="23" style="79" bestFit="1" customWidth="1"/>
    <col min="2" max="4" width="9.140625" style="79"/>
    <col min="5" max="5" width="10.7109375" style="79" customWidth="1"/>
    <col min="6" max="6" width="12.140625" style="79" customWidth="1"/>
    <col min="7" max="7" width="10.85546875" style="79" customWidth="1"/>
    <col min="8" max="8" width="11.28515625" style="79" customWidth="1"/>
    <col min="9" max="16384" width="9.140625" style="79"/>
  </cols>
  <sheetData>
    <row r="1" spans="1:11" ht="60" x14ac:dyDescent="0.2">
      <c r="A1" s="74" t="s">
        <v>0</v>
      </c>
      <c r="B1" s="74" t="s">
        <v>1</v>
      </c>
      <c r="C1" s="75" t="s">
        <v>2</v>
      </c>
      <c r="D1" s="74" t="s">
        <v>3</v>
      </c>
      <c r="E1" s="76" t="s">
        <v>4</v>
      </c>
      <c r="F1" s="77" t="s">
        <v>5</v>
      </c>
      <c r="G1" s="76" t="s">
        <v>6</v>
      </c>
      <c r="H1" s="78" t="s">
        <v>7</v>
      </c>
      <c r="I1" s="76" t="s">
        <v>8</v>
      </c>
      <c r="J1" s="76" t="s">
        <v>9</v>
      </c>
      <c r="K1" s="76" t="s">
        <v>10</v>
      </c>
    </row>
    <row r="2" spans="1:11" ht="15" x14ac:dyDescent="0.25">
      <c r="A2" s="80" t="s">
        <v>11</v>
      </c>
      <c r="B2" s="81">
        <v>1</v>
      </c>
      <c r="C2" s="82">
        <v>2</v>
      </c>
      <c r="D2" s="81">
        <v>2022</v>
      </c>
      <c r="E2" s="83">
        <f>Electricity!E7</f>
        <v>8102.2999999999993</v>
      </c>
      <c r="F2" s="84">
        <f>Electricity!I7/Electricity!E7</f>
        <v>3.6532010355084363</v>
      </c>
      <c r="G2" s="83">
        <f>Water!AW9</f>
        <v>53</v>
      </c>
      <c r="H2" s="85">
        <v>60</v>
      </c>
      <c r="I2" s="120">
        <v>12</v>
      </c>
      <c r="J2" s="120">
        <v>26</v>
      </c>
      <c r="K2" s="121">
        <v>89</v>
      </c>
    </row>
    <row r="3" spans="1:11" ht="15" x14ac:dyDescent="0.25">
      <c r="A3" s="80" t="s">
        <v>11</v>
      </c>
      <c r="B3" s="81">
        <f>B2+1</f>
        <v>2</v>
      </c>
      <c r="C3" s="82">
        <v>2</v>
      </c>
      <c r="D3" s="81">
        <v>2022</v>
      </c>
      <c r="E3" s="83">
        <f>Electricity!E8</f>
        <v>7692.7</v>
      </c>
      <c r="F3" s="84">
        <f>Electricity!I8/Electricity!E8</f>
        <v>3.6180726688938862</v>
      </c>
      <c r="G3" s="83">
        <f>Water!AW10</f>
        <v>62</v>
      </c>
      <c r="H3" s="85">
        <v>60</v>
      </c>
      <c r="I3" s="120">
        <v>12</v>
      </c>
      <c r="J3" s="120">
        <v>26</v>
      </c>
      <c r="K3" s="122">
        <v>70</v>
      </c>
    </row>
    <row r="4" spans="1:11" ht="15" x14ac:dyDescent="0.25">
      <c r="A4" s="80" t="s">
        <v>11</v>
      </c>
      <c r="B4" s="81">
        <f t="shared" ref="B4:B32" si="0">B3+1</f>
        <v>3</v>
      </c>
      <c r="C4" s="82">
        <v>2</v>
      </c>
      <c r="D4" s="81">
        <v>2022</v>
      </c>
      <c r="E4" s="83">
        <f>Electricity!E9</f>
        <v>7165.130000000001</v>
      </c>
      <c r="F4" s="84">
        <f>Electricity!I9/Electricity!E9</f>
        <v>3.5949316611143134</v>
      </c>
      <c r="G4" s="83">
        <f>Water!AW11</f>
        <v>45</v>
      </c>
      <c r="H4" s="85">
        <v>60</v>
      </c>
      <c r="I4" s="120">
        <v>10</v>
      </c>
      <c r="J4" s="120">
        <v>24</v>
      </c>
      <c r="K4" s="123">
        <v>60</v>
      </c>
    </row>
    <row r="5" spans="1:11" ht="15" x14ac:dyDescent="0.25">
      <c r="A5" s="80" t="s">
        <v>11</v>
      </c>
      <c r="B5" s="81">
        <f t="shared" si="0"/>
        <v>4</v>
      </c>
      <c r="C5" s="82">
        <v>2</v>
      </c>
      <c r="D5" s="81">
        <v>2022</v>
      </c>
      <c r="E5" s="83">
        <f>Electricity!E10</f>
        <v>8397.91</v>
      </c>
      <c r="F5" s="84">
        <f>Electricity!I10/Electricity!E10</f>
        <v>3.6469969288787332</v>
      </c>
      <c r="G5" s="83">
        <f>Water!AW12</f>
        <v>90</v>
      </c>
      <c r="H5" s="85">
        <v>60</v>
      </c>
      <c r="I5" s="120">
        <v>10</v>
      </c>
      <c r="J5" s="120">
        <v>22</v>
      </c>
      <c r="K5" s="123">
        <v>47</v>
      </c>
    </row>
    <row r="6" spans="1:11" ht="15" x14ac:dyDescent="0.25">
      <c r="A6" s="80" t="s">
        <v>11</v>
      </c>
      <c r="B6" s="81">
        <f t="shared" si="0"/>
        <v>5</v>
      </c>
      <c r="C6" s="82">
        <v>2</v>
      </c>
      <c r="D6" s="81">
        <v>2022</v>
      </c>
      <c r="E6" s="83">
        <f>Electricity!E11</f>
        <v>8007.09</v>
      </c>
      <c r="F6" s="84">
        <f>Electricity!I11/Electricity!E11</f>
        <v>2.6036999999999999</v>
      </c>
      <c r="G6" s="83">
        <f>Water!AW13</f>
        <v>52</v>
      </c>
      <c r="H6" s="85">
        <v>60</v>
      </c>
      <c r="I6" s="120">
        <v>11</v>
      </c>
      <c r="J6" s="120">
        <v>30</v>
      </c>
      <c r="K6" s="120">
        <v>61</v>
      </c>
    </row>
    <row r="7" spans="1:11" ht="15" x14ac:dyDescent="0.25">
      <c r="A7" s="80" t="s">
        <v>11</v>
      </c>
      <c r="B7" s="81">
        <f t="shared" si="0"/>
        <v>6</v>
      </c>
      <c r="C7" s="82">
        <v>2</v>
      </c>
      <c r="D7" s="81">
        <v>2022</v>
      </c>
      <c r="E7" s="83">
        <f>Electricity!E12</f>
        <v>8097.2</v>
      </c>
      <c r="F7" s="84">
        <f>Electricity!I12/Electricity!E12</f>
        <v>2.6036999999999999</v>
      </c>
      <c r="G7" s="83">
        <f>Water!AW14</f>
        <v>34</v>
      </c>
      <c r="H7" s="85">
        <v>60</v>
      </c>
      <c r="I7" s="122">
        <v>13</v>
      </c>
      <c r="J7" s="122">
        <v>35</v>
      </c>
      <c r="K7" s="122">
        <v>95</v>
      </c>
    </row>
    <row r="8" spans="1:11" ht="15" x14ac:dyDescent="0.25">
      <c r="A8" s="80" t="s">
        <v>11</v>
      </c>
      <c r="B8" s="81">
        <f t="shared" si="0"/>
        <v>7</v>
      </c>
      <c r="C8" s="82">
        <v>2</v>
      </c>
      <c r="D8" s="81">
        <v>2022</v>
      </c>
      <c r="E8" s="83">
        <f>Electricity!E13</f>
        <v>7647.3600000000006</v>
      </c>
      <c r="F8" s="84">
        <f>Electricity!I13/Electricity!E13</f>
        <v>3.6268618121809357</v>
      </c>
      <c r="G8" s="83">
        <f>Water!AW15</f>
        <v>31</v>
      </c>
      <c r="H8" s="85">
        <v>60</v>
      </c>
      <c r="I8" s="122">
        <v>9</v>
      </c>
      <c r="J8" s="122">
        <v>19</v>
      </c>
      <c r="K8" s="122">
        <v>71</v>
      </c>
    </row>
    <row r="9" spans="1:11" ht="15" x14ac:dyDescent="0.25">
      <c r="A9" s="80" t="s">
        <v>11</v>
      </c>
      <c r="B9" s="81">
        <f t="shared" si="0"/>
        <v>8</v>
      </c>
      <c r="C9" s="82">
        <v>2</v>
      </c>
      <c r="D9" s="81">
        <v>2022</v>
      </c>
      <c r="E9" s="83">
        <f>Electricity!E14</f>
        <v>7907.59</v>
      </c>
      <c r="F9" s="84">
        <f>Electricity!I14/Electricity!E14</f>
        <v>3.6305495339287952</v>
      </c>
      <c r="G9" s="83">
        <f>Water!AW16</f>
        <v>29</v>
      </c>
      <c r="H9" s="85">
        <v>60</v>
      </c>
      <c r="I9" s="122">
        <v>10</v>
      </c>
      <c r="J9" s="122">
        <v>21</v>
      </c>
      <c r="K9" s="122">
        <v>49</v>
      </c>
    </row>
    <row r="10" spans="1:11" ht="15" x14ac:dyDescent="0.25">
      <c r="A10" s="80" t="s">
        <v>11</v>
      </c>
      <c r="B10" s="81">
        <f t="shared" si="0"/>
        <v>9</v>
      </c>
      <c r="C10" s="82">
        <v>2</v>
      </c>
      <c r="D10" s="81">
        <v>2022</v>
      </c>
      <c r="E10" s="83">
        <f>Electricity!E15</f>
        <v>7268.06</v>
      </c>
      <c r="F10" s="84">
        <f>Electricity!I15/Electricity!E15</f>
        <v>3.6338262240542871</v>
      </c>
      <c r="G10" s="83">
        <f>Water!AW17</f>
        <v>31</v>
      </c>
      <c r="H10" s="85">
        <v>60</v>
      </c>
      <c r="I10" s="122">
        <v>11</v>
      </c>
      <c r="J10" s="122">
        <v>24</v>
      </c>
      <c r="K10" s="124">
        <v>49</v>
      </c>
    </row>
    <row r="11" spans="1:11" ht="15" x14ac:dyDescent="0.25">
      <c r="A11" s="80" t="s">
        <v>11</v>
      </c>
      <c r="B11" s="81">
        <f t="shared" si="0"/>
        <v>10</v>
      </c>
      <c r="C11" s="82">
        <v>2</v>
      </c>
      <c r="D11" s="81">
        <v>2022</v>
      </c>
      <c r="E11" s="83">
        <f>Electricity!E16</f>
        <v>7721.5300000000007</v>
      </c>
      <c r="F11" s="84">
        <f>Electricity!I16/Electricity!E16</f>
        <v>3.6341689435901952</v>
      </c>
      <c r="G11" s="83">
        <f>Water!AW18</f>
        <v>30</v>
      </c>
      <c r="H11" s="85">
        <v>60</v>
      </c>
      <c r="I11" s="122">
        <v>13</v>
      </c>
      <c r="J11" s="122">
        <v>27</v>
      </c>
      <c r="K11" s="122">
        <v>51</v>
      </c>
    </row>
    <row r="12" spans="1:11" ht="15" x14ac:dyDescent="0.25">
      <c r="A12" s="80" t="s">
        <v>11</v>
      </c>
      <c r="B12" s="81">
        <f t="shared" si="0"/>
        <v>11</v>
      </c>
      <c r="C12" s="82">
        <v>2</v>
      </c>
      <c r="D12" s="81">
        <v>2022</v>
      </c>
      <c r="E12" s="83">
        <f>Electricity!E17</f>
        <v>7612.96</v>
      </c>
      <c r="F12" s="84">
        <f>Electricity!I17/Electricity!E17</f>
        <v>3.6429116503961665</v>
      </c>
      <c r="G12" s="83">
        <f>Water!AW19</f>
        <v>43</v>
      </c>
      <c r="H12" s="85">
        <v>60</v>
      </c>
      <c r="I12" s="122">
        <v>17</v>
      </c>
      <c r="J12" s="122">
        <v>36</v>
      </c>
      <c r="K12" s="122">
        <v>69</v>
      </c>
    </row>
    <row r="13" spans="1:11" ht="15" x14ac:dyDescent="0.25">
      <c r="A13" s="80" t="s">
        <v>11</v>
      </c>
      <c r="B13" s="81">
        <f t="shared" si="0"/>
        <v>12</v>
      </c>
      <c r="C13" s="82">
        <v>2</v>
      </c>
      <c r="D13" s="81">
        <v>2022</v>
      </c>
      <c r="E13" s="83">
        <f>Electricity!E18</f>
        <v>8328.52</v>
      </c>
      <c r="F13" s="84">
        <f>Electricity!I18/Electricity!E18</f>
        <v>2.6036999999999999</v>
      </c>
      <c r="G13" s="83">
        <f>Water!AW20</f>
        <v>89</v>
      </c>
      <c r="H13" s="85">
        <v>60</v>
      </c>
      <c r="I13" s="122">
        <v>23</v>
      </c>
      <c r="J13" s="122">
        <v>50</v>
      </c>
      <c r="K13" s="122">
        <v>113</v>
      </c>
    </row>
    <row r="14" spans="1:11" ht="15" x14ac:dyDescent="0.25">
      <c r="A14" s="80" t="s">
        <v>11</v>
      </c>
      <c r="B14" s="81">
        <f t="shared" si="0"/>
        <v>13</v>
      </c>
      <c r="C14" s="82">
        <v>2</v>
      </c>
      <c r="D14" s="81">
        <v>2022</v>
      </c>
      <c r="E14" s="83">
        <f>Electricity!E19</f>
        <v>7971.38</v>
      </c>
      <c r="F14" s="84">
        <f>Electricity!I19/Electricity!E19</f>
        <v>2.6036999999999999</v>
      </c>
      <c r="G14" s="83">
        <f>Water!AW21</f>
        <v>61</v>
      </c>
      <c r="H14" s="85">
        <v>60</v>
      </c>
      <c r="I14" s="120">
        <v>29</v>
      </c>
      <c r="J14" s="120">
        <v>84</v>
      </c>
      <c r="K14" s="122">
        <v>180</v>
      </c>
    </row>
    <row r="15" spans="1:11" ht="15" x14ac:dyDescent="0.25">
      <c r="A15" s="80" t="s">
        <v>11</v>
      </c>
      <c r="B15" s="81">
        <f t="shared" si="0"/>
        <v>14</v>
      </c>
      <c r="C15" s="82">
        <v>2</v>
      </c>
      <c r="D15" s="81">
        <v>2022</v>
      </c>
      <c r="E15" s="83">
        <f>Electricity!E20</f>
        <v>10046.08</v>
      </c>
      <c r="F15" s="84">
        <f>Electricity!I20/Electricity!E20</f>
        <v>3.6457475606405683</v>
      </c>
      <c r="G15" s="83">
        <f>Water!AW22</f>
        <v>76</v>
      </c>
      <c r="H15" s="85">
        <v>60</v>
      </c>
      <c r="I15" s="122">
        <v>36</v>
      </c>
      <c r="J15" s="122">
        <v>98</v>
      </c>
      <c r="K15" s="122">
        <v>353</v>
      </c>
    </row>
    <row r="16" spans="1:11" ht="15" x14ac:dyDescent="0.25">
      <c r="A16" s="80" t="s">
        <v>11</v>
      </c>
      <c r="B16" s="81">
        <f t="shared" si="0"/>
        <v>15</v>
      </c>
      <c r="C16" s="82">
        <v>2</v>
      </c>
      <c r="D16" s="81">
        <v>2022</v>
      </c>
      <c r="E16" s="83">
        <f>Electricity!E21</f>
        <v>10300.43</v>
      </c>
      <c r="F16" s="84">
        <f>Electricity!I21/Electricity!E21</f>
        <v>3.6108237389118707</v>
      </c>
      <c r="G16" s="83">
        <f>Water!AW23</f>
        <v>68</v>
      </c>
      <c r="H16" s="85">
        <v>60</v>
      </c>
      <c r="I16" s="124">
        <v>21</v>
      </c>
      <c r="J16" s="124">
        <v>53</v>
      </c>
      <c r="K16" s="122">
        <v>218</v>
      </c>
    </row>
    <row r="17" spans="1:11" ht="15" x14ac:dyDescent="0.25">
      <c r="A17" s="80" t="s">
        <v>11</v>
      </c>
      <c r="B17" s="81">
        <f t="shared" si="0"/>
        <v>16</v>
      </c>
      <c r="C17" s="82">
        <v>2</v>
      </c>
      <c r="D17" s="81">
        <v>2022</v>
      </c>
      <c r="E17" s="83">
        <f>Electricity!E22</f>
        <v>8767.41</v>
      </c>
      <c r="F17" s="84">
        <f>Electricity!I22/Electricity!E22</f>
        <v>2.6036999999999999</v>
      </c>
      <c r="G17" s="83">
        <f>Water!AW24</f>
        <v>47</v>
      </c>
      <c r="H17" s="85">
        <v>60</v>
      </c>
      <c r="I17" s="124">
        <v>25</v>
      </c>
      <c r="J17" s="124">
        <v>52</v>
      </c>
      <c r="K17" s="124">
        <v>124</v>
      </c>
    </row>
    <row r="18" spans="1:11" ht="15" x14ac:dyDescent="0.25">
      <c r="A18" s="80" t="s">
        <v>11</v>
      </c>
      <c r="B18" s="81">
        <f t="shared" si="0"/>
        <v>17</v>
      </c>
      <c r="C18" s="82">
        <v>2</v>
      </c>
      <c r="D18" s="81">
        <v>2022</v>
      </c>
      <c r="E18" s="83">
        <f>Electricity!E23</f>
        <v>8685.02</v>
      </c>
      <c r="F18" s="84">
        <f>Electricity!I23/Electricity!E23</f>
        <v>3.616623152278291</v>
      </c>
      <c r="G18" s="83">
        <f>Water!AW25</f>
        <v>39</v>
      </c>
      <c r="H18" s="85">
        <v>60</v>
      </c>
      <c r="I18" s="120">
        <v>25</v>
      </c>
      <c r="J18" s="120">
        <v>53</v>
      </c>
      <c r="K18" s="124">
        <v>126</v>
      </c>
    </row>
    <row r="19" spans="1:11" ht="15" x14ac:dyDescent="0.25">
      <c r="A19" s="80" t="s">
        <v>11</v>
      </c>
      <c r="B19" s="81">
        <f t="shared" si="0"/>
        <v>18</v>
      </c>
      <c r="C19" s="82">
        <v>2</v>
      </c>
      <c r="D19" s="81">
        <v>2022</v>
      </c>
      <c r="E19" s="83">
        <f>Electricity!E24</f>
        <v>8944.9700000000012</v>
      </c>
      <c r="F19" s="84">
        <f>Electricity!I24/Electricity!E24</f>
        <v>3.6398235675469004</v>
      </c>
      <c r="G19" s="83">
        <f>Water!AW26</f>
        <v>42</v>
      </c>
      <c r="H19" s="85">
        <v>60</v>
      </c>
      <c r="I19" s="120">
        <v>23</v>
      </c>
      <c r="J19" s="120">
        <v>57</v>
      </c>
      <c r="K19" s="124">
        <v>129</v>
      </c>
    </row>
    <row r="20" spans="1:11" ht="15" x14ac:dyDescent="0.25">
      <c r="A20" s="80" t="s">
        <v>11</v>
      </c>
      <c r="B20" s="81">
        <f t="shared" si="0"/>
        <v>19</v>
      </c>
      <c r="C20" s="82">
        <v>2</v>
      </c>
      <c r="D20" s="81">
        <v>2022</v>
      </c>
      <c r="E20" s="83">
        <f>Electricity!E25</f>
        <v>9687.3700000000008</v>
      </c>
      <c r="F20" s="84">
        <f>Electricity!I25/Electricity!E25</f>
        <v>2.6036999999999999</v>
      </c>
      <c r="G20" s="83">
        <f>Water!AW27</f>
        <v>42</v>
      </c>
      <c r="H20" s="85">
        <v>60</v>
      </c>
      <c r="I20" s="120">
        <v>25</v>
      </c>
      <c r="J20" s="120">
        <v>61</v>
      </c>
      <c r="K20" s="124">
        <v>139</v>
      </c>
    </row>
    <row r="21" spans="1:11" ht="15" x14ac:dyDescent="0.25">
      <c r="A21" s="80" t="s">
        <v>11</v>
      </c>
      <c r="B21" s="81">
        <f t="shared" si="0"/>
        <v>20</v>
      </c>
      <c r="C21" s="82">
        <v>2</v>
      </c>
      <c r="D21" s="81">
        <v>2022</v>
      </c>
      <c r="E21" s="83">
        <f>Electricity!E26</f>
        <v>10335.799999999999</v>
      </c>
      <c r="F21" s="84">
        <f>Electricity!I26/Electricity!E26</f>
        <v>2.6036999999999999</v>
      </c>
      <c r="G21" s="83">
        <f>Water!AW28</f>
        <v>35</v>
      </c>
      <c r="H21" s="85">
        <v>60</v>
      </c>
      <c r="I21" s="122">
        <v>28</v>
      </c>
      <c r="J21" s="122">
        <v>67</v>
      </c>
      <c r="K21" s="122">
        <v>171</v>
      </c>
    </row>
    <row r="22" spans="1:11" ht="15" x14ac:dyDescent="0.25">
      <c r="A22" s="80" t="s">
        <v>11</v>
      </c>
      <c r="B22" s="81">
        <f t="shared" si="0"/>
        <v>21</v>
      </c>
      <c r="C22" s="82">
        <v>2</v>
      </c>
      <c r="D22" s="81">
        <v>2022</v>
      </c>
      <c r="E22" s="83">
        <f>Electricity!E27</f>
        <v>10071.85</v>
      </c>
      <c r="F22" s="84">
        <f>Electricity!I27/Electricity!E27</f>
        <v>3.6062335351499479</v>
      </c>
      <c r="G22" s="83">
        <f>Water!AW29</f>
        <v>53</v>
      </c>
      <c r="H22" s="85">
        <v>60</v>
      </c>
      <c r="I22" s="124">
        <v>24</v>
      </c>
      <c r="J22" s="124">
        <v>71</v>
      </c>
      <c r="K22" s="122">
        <v>167</v>
      </c>
    </row>
    <row r="23" spans="1:11" ht="15" x14ac:dyDescent="0.25">
      <c r="A23" s="80" t="s">
        <v>11</v>
      </c>
      <c r="B23" s="81">
        <f t="shared" si="0"/>
        <v>22</v>
      </c>
      <c r="C23" s="82">
        <v>2</v>
      </c>
      <c r="D23" s="81">
        <v>2022</v>
      </c>
      <c r="E23" s="83">
        <f>Electricity!E28</f>
        <v>9295.2900000000009</v>
      </c>
      <c r="F23" s="84">
        <f>Electricity!I28/Electricity!E28</f>
        <v>3.6259733528485931</v>
      </c>
      <c r="G23" s="83">
        <f>Water!AW30</f>
        <v>52</v>
      </c>
      <c r="H23" s="85">
        <v>60</v>
      </c>
      <c r="I23" s="120">
        <v>20</v>
      </c>
      <c r="J23" s="124">
        <v>63</v>
      </c>
      <c r="K23" s="124">
        <v>140</v>
      </c>
    </row>
    <row r="24" spans="1:11" ht="15" x14ac:dyDescent="0.25">
      <c r="A24" s="80" t="s">
        <v>11</v>
      </c>
      <c r="B24" s="81">
        <f t="shared" si="0"/>
        <v>23</v>
      </c>
      <c r="C24" s="82">
        <v>2</v>
      </c>
      <c r="D24" s="81">
        <v>2022</v>
      </c>
      <c r="E24" s="83">
        <f>Electricity!E29</f>
        <v>7984.5</v>
      </c>
      <c r="F24" s="84">
        <f>Electricity!I29/Electricity!E29</f>
        <v>3.5949501879892294</v>
      </c>
      <c r="G24" s="83">
        <f>Water!AW31</f>
        <v>49</v>
      </c>
      <c r="H24" s="85">
        <v>60</v>
      </c>
      <c r="I24" s="122">
        <v>19</v>
      </c>
      <c r="J24" s="122">
        <v>52</v>
      </c>
      <c r="K24" s="124">
        <v>126</v>
      </c>
    </row>
    <row r="25" spans="1:11" ht="15" x14ac:dyDescent="0.25">
      <c r="A25" s="80" t="s">
        <v>11</v>
      </c>
      <c r="B25" s="81">
        <f t="shared" si="0"/>
        <v>24</v>
      </c>
      <c r="C25" s="82">
        <v>2</v>
      </c>
      <c r="D25" s="81">
        <v>2022</v>
      </c>
      <c r="E25" s="83">
        <f>Electricity!E30</f>
        <v>7853.3</v>
      </c>
      <c r="F25" s="84">
        <f>Electricity!I30/Electricity!E30</f>
        <v>3.6118966956566028</v>
      </c>
      <c r="G25" s="83">
        <f>Water!AW32</f>
        <v>63</v>
      </c>
      <c r="H25" s="85">
        <v>60</v>
      </c>
      <c r="I25" s="122">
        <v>19</v>
      </c>
      <c r="J25" s="122">
        <v>70</v>
      </c>
      <c r="K25" s="124">
        <v>148</v>
      </c>
    </row>
    <row r="26" spans="1:11" ht="15" x14ac:dyDescent="0.25">
      <c r="A26" s="80" t="s">
        <v>11</v>
      </c>
      <c r="B26" s="81">
        <f>B25+1</f>
        <v>25</v>
      </c>
      <c r="C26" s="82">
        <v>2</v>
      </c>
      <c r="D26" s="81">
        <v>2022</v>
      </c>
      <c r="E26" s="83">
        <f>Electricity!E31</f>
        <v>8798.7199999999993</v>
      </c>
      <c r="F26" s="84">
        <f>Electricity!I31/Electricity!E31</f>
        <v>3.6148303025894686</v>
      </c>
      <c r="G26" s="83">
        <f>Water!AW33</f>
        <v>44</v>
      </c>
      <c r="H26" s="85">
        <v>60</v>
      </c>
      <c r="I26" s="122">
        <v>25</v>
      </c>
      <c r="J26" s="122">
        <v>77</v>
      </c>
      <c r="K26" s="124">
        <v>144</v>
      </c>
    </row>
    <row r="27" spans="1:11" ht="15" x14ac:dyDescent="0.25">
      <c r="A27" s="80" t="s">
        <v>11</v>
      </c>
      <c r="B27" s="81">
        <f t="shared" si="0"/>
        <v>26</v>
      </c>
      <c r="C27" s="82">
        <v>2</v>
      </c>
      <c r="D27" s="81">
        <v>2022</v>
      </c>
      <c r="E27" s="83">
        <f>Electricity!E32</f>
        <v>8873.4699999999993</v>
      </c>
      <c r="F27" s="84">
        <f>Electricity!I32/Electricity!E32</f>
        <v>2.6036999999999999</v>
      </c>
      <c r="G27" s="83">
        <f>Water!AW34</f>
        <v>45</v>
      </c>
      <c r="H27" s="85">
        <v>60</v>
      </c>
      <c r="I27" s="122">
        <v>23</v>
      </c>
      <c r="J27" s="122">
        <v>72</v>
      </c>
      <c r="K27" s="124">
        <v>171</v>
      </c>
    </row>
    <row r="28" spans="1:11" ht="15" x14ac:dyDescent="0.25">
      <c r="A28" s="80" t="s">
        <v>11</v>
      </c>
      <c r="B28" s="81">
        <f t="shared" si="0"/>
        <v>27</v>
      </c>
      <c r="C28" s="82">
        <v>2</v>
      </c>
      <c r="D28" s="81">
        <v>2022</v>
      </c>
      <c r="E28" s="83">
        <f>Electricity!E33</f>
        <v>8655.91</v>
      </c>
      <c r="F28" s="84">
        <f>Electricity!I33/Electricity!E33</f>
        <v>2.6036999999999999</v>
      </c>
      <c r="G28" s="83">
        <f>Water!AW35</f>
        <v>53</v>
      </c>
      <c r="H28" s="85">
        <v>60</v>
      </c>
      <c r="I28" s="122">
        <v>19</v>
      </c>
      <c r="J28" s="122">
        <v>46</v>
      </c>
      <c r="K28" s="124">
        <v>141</v>
      </c>
    </row>
    <row r="29" spans="1:11" ht="15" x14ac:dyDescent="0.25">
      <c r="A29" s="80" t="s">
        <v>11</v>
      </c>
      <c r="B29" s="81">
        <f t="shared" si="0"/>
        <v>28</v>
      </c>
      <c r="C29" s="82">
        <v>2</v>
      </c>
      <c r="D29" s="81">
        <v>2022</v>
      </c>
      <c r="E29" s="83">
        <f>Electricity!E34</f>
        <v>9027.1899999999987</v>
      </c>
      <c r="F29" s="84">
        <f>Electricity!I34/Electricity!E34</f>
        <v>3.6479369197945322</v>
      </c>
      <c r="G29" s="83">
        <f>Water!AW36</f>
        <v>51</v>
      </c>
      <c r="H29" s="85">
        <v>60</v>
      </c>
      <c r="I29" s="122">
        <v>16</v>
      </c>
      <c r="J29" s="122">
        <v>36</v>
      </c>
      <c r="K29" s="124">
        <v>100</v>
      </c>
    </row>
    <row r="30" spans="1:11" ht="15" hidden="1" x14ac:dyDescent="0.25">
      <c r="A30" s="80" t="s">
        <v>11</v>
      </c>
      <c r="B30" s="81">
        <f t="shared" si="0"/>
        <v>29</v>
      </c>
      <c r="C30" s="82">
        <v>1</v>
      </c>
      <c r="D30" s="81">
        <v>2022</v>
      </c>
      <c r="E30" s="83">
        <f>Electricity!E35</f>
        <v>0</v>
      </c>
      <c r="F30" s="84" t="e">
        <f>Electricity!I35/Electricity!E35</f>
        <v>#DIV/0!</v>
      </c>
      <c r="G30" s="83">
        <f>Water!AW37</f>
        <v>-328918</v>
      </c>
      <c r="H30" s="85">
        <v>60</v>
      </c>
      <c r="I30" s="122">
        <v>15</v>
      </c>
      <c r="J30" s="122">
        <v>31</v>
      </c>
      <c r="K30" s="122">
        <v>105</v>
      </c>
    </row>
    <row r="31" spans="1:11" ht="15" hidden="1" x14ac:dyDescent="0.25">
      <c r="A31" s="80" t="s">
        <v>11</v>
      </c>
      <c r="B31" s="81">
        <f t="shared" si="0"/>
        <v>30</v>
      </c>
      <c r="C31" s="82">
        <v>1</v>
      </c>
      <c r="D31" s="81">
        <v>2022</v>
      </c>
      <c r="E31" s="83">
        <f>Electricity!E36</f>
        <v>0</v>
      </c>
      <c r="F31" s="84" t="e">
        <f>Electricity!I36/Electricity!E36</f>
        <v>#DIV/0!</v>
      </c>
      <c r="G31" s="83">
        <f>Water!AW38</f>
        <v>0</v>
      </c>
      <c r="H31" s="85">
        <v>60</v>
      </c>
      <c r="I31" s="122">
        <v>13</v>
      </c>
      <c r="J31" s="122">
        <v>29</v>
      </c>
      <c r="K31" s="122">
        <v>91</v>
      </c>
    </row>
    <row r="32" spans="1:11" ht="16.5" hidden="1" customHeight="1" x14ac:dyDescent="0.25">
      <c r="A32" s="80" t="s">
        <v>11</v>
      </c>
      <c r="B32" s="81">
        <f t="shared" si="0"/>
        <v>31</v>
      </c>
      <c r="C32" s="82">
        <v>1</v>
      </c>
      <c r="D32" s="81">
        <v>2022</v>
      </c>
      <c r="E32" s="83">
        <f>Electricity!E37</f>
        <v>0</v>
      </c>
      <c r="F32" s="84" t="e">
        <f>Electricity!I37/Electricity!E37</f>
        <v>#DIV/0!</v>
      </c>
      <c r="G32" s="83">
        <f>Water!AW39</f>
        <v>0</v>
      </c>
      <c r="H32" s="85">
        <v>60</v>
      </c>
      <c r="I32" s="122">
        <v>13</v>
      </c>
      <c r="J32" s="122">
        <v>29</v>
      </c>
      <c r="K32" s="122">
        <v>89</v>
      </c>
    </row>
    <row r="33" spans="9:9" x14ac:dyDescent="0.2">
      <c r="I33" s="17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47"/>
  <sheetViews>
    <sheetView tabSelected="1" zoomScaleNormal="100" workbookViewId="0">
      <pane ySplit="6" topLeftCell="A18" activePane="bottomLeft" state="frozen"/>
      <selection pane="bottomLeft" activeCell="L39" sqref="L39:N39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12</v>
      </c>
    </row>
    <row r="3" spans="1:14" ht="19.5" customHeight="1" x14ac:dyDescent="0.25">
      <c r="A3" s="158">
        <v>44593</v>
      </c>
      <c r="B3" s="158"/>
      <c r="J3" s="2" t="s">
        <v>13</v>
      </c>
    </row>
    <row r="4" spans="1:14" x14ac:dyDescent="0.2">
      <c r="A4" s="159" t="s">
        <v>14</v>
      </c>
      <c r="B4" s="162" t="s">
        <v>15</v>
      </c>
      <c r="C4" s="162" t="s">
        <v>16</v>
      </c>
      <c r="D4" s="165" t="s">
        <v>17</v>
      </c>
      <c r="E4" s="156" t="s">
        <v>18</v>
      </c>
      <c r="F4" s="3" t="s">
        <v>19</v>
      </c>
      <c r="G4" s="3" t="s">
        <v>20</v>
      </c>
      <c r="H4" s="3" t="s">
        <v>21</v>
      </c>
      <c r="I4" s="171" t="s">
        <v>22</v>
      </c>
      <c r="J4" s="174" t="s">
        <v>23</v>
      </c>
      <c r="L4" s="168" t="s">
        <v>24</v>
      </c>
      <c r="M4" s="168" t="s">
        <v>9</v>
      </c>
      <c r="N4" s="168" t="s">
        <v>10</v>
      </c>
    </row>
    <row r="5" spans="1:14" x14ac:dyDescent="0.2">
      <c r="A5" s="160"/>
      <c r="B5" s="163"/>
      <c r="C5" s="163"/>
      <c r="D5" s="166"/>
      <c r="E5" s="157"/>
      <c r="F5" s="4" t="s">
        <v>25</v>
      </c>
      <c r="G5" s="4" t="s">
        <v>26</v>
      </c>
      <c r="H5" s="4" t="s">
        <v>27</v>
      </c>
      <c r="I5" s="172"/>
      <c r="J5" s="175"/>
      <c r="L5" s="169"/>
      <c r="M5" s="169"/>
      <c r="N5" s="169"/>
    </row>
    <row r="6" spans="1:14" ht="13.5" thickBot="1" x14ac:dyDescent="0.25">
      <c r="A6" s="161"/>
      <c r="B6" s="164"/>
      <c r="C6" s="164"/>
      <c r="D6" s="167"/>
      <c r="E6" s="5" t="s">
        <v>28</v>
      </c>
      <c r="F6" s="6">
        <v>4.1839000000000004</v>
      </c>
      <c r="G6" s="6">
        <v>2.6036999999999999</v>
      </c>
      <c r="H6" s="6">
        <v>2.0603699999999998</v>
      </c>
      <c r="I6" s="173"/>
      <c r="J6" s="7">
        <v>1.3899999999999999E-2</v>
      </c>
      <c r="L6" s="170"/>
      <c r="M6" s="170"/>
      <c r="N6" s="170"/>
    </row>
    <row r="7" spans="1:14" x14ac:dyDescent="0.2">
      <c r="A7" s="132">
        <v>1</v>
      </c>
      <c r="B7" s="133">
        <v>5381.2</v>
      </c>
      <c r="C7" s="133">
        <v>2721.1</v>
      </c>
      <c r="D7" s="134"/>
      <c r="E7" s="135">
        <f>+B7+C7+D7</f>
        <v>8102.2999999999993</v>
      </c>
      <c r="F7" s="136">
        <f>+B7*4.1839</f>
        <v>22514.402680000003</v>
      </c>
      <c r="G7" s="136">
        <f>+C7*2.6037</f>
        <v>7084.9280699999999</v>
      </c>
      <c r="H7" s="136">
        <f>+D7*2.6037</f>
        <v>0</v>
      </c>
      <c r="I7" s="137">
        <f>F7+G7+H7</f>
        <v>29599.330750000001</v>
      </c>
      <c r="J7" s="138">
        <f>+E7*-0.1243</f>
        <v>-1007.1158899999998</v>
      </c>
      <c r="L7" s="86">
        <v>12</v>
      </c>
      <c r="M7" s="86">
        <v>26</v>
      </c>
      <c r="N7" s="87">
        <v>89</v>
      </c>
    </row>
    <row r="8" spans="1:14" x14ac:dyDescent="0.2">
      <c r="A8" s="139">
        <v>2</v>
      </c>
      <c r="B8" s="140">
        <v>4938.1499999999996</v>
      </c>
      <c r="C8" s="140">
        <v>2754.55</v>
      </c>
      <c r="D8" s="141"/>
      <c r="E8" s="142">
        <f>+B8+C8+D8</f>
        <v>7692.7</v>
      </c>
      <c r="F8" s="143">
        <f t="shared" ref="F8:F34" si="0">+B8*4.1839</f>
        <v>20660.725784999999</v>
      </c>
      <c r="G8" s="143">
        <f t="shared" ref="G8:H34" si="1">+C8*2.6037</f>
        <v>7172.0218350000005</v>
      </c>
      <c r="H8" s="143">
        <f t="shared" si="1"/>
        <v>0</v>
      </c>
      <c r="I8" s="144">
        <f t="shared" ref="I8:I34" si="2">F8+G8+H8</f>
        <v>27832.747619999998</v>
      </c>
      <c r="J8" s="145">
        <f t="shared" ref="J8:J34" si="3">+E8*-0.1243</f>
        <v>-956.20260999999994</v>
      </c>
      <c r="L8" s="86">
        <v>12</v>
      </c>
      <c r="M8" s="86">
        <v>26</v>
      </c>
      <c r="N8" s="88">
        <v>70</v>
      </c>
    </row>
    <row r="9" spans="1:14" ht="12.75" customHeight="1" x14ac:dyDescent="0.2">
      <c r="A9" s="139">
        <v>3</v>
      </c>
      <c r="B9" s="140">
        <v>4494.5600000000004</v>
      </c>
      <c r="C9" s="140">
        <v>2670.57</v>
      </c>
      <c r="D9" s="146"/>
      <c r="E9" s="147">
        <f>+B9+C9+D9</f>
        <v>7165.130000000001</v>
      </c>
      <c r="F9" s="143">
        <f t="shared" si="0"/>
        <v>18804.789584000002</v>
      </c>
      <c r="G9" s="143">
        <f t="shared" si="1"/>
        <v>6953.3631089999999</v>
      </c>
      <c r="H9" s="143">
        <f t="shared" si="1"/>
        <v>0</v>
      </c>
      <c r="I9" s="144">
        <f t="shared" si="2"/>
        <v>25758.152693000004</v>
      </c>
      <c r="J9" s="145">
        <f t="shared" si="3"/>
        <v>-890.62565900000004</v>
      </c>
      <c r="L9" s="86">
        <v>10</v>
      </c>
      <c r="M9" s="86">
        <v>24</v>
      </c>
      <c r="N9" s="89">
        <v>60</v>
      </c>
    </row>
    <row r="10" spans="1:14" ht="12.75" customHeight="1" x14ac:dyDescent="0.2">
      <c r="A10" s="139">
        <v>4</v>
      </c>
      <c r="B10" s="140">
        <v>5544.56</v>
      </c>
      <c r="C10" s="140">
        <v>2853.35</v>
      </c>
      <c r="D10" s="140"/>
      <c r="E10" s="147">
        <f t="shared" ref="E10:E34" si="4">+B10+C10+D10</f>
        <v>8397.91</v>
      </c>
      <c r="F10" s="143">
        <f t="shared" si="0"/>
        <v>23197.884584000003</v>
      </c>
      <c r="G10" s="143">
        <f t="shared" si="1"/>
        <v>7429.2673949999999</v>
      </c>
      <c r="H10" s="143">
        <f t="shared" si="1"/>
        <v>0</v>
      </c>
      <c r="I10" s="144">
        <f t="shared" si="2"/>
        <v>30627.151979000002</v>
      </c>
      <c r="J10" s="145">
        <f t="shared" si="3"/>
        <v>-1043.8602129999999</v>
      </c>
      <c r="L10" s="86">
        <v>10</v>
      </c>
      <c r="M10" s="86">
        <v>22</v>
      </c>
      <c r="N10" s="89">
        <v>47</v>
      </c>
    </row>
    <row r="11" spans="1:14" x14ac:dyDescent="0.2">
      <c r="A11" s="139">
        <v>5</v>
      </c>
      <c r="B11" s="140"/>
      <c r="C11" s="140"/>
      <c r="D11" s="141">
        <v>8007.09</v>
      </c>
      <c r="E11" s="147">
        <f t="shared" si="4"/>
        <v>8007.09</v>
      </c>
      <c r="F11" s="143">
        <f t="shared" si="0"/>
        <v>0</v>
      </c>
      <c r="G11" s="143">
        <f t="shared" si="1"/>
        <v>0</v>
      </c>
      <c r="H11" s="143">
        <f t="shared" si="1"/>
        <v>20848.060233</v>
      </c>
      <c r="I11" s="144">
        <f t="shared" si="2"/>
        <v>20848.060233</v>
      </c>
      <c r="J11" s="145">
        <f t="shared" si="3"/>
        <v>-995.28128700000002</v>
      </c>
      <c r="L11" s="86">
        <v>11</v>
      </c>
      <c r="M11" s="86">
        <v>30</v>
      </c>
      <c r="N11" s="86">
        <v>61</v>
      </c>
    </row>
    <row r="12" spans="1:14" x14ac:dyDescent="0.2">
      <c r="A12" s="139">
        <v>6</v>
      </c>
      <c r="B12" s="140"/>
      <c r="C12" s="140"/>
      <c r="D12" s="141">
        <v>8097.2</v>
      </c>
      <c r="E12" s="147">
        <f t="shared" si="4"/>
        <v>8097.2</v>
      </c>
      <c r="F12" s="143">
        <f>+B12*4.1839</f>
        <v>0</v>
      </c>
      <c r="G12" s="143">
        <f t="shared" si="1"/>
        <v>0</v>
      </c>
      <c r="H12" s="143">
        <f t="shared" si="1"/>
        <v>21082.679639999998</v>
      </c>
      <c r="I12" s="144">
        <f t="shared" si="2"/>
        <v>21082.679639999998</v>
      </c>
      <c r="J12" s="145">
        <f t="shared" si="3"/>
        <v>-1006.48196</v>
      </c>
      <c r="L12" s="88">
        <v>13</v>
      </c>
      <c r="M12" s="88">
        <v>35</v>
      </c>
      <c r="N12" s="88">
        <v>95</v>
      </c>
    </row>
    <row r="13" spans="1:14" x14ac:dyDescent="0.2">
      <c r="A13" s="139">
        <v>7</v>
      </c>
      <c r="B13" s="140">
        <v>4951.58</v>
      </c>
      <c r="C13" s="140">
        <v>2695.78</v>
      </c>
      <c r="D13" s="141"/>
      <c r="E13" s="147">
        <f t="shared" si="4"/>
        <v>7647.3600000000006</v>
      </c>
      <c r="F13" s="143">
        <f t="shared" si="0"/>
        <v>20716.915562000002</v>
      </c>
      <c r="G13" s="143">
        <f t="shared" si="1"/>
        <v>7019.0023860000001</v>
      </c>
      <c r="H13" s="143">
        <f t="shared" si="1"/>
        <v>0</v>
      </c>
      <c r="I13" s="144">
        <f t="shared" si="2"/>
        <v>27735.917948000002</v>
      </c>
      <c r="J13" s="145">
        <f t="shared" si="3"/>
        <v>-950.56684800000005</v>
      </c>
      <c r="L13" s="88">
        <v>9</v>
      </c>
      <c r="M13" s="88">
        <v>19</v>
      </c>
      <c r="N13" s="88">
        <v>71</v>
      </c>
    </row>
    <row r="14" spans="1:14" x14ac:dyDescent="0.2">
      <c r="A14" s="139">
        <v>8</v>
      </c>
      <c r="B14" s="140">
        <v>5138.53</v>
      </c>
      <c r="C14" s="140">
        <v>2769.06</v>
      </c>
      <c r="D14" s="141"/>
      <c r="E14" s="147">
        <f t="shared" si="4"/>
        <v>7907.59</v>
      </c>
      <c r="F14" s="143">
        <f t="shared" si="0"/>
        <v>21499.095667000001</v>
      </c>
      <c r="G14" s="143">
        <f t="shared" si="1"/>
        <v>7209.8015219999997</v>
      </c>
      <c r="H14" s="143">
        <f t="shared" si="1"/>
        <v>0</v>
      </c>
      <c r="I14" s="144">
        <f t="shared" si="2"/>
        <v>28708.897189000003</v>
      </c>
      <c r="J14" s="145">
        <f t="shared" si="3"/>
        <v>-982.91343699999993</v>
      </c>
      <c r="L14" s="88">
        <v>10</v>
      </c>
      <c r="M14" s="88">
        <v>21</v>
      </c>
      <c r="N14" s="88">
        <v>49</v>
      </c>
    </row>
    <row r="15" spans="1:14" x14ac:dyDescent="0.2">
      <c r="A15" s="139">
        <v>9</v>
      </c>
      <c r="B15" s="140">
        <v>4738.0200000000004</v>
      </c>
      <c r="C15" s="140">
        <v>2530.04</v>
      </c>
      <c r="D15" s="140"/>
      <c r="E15" s="147">
        <f t="shared" si="4"/>
        <v>7268.06</v>
      </c>
      <c r="F15" s="143">
        <f t="shared" si="0"/>
        <v>19823.401878000004</v>
      </c>
      <c r="G15" s="143">
        <f t="shared" si="1"/>
        <v>6587.4651479999993</v>
      </c>
      <c r="H15" s="143">
        <f t="shared" si="1"/>
        <v>0</v>
      </c>
      <c r="I15" s="144">
        <f t="shared" si="2"/>
        <v>26410.867026000004</v>
      </c>
      <c r="J15" s="145">
        <f t="shared" si="3"/>
        <v>-903.41985799999998</v>
      </c>
      <c r="L15" s="88">
        <v>11</v>
      </c>
      <c r="M15" s="88">
        <v>24</v>
      </c>
      <c r="N15" s="90">
        <v>49</v>
      </c>
    </row>
    <row r="16" spans="1:14" x14ac:dyDescent="0.2">
      <c r="A16" s="139">
        <v>10</v>
      </c>
      <c r="B16" s="140">
        <v>5035.3100000000004</v>
      </c>
      <c r="C16" s="140">
        <v>2686.22</v>
      </c>
      <c r="D16" s="141"/>
      <c r="E16" s="147">
        <f t="shared" si="4"/>
        <v>7721.5300000000007</v>
      </c>
      <c r="F16" s="143">
        <f t="shared" si="0"/>
        <v>21067.233509000005</v>
      </c>
      <c r="G16" s="143">
        <f t="shared" si="1"/>
        <v>6994.1110139999992</v>
      </c>
      <c r="H16" s="143">
        <f t="shared" si="1"/>
        <v>0</v>
      </c>
      <c r="I16" s="144">
        <f t="shared" si="2"/>
        <v>28061.344523000003</v>
      </c>
      <c r="J16" s="145">
        <f t="shared" si="3"/>
        <v>-959.78617900000006</v>
      </c>
      <c r="L16" s="88">
        <v>13</v>
      </c>
      <c r="M16" s="88">
        <v>27</v>
      </c>
      <c r="N16" s="88">
        <v>51</v>
      </c>
    </row>
    <row r="17" spans="1:14" x14ac:dyDescent="0.2">
      <c r="A17" s="139">
        <v>11</v>
      </c>
      <c r="B17" s="140">
        <v>5006.63</v>
      </c>
      <c r="C17" s="140">
        <v>2606.33</v>
      </c>
      <c r="D17" s="140"/>
      <c r="E17" s="142">
        <f t="shared" si="4"/>
        <v>7612.96</v>
      </c>
      <c r="F17" s="143">
        <f t="shared" si="0"/>
        <v>20947.239257000001</v>
      </c>
      <c r="G17" s="143">
        <f t="shared" si="1"/>
        <v>6786.1014209999994</v>
      </c>
      <c r="H17" s="143">
        <f t="shared" si="1"/>
        <v>0</v>
      </c>
      <c r="I17" s="144">
        <f t="shared" si="2"/>
        <v>27733.340678</v>
      </c>
      <c r="J17" s="145">
        <f t="shared" si="3"/>
        <v>-946.29092800000001</v>
      </c>
      <c r="L17" s="88">
        <v>17</v>
      </c>
      <c r="M17" s="88">
        <v>36</v>
      </c>
      <c r="N17" s="88">
        <v>69</v>
      </c>
    </row>
    <row r="18" spans="1:14" s="9" customFormat="1" x14ac:dyDescent="0.2">
      <c r="A18" s="139">
        <v>12</v>
      </c>
      <c r="B18" s="140"/>
      <c r="C18" s="140">
        <v>8328.52</v>
      </c>
      <c r="D18" s="140"/>
      <c r="E18" s="142">
        <f t="shared" si="4"/>
        <v>8328.52</v>
      </c>
      <c r="F18" s="143">
        <f t="shared" si="0"/>
        <v>0</v>
      </c>
      <c r="G18" s="143">
        <f t="shared" si="1"/>
        <v>21684.967524</v>
      </c>
      <c r="H18" s="143">
        <f t="shared" si="1"/>
        <v>0</v>
      </c>
      <c r="I18" s="144">
        <f t="shared" si="2"/>
        <v>21684.967524</v>
      </c>
      <c r="J18" s="145">
        <f t="shared" si="3"/>
        <v>-1035.235036</v>
      </c>
      <c r="L18" s="88">
        <v>23</v>
      </c>
      <c r="M18" s="88">
        <v>50</v>
      </c>
      <c r="N18" s="88">
        <v>113</v>
      </c>
    </row>
    <row r="19" spans="1:14" s="9" customFormat="1" x14ac:dyDescent="0.2">
      <c r="A19" s="139">
        <v>13</v>
      </c>
      <c r="B19" s="140"/>
      <c r="C19" s="140">
        <v>7971.38</v>
      </c>
      <c r="D19" s="141"/>
      <c r="E19" s="147">
        <f t="shared" si="4"/>
        <v>7971.38</v>
      </c>
      <c r="F19" s="143">
        <f t="shared" si="0"/>
        <v>0</v>
      </c>
      <c r="G19" s="143">
        <f t="shared" si="1"/>
        <v>20755.082105999998</v>
      </c>
      <c r="H19" s="143">
        <f t="shared" si="1"/>
        <v>0</v>
      </c>
      <c r="I19" s="144">
        <f t="shared" si="2"/>
        <v>20755.082105999998</v>
      </c>
      <c r="J19" s="145">
        <f t="shared" si="3"/>
        <v>-990.842534</v>
      </c>
      <c r="L19" s="86">
        <v>29</v>
      </c>
      <c r="M19" s="86">
        <v>84</v>
      </c>
      <c r="N19" s="88">
        <v>180</v>
      </c>
    </row>
    <row r="20" spans="1:14" s="9" customFormat="1" x14ac:dyDescent="0.2">
      <c r="A20" s="139">
        <v>14</v>
      </c>
      <c r="B20" s="140">
        <v>6624.79</v>
      </c>
      <c r="C20" s="140">
        <v>3421.29</v>
      </c>
      <c r="D20" s="141"/>
      <c r="E20" s="147">
        <f t="shared" si="4"/>
        <v>10046.08</v>
      </c>
      <c r="F20" s="143">
        <f t="shared" si="0"/>
        <v>27717.458881000002</v>
      </c>
      <c r="G20" s="143">
        <f t="shared" si="1"/>
        <v>8908.0127730000004</v>
      </c>
      <c r="H20" s="143">
        <f t="shared" si="1"/>
        <v>0</v>
      </c>
      <c r="I20" s="144">
        <f t="shared" si="2"/>
        <v>36625.471654000001</v>
      </c>
      <c r="J20" s="145">
        <f t="shared" si="3"/>
        <v>-1248.727744</v>
      </c>
      <c r="L20" s="88">
        <v>36</v>
      </c>
      <c r="M20" s="88">
        <v>98</v>
      </c>
      <c r="N20" s="88">
        <v>353</v>
      </c>
    </row>
    <row r="21" spans="1:14" s="9" customFormat="1" x14ac:dyDescent="0.2">
      <c r="A21" s="139">
        <v>15</v>
      </c>
      <c r="B21" s="140">
        <v>6564.87</v>
      </c>
      <c r="C21" s="140">
        <v>3735.56</v>
      </c>
      <c r="D21" s="141"/>
      <c r="E21" s="147">
        <f t="shared" si="4"/>
        <v>10300.43</v>
      </c>
      <c r="F21" s="143">
        <f t="shared" si="0"/>
        <v>27466.759593000002</v>
      </c>
      <c r="G21" s="143">
        <f t="shared" si="1"/>
        <v>9726.2775719999991</v>
      </c>
      <c r="H21" s="143">
        <f t="shared" si="1"/>
        <v>0</v>
      </c>
      <c r="I21" s="144">
        <f t="shared" si="2"/>
        <v>37193.037165000002</v>
      </c>
      <c r="J21" s="145">
        <f t="shared" si="3"/>
        <v>-1280.343449</v>
      </c>
      <c r="L21" s="90">
        <v>21</v>
      </c>
      <c r="M21" s="90">
        <v>53</v>
      </c>
      <c r="N21" s="88">
        <v>218</v>
      </c>
    </row>
    <row r="22" spans="1:14" x14ac:dyDescent="0.2">
      <c r="A22" s="139">
        <v>16</v>
      </c>
      <c r="B22" s="140"/>
      <c r="C22" s="140"/>
      <c r="D22" s="140">
        <v>8767.41</v>
      </c>
      <c r="E22" s="147">
        <f t="shared" si="4"/>
        <v>8767.41</v>
      </c>
      <c r="F22" s="143">
        <f t="shared" si="0"/>
        <v>0</v>
      </c>
      <c r="G22" s="143">
        <f t="shared" si="1"/>
        <v>0</v>
      </c>
      <c r="H22" s="143">
        <f t="shared" si="1"/>
        <v>22827.705416999997</v>
      </c>
      <c r="I22" s="144">
        <f t="shared" si="2"/>
        <v>22827.705416999997</v>
      </c>
      <c r="J22" s="145">
        <f t="shared" si="3"/>
        <v>-1089.7890629999999</v>
      </c>
      <c r="L22" s="90">
        <v>25</v>
      </c>
      <c r="M22" s="90">
        <v>52</v>
      </c>
      <c r="N22" s="90">
        <v>124</v>
      </c>
    </row>
    <row r="23" spans="1:14" x14ac:dyDescent="0.2">
      <c r="A23" s="139">
        <v>17</v>
      </c>
      <c r="B23" s="140">
        <v>5567.18</v>
      </c>
      <c r="C23" s="140">
        <v>3117.84</v>
      </c>
      <c r="D23" s="140"/>
      <c r="E23" s="147">
        <f t="shared" si="4"/>
        <v>8685.02</v>
      </c>
      <c r="F23" s="143">
        <f t="shared" si="0"/>
        <v>23292.524402000003</v>
      </c>
      <c r="G23" s="143">
        <f t="shared" si="1"/>
        <v>8117.9200080000001</v>
      </c>
      <c r="H23" s="143">
        <f t="shared" si="1"/>
        <v>0</v>
      </c>
      <c r="I23" s="144">
        <f t="shared" si="2"/>
        <v>31410.444410000004</v>
      </c>
      <c r="J23" s="145">
        <f t="shared" si="3"/>
        <v>-1079.547986</v>
      </c>
      <c r="L23" s="86">
        <v>25</v>
      </c>
      <c r="M23" s="86">
        <v>53</v>
      </c>
      <c r="N23" s="90">
        <v>126</v>
      </c>
    </row>
    <row r="24" spans="1:14" x14ac:dyDescent="0.2">
      <c r="A24" s="139">
        <v>18</v>
      </c>
      <c r="B24" s="140">
        <v>5865.14</v>
      </c>
      <c r="C24" s="140">
        <v>3079.83</v>
      </c>
      <c r="D24" s="148"/>
      <c r="E24" s="142">
        <f t="shared" si="4"/>
        <v>8944.9700000000012</v>
      </c>
      <c r="F24" s="143">
        <f t="shared" si="0"/>
        <v>24539.159246000003</v>
      </c>
      <c r="G24" s="143">
        <f t="shared" si="1"/>
        <v>8018.9533709999996</v>
      </c>
      <c r="H24" s="143">
        <f>+D24*2.6037</f>
        <v>0</v>
      </c>
      <c r="I24" s="144">
        <f t="shared" si="2"/>
        <v>32558.112617000003</v>
      </c>
      <c r="J24" s="145">
        <f t="shared" si="3"/>
        <v>-1111.8597710000001</v>
      </c>
      <c r="L24" s="86">
        <v>23</v>
      </c>
      <c r="M24" s="86">
        <v>57</v>
      </c>
      <c r="N24" s="90">
        <v>129</v>
      </c>
    </row>
    <row r="25" spans="1:14" x14ac:dyDescent="0.2">
      <c r="A25" s="139">
        <v>19</v>
      </c>
      <c r="B25" s="140"/>
      <c r="C25" s="140"/>
      <c r="D25" s="141">
        <v>9687.3700000000008</v>
      </c>
      <c r="E25" s="142">
        <f t="shared" si="4"/>
        <v>9687.3700000000008</v>
      </c>
      <c r="F25" s="143">
        <f t="shared" si="0"/>
        <v>0</v>
      </c>
      <c r="G25" s="143">
        <f t="shared" si="1"/>
        <v>0</v>
      </c>
      <c r="H25" s="143">
        <f>+D25*2.6037</f>
        <v>25223.005269000001</v>
      </c>
      <c r="I25" s="144">
        <f t="shared" si="2"/>
        <v>25223.005269000001</v>
      </c>
      <c r="J25" s="145">
        <f t="shared" si="3"/>
        <v>-1204.140091</v>
      </c>
      <c r="L25" s="86">
        <v>25</v>
      </c>
      <c r="M25" s="86">
        <v>61</v>
      </c>
      <c r="N25" s="90">
        <v>139</v>
      </c>
    </row>
    <row r="26" spans="1:14" x14ac:dyDescent="0.2">
      <c r="A26" s="139">
        <v>20</v>
      </c>
      <c r="B26" s="140"/>
      <c r="C26" s="140"/>
      <c r="D26" s="140">
        <v>10335.799999999999</v>
      </c>
      <c r="E26" s="142">
        <f t="shared" si="4"/>
        <v>10335.799999999999</v>
      </c>
      <c r="F26" s="143">
        <f t="shared" si="0"/>
        <v>0</v>
      </c>
      <c r="G26" s="143">
        <f t="shared" si="1"/>
        <v>0</v>
      </c>
      <c r="H26" s="143">
        <f t="shared" si="1"/>
        <v>26911.322459999996</v>
      </c>
      <c r="I26" s="144">
        <f t="shared" si="2"/>
        <v>26911.322459999996</v>
      </c>
      <c r="J26" s="145">
        <f t="shared" si="3"/>
        <v>-1284.7399399999999</v>
      </c>
      <c r="L26" s="88">
        <v>28</v>
      </c>
      <c r="M26" s="88">
        <v>67</v>
      </c>
      <c r="N26" s="88">
        <v>171</v>
      </c>
    </row>
    <row r="27" spans="1:14" x14ac:dyDescent="0.2">
      <c r="A27" s="139">
        <v>21</v>
      </c>
      <c r="B27" s="140">
        <v>6389.93</v>
      </c>
      <c r="C27" s="140">
        <v>3681.92</v>
      </c>
      <c r="D27" s="140"/>
      <c r="E27" s="142">
        <f t="shared" si="4"/>
        <v>10071.85</v>
      </c>
      <c r="F27" s="143">
        <f t="shared" si="0"/>
        <v>26734.828127000004</v>
      </c>
      <c r="G27" s="143">
        <f t="shared" si="1"/>
        <v>9586.6151040000004</v>
      </c>
      <c r="H27" s="143">
        <f t="shared" si="1"/>
        <v>0</v>
      </c>
      <c r="I27" s="144">
        <f t="shared" si="2"/>
        <v>36321.443231000005</v>
      </c>
      <c r="J27" s="145">
        <f t="shared" si="3"/>
        <v>-1251.930955</v>
      </c>
      <c r="L27" s="90">
        <v>24</v>
      </c>
      <c r="M27" s="90">
        <v>71</v>
      </c>
      <c r="N27" s="88">
        <v>167</v>
      </c>
    </row>
    <row r="28" spans="1:14" x14ac:dyDescent="0.2">
      <c r="A28" s="139">
        <v>22</v>
      </c>
      <c r="B28" s="140">
        <v>6013.37</v>
      </c>
      <c r="C28" s="140">
        <v>3281.92</v>
      </c>
      <c r="D28" s="141"/>
      <c r="E28" s="142">
        <f t="shared" si="4"/>
        <v>9295.2900000000009</v>
      </c>
      <c r="F28" s="143">
        <f t="shared" si="0"/>
        <v>25159.338743</v>
      </c>
      <c r="G28" s="143">
        <f t="shared" si="1"/>
        <v>8545.135103999999</v>
      </c>
      <c r="H28" s="143">
        <f t="shared" si="1"/>
        <v>0</v>
      </c>
      <c r="I28" s="144">
        <f t="shared" si="2"/>
        <v>33704.473847000001</v>
      </c>
      <c r="J28" s="145">
        <f t="shared" si="3"/>
        <v>-1155.4045470000001</v>
      </c>
      <c r="L28" s="86">
        <v>20</v>
      </c>
      <c r="M28" s="90">
        <v>63</v>
      </c>
      <c r="N28" s="90">
        <v>140</v>
      </c>
    </row>
    <row r="29" spans="1:14" x14ac:dyDescent="0.2">
      <c r="A29" s="139">
        <v>23</v>
      </c>
      <c r="B29" s="140">
        <v>5008.63</v>
      </c>
      <c r="C29" s="140">
        <v>2975.87</v>
      </c>
      <c r="D29" s="148"/>
      <c r="E29" s="147">
        <f t="shared" si="4"/>
        <v>7984.5</v>
      </c>
      <c r="F29" s="143">
        <f t="shared" si="0"/>
        <v>20955.607057000001</v>
      </c>
      <c r="G29" s="143">
        <f t="shared" si="1"/>
        <v>7748.2727189999996</v>
      </c>
      <c r="H29" s="143">
        <f t="shared" si="1"/>
        <v>0</v>
      </c>
      <c r="I29" s="144">
        <f t="shared" si="2"/>
        <v>28703.879776000002</v>
      </c>
      <c r="J29" s="145">
        <f t="shared" si="3"/>
        <v>-992.47334999999998</v>
      </c>
      <c r="L29" s="88">
        <v>19</v>
      </c>
      <c r="M29" s="88">
        <v>52</v>
      </c>
      <c r="N29" s="90">
        <v>126</v>
      </c>
    </row>
    <row r="30" spans="1:14" x14ac:dyDescent="0.2">
      <c r="A30" s="139">
        <v>24</v>
      </c>
      <c r="B30" s="140">
        <v>5010.55</v>
      </c>
      <c r="C30" s="140">
        <v>2842.75</v>
      </c>
      <c r="D30" s="140"/>
      <c r="E30" s="147">
        <f t="shared" si="4"/>
        <v>7853.3</v>
      </c>
      <c r="F30" s="143">
        <f t="shared" si="0"/>
        <v>20963.640145000001</v>
      </c>
      <c r="G30" s="143">
        <f t="shared" si="1"/>
        <v>7401.6681749999998</v>
      </c>
      <c r="H30" s="143">
        <f t="shared" si="1"/>
        <v>0</v>
      </c>
      <c r="I30" s="144">
        <f t="shared" si="2"/>
        <v>28365.30832</v>
      </c>
      <c r="J30" s="145">
        <f t="shared" si="3"/>
        <v>-976.16518999999994</v>
      </c>
      <c r="L30" s="88">
        <v>19</v>
      </c>
      <c r="M30" s="88">
        <v>70</v>
      </c>
      <c r="N30" s="90">
        <v>148</v>
      </c>
    </row>
    <row r="31" spans="1:14" x14ac:dyDescent="0.2">
      <c r="A31" s="139">
        <v>25</v>
      </c>
      <c r="B31" s="140">
        <v>5630.08</v>
      </c>
      <c r="C31" s="140">
        <v>3168.64</v>
      </c>
      <c r="D31" s="140"/>
      <c r="E31" s="142">
        <f t="shared" si="4"/>
        <v>8798.7199999999993</v>
      </c>
      <c r="F31" s="143">
        <f t="shared" si="0"/>
        <v>23555.691712000003</v>
      </c>
      <c r="G31" s="143">
        <f t="shared" si="1"/>
        <v>8250.1879680000002</v>
      </c>
      <c r="H31" s="143">
        <f t="shared" si="1"/>
        <v>0</v>
      </c>
      <c r="I31" s="144">
        <f t="shared" si="2"/>
        <v>31805.879680000005</v>
      </c>
      <c r="J31" s="145">
        <f t="shared" si="3"/>
        <v>-1093.6808959999998</v>
      </c>
      <c r="L31" s="88">
        <v>25</v>
      </c>
      <c r="M31" s="88">
        <v>77</v>
      </c>
      <c r="N31" s="90">
        <v>144</v>
      </c>
    </row>
    <row r="32" spans="1:14" x14ac:dyDescent="0.2">
      <c r="A32" s="139">
        <v>26</v>
      </c>
      <c r="B32" s="140"/>
      <c r="C32" s="140"/>
      <c r="D32" s="141">
        <v>8873.4699999999993</v>
      </c>
      <c r="E32" s="142">
        <f t="shared" si="4"/>
        <v>8873.4699999999993</v>
      </c>
      <c r="F32" s="143">
        <f t="shared" si="0"/>
        <v>0</v>
      </c>
      <c r="G32" s="143">
        <f t="shared" si="1"/>
        <v>0</v>
      </c>
      <c r="H32" s="143">
        <f t="shared" si="1"/>
        <v>23103.853838999996</v>
      </c>
      <c r="I32" s="144">
        <f t="shared" si="2"/>
        <v>23103.853838999996</v>
      </c>
      <c r="J32" s="145">
        <f t="shared" si="3"/>
        <v>-1102.972321</v>
      </c>
      <c r="L32" s="88">
        <v>23</v>
      </c>
      <c r="M32" s="88">
        <v>72</v>
      </c>
      <c r="N32" s="90">
        <v>171</v>
      </c>
    </row>
    <row r="33" spans="1:14" x14ac:dyDescent="0.2">
      <c r="A33" s="139">
        <v>27</v>
      </c>
      <c r="B33" s="140"/>
      <c r="C33" s="140"/>
      <c r="D33" s="140">
        <v>8655.91</v>
      </c>
      <c r="E33" s="147">
        <f t="shared" si="4"/>
        <v>8655.91</v>
      </c>
      <c r="F33" s="143">
        <f t="shared" si="0"/>
        <v>0</v>
      </c>
      <c r="G33" s="143">
        <f t="shared" si="1"/>
        <v>0</v>
      </c>
      <c r="H33" s="143">
        <f t="shared" si="1"/>
        <v>22537.392866999999</v>
      </c>
      <c r="I33" s="144">
        <f t="shared" si="2"/>
        <v>22537.392866999999</v>
      </c>
      <c r="J33" s="145">
        <f t="shared" si="3"/>
        <v>-1075.929613</v>
      </c>
      <c r="L33" s="88">
        <v>19</v>
      </c>
      <c r="M33" s="88">
        <v>46</v>
      </c>
      <c r="N33" s="90">
        <v>141</v>
      </c>
    </row>
    <row r="34" spans="1:14" x14ac:dyDescent="0.2">
      <c r="A34" s="139">
        <v>28</v>
      </c>
      <c r="B34" s="140">
        <v>5965.4</v>
      </c>
      <c r="C34" s="140">
        <v>3061.79</v>
      </c>
      <c r="D34" s="140"/>
      <c r="E34" s="142">
        <f t="shared" si="4"/>
        <v>9027.1899999999987</v>
      </c>
      <c r="F34" s="143">
        <f t="shared" si="0"/>
        <v>24958.637060000001</v>
      </c>
      <c r="G34" s="143">
        <f t="shared" si="1"/>
        <v>7971.9826229999999</v>
      </c>
      <c r="H34" s="143">
        <f t="shared" si="1"/>
        <v>0</v>
      </c>
      <c r="I34" s="144">
        <f t="shared" si="2"/>
        <v>32930.619682999997</v>
      </c>
      <c r="J34" s="145">
        <f t="shared" si="3"/>
        <v>-1122.0797169999998</v>
      </c>
      <c r="L34" s="88">
        <v>16</v>
      </c>
      <c r="M34" s="88">
        <v>36</v>
      </c>
      <c r="N34" s="90">
        <v>100</v>
      </c>
    </row>
    <row r="35" spans="1:14" hidden="1" x14ac:dyDescent="0.2">
      <c r="A35" s="8"/>
      <c r="B35" s="100"/>
      <c r="C35" s="100"/>
      <c r="D35" s="101"/>
      <c r="E35" s="94"/>
      <c r="F35" s="95"/>
      <c r="G35" s="95"/>
      <c r="H35" s="96"/>
      <c r="I35" s="97"/>
      <c r="J35" s="98"/>
      <c r="L35" s="88"/>
      <c r="M35" s="88"/>
      <c r="N35" s="88"/>
    </row>
    <row r="36" spans="1:14" hidden="1" x14ac:dyDescent="0.2">
      <c r="A36" s="8"/>
      <c r="B36" s="100"/>
      <c r="C36" s="100"/>
      <c r="D36" s="101"/>
      <c r="E36" s="94"/>
      <c r="F36" s="95"/>
      <c r="G36" s="95"/>
      <c r="H36" s="96"/>
      <c r="I36" s="97"/>
      <c r="J36" s="98"/>
      <c r="L36" s="88"/>
      <c r="M36" s="88"/>
      <c r="N36" s="88"/>
    </row>
    <row r="37" spans="1:14" s="131" customFormat="1" ht="14.25" hidden="1" customHeight="1" x14ac:dyDescent="0.25">
      <c r="A37" s="8"/>
      <c r="B37" s="125"/>
      <c r="C37" s="125"/>
      <c r="D37" s="102"/>
      <c r="E37" s="126"/>
      <c r="F37" s="127"/>
      <c r="G37" s="127"/>
      <c r="H37" s="128"/>
      <c r="I37" s="97"/>
      <c r="J37" s="129"/>
      <c r="K37" s="130"/>
      <c r="L37" s="89"/>
      <c r="M37" s="89"/>
      <c r="N37" s="89"/>
    </row>
    <row r="38" spans="1:14" ht="13.5" hidden="1" thickBot="1" x14ac:dyDescent="0.25">
      <c r="A38" s="111"/>
      <c r="B38" s="112"/>
      <c r="C38" s="112"/>
      <c r="D38" s="113"/>
      <c r="E38" s="112"/>
      <c r="F38" s="112"/>
      <c r="G38" s="112"/>
      <c r="H38" s="112"/>
      <c r="I38" s="112"/>
      <c r="J38" s="112"/>
      <c r="L38" s="92"/>
      <c r="M38" s="92"/>
      <c r="N38" s="92"/>
    </row>
    <row r="39" spans="1:14" ht="13.5" thickBot="1" x14ac:dyDescent="0.25">
      <c r="A39" s="111" t="s">
        <v>18</v>
      </c>
      <c r="B39" s="112">
        <f t="shared" ref="B39:J39" si="5">SUM(B7:B37)</f>
        <v>103868.48000000001</v>
      </c>
      <c r="C39" s="112">
        <f t="shared" si="5"/>
        <v>72954.31</v>
      </c>
      <c r="D39" s="113">
        <f t="shared" si="5"/>
        <v>62424.25</v>
      </c>
      <c r="E39" s="112">
        <f t="shared" si="5"/>
        <v>239247.04</v>
      </c>
      <c r="F39" s="112">
        <f>SUM(F7:F37)</f>
        <v>434575.33347200003</v>
      </c>
      <c r="G39" s="112">
        <f>SUM(G7:G37)</f>
        <v>189951.13694699996</v>
      </c>
      <c r="H39" s="112">
        <f>SUM(H7:H37)</f>
        <v>162534.01972499996</v>
      </c>
      <c r="I39" s="112">
        <f>SUM(I7:I37)</f>
        <v>787060.49014399992</v>
      </c>
      <c r="J39" s="112">
        <f t="shared" si="5"/>
        <v>-29738.407072000002</v>
      </c>
      <c r="L39" s="92">
        <f>SUM(L7:L34)</f>
        <v>528</v>
      </c>
      <c r="M39" s="92">
        <f t="shared" ref="M39:N39" si="6">SUM(M7:M34)</f>
        <v>1352</v>
      </c>
      <c r="N39" s="92">
        <f t="shared" si="6"/>
        <v>3401</v>
      </c>
    </row>
    <row r="40" spans="1:14" ht="13.5" thickTop="1" x14ac:dyDescent="0.2">
      <c r="A40" s="10"/>
      <c r="B40" s="10"/>
      <c r="C40" s="10"/>
      <c r="D40" s="10"/>
      <c r="E40" s="11"/>
      <c r="F40" s="10"/>
      <c r="G40" s="12" t="s">
        <v>67</v>
      </c>
      <c r="H40" s="12"/>
      <c r="I40" s="13">
        <f>A42*132.93</f>
        <v>0</v>
      </c>
      <c r="J40" s="10"/>
    </row>
    <row r="41" spans="1:14" x14ac:dyDescent="0.2">
      <c r="A41" s="14" t="s">
        <v>68</v>
      </c>
      <c r="B41" s="14"/>
      <c r="C41" s="154" t="s">
        <v>29</v>
      </c>
      <c r="D41" s="155"/>
      <c r="E41" s="15" t="s">
        <v>69</v>
      </c>
      <c r="F41" s="10"/>
      <c r="G41" s="12" t="s">
        <v>70</v>
      </c>
      <c r="H41" s="12"/>
      <c r="I41" s="13">
        <v>312.24</v>
      </c>
      <c r="J41" s="11"/>
    </row>
    <row r="42" spans="1:14" x14ac:dyDescent="0.2">
      <c r="A42" s="150"/>
      <c r="B42" s="151"/>
      <c r="C42" s="152"/>
      <c r="D42" s="153"/>
      <c r="E42" s="16">
        <v>18.3</v>
      </c>
      <c r="F42" s="10"/>
      <c r="G42" s="12" t="s">
        <v>71</v>
      </c>
      <c r="H42" s="12"/>
      <c r="I42" s="13">
        <f>SUM(I39:I41)</f>
        <v>787372.73014399991</v>
      </c>
      <c r="J42" s="11"/>
    </row>
    <row r="43" spans="1:14" x14ac:dyDescent="0.2">
      <c r="A43" s="12"/>
      <c r="B43" s="12"/>
      <c r="C43" s="12"/>
      <c r="E43" s="10"/>
      <c r="F43" s="10"/>
      <c r="G43" s="12" t="s">
        <v>64</v>
      </c>
      <c r="H43" s="12"/>
      <c r="I43" s="13">
        <f>J39</f>
        <v>-29738.407072000002</v>
      </c>
      <c r="J43" s="10"/>
    </row>
    <row r="44" spans="1:14" x14ac:dyDescent="0.2">
      <c r="D44" s="17"/>
      <c r="E44" s="18"/>
      <c r="F44" s="10"/>
      <c r="G44" s="12" t="s">
        <v>65</v>
      </c>
      <c r="H44" s="12"/>
      <c r="I44" s="13">
        <f>SUM(I42:I43)</f>
        <v>757634.32307199994</v>
      </c>
      <c r="J44" s="11"/>
    </row>
    <row r="45" spans="1:14" x14ac:dyDescent="0.2">
      <c r="A45" s="10"/>
      <c r="B45" s="10"/>
      <c r="C45" s="10"/>
      <c r="D45" s="10"/>
      <c r="E45" s="11"/>
      <c r="F45" s="10"/>
      <c r="G45" s="19" t="s">
        <v>66</v>
      </c>
      <c r="H45" s="12"/>
      <c r="I45" s="13">
        <f>I44*0.07</f>
        <v>53034.402615040002</v>
      </c>
      <c r="J45" s="11"/>
    </row>
    <row r="46" spans="1:14" x14ac:dyDescent="0.2">
      <c r="A46" s="10"/>
      <c r="B46" s="10"/>
      <c r="C46" s="10"/>
      <c r="D46" s="10"/>
      <c r="E46" s="11"/>
      <c r="F46" s="10"/>
      <c r="G46" s="12" t="s">
        <v>18</v>
      </c>
      <c r="H46" s="12"/>
      <c r="I46" s="20">
        <f>SUM(I44:I45)</f>
        <v>810668.7256870399</v>
      </c>
      <c r="J46" s="11"/>
    </row>
    <row r="47" spans="1:14" x14ac:dyDescent="0.2">
      <c r="C47" s="21"/>
      <c r="D47" s="22"/>
      <c r="E47" s="22"/>
      <c r="F47" s="22"/>
      <c r="G47" s="22"/>
      <c r="H47" s="22"/>
      <c r="I47" s="22"/>
    </row>
  </sheetData>
  <mergeCells count="14">
    <mergeCell ref="L4:L6"/>
    <mergeCell ref="M4:M6"/>
    <mergeCell ref="N4:N6"/>
    <mergeCell ref="I4:I6"/>
    <mergeCell ref="J4:J5"/>
    <mergeCell ref="A42:B42"/>
    <mergeCell ref="C42:D42"/>
    <mergeCell ref="C41:D41"/>
    <mergeCell ref="E4:E5"/>
    <mergeCell ref="A3:B3"/>
    <mergeCell ref="A4:A6"/>
    <mergeCell ref="B4:B6"/>
    <mergeCell ref="C4:C6"/>
    <mergeCell ref="D4:D6"/>
  </mergeCells>
  <pageMargins left="0.7" right="0.7" top="0.75" bottom="0.75" header="0.3" footer="0.3"/>
  <pageSetup paperSize="9" scale="13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Y54"/>
  <sheetViews>
    <sheetView topLeftCell="A6" zoomScale="70" zoomScaleNormal="70" workbookViewId="0">
      <pane xSplit="1" ySplit="3" topLeftCell="V19" activePane="bottomRight" state="frozen"/>
      <selection pane="topRight" activeCell="B6" sqref="B6"/>
      <selection pane="bottomLeft" activeCell="A9" sqref="A9"/>
      <selection pane="bottomRight" activeCell="AW40" sqref="AW40"/>
    </sheetView>
  </sheetViews>
  <sheetFormatPr defaultColWidth="9.85546875" defaultRowHeight="15" x14ac:dyDescent="0.25"/>
  <cols>
    <col min="1" max="1" width="5.85546875" style="23" customWidth="1"/>
    <col min="2" max="2" width="9.140625" style="23" customWidth="1"/>
    <col min="3" max="3" width="10" style="23" customWidth="1"/>
    <col min="4" max="4" width="9.140625" style="23" customWidth="1"/>
    <col min="5" max="5" width="10" style="23" customWidth="1"/>
    <col min="6" max="19" width="9.140625" style="23" customWidth="1"/>
    <col min="20" max="20" width="8.140625" style="23" customWidth="1"/>
    <col min="21" max="25" width="9.140625" style="23" customWidth="1"/>
    <col min="26" max="26" width="11.42578125" style="23" customWidth="1"/>
    <col min="27" max="27" width="9.140625" style="23" customWidth="1"/>
    <col min="28" max="28" width="12.28515625" style="23" customWidth="1"/>
    <col min="29" max="30" width="9.140625" style="23" customWidth="1"/>
    <col min="31" max="32" width="7.7109375" style="23" hidden="1" customWidth="1"/>
    <col min="33" max="33" width="12.42578125" style="23" customWidth="1"/>
    <col min="34" max="36" width="9.140625" style="23" customWidth="1"/>
    <col min="37" max="37" width="10.42578125" style="23" customWidth="1"/>
    <col min="38" max="48" width="9.140625" style="23" customWidth="1"/>
    <col min="49" max="49" width="16.42578125" style="23" customWidth="1"/>
    <col min="50" max="50" width="9.140625" style="24" hidden="1" customWidth="1"/>
    <col min="51" max="51" width="0" hidden="1" customWidth="1"/>
    <col min="52" max="16384" width="9.85546875" style="24"/>
  </cols>
  <sheetData>
    <row r="1" spans="1:51" ht="15" hidden="1" customHeight="1" x14ac:dyDescent="0.25"/>
    <row r="2" spans="1:51" ht="15" hidden="1" customHeight="1" x14ac:dyDescent="0.25">
      <c r="A2" s="23" t="s">
        <v>30</v>
      </c>
    </row>
    <row r="3" spans="1:51" ht="15" hidden="1" customHeight="1" x14ac:dyDescent="0.25">
      <c r="D3" s="25" t="s">
        <v>31</v>
      </c>
      <c r="E3" s="26"/>
      <c r="F3" s="24"/>
    </row>
    <row r="4" spans="1:51" ht="15" hidden="1" customHeight="1" x14ac:dyDescent="0.25">
      <c r="D4" s="25" t="s">
        <v>32</v>
      </c>
      <c r="E4" s="26"/>
      <c r="F4" s="24"/>
      <c r="I4" s="176" t="s">
        <v>33</v>
      </c>
      <c r="J4" s="176"/>
      <c r="K4" s="176"/>
      <c r="L4" s="176"/>
      <c r="M4" s="176"/>
      <c r="N4" s="176"/>
      <c r="O4" s="176"/>
      <c r="P4" s="176"/>
      <c r="Q4" s="176"/>
      <c r="R4" s="176"/>
    </row>
    <row r="5" spans="1:51" ht="15" hidden="1" customHeight="1" x14ac:dyDescent="0.25"/>
    <row r="6" spans="1:51" ht="28.5" customHeight="1" thickBot="1" x14ac:dyDescent="0.35">
      <c r="D6" s="177">
        <v>44593</v>
      </c>
      <c r="E6" s="177"/>
      <c r="F6" s="177"/>
      <c r="G6" s="27"/>
      <c r="H6" s="27"/>
      <c r="I6" s="27"/>
      <c r="J6" s="27"/>
      <c r="K6" s="28"/>
      <c r="L6" s="27"/>
      <c r="M6" s="27"/>
      <c r="N6" s="27"/>
      <c r="O6" s="27"/>
      <c r="P6" s="29"/>
      <c r="Q6" s="27"/>
      <c r="R6" s="29"/>
      <c r="S6" s="27"/>
      <c r="T6" s="29"/>
      <c r="U6" s="27"/>
      <c r="V6" s="29"/>
      <c r="W6" s="27"/>
      <c r="X6" s="29"/>
      <c r="Y6" s="27"/>
      <c r="Z6" s="29"/>
      <c r="AA6" s="27"/>
      <c r="AB6" s="27"/>
      <c r="AC6" s="29"/>
      <c r="AD6" s="27"/>
      <c r="AE6" s="29"/>
      <c r="AF6" s="27"/>
      <c r="AG6" s="30" t="s">
        <v>34</v>
      </c>
      <c r="AI6" s="27"/>
      <c r="AJ6" s="27"/>
      <c r="AK6" s="31"/>
      <c r="AL6" s="31"/>
      <c r="AU6" s="32" t="s">
        <v>35</v>
      </c>
      <c r="AV6" s="27"/>
    </row>
    <row r="7" spans="1:51" s="55" customFormat="1" ht="81.75" customHeight="1" thickBot="1" x14ac:dyDescent="0.3">
      <c r="A7" s="33" t="s">
        <v>29</v>
      </c>
      <c r="B7" s="34" t="s">
        <v>36</v>
      </c>
      <c r="C7" s="34" t="s">
        <v>37</v>
      </c>
      <c r="D7" s="35" t="s">
        <v>38</v>
      </c>
      <c r="E7" s="35" t="s">
        <v>37</v>
      </c>
      <c r="F7" s="36" t="s">
        <v>39</v>
      </c>
      <c r="G7" s="36" t="s">
        <v>37</v>
      </c>
      <c r="H7" s="37" t="s">
        <v>40</v>
      </c>
      <c r="I7" s="37" t="s">
        <v>37</v>
      </c>
      <c r="J7" s="38" t="s">
        <v>41</v>
      </c>
      <c r="K7" s="38" t="s">
        <v>37</v>
      </c>
      <c r="L7" s="39" t="s">
        <v>42</v>
      </c>
      <c r="M7" s="39" t="s">
        <v>37</v>
      </c>
      <c r="N7" s="40" t="s">
        <v>43</v>
      </c>
      <c r="O7" s="40" t="s">
        <v>37</v>
      </c>
      <c r="P7" s="41" t="s">
        <v>44</v>
      </c>
      <c r="Q7" s="41" t="s">
        <v>37</v>
      </c>
      <c r="R7" s="42" t="s">
        <v>45</v>
      </c>
      <c r="S7" s="42" t="s">
        <v>37</v>
      </c>
      <c r="T7" s="43" t="s">
        <v>46</v>
      </c>
      <c r="U7" s="43" t="s">
        <v>37</v>
      </c>
      <c r="V7" s="44" t="s">
        <v>47</v>
      </c>
      <c r="W7" s="44" t="s">
        <v>37</v>
      </c>
      <c r="X7" s="41" t="s">
        <v>48</v>
      </c>
      <c r="Y7" s="41" t="s">
        <v>37</v>
      </c>
      <c r="Z7" s="109" t="s">
        <v>49</v>
      </c>
      <c r="AA7" s="45" t="s">
        <v>37</v>
      </c>
      <c r="AB7" s="46" t="s">
        <v>50</v>
      </c>
      <c r="AC7" s="34" t="s">
        <v>51</v>
      </c>
      <c r="AD7" s="34" t="s">
        <v>37</v>
      </c>
      <c r="AE7" s="47" t="s">
        <v>52</v>
      </c>
      <c r="AF7" s="47" t="s">
        <v>37</v>
      </c>
      <c r="AG7" s="48" t="s">
        <v>53</v>
      </c>
      <c r="AH7" s="49" t="s">
        <v>37</v>
      </c>
      <c r="AI7" s="50" t="s">
        <v>54</v>
      </c>
      <c r="AJ7" s="50" t="s">
        <v>37</v>
      </c>
      <c r="AK7" s="33" t="s">
        <v>55</v>
      </c>
      <c r="AL7" s="33" t="s">
        <v>37</v>
      </c>
      <c r="AM7" s="51" t="s">
        <v>56</v>
      </c>
      <c r="AN7" s="51" t="s">
        <v>37</v>
      </c>
      <c r="AO7" s="37" t="s">
        <v>57</v>
      </c>
      <c r="AP7" s="37" t="s">
        <v>37</v>
      </c>
      <c r="AQ7" s="41" t="s">
        <v>58</v>
      </c>
      <c r="AR7" s="41" t="s">
        <v>37</v>
      </c>
      <c r="AS7" s="52" t="s">
        <v>59</v>
      </c>
      <c r="AT7" s="52" t="s">
        <v>37</v>
      </c>
      <c r="AU7" s="35" t="s">
        <v>60</v>
      </c>
      <c r="AV7" s="35" t="s">
        <v>37</v>
      </c>
      <c r="AW7" s="53" t="s">
        <v>61</v>
      </c>
      <c r="AX7" s="54" t="s">
        <v>62</v>
      </c>
    </row>
    <row r="8" spans="1:51" s="59" customFormat="1" ht="15.75" customHeight="1" thickBot="1" x14ac:dyDescent="0.3">
      <c r="A8" s="56">
        <v>31</v>
      </c>
      <c r="B8" s="56">
        <v>28628</v>
      </c>
      <c r="C8" s="56"/>
      <c r="D8" s="56">
        <v>12838</v>
      </c>
      <c r="E8" s="56"/>
      <c r="F8" s="56">
        <v>33440</v>
      </c>
      <c r="G8" s="56"/>
      <c r="H8" s="56">
        <v>26831</v>
      </c>
      <c r="I8" s="56"/>
      <c r="J8" s="56">
        <v>21825</v>
      </c>
      <c r="K8" s="56"/>
      <c r="L8" s="56">
        <v>16403</v>
      </c>
      <c r="M8" s="56"/>
      <c r="N8" s="56">
        <v>14614</v>
      </c>
      <c r="O8" s="56"/>
      <c r="P8" s="56">
        <v>21382</v>
      </c>
      <c r="Q8" s="56"/>
      <c r="R8" s="56">
        <v>25695</v>
      </c>
      <c r="S8" s="56"/>
      <c r="T8" s="56">
        <v>1706</v>
      </c>
      <c r="U8" s="56"/>
      <c r="V8" s="56">
        <v>3375</v>
      </c>
      <c r="W8" s="56"/>
      <c r="X8" s="56">
        <v>31245</v>
      </c>
      <c r="Y8" s="56"/>
      <c r="Z8" s="56">
        <v>12900</v>
      </c>
      <c r="AA8" s="56"/>
      <c r="AB8" s="56"/>
      <c r="AC8" s="56">
        <v>13397</v>
      </c>
      <c r="AD8" s="56"/>
      <c r="AE8" s="56"/>
      <c r="AF8" s="56"/>
      <c r="AG8" s="56">
        <v>5229</v>
      </c>
      <c r="AH8" s="56"/>
      <c r="AI8" s="56">
        <v>39646</v>
      </c>
      <c r="AJ8" s="56"/>
      <c r="AK8" s="56">
        <v>4723</v>
      </c>
      <c r="AL8" s="56"/>
      <c r="AM8" s="56">
        <v>1568</v>
      </c>
      <c r="AN8" s="56"/>
      <c r="AO8" s="56">
        <v>1691</v>
      </c>
      <c r="AP8" s="56"/>
      <c r="AQ8" s="56">
        <v>538</v>
      </c>
      <c r="AR8" s="56"/>
      <c r="AS8" s="56">
        <v>1435</v>
      </c>
      <c r="AT8" s="56"/>
      <c r="AU8" s="56">
        <v>10110</v>
      </c>
      <c r="AV8" s="56"/>
      <c r="AW8" s="57">
        <v>48</v>
      </c>
      <c r="AX8" s="58"/>
    </row>
    <row r="9" spans="1:51" ht="15.75" customHeight="1" x14ac:dyDescent="0.2">
      <c r="A9" s="60">
        <v>1</v>
      </c>
      <c r="B9" s="93">
        <v>28634</v>
      </c>
      <c r="C9" s="105">
        <v>6</v>
      </c>
      <c r="D9" s="93">
        <v>12840</v>
      </c>
      <c r="E9" s="105">
        <v>2</v>
      </c>
      <c r="F9" s="93">
        <v>33445</v>
      </c>
      <c r="G9" s="105">
        <v>5</v>
      </c>
      <c r="H9" s="93">
        <v>26837</v>
      </c>
      <c r="I9" s="105">
        <v>6</v>
      </c>
      <c r="J9" s="93">
        <v>21828</v>
      </c>
      <c r="K9" s="105">
        <v>3</v>
      </c>
      <c r="L9" s="93">
        <v>16403</v>
      </c>
      <c r="M9" s="105">
        <v>0</v>
      </c>
      <c r="N9" s="93">
        <v>14617</v>
      </c>
      <c r="O9" s="105">
        <v>3</v>
      </c>
      <c r="P9" s="93">
        <v>21384</v>
      </c>
      <c r="Q9" s="105">
        <v>2</v>
      </c>
      <c r="R9" s="93">
        <v>25699</v>
      </c>
      <c r="S9" s="105">
        <v>4</v>
      </c>
      <c r="T9" s="93">
        <v>1714</v>
      </c>
      <c r="U9" s="105">
        <v>8</v>
      </c>
      <c r="V9" s="93">
        <v>3376</v>
      </c>
      <c r="W9" s="105">
        <v>1</v>
      </c>
      <c r="X9" s="93">
        <v>31249</v>
      </c>
      <c r="Y9" s="105">
        <v>4</v>
      </c>
      <c r="Z9" s="93">
        <v>12900</v>
      </c>
      <c r="AA9" s="105">
        <v>0</v>
      </c>
      <c r="AB9" s="105">
        <v>31</v>
      </c>
      <c r="AC9" s="93">
        <v>13397</v>
      </c>
      <c r="AD9" s="106">
        <v>0</v>
      </c>
      <c r="AE9" s="93"/>
      <c r="AF9" s="103"/>
      <c r="AG9" s="93">
        <v>5232</v>
      </c>
      <c r="AH9" s="103">
        <v>3</v>
      </c>
      <c r="AI9" s="93">
        <v>39650</v>
      </c>
      <c r="AJ9" s="105">
        <v>4</v>
      </c>
      <c r="AK9" s="93">
        <v>4723</v>
      </c>
      <c r="AL9" s="105">
        <v>0</v>
      </c>
      <c r="AM9" s="93">
        <v>1570</v>
      </c>
      <c r="AN9" s="105">
        <v>2</v>
      </c>
      <c r="AO9" s="93">
        <v>1691</v>
      </c>
      <c r="AP9" s="105">
        <v>0</v>
      </c>
      <c r="AQ9" s="93">
        <v>538</v>
      </c>
      <c r="AR9" s="105">
        <v>0</v>
      </c>
      <c r="AS9" s="93">
        <v>1435</v>
      </c>
      <c r="AT9" s="105">
        <v>0</v>
      </c>
      <c r="AU9" s="93">
        <v>10113</v>
      </c>
      <c r="AV9" s="105">
        <v>0</v>
      </c>
      <c r="AW9" s="108">
        <v>53</v>
      </c>
      <c r="AX9" s="61"/>
      <c r="AY9" s="62"/>
    </row>
    <row r="10" spans="1:51" ht="15.75" customHeight="1" x14ac:dyDescent="0.2">
      <c r="A10" s="63">
        <v>2</v>
      </c>
      <c r="B10" s="93">
        <v>28641</v>
      </c>
      <c r="C10" s="103">
        <v>7</v>
      </c>
      <c r="D10" s="91">
        <v>12843</v>
      </c>
      <c r="E10" s="103">
        <v>3</v>
      </c>
      <c r="F10" s="91">
        <v>33450</v>
      </c>
      <c r="G10" s="103">
        <v>5</v>
      </c>
      <c r="H10" s="91">
        <v>26841</v>
      </c>
      <c r="I10" s="103">
        <v>4</v>
      </c>
      <c r="J10" s="91">
        <v>21830</v>
      </c>
      <c r="K10" s="103">
        <v>2</v>
      </c>
      <c r="L10" s="91">
        <v>16403</v>
      </c>
      <c r="M10" s="103">
        <v>0</v>
      </c>
      <c r="N10" s="91">
        <v>14621</v>
      </c>
      <c r="O10" s="103">
        <v>4</v>
      </c>
      <c r="P10" s="91">
        <v>21385</v>
      </c>
      <c r="Q10" s="103">
        <v>1</v>
      </c>
      <c r="R10" s="91">
        <v>25716</v>
      </c>
      <c r="S10" s="103">
        <v>17</v>
      </c>
      <c r="T10" s="91">
        <v>1718</v>
      </c>
      <c r="U10" s="103">
        <v>4</v>
      </c>
      <c r="V10" s="91">
        <v>3377</v>
      </c>
      <c r="W10" s="103">
        <v>1</v>
      </c>
      <c r="X10" s="91">
        <v>31251</v>
      </c>
      <c r="Y10" s="103">
        <v>2</v>
      </c>
      <c r="Z10" s="91">
        <v>12900</v>
      </c>
      <c r="AA10" s="103">
        <v>0</v>
      </c>
      <c r="AB10" s="103">
        <v>35</v>
      </c>
      <c r="AC10" s="91">
        <v>13397</v>
      </c>
      <c r="AD10" s="107">
        <v>0</v>
      </c>
      <c r="AE10" s="91"/>
      <c r="AF10" s="103"/>
      <c r="AG10" s="91">
        <v>5235</v>
      </c>
      <c r="AH10" s="103">
        <v>3</v>
      </c>
      <c r="AI10" s="91">
        <v>39652</v>
      </c>
      <c r="AJ10" s="103">
        <v>2</v>
      </c>
      <c r="AK10" s="91">
        <v>4723</v>
      </c>
      <c r="AL10" s="103">
        <v>0</v>
      </c>
      <c r="AM10" s="91">
        <v>1572</v>
      </c>
      <c r="AN10" s="103">
        <v>2</v>
      </c>
      <c r="AO10" s="91">
        <v>1692</v>
      </c>
      <c r="AP10" s="103">
        <v>1</v>
      </c>
      <c r="AQ10" s="91">
        <v>538</v>
      </c>
      <c r="AR10" s="103">
        <v>0</v>
      </c>
      <c r="AS10" s="91">
        <v>1435</v>
      </c>
      <c r="AT10" s="103">
        <v>0</v>
      </c>
      <c r="AU10" s="91">
        <v>10117</v>
      </c>
      <c r="AV10" s="103">
        <v>4</v>
      </c>
      <c r="AW10" s="108">
        <v>62</v>
      </c>
      <c r="AX10" s="61"/>
      <c r="AY10" s="62"/>
    </row>
    <row r="11" spans="1:51" ht="15.75" customHeight="1" x14ac:dyDescent="0.2">
      <c r="A11" s="63">
        <v>3</v>
      </c>
      <c r="B11" s="91">
        <v>28645</v>
      </c>
      <c r="C11" s="103">
        <v>4</v>
      </c>
      <c r="D11" s="91">
        <v>12846</v>
      </c>
      <c r="E11" s="103">
        <v>3</v>
      </c>
      <c r="F11" s="91">
        <v>33455</v>
      </c>
      <c r="G11" s="103">
        <v>5</v>
      </c>
      <c r="H11" s="91">
        <v>26844</v>
      </c>
      <c r="I11" s="103">
        <v>3</v>
      </c>
      <c r="J11" s="91">
        <v>21831</v>
      </c>
      <c r="K11" s="103">
        <v>1</v>
      </c>
      <c r="L11" s="91">
        <v>16403</v>
      </c>
      <c r="M11" s="103">
        <v>0</v>
      </c>
      <c r="N11" s="91">
        <v>14623</v>
      </c>
      <c r="O11" s="103">
        <v>2</v>
      </c>
      <c r="P11" s="91">
        <v>21389</v>
      </c>
      <c r="Q11" s="103">
        <v>4</v>
      </c>
      <c r="R11" s="91">
        <v>25721</v>
      </c>
      <c r="S11" s="103">
        <v>5</v>
      </c>
      <c r="T11" s="91">
        <v>1723</v>
      </c>
      <c r="U11" s="103">
        <v>5</v>
      </c>
      <c r="V11" s="91">
        <v>3378</v>
      </c>
      <c r="W11" s="103">
        <v>1</v>
      </c>
      <c r="X11" s="91">
        <v>31253</v>
      </c>
      <c r="Y11" s="103">
        <v>2</v>
      </c>
      <c r="Z11" s="91">
        <v>12900</v>
      </c>
      <c r="AA11" s="103">
        <v>0</v>
      </c>
      <c r="AB11" s="103">
        <v>23</v>
      </c>
      <c r="AC11" s="91">
        <v>13397</v>
      </c>
      <c r="AD11" s="107">
        <v>0</v>
      </c>
      <c r="AE11" s="91"/>
      <c r="AF11" s="103"/>
      <c r="AG11" s="91">
        <v>5237</v>
      </c>
      <c r="AH11" s="103">
        <v>2</v>
      </c>
      <c r="AI11" s="91">
        <v>39655</v>
      </c>
      <c r="AJ11" s="103">
        <v>3</v>
      </c>
      <c r="AK11" s="91">
        <v>4724</v>
      </c>
      <c r="AL11" s="103">
        <v>1</v>
      </c>
      <c r="AM11" s="91">
        <v>1573</v>
      </c>
      <c r="AN11" s="103">
        <v>1</v>
      </c>
      <c r="AO11" s="91">
        <v>1692</v>
      </c>
      <c r="AP11" s="103">
        <v>0</v>
      </c>
      <c r="AQ11" s="91">
        <v>538</v>
      </c>
      <c r="AR11" s="103">
        <v>0</v>
      </c>
      <c r="AS11" s="91">
        <v>1436</v>
      </c>
      <c r="AT11" s="103">
        <v>1</v>
      </c>
      <c r="AU11" s="91">
        <v>10119</v>
      </c>
      <c r="AV11" s="103">
        <v>2</v>
      </c>
      <c r="AW11" s="108">
        <v>45</v>
      </c>
      <c r="AX11" s="61"/>
      <c r="AY11" s="62"/>
    </row>
    <row r="12" spans="1:51" ht="15.75" customHeight="1" x14ac:dyDescent="0.2">
      <c r="A12" s="60">
        <v>4</v>
      </c>
      <c r="B12" s="91">
        <v>28651</v>
      </c>
      <c r="C12" s="103">
        <v>6</v>
      </c>
      <c r="D12" s="91">
        <v>12849</v>
      </c>
      <c r="E12" s="103">
        <v>3</v>
      </c>
      <c r="F12" s="91">
        <v>33494</v>
      </c>
      <c r="G12" s="103">
        <v>39</v>
      </c>
      <c r="H12" s="91">
        <v>26850</v>
      </c>
      <c r="I12" s="103">
        <v>6</v>
      </c>
      <c r="J12" s="91">
        <v>21833</v>
      </c>
      <c r="K12" s="103">
        <v>2</v>
      </c>
      <c r="L12" s="91">
        <v>16404</v>
      </c>
      <c r="M12" s="103">
        <v>1</v>
      </c>
      <c r="N12" s="91">
        <v>14624</v>
      </c>
      <c r="O12" s="103">
        <v>1</v>
      </c>
      <c r="P12" s="91">
        <v>21392</v>
      </c>
      <c r="Q12" s="103">
        <v>3</v>
      </c>
      <c r="R12" s="91">
        <v>25726</v>
      </c>
      <c r="S12" s="103">
        <v>5</v>
      </c>
      <c r="T12" s="91">
        <v>1727</v>
      </c>
      <c r="U12" s="103">
        <v>4</v>
      </c>
      <c r="V12" s="91">
        <v>3380</v>
      </c>
      <c r="W12" s="103">
        <v>2</v>
      </c>
      <c r="X12" s="91">
        <v>31256</v>
      </c>
      <c r="Y12" s="103">
        <v>3</v>
      </c>
      <c r="Z12" s="91">
        <v>12900</v>
      </c>
      <c r="AA12" s="103">
        <v>0</v>
      </c>
      <c r="AB12" s="103">
        <v>27</v>
      </c>
      <c r="AC12" s="91">
        <v>13397</v>
      </c>
      <c r="AD12" s="103">
        <v>0</v>
      </c>
      <c r="AE12" s="91"/>
      <c r="AF12" s="103"/>
      <c r="AG12" s="91">
        <v>5241</v>
      </c>
      <c r="AH12" s="103">
        <v>4</v>
      </c>
      <c r="AI12" s="91">
        <v>39657</v>
      </c>
      <c r="AJ12" s="103">
        <v>2</v>
      </c>
      <c r="AK12" s="91">
        <v>4724</v>
      </c>
      <c r="AL12" s="103">
        <v>0</v>
      </c>
      <c r="AM12" s="91">
        <v>1575</v>
      </c>
      <c r="AN12" s="103">
        <v>2</v>
      </c>
      <c r="AO12" s="91">
        <v>1692</v>
      </c>
      <c r="AP12" s="103">
        <v>0</v>
      </c>
      <c r="AQ12" s="91">
        <v>538</v>
      </c>
      <c r="AR12" s="103">
        <v>0</v>
      </c>
      <c r="AS12" s="91">
        <v>1438</v>
      </c>
      <c r="AT12" s="103">
        <v>2</v>
      </c>
      <c r="AU12" s="91">
        <v>10124</v>
      </c>
      <c r="AV12" s="103">
        <v>5</v>
      </c>
      <c r="AW12" s="108">
        <v>90</v>
      </c>
      <c r="AX12" s="61"/>
      <c r="AY12" s="62"/>
    </row>
    <row r="13" spans="1:51" ht="15.75" customHeight="1" x14ac:dyDescent="0.2">
      <c r="A13" s="63">
        <v>5</v>
      </c>
      <c r="B13" s="91">
        <v>28658</v>
      </c>
      <c r="C13" s="103">
        <v>7</v>
      </c>
      <c r="D13" s="91">
        <v>12851</v>
      </c>
      <c r="E13" s="103">
        <v>2</v>
      </c>
      <c r="F13" s="91">
        <v>33501</v>
      </c>
      <c r="G13" s="103">
        <v>7</v>
      </c>
      <c r="H13" s="91">
        <v>26853</v>
      </c>
      <c r="I13" s="103">
        <v>3</v>
      </c>
      <c r="J13" s="91">
        <v>21838</v>
      </c>
      <c r="K13" s="103">
        <v>5</v>
      </c>
      <c r="L13" s="91">
        <v>16404</v>
      </c>
      <c r="M13" s="103"/>
      <c r="N13" s="91">
        <v>14626</v>
      </c>
      <c r="O13" s="103">
        <v>2</v>
      </c>
      <c r="P13" s="91">
        <v>21394</v>
      </c>
      <c r="Q13" s="103">
        <v>2</v>
      </c>
      <c r="R13" s="91">
        <v>25730</v>
      </c>
      <c r="S13" s="103">
        <v>4</v>
      </c>
      <c r="T13" s="91">
        <v>1733</v>
      </c>
      <c r="U13" s="103">
        <v>6</v>
      </c>
      <c r="V13" s="91">
        <v>3381</v>
      </c>
      <c r="W13" s="103">
        <v>1</v>
      </c>
      <c r="X13" s="91">
        <v>31258</v>
      </c>
      <c r="Y13" s="103">
        <v>2</v>
      </c>
      <c r="Z13" s="91">
        <v>12900</v>
      </c>
      <c r="AA13" s="103">
        <v>0</v>
      </c>
      <c r="AB13" s="103">
        <v>25</v>
      </c>
      <c r="AC13" s="91">
        <v>13397</v>
      </c>
      <c r="AD13" s="103">
        <v>0</v>
      </c>
      <c r="AE13" s="91"/>
      <c r="AF13" s="103"/>
      <c r="AG13" s="91">
        <v>5245</v>
      </c>
      <c r="AH13" s="103">
        <v>4</v>
      </c>
      <c r="AI13" s="91">
        <v>39658</v>
      </c>
      <c r="AJ13" s="103">
        <v>1</v>
      </c>
      <c r="AK13" s="91">
        <v>4724</v>
      </c>
      <c r="AL13" s="103">
        <v>0</v>
      </c>
      <c r="AM13" s="91">
        <v>1577</v>
      </c>
      <c r="AN13" s="103">
        <v>2</v>
      </c>
      <c r="AO13" s="91">
        <v>1692</v>
      </c>
      <c r="AP13" s="103">
        <v>0</v>
      </c>
      <c r="AQ13" s="91">
        <v>538</v>
      </c>
      <c r="AR13" s="103">
        <v>0</v>
      </c>
      <c r="AS13" s="91">
        <v>1438</v>
      </c>
      <c r="AT13" s="103">
        <v>0</v>
      </c>
      <c r="AU13" s="91">
        <v>10128</v>
      </c>
      <c r="AV13" s="103">
        <v>4</v>
      </c>
      <c r="AW13" s="108">
        <v>52</v>
      </c>
      <c r="AX13" s="61"/>
      <c r="AY13" s="62"/>
    </row>
    <row r="14" spans="1:51" ht="15.75" customHeight="1" x14ac:dyDescent="0.2">
      <c r="A14" s="63">
        <v>6</v>
      </c>
      <c r="B14" s="91">
        <v>28663</v>
      </c>
      <c r="C14" s="103">
        <v>5</v>
      </c>
      <c r="D14" s="91">
        <v>12852</v>
      </c>
      <c r="E14" s="103">
        <v>1</v>
      </c>
      <c r="F14" s="91">
        <v>33503</v>
      </c>
      <c r="G14" s="103">
        <v>2</v>
      </c>
      <c r="H14" s="91">
        <v>26857</v>
      </c>
      <c r="I14" s="103">
        <v>4</v>
      </c>
      <c r="J14" s="91">
        <v>21841</v>
      </c>
      <c r="K14" s="103">
        <v>3</v>
      </c>
      <c r="L14" s="91">
        <v>16404</v>
      </c>
      <c r="M14" s="103">
        <v>0</v>
      </c>
      <c r="N14" s="91">
        <v>14627</v>
      </c>
      <c r="O14" s="103">
        <v>1</v>
      </c>
      <c r="P14" s="91">
        <v>21396</v>
      </c>
      <c r="Q14" s="103">
        <v>2</v>
      </c>
      <c r="R14" s="91">
        <v>25732</v>
      </c>
      <c r="S14" s="103">
        <v>2</v>
      </c>
      <c r="T14" s="91">
        <v>1736</v>
      </c>
      <c r="U14" s="103">
        <v>3</v>
      </c>
      <c r="V14" s="91">
        <v>3382</v>
      </c>
      <c r="W14" s="103">
        <v>1</v>
      </c>
      <c r="X14" s="91">
        <v>31259</v>
      </c>
      <c r="Y14" s="103">
        <v>1</v>
      </c>
      <c r="Z14" s="91">
        <v>12900</v>
      </c>
      <c r="AA14" s="103">
        <v>0</v>
      </c>
      <c r="AB14" s="103">
        <v>17</v>
      </c>
      <c r="AC14" s="91">
        <v>13397</v>
      </c>
      <c r="AD14" s="103">
        <v>0</v>
      </c>
      <c r="AE14" s="91"/>
      <c r="AF14" s="103"/>
      <c r="AG14" s="91">
        <v>5247</v>
      </c>
      <c r="AH14" s="103">
        <v>2</v>
      </c>
      <c r="AI14" s="91">
        <v>39658</v>
      </c>
      <c r="AJ14" s="103">
        <v>0</v>
      </c>
      <c r="AK14" s="91">
        <v>4724</v>
      </c>
      <c r="AL14" s="103">
        <v>0</v>
      </c>
      <c r="AM14" s="91">
        <v>1579</v>
      </c>
      <c r="AN14" s="103">
        <v>2</v>
      </c>
      <c r="AO14" s="91">
        <v>1692</v>
      </c>
      <c r="AP14" s="103">
        <v>0</v>
      </c>
      <c r="AQ14" s="91">
        <v>538</v>
      </c>
      <c r="AR14" s="103">
        <v>0</v>
      </c>
      <c r="AS14" s="91">
        <v>1440</v>
      </c>
      <c r="AT14" s="103">
        <v>2</v>
      </c>
      <c r="AU14" s="91">
        <v>10131</v>
      </c>
      <c r="AV14" s="103">
        <v>3</v>
      </c>
      <c r="AW14" s="108">
        <v>34</v>
      </c>
      <c r="AX14" s="61"/>
      <c r="AY14" s="62"/>
    </row>
    <row r="15" spans="1:51" ht="15.75" customHeight="1" x14ac:dyDescent="0.2">
      <c r="A15" s="60">
        <v>7</v>
      </c>
      <c r="B15" s="91">
        <v>28669</v>
      </c>
      <c r="C15" s="103">
        <v>6</v>
      </c>
      <c r="D15" s="91">
        <v>12853</v>
      </c>
      <c r="E15" s="103">
        <v>1</v>
      </c>
      <c r="F15" s="91">
        <v>33505</v>
      </c>
      <c r="G15" s="103">
        <v>2</v>
      </c>
      <c r="H15" s="91">
        <v>26860</v>
      </c>
      <c r="I15" s="103">
        <v>3</v>
      </c>
      <c r="J15" s="91">
        <v>21842</v>
      </c>
      <c r="K15" s="103">
        <v>1</v>
      </c>
      <c r="L15" s="91">
        <v>16405</v>
      </c>
      <c r="M15" s="103">
        <v>1</v>
      </c>
      <c r="N15" s="91">
        <v>14628</v>
      </c>
      <c r="O15" s="103">
        <v>1</v>
      </c>
      <c r="P15" s="91">
        <v>21397</v>
      </c>
      <c r="Q15" s="103">
        <v>1</v>
      </c>
      <c r="R15" s="91">
        <v>25734</v>
      </c>
      <c r="S15" s="103">
        <v>2</v>
      </c>
      <c r="T15" s="23">
        <v>1740</v>
      </c>
      <c r="U15" s="103">
        <v>4</v>
      </c>
      <c r="V15" s="91">
        <v>3382</v>
      </c>
      <c r="W15" s="103">
        <v>0</v>
      </c>
      <c r="X15" s="91">
        <v>31262</v>
      </c>
      <c r="Y15" s="103">
        <v>3</v>
      </c>
      <c r="Z15" s="91">
        <v>12900</v>
      </c>
      <c r="AA15" s="103">
        <v>0</v>
      </c>
      <c r="AB15" s="103">
        <v>16</v>
      </c>
      <c r="AC15" s="91">
        <v>13397</v>
      </c>
      <c r="AD15" s="103">
        <v>0</v>
      </c>
      <c r="AE15" s="91"/>
      <c r="AF15" s="103"/>
      <c r="AG15" s="91">
        <v>5248</v>
      </c>
      <c r="AH15" s="103">
        <v>1</v>
      </c>
      <c r="AI15" s="91">
        <v>39658</v>
      </c>
      <c r="AJ15" s="103">
        <v>0</v>
      </c>
      <c r="AK15" s="91">
        <v>4724</v>
      </c>
      <c r="AL15" s="103">
        <v>0</v>
      </c>
      <c r="AM15" s="91">
        <v>1580</v>
      </c>
      <c r="AN15" s="103">
        <v>1</v>
      </c>
      <c r="AO15" s="91">
        <v>1695</v>
      </c>
      <c r="AP15" s="103">
        <v>3</v>
      </c>
      <c r="AQ15" s="91">
        <v>538</v>
      </c>
      <c r="AR15" s="103">
        <v>0</v>
      </c>
      <c r="AS15" s="91">
        <v>1440</v>
      </c>
      <c r="AT15" s="103">
        <v>0</v>
      </c>
      <c r="AU15" s="91">
        <v>10132</v>
      </c>
      <c r="AV15" s="103">
        <v>1</v>
      </c>
      <c r="AW15" s="108">
        <v>31</v>
      </c>
      <c r="AX15" s="61"/>
      <c r="AY15" s="62"/>
    </row>
    <row r="16" spans="1:51" ht="15.75" customHeight="1" x14ac:dyDescent="0.2">
      <c r="A16" s="63">
        <v>8</v>
      </c>
      <c r="B16" s="91">
        <v>28675</v>
      </c>
      <c r="C16" s="103">
        <v>6</v>
      </c>
      <c r="D16" s="91">
        <v>12854</v>
      </c>
      <c r="E16" s="103">
        <v>1</v>
      </c>
      <c r="F16" s="91">
        <v>33508</v>
      </c>
      <c r="G16" s="103">
        <v>3</v>
      </c>
      <c r="H16" s="91">
        <v>26864</v>
      </c>
      <c r="I16" s="103">
        <v>4</v>
      </c>
      <c r="J16" s="91">
        <v>21843</v>
      </c>
      <c r="K16" s="103">
        <v>1</v>
      </c>
      <c r="L16" s="91">
        <v>16405</v>
      </c>
      <c r="M16" s="103">
        <v>0</v>
      </c>
      <c r="N16" s="91">
        <v>14628</v>
      </c>
      <c r="O16" s="103">
        <v>0</v>
      </c>
      <c r="P16" s="91">
        <v>21399</v>
      </c>
      <c r="Q16" s="103">
        <v>2</v>
      </c>
      <c r="R16" s="91">
        <v>25735</v>
      </c>
      <c r="S16" s="103">
        <v>1</v>
      </c>
      <c r="T16" s="91">
        <v>1744</v>
      </c>
      <c r="U16" s="103">
        <v>4</v>
      </c>
      <c r="V16" s="91">
        <v>3383</v>
      </c>
      <c r="W16" s="103">
        <v>1</v>
      </c>
      <c r="X16" s="91">
        <v>31262</v>
      </c>
      <c r="Y16" s="103">
        <v>0</v>
      </c>
      <c r="Z16" s="91">
        <v>12900</v>
      </c>
      <c r="AA16" s="103">
        <v>0</v>
      </c>
      <c r="AB16" s="103">
        <v>13</v>
      </c>
      <c r="AC16" s="91">
        <v>13397</v>
      </c>
      <c r="AD16" s="103">
        <v>0</v>
      </c>
      <c r="AE16" s="91"/>
      <c r="AF16" s="103"/>
      <c r="AG16" s="91">
        <v>5248</v>
      </c>
      <c r="AH16" s="103">
        <v>0</v>
      </c>
      <c r="AI16" s="91">
        <v>39661</v>
      </c>
      <c r="AJ16" s="103">
        <v>3</v>
      </c>
      <c r="AK16" s="91">
        <v>4725</v>
      </c>
      <c r="AL16" s="103">
        <v>1</v>
      </c>
      <c r="AM16" s="91">
        <v>1582</v>
      </c>
      <c r="AN16" s="103">
        <v>2</v>
      </c>
      <c r="AO16" s="91">
        <v>1695</v>
      </c>
      <c r="AP16" s="103">
        <v>0</v>
      </c>
      <c r="AQ16" s="91">
        <v>538</v>
      </c>
      <c r="AR16" s="103">
        <v>0</v>
      </c>
      <c r="AS16" s="91">
        <v>1440</v>
      </c>
      <c r="AT16" s="103">
        <v>0</v>
      </c>
      <c r="AU16" s="91">
        <v>10132</v>
      </c>
      <c r="AV16" s="103">
        <v>0</v>
      </c>
      <c r="AW16" s="108">
        <v>29</v>
      </c>
      <c r="AX16" s="61"/>
      <c r="AY16" s="62"/>
    </row>
    <row r="17" spans="1:51" ht="15.75" customHeight="1" x14ac:dyDescent="0.2">
      <c r="A17" s="63">
        <v>9</v>
      </c>
      <c r="B17" s="91">
        <v>28680</v>
      </c>
      <c r="C17" s="103">
        <v>5</v>
      </c>
      <c r="D17" s="91">
        <v>12856</v>
      </c>
      <c r="E17" s="103">
        <v>2</v>
      </c>
      <c r="F17" s="91">
        <v>33511</v>
      </c>
      <c r="G17" s="103">
        <v>3</v>
      </c>
      <c r="H17" s="91">
        <v>26868</v>
      </c>
      <c r="I17" s="103">
        <v>4</v>
      </c>
      <c r="J17" s="91">
        <v>21844</v>
      </c>
      <c r="K17" s="103">
        <v>1</v>
      </c>
      <c r="L17" s="91">
        <v>16406</v>
      </c>
      <c r="M17" s="103">
        <v>1</v>
      </c>
      <c r="N17" s="91">
        <v>14629</v>
      </c>
      <c r="O17" s="103">
        <v>1</v>
      </c>
      <c r="P17" s="91">
        <v>21401</v>
      </c>
      <c r="Q17" s="103">
        <v>2</v>
      </c>
      <c r="R17" s="91">
        <v>25737</v>
      </c>
      <c r="S17" s="103">
        <v>2</v>
      </c>
      <c r="T17" s="91">
        <v>1750</v>
      </c>
      <c r="U17" s="103">
        <v>6</v>
      </c>
      <c r="V17" s="91">
        <v>3383</v>
      </c>
      <c r="W17" s="103">
        <v>0</v>
      </c>
      <c r="X17" s="91">
        <v>31263</v>
      </c>
      <c r="Y17" s="103">
        <v>1</v>
      </c>
      <c r="Z17" s="91">
        <v>12900</v>
      </c>
      <c r="AA17" s="103">
        <v>0</v>
      </c>
      <c r="AB17" s="103">
        <v>18</v>
      </c>
      <c r="AC17" s="91">
        <v>13397</v>
      </c>
      <c r="AD17" s="103">
        <v>0</v>
      </c>
      <c r="AE17" s="91"/>
      <c r="AF17" s="103"/>
      <c r="AG17" s="91">
        <v>5248</v>
      </c>
      <c r="AH17" s="103">
        <v>0</v>
      </c>
      <c r="AI17" s="91">
        <v>39662</v>
      </c>
      <c r="AJ17" s="103">
        <v>1</v>
      </c>
      <c r="AK17" s="91">
        <v>4725</v>
      </c>
      <c r="AL17" s="103">
        <v>0</v>
      </c>
      <c r="AM17" s="91">
        <v>1583</v>
      </c>
      <c r="AN17" s="103">
        <v>1</v>
      </c>
      <c r="AO17" s="91">
        <v>1695</v>
      </c>
      <c r="AP17" s="103">
        <v>0</v>
      </c>
      <c r="AQ17" s="91">
        <v>538</v>
      </c>
      <c r="AR17" s="103">
        <v>0</v>
      </c>
      <c r="AS17" s="91">
        <v>1440</v>
      </c>
      <c r="AT17" s="103">
        <v>0</v>
      </c>
      <c r="AU17" s="91">
        <v>10133</v>
      </c>
      <c r="AV17" s="103">
        <v>1</v>
      </c>
      <c r="AW17" s="108">
        <v>31</v>
      </c>
      <c r="AX17" s="61"/>
      <c r="AY17" s="62"/>
    </row>
    <row r="18" spans="1:51" ht="15.75" customHeight="1" x14ac:dyDescent="0.2">
      <c r="A18" s="60">
        <v>10</v>
      </c>
      <c r="B18" s="91">
        <v>28685</v>
      </c>
      <c r="C18" s="103">
        <v>5</v>
      </c>
      <c r="D18" s="91">
        <v>12857</v>
      </c>
      <c r="E18" s="103">
        <v>1</v>
      </c>
      <c r="F18" s="91">
        <v>33514</v>
      </c>
      <c r="G18" s="103">
        <v>3</v>
      </c>
      <c r="H18" s="91">
        <v>26871</v>
      </c>
      <c r="I18" s="103">
        <v>3</v>
      </c>
      <c r="J18" s="91">
        <v>21845</v>
      </c>
      <c r="K18" s="103">
        <v>1</v>
      </c>
      <c r="L18" s="91">
        <v>16407</v>
      </c>
      <c r="M18" s="103">
        <v>1</v>
      </c>
      <c r="N18" s="91">
        <v>14632</v>
      </c>
      <c r="O18" s="103">
        <v>3</v>
      </c>
      <c r="P18" s="91">
        <v>21402</v>
      </c>
      <c r="Q18" s="103">
        <v>1</v>
      </c>
      <c r="R18" s="91">
        <v>25738</v>
      </c>
      <c r="S18" s="103">
        <v>1</v>
      </c>
      <c r="T18" s="91">
        <v>1754</v>
      </c>
      <c r="U18" s="103">
        <v>4</v>
      </c>
      <c r="V18" s="91">
        <v>3383</v>
      </c>
      <c r="W18" s="103">
        <v>0</v>
      </c>
      <c r="X18" s="91">
        <v>31264</v>
      </c>
      <c r="Y18" s="103">
        <v>1</v>
      </c>
      <c r="Z18" s="91">
        <v>12900</v>
      </c>
      <c r="AA18" s="103">
        <v>0</v>
      </c>
      <c r="AB18" s="103">
        <v>15</v>
      </c>
      <c r="AC18" s="91">
        <v>13397</v>
      </c>
      <c r="AD18" s="103">
        <v>0</v>
      </c>
      <c r="AE18" s="91"/>
      <c r="AF18" s="103"/>
      <c r="AG18" s="91">
        <v>5248</v>
      </c>
      <c r="AH18" s="103">
        <v>0</v>
      </c>
      <c r="AI18" s="91">
        <v>39663</v>
      </c>
      <c r="AJ18" s="103">
        <v>1</v>
      </c>
      <c r="AK18" s="91">
        <v>4725</v>
      </c>
      <c r="AL18" s="103">
        <v>0</v>
      </c>
      <c r="AM18" s="91">
        <v>1587</v>
      </c>
      <c r="AN18" s="103">
        <v>4</v>
      </c>
      <c r="AO18" s="91">
        <v>1695</v>
      </c>
      <c r="AP18" s="103">
        <v>0</v>
      </c>
      <c r="AQ18" s="91">
        <v>538</v>
      </c>
      <c r="AR18" s="103">
        <v>0</v>
      </c>
      <c r="AS18" s="91">
        <v>1441</v>
      </c>
      <c r="AT18" s="103">
        <v>1</v>
      </c>
      <c r="AU18" s="91">
        <v>10133</v>
      </c>
      <c r="AV18" s="103">
        <v>0</v>
      </c>
      <c r="AW18" s="108">
        <v>30</v>
      </c>
      <c r="AX18" s="61"/>
      <c r="AY18" s="62"/>
    </row>
    <row r="19" spans="1:51" ht="15.75" customHeight="1" x14ac:dyDescent="0.2">
      <c r="A19" s="63">
        <v>11</v>
      </c>
      <c r="B19" s="91">
        <v>28690</v>
      </c>
      <c r="C19" s="103">
        <v>5</v>
      </c>
      <c r="D19" s="91">
        <v>12858</v>
      </c>
      <c r="E19" s="103">
        <v>1</v>
      </c>
      <c r="F19" s="91">
        <v>33517</v>
      </c>
      <c r="G19" s="103">
        <v>3</v>
      </c>
      <c r="H19" s="91">
        <v>26873</v>
      </c>
      <c r="I19" s="103">
        <v>2</v>
      </c>
      <c r="J19" s="91">
        <v>21849</v>
      </c>
      <c r="K19" s="103">
        <v>4</v>
      </c>
      <c r="L19" s="91">
        <v>16420</v>
      </c>
      <c r="M19" s="103">
        <v>13</v>
      </c>
      <c r="N19" s="91">
        <v>14635</v>
      </c>
      <c r="O19" s="103">
        <v>3</v>
      </c>
      <c r="P19" s="91">
        <v>21403</v>
      </c>
      <c r="Q19" s="103">
        <v>1</v>
      </c>
      <c r="R19" s="91">
        <v>25740</v>
      </c>
      <c r="S19" s="103">
        <v>2</v>
      </c>
      <c r="T19" s="91">
        <v>1759</v>
      </c>
      <c r="U19" s="103">
        <v>5</v>
      </c>
      <c r="V19" s="91">
        <v>3383</v>
      </c>
      <c r="W19" s="103">
        <v>0</v>
      </c>
      <c r="X19" s="91">
        <v>31266</v>
      </c>
      <c r="Y19" s="103">
        <v>2</v>
      </c>
      <c r="Z19" s="91">
        <v>12900</v>
      </c>
      <c r="AA19" s="103">
        <v>0</v>
      </c>
      <c r="AB19" s="103">
        <v>32</v>
      </c>
      <c r="AC19" s="91">
        <v>13397</v>
      </c>
      <c r="AD19" s="103">
        <v>0</v>
      </c>
      <c r="AE19" s="91"/>
      <c r="AF19" s="103"/>
      <c r="AG19" s="91">
        <v>5248</v>
      </c>
      <c r="AH19" s="103">
        <v>0</v>
      </c>
      <c r="AI19" s="91">
        <v>39663</v>
      </c>
      <c r="AJ19" s="103">
        <v>0</v>
      </c>
      <c r="AK19" s="91">
        <v>4725</v>
      </c>
      <c r="AL19" s="103">
        <v>0</v>
      </c>
      <c r="AM19" s="91">
        <v>1588</v>
      </c>
      <c r="AN19" s="103">
        <v>1</v>
      </c>
      <c r="AO19" s="91">
        <v>1695</v>
      </c>
      <c r="AP19" s="103">
        <v>0</v>
      </c>
      <c r="AQ19" s="91">
        <v>539</v>
      </c>
      <c r="AR19" s="103">
        <v>1</v>
      </c>
      <c r="AS19" s="91">
        <v>1441</v>
      </c>
      <c r="AT19" s="103">
        <v>0</v>
      </c>
      <c r="AU19" s="91">
        <v>10133</v>
      </c>
      <c r="AV19" s="103">
        <v>0</v>
      </c>
      <c r="AW19" s="108">
        <v>43</v>
      </c>
      <c r="AX19" s="61"/>
      <c r="AY19" s="62"/>
    </row>
    <row r="20" spans="1:51" ht="15.75" customHeight="1" x14ac:dyDescent="0.2">
      <c r="A20" s="63">
        <v>12</v>
      </c>
      <c r="B20" s="91">
        <v>28695</v>
      </c>
      <c r="C20" s="103">
        <v>5</v>
      </c>
      <c r="D20" s="91">
        <v>12858</v>
      </c>
      <c r="E20" s="103">
        <v>0</v>
      </c>
      <c r="F20" s="91">
        <v>33519</v>
      </c>
      <c r="G20" s="103">
        <v>2</v>
      </c>
      <c r="H20" s="91">
        <v>26876</v>
      </c>
      <c r="I20" s="103">
        <v>3</v>
      </c>
      <c r="J20" s="91">
        <v>21852</v>
      </c>
      <c r="K20" s="103">
        <v>3</v>
      </c>
      <c r="L20" s="91">
        <v>16481</v>
      </c>
      <c r="M20" s="103">
        <v>61</v>
      </c>
      <c r="N20" s="91">
        <v>14638</v>
      </c>
      <c r="O20" s="103">
        <v>3</v>
      </c>
      <c r="P20" s="91">
        <v>21404</v>
      </c>
      <c r="Q20" s="103">
        <v>1</v>
      </c>
      <c r="R20" s="91">
        <v>25741</v>
      </c>
      <c r="S20" s="103">
        <v>1</v>
      </c>
      <c r="T20" s="91">
        <v>1762</v>
      </c>
      <c r="U20" s="103">
        <v>3</v>
      </c>
      <c r="V20" s="91">
        <v>3383</v>
      </c>
      <c r="W20" s="103">
        <v>0</v>
      </c>
      <c r="X20" s="91">
        <v>31268</v>
      </c>
      <c r="Y20" s="103">
        <v>2</v>
      </c>
      <c r="Z20" s="91">
        <v>12900</v>
      </c>
      <c r="AA20" s="103">
        <v>0</v>
      </c>
      <c r="AB20" s="103">
        <v>77</v>
      </c>
      <c r="AC20" s="91">
        <v>13397</v>
      </c>
      <c r="AD20" s="103">
        <v>0</v>
      </c>
      <c r="AE20" s="91"/>
      <c r="AF20" s="103"/>
      <c r="AG20" s="91">
        <v>5248</v>
      </c>
      <c r="AH20" s="103">
        <v>0</v>
      </c>
      <c r="AI20" s="91">
        <v>39664</v>
      </c>
      <c r="AJ20" s="103">
        <v>1</v>
      </c>
      <c r="AK20" s="91">
        <v>4725</v>
      </c>
      <c r="AL20" s="103">
        <v>0</v>
      </c>
      <c r="AM20" s="91">
        <v>1591</v>
      </c>
      <c r="AN20" s="103">
        <v>3</v>
      </c>
      <c r="AO20" s="91">
        <v>1695</v>
      </c>
      <c r="AP20" s="103">
        <v>0</v>
      </c>
      <c r="AQ20" s="91">
        <v>539</v>
      </c>
      <c r="AR20" s="103">
        <v>0</v>
      </c>
      <c r="AS20" s="91">
        <v>1441</v>
      </c>
      <c r="AT20" s="103">
        <v>0</v>
      </c>
      <c r="AU20" s="91">
        <v>10134</v>
      </c>
      <c r="AV20" s="103">
        <v>1</v>
      </c>
      <c r="AW20" s="108">
        <v>89</v>
      </c>
      <c r="AX20" s="61"/>
      <c r="AY20" s="62"/>
    </row>
    <row r="21" spans="1:51" ht="15.75" customHeight="1" x14ac:dyDescent="0.2">
      <c r="A21" s="60">
        <v>13</v>
      </c>
      <c r="B21" s="91">
        <v>28701</v>
      </c>
      <c r="C21" s="103">
        <v>6</v>
      </c>
      <c r="D21" s="91">
        <v>12861</v>
      </c>
      <c r="E21" s="103">
        <v>3</v>
      </c>
      <c r="F21" s="91">
        <v>33525</v>
      </c>
      <c r="G21" s="103">
        <v>6</v>
      </c>
      <c r="H21" s="91">
        <v>26881</v>
      </c>
      <c r="I21" s="103">
        <v>5</v>
      </c>
      <c r="J21" s="91">
        <v>21856</v>
      </c>
      <c r="K21" s="103">
        <v>4</v>
      </c>
      <c r="L21" s="91">
        <v>16498</v>
      </c>
      <c r="M21" s="103">
        <v>17</v>
      </c>
      <c r="N21" s="91">
        <v>14641</v>
      </c>
      <c r="O21" s="103">
        <v>3</v>
      </c>
      <c r="P21" s="91">
        <v>21406</v>
      </c>
      <c r="Q21" s="103">
        <v>2</v>
      </c>
      <c r="R21" s="91">
        <v>25743</v>
      </c>
      <c r="S21" s="103">
        <v>2</v>
      </c>
      <c r="T21" s="91">
        <v>1767</v>
      </c>
      <c r="U21" s="103">
        <v>5</v>
      </c>
      <c r="V21" s="91">
        <v>3383</v>
      </c>
      <c r="W21" s="103">
        <v>0</v>
      </c>
      <c r="X21" s="91">
        <v>31272</v>
      </c>
      <c r="Y21" s="103">
        <v>4</v>
      </c>
      <c r="Z21" s="91">
        <v>12900</v>
      </c>
      <c r="AA21" s="103">
        <v>0</v>
      </c>
      <c r="AB21" s="103">
        <v>42</v>
      </c>
      <c r="AC21" s="91">
        <v>13397</v>
      </c>
      <c r="AD21" s="103">
        <v>0</v>
      </c>
      <c r="AE21" s="91"/>
      <c r="AF21" s="103"/>
      <c r="AG21" s="91">
        <v>5248</v>
      </c>
      <c r="AH21" s="103">
        <v>0</v>
      </c>
      <c r="AI21" s="91">
        <v>39666</v>
      </c>
      <c r="AJ21" s="103">
        <v>2</v>
      </c>
      <c r="AK21" s="91">
        <v>4726</v>
      </c>
      <c r="AL21" s="103">
        <v>1</v>
      </c>
      <c r="AM21" s="91">
        <v>1592</v>
      </c>
      <c r="AN21" s="103">
        <v>1</v>
      </c>
      <c r="AO21" s="91">
        <v>1695</v>
      </c>
      <c r="AP21" s="103">
        <v>0</v>
      </c>
      <c r="AQ21" s="91">
        <v>539</v>
      </c>
      <c r="AR21" s="103">
        <v>0</v>
      </c>
      <c r="AS21" s="91">
        <v>1441</v>
      </c>
      <c r="AT21" s="103">
        <v>0</v>
      </c>
      <c r="AU21" s="91">
        <v>10134</v>
      </c>
      <c r="AV21" s="103">
        <v>0</v>
      </c>
      <c r="AW21" s="108">
        <v>61</v>
      </c>
      <c r="AX21" s="61"/>
      <c r="AY21" s="62"/>
    </row>
    <row r="22" spans="1:51" ht="15.75" customHeight="1" x14ac:dyDescent="0.2">
      <c r="A22" s="63">
        <v>14</v>
      </c>
      <c r="B22" s="91">
        <v>28709</v>
      </c>
      <c r="C22" s="103">
        <v>8</v>
      </c>
      <c r="D22" s="91">
        <v>12863</v>
      </c>
      <c r="E22" s="103">
        <v>2</v>
      </c>
      <c r="F22" s="91">
        <v>33528</v>
      </c>
      <c r="G22" s="103">
        <v>3</v>
      </c>
      <c r="H22" s="91">
        <v>26885</v>
      </c>
      <c r="I22" s="103">
        <v>4</v>
      </c>
      <c r="J22" s="91">
        <v>21858</v>
      </c>
      <c r="K22" s="103">
        <v>2</v>
      </c>
      <c r="L22" s="91">
        <v>16501</v>
      </c>
      <c r="M22" s="103">
        <v>3</v>
      </c>
      <c r="N22" s="91">
        <v>14644</v>
      </c>
      <c r="O22" s="103">
        <v>3</v>
      </c>
      <c r="P22" s="91">
        <v>21409</v>
      </c>
      <c r="Q22" s="103">
        <v>3</v>
      </c>
      <c r="R22" s="91">
        <v>25747</v>
      </c>
      <c r="S22" s="103">
        <v>4</v>
      </c>
      <c r="T22" s="91">
        <v>1771</v>
      </c>
      <c r="U22" s="103">
        <v>4</v>
      </c>
      <c r="V22" s="91">
        <v>3383</v>
      </c>
      <c r="W22" s="103">
        <v>0</v>
      </c>
      <c r="X22" s="91">
        <v>31277</v>
      </c>
      <c r="Y22" s="103">
        <v>5</v>
      </c>
      <c r="Z22" s="91">
        <v>12900</v>
      </c>
      <c r="AA22" s="103">
        <v>0</v>
      </c>
      <c r="AB22" s="103">
        <v>28</v>
      </c>
      <c r="AC22" s="91">
        <v>13397</v>
      </c>
      <c r="AD22" s="103">
        <v>0</v>
      </c>
      <c r="AE22" s="91"/>
      <c r="AF22" s="103"/>
      <c r="AG22" s="91">
        <v>5248</v>
      </c>
      <c r="AH22" s="103">
        <v>0</v>
      </c>
      <c r="AI22" s="91">
        <v>39696</v>
      </c>
      <c r="AJ22" s="103">
        <v>30</v>
      </c>
      <c r="AK22" s="91">
        <v>4728</v>
      </c>
      <c r="AL22" s="103">
        <v>2</v>
      </c>
      <c r="AM22" s="91">
        <v>1593</v>
      </c>
      <c r="AN22" s="103">
        <v>1</v>
      </c>
      <c r="AO22" s="91">
        <v>1696</v>
      </c>
      <c r="AP22" s="103">
        <v>1</v>
      </c>
      <c r="AQ22" s="91">
        <v>539</v>
      </c>
      <c r="AR22" s="103">
        <v>0</v>
      </c>
      <c r="AS22" s="91">
        <v>1441</v>
      </c>
      <c r="AT22" s="103">
        <v>0</v>
      </c>
      <c r="AU22" s="91">
        <v>10135</v>
      </c>
      <c r="AV22" s="103">
        <v>1</v>
      </c>
      <c r="AW22" s="108">
        <v>76</v>
      </c>
      <c r="AX22" s="61"/>
      <c r="AY22" s="62"/>
    </row>
    <row r="23" spans="1:51" ht="15.75" customHeight="1" x14ac:dyDescent="0.2">
      <c r="A23" s="63">
        <v>15</v>
      </c>
      <c r="B23" s="91">
        <v>28723</v>
      </c>
      <c r="C23" s="103">
        <v>14</v>
      </c>
      <c r="D23" s="91">
        <v>12864</v>
      </c>
      <c r="E23" s="103">
        <v>1</v>
      </c>
      <c r="F23" s="91">
        <v>33532</v>
      </c>
      <c r="G23" s="103">
        <v>4</v>
      </c>
      <c r="H23" s="91">
        <v>26894</v>
      </c>
      <c r="I23" s="103">
        <v>9</v>
      </c>
      <c r="J23" s="91">
        <v>21860</v>
      </c>
      <c r="K23" s="103">
        <v>2</v>
      </c>
      <c r="L23" s="91">
        <v>16503</v>
      </c>
      <c r="M23" s="103">
        <v>2</v>
      </c>
      <c r="N23" s="91">
        <v>14650</v>
      </c>
      <c r="O23" s="103">
        <v>6</v>
      </c>
      <c r="P23" s="91">
        <v>21414</v>
      </c>
      <c r="Q23" s="103">
        <v>5</v>
      </c>
      <c r="R23" s="91">
        <v>25751</v>
      </c>
      <c r="S23" s="103">
        <v>4</v>
      </c>
      <c r="T23" s="91">
        <v>1775</v>
      </c>
      <c r="U23" s="103">
        <v>4</v>
      </c>
      <c r="V23" s="91">
        <v>3383</v>
      </c>
      <c r="W23" s="103">
        <v>0</v>
      </c>
      <c r="X23" s="91">
        <v>31280</v>
      </c>
      <c r="Y23" s="103">
        <v>3</v>
      </c>
      <c r="Z23" s="91">
        <v>12900</v>
      </c>
      <c r="AA23" s="103">
        <v>0</v>
      </c>
      <c r="AB23" s="103">
        <v>35</v>
      </c>
      <c r="AC23" s="91">
        <v>13397</v>
      </c>
      <c r="AD23" s="103">
        <v>0</v>
      </c>
      <c r="AE23" s="91"/>
      <c r="AF23" s="103"/>
      <c r="AG23" s="91">
        <v>5250</v>
      </c>
      <c r="AH23" s="103">
        <v>2</v>
      </c>
      <c r="AI23" s="91">
        <v>39699</v>
      </c>
      <c r="AJ23" s="103">
        <v>3</v>
      </c>
      <c r="AK23" s="91">
        <v>4731</v>
      </c>
      <c r="AL23" s="103">
        <v>3</v>
      </c>
      <c r="AM23" s="91">
        <v>1596</v>
      </c>
      <c r="AN23" s="103">
        <v>3</v>
      </c>
      <c r="AO23" s="91">
        <v>1696</v>
      </c>
      <c r="AP23" s="103">
        <v>0</v>
      </c>
      <c r="AQ23" s="91">
        <v>539</v>
      </c>
      <c r="AR23" s="103">
        <v>0</v>
      </c>
      <c r="AS23" s="91">
        <v>1442</v>
      </c>
      <c r="AT23" s="103">
        <v>1</v>
      </c>
      <c r="AU23" s="91">
        <v>10137</v>
      </c>
      <c r="AV23" s="103">
        <v>2</v>
      </c>
      <c r="AW23" s="108">
        <v>68</v>
      </c>
      <c r="AX23" s="61"/>
      <c r="AY23" s="62"/>
    </row>
    <row r="24" spans="1:51" ht="15.75" customHeight="1" x14ac:dyDescent="0.2">
      <c r="A24" s="60">
        <v>16</v>
      </c>
      <c r="B24" s="91">
        <v>28727</v>
      </c>
      <c r="C24" s="103">
        <v>4</v>
      </c>
      <c r="D24" s="91">
        <v>12872</v>
      </c>
      <c r="E24" s="103">
        <v>8</v>
      </c>
      <c r="F24" s="91">
        <v>33543</v>
      </c>
      <c r="G24" s="103">
        <v>11</v>
      </c>
      <c r="H24" s="91">
        <v>26899</v>
      </c>
      <c r="I24" s="103">
        <v>5</v>
      </c>
      <c r="J24" s="91">
        <v>21862</v>
      </c>
      <c r="K24" s="103">
        <v>2</v>
      </c>
      <c r="L24" s="91">
        <v>16506</v>
      </c>
      <c r="M24" s="103">
        <v>3</v>
      </c>
      <c r="N24" s="91">
        <v>14653</v>
      </c>
      <c r="O24" s="103">
        <v>3</v>
      </c>
      <c r="P24" s="91">
        <v>21414</v>
      </c>
      <c r="Q24" s="103">
        <v>0</v>
      </c>
      <c r="R24" s="91">
        <v>25751</v>
      </c>
      <c r="S24" s="103">
        <v>0</v>
      </c>
      <c r="T24" s="91">
        <v>1779</v>
      </c>
      <c r="U24" s="103">
        <v>4</v>
      </c>
      <c r="V24" s="91">
        <v>3384</v>
      </c>
      <c r="W24" s="103">
        <v>1</v>
      </c>
      <c r="X24" s="91">
        <v>31281</v>
      </c>
      <c r="Y24" s="103">
        <v>1</v>
      </c>
      <c r="Z24" s="91">
        <v>12900</v>
      </c>
      <c r="AA24" s="103">
        <v>0</v>
      </c>
      <c r="AB24" s="103">
        <v>19</v>
      </c>
      <c r="AC24" s="91">
        <v>13397</v>
      </c>
      <c r="AD24" s="103">
        <v>0</v>
      </c>
      <c r="AE24" s="91"/>
      <c r="AF24" s="103"/>
      <c r="AG24" s="91">
        <v>5250</v>
      </c>
      <c r="AH24" s="103">
        <v>0</v>
      </c>
      <c r="AI24" s="91">
        <v>39702</v>
      </c>
      <c r="AJ24" s="103">
        <v>3</v>
      </c>
      <c r="AK24" s="91">
        <v>4731</v>
      </c>
      <c r="AL24" s="103">
        <v>0</v>
      </c>
      <c r="AM24" s="91">
        <v>1596</v>
      </c>
      <c r="AN24" s="103">
        <v>0</v>
      </c>
      <c r="AO24" s="91">
        <v>1697</v>
      </c>
      <c r="AP24" s="103">
        <v>1</v>
      </c>
      <c r="AQ24" s="91">
        <v>539</v>
      </c>
      <c r="AR24" s="103">
        <v>0</v>
      </c>
      <c r="AS24" s="91">
        <v>1442</v>
      </c>
      <c r="AT24" s="103">
        <v>0</v>
      </c>
      <c r="AU24" s="91">
        <v>10138</v>
      </c>
      <c r="AV24" s="103">
        <v>1</v>
      </c>
      <c r="AW24" s="108">
        <v>47</v>
      </c>
      <c r="AX24" s="61"/>
      <c r="AY24" s="62"/>
    </row>
    <row r="25" spans="1:51" ht="15.75" customHeight="1" x14ac:dyDescent="0.2">
      <c r="A25" s="63">
        <v>17</v>
      </c>
      <c r="B25" s="91">
        <v>28733</v>
      </c>
      <c r="C25" s="103">
        <v>6</v>
      </c>
      <c r="D25" s="91">
        <v>12876</v>
      </c>
      <c r="E25" s="103">
        <v>4</v>
      </c>
      <c r="F25" s="91">
        <v>33548</v>
      </c>
      <c r="G25" s="103">
        <v>5</v>
      </c>
      <c r="H25" s="91">
        <v>26903</v>
      </c>
      <c r="I25" s="103">
        <v>4</v>
      </c>
      <c r="J25" s="91">
        <v>21864</v>
      </c>
      <c r="K25" s="103">
        <v>2</v>
      </c>
      <c r="L25" s="91">
        <v>16510</v>
      </c>
      <c r="M25" s="103">
        <v>4</v>
      </c>
      <c r="N25" s="91">
        <v>14655</v>
      </c>
      <c r="O25" s="103">
        <v>2</v>
      </c>
      <c r="P25" s="91">
        <v>21416</v>
      </c>
      <c r="Q25" s="103">
        <v>2</v>
      </c>
      <c r="R25" s="91">
        <v>25752</v>
      </c>
      <c r="S25" s="103">
        <v>1</v>
      </c>
      <c r="T25" s="91">
        <v>1781</v>
      </c>
      <c r="U25" s="103">
        <v>2</v>
      </c>
      <c r="V25" s="91">
        <v>3385</v>
      </c>
      <c r="W25" s="103">
        <v>1</v>
      </c>
      <c r="X25" s="91">
        <v>31283</v>
      </c>
      <c r="Y25" s="103">
        <v>2</v>
      </c>
      <c r="Z25" s="91">
        <v>12900</v>
      </c>
      <c r="AA25" s="103">
        <v>0</v>
      </c>
      <c r="AB25" s="103">
        <v>20</v>
      </c>
      <c r="AC25" s="91">
        <v>13397</v>
      </c>
      <c r="AD25" s="103">
        <v>0</v>
      </c>
      <c r="AE25" s="91"/>
      <c r="AF25" s="103"/>
      <c r="AG25" s="91">
        <v>5250</v>
      </c>
      <c r="AH25" s="103">
        <v>0</v>
      </c>
      <c r="AI25" s="91">
        <v>39703</v>
      </c>
      <c r="AJ25" s="103">
        <v>1</v>
      </c>
      <c r="AK25" s="91">
        <v>4732</v>
      </c>
      <c r="AL25" s="103">
        <v>1</v>
      </c>
      <c r="AM25" s="91">
        <v>1597</v>
      </c>
      <c r="AN25" s="103">
        <v>1</v>
      </c>
      <c r="AO25" s="91">
        <v>1697</v>
      </c>
      <c r="AP25" s="103">
        <v>0</v>
      </c>
      <c r="AQ25" s="91">
        <v>539</v>
      </c>
      <c r="AR25" s="103">
        <v>0</v>
      </c>
      <c r="AS25" s="91">
        <v>1442</v>
      </c>
      <c r="AT25" s="103">
        <v>0</v>
      </c>
      <c r="AU25" s="91">
        <v>10139</v>
      </c>
      <c r="AV25" s="103">
        <v>1</v>
      </c>
      <c r="AW25" s="108">
        <v>39</v>
      </c>
      <c r="AX25" s="61"/>
      <c r="AY25" s="62"/>
    </row>
    <row r="26" spans="1:51" ht="15.75" customHeight="1" x14ac:dyDescent="0.2">
      <c r="A26" s="63">
        <v>18</v>
      </c>
      <c r="B26" s="91">
        <v>28740</v>
      </c>
      <c r="C26" s="103">
        <v>7</v>
      </c>
      <c r="D26" s="91">
        <v>12879</v>
      </c>
      <c r="E26" s="103">
        <v>3</v>
      </c>
      <c r="F26" s="91">
        <v>33553</v>
      </c>
      <c r="G26" s="103">
        <v>5</v>
      </c>
      <c r="H26" s="91">
        <v>26905</v>
      </c>
      <c r="I26" s="103">
        <v>2</v>
      </c>
      <c r="J26" s="91">
        <v>21867</v>
      </c>
      <c r="K26" s="103">
        <v>3</v>
      </c>
      <c r="L26" s="91">
        <v>16515</v>
      </c>
      <c r="M26" s="103">
        <v>5</v>
      </c>
      <c r="N26" s="91">
        <v>14658</v>
      </c>
      <c r="O26" s="103">
        <v>3</v>
      </c>
      <c r="P26" s="91">
        <v>21418</v>
      </c>
      <c r="Q26" s="103">
        <v>2</v>
      </c>
      <c r="R26" s="91">
        <v>25753</v>
      </c>
      <c r="S26" s="103">
        <v>1</v>
      </c>
      <c r="T26" s="91">
        <v>1786</v>
      </c>
      <c r="U26" s="103">
        <v>5</v>
      </c>
      <c r="V26" s="91">
        <v>3385</v>
      </c>
      <c r="W26" s="103">
        <v>0</v>
      </c>
      <c r="X26" s="91">
        <v>31286</v>
      </c>
      <c r="Y26" s="103">
        <v>3</v>
      </c>
      <c r="Z26" s="91">
        <v>12900</v>
      </c>
      <c r="AA26" s="103">
        <v>0</v>
      </c>
      <c r="AB26" s="103">
        <v>24</v>
      </c>
      <c r="AC26" s="91">
        <v>13397</v>
      </c>
      <c r="AD26" s="103">
        <v>0</v>
      </c>
      <c r="AE26" s="91"/>
      <c r="AF26" s="103"/>
      <c r="AG26" s="91">
        <v>5250</v>
      </c>
      <c r="AH26" s="103">
        <v>0</v>
      </c>
      <c r="AI26" s="91">
        <v>39704</v>
      </c>
      <c r="AJ26" s="103">
        <v>1</v>
      </c>
      <c r="AK26" s="91">
        <v>4732</v>
      </c>
      <c r="AL26" s="103">
        <v>0</v>
      </c>
      <c r="AM26" s="91">
        <v>1598</v>
      </c>
      <c r="AN26" s="103">
        <v>1</v>
      </c>
      <c r="AO26" s="91">
        <v>1697</v>
      </c>
      <c r="AP26" s="103">
        <v>0</v>
      </c>
      <c r="AQ26" s="91">
        <v>539</v>
      </c>
      <c r="AR26" s="103">
        <v>0</v>
      </c>
      <c r="AS26" s="91">
        <v>1443</v>
      </c>
      <c r="AT26" s="103">
        <v>1</v>
      </c>
      <c r="AU26" s="91">
        <v>10139</v>
      </c>
      <c r="AV26" s="103">
        <v>0</v>
      </c>
      <c r="AW26" s="108">
        <v>42</v>
      </c>
      <c r="AX26" s="61"/>
      <c r="AY26" s="62"/>
    </row>
    <row r="27" spans="1:51" ht="15.75" customHeight="1" x14ac:dyDescent="0.2">
      <c r="A27" s="60">
        <v>19</v>
      </c>
      <c r="B27" s="91">
        <v>28747</v>
      </c>
      <c r="C27" s="103">
        <v>7</v>
      </c>
      <c r="D27" s="91">
        <v>12880</v>
      </c>
      <c r="E27" s="103">
        <v>1</v>
      </c>
      <c r="F27" s="91">
        <v>33557</v>
      </c>
      <c r="G27" s="103">
        <v>4</v>
      </c>
      <c r="H27" s="91">
        <v>26909</v>
      </c>
      <c r="I27" s="103">
        <v>4</v>
      </c>
      <c r="J27" s="91">
        <v>21870</v>
      </c>
      <c r="K27" s="103">
        <v>3</v>
      </c>
      <c r="L27" s="91">
        <v>16520</v>
      </c>
      <c r="M27" s="103">
        <v>5</v>
      </c>
      <c r="N27" s="91">
        <v>14661</v>
      </c>
      <c r="O27" s="103">
        <v>3</v>
      </c>
      <c r="P27" s="91">
        <v>21421</v>
      </c>
      <c r="Q27" s="103">
        <v>3</v>
      </c>
      <c r="R27" s="91">
        <v>25754</v>
      </c>
      <c r="S27" s="103">
        <v>1</v>
      </c>
      <c r="T27" s="91">
        <v>1789</v>
      </c>
      <c r="U27" s="103">
        <v>3</v>
      </c>
      <c r="V27" s="91">
        <v>3386</v>
      </c>
      <c r="W27" s="103">
        <v>1</v>
      </c>
      <c r="X27" s="91">
        <v>31288</v>
      </c>
      <c r="Y27" s="103">
        <v>2</v>
      </c>
      <c r="Z27" s="91">
        <v>12900</v>
      </c>
      <c r="AA27" s="103">
        <v>0</v>
      </c>
      <c r="AB27" s="103">
        <v>25</v>
      </c>
      <c r="AC27" s="91">
        <v>13397</v>
      </c>
      <c r="AD27" s="103">
        <v>0</v>
      </c>
      <c r="AE27" s="91"/>
      <c r="AF27" s="103"/>
      <c r="AG27" s="91">
        <v>5250</v>
      </c>
      <c r="AH27" s="103">
        <v>0</v>
      </c>
      <c r="AI27" s="91">
        <v>39706</v>
      </c>
      <c r="AJ27" s="103">
        <v>2</v>
      </c>
      <c r="AK27" s="91">
        <v>4732</v>
      </c>
      <c r="AL27" s="103">
        <v>0</v>
      </c>
      <c r="AM27" s="91">
        <v>1600</v>
      </c>
      <c r="AN27" s="103">
        <v>2</v>
      </c>
      <c r="AO27" s="91">
        <v>1697</v>
      </c>
      <c r="AP27" s="103">
        <v>0</v>
      </c>
      <c r="AQ27" s="91">
        <v>539</v>
      </c>
      <c r="AR27" s="103">
        <v>0</v>
      </c>
      <c r="AS27" s="91">
        <v>1443</v>
      </c>
      <c r="AT27" s="103">
        <v>0</v>
      </c>
      <c r="AU27" s="91">
        <v>10140</v>
      </c>
      <c r="AV27" s="103">
        <v>1</v>
      </c>
      <c r="AW27" s="108">
        <v>42</v>
      </c>
      <c r="AX27" s="61"/>
      <c r="AY27" s="62"/>
    </row>
    <row r="28" spans="1:51" ht="15.75" customHeight="1" x14ac:dyDescent="0.2">
      <c r="A28" s="63">
        <v>20</v>
      </c>
      <c r="B28" s="91">
        <v>28751</v>
      </c>
      <c r="C28" s="103">
        <v>4</v>
      </c>
      <c r="D28" s="91">
        <v>12881</v>
      </c>
      <c r="E28" s="103">
        <v>1</v>
      </c>
      <c r="F28" s="91">
        <v>33559</v>
      </c>
      <c r="G28" s="103">
        <v>2</v>
      </c>
      <c r="H28" s="91">
        <v>26911</v>
      </c>
      <c r="I28" s="103">
        <v>2</v>
      </c>
      <c r="J28" s="91">
        <v>21871</v>
      </c>
      <c r="K28" s="103">
        <v>1</v>
      </c>
      <c r="L28" s="91">
        <v>16524</v>
      </c>
      <c r="M28" s="103">
        <v>4</v>
      </c>
      <c r="N28" s="91">
        <v>14663</v>
      </c>
      <c r="O28" s="103">
        <v>2</v>
      </c>
      <c r="P28" s="91">
        <v>21424</v>
      </c>
      <c r="Q28" s="103">
        <v>3</v>
      </c>
      <c r="R28" s="91">
        <v>25756</v>
      </c>
      <c r="S28" s="103">
        <v>2</v>
      </c>
      <c r="T28" s="91">
        <v>1792</v>
      </c>
      <c r="U28" s="103">
        <v>3</v>
      </c>
      <c r="V28" s="91">
        <v>3387</v>
      </c>
      <c r="W28" s="103">
        <v>1</v>
      </c>
      <c r="X28" s="91">
        <v>31291</v>
      </c>
      <c r="Y28" s="103">
        <v>3</v>
      </c>
      <c r="Z28" s="91">
        <v>12900</v>
      </c>
      <c r="AA28" s="103">
        <v>0</v>
      </c>
      <c r="AB28" s="103">
        <v>21</v>
      </c>
      <c r="AC28" s="91">
        <v>13397</v>
      </c>
      <c r="AD28" s="103">
        <v>0</v>
      </c>
      <c r="AE28" s="91"/>
      <c r="AF28" s="103"/>
      <c r="AG28" s="91">
        <v>5250</v>
      </c>
      <c r="AH28" s="103">
        <v>0</v>
      </c>
      <c r="AI28" s="91">
        <v>39710</v>
      </c>
      <c r="AJ28" s="103">
        <v>4</v>
      </c>
      <c r="AK28" s="91">
        <v>4733</v>
      </c>
      <c r="AL28" s="103">
        <v>1</v>
      </c>
      <c r="AM28" s="91">
        <v>1601</v>
      </c>
      <c r="AN28" s="103">
        <v>1</v>
      </c>
      <c r="AO28" s="91">
        <v>1698</v>
      </c>
      <c r="AP28" s="103">
        <v>1</v>
      </c>
      <c r="AQ28" s="91">
        <v>539</v>
      </c>
      <c r="AR28" s="103">
        <v>0</v>
      </c>
      <c r="AS28" s="91">
        <v>1443</v>
      </c>
      <c r="AT28" s="103">
        <v>0</v>
      </c>
      <c r="AU28" s="91">
        <v>10140</v>
      </c>
      <c r="AV28" s="103">
        <v>0</v>
      </c>
      <c r="AW28" s="108">
        <v>35</v>
      </c>
      <c r="AX28" s="61"/>
      <c r="AY28" s="62"/>
    </row>
    <row r="29" spans="1:51" ht="15.75" customHeight="1" x14ac:dyDescent="0.2">
      <c r="A29" s="63">
        <v>21</v>
      </c>
      <c r="B29" s="91">
        <v>28759</v>
      </c>
      <c r="C29" s="103">
        <v>8</v>
      </c>
      <c r="D29" s="91">
        <v>12882</v>
      </c>
      <c r="E29" s="103">
        <v>1</v>
      </c>
      <c r="F29" s="91">
        <v>33563</v>
      </c>
      <c r="G29" s="103">
        <v>4</v>
      </c>
      <c r="H29" s="91">
        <v>26914</v>
      </c>
      <c r="I29" s="103">
        <v>3</v>
      </c>
      <c r="J29" s="91">
        <v>21877</v>
      </c>
      <c r="K29" s="103">
        <v>6</v>
      </c>
      <c r="L29" s="91">
        <v>16528</v>
      </c>
      <c r="M29" s="103">
        <v>4</v>
      </c>
      <c r="N29" s="91">
        <v>14666</v>
      </c>
      <c r="O29" s="103">
        <v>3</v>
      </c>
      <c r="P29" s="91">
        <v>21428</v>
      </c>
      <c r="Q29" s="103">
        <v>4</v>
      </c>
      <c r="R29" s="91">
        <v>25757</v>
      </c>
      <c r="S29" s="103">
        <v>1</v>
      </c>
      <c r="T29" s="91">
        <v>1795</v>
      </c>
      <c r="U29" s="103">
        <v>3</v>
      </c>
      <c r="V29" s="91">
        <v>3387</v>
      </c>
      <c r="W29" s="103">
        <v>0</v>
      </c>
      <c r="X29" s="91">
        <v>31293</v>
      </c>
      <c r="Y29" s="103">
        <v>2</v>
      </c>
      <c r="Z29" s="91">
        <v>12900</v>
      </c>
      <c r="AA29" s="103">
        <v>0</v>
      </c>
      <c r="AB29" s="103">
        <v>26</v>
      </c>
      <c r="AC29" s="91">
        <v>13397</v>
      </c>
      <c r="AD29" s="103">
        <v>0</v>
      </c>
      <c r="AE29" s="91"/>
      <c r="AF29" s="103"/>
      <c r="AG29" s="91">
        <v>5251</v>
      </c>
      <c r="AH29" s="103">
        <v>1</v>
      </c>
      <c r="AI29" s="91">
        <v>39716</v>
      </c>
      <c r="AJ29" s="103">
        <v>6</v>
      </c>
      <c r="AK29" s="91">
        <v>4733</v>
      </c>
      <c r="AL29" s="103">
        <v>0</v>
      </c>
      <c r="AM29" s="91">
        <v>1603</v>
      </c>
      <c r="AN29" s="103">
        <v>2</v>
      </c>
      <c r="AO29" s="91">
        <v>1701</v>
      </c>
      <c r="AP29" s="103">
        <v>3</v>
      </c>
      <c r="AQ29" s="91">
        <v>539</v>
      </c>
      <c r="AR29" s="103">
        <v>0</v>
      </c>
      <c r="AS29" s="91">
        <v>1443</v>
      </c>
      <c r="AT29" s="103">
        <v>0</v>
      </c>
      <c r="AU29" s="91">
        <v>10142</v>
      </c>
      <c r="AV29" s="103">
        <v>2</v>
      </c>
      <c r="AW29" s="108">
        <v>53</v>
      </c>
      <c r="AX29" s="61"/>
      <c r="AY29" s="62"/>
    </row>
    <row r="30" spans="1:51" ht="15.75" customHeight="1" x14ac:dyDescent="0.2">
      <c r="A30" s="60">
        <v>22</v>
      </c>
      <c r="B30" s="91">
        <v>28767</v>
      </c>
      <c r="C30" s="103">
        <v>8</v>
      </c>
      <c r="D30" s="91">
        <v>12883</v>
      </c>
      <c r="E30" s="103">
        <v>1</v>
      </c>
      <c r="F30" s="91">
        <v>33567</v>
      </c>
      <c r="G30" s="103">
        <v>4</v>
      </c>
      <c r="H30" s="91">
        <v>26918</v>
      </c>
      <c r="I30" s="103">
        <v>4</v>
      </c>
      <c r="J30" s="91">
        <v>21879</v>
      </c>
      <c r="K30" s="103">
        <v>2</v>
      </c>
      <c r="L30" s="91">
        <v>16530</v>
      </c>
      <c r="M30" s="103">
        <v>2</v>
      </c>
      <c r="N30" s="91">
        <v>14668</v>
      </c>
      <c r="O30" s="103">
        <v>2</v>
      </c>
      <c r="P30" s="91">
        <v>21432</v>
      </c>
      <c r="Q30" s="103">
        <v>4</v>
      </c>
      <c r="R30" s="91">
        <v>25759</v>
      </c>
      <c r="S30" s="103">
        <v>2</v>
      </c>
      <c r="T30" s="91">
        <v>1798</v>
      </c>
      <c r="U30" s="103">
        <v>3</v>
      </c>
      <c r="V30" s="91">
        <v>3388</v>
      </c>
      <c r="W30" s="103">
        <v>1</v>
      </c>
      <c r="X30" s="91">
        <v>31294</v>
      </c>
      <c r="Y30" s="103">
        <v>1</v>
      </c>
      <c r="Z30" s="91">
        <v>12900</v>
      </c>
      <c r="AA30" s="103">
        <v>0</v>
      </c>
      <c r="AB30" s="103">
        <v>21</v>
      </c>
      <c r="AC30" s="91">
        <v>13399</v>
      </c>
      <c r="AD30" s="103">
        <v>2</v>
      </c>
      <c r="AE30" s="91"/>
      <c r="AF30" s="103"/>
      <c r="AG30" s="91">
        <v>5253</v>
      </c>
      <c r="AH30" s="103">
        <v>2</v>
      </c>
      <c r="AI30" s="91">
        <v>39722</v>
      </c>
      <c r="AJ30" s="103">
        <v>6</v>
      </c>
      <c r="AK30" s="91">
        <v>4733</v>
      </c>
      <c r="AL30" s="103">
        <v>0</v>
      </c>
      <c r="AM30" s="91">
        <v>1607</v>
      </c>
      <c r="AN30" s="103">
        <v>4</v>
      </c>
      <c r="AO30" s="91">
        <v>1701</v>
      </c>
      <c r="AP30" s="103">
        <v>0</v>
      </c>
      <c r="AQ30" s="91">
        <v>539</v>
      </c>
      <c r="AR30" s="103">
        <v>0</v>
      </c>
      <c r="AS30" s="91">
        <v>1444</v>
      </c>
      <c r="AT30" s="103">
        <v>1</v>
      </c>
      <c r="AU30" s="91">
        <v>10145</v>
      </c>
      <c r="AV30" s="103">
        <v>3</v>
      </c>
      <c r="AW30" s="108">
        <v>52</v>
      </c>
      <c r="AX30" s="61"/>
      <c r="AY30" s="62"/>
    </row>
    <row r="31" spans="1:51" ht="15.75" customHeight="1" x14ac:dyDescent="0.2">
      <c r="A31" s="63">
        <v>23</v>
      </c>
      <c r="B31" s="91">
        <v>28773</v>
      </c>
      <c r="C31" s="103">
        <v>6</v>
      </c>
      <c r="D31" s="91">
        <v>12886</v>
      </c>
      <c r="E31" s="103">
        <v>3</v>
      </c>
      <c r="F31" s="91">
        <v>33576</v>
      </c>
      <c r="G31" s="103">
        <v>9</v>
      </c>
      <c r="H31" s="91">
        <v>26922</v>
      </c>
      <c r="I31" s="103">
        <v>4</v>
      </c>
      <c r="J31" s="91">
        <v>21882</v>
      </c>
      <c r="K31" s="103">
        <v>3</v>
      </c>
      <c r="L31" s="91">
        <v>16533</v>
      </c>
      <c r="M31" s="103">
        <v>3</v>
      </c>
      <c r="N31" s="91">
        <v>14668</v>
      </c>
      <c r="O31" s="103">
        <v>0</v>
      </c>
      <c r="P31" s="91">
        <v>21434</v>
      </c>
      <c r="Q31" s="103">
        <v>2</v>
      </c>
      <c r="R31" s="91">
        <v>25760</v>
      </c>
      <c r="S31" s="103">
        <v>1</v>
      </c>
      <c r="T31" s="91">
        <v>1800</v>
      </c>
      <c r="U31" s="103">
        <v>2</v>
      </c>
      <c r="V31" s="91">
        <v>3388</v>
      </c>
      <c r="W31" s="103">
        <v>0</v>
      </c>
      <c r="X31" s="91">
        <v>31296</v>
      </c>
      <c r="Y31" s="103">
        <v>2</v>
      </c>
      <c r="Z31" s="91">
        <v>12900</v>
      </c>
      <c r="AA31" s="103">
        <v>0</v>
      </c>
      <c r="AB31" s="103">
        <v>17</v>
      </c>
      <c r="AC31" s="91">
        <v>13407</v>
      </c>
      <c r="AD31" s="103">
        <v>8</v>
      </c>
      <c r="AE31" s="91"/>
      <c r="AF31" s="103"/>
      <c r="AG31" s="91">
        <v>5254</v>
      </c>
      <c r="AH31" s="103">
        <v>1</v>
      </c>
      <c r="AI31" s="91">
        <v>39723</v>
      </c>
      <c r="AJ31" s="103">
        <v>1</v>
      </c>
      <c r="AK31" s="91">
        <v>4734</v>
      </c>
      <c r="AL31" s="103">
        <v>1</v>
      </c>
      <c r="AM31" s="91">
        <v>1607</v>
      </c>
      <c r="AN31" s="103">
        <v>0</v>
      </c>
      <c r="AO31" s="91">
        <v>1703</v>
      </c>
      <c r="AP31" s="103">
        <v>2</v>
      </c>
      <c r="AQ31" s="91">
        <v>539</v>
      </c>
      <c r="AR31" s="103">
        <v>0</v>
      </c>
      <c r="AS31" s="91">
        <v>1444</v>
      </c>
      <c r="AT31" s="103">
        <v>0</v>
      </c>
      <c r="AU31" s="91">
        <v>10146</v>
      </c>
      <c r="AV31" s="103">
        <v>1</v>
      </c>
      <c r="AW31" s="108">
        <v>49</v>
      </c>
      <c r="AX31" s="61"/>
      <c r="AY31" s="62"/>
    </row>
    <row r="32" spans="1:51" ht="15.75" customHeight="1" x14ac:dyDescent="0.2">
      <c r="A32" s="63">
        <v>24</v>
      </c>
      <c r="B32" s="91">
        <v>28783</v>
      </c>
      <c r="C32" s="103">
        <v>10</v>
      </c>
      <c r="D32" s="91">
        <v>12888</v>
      </c>
      <c r="E32" s="103">
        <v>2</v>
      </c>
      <c r="F32" s="91">
        <v>33580</v>
      </c>
      <c r="G32" s="103">
        <v>4</v>
      </c>
      <c r="H32" s="91">
        <v>26928</v>
      </c>
      <c r="I32" s="103">
        <v>6</v>
      </c>
      <c r="J32" s="91">
        <v>21885</v>
      </c>
      <c r="K32" s="103">
        <v>3</v>
      </c>
      <c r="L32" s="91">
        <v>16536</v>
      </c>
      <c r="M32" s="103">
        <v>3</v>
      </c>
      <c r="N32" s="91">
        <v>14669</v>
      </c>
      <c r="O32" s="103">
        <v>1</v>
      </c>
      <c r="P32" s="91">
        <v>21439</v>
      </c>
      <c r="Q32" s="103">
        <v>5</v>
      </c>
      <c r="R32" s="91">
        <v>25762</v>
      </c>
      <c r="S32" s="103">
        <v>2</v>
      </c>
      <c r="T32" s="91">
        <v>1803</v>
      </c>
      <c r="U32" s="103">
        <v>3</v>
      </c>
      <c r="V32" s="91">
        <v>3389</v>
      </c>
      <c r="W32" s="103">
        <v>1</v>
      </c>
      <c r="X32" s="91">
        <v>31297</v>
      </c>
      <c r="Y32" s="103">
        <v>1</v>
      </c>
      <c r="Z32" s="91">
        <v>12900</v>
      </c>
      <c r="AA32" s="103">
        <v>0</v>
      </c>
      <c r="AB32" s="103">
        <v>25</v>
      </c>
      <c r="AC32" s="91">
        <v>13414</v>
      </c>
      <c r="AD32" s="103">
        <v>7</v>
      </c>
      <c r="AE32" s="91"/>
      <c r="AF32" s="103"/>
      <c r="AG32" s="91">
        <v>5254</v>
      </c>
      <c r="AH32" s="103">
        <v>0</v>
      </c>
      <c r="AI32" s="91">
        <v>39727</v>
      </c>
      <c r="AJ32" s="103">
        <v>4</v>
      </c>
      <c r="AK32" s="91">
        <v>4734</v>
      </c>
      <c r="AL32" s="103">
        <v>0</v>
      </c>
      <c r="AM32" s="91">
        <v>1609</v>
      </c>
      <c r="AN32" s="103">
        <v>2</v>
      </c>
      <c r="AO32" s="91">
        <v>1711</v>
      </c>
      <c r="AP32" s="103">
        <v>8</v>
      </c>
      <c r="AQ32" s="91">
        <v>539</v>
      </c>
      <c r="AR32" s="103">
        <v>0</v>
      </c>
      <c r="AS32" s="91">
        <v>1444</v>
      </c>
      <c r="AT32" s="103">
        <v>0</v>
      </c>
      <c r="AU32" s="91">
        <v>10147</v>
      </c>
      <c r="AV32" s="103">
        <v>1</v>
      </c>
      <c r="AW32" s="108">
        <v>63</v>
      </c>
      <c r="AX32" s="61"/>
      <c r="AY32" s="62"/>
    </row>
    <row r="33" spans="1:51" ht="15.75" customHeight="1" x14ac:dyDescent="0.2">
      <c r="A33" s="60">
        <v>25</v>
      </c>
      <c r="B33" s="91">
        <v>28787</v>
      </c>
      <c r="C33" s="103">
        <v>4</v>
      </c>
      <c r="D33" s="91">
        <v>12889</v>
      </c>
      <c r="E33" s="103">
        <v>1</v>
      </c>
      <c r="F33" s="91">
        <v>33584</v>
      </c>
      <c r="G33" s="103">
        <v>4</v>
      </c>
      <c r="H33" s="91">
        <v>26936</v>
      </c>
      <c r="I33" s="103">
        <v>8</v>
      </c>
      <c r="J33" s="91">
        <v>21886</v>
      </c>
      <c r="K33" s="103">
        <v>1</v>
      </c>
      <c r="L33" s="91">
        <v>16539</v>
      </c>
      <c r="M33" s="103">
        <v>3</v>
      </c>
      <c r="N33" s="91">
        <v>14672</v>
      </c>
      <c r="O33" s="103">
        <v>3</v>
      </c>
      <c r="P33" s="91">
        <v>21441</v>
      </c>
      <c r="Q33" s="103">
        <v>2</v>
      </c>
      <c r="R33" s="91">
        <v>25765</v>
      </c>
      <c r="S33" s="103">
        <v>3</v>
      </c>
      <c r="T33" s="91">
        <v>1805</v>
      </c>
      <c r="U33" s="103">
        <v>2</v>
      </c>
      <c r="V33" s="91">
        <v>3389</v>
      </c>
      <c r="W33" s="103">
        <v>0</v>
      </c>
      <c r="X33" s="91">
        <v>31299</v>
      </c>
      <c r="Y33" s="103">
        <v>2</v>
      </c>
      <c r="Z33" s="91">
        <v>12900</v>
      </c>
      <c r="AA33" s="103">
        <v>0</v>
      </c>
      <c r="AB33" s="103">
        <v>24</v>
      </c>
      <c r="AC33" s="91">
        <v>13421</v>
      </c>
      <c r="AD33" s="103">
        <v>7</v>
      </c>
      <c r="AE33" s="91"/>
      <c r="AF33" s="103"/>
      <c r="AG33" s="91">
        <v>5254</v>
      </c>
      <c r="AH33" s="103">
        <v>0</v>
      </c>
      <c r="AI33" s="91">
        <v>39729</v>
      </c>
      <c r="AJ33" s="103">
        <v>2</v>
      </c>
      <c r="AK33" s="91">
        <v>4734</v>
      </c>
      <c r="AL33" s="103">
        <v>0</v>
      </c>
      <c r="AM33" s="91">
        <v>1610</v>
      </c>
      <c r="AN33" s="103">
        <v>1</v>
      </c>
      <c r="AO33" s="91">
        <v>1712</v>
      </c>
      <c r="AP33" s="103">
        <v>1</v>
      </c>
      <c r="AQ33" s="91">
        <v>539</v>
      </c>
      <c r="AR33" s="103">
        <v>0</v>
      </c>
      <c r="AS33" s="91">
        <v>1444</v>
      </c>
      <c r="AT33" s="103">
        <v>0</v>
      </c>
      <c r="AU33" s="91">
        <v>10147</v>
      </c>
      <c r="AV33" s="103">
        <v>0</v>
      </c>
      <c r="AW33" s="108">
        <v>44</v>
      </c>
      <c r="AX33" s="61"/>
      <c r="AY33" s="62"/>
    </row>
    <row r="34" spans="1:51" ht="15.75" customHeight="1" x14ac:dyDescent="0.2">
      <c r="A34" s="63">
        <v>26</v>
      </c>
      <c r="B34" s="91">
        <v>28794</v>
      </c>
      <c r="C34" s="103">
        <v>7</v>
      </c>
      <c r="D34" s="91">
        <v>12889</v>
      </c>
      <c r="E34" s="103">
        <v>0</v>
      </c>
      <c r="F34" s="91">
        <v>33586</v>
      </c>
      <c r="G34" s="103">
        <v>2</v>
      </c>
      <c r="H34" s="91">
        <v>26941</v>
      </c>
      <c r="I34" s="103">
        <v>5</v>
      </c>
      <c r="J34" s="91">
        <v>21887</v>
      </c>
      <c r="K34" s="103">
        <v>1</v>
      </c>
      <c r="L34" s="91">
        <v>16546</v>
      </c>
      <c r="M34" s="103">
        <v>7</v>
      </c>
      <c r="N34" s="91">
        <v>14675</v>
      </c>
      <c r="O34" s="103">
        <v>3</v>
      </c>
      <c r="P34" s="91">
        <v>21443</v>
      </c>
      <c r="Q34" s="103">
        <v>2</v>
      </c>
      <c r="R34" s="91">
        <v>25768</v>
      </c>
      <c r="S34" s="103">
        <v>3</v>
      </c>
      <c r="T34" s="91">
        <v>1808</v>
      </c>
      <c r="U34" s="103">
        <v>3</v>
      </c>
      <c r="V34" s="91">
        <v>3390</v>
      </c>
      <c r="W34" s="103">
        <v>1</v>
      </c>
      <c r="X34" s="91">
        <v>31301</v>
      </c>
      <c r="Y34" s="103">
        <v>2</v>
      </c>
      <c r="Z34" s="91">
        <v>12900</v>
      </c>
      <c r="AA34" s="103">
        <v>0</v>
      </c>
      <c r="AB34" s="103">
        <v>27</v>
      </c>
      <c r="AC34" s="91">
        <v>13427</v>
      </c>
      <c r="AD34" s="103">
        <v>6</v>
      </c>
      <c r="AE34" s="91"/>
      <c r="AF34" s="103"/>
      <c r="AG34" s="91">
        <v>5254</v>
      </c>
      <c r="AH34" s="103">
        <v>0</v>
      </c>
      <c r="AI34" s="91">
        <v>39730</v>
      </c>
      <c r="AJ34" s="103">
        <v>1</v>
      </c>
      <c r="AK34" s="91">
        <v>4734</v>
      </c>
      <c r="AL34" s="103">
        <v>0</v>
      </c>
      <c r="AM34" s="91">
        <v>1611</v>
      </c>
      <c r="AN34" s="103">
        <v>1</v>
      </c>
      <c r="AO34" s="91">
        <v>1712</v>
      </c>
      <c r="AP34" s="103">
        <v>0</v>
      </c>
      <c r="AQ34" s="91">
        <v>539</v>
      </c>
      <c r="AR34" s="103">
        <v>0</v>
      </c>
      <c r="AS34" s="91">
        <v>1445</v>
      </c>
      <c r="AT34" s="103">
        <v>1</v>
      </c>
      <c r="AU34" s="91">
        <v>10147</v>
      </c>
      <c r="AV34" s="103">
        <v>0</v>
      </c>
      <c r="AW34" s="108">
        <v>45</v>
      </c>
      <c r="AX34" s="61"/>
      <c r="AY34" s="62"/>
    </row>
    <row r="35" spans="1:51" ht="15.75" customHeight="1" x14ac:dyDescent="0.2">
      <c r="A35" s="63">
        <v>27</v>
      </c>
      <c r="B35" s="91">
        <v>28801</v>
      </c>
      <c r="C35" s="103">
        <v>7</v>
      </c>
      <c r="D35" s="91">
        <v>12890</v>
      </c>
      <c r="E35" s="103">
        <v>1</v>
      </c>
      <c r="F35" s="91">
        <v>33589</v>
      </c>
      <c r="G35" s="103">
        <v>3</v>
      </c>
      <c r="H35" s="91">
        <v>26951</v>
      </c>
      <c r="I35" s="103">
        <v>10</v>
      </c>
      <c r="J35" s="91">
        <v>21888</v>
      </c>
      <c r="K35" s="103">
        <v>1</v>
      </c>
      <c r="L35" s="91">
        <v>16547</v>
      </c>
      <c r="M35" s="103">
        <v>1</v>
      </c>
      <c r="N35" s="91">
        <v>14680</v>
      </c>
      <c r="O35" s="103">
        <v>5</v>
      </c>
      <c r="P35" s="91">
        <v>21445</v>
      </c>
      <c r="Q35" s="103">
        <v>2</v>
      </c>
      <c r="R35" s="91">
        <v>25771</v>
      </c>
      <c r="S35" s="103">
        <v>3</v>
      </c>
      <c r="T35" s="91">
        <v>1810</v>
      </c>
      <c r="U35" s="103">
        <v>2</v>
      </c>
      <c r="V35" s="91">
        <v>3392</v>
      </c>
      <c r="W35" s="103">
        <v>2</v>
      </c>
      <c r="X35" s="91">
        <v>31302</v>
      </c>
      <c r="Y35" s="103">
        <v>1</v>
      </c>
      <c r="Z35" s="91">
        <v>12900</v>
      </c>
      <c r="AA35" s="103">
        <v>0</v>
      </c>
      <c r="AB35" s="103">
        <v>27</v>
      </c>
      <c r="AC35" s="91">
        <v>13435</v>
      </c>
      <c r="AD35" s="103">
        <v>8</v>
      </c>
      <c r="AE35" s="91"/>
      <c r="AF35" s="103"/>
      <c r="AG35" s="91">
        <v>5254</v>
      </c>
      <c r="AH35" s="103">
        <v>0</v>
      </c>
      <c r="AI35" s="91">
        <v>39731</v>
      </c>
      <c r="AJ35" s="103">
        <v>1</v>
      </c>
      <c r="AK35" s="91">
        <v>4735</v>
      </c>
      <c r="AL35" s="103">
        <v>1</v>
      </c>
      <c r="AM35" s="91">
        <v>1614</v>
      </c>
      <c r="AN35" s="103">
        <v>3</v>
      </c>
      <c r="AO35" s="91">
        <v>1713</v>
      </c>
      <c r="AP35" s="103">
        <v>1</v>
      </c>
      <c r="AQ35" s="91">
        <v>539</v>
      </c>
      <c r="AR35" s="103">
        <v>0</v>
      </c>
      <c r="AS35" s="91">
        <v>1445</v>
      </c>
      <c r="AT35" s="103">
        <v>0</v>
      </c>
      <c r="AU35" s="91">
        <v>10148</v>
      </c>
      <c r="AV35" s="103">
        <v>1</v>
      </c>
      <c r="AW35" s="108">
        <v>53</v>
      </c>
      <c r="AX35" s="61"/>
      <c r="AY35" s="62"/>
    </row>
    <row r="36" spans="1:51" ht="15.75" customHeight="1" x14ac:dyDescent="0.2">
      <c r="A36" s="60">
        <v>28</v>
      </c>
      <c r="B36" s="91">
        <v>28808</v>
      </c>
      <c r="C36" s="103">
        <v>7</v>
      </c>
      <c r="D36" s="91">
        <v>12891</v>
      </c>
      <c r="E36" s="103">
        <v>1</v>
      </c>
      <c r="F36" s="91">
        <v>33594</v>
      </c>
      <c r="G36" s="103">
        <v>5</v>
      </c>
      <c r="H36" s="91">
        <v>26958</v>
      </c>
      <c r="I36" s="103">
        <v>7</v>
      </c>
      <c r="J36" s="91">
        <v>21892</v>
      </c>
      <c r="K36" s="103">
        <v>4</v>
      </c>
      <c r="L36" s="91">
        <v>16548</v>
      </c>
      <c r="M36" s="103">
        <v>1</v>
      </c>
      <c r="N36" s="91">
        <v>14683</v>
      </c>
      <c r="O36" s="103">
        <v>3</v>
      </c>
      <c r="P36" s="91">
        <v>21446</v>
      </c>
      <c r="Q36" s="103">
        <v>1</v>
      </c>
      <c r="R36" s="91">
        <v>25774</v>
      </c>
      <c r="S36" s="103">
        <v>3</v>
      </c>
      <c r="T36" s="91">
        <v>1812</v>
      </c>
      <c r="U36" s="103">
        <v>2</v>
      </c>
      <c r="V36" s="91">
        <v>3392</v>
      </c>
      <c r="W36" s="103">
        <v>0</v>
      </c>
      <c r="X36" s="91">
        <v>31306</v>
      </c>
      <c r="Y36" s="103">
        <v>4</v>
      </c>
      <c r="Z36" s="91">
        <v>12902</v>
      </c>
      <c r="AA36" s="103">
        <v>2</v>
      </c>
      <c r="AB36" s="103">
        <v>27</v>
      </c>
      <c r="AC36" s="91">
        <v>13442</v>
      </c>
      <c r="AD36" s="103">
        <v>7</v>
      </c>
      <c r="AE36" s="91"/>
      <c r="AF36" s="103"/>
      <c r="AG36" s="91">
        <v>5254</v>
      </c>
      <c r="AH36" s="103">
        <v>0</v>
      </c>
      <c r="AI36" s="91">
        <v>39732</v>
      </c>
      <c r="AJ36" s="103">
        <v>1</v>
      </c>
      <c r="AK36" s="91">
        <v>4735</v>
      </c>
      <c r="AL36" s="103">
        <v>0</v>
      </c>
      <c r="AM36" s="91">
        <v>1616</v>
      </c>
      <c r="AN36" s="103">
        <v>2</v>
      </c>
      <c r="AO36" s="91">
        <v>1713</v>
      </c>
      <c r="AP36" s="103">
        <v>0</v>
      </c>
      <c r="AQ36" s="91">
        <v>539</v>
      </c>
      <c r="AR36" s="103">
        <v>0</v>
      </c>
      <c r="AS36" s="91">
        <v>1445</v>
      </c>
      <c r="AT36" s="103">
        <v>0</v>
      </c>
      <c r="AU36" s="91">
        <v>10149</v>
      </c>
      <c r="AV36" s="103">
        <v>1</v>
      </c>
      <c r="AW36" s="108">
        <v>51</v>
      </c>
      <c r="AX36" s="61"/>
      <c r="AY36" s="62"/>
    </row>
    <row r="37" spans="1:51" ht="15.75" hidden="1" customHeight="1" x14ac:dyDescent="0.2">
      <c r="A37" s="63">
        <v>29</v>
      </c>
      <c r="B37" s="91"/>
      <c r="C37" s="103">
        <v>-28808</v>
      </c>
      <c r="D37" s="91"/>
      <c r="E37" s="103">
        <v>-12891</v>
      </c>
      <c r="F37" s="91"/>
      <c r="G37" s="103">
        <v>-33594</v>
      </c>
      <c r="H37" s="91"/>
      <c r="I37" s="103">
        <v>-26958</v>
      </c>
      <c r="J37" s="91"/>
      <c r="K37" s="103">
        <v>-21892</v>
      </c>
      <c r="L37" s="91"/>
      <c r="M37" s="103">
        <v>-16548</v>
      </c>
      <c r="N37" s="91"/>
      <c r="O37" s="103">
        <v>-14683</v>
      </c>
      <c r="P37" s="91"/>
      <c r="Q37" s="103">
        <v>-21446</v>
      </c>
      <c r="R37" s="91"/>
      <c r="S37" s="103">
        <v>-25774</v>
      </c>
      <c r="T37" s="91"/>
      <c r="U37" s="103">
        <v>-1812</v>
      </c>
      <c r="V37" s="91"/>
      <c r="W37" s="103">
        <v>-3392</v>
      </c>
      <c r="X37" s="91"/>
      <c r="Y37" s="103">
        <v>-31306</v>
      </c>
      <c r="Z37" s="91"/>
      <c r="AA37" s="103">
        <v>-12902</v>
      </c>
      <c r="AB37" s="103">
        <v>-176713</v>
      </c>
      <c r="AC37" s="91"/>
      <c r="AD37" s="103">
        <v>-13442</v>
      </c>
      <c r="AE37" s="91"/>
      <c r="AF37" s="103"/>
      <c r="AG37" s="91"/>
      <c r="AH37" s="103">
        <v>-5254</v>
      </c>
      <c r="AI37" s="91"/>
      <c r="AJ37" s="103">
        <v>-39732</v>
      </c>
      <c r="AK37" s="91"/>
      <c r="AL37" s="103">
        <v>-4735</v>
      </c>
      <c r="AM37" s="91"/>
      <c r="AN37" s="103">
        <v>-1616</v>
      </c>
      <c r="AO37" s="91"/>
      <c r="AP37" s="103"/>
      <c r="AQ37" s="91"/>
      <c r="AR37" s="103">
        <v>-539</v>
      </c>
      <c r="AS37" s="91"/>
      <c r="AT37" s="103">
        <v>-1445</v>
      </c>
      <c r="AU37" s="91"/>
      <c r="AV37" s="103">
        <v>-10149</v>
      </c>
      <c r="AW37" s="108">
        <v>-328918</v>
      </c>
      <c r="AX37" s="61"/>
      <c r="AY37" s="62"/>
    </row>
    <row r="38" spans="1:51" ht="15.75" hidden="1" customHeight="1" x14ac:dyDescent="0.2">
      <c r="A38" s="63">
        <v>30</v>
      </c>
      <c r="B38" s="99"/>
      <c r="C38" s="104">
        <v>0</v>
      </c>
      <c r="D38" s="99"/>
      <c r="E38" s="104">
        <v>0</v>
      </c>
      <c r="F38" s="99"/>
      <c r="G38" s="104">
        <v>0</v>
      </c>
      <c r="H38" s="99"/>
      <c r="I38" s="104">
        <v>0</v>
      </c>
      <c r="J38" s="99"/>
      <c r="K38" s="104">
        <v>0</v>
      </c>
      <c r="L38" s="99"/>
      <c r="M38" s="104">
        <v>0</v>
      </c>
      <c r="N38" s="99"/>
      <c r="O38" s="104">
        <v>0</v>
      </c>
      <c r="P38" s="99"/>
      <c r="Q38" s="104">
        <v>0</v>
      </c>
      <c r="R38" s="99"/>
      <c r="S38" s="104">
        <v>0</v>
      </c>
      <c r="T38" s="99"/>
      <c r="U38" s="103">
        <v>0</v>
      </c>
      <c r="V38" s="99"/>
      <c r="W38" s="104">
        <v>0</v>
      </c>
      <c r="X38" s="99"/>
      <c r="Y38" s="104">
        <v>0</v>
      </c>
      <c r="Z38" s="99"/>
      <c r="AA38" s="104">
        <v>0</v>
      </c>
      <c r="AB38" s="104">
        <v>0</v>
      </c>
      <c r="AC38" s="99"/>
      <c r="AD38" s="104">
        <v>0</v>
      </c>
      <c r="AE38" s="99"/>
      <c r="AF38" s="104"/>
      <c r="AG38" s="99"/>
      <c r="AH38" s="104">
        <v>0</v>
      </c>
      <c r="AI38" s="99"/>
      <c r="AJ38" s="104">
        <v>0</v>
      </c>
      <c r="AK38" s="99"/>
      <c r="AL38" s="104">
        <v>0</v>
      </c>
      <c r="AM38" s="99"/>
      <c r="AN38" s="104">
        <v>0</v>
      </c>
      <c r="AO38" s="99"/>
      <c r="AP38" s="104">
        <v>0</v>
      </c>
      <c r="AQ38" s="99"/>
      <c r="AR38" s="104">
        <v>0</v>
      </c>
      <c r="AS38" s="99"/>
      <c r="AT38" s="104">
        <v>0</v>
      </c>
      <c r="AU38" s="99"/>
      <c r="AV38" s="104">
        <v>0</v>
      </c>
      <c r="AW38" s="108">
        <v>0</v>
      </c>
      <c r="AX38" s="61"/>
      <c r="AY38" s="62"/>
    </row>
    <row r="39" spans="1:51" ht="15" hidden="1" customHeight="1" x14ac:dyDescent="0.2">
      <c r="A39" s="114">
        <v>31</v>
      </c>
      <c r="B39" s="115"/>
      <c r="C39" s="116">
        <v>0</v>
      </c>
      <c r="D39" s="115"/>
      <c r="E39" s="116">
        <v>0</v>
      </c>
      <c r="F39" s="115"/>
      <c r="G39" s="116">
        <v>0</v>
      </c>
      <c r="H39" s="115"/>
      <c r="I39" s="116">
        <v>0</v>
      </c>
      <c r="J39" s="115"/>
      <c r="K39" s="116">
        <v>0</v>
      </c>
      <c r="L39" s="115"/>
      <c r="M39" s="116">
        <v>0</v>
      </c>
      <c r="N39" s="115"/>
      <c r="O39" s="116">
        <v>0</v>
      </c>
      <c r="P39" s="115"/>
      <c r="Q39" s="116">
        <v>0</v>
      </c>
      <c r="R39" s="115"/>
      <c r="S39" s="116">
        <v>0</v>
      </c>
      <c r="T39" s="115"/>
      <c r="U39" s="116">
        <v>0</v>
      </c>
      <c r="V39" s="115"/>
      <c r="W39" s="116">
        <v>0</v>
      </c>
      <c r="X39" s="115"/>
      <c r="Y39" s="116">
        <v>0</v>
      </c>
      <c r="Z39" s="115"/>
      <c r="AA39" s="116">
        <v>0</v>
      </c>
      <c r="AB39" s="116">
        <v>0</v>
      </c>
      <c r="AC39" s="115"/>
      <c r="AD39" s="116">
        <v>0</v>
      </c>
      <c r="AE39" s="115"/>
      <c r="AF39" s="116"/>
      <c r="AG39" s="115"/>
      <c r="AH39" s="116">
        <v>0</v>
      </c>
      <c r="AI39" s="115"/>
      <c r="AJ39" s="116">
        <v>0</v>
      </c>
      <c r="AK39" s="115"/>
      <c r="AL39" s="116">
        <v>0</v>
      </c>
      <c r="AM39" s="115"/>
      <c r="AN39" s="116">
        <v>0</v>
      </c>
      <c r="AO39" s="115"/>
      <c r="AP39" s="116">
        <v>0</v>
      </c>
      <c r="AQ39" s="115"/>
      <c r="AR39" s="116">
        <v>0</v>
      </c>
      <c r="AS39" s="115"/>
      <c r="AT39" s="116">
        <v>0</v>
      </c>
      <c r="AU39" s="115"/>
      <c r="AV39" s="116">
        <v>0</v>
      </c>
      <c r="AW39" s="117">
        <v>0</v>
      </c>
      <c r="AX39" s="61"/>
      <c r="AY39" s="62"/>
    </row>
    <row r="40" spans="1:51" ht="12.75" customHeight="1" x14ac:dyDescent="0.2">
      <c r="A40" s="118" t="s">
        <v>18</v>
      </c>
      <c r="B40" s="119"/>
      <c r="C40" s="149">
        <f>SUM(C9:C36)</f>
        <v>180</v>
      </c>
      <c r="D40" s="149"/>
      <c r="E40" s="149">
        <f t="shared" ref="E40:AV40" si="0">SUM(E9:E36)</f>
        <v>53</v>
      </c>
      <c r="F40" s="149"/>
      <c r="G40" s="149">
        <f t="shared" si="0"/>
        <v>154</v>
      </c>
      <c r="H40" s="149"/>
      <c r="I40" s="149">
        <f t="shared" si="0"/>
        <v>127</v>
      </c>
      <c r="J40" s="149"/>
      <c r="K40" s="149">
        <f t="shared" si="0"/>
        <v>67</v>
      </c>
      <c r="L40" s="149"/>
      <c r="M40" s="149">
        <f t="shared" si="0"/>
        <v>145</v>
      </c>
      <c r="N40" s="149"/>
      <c r="O40" s="149">
        <f t="shared" si="0"/>
        <v>69</v>
      </c>
      <c r="P40" s="149"/>
      <c r="Q40" s="149">
        <f t="shared" si="0"/>
        <v>64</v>
      </c>
      <c r="R40" s="149"/>
      <c r="S40" s="149">
        <f t="shared" si="0"/>
        <v>79</v>
      </c>
      <c r="T40" s="149"/>
      <c r="U40" s="149">
        <f t="shared" si="0"/>
        <v>106</v>
      </c>
      <c r="V40" s="149"/>
      <c r="W40" s="149">
        <f t="shared" si="0"/>
        <v>17</v>
      </c>
      <c r="X40" s="149"/>
      <c r="Y40" s="149">
        <f t="shared" si="0"/>
        <v>61</v>
      </c>
      <c r="Z40" s="149"/>
      <c r="AA40" s="149">
        <f t="shared" si="0"/>
        <v>2</v>
      </c>
      <c r="AB40" s="149">
        <f t="shared" si="0"/>
        <v>737</v>
      </c>
      <c r="AC40" s="149"/>
      <c r="AD40" s="149">
        <f t="shared" si="0"/>
        <v>45</v>
      </c>
      <c r="AE40" s="149">
        <f t="shared" si="0"/>
        <v>0</v>
      </c>
      <c r="AF40" s="149">
        <f t="shared" si="0"/>
        <v>0</v>
      </c>
      <c r="AG40" s="149"/>
      <c r="AH40" s="149">
        <f t="shared" si="0"/>
        <v>25</v>
      </c>
      <c r="AI40" s="149"/>
      <c r="AJ40" s="149">
        <f t="shared" si="0"/>
        <v>86</v>
      </c>
      <c r="AK40" s="149"/>
      <c r="AL40" s="149">
        <f t="shared" si="0"/>
        <v>12</v>
      </c>
      <c r="AM40" s="149"/>
      <c r="AN40" s="149">
        <f t="shared" si="0"/>
        <v>48</v>
      </c>
      <c r="AO40" s="149"/>
      <c r="AP40" s="149">
        <f t="shared" si="0"/>
        <v>22</v>
      </c>
      <c r="AQ40" s="149"/>
      <c r="AR40" s="149">
        <f t="shared" si="0"/>
        <v>1</v>
      </c>
      <c r="AS40" s="149"/>
      <c r="AT40" s="149">
        <f t="shared" si="0"/>
        <v>10</v>
      </c>
      <c r="AU40" s="149"/>
      <c r="AV40" s="149">
        <f t="shared" si="0"/>
        <v>36</v>
      </c>
      <c r="AW40" s="149">
        <f>SUM(AW9:AW36)</f>
        <v>1409</v>
      </c>
      <c r="AY40" s="24"/>
    </row>
    <row r="41" spans="1:51" ht="15" customHeight="1" x14ac:dyDescent="0.2">
      <c r="AH41" s="24"/>
      <c r="AW41" s="110"/>
      <c r="AY41" s="24"/>
    </row>
    <row r="42" spans="1:51" ht="18" customHeight="1" x14ac:dyDescent="0.3">
      <c r="A42" s="64" t="s">
        <v>63</v>
      </c>
      <c r="B42" s="65"/>
      <c r="C42" s="66"/>
      <c r="G42" s="26"/>
      <c r="AH42" s="24"/>
      <c r="AY42" s="24"/>
    </row>
    <row r="43" spans="1:51" ht="18" customHeight="1" x14ac:dyDescent="0.3">
      <c r="A43" s="67"/>
      <c r="B43" s="68"/>
      <c r="C43" s="69"/>
      <c r="D43" s="70"/>
      <c r="E43" s="70"/>
      <c r="F43" s="70"/>
      <c r="G43" s="26"/>
      <c r="AH43" s="24"/>
      <c r="AY43" s="24"/>
    </row>
    <row r="44" spans="1:51" ht="18" customHeight="1" x14ac:dyDescent="0.25">
      <c r="B44" s="71"/>
      <c r="G44" s="26"/>
      <c r="AH44" s="24"/>
    </row>
    <row r="45" spans="1:51" ht="18" customHeight="1" x14ac:dyDescent="0.25">
      <c r="B45" s="72"/>
      <c r="G45" s="26"/>
      <c r="AH45" s="24"/>
    </row>
    <row r="46" spans="1:51" ht="18" customHeight="1" x14ac:dyDescent="0.25">
      <c r="B46" s="71"/>
      <c r="AH46" s="24"/>
    </row>
    <row r="47" spans="1:51" ht="18" customHeight="1" x14ac:dyDescent="0.25">
      <c r="B47" s="73"/>
      <c r="AH47" s="24"/>
    </row>
    <row r="48" spans="1:51" ht="18" customHeight="1" x14ac:dyDescent="0.25">
      <c r="B48" s="73"/>
      <c r="AH48" s="24"/>
    </row>
    <row r="49" spans="34:34" ht="18" customHeight="1" x14ac:dyDescent="0.25">
      <c r="AH49" s="24"/>
    </row>
    <row r="50" spans="34:34" ht="18" customHeight="1" x14ac:dyDescent="0.25">
      <c r="AH50" s="24"/>
    </row>
    <row r="51" spans="34:34" ht="18" customHeight="1" x14ac:dyDescent="0.25">
      <c r="AH51" s="24"/>
    </row>
    <row r="52" spans="34:34" ht="18" customHeight="1" x14ac:dyDescent="0.25"/>
    <row r="53" spans="34:34" ht="18" customHeight="1" x14ac:dyDescent="0.25"/>
    <row r="54" spans="34:34" ht="18" customHeight="1" x14ac:dyDescent="0.25"/>
  </sheetData>
  <mergeCells count="2">
    <mergeCell ref="I4:R4"/>
    <mergeCell ref="D6:F6"/>
  </mergeCells>
  <conditionalFormatting sqref="O9:O38 M9:M38 W9:W38 Y9:Y38 C9:C38 E9:E38 G9:G38 K9:K38 S9:S38 Q9:Q38 I9:I38 U9:U38">
    <cfRule type="cellIs" dxfId="27" priority="28" operator="greaterThan">
      <formula>15</formula>
    </cfRule>
  </conditionalFormatting>
  <conditionalFormatting sqref="G29 E29 C9:C38 U9:U38">
    <cfRule type="cellIs" dxfId="26" priority="27" operator="greaterThan">
      <formula>15</formula>
    </cfRule>
  </conditionalFormatting>
  <conditionalFormatting sqref="Y9:Y38 C9:C38 S9:S38">
    <cfRule type="cellIs" dxfId="25" priority="25" operator="greaterThan">
      <formula>15</formula>
    </cfRule>
    <cfRule type="cellIs" dxfId="24" priority="26" operator="greaterThan">
      <formula>15</formula>
    </cfRule>
  </conditionalFormatting>
  <conditionalFormatting sqref="U9:U38">
    <cfRule type="cellIs" dxfId="23" priority="24" operator="greaterThan">
      <formula>10</formula>
    </cfRule>
  </conditionalFormatting>
  <conditionalFormatting sqref="C30">
    <cfRule type="cellIs" dxfId="22" priority="22" operator="greaterThan">
      <formula>15</formula>
    </cfRule>
    <cfRule type="cellIs" dxfId="21" priority="23" operator="greaterThan">
      <formula>" 20 15"</formula>
    </cfRule>
  </conditionalFormatting>
  <conditionalFormatting sqref="AF9:AF38 AA9:AA38 AD9:AD38">
    <cfRule type="cellIs" dxfId="20" priority="21" operator="greaterThan">
      <formula>15</formula>
    </cfRule>
  </conditionalFormatting>
  <conditionalFormatting sqref="AD9:AD38">
    <cfRule type="cellIs" dxfId="19" priority="20" operator="greaterThan">
      <formula>15</formula>
    </cfRule>
  </conditionalFormatting>
  <conditionalFormatting sqref="AD9:AD38">
    <cfRule type="cellIs" dxfId="18" priority="18" operator="greaterThan">
      <formula>15</formula>
    </cfRule>
    <cfRule type="cellIs" dxfId="17" priority="19" operator="greaterThan">
      <formula>15</formula>
    </cfRule>
  </conditionalFormatting>
  <conditionalFormatting sqref="AD17:AD29">
    <cfRule type="cellIs" dxfId="16" priority="17" operator="greaterThan">
      <formula>34</formula>
    </cfRule>
  </conditionalFormatting>
  <conditionalFormatting sqref="AJ9:AJ38 AH9:AH38">
    <cfRule type="cellIs" dxfId="15" priority="16" operator="greaterThan">
      <formula>15</formula>
    </cfRule>
  </conditionalFormatting>
  <conditionalFormatting sqref="AJ9:AJ38">
    <cfRule type="cellIs" dxfId="14" priority="15" operator="greaterThan">
      <formula>15</formula>
    </cfRule>
  </conditionalFormatting>
  <conditionalFormatting sqref="AJ17">
    <cfRule type="cellIs" dxfId="13" priority="14" operator="greaterThan">
      <formula>54</formula>
    </cfRule>
  </conditionalFormatting>
  <conditionalFormatting sqref="AV9:AV38">
    <cfRule type="cellIs" dxfId="12" priority="13" operator="greaterThan">
      <formula>15</formula>
    </cfRule>
  </conditionalFormatting>
  <conditionalFormatting sqref="O39 M39 W39 Y39 C39 E39 G39 K39 S39 Q39 I39 U39">
    <cfRule type="cellIs" dxfId="11" priority="12" operator="greaterThan">
      <formula>15</formula>
    </cfRule>
  </conditionalFormatting>
  <conditionalFormatting sqref="C39 U39">
    <cfRule type="cellIs" dxfId="10" priority="11" operator="greaterThan">
      <formula>15</formula>
    </cfRule>
  </conditionalFormatting>
  <conditionalFormatting sqref="Y39 C39 S39">
    <cfRule type="cellIs" dxfId="9" priority="9" operator="greaterThan">
      <formula>15</formula>
    </cfRule>
    <cfRule type="cellIs" dxfId="8" priority="10" operator="greaterThan">
      <formula>15</formula>
    </cfRule>
  </conditionalFormatting>
  <conditionalFormatting sqref="U39">
    <cfRule type="cellIs" dxfId="7" priority="8" operator="greaterThan">
      <formula>10</formula>
    </cfRule>
  </conditionalFormatting>
  <conditionalFormatting sqref="AF39 AA39 AD39">
    <cfRule type="cellIs" dxfId="6" priority="7" operator="greaterThan">
      <formula>15</formula>
    </cfRule>
  </conditionalFormatting>
  <conditionalFormatting sqref="AD39">
    <cfRule type="cellIs" dxfId="5" priority="6" operator="greaterThan">
      <formula>15</formula>
    </cfRule>
  </conditionalFormatting>
  <conditionalFormatting sqref="AD39">
    <cfRule type="cellIs" dxfId="4" priority="4" operator="greaterThan">
      <formula>15</formula>
    </cfRule>
    <cfRule type="cellIs" dxfId="3" priority="5" operator="greaterThan">
      <formula>15</formula>
    </cfRule>
  </conditionalFormatting>
  <conditionalFormatting sqref="AJ39 AH39">
    <cfRule type="cellIs" dxfId="2" priority="3" operator="greaterThan">
      <formula>15</formula>
    </cfRule>
  </conditionalFormatting>
  <conditionalFormatting sqref="AJ39">
    <cfRule type="cellIs" dxfId="1" priority="2" operator="greaterThan">
      <formula>15</formula>
    </cfRule>
  </conditionalFormatting>
  <conditionalFormatting sqref="AV39">
    <cfRule type="cellIs" dxfId="0" priority="1" operator="greaterThan">
      <formula>15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6f2bc90f9099878a6eb052c61ad8ac86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38fe3330a7d5d212cff16332f823262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6C605E-F404-41B9-AD4E-490956F80F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B322FAD-BBB1-4D5F-91F2-9084F3DF03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2A8884-40AE-4065-8513-5481A0A532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2022-03-04T04:52:44Z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