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O:\HEP\"/>
    </mc:Choice>
  </mc:AlternateContent>
  <xr:revisionPtr revIDLastSave="0" documentId="13_ncr:1_{2906D027-F795-42FC-8807-4EFEA42EC648}" xr6:coauthVersionLast="47" xr6:coauthVersionMax="47" xr10:uidLastSave="{00000000-0000-0000-0000-000000000000}"/>
  <bookViews>
    <workbookView xWindow="-114" yWindow="-114" windowWidth="27602" windowHeight="15027" tabRatio="338" activeTab="1" xr2:uid="{00000000-000D-0000-FFFF-FFFF00000000}"/>
  </bookViews>
  <sheets>
    <sheet name="Total" sheetId="3" r:id="rId1"/>
    <sheet name="April 2025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24" i="2" l="1"/>
  <c r="G24" i="3" s="1"/>
  <c r="P18" i="3" l="1"/>
  <c r="O18" i="3"/>
  <c r="M18" i="3"/>
  <c r="P32" i="3"/>
  <c r="P31" i="3"/>
  <c r="P30" i="3"/>
  <c r="O32" i="3"/>
  <c r="O31" i="3"/>
  <c r="M32" i="3"/>
  <c r="M31" i="3"/>
  <c r="K32" i="3"/>
  <c r="K31" i="3"/>
  <c r="K30" i="3"/>
  <c r="I32" i="3"/>
  <c r="I31" i="3"/>
  <c r="G32" i="3"/>
  <c r="G31" i="3"/>
  <c r="F32" i="3"/>
  <c r="E32" i="3"/>
  <c r="E31" i="3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S2" i="2"/>
  <c r="AB31" i="2" l="1"/>
  <c r="Y31" i="2"/>
  <c r="Y30" i="2"/>
  <c r="W31" i="2"/>
  <c r="U31" i="2"/>
  <c r="N32" i="2"/>
  <c r="N31" i="2"/>
  <c r="G31" i="2"/>
  <c r="G30" i="2"/>
  <c r="E31" i="2"/>
  <c r="C31" i="2"/>
  <c r="AB30" i="2"/>
  <c r="W30" i="2"/>
  <c r="E30" i="2"/>
  <c r="C30" i="2"/>
  <c r="F31" i="3" l="1"/>
  <c r="U23" i="2"/>
  <c r="U2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2" i="2"/>
  <c r="AB2" i="2"/>
  <c r="Y18" i="2"/>
  <c r="Y17" i="2"/>
  <c r="Y16" i="2"/>
  <c r="Y15" i="2"/>
  <c r="Y14" i="2"/>
  <c r="K2" i="2"/>
  <c r="W14" i="2"/>
  <c r="W13" i="2"/>
  <c r="W12" i="2"/>
  <c r="W11" i="2"/>
  <c r="W10" i="2"/>
  <c r="W9" i="2"/>
  <c r="W8" i="2"/>
  <c r="U20" i="2"/>
  <c r="U30" i="2" l="1"/>
  <c r="U29" i="2"/>
  <c r="U28" i="2"/>
  <c r="U21" i="2"/>
  <c r="K31" i="2"/>
  <c r="H31" i="2" l="1"/>
  <c r="I31" i="2" s="1"/>
  <c r="Y13" i="2"/>
  <c r="Y12" i="2"/>
  <c r="W3" i="2" l="1"/>
  <c r="W4" i="2"/>
  <c r="W5" i="2"/>
  <c r="W6" i="2"/>
  <c r="W7" i="2"/>
  <c r="W15" i="2"/>
  <c r="W16" i="2"/>
  <c r="W17" i="2"/>
  <c r="W18" i="2"/>
  <c r="I18" i="3" s="1"/>
  <c r="W19" i="2"/>
  <c r="W20" i="2"/>
  <c r="W21" i="2"/>
  <c r="W22" i="2"/>
  <c r="W23" i="2"/>
  <c r="W24" i="2"/>
  <c r="W25" i="2"/>
  <c r="W26" i="2"/>
  <c r="W27" i="2"/>
  <c r="W28" i="2"/>
  <c r="W29" i="2"/>
  <c r="Y3" i="2"/>
  <c r="Y4" i="2"/>
  <c r="Y5" i="2"/>
  <c r="Y6" i="2"/>
  <c r="Y7" i="2"/>
  <c r="Y8" i="2"/>
  <c r="Y9" i="2"/>
  <c r="Y10" i="2"/>
  <c r="Y11" i="2"/>
  <c r="Y19" i="2"/>
  <c r="Y20" i="2"/>
  <c r="Y21" i="2"/>
  <c r="Y22" i="2"/>
  <c r="Y23" i="2"/>
  <c r="Y24" i="2"/>
  <c r="Y25" i="2"/>
  <c r="Y26" i="2"/>
  <c r="Y27" i="2"/>
  <c r="Y28" i="2"/>
  <c r="Y29" i="2"/>
  <c r="Y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K18" i="3" s="1"/>
  <c r="AB19" i="2"/>
  <c r="AB20" i="2"/>
  <c r="AB21" i="2"/>
  <c r="AB22" i="2"/>
  <c r="AB23" i="2"/>
  <c r="AB24" i="2"/>
  <c r="AB25" i="2"/>
  <c r="AB26" i="2"/>
  <c r="AB27" i="2"/>
  <c r="AB28" i="2"/>
  <c r="AB29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G18" i="3" s="1"/>
  <c r="U19" i="2"/>
  <c r="U25" i="2"/>
  <c r="U26" i="2"/>
  <c r="U27" i="2"/>
  <c r="U2" i="2"/>
  <c r="W2" i="2"/>
  <c r="E18" i="3" l="1"/>
  <c r="F18" i="3"/>
  <c r="F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9" i="3"/>
  <c r="K20" i="3"/>
  <c r="K21" i="3"/>
  <c r="K22" i="3"/>
  <c r="K23" i="3"/>
  <c r="K24" i="3"/>
  <c r="K25" i="3"/>
  <c r="K26" i="3"/>
  <c r="K27" i="3"/>
  <c r="K28" i="3"/>
  <c r="K29" i="3"/>
  <c r="K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9" i="3"/>
  <c r="P20" i="3"/>
  <c r="P21" i="3"/>
  <c r="P22" i="3"/>
  <c r="P23" i="3"/>
  <c r="P24" i="3"/>
  <c r="P25" i="3"/>
  <c r="P26" i="3"/>
  <c r="P27" i="3"/>
  <c r="P28" i="3"/>
  <c r="P29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9" i="3"/>
  <c r="O20" i="3"/>
  <c r="O21" i="3"/>
  <c r="O22" i="3"/>
  <c r="O23" i="3"/>
  <c r="O24" i="3"/>
  <c r="O25" i="3"/>
  <c r="O26" i="3"/>
  <c r="O27" i="3"/>
  <c r="O28" i="3"/>
  <c r="O29" i="3"/>
  <c r="O30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9" i="3"/>
  <c r="M20" i="3"/>
  <c r="M21" i="3"/>
  <c r="M22" i="3"/>
  <c r="M23" i="3"/>
  <c r="M24" i="3"/>
  <c r="M25" i="3"/>
  <c r="M26" i="3"/>
  <c r="M27" i="3"/>
  <c r="M28" i="3"/>
  <c r="M29" i="3"/>
  <c r="M30" i="3"/>
  <c r="M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9" i="3"/>
  <c r="I20" i="3"/>
  <c r="I21" i="3"/>
  <c r="I22" i="3"/>
  <c r="I23" i="3"/>
  <c r="I24" i="3"/>
  <c r="I25" i="3"/>
  <c r="I26" i="3"/>
  <c r="I27" i="3"/>
  <c r="I28" i="3"/>
  <c r="I29" i="3"/>
  <c r="I30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D33" i="2" l="1"/>
  <c r="AC33" i="2"/>
  <c r="AA33" i="2"/>
  <c r="T33" i="2"/>
  <c r="N33" i="2"/>
  <c r="K32" i="2"/>
  <c r="K30" i="2"/>
  <c r="K29" i="2"/>
  <c r="G29" i="2"/>
  <c r="K28" i="2"/>
  <c r="G28" i="2"/>
  <c r="H28" i="2" s="1"/>
  <c r="K27" i="2"/>
  <c r="G27" i="2"/>
  <c r="K26" i="2"/>
  <c r="G26" i="2"/>
  <c r="K25" i="2"/>
  <c r="G25" i="2"/>
  <c r="K24" i="2"/>
  <c r="G24" i="2"/>
  <c r="K23" i="2"/>
  <c r="G23" i="2"/>
  <c r="K22" i="2"/>
  <c r="G22" i="2"/>
  <c r="K21" i="2"/>
  <c r="G21" i="2"/>
  <c r="K20" i="2"/>
  <c r="G20" i="2"/>
  <c r="H20" i="2" s="1"/>
  <c r="K19" i="2"/>
  <c r="G19" i="2"/>
  <c r="K18" i="2"/>
  <c r="G18" i="2"/>
  <c r="K17" i="2"/>
  <c r="G17" i="2"/>
  <c r="K16" i="2"/>
  <c r="G16" i="2"/>
  <c r="K15" i="2"/>
  <c r="G15" i="2"/>
  <c r="K14" i="2"/>
  <c r="G14" i="2"/>
  <c r="K13" i="2"/>
  <c r="G13" i="2"/>
  <c r="K12" i="2"/>
  <c r="G12" i="2"/>
  <c r="K11" i="2"/>
  <c r="G11" i="2"/>
  <c r="K10" i="2"/>
  <c r="G10" i="2"/>
  <c r="K9" i="2"/>
  <c r="G9" i="2"/>
  <c r="K8" i="2"/>
  <c r="G8" i="2"/>
  <c r="K7" i="2"/>
  <c r="G7" i="2"/>
  <c r="K6" i="2"/>
  <c r="G6" i="2"/>
  <c r="K5" i="2"/>
  <c r="G5" i="2"/>
  <c r="K4" i="2"/>
  <c r="G4" i="2"/>
  <c r="K3" i="2"/>
  <c r="G3" i="2"/>
  <c r="G2" i="2"/>
  <c r="G33" i="2" l="1"/>
  <c r="G29" i="3"/>
  <c r="G16" i="3"/>
  <c r="G14" i="3"/>
  <c r="G12" i="3"/>
  <c r="G10" i="3"/>
  <c r="G8" i="3"/>
  <c r="G6" i="3"/>
  <c r="G2" i="3"/>
  <c r="G4" i="3"/>
  <c r="H23" i="2"/>
  <c r="I23" i="2" s="1"/>
  <c r="G20" i="3"/>
  <c r="G3" i="3"/>
  <c r="G5" i="3"/>
  <c r="G7" i="3"/>
  <c r="G9" i="3"/>
  <c r="G11" i="3"/>
  <c r="G13" i="3"/>
  <c r="G15" i="3"/>
  <c r="G17" i="3"/>
  <c r="G19" i="3"/>
  <c r="E20" i="3"/>
  <c r="F20" i="3"/>
  <c r="E3" i="3"/>
  <c r="F3" i="3"/>
  <c r="F7" i="3"/>
  <c r="E7" i="3"/>
  <c r="E11" i="3"/>
  <c r="F11" i="3"/>
  <c r="F13" i="3"/>
  <c r="E13" i="3"/>
  <c r="F19" i="3"/>
  <c r="E19" i="3"/>
  <c r="E2" i="3"/>
  <c r="F5" i="3"/>
  <c r="E5" i="3"/>
  <c r="F9" i="3"/>
  <c r="E9" i="3"/>
  <c r="E15" i="3"/>
  <c r="F15" i="3"/>
  <c r="F17" i="3"/>
  <c r="E17" i="3"/>
  <c r="E4" i="3"/>
  <c r="F4" i="3"/>
  <c r="F6" i="3"/>
  <c r="E6" i="3"/>
  <c r="E8" i="3"/>
  <c r="F8" i="3"/>
  <c r="H10" i="2"/>
  <c r="I10" i="2" s="1"/>
  <c r="F10" i="3"/>
  <c r="E10" i="3"/>
  <c r="E12" i="3"/>
  <c r="F12" i="3"/>
  <c r="F14" i="3"/>
  <c r="E14" i="3"/>
  <c r="E16" i="3"/>
  <c r="F16" i="3"/>
  <c r="G30" i="3"/>
  <c r="J31" i="2"/>
  <c r="E30" i="3"/>
  <c r="F30" i="3"/>
  <c r="G28" i="3"/>
  <c r="H29" i="2"/>
  <c r="I29" i="2" s="1"/>
  <c r="F29" i="3"/>
  <c r="E29" i="3"/>
  <c r="F28" i="3"/>
  <c r="E28" i="3"/>
  <c r="G27" i="3"/>
  <c r="G26" i="3"/>
  <c r="H27" i="2"/>
  <c r="I27" i="2" s="1"/>
  <c r="F27" i="3"/>
  <c r="E27" i="3"/>
  <c r="G25" i="3"/>
  <c r="E26" i="3"/>
  <c r="F26" i="3"/>
  <c r="H25" i="2"/>
  <c r="I25" i="2" s="1"/>
  <c r="E25" i="3"/>
  <c r="F25" i="3"/>
  <c r="G23" i="3"/>
  <c r="E24" i="3"/>
  <c r="F24" i="3"/>
  <c r="E23" i="3"/>
  <c r="F23" i="3"/>
  <c r="G21" i="3"/>
  <c r="G22" i="3"/>
  <c r="F21" i="3"/>
  <c r="E21" i="3"/>
  <c r="F22" i="3"/>
  <c r="E22" i="3"/>
  <c r="H21" i="2"/>
  <c r="I21" i="2" s="1"/>
  <c r="H19" i="2"/>
  <c r="I19" i="2" s="1"/>
  <c r="H15" i="2"/>
  <c r="I15" i="2" s="1"/>
  <c r="H11" i="2"/>
  <c r="I11" i="2" s="1"/>
  <c r="H9" i="2"/>
  <c r="I9" i="2" s="1"/>
  <c r="H7" i="2"/>
  <c r="I7" i="2" s="1"/>
  <c r="H6" i="2"/>
  <c r="I6" i="2" s="1"/>
  <c r="H5" i="2"/>
  <c r="I5" i="2" s="1"/>
  <c r="H3" i="2"/>
  <c r="I3" i="2" s="1"/>
  <c r="AB33" i="2"/>
  <c r="Y33" i="2"/>
  <c r="W33" i="2"/>
  <c r="H2" i="2"/>
  <c r="I2" i="2" s="1"/>
  <c r="H30" i="2"/>
  <c r="I30" i="2" s="1"/>
  <c r="I20" i="2"/>
  <c r="H24" i="2"/>
  <c r="I24" i="2" s="1"/>
  <c r="I28" i="2"/>
  <c r="H22" i="2"/>
  <c r="I22" i="2" s="1"/>
  <c r="H26" i="2"/>
  <c r="I26" i="2" s="1"/>
  <c r="H16" i="2"/>
  <c r="I16" i="2" s="1"/>
  <c r="H17" i="2"/>
  <c r="I17" i="2" s="1"/>
  <c r="H13" i="2"/>
  <c r="I13" i="2" s="1"/>
  <c r="H14" i="2"/>
  <c r="I14" i="2" s="1"/>
  <c r="H18" i="2"/>
  <c r="I18" i="2" s="1"/>
  <c r="E33" i="2"/>
  <c r="H4" i="2"/>
  <c r="I4" i="2" s="1"/>
  <c r="H8" i="2"/>
  <c r="I8" i="2" s="1"/>
  <c r="H12" i="2"/>
  <c r="I12" i="2" s="1"/>
  <c r="C33" i="2"/>
  <c r="J28" i="2" l="1"/>
  <c r="J27" i="2"/>
  <c r="J24" i="2"/>
  <c r="J22" i="2"/>
  <c r="J21" i="2"/>
  <c r="J16" i="2"/>
  <c r="J15" i="2"/>
  <c r="J13" i="2"/>
  <c r="J12" i="2"/>
  <c r="J11" i="2"/>
  <c r="J10" i="2"/>
  <c r="J8" i="2"/>
  <c r="J5" i="2"/>
  <c r="J18" i="2"/>
  <c r="J26" i="2"/>
  <c r="J7" i="2"/>
  <c r="J19" i="2"/>
  <c r="J14" i="2"/>
  <c r="J30" i="2"/>
  <c r="J6" i="2"/>
  <c r="J9" i="2"/>
  <c r="J20" i="2"/>
  <c r="J25" i="2"/>
  <c r="J23" i="2"/>
  <c r="J29" i="2"/>
  <c r="J17" i="2"/>
  <c r="J4" i="2"/>
  <c r="J3" i="2"/>
  <c r="U33" i="2"/>
  <c r="H33" i="2"/>
  <c r="I33" i="2"/>
  <c r="J2" i="2"/>
  <c r="J33" i="2" l="1"/>
</calcChain>
</file>

<file path=xl/sharedStrings.xml><?xml version="1.0" encoding="utf-8"?>
<sst xmlns="http://schemas.openxmlformats.org/spreadsheetml/2006/main" count="77" uniqueCount="40">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</sst>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8" xfId="0" applyNumberFormat="1" applyFont="1" applyFill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4" borderId="11" xfId="0" applyNumberFormat="1" applyFill="1" applyBorder="1" applyAlignment="1">
      <alignment horizontal="right" vertical="center"/>
    </xf>
    <xf numFmtId="164" fontId="0" fillId="4" borderId="13" xfId="0" applyNumberFormat="1" applyFill="1" applyBorder="1" applyAlignment="1">
      <alignment horizontal="right" vertical="center"/>
    </xf>
    <xf numFmtId="0" fontId="13" fillId="0" borderId="8" xfId="0" applyFont="1" applyBorder="1" applyAlignment="1">
      <alignment horizontal="center" vertical="center" wrapText="1"/>
    </xf>
    <xf numFmtId="3" fontId="14" fillId="2" borderId="8" xfId="0" applyNumberFormat="1" applyFont="1" applyFill="1" applyBorder="1" applyAlignment="1">
      <alignment horizontal="center" vertical="center" textRotation="90" wrapText="1"/>
    </xf>
    <xf numFmtId="0" fontId="17" fillId="0" borderId="7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7" xfId="0" applyNumberFormat="1" applyFont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0" fontId="20" fillId="4" borderId="8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8" xfId="0" applyNumberFormat="1" applyFont="1" applyFill="1" applyBorder="1" applyAlignment="1">
      <alignment horizontal="center" vertical="center" textRotation="90" wrapText="1"/>
    </xf>
    <xf numFmtId="1" fontId="7" fillId="0" borderId="15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8" xfId="0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1" fontId="5" fillId="0" borderId="23" xfId="0" applyNumberFormat="1" applyFont="1" applyBorder="1" applyAlignment="1">
      <alignment horizontal="center"/>
    </xf>
    <xf numFmtId="1" fontId="8" fillId="0" borderId="23" xfId="0" applyNumberFormat="1" applyFont="1" applyBorder="1" applyAlignment="1">
      <alignment horizontal="center" vertical="center"/>
    </xf>
    <xf numFmtId="3" fontId="3" fillId="0" borderId="24" xfId="0" applyNumberFormat="1" applyFont="1" applyBorder="1" applyAlignment="1">
      <alignment horizontal="center"/>
    </xf>
    <xf numFmtId="0" fontId="0" fillId="0" borderId="25" xfId="0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1" fontId="9" fillId="0" borderId="21" xfId="0" applyNumberFormat="1" applyFont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 vertical="center"/>
    </xf>
    <xf numFmtId="164" fontId="0" fillId="4" borderId="27" xfId="0" applyNumberFormat="1" applyFill="1" applyBorder="1" applyAlignment="1">
      <alignment horizontal="right" vertical="center"/>
    </xf>
    <xf numFmtId="1" fontId="6" fillId="0" borderId="21" xfId="0" applyNumberFormat="1" applyFont="1" applyBorder="1" applyAlignment="1">
      <alignment horizontal="center"/>
    </xf>
    <xf numFmtId="3" fontId="3" fillId="0" borderId="26" xfId="0" applyNumberFormat="1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1" fontId="7" fillId="0" borderId="23" xfId="0" applyNumberFormat="1" applyFont="1" applyBorder="1" applyAlignment="1">
      <alignment horizont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3" fontId="3" fillId="2" borderId="20" xfId="0" applyNumberFormat="1" applyFont="1" applyFill="1" applyBorder="1" applyAlignment="1">
      <alignment horizontal="center" vertical="center" wrapText="1"/>
    </xf>
    <xf numFmtId="0" fontId="11" fillId="3" borderId="29" xfId="0" applyFont="1" applyFill="1" applyBorder="1" applyAlignment="1">
      <alignment horizontal="center" vertical="center" wrapText="1"/>
    </xf>
    <xf numFmtId="1" fontId="12" fillId="3" borderId="30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5" xfId="0" applyFont="1" applyBorder="1" applyAlignment="1">
      <alignment horizontal="center"/>
    </xf>
    <xf numFmtId="0" fontId="11" fillId="5" borderId="29" xfId="0" applyFont="1" applyFill="1" applyBorder="1" applyAlignment="1">
      <alignment horizontal="center" vertical="center" wrapText="1"/>
    </xf>
    <xf numFmtId="1" fontId="12" fillId="5" borderId="30" xfId="0" applyNumberFormat="1" applyFont="1" applyFill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7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1" fontId="29" fillId="5" borderId="31" xfId="0" applyNumberFormat="1" applyFont="1" applyFill="1" applyBorder="1" applyAlignment="1">
      <alignment horizontal="center" vertical="center" wrapText="1"/>
    </xf>
    <xf numFmtId="1" fontId="29" fillId="6" borderId="31" xfId="0" applyNumberFormat="1" applyFont="1" applyFill="1" applyBorder="1" applyAlignment="1">
      <alignment horizontal="center" vertical="center" wrapText="1"/>
    </xf>
    <xf numFmtId="0" fontId="29" fillId="7" borderId="31" xfId="0" applyFont="1" applyFill="1" applyBorder="1" applyAlignment="1">
      <alignment horizontal="center" vertical="center" wrapText="1"/>
    </xf>
    <xf numFmtId="0" fontId="30" fillId="3" borderId="31" xfId="0" applyFont="1" applyFill="1" applyBorder="1" applyAlignment="1">
      <alignment horizontal="center" vertical="center" wrapText="1"/>
    </xf>
    <xf numFmtId="0" fontId="29" fillId="8" borderId="31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1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1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1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1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1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1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  <xf numFmtId="1" fontId="9" fillId="0" borderId="3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3"/>
  <sheetViews>
    <sheetView workbookViewId="0">
      <selection activeCell="A24" sqref="A24:XFD24"/>
    </sheetView>
  </sheetViews>
  <sheetFormatPr defaultColWidth="8.875" defaultRowHeight="12.85" x14ac:dyDescent="0.2"/>
  <cols>
    <col min="1" max="1" width="23" style="5" customWidth="1"/>
    <col min="2" max="2" width="11.5" style="5" customWidth="1"/>
    <col min="3" max="3" width="8.875" style="122"/>
    <col min="4" max="4" width="13.5" style="5" customWidth="1"/>
    <col min="5" max="5" width="12.5" style="96" customWidth="1"/>
    <col min="6" max="6" width="16.25" style="111" customWidth="1"/>
    <col min="7" max="7" width="8.875" style="97"/>
    <col min="8" max="8" width="8.875" style="114"/>
    <col min="9" max="10" width="8.875" style="103"/>
    <col min="11" max="11" width="8.875" style="98"/>
    <col min="12" max="12" width="8.875" style="117"/>
    <col min="13" max="13" width="12.375" style="108" bestFit="1" customWidth="1"/>
    <col min="14" max="14" width="12.375" style="120" bestFit="1" customWidth="1"/>
    <col min="15" max="15" width="8.875" style="104"/>
    <col min="16" max="16" width="11.5" style="104" customWidth="1"/>
    <col min="17" max="16384" width="8.875" style="5"/>
  </cols>
  <sheetData>
    <row r="1" spans="1:16" ht="57.75" thickBot="1" x14ac:dyDescent="0.25">
      <c r="A1" s="89" t="s">
        <v>24</v>
      </c>
      <c r="B1" s="89" t="s">
        <v>25</v>
      </c>
      <c r="C1" s="121" t="s">
        <v>26</v>
      </c>
      <c r="D1" s="89" t="s">
        <v>27</v>
      </c>
      <c r="E1" s="90" t="s">
        <v>28</v>
      </c>
      <c r="F1" s="109" t="s">
        <v>29</v>
      </c>
      <c r="G1" s="91" t="s">
        <v>30</v>
      </c>
      <c r="H1" s="112" t="s">
        <v>31</v>
      </c>
      <c r="I1" s="92" t="s">
        <v>32</v>
      </c>
      <c r="J1" s="92" t="s">
        <v>33</v>
      </c>
      <c r="K1" s="105" t="s">
        <v>38</v>
      </c>
      <c r="L1" s="115" t="s">
        <v>39</v>
      </c>
      <c r="M1" s="93" t="s">
        <v>34</v>
      </c>
      <c r="N1" s="118" t="s">
        <v>35</v>
      </c>
      <c r="O1" s="94" t="s">
        <v>0</v>
      </c>
      <c r="P1" s="94" t="s">
        <v>36</v>
      </c>
    </row>
    <row r="2" spans="1:16" ht="15" thickTop="1" x14ac:dyDescent="0.25">
      <c r="A2" s="95" t="s">
        <v>37</v>
      </c>
      <c r="B2" s="5">
        <v>1</v>
      </c>
      <c r="C2" s="122">
        <v>4</v>
      </c>
      <c r="D2" s="4">
        <v>2025</v>
      </c>
      <c r="E2" s="96">
        <f>IF('April 2025'!C2&lt;0,"0",'April 2025'!C2)+(IF('April 2025'!E2&lt;0,"0",'April 2025'!E2)-(IF('April 2025'!G2&lt;0,"0",'April 2025'!G2)))</f>
        <v>5267</v>
      </c>
      <c r="F2" s="110">
        <f>('April 2025'!C2*0.27)/('April 2025'!C2+'April 2025'!E2)</f>
        <v>0.25113537117903928</v>
      </c>
      <c r="G2" s="97">
        <f>'April 2025'!U2</f>
        <v>50</v>
      </c>
      <c r="H2" s="113">
        <v>0.62</v>
      </c>
      <c r="I2" s="98">
        <f>'April 2025'!W2</f>
        <v>299</v>
      </c>
      <c r="J2" s="99">
        <v>2.42</v>
      </c>
      <c r="K2" s="106">
        <f>'April 2025'!AB2*5.04</f>
        <v>4762.8</v>
      </c>
      <c r="L2" s="116">
        <v>0.11509999999999999</v>
      </c>
      <c r="M2" s="107">
        <f>'April 2025'!M2</f>
        <v>0</v>
      </c>
      <c r="N2" s="119">
        <v>0.88</v>
      </c>
      <c r="O2" s="100">
        <f>'April 2025'!AC2</f>
        <v>159</v>
      </c>
      <c r="P2" s="100">
        <f>'April 2025'!AD2</f>
        <v>308</v>
      </c>
    </row>
    <row r="3" spans="1:16" ht="14.3" x14ac:dyDescent="0.25">
      <c r="A3" s="95" t="s">
        <v>37</v>
      </c>
      <c r="B3" s="5">
        <f>B2+1</f>
        <v>2</v>
      </c>
      <c r="C3" s="122">
        <v>4</v>
      </c>
      <c r="D3" s="4">
        <v>2025</v>
      </c>
      <c r="E3" s="96">
        <f>IF('April 2025'!C3&lt;0,"0",'April 2025'!C3)+(IF('April 2025'!E3&lt;0,"0",'April 2025'!E3)-(IF('April 2025'!G3&lt;0,"0",'April 2025'!G3)))</f>
        <v>5296</v>
      </c>
      <c r="F3" s="110">
        <f>('April 2025'!C3*0.27)/('April 2025'!C3+'April 2025'!E3)</f>
        <v>0.20341767371601213</v>
      </c>
      <c r="G3" s="97">
        <f>'April 2025'!U3</f>
        <v>135</v>
      </c>
      <c r="H3" s="113">
        <v>0.62</v>
      </c>
      <c r="I3" s="98">
        <f>'April 2025'!W3</f>
        <v>92</v>
      </c>
      <c r="J3" s="99">
        <v>2.42</v>
      </c>
      <c r="K3" s="106">
        <f>'April 2025'!AB3*5.04</f>
        <v>5594.4</v>
      </c>
      <c r="L3" s="116">
        <v>0.11509999999999999</v>
      </c>
      <c r="M3" s="107">
        <f>'April 2025'!M3</f>
        <v>0</v>
      </c>
      <c r="N3" s="119">
        <v>0.88</v>
      </c>
      <c r="O3" s="100">
        <f>'April 2025'!AC3</f>
        <v>163</v>
      </c>
      <c r="P3" s="100">
        <f>'April 2025'!AD3</f>
        <v>311</v>
      </c>
    </row>
    <row r="4" spans="1:16" ht="14.3" x14ac:dyDescent="0.25">
      <c r="A4" s="95" t="s">
        <v>37</v>
      </c>
      <c r="B4" s="5">
        <f t="shared" ref="B4:B31" si="0">B3+1</f>
        <v>3</v>
      </c>
      <c r="C4" s="122">
        <v>4</v>
      </c>
      <c r="D4" s="4">
        <v>2025</v>
      </c>
      <c r="E4" s="96">
        <f>IF('April 2025'!C4&lt;0,"0",'April 2025'!C4)+(IF('April 2025'!E4&lt;0,"0",'April 2025'!E4)-(IF('April 2025'!G4&lt;0,"0",'April 2025'!G4)))</f>
        <v>5356</v>
      </c>
      <c r="F4" s="110">
        <f>('April 2025'!C4*0.27)/('April 2025'!C4+'April 2025'!E4)</f>
        <v>0.20436519790888727</v>
      </c>
      <c r="G4" s="97">
        <f>'April 2025'!U4</f>
        <v>125</v>
      </c>
      <c r="H4" s="113">
        <v>0.62</v>
      </c>
      <c r="I4" s="98">
        <f>'April 2025'!W4</f>
        <v>123</v>
      </c>
      <c r="J4" s="99">
        <v>2.42</v>
      </c>
      <c r="K4" s="106">
        <f>'April 2025'!AB4*5.04</f>
        <v>5871.6</v>
      </c>
      <c r="L4" s="116">
        <v>0.11509999999999999</v>
      </c>
      <c r="M4" s="107">
        <f>'April 2025'!M4</f>
        <v>0</v>
      </c>
      <c r="N4" s="119">
        <v>0.88</v>
      </c>
      <c r="O4" s="100">
        <f>'April 2025'!AC4</f>
        <v>188</v>
      </c>
      <c r="P4" s="100">
        <f>'April 2025'!AD4</f>
        <v>359</v>
      </c>
    </row>
    <row r="5" spans="1:16" ht="14.3" x14ac:dyDescent="0.25">
      <c r="A5" s="95" t="s">
        <v>37</v>
      </c>
      <c r="B5" s="5">
        <f t="shared" si="0"/>
        <v>4</v>
      </c>
      <c r="C5" s="122">
        <v>4</v>
      </c>
      <c r="D5" s="4">
        <v>2025</v>
      </c>
      <c r="E5" s="96">
        <f>IF('April 2025'!C5&lt;0,"0",'April 2025'!C5)+(IF('April 2025'!E5&lt;0,"0",'April 2025'!E5)-(IF('April 2025'!G5&lt;0,"0",'April 2025'!G5)))</f>
        <v>5348</v>
      </c>
      <c r="F5" s="110">
        <f>('April 2025'!C5*0.27)/('April 2025'!C5+'April 2025'!E5)</f>
        <v>0.21840314136125655</v>
      </c>
      <c r="G5" s="97">
        <f>'April 2025'!U5</f>
        <v>195</v>
      </c>
      <c r="H5" s="113">
        <v>0.62</v>
      </c>
      <c r="I5" s="98">
        <f>'April 2025'!W5</f>
        <v>128</v>
      </c>
      <c r="J5" s="99">
        <v>2.42</v>
      </c>
      <c r="K5" s="106">
        <f>'April 2025'!AB5*5.04</f>
        <v>6048</v>
      </c>
      <c r="L5" s="116">
        <v>0.11509999999999999</v>
      </c>
      <c r="M5" s="107">
        <f>'April 2025'!M5</f>
        <v>0</v>
      </c>
      <c r="N5" s="119">
        <v>0.88</v>
      </c>
      <c r="O5" s="100">
        <f>'April 2025'!AC5</f>
        <v>208</v>
      </c>
      <c r="P5" s="100">
        <f>'April 2025'!AD5</f>
        <v>404</v>
      </c>
    </row>
    <row r="6" spans="1:16" ht="14.3" x14ac:dyDescent="0.25">
      <c r="A6" s="95" t="s">
        <v>37</v>
      </c>
      <c r="B6" s="5">
        <f t="shared" si="0"/>
        <v>5</v>
      </c>
      <c r="C6" s="122">
        <v>4</v>
      </c>
      <c r="D6" s="4">
        <v>2025</v>
      </c>
      <c r="E6" s="96">
        <f>IF('April 2025'!C6&lt;0,"0",'April 2025'!C6)+(IF('April 2025'!E6&lt;0,"0",'April 2025'!E6)-(IF('April 2025'!G6&lt;0,"0",'April 2025'!G6)))</f>
        <v>5686</v>
      </c>
      <c r="F6" s="110">
        <f>('April 2025'!C6*0.27)/('April 2025'!C6+'April 2025'!E6)</f>
        <v>0.21021632078790015</v>
      </c>
      <c r="G6" s="97">
        <f>'April 2025'!U6</f>
        <v>165</v>
      </c>
      <c r="H6" s="113">
        <v>0.62</v>
      </c>
      <c r="I6" s="98">
        <f>'April 2025'!W6</f>
        <v>120</v>
      </c>
      <c r="J6" s="99">
        <v>2.42</v>
      </c>
      <c r="K6" s="106">
        <f>'April 2025'!AB6*5.04</f>
        <v>6174</v>
      </c>
      <c r="L6" s="116">
        <v>0.11509999999999999</v>
      </c>
      <c r="M6" s="107">
        <f>'April 2025'!M6</f>
        <v>0</v>
      </c>
      <c r="N6" s="119">
        <v>0.88</v>
      </c>
      <c r="O6" s="100">
        <f>'April 2025'!AC6</f>
        <v>228</v>
      </c>
      <c r="P6" s="100">
        <f>'April 2025'!AD6</f>
        <v>446</v>
      </c>
    </row>
    <row r="7" spans="1:16" ht="14.3" x14ac:dyDescent="0.25">
      <c r="A7" s="95" t="s">
        <v>37</v>
      </c>
      <c r="B7" s="5">
        <f t="shared" si="0"/>
        <v>6</v>
      </c>
      <c r="C7" s="122">
        <v>4</v>
      </c>
      <c r="D7" s="4">
        <v>2025</v>
      </c>
      <c r="E7" s="96">
        <f>IF('April 2025'!C7&lt;0,"0",'April 2025'!C7)+(IF('April 2025'!E7&lt;0,"0",'April 2025'!E7)-(IF('April 2025'!G7&lt;0,"0",'April 2025'!G7)))</f>
        <v>5222</v>
      </c>
      <c r="F7" s="110">
        <f>('April 2025'!C7*0.27)/('April 2025'!C7+'April 2025'!E7)</f>
        <v>0.23132516277288395</v>
      </c>
      <c r="G7" s="97">
        <f>'April 2025'!U7</f>
        <v>215</v>
      </c>
      <c r="H7" s="113">
        <v>0.62</v>
      </c>
      <c r="I7" s="98">
        <f>'April 2025'!W7</f>
        <v>116</v>
      </c>
      <c r="J7" s="99">
        <v>2.42</v>
      </c>
      <c r="K7" s="106">
        <f>'April 2025'!AB7*5.04</f>
        <v>5292</v>
      </c>
      <c r="L7" s="116">
        <v>0.11509999999999999</v>
      </c>
      <c r="M7" s="107">
        <f>'April 2025'!M7</f>
        <v>0</v>
      </c>
      <c r="N7" s="119">
        <v>0.88</v>
      </c>
      <c r="O7" s="100">
        <f>'April 2025'!AC7</f>
        <v>197</v>
      </c>
      <c r="P7" s="100">
        <f>'April 2025'!AD7</f>
        <v>390</v>
      </c>
    </row>
    <row r="8" spans="1:16" ht="14.3" x14ac:dyDescent="0.25">
      <c r="A8" s="95" t="s">
        <v>37</v>
      </c>
      <c r="B8" s="5">
        <f t="shared" si="0"/>
        <v>7</v>
      </c>
      <c r="C8" s="122">
        <v>4</v>
      </c>
      <c r="D8" s="4">
        <v>2025</v>
      </c>
      <c r="E8" s="96">
        <f>IF('April 2025'!C8&lt;0,"0",'April 2025'!C8)+(IF('April 2025'!E8&lt;0,"0",'April 2025'!E8)-(IF('April 2025'!G8&lt;0,"0",'April 2025'!G8)))</f>
        <v>5319</v>
      </c>
      <c r="F8" s="110">
        <f>('April 2025'!C8*0.27)/('April 2025'!C8+'April 2025'!E8)</f>
        <v>0.21862944162436551</v>
      </c>
      <c r="G8" s="97">
        <f>'April 2025'!U8</f>
        <v>203</v>
      </c>
      <c r="H8" s="113">
        <v>0.62</v>
      </c>
      <c r="I8" s="98">
        <f>'April 2025'!W8</f>
        <v>121</v>
      </c>
      <c r="J8" s="99">
        <v>2.42</v>
      </c>
      <c r="K8" s="106">
        <f>'April 2025'!AB8*5.04</f>
        <v>5720.4</v>
      </c>
      <c r="L8" s="116">
        <v>0.11509999999999999</v>
      </c>
      <c r="M8" s="107">
        <f>'April 2025'!M8</f>
        <v>0</v>
      </c>
      <c r="N8" s="119">
        <v>0.88</v>
      </c>
      <c r="O8" s="100">
        <f>'April 2025'!AC8</f>
        <v>188</v>
      </c>
      <c r="P8" s="100">
        <f>'April 2025'!AD8</f>
        <v>379</v>
      </c>
    </row>
    <row r="9" spans="1:16" ht="14.3" x14ac:dyDescent="0.25">
      <c r="A9" s="95" t="s">
        <v>37</v>
      </c>
      <c r="B9" s="5">
        <f t="shared" si="0"/>
        <v>8</v>
      </c>
      <c r="C9" s="122">
        <v>4</v>
      </c>
      <c r="D9" s="4">
        <v>2025</v>
      </c>
      <c r="E9" s="96">
        <f>IF('April 2025'!C9&lt;0,"0",'April 2025'!C9)+(IF('April 2025'!E9&lt;0,"0",'April 2025'!E9)-(IF('April 2025'!G9&lt;0,"0",'April 2025'!G9)))</f>
        <v>5336</v>
      </c>
      <c r="F9" s="110">
        <f>('April 2025'!C9*0.27)/('April 2025'!C9+'April 2025'!E9)</f>
        <v>0.23215142428785607</v>
      </c>
      <c r="G9" s="97">
        <f>'April 2025'!U9</f>
        <v>135</v>
      </c>
      <c r="H9" s="113">
        <v>0.62</v>
      </c>
      <c r="I9" s="98">
        <f>'April 2025'!W9</f>
        <v>108</v>
      </c>
      <c r="J9" s="99">
        <v>2.42</v>
      </c>
      <c r="K9" s="106">
        <f>'April 2025'!AB9*5.04</f>
        <v>3628.8</v>
      </c>
      <c r="L9" s="116">
        <v>0.11509999999999999</v>
      </c>
      <c r="M9" s="107">
        <f>'April 2025'!M9</f>
        <v>0</v>
      </c>
      <c r="N9" s="119">
        <v>0.88</v>
      </c>
      <c r="O9" s="100">
        <f>'April 2025'!AC9</f>
        <v>198</v>
      </c>
      <c r="P9" s="100">
        <f>'April 2025'!AD9</f>
        <v>388</v>
      </c>
    </row>
    <row r="10" spans="1:16" ht="14.3" x14ac:dyDescent="0.25">
      <c r="A10" s="95" t="s">
        <v>37</v>
      </c>
      <c r="B10" s="5">
        <f t="shared" si="0"/>
        <v>9</v>
      </c>
      <c r="C10" s="122">
        <v>4</v>
      </c>
      <c r="D10" s="4">
        <v>2025</v>
      </c>
      <c r="E10" s="96">
        <f>IF('April 2025'!C10&lt;0,"0",'April 2025'!C10)+(IF('April 2025'!E10&lt;0,"0",'April 2025'!E10)-(IF('April 2025'!G10&lt;0,"0",'April 2025'!G10)))</f>
        <v>5293</v>
      </c>
      <c r="F10" s="110">
        <f>('April 2025'!C10*0.27)/('April 2025'!C10+'April 2025'!E10)</f>
        <v>0.19424900812393728</v>
      </c>
      <c r="G10" s="97">
        <f>'April 2025'!U10</f>
        <v>165</v>
      </c>
      <c r="H10" s="113">
        <v>0.62</v>
      </c>
      <c r="I10" s="98">
        <f>'April 2025'!W10</f>
        <v>130</v>
      </c>
      <c r="J10" s="99">
        <v>2.42</v>
      </c>
      <c r="K10" s="106">
        <f>'April 2025'!AB10*5.04</f>
        <v>2772</v>
      </c>
      <c r="L10" s="116">
        <v>0.11509999999999999</v>
      </c>
      <c r="M10" s="107">
        <f>'April 2025'!M10</f>
        <v>0</v>
      </c>
      <c r="N10" s="119">
        <v>0.88</v>
      </c>
      <c r="O10" s="100">
        <f>'April 2025'!AC10</f>
        <v>226</v>
      </c>
      <c r="P10" s="100">
        <f>'April 2025'!AD10</f>
        <v>443</v>
      </c>
    </row>
    <row r="11" spans="1:16" ht="14.3" x14ac:dyDescent="0.25">
      <c r="A11" s="95" t="s">
        <v>37</v>
      </c>
      <c r="B11" s="5">
        <f t="shared" si="0"/>
        <v>10</v>
      </c>
      <c r="C11" s="122">
        <v>4</v>
      </c>
      <c r="D11" s="4">
        <v>2025</v>
      </c>
      <c r="E11" s="96">
        <f>IF('April 2025'!C11&lt;0,"0",'April 2025'!C11)+(IF('April 2025'!E11&lt;0,"0",'April 2025'!E11)-(IF('April 2025'!G11&lt;0,"0",'April 2025'!G11)))</f>
        <v>5891</v>
      </c>
      <c r="F11" s="110">
        <f>('April 2025'!C11*0.27)/('April 2025'!C11+'April 2025'!E11)</f>
        <v>0.20441351213715839</v>
      </c>
      <c r="G11" s="97">
        <f>'April 2025'!U11</f>
        <v>185</v>
      </c>
      <c r="H11" s="113">
        <v>0.62</v>
      </c>
      <c r="I11" s="98">
        <f>'April 2025'!W11</f>
        <v>129</v>
      </c>
      <c r="J11" s="99">
        <v>2.42</v>
      </c>
      <c r="K11" s="106">
        <f>'April 2025'!AB11*5.04</f>
        <v>3150</v>
      </c>
      <c r="L11" s="116">
        <v>0.11509999999999999</v>
      </c>
      <c r="M11" s="107">
        <f>'April 2025'!M11</f>
        <v>0</v>
      </c>
      <c r="N11" s="119">
        <v>0.88</v>
      </c>
      <c r="O11" s="100">
        <f>'April 2025'!AC11</f>
        <v>220</v>
      </c>
      <c r="P11" s="100">
        <f>'April 2025'!AD11</f>
        <v>486</v>
      </c>
    </row>
    <row r="12" spans="1:16" ht="14.3" x14ac:dyDescent="0.25">
      <c r="A12" s="95" t="s">
        <v>37</v>
      </c>
      <c r="B12" s="5">
        <f t="shared" si="0"/>
        <v>11</v>
      </c>
      <c r="C12" s="122">
        <v>4</v>
      </c>
      <c r="D12" s="4">
        <v>2025</v>
      </c>
      <c r="E12" s="96">
        <f>IF('April 2025'!C12&lt;0,"0",'April 2025'!C12)+(IF('April 2025'!E12&lt;0,"0",'April 2025'!E12)-(IF('April 2025'!G12&lt;0,"0",'April 2025'!G12)))</f>
        <v>5879</v>
      </c>
      <c r="F12" s="110">
        <f>('April 2025'!C12*0.27)/('April 2025'!C12+'April 2025'!E12)</f>
        <v>0.21888416397346491</v>
      </c>
      <c r="G12" s="97">
        <f>'April 2025'!U12</f>
        <v>240</v>
      </c>
      <c r="H12" s="113">
        <v>0.62</v>
      </c>
      <c r="I12" s="98">
        <f>'April 2025'!W12</f>
        <v>128</v>
      </c>
      <c r="J12" s="99">
        <v>2.42</v>
      </c>
      <c r="K12" s="106">
        <f>'April 2025'!AB12*5.04</f>
        <v>3528</v>
      </c>
      <c r="L12" s="116">
        <v>0.11509999999999999</v>
      </c>
      <c r="M12" s="107">
        <f>'April 2025'!M12</f>
        <v>0</v>
      </c>
      <c r="N12" s="119">
        <v>0.88</v>
      </c>
      <c r="O12" s="100">
        <f>'April 2025'!AC12</f>
        <v>227</v>
      </c>
      <c r="P12" s="100">
        <f>'April 2025'!AD12</f>
        <v>525</v>
      </c>
    </row>
    <row r="13" spans="1:16" ht="14.3" x14ac:dyDescent="0.25">
      <c r="A13" s="95" t="s">
        <v>37</v>
      </c>
      <c r="B13" s="5">
        <f t="shared" si="0"/>
        <v>12</v>
      </c>
      <c r="C13" s="122">
        <v>4</v>
      </c>
      <c r="D13" s="4">
        <v>2025</v>
      </c>
      <c r="E13" s="96">
        <f>IF('April 2025'!C13&lt;0,"0",'April 2025'!C13)+(IF('April 2025'!E13&lt;0,"0",'April 2025'!E13)-(IF('April 2025'!G13&lt;0,"0",'April 2025'!G13)))</f>
        <v>6030</v>
      </c>
      <c r="F13" s="110">
        <f>('April 2025'!C13*0.27)/('April 2025'!C13+'April 2025'!E13)</f>
        <v>0.22826865671641791</v>
      </c>
      <c r="G13" s="97">
        <f>'April 2025'!U13</f>
        <v>150</v>
      </c>
      <c r="H13" s="113">
        <v>0.62</v>
      </c>
      <c r="I13" s="98">
        <f>'April 2025'!W13</f>
        <v>122</v>
      </c>
      <c r="J13" s="99">
        <v>2.42</v>
      </c>
      <c r="K13" s="106">
        <f>'April 2025'!AB13*5.04</f>
        <v>3427.2</v>
      </c>
      <c r="L13" s="116">
        <v>0.11509999999999999</v>
      </c>
      <c r="M13" s="107">
        <f>'April 2025'!M13</f>
        <v>0</v>
      </c>
      <c r="N13" s="119">
        <v>0.88</v>
      </c>
      <c r="O13" s="100">
        <f>'April 2025'!AC13</f>
        <v>217</v>
      </c>
      <c r="P13" s="100">
        <f>'April 2025'!AD13</f>
        <v>489</v>
      </c>
    </row>
    <row r="14" spans="1:16" ht="14.3" x14ac:dyDescent="0.25">
      <c r="A14" s="95" t="s">
        <v>37</v>
      </c>
      <c r="B14" s="5">
        <f t="shared" si="0"/>
        <v>13</v>
      </c>
      <c r="C14" s="122">
        <v>4</v>
      </c>
      <c r="D14" s="4">
        <v>2025</v>
      </c>
      <c r="E14" s="96">
        <f>IF('April 2025'!C14&lt;0,"0",'April 2025'!C14)+(IF('April 2025'!E14&lt;0,"0",'April 2025'!E14)-(IF('April 2025'!G14&lt;0,"0",'April 2025'!G14)))</f>
        <v>6015</v>
      </c>
      <c r="F14" s="110">
        <f>('April 2025'!C14*0.27)/('April 2025'!C14+'April 2025'!E14)</f>
        <v>0.23615461346633418</v>
      </c>
      <c r="G14" s="97">
        <f>'April 2025'!U14</f>
        <v>135</v>
      </c>
      <c r="H14" s="113">
        <v>0.62</v>
      </c>
      <c r="I14" s="98">
        <f>'April 2025'!W14</f>
        <v>123</v>
      </c>
      <c r="J14" s="99">
        <v>2.42</v>
      </c>
      <c r="K14" s="106">
        <f>'April 2025'!AB14*5.04</f>
        <v>2772</v>
      </c>
      <c r="L14" s="116">
        <v>0.11509999999999999</v>
      </c>
      <c r="M14" s="107">
        <f>'April 2025'!M14</f>
        <v>0</v>
      </c>
      <c r="N14" s="119">
        <v>0.88</v>
      </c>
      <c r="O14" s="100">
        <f>'April 2025'!AC14</f>
        <v>216</v>
      </c>
      <c r="P14" s="100">
        <f>'April 2025'!AD14</f>
        <v>489</v>
      </c>
    </row>
    <row r="15" spans="1:16" ht="14.3" x14ac:dyDescent="0.25">
      <c r="A15" s="95" t="s">
        <v>37</v>
      </c>
      <c r="B15" s="5">
        <f t="shared" si="0"/>
        <v>14</v>
      </c>
      <c r="C15" s="122">
        <v>4</v>
      </c>
      <c r="D15" s="4">
        <v>2025</v>
      </c>
      <c r="E15" s="96">
        <f>IF('April 2025'!C15&lt;0,"0",'April 2025'!C15)+(IF('April 2025'!E15&lt;0,"0",'April 2025'!E15)-(IF('April 2025'!G15&lt;0,"0",'April 2025'!G15)))</f>
        <v>5763</v>
      </c>
      <c r="F15" s="110">
        <f>('April 2025'!C15*0.27)/('April 2025'!C15+'April 2025'!E15)</f>
        <v>0.19639770952628841</v>
      </c>
      <c r="G15" s="97">
        <f>'April 2025'!U15</f>
        <v>108</v>
      </c>
      <c r="H15" s="113">
        <v>0.62</v>
      </c>
      <c r="I15" s="98">
        <f>'April 2025'!W15</f>
        <v>128</v>
      </c>
      <c r="J15" s="99">
        <v>2.42</v>
      </c>
      <c r="K15" s="106">
        <f>'April 2025'!AB15*5.04</f>
        <v>3099.6</v>
      </c>
      <c r="L15" s="116">
        <v>0.11509999999999999</v>
      </c>
      <c r="M15" s="107">
        <f>'April 2025'!M15</f>
        <v>0</v>
      </c>
      <c r="N15" s="119">
        <v>0.88</v>
      </c>
      <c r="O15" s="100">
        <f>'April 2025'!AC15</f>
        <v>232</v>
      </c>
      <c r="P15" s="100">
        <f>'April 2025'!AD15</f>
        <v>522</v>
      </c>
    </row>
    <row r="16" spans="1:16" ht="14.3" x14ac:dyDescent="0.25">
      <c r="A16" s="95" t="s">
        <v>37</v>
      </c>
      <c r="B16" s="5">
        <f t="shared" si="0"/>
        <v>15</v>
      </c>
      <c r="C16" s="122">
        <v>4</v>
      </c>
      <c r="D16" s="4">
        <v>2025</v>
      </c>
      <c r="E16" s="96">
        <f>IF('April 2025'!C16&lt;0,"0",'April 2025'!C16)+(IF('April 2025'!E16&lt;0,"0",'April 2025'!E16)-(IF('April 2025'!G16&lt;0,"0",'April 2025'!G16)))</f>
        <v>5895</v>
      </c>
      <c r="F16" s="110">
        <f>('April 2025'!C16*0.27)/('April 2025'!C16+'April 2025'!E16)</f>
        <v>0.19415267175572518</v>
      </c>
      <c r="G16" s="97">
        <f>'April 2025'!U16</f>
        <v>170</v>
      </c>
      <c r="H16" s="113">
        <v>0.62</v>
      </c>
      <c r="I16" s="98">
        <f>'April 2025'!W16</f>
        <v>142</v>
      </c>
      <c r="J16" s="99">
        <v>2.42</v>
      </c>
      <c r="K16" s="106">
        <f>'April 2025'!AB16*5.04</f>
        <v>3326.4</v>
      </c>
      <c r="L16" s="116">
        <v>0.11509999999999999</v>
      </c>
      <c r="M16" s="107">
        <f>'April 2025'!M16</f>
        <v>0</v>
      </c>
      <c r="N16" s="119">
        <v>0.88</v>
      </c>
      <c r="O16" s="100">
        <f>'April 2025'!AC16</f>
        <v>237</v>
      </c>
      <c r="P16" s="100">
        <f>'April 2025'!AD16</f>
        <v>536</v>
      </c>
    </row>
    <row r="17" spans="1:16" ht="14.3" x14ac:dyDescent="0.25">
      <c r="A17" s="95" t="s">
        <v>37</v>
      </c>
      <c r="B17" s="5">
        <f t="shared" si="0"/>
        <v>16</v>
      </c>
      <c r="C17" s="122">
        <v>4</v>
      </c>
      <c r="D17" s="4">
        <v>2025</v>
      </c>
      <c r="E17" s="96">
        <f>IF('April 2025'!C17&lt;0,"0",'April 2025'!C17)+(IF('April 2025'!E17&lt;0,"0",'April 2025'!E17)-(IF('April 2025'!G17&lt;0,"0",'April 2025'!G17)))</f>
        <v>5896</v>
      </c>
      <c r="F17" s="110">
        <f>('April 2025'!C17*0.27)/('April 2025'!C17+'April 2025'!E17)</f>
        <v>0.20126356852103122</v>
      </c>
      <c r="G17" s="97">
        <f>'April 2025'!U17</f>
        <v>160</v>
      </c>
      <c r="H17" s="113">
        <v>0.62</v>
      </c>
      <c r="I17" s="98">
        <f>'April 2025'!W17</f>
        <v>143</v>
      </c>
      <c r="J17" s="99">
        <v>2.42</v>
      </c>
      <c r="K17" s="106">
        <f>'April 2025'!AB17*5.04</f>
        <v>3603.6</v>
      </c>
      <c r="L17" s="116">
        <v>0.11509999999999999</v>
      </c>
      <c r="M17" s="107">
        <f>'April 2025'!M17</f>
        <v>0</v>
      </c>
      <c r="N17" s="119">
        <v>0.88</v>
      </c>
      <c r="O17" s="100">
        <f>'April 2025'!AC17</f>
        <v>227</v>
      </c>
      <c r="P17" s="100">
        <f>'April 2025'!AD17</f>
        <v>523</v>
      </c>
    </row>
    <row r="18" spans="1:16" ht="14.3" x14ac:dyDescent="0.25">
      <c r="A18" s="95" t="s">
        <v>37</v>
      </c>
      <c r="B18" s="5">
        <f t="shared" si="0"/>
        <v>17</v>
      </c>
      <c r="C18" s="122">
        <v>4</v>
      </c>
      <c r="D18" s="4">
        <v>2025</v>
      </c>
      <c r="E18" s="96">
        <f>IF('April 2025'!C18&lt;0,"0",'April 2025'!C18)+(IF('April 2025'!E18&lt;0,"0",'April 2025'!E18)-(IF('April 2025'!G18&lt;0,"0",'April 2025'!G18)))</f>
        <v>5716</v>
      </c>
      <c r="F18" s="110">
        <f>('April 2025'!C18*0.27)/('April 2025'!C18+'April 2025'!E18)</f>
        <v>0.19508397480755776</v>
      </c>
      <c r="G18" s="97">
        <f>'April 2025'!U18</f>
        <v>110</v>
      </c>
      <c r="H18" s="113">
        <v>0.62</v>
      </c>
      <c r="I18" s="98">
        <f>'April 2025'!W18</f>
        <v>149</v>
      </c>
      <c r="J18" s="99">
        <v>2.42</v>
      </c>
      <c r="K18" s="106">
        <f>'April 2025'!AB18*5.04</f>
        <v>3427.2</v>
      </c>
      <c r="L18" s="116">
        <v>0.11509999999999999</v>
      </c>
      <c r="M18" s="107">
        <f>'April 2025'!M18</f>
        <v>0</v>
      </c>
      <c r="N18" s="119">
        <v>0.88</v>
      </c>
      <c r="O18" s="100">
        <f>'April 2025'!AC18</f>
        <v>234</v>
      </c>
      <c r="P18" s="100">
        <f>'April 2025'!AD18</f>
        <v>515</v>
      </c>
    </row>
    <row r="19" spans="1:16" ht="14.3" x14ac:dyDescent="0.25">
      <c r="A19" s="95" t="s">
        <v>37</v>
      </c>
      <c r="B19" s="5">
        <f t="shared" si="0"/>
        <v>18</v>
      </c>
      <c r="C19" s="122">
        <v>4</v>
      </c>
      <c r="D19" s="4">
        <v>2025</v>
      </c>
      <c r="E19" s="96">
        <f>IF('April 2025'!C19&lt;0,"0",'April 2025'!C19)+(IF('April 2025'!E19&lt;0,"0",'April 2025'!E19)-(IF('April 2025'!G19&lt;0,"0",'April 2025'!G19)))</f>
        <v>5803</v>
      </c>
      <c r="F19" s="110">
        <f>('April 2025'!C19*0.27)/('April 2025'!C19+'April 2025'!E19)</f>
        <v>0.19657935550577288</v>
      </c>
      <c r="G19" s="97">
        <f>'April 2025'!U19</f>
        <v>180</v>
      </c>
      <c r="H19" s="113">
        <v>0.62</v>
      </c>
      <c r="I19" s="98">
        <f>'April 2025'!W19</f>
        <v>122</v>
      </c>
      <c r="J19" s="99">
        <v>2.42</v>
      </c>
      <c r="K19" s="106">
        <f>'April 2025'!AB19*5.04</f>
        <v>3704.4</v>
      </c>
      <c r="L19" s="116">
        <v>0.11509999999999999</v>
      </c>
      <c r="M19" s="107">
        <f>'April 2025'!M19</f>
        <v>0</v>
      </c>
      <c r="N19" s="119">
        <v>0.88</v>
      </c>
      <c r="O19" s="100">
        <f>'April 2025'!AC19</f>
        <v>220</v>
      </c>
      <c r="P19" s="100">
        <f>'April 2025'!AD19</f>
        <v>484</v>
      </c>
    </row>
    <row r="20" spans="1:16" ht="14.3" x14ac:dyDescent="0.25">
      <c r="A20" s="95" t="s">
        <v>37</v>
      </c>
      <c r="B20" s="5">
        <f t="shared" si="0"/>
        <v>19</v>
      </c>
      <c r="C20" s="122">
        <v>4</v>
      </c>
      <c r="D20" s="4">
        <v>2025</v>
      </c>
      <c r="E20" s="96">
        <f>IF('April 2025'!C20&lt;0,"0",'April 2025'!C20)+(IF('April 2025'!E20&lt;0,"0",'April 2025'!E20)-(IF('April 2025'!G20&lt;0,"0",'April 2025'!G20)))</f>
        <v>5705</v>
      </c>
      <c r="F20" s="110">
        <f>('April 2025'!C20*0.27)/('April 2025'!C20+'April 2025'!E20)</f>
        <v>0.24079929886064855</v>
      </c>
      <c r="G20" s="97">
        <f>'April 2025'!U20</f>
        <v>35</v>
      </c>
      <c r="H20" s="113">
        <v>0.62</v>
      </c>
      <c r="I20" s="98">
        <f>'April 2025'!W20</f>
        <v>138</v>
      </c>
      <c r="J20" s="99">
        <v>2.42</v>
      </c>
      <c r="K20" s="106">
        <f>'April 2025'!AB20*5.04</f>
        <v>3427.2</v>
      </c>
      <c r="L20" s="116">
        <v>0.11509999999999999</v>
      </c>
      <c r="M20" s="107">
        <f>'April 2025'!M20</f>
        <v>0</v>
      </c>
      <c r="N20" s="119">
        <v>0.88</v>
      </c>
      <c r="O20" s="100">
        <f>'April 2025'!AC20</f>
        <v>226</v>
      </c>
      <c r="P20" s="100">
        <f>'April 2025'!AD20</f>
        <v>482</v>
      </c>
    </row>
    <row r="21" spans="1:16" ht="14.3" x14ac:dyDescent="0.25">
      <c r="A21" s="95" t="s">
        <v>37</v>
      </c>
      <c r="B21" s="5">
        <f t="shared" si="0"/>
        <v>20</v>
      </c>
      <c r="C21" s="122">
        <v>4</v>
      </c>
      <c r="D21" s="4">
        <v>2025</v>
      </c>
      <c r="E21" s="96">
        <f>IF('April 2025'!C21&lt;0,"0",'April 2025'!C21)+(IF('April 2025'!E21&lt;0,"0",'April 2025'!E21)-(IF('April 2025'!G21&lt;0,"0",'April 2025'!G21)))</f>
        <v>5566</v>
      </c>
      <c r="F21" s="110">
        <f>('April 2025'!C21*0.27)/('April 2025'!C21+'April 2025'!E21)</f>
        <v>0.19136722960833635</v>
      </c>
      <c r="G21" s="97">
        <f>'April 2025'!U21</f>
        <v>240</v>
      </c>
      <c r="H21" s="113">
        <v>0.62</v>
      </c>
      <c r="I21" s="98">
        <f>'April 2025'!W21</f>
        <v>125</v>
      </c>
      <c r="J21" s="99">
        <v>2.42</v>
      </c>
      <c r="K21" s="106">
        <f>'April 2025'!AB21*5.04</f>
        <v>3452.4</v>
      </c>
      <c r="L21" s="116">
        <v>0.11509999999999999</v>
      </c>
      <c r="M21" s="107">
        <f>'April 2025'!M21</f>
        <v>0</v>
      </c>
      <c r="N21" s="119">
        <v>0.88</v>
      </c>
      <c r="O21" s="100">
        <f>'April 2025'!AC21</f>
        <v>194</v>
      </c>
      <c r="P21" s="100">
        <f>'April 2025'!AD21</f>
        <v>416</v>
      </c>
    </row>
    <row r="22" spans="1:16" ht="14.3" x14ac:dyDescent="0.25">
      <c r="A22" s="95" t="s">
        <v>37</v>
      </c>
      <c r="B22" s="5">
        <f t="shared" si="0"/>
        <v>21</v>
      </c>
      <c r="C22" s="122">
        <v>4</v>
      </c>
      <c r="D22" s="4">
        <v>2025</v>
      </c>
      <c r="E22" s="96">
        <f>IF('April 2025'!C22&lt;0,"0",'April 2025'!C22)+(IF('April 2025'!E22&lt;0,"0",'April 2025'!E22)-(IF('April 2025'!G22&lt;0,"0",'April 2025'!G22)))</f>
        <v>5546</v>
      </c>
      <c r="F22" s="110">
        <f>('April 2025'!C22*0.27)/('April 2025'!C22+'April 2025'!E22)</f>
        <v>0.24302921024161561</v>
      </c>
      <c r="G22" s="97">
        <f>'April 2025'!U22</f>
        <v>195</v>
      </c>
      <c r="H22" s="113">
        <v>0.62</v>
      </c>
      <c r="I22" s="98">
        <f>'April 2025'!W22</f>
        <v>108</v>
      </c>
      <c r="J22" s="99">
        <v>2.42</v>
      </c>
      <c r="K22" s="106">
        <f>'April 2025'!AB22*5.04</f>
        <v>3452.4</v>
      </c>
      <c r="L22" s="116">
        <v>0.11509999999999999</v>
      </c>
      <c r="M22" s="107">
        <f>'April 2025'!M22</f>
        <v>0</v>
      </c>
      <c r="N22" s="119">
        <v>0.88</v>
      </c>
      <c r="O22" s="100">
        <f>'April 2025'!AC22</f>
        <v>173</v>
      </c>
      <c r="P22" s="100">
        <f>'April 2025'!AD22</f>
        <v>366</v>
      </c>
    </row>
    <row r="23" spans="1:16" ht="14.3" x14ac:dyDescent="0.25">
      <c r="A23" s="95" t="s">
        <v>37</v>
      </c>
      <c r="B23" s="5">
        <f t="shared" si="0"/>
        <v>22</v>
      </c>
      <c r="C23" s="122">
        <v>4</v>
      </c>
      <c r="D23" s="4">
        <v>2025</v>
      </c>
      <c r="E23" s="96">
        <f>IF('April 2025'!C23&lt;0,"0",'April 2025'!C23)+(IF('April 2025'!E23&lt;0,"0",'April 2025'!E23)-(IF('April 2025'!G23&lt;0,"0",'April 2025'!G23)))</f>
        <v>5351</v>
      </c>
      <c r="F23" s="110">
        <f>('April 2025'!C23*0.27)/('April 2025'!C23+'April 2025'!E23)</f>
        <v>0.19098299383292844</v>
      </c>
      <c r="G23" s="97">
        <f>'April 2025'!U23</f>
        <v>100</v>
      </c>
      <c r="H23" s="113">
        <v>0.62</v>
      </c>
      <c r="I23" s="98">
        <f>'April 2025'!W23</f>
        <v>114</v>
      </c>
      <c r="J23" s="99">
        <v>2.42</v>
      </c>
      <c r="K23" s="106">
        <f>'April 2025'!AB23*5.04</f>
        <v>3326.4</v>
      </c>
      <c r="L23" s="116">
        <v>0.11509999999999999</v>
      </c>
      <c r="M23" s="107">
        <f>'April 2025'!M23</f>
        <v>0</v>
      </c>
      <c r="N23" s="119">
        <v>0.88</v>
      </c>
      <c r="O23" s="100">
        <f>'April 2025'!AC23</f>
        <v>168</v>
      </c>
      <c r="P23" s="100">
        <f>'April 2025'!AD23</f>
        <v>352</v>
      </c>
    </row>
    <row r="24" spans="1:16" ht="14.3" x14ac:dyDescent="0.25">
      <c r="A24" s="95" t="s">
        <v>37</v>
      </c>
      <c r="B24" s="5">
        <f t="shared" si="0"/>
        <v>23</v>
      </c>
      <c r="C24" s="122">
        <v>4</v>
      </c>
      <c r="D24" s="4">
        <v>2025</v>
      </c>
      <c r="E24" s="96">
        <f>IF('April 2025'!C24&lt;0,"0",'April 2025'!C24)+(IF('April 2025'!E24&lt;0,"0",'April 2025'!E24)-(IF('April 2025'!G24&lt;0,"0",'April 2025'!G24)))</f>
        <v>5538</v>
      </c>
      <c r="F24" s="110">
        <f>('April 2025'!C24*0.27)/('April 2025'!C24+'April 2025'!E24)</f>
        <v>0.21364030335861323</v>
      </c>
      <c r="G24" s="97">
        <f>'April 2025'!U24</f>
        <v>-6</v>
      </c>
      <c r="H24" s="113">
        <v>0.62</v>
      </c>
      <c r="I24" s="98">
        <f>'April 2025'!W24</f>
        <v>105</v>
      </c>
      <c r="J24" s="99">
        <v>2.42</v>
      </c>
      <c r="K24" s="106">
        <f>'April 2025'!AB24*5.04</f>
        <v>3528</v>
      </c>
      <c r="L24" s="116">
        <v>0.11509999999999999</v>
      </c>
      <c r="M24" s="107">
        <f>'April 2025'!M24</f>
        <v>0</v>
      </c>
      <c r="N24" s="119">
        <v>0.88</v>
      </c>
      <c r="O24" s="100">
        <f>'April 2025'!AC24</f>
        <v>163</v>
      </c>
      <c r="P24" s="100">
        <f>'April 2025'!AD24</f>
        <v>322</v>
      </c>
    </row>
    <row r="25" spans="1:16" ht="14.3" x14ac:dyDescent="0.25">
      <c r="A25" s="95" t="s">
        <v>37</v>
      </c>
      <c r="B25" s="5">
        <f t="shared" si="0"/>
        <v>24</v>
      </c>
      <c r="C25" s="122">
        <v>4</v>
      </c>
      <c r="D25" s="4">
        <v>2025</v>
      </c>
      <c r="E25" s="96">
        <f>IF('April 2025'!C25&lt;0,"0",'April 2025'!C25)+(IF('April 2025'!E25&lt;0,"0",'April 2025'!E25)-(IF('April 2025'!G25&lt;0,"0",'April 2025'!G25)))</f>
        <v>5671</v>
      </c>
      <c r="F25" s="110">
        <f>('April 2025'!C25*0.27)/('April 2025'!C25+'April 2025'!E25)</f>
        <v>0.225674484217951</v>
      </c>
      <c r="G25" s="97">
        <f>'April 2025'!U25</f>
        <v>125</v>
      </c>
      <c r="H25" s="113">
        <v>0.62</v>
      </c>
      <c r="I25" s="98">
        <f>'April 2025'!W25</f>
        <v>110</v>
      </c>
      <c r="J25" s="99">
        <v>2.42</v>
      </c>
      <c r="K25" s="106">
        <f>'April 2025'!AB25*5.04</f>
        <v>3578.4</v>
      </c>
      <c r="L25" s="116">
        <v>0.11509999999999999</v>
      </c>
      <c r="M25" s="107">
        <f>'April 2025'!M25</f>
        <v>0</v>
      </c>
      <c r="N25" s="119">
        <v>0.88</v>
      </c>
      <c r="O25" s="100">
        <f>'April 2025'!AC25</f>
        <v>180</v>
      </c>
      <c r="P25" s="100">
        <f>'April 2025'!AD25</f>
        <v>345</v>
      </c>
    </row>
    <row r="26" spans="1:16" ht="14.3" x14ac:dyDescent="0.25">
      <c r="A26" s="95" t="s">
        <v>37</v>
      </c>
      <c r="B26" s="5">
        <f>B25+1</f>
        <v>25</v>
      </c>
      <c r="C26" s="122">
        <v>4</v>
      </c>
      <c r="D26" s="4">
        <v>2025</v>
      </c>
      <c r="E26" s="96">
        <f>IF('April 2025'!C26&lt;0,"0",'April 2025'!C26)+(IF('April 2025'!E26&lt;0,"0",'April 2025'!E26)-(IF('April 2025'!G26&lt;0,"0",'April 2025'!G26)))</f>
        <v>5451</v>
      </c>
      <c r="F26" s="110">
        <f>('April 2025'!C26*0.27)/('April 2025'!C26+'April 2025'!E26)</f>
        <v>0.19396807925151352</v>
      </c>
      <c r="G26" s="97">
        <f>'April 2025'!U26</f>
        <v>80</v>
      </c>
      <c r="H26" s="113">
        <v>0.62</v>
      </c>
      <c r="I26" s="98">
        <f>'April 2025'!W26</f>
        <v>102</v>
      </c>
      <c r="J26" s="99">
        <v>2.42</v>
      </c>
      <c r="K26" s="106">
        <f>'April 2025'!AB26*5.04</f>
        <v>3301.2</v>
      </c>
      <c r="L26" s="116">
        <v>0.11509999999999999</v>
      </c>
      <c r="M26" s="107">
        <f>'April 2025'!M26</f>
        <v>0</v>
      </c>
      <c r="N26" s="119">
        <v>0.88</v>
      </c>
      <c r="O26" s="100">
        <f>'April 2025'!AC26</f>
        <v>192</v>
      </c>
      <c r="P26" s="100">
        <f>'April 2025'!AD26</f>
        <v>370</v>
      </c>
    </row>
    <row r="27" spans="1:16" ht="14.3" x14ac:dyDescent="0.25">
      <c r="A27" s="95" t="s">
        <v>37</v>
      </c>
      <c r="B27" s="5">
        <f t="shared" si="0"/>
        <v>26</v>
      </c>
      <c r="C27" s="122">
        <v>4</v>
      </c>
      <c r="D27" s="4">
        <v>2025</v>
      </c>
      <c r="E27" s="96">
        <f>IF('April 2025'!C27&lt;0,"0",'April 2025'!C27)+(IF('April 2025'!E27&lt;0,"0",'April 2025'!E27)-(IF('April 2025'!G27&lt;0,"0",'April 2025'!G27)))</f>
        <v>5835</v>
      </c>
      <c r="F27" s="110">
        <f>('April 2025'!C27*0.27)/('April 2025'!C27+'April 2025'!E27)</f>
        <v>0.19744473007712085</v>
      </c>
      <c r="G27" s="97">
        <f>'April 2025'!U27</f>
        <v>120</v>
      </c>
      <c r="H27" s="113">
        <v>0.62</v>
      </c>
      <c r="I27" s="98">
        <f>'April 2025'!W27</f>
        <v>115</v>
      </c>
      <c r="J27" s="99">
        <v>2.42</v>
      </c>
      <c r="K27" s="106">
        <f>'April 2025'!AB27*5.04</f>
        <v>3477.6</v>
      </c>
      <c r="L27" s="116">
        <v>0.11509999999999999</v>
      </c>
      <c r="M27" s="107">
        <f>'April 2025'!M27</f>
        <v>0</v>
      </c>
      <c r="N27" s="119">
        <v>0.88</v>
      </c>
      <c r="O27" s="100">
        <f>'April 2025'!AC27</f>
        <v>176</v>
      </c>
      <c r="P27" s="100">
        <f>'April 2025'!AD27</f>
        <v>332</v>
      </c>
    </row>
    <row r="28" spans="1:16" ht="14.3" x14ac:dyDescent="0.25">
      <c r="A28" s="95" t="s">
        <v>37</v>
      </c>
      <c r="B28" s="5">
        <f t="shared" si="0"/>
        <v>27</v>
      </c>
      <c r="C28" s="122">
        <v>4</v>
      </c>
      <c r="D28" s="4">
        <v>2025</v>
      </c>
      <c r="E28" s="96">
        <f>IF('April 2025'!C28&lt;0,"0",'April 2025'!C28)+(IF('April 2025'!E28&lt;0,"0",'April 2025'!E28)-(IF('April 2025'!G28&lt;0,"0",'April 2025'!G28)))</f>
        <v>6300</v>
      </c>
      <c r="F28" s="110">
        <f>('April 2025'!C28*0.27)/('April 2025'!C28+'April 2025'!E28)</f>
        <v>0.20237142857142859</v>
      </c>
      <c r="G28" s="97">
        <f>'April 2025'!U28</f>
        <v>180</v>
      </c>
      <c r="H28" s="113">
        <v>0.62</v>
      </c>
      <c r="I28" s="98">
        <f>'April 2025'!W28</f>
        <v>104</v>
      </c>
      <c r="J28" s="99">
        <v>2.42</v>
      </c>
      <c r="K28" s="106">
        <f>'April 2025'!AB28*5.04</f>
        <v>3276</v>
      </c>
      <c r="L28" s="116">
        <v>0.11509999999999999</v>
      </c>
      <c r="M28" s="107">
        <f>'April 2025'!M28</f>
        <v>0</v>
      </c>
      <c r="N28" s="119">
        <v>0.88</v>
      </c>
      <c r="O28" s="100">
        <f>'April 2025'!AC28</f>
        <v>167</v>
      </c>
      <c r="P28" s="100">
        <f>'April 2025'!AD28</f>
        <v>319</v>
      </c>
    </row>
    <row r="29" spans="1:16" ht="14.3" x14ac:dyDescent="0.25">
      <c r="A29" s="95" t="s">
        <v>37</v>
      </c>
      <c r="B29" s="5">
        <f t="shared" si="0"/>
        <v>28</v>
      </c>
      <c r="C29" s="122">
        <v>4</v>
      </c>
      <c r="D29" s="4">
        <v>2025</v>
      </c>
      <c r="E29" s="96">
        <f>IF('April 2025'!C29&lt;0,"0",'April 2025'!C29)+(IF('April 2025'!E29&lt;0,"0",'April 2025'!E29)-(IF('April 2025'!G29&lt;0,"0",'April 2025'!G29)))</f>
        <v>0</v>
      </c>
      <c r="F29" s="110" t="e">
        <f>('April 2025'!C29*0.27)/('April 2025'!C29+'April 2025'!E29)</f>
        <v>#DIV/0!</v>
      </c>
      <c r="G29" s="97">
        <f>'April 2025'!U29</f>
        <v>4619</v>
      </c>
      <c r="H29" s="113">
        <v>0.62</v>
      </c>
      <c r="I29" s="98" t="str">
        <f>'April 2025'!W29</f>
        <v>0</v>
      </c>
      <c r="J29" s="99">
        <v>2.42</v>
      </c>
      <c r="K29" s="106">
        <f>'April 2025'!AB29*5.04</f>
        <v>0</v>
      </c>
      <c r="L29" s="116">
        <v>0.11509999999999999</v>
      </c>
      <c r="M29" s="107">
        <f>'April 2025'!M29</f>
        <v>0</v>
      </c>
      <c r="N29" s="119">
        <v>0.88</v>
      </c>
      <c r="O29" s="100">
        <f>'April 2025'!AC29</f>
        <v>178</v>
      </c>
      <c r="P29" s="100">
        <f>'April 2025'!AD29</f>
        <v>342</v>
      </c>
    </row>
    <row r="30" spans="1:16" ht="14.3" x14ac:dyDescent="0.25">
      <c r="A30" s="95" t="s">
        <v>37</v>
      </c>
      <c r="B30" s="5">
        <f t="shared" si="0"/>
        <v>29</v>
      </c>
      <c r="C30" s="122">
        <v>4</v>
      </c>
      <c r="D30" s="4">
        <v>2025</v>
      </c>
      <c r="E30" s="96">
        <f>IF('April 2025'!C30&lt;0,"0",'April 2025'!C30)+(IF('April 2025'!E30&lt;0,"0",'April 2025'!E30)-(IF('April 2025'!G30&lt;0,"0",'April 2025'!G30)))</f>
        <v>0</v>
      </c>
      <c r="F30" s="110" t="e">
        <f>('April 2025'!C30*0.27)/('April 2025'!C30+'April 2025'!E30)</f>
        <v>#DIV/0!</v>
      </c>
      <c r="G30" s="97" t="str">
        <f>'April 2025'!U30</f>
        <v>0</v>
      </c>
      <c r="H30" s="113">
        <v>0.62</v>
      </c>
      <c r="I30" s="98">
        <f>'April 2025'!W30</f>
        <v>0</v>
      </c>
      <c r="J30" s="99">
        <v>2.42</v>
      </c>
      <c r="K30" s="106">
        <f>'April 2025'!AB30*5.04</f>
        <v>0</v>
      </c>
      <c r="L30" s="116">
        <v>0.11509999999999999</v>
      </c>
      <c r="M30" s="107">
        <f>'April 2025'!M30</f>
        <v>0</v>
      </c>
      <c r="N30" s="119">
        <v>0.88</v>
      </c>
      <c r="O30" s="100">
        <f>'April 2025'!AC30</f>
        <v>0</v>
      </c>
      <c r="P30" s="100">
        <f>'April 2025'!AD30</f>
        <v>0</v>
      </c>
    </row>
    <row r="31" spans="1:16" ht="14.3" x14ac:dyDescent="0.25">
      <c r="A31" s="95" t="s">
        <v>37</v>
      </c>
      <c r="B31" s="5">
        <f t="shared" si="0"/>
        <v>30</v>
      </c>
      <c r="C31" s="122">
        <v>4</v>
      </c>
      <c r="D31" s="4">
        <v>2025</v>
      </c>
      <c r="E31" s="96">
        <f>IF('April 2025'!C31&lt;0,"0",'April 2025'!C31)+(IF('April 2025'!E31&lt;0,"0",'April 2025'!E31)-(IF('April 2025'!G31&lt;0,"0",'April 2025'!G31)))</f>
        <v>0</v>
      </c>
      <c r="F31" s="110" t="e">
        <f>('April 2025'!C31*0.27)/('April 2025'!C31+'April 2025'!E31)</f>
        <v>#DIV/0!</v>
      </c>
      <c r="G31" s="97" t="str">
        <f>'April 2025'!U31</f>
        <v>0</v>
      </c>
      <c r="H31" s="113">
        <v>0.62</v>
      </c>
      <c r="I31" s="98">
        <f>'April 2025'!W31</f>
        <v>0</v>
      </c>
      <c r="J31" s="99">
        <v>2.42</v>
      </c>
      <c r="K31" s="106">
        <f>'April 2025'!AB31*5.04</f>
        <v>0</v>
      </c>
      <c r="L31" s="116">
        <v>0.11509999999999999</v>
      </c>
      <c r="M31" s="107">
        <f>'April 2025'!M31</f>
        <v>0</v>
      </c>
      <c r="N31" s="119">
        <v>0.88</v>
      </c>
      <c r="O31" s="100">
        <f>'April 2025'!AC31</f>
        <v>0</v>
      </c>
      <c r="P31" s="100">
        <f>'April 2025'!AD31</f>
        <v>0</v>
      </c>
    </row>
    <row r="32" spans="1:16" ht="14.3" x14ac:dyDescent="0.25">
      <c r="A32" s="95" t="s">
        <v>37</v>
      </c>
      <c r="B32" s="5">
        <v>31</v>
      </c>
      <c r="C32" s="122">
        <v>4</v>
      </c>
      <c r="D32" s="4">
        <v>2025</v>
      </c>
      <c r="E32" s="96">
        <f>IF('April 2025'!C32&lt;0,"0",'April 2025'!C32)+(IF('April 2025'!E32&lt;0,"0",'April 2025'!E32)-(IF('April 2025'!G32&lt;0,"0",'April 2025'!G32)))</f>
        <v>0</v>
      </c>
      <c r="F32" s="110" t="e">
        <f>('April 2025'!C32*0.27)/('April 2025'!C32+'April 2025'!E32)</f>
        <v>#DIV/0!</v>
      </c>
      <c r="G32" s="97">
        <f>'April 2025'!U32</f>
        <v>0</v>
      </c>
      <c r="H32" s="113">
        <v>0.62</v>
      </c>
      <c r="I32" s="98">
        <f>'April 2025'!W32</f>
        <v>0</v>
      </c>
      <c r="J32" s="99">
        <v>2.42</v>
      </c>
      <c r="K32" s="106">
        <f>'April 2025'!AB32*5.04</f>
        <v>0</v>
      </c>
      <c r="L32" s="116">
        <v>0.11509999999999999</v>
      </c>
      <c r="M32" s="107">
        <f>'April 2025'!M32</f>
        <v>0</v>
      </c>
      <c r="N32" s="119">
        <v>0.88</v>
      </c>
      <c r="O32" s="100">
        <f>'April 2025'!AC32</f>
        <v>174</v>
      </c>
      <c r="P32" s="100">
        <f>'April 2025'!AD32</f>
        <v>370</v>
      </c>
    </row>
    <row r="33" spans="4:16" x14ac:dyDescent="0.2">
      <c r="D33" s="101"/>
      <c r="F33" s="110"/>
      <c r="I33" s="99"/>
      <c r="J33" s="99"/>
      <c r="K33" s="106"/>
      <c r="L33" s="116"/>
      <c r="O33" s="102"/>
      <c r="P33" s="102"/>
    </row>
    <row r="34" spans="4:16" x14ac:dyDescent="0.2">
      <c r="D34" s="101"/>
      <c r="F34" s="110"/>
      <c r="I34" s="99"/>
      <c r="J34" s="99"/>
      <c r="K34" s="106"/>
      <c r="L34" s="116"/>
      <c r="O34" s="102"/>
      <c r="P34" s="102"/>
    </row>
    <row r="35" spans="4:16" x14ac:dyDescent="0.2">
      <c r="D35" s="101"/>
      <c r="F35" s="110"/>
      <c r="I35" s="99"/>
      <c r="J35" s="99"/>
      <c r="K35" s="106"/>
      <c r="L35" s="116"/>
      <c r="O35" s="102"/>
      <c r="P35" s="102"/>
    </row>
    <row r="36" spans="4:16" x14ac:dyDescent="0.2">
      <c r="D36" s="101"/>
      <c r="F36" s="110"/>
      <c r="I36" s="99"/>
      <c r="J36" s="99"/>
      <c r="K36" s="106"/>
      <c r="L36" s="116"/>
      <c r="O36" s="102"/>
      <c r="P36" s="102"/>
    </row>
    <row r="37" spans="4:16" x14ac:dyDescent="0.2">
      <c r="D37" s="101"/>
      <c r="F37" s="110"/>
      <c r="I37" s="99"/>
      <c r="J37" s="99"/>
      <c r="K37" s="106"/>
      <c r="L37" s="116"/>
      <c r="O37" s="102"/>
      <c r="P37" s="102"/>
    </row>
    <row r="38" spans="4:16" x14ac:dyDescent="0.2">
      <c r="D38" s="101"/>
      <c r="F38" s="110"/>
      <c r="I38" s="99"/>
      <c r="J38" s="99"/>
      <c r="K38" s="106"/>
      <c r="L38" s="116"/>
      <c r="O38" s="102"/>
      <c r="P38" s="102"/>
    </row>
    <row r="39" spans="4:16" x14ac:dyDescent="0.2">
      <c r="F39" s="110"/>
      <c r="K39" s="106"/>
      <c r="L39" s="116"/>
    </row>
    <row r="40" spans="4:16" x14ac:dyDescent="0.2">
      <c r="F40" s="110"/>
      <c r="K40" s="106"/>
      <c r="L40" s="116"/>
    </row>
    <row r="41" spans="4:16" x14ac:dyDescent="0.2">
      <c r="F41" s="110"/>
      <c r="K41" s="106"/>
      <c r="L41" s="116"/>
    </row>
    <row r="42" spans="4:16" x14ac:dyDescent="0.2">
      <c r="F42" s="110"/>
      <c r="K42" s="106"/>
      <c r="L42" s="116"/>
    </row>
    <row r="43" spans="4:16" x14ac:dyDescent="0.2">
      <c r="K43" s="106"/>
      <c r="L43" s="1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5"/>
  <sheetViews>
    <sheetView tabSelected="1" topLeftCell="C12" zoomScale="85" zoomScaleNormal="85" workbookViewId="0">
      <selection activeCell="AD29" sqref="AD29"/>
    </sheetView>
  </sheetViews>
  <sheetFormatPr defaultColWidth="11.625" defaultRowHeight="12.85" x14ac:dyDescent="0.2"/>
  <cols>
    <col min="1" max="1" width="22.5" customWidth="1"/>
    <col min="2" max="2" width="10.875" customWidth="1"/>
    <col min="3" max="3" width="12.75" style="15" customWidth="1"/>
    <col min="4" max="4" width="10" style="5" customWidth="1"/>
    <col min="5" max="5" width="8.625" style="15" customWidth="1"/>
    <col min="6" max="6" width="10" style="5" customWidth="1"/>
    <col min="7" max="7" width="6.625" style="15" customWidth="1"/>
    <col min="8" max="9" width="9.75" style="5" customWidth="1"/>
    <col min="10" max="10" width="11.75" style="15" customWidth="1"/>
    <col min="11" max="11" width="23" customWidth="1"/>
    <col min="12" max="13" width="6.625" style="4" customWidth="1"/>
    <col min="14" max="14" width="4.375" style="15" customWidth="1"/>
    <col min="15" max="15" width="6.625" customWidth="1"/>
    <col min="16" max="18" width="6.375" customWidth="1"/>
    <col min="19" max="19" width="7.875" customWidth="1"/>
    <col min="20" max="20" width="7.875" style="4" customWidth="1"/>
    <col min="21" max="21" width="7.25" style="15" customWidth="1"/>
    <col min="22" max="22" width="8.375" customWidth="1"/>
    <col min="23" max="23" width="8.875" style="15" customWidth="1"/>
    <col min="24" max="24" width="8.875" customWidth="1"/>
    <col min="25" max="25" width="8.125" style="15" customWidth="1"/>
    <col min="26" max="27" width="7.625" style="7" customWidth="1"/>
    <col min="28" max="28" width="7.125" style="15" customWidth="1"/>
    <col min="29" max="29" width="6.375" customWidth="1"/>
    <col min="30" max="30" width="7" customWidth="1"/>
    <col min="32" max="36" width="15.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66" t="s">
        <v>7</v>
      </c>
      <c r="H1" s="68" t="s">
        <v>18</v>
      </c>
      <c r="I1" s="72" t="s">
        <v>17</v>
      </c>
      <c r="J1" s="48" t="s">
        <v>5</v>
      </c>
      <c r="K1" s="25" t="s">
        <v>1</v>
      </c>
      <c r="L1" s="28" t="s">
        <v>2</v>
      </c>
      <c r="M1" s="74" t="s">
        <v>14</v>
      </c>
      <c r="N1" s="29" t="s">
        <v>5</v>
      </c>
      <c r="O1" s="82" t="s">
        <v>20</v>
      </c>
      <c r="P1" s="82" t="s">
        <v>21</v>
      </c>
      <c r="Q1" s="82" t="s">
        <v>22</v>
      </c>
      <c r="R1" s="82" t="s">
        <v>23</v>
      </c>
      <c r="S1" s="36" t="s">
        <v>19</v>
      </c>
      <c r="T1" s="35" t="s">
        <v>13</v>
      </c>
      <c r="U1" s="29" t="s">
        <v>5</v>
      </c>
      <c r="V1" s="39" t="s">
        <v>4</v>
      </c>
      <c r="W1" s="29" t="s">
        <v>5</v>
      </c>
      <c r="X1" s="42" t="s">
        <v>3</v>
      </c>
      <c r="Y1" s="29" t="s">
        <v>5</v>
      </c>
      <c r="Z1" s="45" t="s">
        <v>15</v>
      </c>
      <c r="AA1" s="51" t="s">
        <v>16</v>
      </c>
      <c r="AB1" s="29" t="s">
        <v>5</v>
      </c>
      <c r="AC1" s="23" t="s">
        <v>0</v>
      </c>
      <c r="AD1" s="24" t="s">
        <v>9</v>
      </c>
    </row>
    <row r="2" spans="1:30" ht="20.7" customHeight="1" x14ac:dyDescent="0.2">
      <c r="A2" s="19">
        <v>45748</v>
      </c>
      <c r="B2" s="8">
        <v>13760460</v>
      </c>
      <c r="C2" s="14">
        <f>IF((B3-B2)&lt;0,"0",B3-B2)</f>
        <v>4899</v>
      </c>
      <c r="D2" s="9">
        <v>696777</v>
      </c>
      <c r="E2" s="14">
        <f>IF((D3-D2)&lt;0,"0",D3-D2)</f>
        <v>368</v>
      </c>
      <c r="F2" s="27">
        <v>1704</v>
      </c>
      <c r="G2" s="67">
        <f>F3-F2</f>
        <v>0</v>
      </c>
      <c r="H2" s="69">
        <f>C2+E2-G2</f>
        <v>5267</v>
      </c>
      <c r="I2" s="73">
        <f>H2-K2-M2-O2-Q2</f>
        <v>-40482.670000000006</v>
      </c>
      <c r="J2" s="32">
        <f t="shared" ref="J2:J29" si="0">I3-I2</f>
        <v>28</v>
      </c>
      <c r="K2" s="19">
        <f>A2</f>
        <v>45748</v>
      </c>
      <c r="L2" s="30">
        <v>6518</v>
      </c>
      <c r="M2" s="31">
        <v>0</v>
      </c>
      <c r="N2" s="32">
        <f>IF((L2-L3+M2)=L2,"0",(L2-L3+M2))</f>
        <v>137</v>
      </c>
      <c r="O2" s="83">
        <v>0.8</v>
      </c>
      <c r="P2" s="84">
        <v>0.8</v>
      </c>
      <c r="Q2" s="83">
        <v>0.87</v>
      </c>
      <c r="R2" s="84">
        <v>0.8</v>
      </c>
      <c r="S2" s="38">
        <f>(2500*O2)+(2500*P2)+(500*Q2)+(500*R2)</f>
        <v>4835</v>
      </c>
      <c r="T2" s="123"/>
      <c r="U2" s="32">
        <f>IF((S2-S3+T2)=S2,"0",(S2-S3+T2))</f>
        <v>50</v>
      </c>
      <c r="V2" s="40">
        <v>8717</v>
      </c>
      <c r="W2" s="32">
        <f>IF(V3-V2&lt;0,"0",V3-V2)</f>
        <v>299</v>
      </c>
      <c r="X2" s="43">
        <v>61265</v>
      </c>
      <c r="Y2" s="14">
        <f>IF((X3-X2)&lt;0,"0",X3-X2)</f>
        <v>0</v>
      </c>
      <c r="Z2" s="46">
        <v>6540</v>
      </c>
      <c r="AA2" s="52"/>
      <c r="AB2" s="32">
        <f>IF((Z2-Z3+AA2)=Z2,"0",(Z2-Z3+AA2))</f>
        <v>945</v>
      </c>
      <c r="AC2" s="12">
        <v>159</v>
      </c>
      <c r="AD2" s="17">
        <v>308</v>
      </c>
    </row>
    <row r="3" spans="1:30" ht="20.7" customHeight="1" x14ac:dyDescent="0.2">
      <c r="A3" s="19">
        <v>45749</v>
      </c>
      <c r="B3" s="10">
        <v>13765359</v>
      </c>
      <c r="C3" s="14">
        <f t="shared" ref="C3:C31" si="1">IF((B4-B3)&lt;0,"0",B4-B3)</f>
        <v>3990</v>
      </c>
      <c r="D3" s="11">
        <v>697145</v>
      </c>
      <c r="E3" s="14">
        <f t="shared" ref="E3:E31" si="2">IF((D4-D3)&lt;0,"0",D4-D3)</f>
        <v>1306</v>
      </c>
      <c r="F3" s="27">
        <v>1704</v>
      </c>
      <c r="G3" s="67">
        <f t="shared" ref="G3:G31" si="3">F4-F3</f>
        <v>0</v>
      </c>
      <c r="H3" s="69">
        <f t="shared" ref="H3:H30" si="4">C3+E3-G3</f>
        <v>5296</v>
      </c>
      <c r="I3" s="73">
        <f t="shared" ref="I3:I30" si="5">H3-K3-M3-O3-Q3</f>
        <v>-40454.670000000006</v>
      </c>
      <c r="J3" s="32">
        <f t="shared" si="0"/>
        <v>59.070000000006985</v>
      </c>
      <c r="K3" s="20">
        <f t="shared" ref="K3:K32" si="6">A3</f>
        <v>45749</v>
      </c>
      <c r="L3" s="33">
        <v>6381</v>
      </c>
      <c r="M3" s="31">
        <v>0</v>
      </c>
      <c r="N3" s="32">
        <f t="shared" ref="N3:N32" si="7">IF((L3-L4+M3)=L3,"0",(L3-L4+M3))</f>
        <v>19</v>
      </c>
      <c r="O3" s="85">
        <v>0.8</v>
      </c>
      <c r="P3" s="86">
        <v>0.78</v>
      </c>
      <c r="Q3" s="85">
        <v>0.87</v>
      </c>
      <c r="R3" s="86">
        <v>0.8</v>
      </c>
      <c r="S3" s="38">
        <f t="shared" ref="S3:S32" si="8">(2500*O3)+(2500*P3)+(500*Q3)+(500*R3)</f>
        <v>4785</v>
      </c>
      <c r="T3" s="123"/>
      <c r="U3" s="32">
        <f t="shared" ref="U3:U31" si="9">IF((S3-S4+T3)=S3,"0",(S3-S4+T3))</f>
        <v>135</v>
      </c>
      <c r="V3" s="41">
        <v>9016</v>
      </c>
      <c r="W3" s="32">
        <f t="shared" ref="W3:W31" si="10">IF(V4-V3&lt;0,"0",V4-V3)</f>
        <v>92</v>
      </c>
      <c r="X3" s="43">
        <v>61265</v>
      </c>
      <c r="Y3" s="14">
        <f t="shared" ref="Y3:Y31" si="11">IF((X4-X3)&lt;0,"0",X4-X3)</f>
        <v>0</v>
      </c>
      <c r="Z3" s="46">
        <v>5595</v>
      </c>
      <c r="AA3" s="52"/>
      <c r="AB3" s="32">
        <f t="shared" ref="AB3:AB31" si="12">IF((Z3-Z4+AA3)=Z3,"0",(Z3-Z4+AA3))</f>
        <v>1110</v>
      </c>
      <c r="AC3" s="13">
        <v>163</v>
      </c>
      <c r="AD3" s="18">
        <v>311</v>
      </c>
    </row>
    <row r="4" spans="1:30" ht="20.7" customHeight="1" x14ac:dyDescent="0.2">
      <c r="A4" s="19">
        <v>45750</v>
      </c>
      <c r="B4" s="10">
        <v>13769349</v>
      </c>
      <c r="C4" s="14">
        <f t="shared" si="1"/>
        <v>4054</v>
      </c>
      <c r="D4" s="11">
        <v>698451</v>
      </c>
      <c r="E4" s="14">
        <f t="shared" si="2"/>
        <v>1302</v>
      </c>
      <c r="F4" s="27">
        <v>1704</v>
      </c>
      <c r="G4" s="67">
        <f t="shared" si="3"/>
        <v>0</v>
      </c>
      <c r="H4" s="69">
        <f t="shared" si="4"/>
        <v>5356</v>
      </c>
      <c r="I4" s="73">
        <f t="shared" si="5"/>
        <v>-40395.599999999999</v>
      </c>
      <c r="J4" s="32">
        <f t="shared" si="0"/>
        <v>-8.9500000000043656</v>
      </c>
      <c r="K4" s="20">
        <f t="shared" si="6"/>
        <v>45750</v>
      </c>
      <c r="L4" s="33">
        <v>6362</v>
      </c>
      <c r="M4" s="31">
        <v>0</v>
      </c>
      <c r="N4" s="32">
        <f t="shared" si="7"/>
        <v>0</v>
      </c>
      <c r="O4" s="85">
        <v>0.77</v>
      </c>
      <c r="P4" s="86">
        <v>0.77</v>
      </c>
      <c r="Q4" s="85">
        <v>0.83</v>
      </c>
      <c r="R4" s="86">
        <v>0.77</v>
      </c>
      <c r="S4" s="38">
        <f t="shared" si="8"/>
        <v>4650</v>
      </c>
      <c r="T4" s="123"/>
      <c r="U4" s="32">
        <f t="shared" si="9"/>
        <v>125</v>
      </c>
      <c r="V4" s="41">
        <v>9108</v>
      </c>
      <c r="W4" s="32">
        <f t="shared" si="10"/>
        <v>123</v>
      </c>
      <c r="X4" s="43">
        <v>61265</v>
      </c>
      <c r="Y4" s="14">
        <f t="shared" si="11"/>
        <v>0</v>
      </c>
      <c r="Z4" s="46">
        <v>4485</v>
      </c>
      <c r="AA4" s="52"/>
      <c r="AB4" s="32">
        <f t="shared" si="12"/>
        <v>1165</v>
      </c>
      <c r="AC4" s="13">
        <v>188</v>
      </c>
      <c r="AD4" s="18">
        <v>359</v>
      </c>
    </row>
    <row r="5" spans="1:30" ht="20.7" customHeight="1" x14ac:dyDescent="0.2">
      <c r="A5" s="19">
        <v>45751</v>
      </c>
      <c r="B5" s="10">
        <v>13773403</v>
      </c>
      <c r="C5" s="14">
        <f t="shared" si="1"/>
        <v>4326</v>
      </c>
      <c r="D5" s="11">
        <v>699753</v>
      </c>
      <c r="E5" s="14">
        <f t="shared" si="2"/>
        <v>1022</v>
      </c>
      <c r="F5" s="27">
        <v>1704</v>
      </c>
      <c r="G5" s="67">
        <f t="shared" si="3"/>
        <v>0</v>
      </c>
      <c r="H5" s="69">
        <f t="shared" si="4"/>
        <v>5348</v>
      </c>
      <c r="I5" s="73">
        <f t="shared" si="5"/>
        <v>-40404.550000000003</v>
      </c>
      <c r="J5" s="32">
        <f t="shared" si="0"/>
        <v>337.06000000000495</v>
      </c>
      <c r="K5" s="20">
        <f t="shared" si="6"/>
        <v>45751</v>
      </c>
      <c r="L5" s="33">
        <v>6362</v>
      </c>
      <c r="M5" s="31">
        <v>0</v>
      </c>
      <c r="N5" s="32">
        <f t="shared" si="7"/>
        <v>0</v>
      </c>
      <c r="O5" s="85">
        <v>0.75</v>
      </c>
      <c r="P5" s="86">
        <v>0.75</v>
      </c>
      <c r="Q5" s="85">
        <v>0.8</v>
      </c>
      <c r="R5" s="86">
        <v>0.75</v>
      </c>
      <c r="S5" s="38">
        <f t="shared" si="8"/>
        <v>4525</v>
      </c>
      <c r="T5" s="123"/>
      <c r="U5" s="32">
        <f t="shared" si="9"/>
        <v>195</v>
      </c>
      <c r="V5" s="41">
        <v>9231</v>
      </c>
      <c r="W5" s="32">
        <f t="shared" si="10"/>
        <v>128</v>
      </c>
      <c r="X5" s="43">
        <v>61265</v>
      </c>
      <c r="Y5" s="14">
        <f t="shared" si="11"/>
        <v>0</v>
      </c>
      <c r="Z5" s="46">
        <v>3320</v>
      </c>
      <c r="AA5" s="52"/>
      <c r="AB5" s="32">
        <f t="shared" si="12"/>
        <v>1200</v>
      </c>
      <c r="AC5" s="13">
        <v>208</v>
      </c>
      <c r="AD5" s="18">
        <v>404</v>
      </c>
    </row>
    <row r="6" spans="1:30" ht="20.7" customHeight="1" x14ac:dyDescent="0.2">
      <c r="A6" s="19">
        <v>45752</v>
      </c>
      <c r="B6" s="10">
        <v>13777729</v>
      </c>
      <c r="C6" s="14">
        <f t="shared" si="1"/>
        <v>4427</v>
      </c>
      <c r="D6" s="11">
        <v>700775</v>
      </c>
      <c r="E6" s="14">
        <f t="shared" si="2"/>
        <v>1259</v>
      </c>
      <c r="F6" s="27">
        <v>1704</v>
      </c>
      <c r="G6" s="67">
        <f t="shared" si="3"/>
        <v>0</v>
      </c>
      <c r="H6" s="69">
        <f t="shared" si="4"/>
        <v>5686</v>
      </c>
      <c r="I6" s="73">
        <f t="shared" si="5"/>
        <v>-40067.49</v>
      </c>
      <c r="J6" s="32">
        <f t="shared" si="0"/>
        <v>-464.88000000000466</v>
      </c>
      <c r="K6" s="20">
        <f t="shared" si="6"/>
        <v>45752</v>
      </c>
      <c r="L6" s="33">
        <v>6362</v>
      </c>
      <c r="M6" s="31">
        <v>0</v>
      </c>
      <c r="N6" s="32">
        <f t="shared" si="7"/>
        <v>0</v>
      </c>
      <c r="O6" s="85">
        <v>0.71</v>
      </c>
      <c r="P6" s="86">
        <v>0.72</v>
      </c>
      <c r="Q6" s="85">
        <v>0.78</v>
      </c>
      <c r="R6" s="86">
        <v>0.73</v>
      </c>
      <c r="S6" s="38">
        <f t="shared" si="8"/>
        <v>4330</v>
      </c>
      <c r="T6" s="123"/>
      <c r="U6" s="32">
        <f t="shared" si="9"/>
        <v>165</v>
      </c>
      <c r="V6" s="41">
        <v>9359</v>
      </c>
      <c r="W6" s="32">
        <f t="shared" si="10"/>
        <v>120</v>
      </c>
      <c r="X6" s="43">
        <v>61265</v>
      </c>
      <c r="Y6" s="14">
        <f t="shared" si="11"/>
        <v>0</v>
      </c>
      <c r="Z6" s="46">
        <v>2120</v>
      </c>
      <c r="AA6" s="52"/>
      <c r="AB6" s="32">
        <f t="shared" si="12"/>
        <v>1225</v>
      </c>
      <c r="AC6" s="13">
        <v>228</v>
      </c>
      <c r="AD6" s="18">
        <v>446</v>
      </c>
    </row>
    <row r="7" spans="1:30" ht="20.7" customHeight="1" x14ac:dyDescent="0.2">
      <c r="A7" s="19">
        <v>45753</v>
      </c>
      <c r="B7" s="10">
        <v>13782156</v>
      </c>
      <c r="C7" s="14">
        <f t="shared" si="1"/>
        <v>4474</v>
      </c>
      <c r="D7" s="11">
        <v>702034</v>
      </c>
      <c r="E7" s="14">
        <f t="shared" si="2"/>
        <v>748</v>
      </c>
      <c r="F7" s="27">
        <v>1704</v>
      </c>
      <c r="G7" s="67">
        <f t="shared" si="3"/>
        <v>0</v>
      </c>
      <c r="H7" s="69">
        <f t="shared" si="4"/>
        <v>5222</v>
      </c>
      <c r="I7" s="73">
        <f t="shared" si="5"/>
        <v>-40532.370000000003</v>
      </c>
      <c r="J7" s="32">
        <f t="shared" si="0"/>
        <v>96.120000000002619</v>
      </c>
      <c r="K7" s="20">
        <f t="shared" si="6"/>
        <v>45753</v>
      </c>
      <c r="L7" s="33">
        <v>6362</v>
      </c>
      <c r="M7" s="31">
        <v>0</v>
      </c>
      <c r="N7" s="32">
        <f t="shared" si="7"/>
        <v>0</v>
      </c>
      <c r="O7" s="85">
        <v>0.69</v>
      </c>
      <c r="P7" s="86">
        <v>0.71</v>
      </c>
      <c r="Q7" s="85">
        <v>0.68</v>
      </c>
      <c r="R7" s="86">
        <v>0.65</v>
      </c>
      <c r="S7" s="38">
        <f t="shared" si="8"/>
        <v>4165</v>
      </c>
      <c r="T7" s="123"/>
      <c r="U7" s="32">
        <f t="shared" si="9"/>
        <v>215</v>
      </c>
      <c r="V7" s="41">
        <v>9479</v>
      </c>
      <c r="W7" s="32">
        <f t="shared" si="10"/>
        <v>116</v>
      </c>
      <c r="X7" s="43">
        <v>61265</v>
      </c>
      <c r="Y7" s="14">
        <f t="shared" si="11"/>
        <v>0</v>
      </c>
      <c r="Z7" s="46">
        <v>895</v>
      </c>
      <c r="AA7" s="52">
        <v>7990</v>
      </c>
      <c r="AB7" s="32">
        <f t="shared" si="12"/>
        <v>1050</v>
      </c>
      <c r="AC7" s="13">
        <v>197</v>
      </c>
      <c r="AD7" s="18">
        <v>390</v>
      </c>
    </row>
    <row r="8" spans="1:30" ht="20.7" customHeight="1" x14ac:dyDescent="0.2">
      <c r="A8" s="19">
        <v>45754</v>
      </c>
      <c r="B8" s="10">
        <v>13786630</v>
      </c>
      <c r="C8" s="14">
        <f t="shared" si="1"/>
        <v>4307</v>
      </c>
      <c r="D8" s="11">
        <v>702782</v>
      </c>
      <c r="E8" s="14">
        <f t="shared" si="2"/>
        <v>1012</v>
      </c>
      <c r="F8" s="27">
        <v>1704</v>
      </c>
      <c r="G8" s="67">
        <f t="shared" si="3"/>
        <v>0</v>
      </c>
      <c r="H8" s="69">
        <f t="shared" si="4"/>
        <v>5319</v>
      </c>
      <c r="I8" s="73">
        <f t="shared" si="5"/>
        <v>-40436.25</v>
      </c>
      <c r="J8" s="32">
        <f t="shared" si="0"/>
        <v>15.630000000004657</v>
      </c>
      <c r="K8" s="20">
        <f t="shared" si="6"/>
        <v>45754</v>
      </c>
      <c r="L8" s="33">
        <v>6362</v>
      </c>
      <c r="M8" s="31">
        <v>0</v>
      </c>
      <c r="N8" s="32">
        <f t="shared" si="7"/>
        <v>0</v>
      </c>
      <c r="O8" s="85">
        <v>0.65</v>
      </c>
      <c r="P8" s="86">
        <v>0.69</v>
      </c>
      <c r="Q8" s="85">
        <v>0.6</v>
      </c>
      <c r="R8" s="86">
        <v>0.6</v>
      </c>
      <c r="S8" s="38">
        <f t="shared" si="8"/>
        <v>3950</v>
      </c>
      <c r="T8" s="123">
        <v>1033</v>
      </c>
      <c r="U8" s="32">
        <f t="shared" si="9"/>
        <v>203</v>
      </c>
      <c r="V8" s="41">
        <v>9595</v>
      </c>
      <c r="W8" s="32">
        <f t="shared" si="10"/>
        <v>121</v>
      </c>
      <c r="X8" s="43">
        <v>61265</v>
      </c>
      <c r="Y8" s="14">
        <f t="shared" si="11"/>
        <v>0</v>
      </c>
      <c r="Z8" s="46">
        <v>7835</v>
      </c>
      <c r="AA8" s="52"/>
      <c r="AB8" s="32">
        <f t="shared" si="12"/>
        <v>1135</v>
      </c>
      <c r="AC8" s="13">
        <v>188</v>
      </c>
      <c r="AD8" s="18">
        <v>379</v>
      </c>
    </row>
    <row r="9" spans="1:30" ht="20.7" customHeight="1" x14ac:dyDescent="0.2">
      <c r="A9" s="19">
        <v>45755</v>
      </c>
      <c r="B9" s="10">
        <v>13790937</v>
      </c>
      <c r="C9" s="14">
        <f t="shared" si="1"/>
        <v>4588</v>
      </c>
      <c r="D9" s="11">
        <v>703794</v>
      </c>
      <c r="E9" s="14">
        <f t="shared" si="2"/>
        <v>748</v>
      </c>
      <c r="F9" s="27">
        <v>1704</v>
      </c>
      <c r="G9" s="67">
        <f t="shared" si="3"/>
        <v>0</v>
      </c>
      <c r="H9" s="69">
        <f t="shared" si="4"/>
        <v>5336</v>
      </c>
      <c r="I9" s="73">
        <f t="shared" si="5"/>
        <v>-40420.619999999995</v>
      </c>
      <c r="J9" s="32">
        <f t="shared" si="0"/>
        <v>-43.950000000004366</v>
      </c>
      <c r="K9" s="20">
        <f t="shared" si="6"/>
        <v>45755</v>
      </c>
      <c r="L9" s="33">
        <v>6362</v>
      </c>
      <c r="M9" s="31">
        <v>0</v>
      </c>
      <c r="N9" s="32">
        <f t="shared" si="7"/>
        <v>92</v>
      </c>
      <c r="O9" s="85">
        <v>0.81</v>
      </c>
      <c r="P9" s="86">
        <v>0.78</v>
      </c>
      <c r="Q9" s="85">
        <v>0.81</v>
      </c>
      <c r="R9" s="86">
        <v>0.8</v>
      </c>
      <c r="S9" s="38">
        <f t="shared" si="8"/>
        <v>4780</v>
      </c>
      <c r="T9" s="123"/>
      <c r="U9" s="32">
        <f t="shared" si="9"/>
        <v>135</v>
      </c>
      <c r="V9" s="41">
        <v>9716</v>
      </c>
      <c r="W9" s="32">
        <f t="shared" si="10"/>
        <v>108</v>
      </c>
      <c r="X9" s="43">
        <v>61265</v>
      </c>
      <c r="Y9" s="14">
        <f t="shared" si="11"/>
        <v>0</v>
      </c>
      <c r="Z9" s="47">
        <v>6700</v>
      </c>
      <c r="AA9" s="52"/>
      <c r="AB9" s="32">
        <f t="shared" si="12"/>
        <v>720</v>
      </c>
      <c r="AC9" s="13">
        <v>198</v>
      </c>
      <c r="AD9" s="18">
        <v>388</v>
      </c>
    </row>
    <row r="10" spans="1:30" ht="20.7" customHeight="1" x14ac:dyDescent="0.2">
      <c r="A10" s="19">
        <v>45756</v>
      </c>
      <c r="B10" s="10">
        <v>13795525</v>
      </c>
      <c r="C10" s="14">
        <f t="shared" si="1"/>
        <v>3808</v>
      </c>
      <c r="D10" s="11">
        <v>704542</v>
      </c>
      <c r="E10" s="14">
        <f t="shared" si="2"/>
        <v>1485</v>
      </c>
      <c r="F10" s="27">
        <v>1704</v>
      </c>
      <c r="G10" s="67">
        <f t="shared" si="3"/>
        <v>0</v>
      </c>
      <c r="H10" s="69">
        <f t="shared" si="4"/>
        <v>5293</v>
      </c>
      <c r="I10" s="73">
        <f t="shared" si="5"/>
        <v>-40464.57</v>
      </c>
      <c r="J10" s="32">
        <f t="shared" si="0"/>
        <v>597.11000000000058</v>
      </c>
      <c r="K10" s="20">
        <f t="shared" si="6"/>
        <v>45756</v>
      </c>
      <c r="L10" s="33">
        <v>6270</v>
      </c>
      <c r="M10" s="31">
        <v>0</v>
      </c>
      <c r="N10" s="32">
        <f t="shared" si="7"/>
        <v>215</v>
      </c>
      <c r="O10" s="85">
        <v>0.78</v>
      </c>
      <c r="P10" s="86">
        <v>0.77</v>
      </c>
      <c r="Q10" s="85">
        <v>0.79</v>
      </c>
      <c r="R10" s="86">
        <v>0.75</v>
      </c>
      <c r="S10" s="38">
        <f t="shared" si="8"/>
        <v>4645</v>
      </c>
      <c r="T10" s="123"/>
      <c r="U10" s="32">
        <f t="shared" si="9"/>
        <v>165</v>
      </c>
      <c r="V10" s="41">
        <v>9824</v>
      </c>
      <c r="W10" s="32">
        <f t="shared" si="10"/>
        <v>130</v>
      </c>
      <c r="X10" s="43">
        <v>61265</v>
      </c>
      <c r="Y10" s="14">
        <f t="shared" si="11"/>
        <v>0</v>
      </c>
      <c r="Z10" s="47">
        <v>5980</v>
      </c>
      <c r="AA10" s="52"/>
      <c r="AB10" s="32">
        <f t="shared" si="12"/>
        <v>550</v>
      </c>
      <c r="AC10" s="13">
        <v>226</v>
      </c>
      <c r="AD10" s="18">
        <v>443</v>
      </c>
    </row>
    <row r="11" spans="1:30" ht="20.7" customHeight="1" x14ac:dyDescent="0.2">
      <c r="A11" s="19">
        <v>45757</v>
      </c>
      <c r="B11" s="10">
        <v>13799333</v>
      </c>
      <c r="C11" s="14">
        <f t="shared" si="1"/>
        <v>4460</v>
      </c>
      <c r="D11" s="11">
        <v>706027</v>
      </c>
      <c r="E11" s="14">
        <f t="shared" si="2"/>
        <v>1431</v>
      </c>
      <c r="F11" s="27">
        <v>1704</v>
      </c>
      <c r="G11" s="67">
        <f t="shared" si="3"/>
        <v>0</v>
      </c>
      <c r="H11" s="69">
        <f t="shared" si="4"/>
        <v>5891</v>
      </c>
      <c r="I11" s="73">
        <f t="shared" si="5"/>
        <v>-39867.46</v>
      </c>
      <c r="J11" s="32">
        <f t="shared" si="0"/>
        <v>-12.870000000002619</v>
      </c>
      <c r="K11" s="20">
        <f t="shared" si="6"/>
        <v>45757</v>
      </c>
      <c r="L11" s="33">
        <v>6055</v>
      </c>
      <c r="M11" s="31">
        <v>0</v>
      </c>
      <c r="N11" s="32">
        <f t="shared" si="7"/>
        <v>206</v>
      </c>
      <c r="O11" s="85">
        <v>0.75</v>
      </c>
      <c r="P11" s="86">
        <v>0.76</v>
      </c>
      <c r="Q11" s="85">
        <v>0.71</v>
      </c>
      <c r="R11" s="86">
        <v>0.7</v>
      </c>
      <c r="S11" s="38">
        <f t="shared" si="8"/>
        <v>4480</v>
      </c>
      <c r="T11" s="123"/>
      <c r="U11" s="32">
        <f t="shared" si="9"/>
        <v>185</v>
      </c>
      <c r="V11" s="41">
        <v>9954</v>
      </c>
      <c r="W11" s="32">
        <f t="shared" si="10"/>
        <v>129</v>
      </c>
      <c r="X11" s="43">
        <v>61265</v>
      </c>
      <c r="Y11" s="14">
        <f t="shared" si="11"/>
        <v>0</v>
      </c>
      <c r="Z11" s="47">
        <v>5430</v>
      </c>
      <c r="AA11" s="52"/>
      <c r="AB11" s="32">
        <f t="shared" si="12"/>
        <v>625</v>
      </c>
      <c r="AC11" s="13">
        <v>220</v>
      </c>
      <c r="AD11" s="18">
        <v>486</v>
      </c>
    </row>
    <row r="12" spans="1:30" ht="20.7" customHeight="1" x14ac:dyDescent="0.2">
      <c r="A12" s="19">
        <v>45758</v>
      </c>
      <c r="B12" s="10">
        <v>13803793</v>
      </c>
      <c r="C12" s="14">
        <f t="shared" si="1"/>
        <v>4766</v>
      </c>
      <c r="D12" s="11">
        <v>707458</v>
      </c>
      <c r="E12" s="14">
        <f t="shared" si="2"/>
        <v>1113</v>
      </c>
      <c r="F12" s="27">
        <v>1704</v>
      </c>
      <c r="G12" s="67">
        <f t="shared" si="3"/>
        <v>0</v>
      </c>
      <c r="H12" s="69">
        <f t="shared" si="4"/>
        <v>5879</v>
      </c>
      <c r="I12" s="73">
        <f t="shared" si="5"/>
        <v>-39880.33</v>
      </c>
      <c r="J12" s="32">
        <f t="shared" si="0"/>
        <v>150.07000000000698</v>
      </c>
      <c r="K12" s="20">
        <f t="shared" si="6"/>
        <v>45758</v>
      </c>
      <c r="L12" s="33">
        <v>5849</v>
      </c>
      <c r="M12" s="34">
        <v>0</v>
      </c>
      <c r="N12" s="32">
        <f t="shared" si="7"/>
        <v>181</v>
      </c>
      <c r="O12" s="85">
        <v>0.72</v>
      </c>
      <c r="P12" s="86">
        <v>0.74</v>
      </c>
      <c r="Q12" s="85">
        <v>0.61</v>
      </c>
      <c r="R12" s="86">
        <v>0.68</v>
      </c>
      <c r="S12" s="38">
        <f t="shared" si="8"/>
        <v>4295</v>
      </c>
      <c r="T12" s="123"/>
      <c r="U12" s="32">
        <f t="shared" si="9"/>
        <v>240</v>
      </c>
      <c r="V12" s="41">
        <v>10083</v>
      </c>
      <c r="W12" s="32">
        <f t="shared" si="10"/>
        <v>128</v>
      </c>
      <c r="X12" s="43">
        <v>61265</v>
      </c>
      <c r="Y12" s="14">
        <f t="shared" si="11"/>
        <v>0</v>
      </c>
      <c r="Z12" s="47">
        <v>4805</v>
      </c>
      <c r="AA12" s="52"/>
      <c r="AB12" s="32">
        <f t="shared" si="12"/>
        <v>700</v>
      </c>
      <c r="AC12" s="13">
        <v>227</v>
      </c>
      <c r="AD12" s="18">
        <v>525</v>
      </c>
    </row>
    <row r="13" spans="1:30" ht="20.7" customHeight="1" x14ac:dyDescent="0.2">
      <c r="A13" s="19">
        <v>45759</v>
      </c>
      <c r="B13" s="10">
        <v>13808559</v>
      </c>
      <c r="C13" s="14">
        <f t="shared" si="1"/>
        <v>5098</v>
      </c>
      <c r="D13" s="11">
        <v>708571</v>
      </c>
      <c r="E13" s="14">
        <f t="shared" si="2"/>
        <v>932</v>
      </c>
      <c r="F13" s="27">
        <v>1704</v>
      </c>
      <c r="G13" s="67">
        <f t="shared" si="3"/>
        <v>0</v>
      </c>
      <c r="H13" s="69">
        <f t="shared" si="4"/>
        <v>6030</v>
      </c>
      <c r="I13" s="73">
        <f t="shared" si="5"/>
        <v>-39730.259999999995</v>
      </c>
      <c r="J13" s="32">
        <f t="shared" si="0"/>
        <v>-15.940000000009604</v>
      </c>
      <c r="K13" s="20">
        <f t="shared" si="6"/>
        <v>45759</v>
      </c>
      <c r="L13" s="33">
        <v>5668</v>
      </c>
      <c r="M13" s="34">
        <v>0</v>
      </c>
      <c r="N13" s="32">
        <f t="shared" si="7"/>
        <v>213</v>
      </c>
      <c r="O13" s="85">
        <v>0.67</v>
      </c>
      <c r="P13" s="86">
        <v>0.71</v>
      </c>
      <c r="Q13" s="85">
        <v>0.59</v>
      </c>
      <c r="R13" s="86">
        <v>0.62</v>
      </c>
      <c r="S13" s="38">
        <f t="shared" si="8"/>
        <v>4055</v>
      </c>
      <c r="T13" s="123"/>
      <c r="U13" s="32">
        <f t="shared" si="9"/>
        <v>150</v>
      </c>
      <c r="V13" s="41">
        <v>10211</v>
      </c>
      <c r="W13" s="32">
        <f t="shared" si="10"/>
        <v>122</v>
      </c>
      <c r="X13" s="43">
        <v>61265</v>
      </c>
      <c r="Y13" s="14">
        <f t="shared" si="11"/>
        <v>0</v>
      </c>
      <c r="Z13" s="47">
        <v>4105</v>
      </c>
      <c r="AA13" s="52"/>
      <c r="AB13" s="32">
        <f t="shared" si="12"/>
        <v>680</v>
      </c>
      <c r="AC13" s="13">
        <v>217</v>
      </c>
      <c r="AD13" s="18">
        <v>489</v>
      </c>
    </row>
    <row r="14" spans="1:30" ht="20.7" customHeight="1" x14ac:dyDescent="0.2">
      <c r="A14" s="19">
        <v>45760</v>
      </c>
      <c r="B14" s="10">
        <v>13813657</v>
      </c>
      <c r="C14" s="14">
        <f t="shared" si="1"/>
        <v>5261</v>
      </c>
      <c r="D14" s="11">
        <v>709503</v>
      </c>
      <c r="E14" s="14">
        <f t="shared" si="2"/>
        <v>754</v>
      </c>
      <c r="F14" s="27">
        <v>1704</v>
      </c>
      <c r="G14" s="67">
        <f t="shared" si="3"/>
        <v>0</v>
      </c>
      <c r="H14" s="69">
        <f t="shared" si="4"/>
        <v>6015</v>
      </c>
      <c r="I14" s="73">
        <f t="shared" si="5"/>
        <v>-39746.200000000004</v>
      </c>
      <c r="J14" s="32">
        <f t="shared" si="0"/>
        <v>-252.96999999999389</v>
      </c>
      <c r="K14" s="20">
        <f t="shared" si="6"/>
        <v>45760</v>
      </c>
      <c r="L14" s="33">
        <v>5455</v>
      </c>
      <c r="M14" s="34">
        <v>0</v>
      </c>
      <c r="N14" s="32">
        <f t="shared" si="7"/>
        <v>230</v>
      </c>
      <c r="O14" s="85">
        <v>0.65</v>
      </c>
      <c r="P14" s="86">
        <v>0.69</v>
      </c>
      <c r="Q14" s="85">
        <v>0.55000000000000004</v>
      </c>
      <c r="R14" s="86">
        <v>0.56000000000000005</v>
      </c>
      <c r="S14" s="38">
        <f t="shared" si="8"/>
        <v>3905</v>
      </c>
      <c r="T14" s="123"/>
      <c r="U14" s="32">
        <f t="shared" si="9"/>
        <v>135</v>
      </c>
      <c r="V14" s="41">
        <v>10333</v>
      </c>
      <c r="W14" s="32">
        <f t="shared" si="10"/>
        <v>123</v>
      </c>
      <c r="X14" s="43">
        <v>61265</v>
      </c>
      <c r="Y14" s="14">
        <f t="shared" si="11"/>
        <v>0</v>
      </c>
      <c r="Z14" s="47">
        <v>3425</v>
      </c>
      <c r="AA14" s="52"/>
      <c r="AB14" s="32">
        <f t="shared" si="12"/>
        <v>550</v>
      </c>
      <c r="AC14" s="13">
        <v>216</v>
      </c>
      <c r="AD14" s="18">
        <v>489</v>
      </c>
    </row>
    <row r="15" spans="1:30" ht="20.7" customHeight="1" x14ac:dyDescent="0.2">
      <c r="A15" s="19">
        <v>45761</v>
      </c>
      <c r="B15" s="10">
        <v>13818918</v>
      </c>
      <c r="C15" s="14">
        <f t="shared" si="1"/>
        <v>4192</v>
      </c>
      <c r="D15" s="11">
        <v>710257</v>
      </c>
      <c r="E15" s="14">
        <f t="shared" si="2"/>
        <v>1571</v>
      </c>
      <c r="F15" s="27">
        <v>1704</v>
      </c>
      <c r="G15" s="67">
        <f t="shared" si="3"/>
        <v>0</v>
      </c>
      <c r="H15" s="69">
        <f t="shared" si="4"/>
        <v>5763</v>
      </c>
      <c r="I15" s="73">
        <f t="shared" si="5"/>
        <v>-39999.17</v>
      </c>
      <c r="J15" s="32">
        <f t="shared" si="0"/>
        <v>130.44999999999709</v>
      </c>
      <c r="K15" s="20">
        <f t="shared" si="6"/>
        <v>45761</v>
      </c>
      <c r="L15" s="33">
        <v>5225</v>
      </c>
      <c r="M15" s="34">
        <v>0</v>
      </c>
      <c r="N15" s="32">
        <f t="shared" si="7"/>
        <v>232</v>
      </c>
      <c r="O15" s="85">
        <v>0.63</v>
      </c>
      <c r="P15" s="86">
        <v>0.66</v>
      </c>
      <c r="Q15" s="85">
        <v>0.54</v>
      </c>
      <c r="R15" s="86">
        <v>0.55000000000000004</v>
      </c>
      <c r="S15" s="38">
        <f t="shared" si="8"/>
        <v>3770</v>
      </c>
      <c r="T15" s="123">
        <v>1323</v>
      </c>
      <c r="U15" s="32">
        <f t="shared" si="9"/>
        <v>108</v>
      </c>
      <c r="V15" s="41">
        <v>10456</v>
      </c>
      <c r="W15" s="32">
        <f t="shared" si="10"/>
        <v>128</v>
      </c>
      <c r="X15" s="44">
        <v>61265</v>
      </c>
      <c r="Y15" s="14">
        <f t="shared" si="11"/>
        <v>0</v>
      </c>
      <c r="Z15" s="47">
        <v>2875</v>
      </c>
      <c r="AA15" s="52"/>
      <c r="AB15" s="32">
        <f t="shared" si="12"/>
        <v>615</v>
      </c>
      <c r="AC15" s="13">
        <v>232</v>
      </c>
      <c r="AD15" s="18">
        <v>522</v>
      </c>
    </row>
    <row r="16" spans="1:30" ht="20.7" customHeight="1" x14ac:dyDescent="0.2">
      <c r="A16" s="19">
        <v>45762</v>
      </c>
      <c r="B16" s="10">
        <v>13823110</v>
      </c>
      <c r="C16" s="14">
        <f t="shared" si="1"/>
        <v>4239</v>
      </c>
      <c r="D16" s="11">
        <v>711828</v>
      </c>
      <c r="E16" s="14">
        <f t="shared" si="2"/>
        <v>1656</v>
      </c>
      <c r="F16" s="27">
        <v>1704</v>
      </c>
      <c r="G16" s="67">
        <f t="shared" si="3"/>
        <v>0</v>
      </c>
      <c r="H16" s="69">
        <f t="shared" si="4"/>
        <v>5895</v>
      </c>
      <c r="I16" s="73">
        <f t="shared" si="5"/>
        <v>-39868.720000000001</v>
      </c>
      <c r="J16" s="32">
        <f t="shared" si="0"/>
        <v>6.9999999999708962E-2</v>
      </c>
      <c r="K16" s="20">
        <f t="shared" si="6"/>
        <v>45762</v>
      </c>
      <c r="L16" s="33">
        <v>4993</v>
      </c>
      <c r="M16" s="34">
        <v>0</v>
      </c>
      <c r="N16" s="32">
        <f t="shared" si="7"/>
        <v>234</v>
      </c>
      <c r="O16" s="85">
        <v>0.85</v>
      </c>
      <c r="P16" s="86">
        <v>0.81</v>
      </c>
      <c r="Q16" s="85">
        <v>0.87</v>
      </c>
      <c r="R16" s="86">
        <v>0.8</v>
      </c>
      <c r="S16" s="38">
        <f t="shared" si="8"/>
        <v>4985</v>
      </c>
      <c r="T16" s="123"/>
      <c r="U16" s="32">
        <f t="shared" si="9"/>
        <v>170</v>
      </c>
      <c r="V16" s="41">
        <v>10584</v>
      </c>
      <c r="W16" s="32">
        <f t="shared" si="10"/>
        <v>142</v>
      </c>
      <c r="X16" s="124">
        <v>61265</v>
      </c>
      <c r="Y16" s="14">
        <f t="shared" si="11"/>
        <v>0</v>
      </c>
      <c r="Z16" s="47">
        <v>2260</v>
      </c>
      <c r="AA16" s="52">
        <v>8240</v>
      </c>
      <c r="AB16" s="32">
        <f t="shared" si="12"/>
        <v>660</v>
      </c>
      <c r="AC16" s="13">
        <v>237</v>
      </c>
      <c r="AD16" s="18">
        <v>536</v>
      </c>
    </row>
    <row r="17" spans="1:30" ht="20.7" customHeight="1" x14ac:dyDescent="0.2">
      <c r="A17" s="19">
        <v>45763</v>
      </c>
      <c r="B17" s="10">
        <v>13827349</v>
      </c>
      <c r="C17" s="14">
        <f t="shared" si="1"/>
        <v>4395</v>
      </c>
      <c r="D17" s="11">
        <v>713484</v>
      </c>
      <c r="E17" s="14">
        <f t="shared" si="2"/>
        <v>1501</v>
      </c>
      <c r="F17" s="27">
        <v>1704</v>
      </c>
      <c r="G17" s="67">
        <f t="shared" si="3"/>
        <v>0</v>
      </c>
      <c r="H17" s="69">
        <f t="shared" si="4"/>
        <v>5896</v>
      </c>
      <c r="I17" s="73">
        <f t="shared" si="5"/>
        <v>-39868.65</v>
      </c>
      <c r="J17" s="32">
        <f t="shared" si="0"/>
        <v>-180.94999999999709</v>
      </c>
      <c r="K17" s="20">
        <f t="shared" si="6"/>
        <v>45763</v>
      </c>
      <c r="L17" s="33">
        <v>4759</v>
      </c>
      <c r="M17" s="34">
        <v>0</v>
      </c>
      <c r="N17" s="32">
        <f t="shared" si="7"/>
        <v>230</v>
      </c>
      <c r="O17" s="85">
        <v>0.82</v>
      </c>
      <c r="P17" s="86">
        <v>0.79</v>
      </c>
      <c r="Q17" s="85">
        <v>0.83</v>
      </c>
      <c r="R17" s="86">
        <v>0.75</v>
      </c>
      <c r="S17" s="38">
        <f t="shared" si="8"/>
        <v>4815</v>
      </c>
      <c r="T17" s="123"/>
      <c r="U17" s="32">
        <f t="shared" si="9"/>
        <v>160</v>
      </c>
      <c r="V17" s="41">
        <v>10726</v>
      </c>
      <c r="W17" s="32">
        <f t="shared" si="10"/>
        <v>143</v>
      </c>
      <c r="X17" s="44">
        <v>61265</v>
      </c>
      <c r="Y17" s="14">
        <f t="shared" si="11"/>
        <v>0</v>
      </c>
      <c r="Z17" s="47">
        <v>9840</v>
      </c>
      <c r="AA17" s="52"/>
      <c r="AB17" s="32">
        <f t="shared" si="12"/>
        <v>715</v>
      </c>
      <c r="AC17" s="13">
        <v>227</v>
      </c>
      <c r="AD17" s="18">
        <v>523</v>
      </c>
    </row>
    <row r="18" spans="1:30" ht="20.7" customHeight="1" x14ac:dyDescent="0.2">
      <c r="A18" s="19">
        <v>45764</v>
      </c>
      <c r="B18" s="10">
        <v>13831744</v>
      </c>
      <c r="C18" s="14">
        <f t="shared" si="1"/>
        <v>4130</v>
      </c>
      <c r="D18" s="11">
        <v>714985</v>
      </c>
      <c r="E18" s="14">
        <f t="shared" si="2"/>
        <v>1586</v>
      </c>
      <c r="F18" s="27">
        <v>1704</v>
      </c>
      <c r="G18" s="67">
        <f t="shared" si="3"/>
        <v>0</v>
      </c>
      <c r="H18" s="69">
        <f t="shared" si="4"/>
        <v>5716</v>
      </c>
      <c r="I18" s="73">
        <f t="shared" si="5"/>
        <v>-40049.599999999999</v>
      </c>
      <c r="J18" s="32">
        <f t="shared" si="0"/>
        <v>86.059999999997672</v>
      </c>
      <c r="K18" s="20">
        <f t="shared" si="6"/>
        <v>45764</v>
      </c>
      <c r="L18" s="33">
        <v>4529</v>
      </c>
      <c r="M18" s="34">
        <v>0</v>
      </c>
      <c r="N18" s="32">
        <f t="shared" si="7"/>
        <v>228</v>
      </c>
      <c r="O18" s="85">
        <v>0.78</v>
      </c>
      <c r="P18" s="86">
        <v>0.77</v>
      </c>
      <c r="Q18" s="85">
        <v>0.82</v>
      </c>
      <c r="R18" s="86">
        <v>0.74</v>
      </c>
      <c r="S18" s="38">
        <f t="shared" si="8"/>
        <v>4655</v>
      </c>
      <c r="T18" s="123"/>
      <c r="U18" s="32">
        <f t="shared" si="9"/>
        <v>110</v>
      </c>
      <c r="V18" s="41">
        <v>10869</v>
      </c>
      <c r="W18" s="32">
        <f t="shared" si="10"/>
        <v>149</v>
      </c>
      <c r="X18" s="44">
        <v>61265</v>
      </c>
      <c r="Y18" s="14">
        <f t="shared" si="11"/>
        <v>0</v>
      </c>
      <c r="Z18" s="47">
        <v>9125</v>
      </c>
      <c r="AA18" s="52"/>
      <c r="AB18" s="32">
        <f t="shared" si="12"/>
        <v>680</v>
      </c>
      <c r="AC18" s="13">
        <v>234</v>
      </c>
      <c r="AD18" s="18">
        <v>515</v>
      </c>
    </row>
    <row r="19" spans="1:30" ht="20.7" customHeight="1" x14ac:dyDescent="0.2">
      <c r="A19" s="19">
        <v>45765</v>
      </c>
      <c r="B19" s="10">
        <v>13835874</v>
      </c>
      <c r="C19" s="14">
        <f t="shared" si="1"/>
        <v>4225</v>
      </c>
      <c r="D19" s="11">
        <v>716571</v>
      </c>
      <c r="E19" s="14">
        <f t="shared" si="2"/>
        <v>1578</v>
      </c>
      <c r="F19" s="27">
        <v>1704</v>
      </c>
      <c r="G19" s="67">
        <f t="shared" si="3"/>
        <v>0</v>
      </c>
      <c r="H19" s="69">
        <f t="shared" si="4"/>
        <v>5803</v>
      </c>
      <c r="I19" s="73">
        <f t="shared" si="5"/>
        <v>-39963.54</v>
      </c>
      <c r="J19" s="32">
        <f t="shared" si="0"/>
        <v>-98.880000000004657</v>
      </c>
      <c r="K19" s="20">
        <f t="shared" si="6"/>
        <v>45765</v>
      </c>
      <c r="L19" s="33">
        <v>4301</v>
      </c>
      <c r="M19" s="34">
        <v>0</v>
      </c>
      <c r="N19" s="32">
        <f t="shared" si="7"/>
        <v>224</v>
      </c>
      <c r="O19" s="85">
        <v>0.76</v>
      </c>
      <c r="P19" s="86">
        <v>0.76</v>
      </c>
      <c r="Q19" s="85">
        <v>0.78</v>
      </c>
      <c r="R19" s="86">
        <v>0.71</v>
      </c>
      <c r="S19" s="38">
        <f t="shared" si="8"/>
        <v>4545</v>
      </c>
      <c r="T19" s="123"/>
      <c r="U19" s="32">
        <f t="shared" si="9"/>
        <v>180</v>
      </c>
      <c r="V19" s="41">
        <v>11018</v>
      </c>
      <c r="W19" s="32">
        <f t="shared" si="10"/>
        <v>122</v>
      </c>
      <c r="X19" s="44">
        <v>61265</v>
      </c>
      <c r="Y19" s="14">
        <f t="shared" si="11"/>
        <v>0</v>
      </c>
      <c r="Z19" s="47">
        <v>8445</v>
      </c>
      <c r="AA19" s="52"/>
      <c r="AB19" s="32">
        <f t="shared" si="12"/>
        <v>735</v>
      </c>
      <c r="AC19" s="13">
        <v>220</v>
      </c>
      <c r="AD19" s="18">
        <v>484</v>
      </c>
    </row>
    <row r="20" spans="1:30" ht="20.7" customHeight="1" x14ac:dyDescent="0.2">
      <c r="A20" s="19">
        <v>45766</v>
      </c>
      <c r="B20" s="10">
        <v>13840099</v>
      </c>
      <c r="C20" s="14">
        <f t="shared" si="1"/>
        <v>5088</v>
      </c>
      <c r="D20" s="11">
        <v>718149</v>
      </c>
      <c r="E20" s="14">
        <f t="shared" si="2"/>
        <v>617</v>
      </c>
      <c r="F20" s="27">
        <v>1704</v>
      </c>
      <c r="G20" s="67">
        <f t="shared" si="3"/>
        <v>0</v>
      </c>
      <c r="H20" s="69">
        <f t="shared" si="4"/>
        <v>5705</v>
      </c>
      <c r="I20" s="73">
        <f t="shared" si="5"/>
        <v>-40062.420000000006</v>
      </c>
      <c r="J20" s="32">
        <f t="shared" si="0"/>
        <v>-139.95999999999913</v>
      </c>
      <c r="K20" s="20">
        <f t="shared" si="6"/>
        <v>45766</v>
      </c>
      <c r="L20" s="33">
        <v>4077</v>
      </c>
      <c r="M20" s="34">
        <v>0</v>
      </c>
      <c r="N20" s="32">
        <f t="shared" si="7"/>
        <v>215</v>
      </c>
      <c r="O20" s="85">
        <v>0.73</v>
      </c>
      <c r="P20" s="86">
        <v>0.74</v>
      </c>
      <c r="Q20" s="85">
        <v>0.69</v>
      </c>
      <c r="R20" s="86">
        <v>0.69</v>
      </c>
      <c r="S20" s="38">
        <f t="shared" si="8"/>
        <v>4365</v>
      </c>
      <c r="T20" s="123"/>
      <c r="U20" s="32">
        <f t="shared" si="9"/>
        <v>35</v>
      </c>
      <c r="V20" s="41">
        <v>11140</v>
      </c>
      <c r="W20" s="32">
        <f t="shared" si="10"/>
        <v>138</v>
      </c>
      <c r="X20" s="44">
        <v>61265</v>
      </c>
      <c r="Y20" s="14">
        <f t="shared" si="11"/>
        <v>0</v>
      </c>
      <c r="Z20" s="47">
        <v>7710</v>
      </c>
      <c r="AA20" s="52"/>
      <c r="AB20" s="32">
        <f t="shared" si="12"/>
        <v>680</v>
      </c>
      <c r="AC20" s="13">
        <v>226</v>
      </c>
      <c r="AD20" s="18">
        <v>482</v>
      </c>
    </row>
    <row r="21" spans="1:30" ht="20.7" customHeight="1" x14ac:dyDescent="0.2">
      <c r="A21" s="19">
        <v>45767</v>
      </c>
      <c r="B21" s="10">
        <v>13845187</v>
      </c>
      <c r="C21" s="14">
        <f t="shared" si="1"/>
        <v>3945</v>
      </c>
      <c r="D21" s="11">
        <v>718766</v>
      </c>
      <c r="E21" s="14">
        <f t="shared" si="2"/>
        <v>1621</v>
      </c>
      <c r="F21" s="27">
        <v>1704</v>
      </c>
      <c r="G21" s="67">
        <f t="shared" si="3"/>
        <v>0</v>
      </c>
      <c r="H21" s="69">
        <f t="shared" si="4"/>
        <v>5566</v>
      </c>
      <c r="I21" s="73">
        <f t="shared" si="5"/>
        <v>-40202.380000000005</v>
      </c>
      <c r="J21" s="32">
        <f t="shared" si="0"/>
        <v>-20.869999999995343</v>
      </c>
      <c r="K21" s="20">
        <f t="shared" si="6"/>
        <v>45767</v>
      </c>
      <c r="L21" s="33">
        <v>3862</v>
      </c>
      <c r="M21" s="34">
        <v>0</v>
      </c>
      <c r="N21" s="32">
        <f t="shared" si="7"/>
        <v>207</v>
      </c>
      <c r="O21" s="85">
        <v>0.73</v>
      </c>
      <c r="P21" s="86">
        <v>0.74</v>
      </c>
      <c r="Q21" s="85">
        <v>0.65</v>
      </c>
      <c r="R21" s="86">
        <v>0.66</v>
      </c>
      <c r="S21" s="38">
        <f t="shared" si="8"/>
        <v>4330</v>
      </c>
      <c r="T21" s="123"/>
      <c r="U21" s="32">
        <f t="shared" si="9"/>
        <v>240</v>
      </c>
      <c r="V21" s="41">
        <v>11278</v>
      </c>
      <c r="W21" s="32">
        <f t="shared" si="10"/>
        <v>125</v>
      </c>
      <c r="X21" s="44">
        <v>61265</v>
      </c>
      <c r="Y21" s="14">
        <f t="shared" si="11"/>
        <v>0</v>
      </c>
      <c r="Z21" s="47">
        <v>7030</v>
      </c>
      <c r="AA21" s="52"/>
      <c r="AB21" s="32">
        <f t="shared" si="12"/>
        <v>685</v>
      </c>
      <c r="AC21" s="13">
        <v>194</v>
      </c>
      <c r="AD21" s="18">
        <v>416</v>
      </c>
    </row>
    <row r="22" spans="1:30" ht="20.7" customHeight="1" x14ac:dyDescent="0.2">
      <c r="A22" s="19">
        <v>45768</v>
      </c>
      <c r="B22" s="10">
        <v>13849132</v>
      </c>
      <c r="C22" s="14">
        <f t="shared" si="1"/>
        <v>4992</v>
      </c>
      <c r="D22" s="11">
        <v>720387</v>
      </c>
      <c r="E22" s="14">
        <f t="shared" si="2"/>
        <v>554</v>
      </c>
      <c r="F22" s="27">
        <v>1704</v>
      </c>
      <c r="G22" s="67">
        <f t="shared" si="3"/>
        <v>0</v>
      </c>
      <c r="H22" s="69">
        <f t="shared" si="4"/>
        <v>5546</v>
      </c>
      <c r="I22" s="73">
        <f t="shared" si="5"/>
        <v>-40223.25</v>
      </c>
      <c r="J22" s="32">
        <f t="shared" si="0"/>
        <v>-195.91999999999825</v>
      </c>
      <c r="K22" s="20">
        <f t="shared" si="6"/>
        <v>45768</v>
      </c>
      <c r="L22" s="33">
        <v>3655</v>
      </c>
      <c r="M22" s="34">
        <v>0</v>
      </c>
      <c r="N22" s="32">
        <f t="shared" si="7"/>
        <v>220</v>
      </c>
      <c r="O22" s="85">
        <v>0.69</v>
      </c>
      <c r="P22" s="86">
        <v>0.72</v>
      </c>
      <c r="Q22" s="85">
        <v>0.56000000000000005</v>
      </c>
      <c r="R22" s="86">
        <v>0.56999999999999995</v>
      </c>
      <c r="S22" s="38">
        <f t="shared" si="8"/>
        <v>4090</v>
      </c>
      <c r="T22" s="123"/>
      <c r="U22" s="32">
        <f t="shared" si="9"/>
        <v>195</v>
      </c>
      <c r="V22" s="41">
        <v>11403</v>
      </c>
      <c r="W22" s="32">
        <f t="shared" si="10"/>
        <v>108</v>
      </c>
      <c r="X22" s="44">
        <v>61265</v>
      </c>
      <c r="Y22" s="14">
        <f t="shared" si="11"/>
        <v>0</v>
      </c>
      <c r="Z22" s="47">
        <v>6345</v>
      </c>
      <c r="AA22" s="52"/>
      <c r="AB22" s="32">
        <f t="shared" si="12"/>
        <v>685</v>
      </c>
      <c r="AC22" s="13">
        <v>173</v>
      </c>
      <c r="AD22" s="18">
        <v>366</v>
      </c>
    </row>
    <row r="23" spans="1:30" ht="20.7" customHeight="1" x14ac:dyDescent="0.2">
      <c r="A23" s="19">
        <v>45769</v>
      </c>
      <c r="B23" s="10">
        <v>13854124</v>
      </c>
      <c r="C23" s="14">
        <f t="shared" si="1"/>
        <v>3785</v>
      </c>
      <c r="D23" s="11">
        <v>720941</v>
      </c>
      <c r="E23" s="14">
        <f t="shared" si="2"/>
        <v>1566</v>
      </c>
      <c r="F23" s="27">
        <v>1704</v>
      </c>
      <c r="G23" s="67">
        <f t="shared" si="3"/>
        <v>0</v>
      </c>
      <c r="H23" s="69">
        <f t="shared" si="4"/>
        <v>5351</v>
      </c>
      <c r="I23" s="73">
        <f t="shared" si="5"/>
        <v>-40419.17</v>
      </c>
      <c r="J23" s="32">
        <f t="shared" si="0"/>
        <v>186.06999999999971</v>
      </c>
      <c r="K23" s="20">
        <f t="shared" si="6"/>
        <v>45769</v>
      </c>
      <c r="L23" s="33">
        <v>3435</v>
      </c>
      <c r="M23" s="34">
        <v>0</v>
      </c>
      <c r="N23" s="32">
        <f t="shared" si="7"/>
        <v>120</v>
      </c>
      <c r="O23" s="85">
        <v>0.67</v>
      </c>
      <c r="P23" s="86">
        <v>0.69</v>
      </c>
      <c r="Q23" s="85">
        <v>0.5</v>
      </c>
      <c r="R23" s="86">
        <v>0.49</v>
      </c>
      <c r="S23" s="38">
        <f t="shared" si="8"/>
        <v>3895</v>
      </c>
      <c r="T23" s="37"/>
      <c r="U23" s="32">
        <f t="shared" si="9"/>
        <v>100</v>
      </c>
      <c r="V23" s="41">
        <v>11511</v>
      </c>
      <c r="W23" s="32">
        <f t="shared" si="10"/>
        <v>114</v>
      </c>
      <c r="X23" s="44">
        <v>61265</v>
      </c>
      <c r="Y23" s="14">
        <f t="shared" si="11"/>
        <v>0</v>
      </c>
      <c r="Z23" s="47">
        <v>5660</v>
      </c>
      <c r="AA23" s="52"/>
      <c r="AB23" s="32">
        <f t="shared" si="12"/>
        <v>660</v>
      </c>
      <c r="AC23" s="13">
        <v>168</v>
      </c>
      <c r="AD23" s="18">
        <v>352</v>
      </c>
    </row>
    <row r="24" spans="1:30" ht="20.7" customHeight="1" x14ac:dyDescent="0.2">
      <c r="A24" s="19">
        <v>45770</v>
      </c>
      <c r="B24" s="10">
        <v>13857909</v>
      </c>
      <c r="C24" s="14">
        <f t="shared" si="1"/>
        <v>4382</v>
      </c>
      <c r="D24" s="11">
        <v>722507</v>
      </c>
      <c r="E24" s="14">
        <f t="shared" si="2"/>
        <v>1156</v>
      </c>
      <c r="F24" s="27">
        <v>1704</v>
      </c>
      <c r="G24" s="67">
        <f t="shared" si="3"/>
        <v>0</v>
      </c>
      <c r="H24" s="69">
        <f t="shared" si="4"/>
        <v>5538</v>
      </c>
      <c r="I24" s="73">
        <f t="shared" si="5"/>
        <v>-40233.1</v>
      </c>
      <c r="J24" s="32">
        <f t="shared" si="0"/>
        <v>131.40999999999622</v>
      </c>
      <c r="K24" s="20">
        <f t="shared" si="6"/>
        <v>45770</v>
      </c>
      <c r="L24" s="33">
        <v>3315</v>
      </c>
      <c r="M24" s="34">
        <v>0</v>
      </c>
      <c r="N24" s="32">
        <f t="shared" si="7"/>
        <v>118</v>
      </c>
      <c r="O24" s="85">
        <v>0.65</v>
      </c>
      <c r="P24" s="86">
        <v>0.69</v>
      </c>
      <c r="Q24" s="85">
        <v>0.45</v>
      </c>
      <c r="R24" s="86">
        <v>0.44</v>
      </c>
      <c r="S24" s="38">
        <f t="shared" si="8"/>
        <v>3795</v>
      </c>
      <c r="T24" s="37">
        <v>1094</v>
      </c>
      <c r="U24" s="32">
        <f t="shared" si="9"/>
        <v>-6</v>
      </c>
      <c r="V24" s="41">
        <v>11625</v>
      </c>
      <c r="W24" s="32">
        <f t="shared" si="10"/>
        <v>105</v>
      </c>
      <c r="X24" s="44">
        <v>61265</v>
      </c>
      <c r="Y24" s="14">
        <f t="shared" si="11"/>
        <v>0</v>
      </c>
      <c r="Z24" s="47">
        <v>5000</v>
      </c>
      <c r="AA24" s="52"/>
      <c r="AB24" s="32">
        <f t="shared" si="12"/>
        <v>700</v>
      </c>
      <c r="AC24" s="13">
        <v>163</v>
      </c>
      <c r="AD24" s="18">
        <v>322</v>
      </c>
    </row>
    <row r="25" spans="1:30" ht="20.7" customHeight="1" x14ac:dyDescent="0.2">
      <c r="A25" s="19">
        <v>45771</v>
      </c>
      <c r="B25" s="10">
        <v>13862291</v>
      </c>
      <c r="C25" s="14">
        <f t="shared" si="1"/>
        <v>4740</v>
      </c>
      <c r="D25" s="11">
        <v>723663</v>
      </c>
      <c r="E25" s="14">
        <f t="shared" si="2"/>
        <v>931</v>
      </c>
      <c r="F25" s="27">
        <v>1704</v>
      </c>
      <c r="G25" s="67">
        <f t="shared" si="3"/>
        <v>0</v>
      </c>
      <c r="H25" s="69">
        <f t="shared" si="4"/>
        <v>5671</v>
      </c>
      <c r="I25" s="73">
        <f t="shared" si="5"/>
        <v>-40101.69</v>
      </c>
      <c r="J25" s="32">
        <f t="shared" si="0"/>
        <v>-220.95999999999913</v>
      </c>
      <c r="K25" s="20">
        <f t="shared" si="6"/>
        <v>45771</v>
      </c>
      <c r="L25" s="33">
        <v>3197</v>
      </c>
      <c r="M25" s="34">
        <v>0</v>
      </c>
      <c r="N25" s="32">
        <f t="shared" si="7"/>
        <v>122</v>
      </c>
      <c r="O25" s="85">
        <v>0.82</v>
      </c>
      <c r="P25" s="86">
        <v>0.81</v>
      </c>
      <c r="Q25" s="85">
        <v>0.87</v>
      </c>
      <c r="R25" s="86">
        <v>0.77</v>
      </c>
      <c r="S25" s="38">
        <f t="shared" si="8"/>
        <v>4895</v>
      </c>
      <c r="T25" s="37"/>
      <c r="U25" s="32">
        <f t="shared" si="9"/>
        <v>125</v>
      </c>
      <c r="V25" s="41">
        <v>11730</v>
      </c>
      <c r="W25" s="32">
        <f t="shared" si="10"/>
        <v>110</v>
      </c>
      <c r="X25" s="44">
        <v>61265</v>
      </c>
      <c r="Y25" s="14">
        <f t="shared" si="11"/>
        <v>0</v>
      </c>
      <c r="Z25" s="47">
        <v>4300</v>
      </c>
      <c r="AA25" s="52"/>
      <c r="AB25" s="32">
        <f t="shared" si="12"/>
        <v>710</v>
      </c>
      <c r="AC25" s="13">
        <v>180</v>
      </c>
      <c r="AD25" s="18">
        <v>345</v>
      </c>
    </row>
    <row r="26" spans="1:30" ht="20.7" customHeight="1" x14ac:dyDescent="0.2">
      <c r="A26" s="19">
        <v>45772</v>
      </c>
      <c r="B26" s="10">
        <v>13867031</v>
      </c>
      <c r="C26" s="14">
        <f t="shared" si="1"/>
        <v>3916</v>
      </c>
      <c r="D26" s="11">
        <v>724594</v>
      </c>
      <c r="E26" s="14">
        <f t="shared" si="2"/>
        <v>1535</v>
      </c>
      <c r="F26" s="27">
        <v>1704</v>
      </c>
      <c r="G26" s="67">
        <f t="shared" si="3"/>
        <v>0</v>
      </c>
      <c r="H26" s="69">
        <f t="shared" si="4"/>
        <v>5451</v>
      </c>
      <c r="I26" s="73">
        <f t="shared" si="5"/>
        <v>-40322.65</v>
      </c>
      <c r="J26" s="32">
        <f t="shared" si="0"/>
        <v>383.04000000000087</v>
      </c>
      <c r="K26" s="20">
        <f t="shared" si="6"/>
        <v>45772</v>
      </c>
      <c r="L26" s="33">
        <v>3075</v>
      </c>
      <c r="M26" s="34">
        <v>0</v>
      </c>
      <c r="N26" s="32">
        <f t="shared" si="7"/>
        <v>131</v>
      </c>
      <c r="O26" s="85">
        <v>0.8</v>
      </c>
      <c r="P26" s="86">
        <v>0.79</v>
      </c>
      <c r="Q26" s="85">
        <v>0.85</v>
      </c>
      <c r="R26" s="86">
        <v>0.74</v>
      </c>
      <c r="S26" s="38">
        <f t="shared" si="8"/>
        <v>4770</v>
      </c>
      <c r="T26" s="37"/>
      <c r="U26" s="32">
        <f t="shared" si="9"/>
        <v>80</v>
      </c>
      <c r="V26" s="41">
        <v>11840</v>
      </c>
      <c r="W26" s="32">
        <f t="shared" si="10"/>
        <v>102</v>
      </c>
      <c r="X26" s="44">
        <v>61265</v>
      </c>
      <c r="Y26" s="14">
        <f t="shared" si="11"/>
        <v>0</v>
      </c>
      <c r="Z26" s="47">
        <v>3590</v>
      </c>
      <c r="AA26" s="52"/>
      <c r="AB26" s="32">
        <f t="shared" si="12"/>
        <v>655</v>
      </c>
      <c r="AC26" s="13">
        <v>192</v>
      </c>
      <c r="AD26" s="18">
        <v>370</v>
      </c>
    </row>
    <row r="27" spans="1:30" ht="20.7" customHeight="1" x14ac:dyDescent="0.2">
      <c r="A27" s="19">
        <v>45773</v>
      </c>
      <c r="B27" s="10">
        <v>13870947</v>
      </c>
      <c r="C27" s="14">
        <f t="shared" si="1"/>
        <v>4267</v>
      </c>
      <c r="D27" s="11">
        <v>726129</v>
      </c>
      <c r="E27" s="14">
        <f t="shared" si="2"/>
        <v>1568</v>
      </c>
      <c r="F27" s="27">
        <v>1704</v>
      </c>
      <c r="G27" s="67">
        <f t="shared" si="3"/>
        <v>0</v>
      </c>
      <c r="H27" s="69">
        <f t="shared" si="4"/>
        <v>5835</v>
      </c>
      <c r="I27" s="73">
        <f t="shared" si="5"/>
        <v>-39939.61</v>
      </c>
      <c r="J27" s="32">
        <f t="shared" si="0"/>
        <v>464.09000000000378</v>
      </c>
      <c r="K27" s="20">
        <f t="shared" si="6"/>
        <v>45773</v>
      </c>
      <c r="L27" s="33">
        <v>2944</v>
      </c>
      <c r="M27" s="34">
        <v>0</v>
      </c>
      <c r="N27" s="32">
        <f t="shared" si="7"/>
        <v>125</v>
      </c>
      <c r="O27" s="85">
        <v>0.79</v>
      </c>
      <c r="P27" s="86">
        <v>0.78</v>
      </c>
      <c r="Q27" s="85">
        <v>0.82</v>
      </c>
      <c r="R27" s="86">
        <v>0.71</v>
      </c>
      <c r="S27" s="38">
        <f t="shared" si="8"/>
        <v>4690</v>
      </c>
      <c r="T27" s="37"/>
      <c r="U27" s="32">
        <f t="shared" si="9"/>
        <v>120</v>
      </c>
      <c r="V27" s="41">
        <v>11942</v>
      </c>
      <c r="W27" s="32">
        <f t="shared" si="10"/>
        <v>115</v>
      </c>
      <c r="X27" s="44">
        <v>61265</v>
      </c>
      <c r="Y27" s="14">
        <f t="shared" si="11"/>
        <v>0</v>
      </c>
      <c r="Z27" s="47">
        <v>2935</v>
      </c>
      <c r="AA27" s="52"/>
      <c r="AB27" s="32">
        <f t="shared" si="12"/>
        <v>690</v>
      </c>
      <c r="AC27" s="13">
        <v>176</v>
      </c>
      <c r="AD27" s="18">
        <v>332</v>
      </c>
    </row>
    <row r="28" spans="1:30" ht="20.7" customHeight="1" x14ac:dyDescent="0.2">
      <c r="A28" s="19">
        <v>45774</v>
      </c>
      <c r="B28" s="10">
        <v>13875214</v>
      </c>
      <c r="C28" s="14">
        <f t="shared" si="1"/>
        <v>4722</v>
      </c>
      <c r="D28" s="11">
        <v>727697</v>
      </c>
      <c r="E28" s="14">
        <f t="shared" si="2"/>
        <v>1578</v>
      </c>
      <c r="F28" s="27">
        <v>1704</v>
      </c>
      <c r="G28" s="67">
        <f t="shared" si="3"/>
        <v>0</v>
      </c>
      <c r="H28" s="69">
        <f t="shared" si="4"/>
        <v>6300</v>
      </c>
      <c r="I28" s="73">
        <f t="shared" si="5"/>
        <v>-39475.519999999997</v>
      </c>
      <c r="J28" s="32">
        <f t="shared" si="0"/>
        <v>-6300.8600000000006</v>
      </c>
      <c r="K28" s="20">
        <f t="shared" si="6"/>
        <v>45774</v>
      </c>
      <c r="L28" s="33">
        <v>2819</v>
      </c>
      <c r="M28" s="34">
        <v>0</v>
      </c>
      <c r="N28" s="32">
        <f t="shared" si="7"/>
        <v>119</v>
      </c>
      <c r="O28" s="85">
        <v>0.78</v>
      </c>
      <c r="P28" s="86">
        <v>0.77</v>
      </c>
      <c r="Q28" s="85">
        <v>0.74</v>
      </c>
      <c r="R28" s="86">
        <v>0.65</v>
      </c>
      <c r="S28" s="38">
        <f t="shared" si="8"/>
        <v>4570</v>
      </c>
      <c r="T28" s="37"/>
      <c r="U28" s="32">
        <f t="shared" si="9"/>
        <v>180</v>
      </c>
      <c r="V28" s="41">
        <v>12057</v>
      </c>
      <c r="W28" s="32">
        <f t="shared" si="10"/>
        <v>104</v>
      </c>
      <c r="X28" s="44">
        <v>61265</v>
      </c>
      <c r="Y28" s="14">
        <f t="shared" si="11"/>
        <v>0</v>
      </c>
      <c r="Z28" s="47">
        <v>2245</v>
      </c>
      <c r="AA28" s="52"/>
      <c r="AB28" s="32">
        <f t="shared" si="12"/>
        <v>650</v>
      </c>
      <c r="AC28" s="13">
        <v>167</v>
      </c>
      <c r="AD28" s="18">
        <v>319</v>
      </c>
    </row>
    <row r="29" spans="1:30" ht="20.7" customHeight="1" x14ac:dyDescent="0.2">
      <c r="A29" s="19">
        <v>45775</v>
      </c>
      <c r="B29" s="10">
        <v>13879936</v>
      </c>
      <c r="C29" s="14" t="str">
        <f t="shared" si="1"/>
        <v>0</v>
      </c>
      <c r="D29" s="11">
        <v>729275</v>
      </c>
      <c r="E29" s="14" t="str">
        <f t="shared" si="2"/>
        <v>0</v>
      </c>
      <c r="F29" s="27">
        <v>1704</v>
      </c>
      <c r="G29" s="67">
        <f t="shared" si="3"/>
        <v>0</v>
      </c>
      <c r="H29" s="69">
        <f t="shared" si="4"/>
        <v>0</v>
      </c>
      <c r="I29" s="73">
        <f t="shared" si="5"/>
        <v>-45776.38</v>
      </c>
      <c r="J29" s="32">
        <f t="shared" si="0"/>
        <v>0.37999999999738066</v>
      </c>
      <c r="K29" s="20">
        <f t="shared" si="6"/>
        <v>45775</v>
      </c>
      <c r="L29" s="33">
        <v>2700</v>
      </c>
      <c r="M29" s="34">
        <v>0</v>
      </c>
      <c r="N29" s="32" t="str">
        <f t="shared" si="7"/>
        <v>0</v>
      </c>
      <c r="O29" s="85">
        <v>0.74</v>
      </c>
      <c r="P29" s="86">
        <v>0.77</v>
      </c>
      <c r="Q29" s="85">
        <v>0.64</v>
      </c>
      <c r="R29" s="86">
        <v>0.59</v>
      </c>
      <c r="S29" s="38">
        <f t="shared" si="8"/>
        <v>4390</v>
      </c>
      <c r="T29" s="37">
        <v>229</v>
      </c>
      <c r="U29" s="32">
        <f t="shared" si="9"/>
        <v>4619</v>
      </c>
      <c r="V29" s="41">
        <v>12161</v>
      </c>
      <c r="W29" s="32" t="str">
        <f t="shared" si="10"/>
        <v>0</v>
      </c>
      <c r="X29" s="44">
        <v>61265</v>
      </c>
      <c r="Y29" s="14" t="str">
        <f t="shared" si="11"/>
        <v>0</v>
      </c>
      <c r="Z29" s="47">
        <v>1595</v>
      </c>
      <c r="AA29" s="52"/>
      <c r="AB29" s="32" t="str">
        <f t="shared" si="12"/>
        <v>0</v>
      </c>
      <c r="AC29" s="13">
        <v>178</v>
      </c>
      <c r="AD29" s="18">
        <v>342</v>
      </c>
    </row>
    <row r="30" spans="1:30" ht="20.7" customHeight="1" x14ac:dyDescent="0.2">
      <c r="A30" s="19">
        <v>45776</v>
      </c>
      <c r="B30" s="10"/>
      <c r="C30" s="14">
        <f t="shared" si="1"/>
        <v>0</v>
      </c>
      <c r="D30" s="11"/>
      <c r="E30" s="14">
        <f t="shared" si="2"/>
        <v>0</v>
      </c>
      <c r="F30" s="27">
        <v>1704</v>
      </c>
      <c r="G30" s="67">
        <f t="shared" si="3"/>
        <v>0</v>
      </c>
      <c r="H30" s="69">
        <f t="shared" si="4"/>
        <v>0</v>
      </c>
      <c r="I30" s="73">
        <f t="shared" si="5"/>
        <v>-45776</v>
      </c>
      <c r="J30" s="32" t="e">
        <f>#REF!-I30</f>
        <v>#REF!</v>
      </c>
      <c r="K30" s="20">
        <f t="shared" si="6"/>
        <v>45776</v>
      </c>
      <c r="L30" s="33"/>
      <c r="M30" s="34">
        <v>0</v>
      </c>
      <c r="N30" s="32" t="str">
        <f t="shared" si="7"/>
        <v>0</v>
      </c>
      <c r="O30" s="85"/>
      <c r="P30" s="86"/>
      <c r="Q30" s="85"/>
      <c r="R30" s="86"/>
      <c r="S30" s="38">
        <f t="shared" si="8"/>
        <v>0</v>
      </c>
      <c r="T30" s="37"/>
      <c r="U30" s="32" t="str">
        <f t="shared" si="9"/>
        <v>0</v>
      </c>
      <c r="V30" s="41"/>
      <c r="W30" s="32">
        <f t="shared" si="10"/>
        <v>0</v>
      </c>
      <c r="X30" s="44"/>
      <c r="Y30" s="14">
        <f t="shared" si="11"/>
        <v>0</v>
      </c>
      <c r="Z30" s="47"/>
      <c r="AA30" s="52"/>
      <c r="AB30" s="32" t="str">
        <f t="shared" si="12"/>
        <v>0</v>
      </c>
      <c r="AC30" s="13"/>
      <c r="AD30" s="18"/>
    </row>
    <row r="31" spans="1:30" ht="20.7" customHeight="1" thickBot="1" x14ac:dyDescent="0.25">
      <c r="A31" s="19">
        <v>45777</v>
      </c>
      <c r="B31" s="10"/>
      <c r="C31" s="14">
        <f t="shared" si="1"/>
        <v>0</v>
      </c>
      <c r="D31" s="11"/>
      <c r="E31" s="14">
        <f t="shared" si="2"/>
        <v>0</v>
      </c>
      <c r="F31" s="27">
        <v>1704</v>
      </c>
      <c r="G31" s="67">
        <f t="shared" si="3"/>
        <v>-1704</v>
      </c>
      <c r="H31" s="69">
        <f t="shared" ref="H31" si="13">C31+E31-G31</f>
        <v>1704</v>
      </c>
      <c r="I31" s="73">
        <f t="shared" ref="I31" si="14">H31-K31-M31-O31-Q31</f>
        <v>-44073</v>
      </c>
      <c r="J31" s="32" t="e">
        <f>#REF!-I31</f>
        <v>#REF!</v>
      </c>
      <c r="K31" s="20">
        <f t="shared" ref="K31" si="15">A31</f>
        <v>45777</v>
      </c>
      <c r="L31" s="33"/>
      <c r="M31" s="34">
        <v>0</v>
      </c>
      <c r="N31" s="32" t="str">
        <f t="shared" si="7"/>
        <v>0</v>
      </c>
      <c r="O31" s="85"/>
      <c r="P31" s="86"/>
      <c r="Q31" s="85"/>
      <c r="R31" s="86"/>
      <c r="S31" s="38">
        <f t="shared" si="8"/>
        <v>0</v>
      </c>
      <c r="T31" s="37"/>
      <c r="U31" s="32" t="str">
        <f t="shared" si="9"/>
        <v>0</v>
      </c>
      <c r="V31" s="41"/>
      <c r="W31" s="32">
        <f t="shared" si="10"/>
        <v>0</v>
      </c>
      <c r="X31" s="44"/>
      <c r="Y31" s="14">
        <f t="shared" si="11"/>
        <v>0</v>
      </c>
      <c r="Z31" s="47"/>
      <c r="AA31" s="52"/>
      <c r="AB31" s="32" t="str">
        <f t="shared" si="12"/>
        <v>0</v>
      </c>
      <c r="AC31" s="13"/>
      <c r="AD31" s="18"/>
    </row>
    <row r="32" spans="1:30" ht="20.7" customHeight="1" thickTop="1" thickBot="1" x14ac:dyDescent="0.25">
      <c r="A32" s="19">
        <v>45778</v>
      </c>
      <c r="B32" s="53"/>
      <c r="C32" s="63"/>
      <c r="D32" s="62"/>
      <c r="E32" s="63"/>
      <c r="F32" s="27"/>
      <c r="G32" s="56"/>
      <c r="H32" s="71"/>
      <c r="I32" s="64"/>
      <c r="J32" s="63"/>
      <c r="K32" s="61">
        <f t="shared" si="6"/>
        <v>45778</v>
      </c>
      <c r="L32" s="49"/>
      <c r="M32" s="65">
        <v>0</v>
      </c>
      <c r="N32" s="32" t="str">
        <f t="shared" si="7"/>
        <v>0</v>
      </c>
      <c r="O32" s="87"/>
      <c r="P32" s="88"/>
      <c r="Q32" s="87"/>
      <c r="R32" s="88"/>
      <c r="S32" s="38">
        <f t="shared" si="8"/>
        <v>0</v>
      </c>
      <c r="T32" s="54"/>
      <c r="U32" s="63"/>
      <c r="V32" s="60"/>
      <c r="W32" s="63"/>
      <c r="X32" s="59"/>
      <c r="Y32" s="63"/>
      <c r="Z32" s="58"/>
      <c r="AA32" s="55"/>
      <c r="AB32" s="56"/>
      <c r="AC32" s="57">
        <v>174</v>
      </c>
      <c r="AD32" s="57">
        <v>370</v>
      </c>
    </row>
    <row r="33" spans="1:30" s="81" customFormat="1" ht="10.7" thickTop="1" x14ac:dyDescent="0.2">
      <c r="A33" s="75"/>
      <c r="B33" s="75"/>
      <c r="C33" s="76">
        <f>SUM(C2:C32)</f>
        <v>119476</v>
      </c>
      <c r="D33" s="77"/>
      <c r="E33" s="76">
        <f>SUM(E2:E32)</f>
        <v>32498</v>
      </c>
      <c r="F33" s="78"/>
      <c r="G33" s="76">
        <f>SUM(G2:G32)</f>
        <v>-1704</v>
      </c>
      <c r="H33" s="77">
        <f>SUM(H2:H32)</f>
        <v>153678</v>
      </c>
      <c r="I33" s="76">
        <f>SUM(I2:I31)</f>
        <v>-1219237.8900000001</v>
      </c>
      <c r="J33" s="76" t="e">
        <f>SUM(J2:J32)</f>
        <v>#REF!</v>
      </c>
      <c r="K33" s="75"/>
      <c r="L33" s="77"/>
      <c r="M33" s="77"/>
      <c r="N33" s="76">
        <f>SUM(N2:N32)</f>
        <v>3818</v>
      </c>
      <c r="O33" s="75"/>
      <c r="P33" s="75"/>
      <c r="Q33" s="75"/>
      <c r="R33" s="75"/>
      <c r="S33" s="75"/>
      <c r="T33" s="77">
        <f>SUM(T2:T32)</f>
        <v>3679</v>
      </c>
      <c r="U33" s="76">
        <f>SUM(U2:U32)</f>
        <v>8514</v>
      </c>
      <c r="V33" s="75"/>
      <c r="W33" s="76">
        <f>SUM(W2:W32)</f>
        <v>3444</v>
      </c>
      <c r="X33" s="75"/>
      <c r="Y33" s="76">
        <f>SUM(Y2:Y32)</f>
        <v>0</v>
      </c>
      <c r="Z33" s="75"/>
      <c r="AA33" s="75">
        <f>SUM(AA2:AA32)</f>
        <v>16230</v>
      </c>
      <c r="AB33" s="76">
        <f>SUM(AB2:AB32)</f>
        <v>21175</v>
      </c>
      <c r="AC33" s="79">
        <f>SUM(AC2:AC32)</f>
        <v>5776</v>
      </c>
      <c r="AD33" s="80">
        <f>SUM(AD2:AD32)</f>
        <v>12013</v>
      </c>
    </row>
    <row r="34" spans="1:30" x14ac:dyDescent="0.2">
      <c r="A34" s="1"/>
      <c r="B34" s="1"/>
      <c r="D34" s="4"/>
      <c r="K34" s="1"/>
      <c r="O34" s="1"/>
      <c r="P34" s="1"/>
      <c r="Q34" s="1"/>
      <c r="R34" s="1"/>
      <c r="S34" s="1"/>
      <c r="V34" s="1"/>
      <c r="X34" s="1"/>
      <c r="Z34" s="6"/>
      <c r="AA34" s="6"/>
      <c r="AC34" s="2"/>
      <c r="AD34" s="2"/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H36" s="70"/>
      <c r="I36" s="70"/>
      <c r="J36" s="50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D51" s="4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April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2025-04-29T10:16:35Z</dcterms:modified>
  <cp:category/>
  <cp:contentStatus/>
</cp:coreProperties>
</file>