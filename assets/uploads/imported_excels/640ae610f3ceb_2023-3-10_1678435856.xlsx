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6FF72FC5-89E8-46BE-AF6C-1AC86FA2797D}" xr6:coauthVersionLast="36" xr6:coauthVersionMax="36" xr10:uidLastSave="{00000000-0000-0000-0000-000000000000}"/>
  <bookViews>
    <workbookView xWindow="0" yWindow="0" windowWidth="20490" windowHeight="7110" activeTab="2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Electricity!$B$1:$R$51</definedName>
    <definedName name="_xlnm.Print_Area" localSheetId="2">Water!$A$1:$H$34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2" i="4"/>
  <c r="L3" i="4"/>
  <c r="N3" i="4" s="1"/>
  <c r="L4" i="4"/>
  <c r="N4" i="4" s="1"/>
  <c r="L5" i="4"/>
  <c r="N5" i="4" s="1"/>
  <c r="N6" i="4"/>
  <c r="L7" i="4"/>
  <c r="L8" i="4"/>
  <c r="N8" i="4" s="1"/>
  <c r="L9" i="4"/>
  <c r="N9" i="4" s="1"/>
  <c r="L10" i="4"/>
  <c r="N10" i="4" s="1"/>
  <c r="L11" i="4"/>
  <c r="N11" i="4" s="1"/>
  <c r="L12" i="4"/>
  <c r="N12" i="4" s="1"/>
  <c r="L13" i="4"/>
  <c r="L14" i="4"/>
  <c r="N14" i="4" s="1"/>
  <c r="L15" i="4"/>
  <c r="N15" i="4" s="1"/>
  <c r="L16" i="4"/>
  <c r="N16" i="4" s="1"/>
  <c r="L17" i="4"/>
  <c r="N17" i="4" s="1"/>
  <c r="L18" i="4"/>
  <c r="N18" i="4" s="1"/>
  <c r="L19" i="4"/>
  <c r="L20" i="4"/>
  <c r="N20" i="4" s="1"/>
  <c r="L21" i="4"/>
  <c r="N21" i="4" s="1"/>
  <c r="L22" i="4"/>
  <c r="N22" i="4" s="1"/>
  <c r="L23" i="4"/>
  <c r="N23" i="4" s="1"/>
  <c r="L24" i="4"/>
  <c r="N24" i="4" s="1"/>
  <c r="L25" i="4"/>
  <c r="L26" i="4"/>
  <c r="N26" i="4" s="1"/>
  <c r="L27" i="4"/>
  <c r="N27" i="4" s="1"/>
  <c r="L28" i="4"/>
  <c r="N28" i="4" s="1"/>
  <c r="L29" i="4"/>
  <c r="N29" i="4" s="1"/>
  <c r="L2" i="4"/>
  <c r="N2" i="4"/>
  <c r="N7" i="4"/>
  <c r="N13" i="4"/>
  <c r="N19" i="4"/>
  <c r="N25" i="4"/>
  <c r="E34" i="2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6" i="1"/>
  <c r="I6" i="1"/>
  <c r="H6" i="1"/>
  <c r="C34" i="1" l="1"/>
  <c r="G6" i="1"/>
  <c r="E2" i="4" s="1"/>
  <c r="F3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  <c r="G38" i="2" l="1"/>
  <c r="G44" i="2" s="1"/>
  <c r="G34" i="2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H31" i="1" l="1"/>
  <c r="I31" i="1"/>
  <c r="H32" i="1"/>
  <c r="I32" i="1"/>
  <c r="H33" i="1"/>
  <c r="I33" i="1"/>
  <c r="G31" i="1"/>
  <c r="G32" i="1"/>
  <c r="G33" i="1"/>
  <c r="J32" i="1" l="1"/>
  <c r="E29" i="4"/>
  <c r="E28" i="4"/>
  <c r="E27" i="4"/>
  <c r="J33" i="1"/>
  <c r="J31" i="1"/>
  <c r="L31" i="1" l="1"/>
  <c r="J27" i="4" s="1"/>
  <c r="L32" i="1"/>
  <c r="J28" i="4" s="1"/>
  <c r="L33" i="1"/>
  <c r="J29" i="4" s="1"/>
  <c r="F34" i="1" l="1"/>
  <c r="E34" i="1"/>
  <c r="G27" i="1" l="1"/>
  <c r="E23" i="4" s="1"/>
  <c r="G28" i="1"/>
  <c r="E24" i="4" s="1"/>
  <c r="G29" i="1"/>
  <c r="E25" i="4" s="1"/>
  <c r="G30" i="1"/>
  <c r="E26" i="4" s="1"/>
  <c r="G2" i="4" l="1"/>
  <c r="F2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4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E3" i="4" s="1"/>
  <c r="I7" i="1"/>
  <c r="I34" i="1" l="1"/>
  <c r="G34" i="1"/>
  <c r="J29" i="1"/>
  <c r="J19" i="1"/>
  <c r="J27" i="1"/>
  <c r="J25" i="1"/>
  <c r="J7" i="1"/>
  <c r="J22" i="1"/>
  <c r="J8" i="1"/>
  <c r="J16" i="1"/>
  <c r="J9" i="1"/>
  <c r="J30" i="1"/>
  <c r="J28" i="1"/>
  <c r="J26" i="1"/>
  <c r="J24" i="1"/>
  <c r="J23" i="1"/>
  <c r="J21" i="1"/>
  <c r="J20" i="1"/>
  <c r="J18" i="1"/>
  <c r="J17" i="1"/>
  <c r="J15" i="1"/>
  <c r="J14" i="1"/>
  <c r="J13" i="1"/>
  <c r="J12" i="1"/>
  <c r="J11" i="1"/>
  <c r="J10" i="1"/>
  <c r="J6" i="1"/>
  <c r="L16" i="1" l="1"/>
  <c r="J12" i="4" s="1"/>
  <c r="L19" i="1"/>
  <c r="J15" i="4" s="1"/>
  <c r="L15" i="1"/>
  <c r="J11" i="4" s="1"/>
  <c r="L24" i="1"/>
  <c r="J20" i="4" s="1"/>
  <c r="L8" i="1"/>
  <c r="J4" i="4" s="1"/>
  <c r="L29" i="1"/>
  <c r="J25" i="4" s="1"/>
  <c r="L12" i="1"/>
  <c r="J8" i="4" s="1"/>
  <c r="L20" i="1"/>
  <c r="J16" i="4" s="1"/>
  <c r="L30" i="1"/>
  <c r="J26" i="4" s="1"/>
  <c r="L25" i="1"/>
  <c r="J21" i="4" s="1"/>
  <c r="L13" i="1"/>
  <c r="J9" i="4" s="1"/>
  <c r="L21" i="1"/>
  <c r="J17" i="4" s="1"/>
  <c r="L9" i="1"/>
  <c r="J5" i="4" s="1"/>
  <c r="L27" i="1"/>
  <c r="J23" i="4" s="1"/>
  <c r="L14" i="1"/>
  <c r="J10" i="4" s="1"/>
  <c r="L23" i="1"/>
  <c r="J19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J34" i="1"/>
  <c r="K34" i="1" l="1"/>
  <c r="L6" i="1"/>
  <c r="L34" i="1" l="1"/>
  <c r="J2" i="4"/>
</calcChain>
</file>

<file path=xl/sharedStrings.xml><?xml version="1.0" encoding="utf-8"?>
<sst xmlns="http://schemas.openxmlformats.org/spreadsheetml/2006/main" count="112" uniqueCount="46">
  <si>
    <t>Date</t>
  </si>
  <si>
    <t>Total (Rp)</t>
  </si>
  <si>
    <t>Hotel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</si>
  <si>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</si>
  <si>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</si>
  <si>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</si>
  <si>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</si>
  <si>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</si>
  <si>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</si>
  <si>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</si>
  <si>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</si>
  <si>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</si>
  <si>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</si>
  <si>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</si>
  <si>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</si>
  <si>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</si>
  <si>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</si>
  <si>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</si>
  <si>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</si>
  <si>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</si>
  <si>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</si>
  <si>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</si>
  <si>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</si>
  <si>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</si>
  <si>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</si>
  <si>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</si>
  <si>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</si>
  <si>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</si>
  <si>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</si>
  <si>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</si>
  <si>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</si>
  <si>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</si>
  <si>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</si>
  <si>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</si>
  <si>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</si>
  <si>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</si>
  <si>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Electricity Distribution 2018</t>
  </si>
  <si>
    <t>Tax for public  service 2.4%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</si>
  <si>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</si>
  <si>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</si>
  <si>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</si>
  <si>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</si>
  <si>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</si>
  <si>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Water Utility Supply (Rupiah)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</si>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</sst>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64" fontId="0" fillId="0" borderId="4" xfId="1" applyFont="1" applyBorder="1" applyAlignment="1">
      <alignment vertical="center"/>
    </xf>
    <xf numFmtId="164" fontId="0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0" fillId="0" borderId="4" xfId="1" applyFont="1" applyBorder="1" applyAlignment="1">
      <alignment horizontal="center"/>
    </xf>
    <xf numFmtId="164" fontId="0" fillId="0" borderId="5" xfId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64" fontId="0" fillId="0" borderId="5" xfId="1" applyFont="1" applyFill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workbookViewId="0">
      <selection activeCell="L6" sqref="L6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5703125" style="47" bestFit="1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43" t="s">
        <v>25</v>
      </c>
      <c r="B1" s="144" t="s">
        <v>24</v>
      </c>
      <c r="C1" s="144" t="s">
        <v>23</v>
      </c>
      <c r="D1" s="145" t="s">
        <v>22</v>
      </c>
      <c r="E1" s="53" t="s">
        <v>21</v>
      </c>
      <c r="F1" s="53" t="s">
        <v>26</v>
      </c>
      <c r="G1" s="53" t="s">
        <v>27</v>
      </c>
      <c r="H1" s="53" t="s">
        <v>39</v>
      </c>
      <c r="I1" s="53" t="s">
        <v>40</v>
      </c>
      <c r="J1" s="54" t="s">
        <v>28</v>
      </c>
      <c r="K1" s="57" t="s">
        <v>41</v>
      </c>
      <c r="L1" s="57" t="s">
        <v>30</v>
      </c>
      <c r="M1" s="57" t="s">
        <v>42</v>
      </c>
      <c r="N1" s="57" t="s">
        <v>43</v>
      </c>
      <c r="O1" s="53" t="s">
        <v>44</v>
      </c>
    </row>
    <row r="2" spans="1:15" x14ac:dyDescent="0.25">
      <c r="A2" s="51" t="s">
        <v>45</v>
      </c>
      <c r="B2" s="48">
        <v>1</v>
      </c>
      <c r="C2" s="48">
        <v>2</v>
      </c>
      <c r="D2" s="48">
        <v>2018</v>
      </c>
      <c r="E2" s="46">
        <f>Electricity!G6</f>
        <v>25520</v>
      </c>
      <c r="F2" s="46">
        <f>+Electricity!E6</f>
        <v>4480</v>
      </c>
      <c r="G2" s="46">
        <f>+Electricity!F6</f>
        <v>21040</v>
      </c>
      <c r="H2" s="50">
        <v>1553.67</v>
      </c>
      <c r="I2" s="60" t="s">
        <v>29</v>
      </c>
      <c r="J2" s="108">
        <f>Electricity!L6</f>
        <v>29443330.867199998</v>
      </c>
      <c r="K2" s="46">
        <f>J2/E2</f>
        <v>1153.7355355485893</v>
      </c>
      <c r="L2" s="61">
        <f>Water!G5</f>
        <v>454</v>
      </c>
      <c r="M2" s="61">
        <v>12550</v>
      </c>
      <c r="N2" s="108">
        <f>M2*L2</f>
        <v>5697700</v>
      </c>
      <c r="O2" s="46">
        <v>163</v>
      </c>
    </row>
    <row r="3" spans="1:15" x14ac:dyDescent="0.25">
      <c r="A3" s="51" t="s">
        <v>45</v>
      </c>
      <c r="B3" s="48">
        <v>2</v>
      </c>
      <c r="C3" s="48">
        <v>2</v>
      </c>
      <c r="D3" s="48">
        <v>2018</v>
      </c>
      <c r="E3" s="46">
        <f>Electricity!G7</f>
        <v>26160</v>
      </c>
      <c r="F3" s="46">
        <f>+Electricity!E7</f>
        <v>5480</v>
      </c>
      <c r="G3" s="46">
        <f>+Electricity!F7</f>
        <v>20680</v>
      </c>
      <c r="H3" s="50">
        <v>1553.67</v>
      </c>
      <c r="I3" s="60" t="s">
        <v>29</v>
      </c>
      <c r="J3" s="108">
        <f>Electricity!L7</f>
        <v>30652459.008000001</v>
      </c>
      <c r="K3" s="46">
        <f t="shared" ref="K3:K29" si="0">J3/E3</f>
        <v>1171.7300844036697</v>
      </c>
      <c r="L3" s="61">
        <f>Water!G6</f>
        <v>122</v>
      </c>
      <c r="M3" s="61">
        <v>12550</v>
      </c>
      <c r="N3" s="108">
        <f t="shared" ref="N3:N30" si="1">M3*L3</f>
        <v>1531100</v>
      </c>
      <c r="O3" s="46">
        <v>163</v>
      </c>
    </row>
    <row r="4" spans="1:15" x14ac:dyDescent="0.25">
      <c r="A4" s="51" t="s">
        <v>45</v>
      </c>
      <c r="B4" s="48">
        <v>3</v>
      </c>
      <c r="C4" s="48">
        <v>2</v>
      </c>
      <c r="D4" s="48">
        <v>2018</v>
      </c>
      <c r="E4" s="46">
        <f>Electricity!G8</f>
        <v>25400</v>
      </c>
      <c r="F4" s="46">
        <f>+Electricity!E8</f>
        <v>4720</v>
      </c>
      <c r="G4" s="46">
        <f>+Electricity!F8</f>
        <v>20680</v>
      </c>
      <c r="H4" s="50">
        <v>1553.67</v>
      </c>
      <c r="I4" s="60" t="s">
        <v>29</v>
      </c>
      <c r="J4" s="108">
        <f>Electricity!L8</f>
        <v>29443330.867199998</v>
      </c>
      <c r="K4" s="46">
        <f t="shared" si="0"/>
        <v>1159.1862546141731</v>
      </c>
      <c r="L4" s="61">
        <f>Water!G7</f>
        <v>394</v>
      </c>
      <c r="M4" s="61">
        <v>12550</v>
      </c>
      <c r="N4" s="108">
        <f t="shared" si="1"/>
        <v>4944700</v>
      </c>
      <c r="O4" s="46">
        <v>163</v>
      </c>
    </row>
    <row r="5" spans="1:15" x14ac:dyDescent="0.25">
      <c r="A5" s="51" t="s">
        <v>45</v>
      </c>
      <c r="B5" s="48">
        <v>4</v>
      </c>
      <c r="C5" s="48">
        <v>2</v>
      </c>
      <c r="D5" s="48">
        <v>2018</v>
      </c>
      <c r="E5" s="46">
        <f>Electricity!G9</f>
        <v>24320</v>
      </c>
      <c r="F5" s="46">
        <f>+Electricity!E9</f>
        <v>4720</v>
      </c>
      <c r="G5" s="46">
        <f>+Electricity!F9</f>
        <v>19600</v>
      </c>
      <c r="H5" s="50">
        <v>1553.67</v>
      </c>
      <c r="I5" s="60" t="s">
        <v>29</v>
      </c>
      <c r="J5" s="108">
        <f>Electricity!L9</f>
        <v>28297841.049599998</v>
      </c>
      <c r="K5" s="46">
        <f t="shared" si="0"/>
        <v>1163.5625431578947</v>
      </c>
      <c r="L5" s="61">
        <f>Water!G8</f>
        <v>404</v>
      </c>
      <c r="M5" s="61">
        <v>12550</v>
      </c>
      <c r="N5" s="108">
        <f t="shared" si="1"/>
        <v>5070200</v>
      </c>
      <c r="O5" s="46">
        <v>163</v>
      </c>
    </row>
    <row r="6" spans="1:15" x14ac:dyDescent="0.25">
      <c r="A6" s="51" t="s">
        <v>45</v>
      </c>
      <c r="B6" s="48">
        <v>5</v>
      </c>
      <c r="C6" s="48">
        <v>2</v>
      </c>
      <c r="D6" s="48">
        <v>2018</v>
      </c>
      <c r="E6" s="46">
        <f>Electricity!G10</f>
        <v>25160</v>
      </c>
      <c r="F6" s="46">
        <f>+Electricity!E10</f>
        <v>3960</v>
      </c>
      <c r="G6" s="46">
        <f>+Electricity!F10</f>
        <v>21200</v>
      </c>
      <c r="H6" s="50">
        <v>1553.67</v>
      </c>
      <c r="I6" s="60" t="s">
        <v>29</v>
      </c>
      <c r="J6" s="108">
        <f>Electricity!L10</f>
        <v>28785734.860799998</v>
      </c>
      <c r="K6" s="46">
        <f t="shared" si="0"/>
        <v>1144.107108934817</v>
      </c>
      <c r="L6" s="61">
        <f>Water!G9</f>
        <v>3</v>
      </c>
      <c r="M6" s="61">
        <v>12550</v>
      </c>
      <c r="N6" s="108">
        <f t="shared" si="1"/>
        <v>37650</v>
      </c>
      <c r="O6" s="46">
        <v>163</v>
      </c>
    </row>
    <row r="7" spans="1:15" x14ac:dyDescent="0.25">
      <c r="A7" s="51" t="s">
        <v>45</v>
      </c>
      <c r="B7" s="48">
        <v>6</v>
      </c>
      <c r="C7" s="48">
        <v>2</v>
      </c>
      <c r="D7" s="48">
        <v>2018</v>
      </c>
      <c r="E7" s="46">
        <f>Electricity!G11</f>
        <v>24480</v>
      </c>
      <c r="F7" s="46">
        <f>+Electricity!E11</f>
        <v>4760</v>
      </c>
      <c r="G7" s="46">
        <f>+Electricity!F11</f>
        <v>19720</v>
      </c>
      <c r="H7" s="50">
        <v>1553.67</v>
      </c>
      <c r="I7" s="60" t="s">
        <v>29</v>
      </c>
      <c r="J7" s="108">
        <f>Electricity!L11</f>
        <v>28488756.019199997</v>
      </c>
      <c r="K7" s="46">
        <f t="shared" si="0"/>
        <v>1163.7563733333332</v>
      </c>
      <c r="L7" s="61">
        <f>Water!G10</f>
        <v>480</v>
      </c>
      <c r="M7" s="61">
        <v>12550</v>
      </c>
      <c r="N7" s="108">
        <f t="shared" si="1"/>
        <v>6024000</v>
      </c>
      <c r="O7" s="46">
        <v>163</v>
      </c>
    </row>
    <row r="8" spans="1:15" x14ac:dyDescent="0.25">
      <c r="A8" s="51" t="s">
        <v>45</v>
      </c>
      <c r="B8" s="48">
        <v>7</v>
      </c>
      <c r="C8" s="48">
        <v>2</v>
      </c>
      <c r="D8" s="48">
        <v>2018</v>
      </c>
      <c r="E8" s="46">
        <f>Electricity!G12</f>
        <v>22840</v>
      </c>
      <c r="F8" s="46">
        <f>+Electricity!E12</f>
        <v>2920</v>
      </c>
      <c r="G8" s="46">
        <f>+Electricity!F12</f>
        <v>19920</v>
      </c>
      <c r="H8" s="50">
        <v>1553.67</v>
      </c>
      <c r="I8" s="60" t="s">
        <v>29</v>
      </c>
      <c r="J8" s="108">
        <f>Electricity!L12</f>
        <v>25773520.895999998</v>
      </c>
      <c r="K8" s="46">
        <f t="shared" si="0"/>
        <v>1128.4378676007004</v>
      </c>
      <c r="L8" s="61">
        <f>Water!G11</f>
        <v>415</v>
      </c>
      <c r="M8" s="61">
        <v>12550</v>
      </c>
      <c r="N8" s="108">
        <f t="shared" si="1"/>
        <v>5208250</v>
      </c>
      <c r="O8" s="46">
        <v>163</v>
      </c>
    </row>
    <row r="9" spans="1:15" x14ac:dyDescent="0.25">
      <c r="A9" s="51" t="s">
        <v>45</v>
      </c>
      <c r="B9" s="48">
        <v>8</v>
      </c>
      <c r="C9" s="48">
        <v>2</v>
      </c>
      <c r="D9" s="48">
        <v>2018</v>
      </c>
      <c r="E9" s="46">
        <f>Electricity!G13</f>
        <v>27000</v>
      </c>
      <c r="F9" s="46">
        <f>+Electricity!E13</f>
        <v>6960</v>
      </c>
      <c r="G9" s="46">
        <f>+Electricity!F13</f>
        <v>20040</v>
      </c>
      <c r="H9" s="50">
        <v>1553.67</v>
      </c>
      <c r="I9" s="60" t="s">
        <v>29</v>
      </c>
      <c r="J9" s="108">
        <f>Electricity!L13</f>
        <v>32328268.185599998</v>
      </c>
      <c r="K9" s="46">
        <f t="shared" si="0"/>
        <v>1197.3432661333331</v>
      </c>
      <c r="L9" s="61">
        <f>Water!G12</f>
        <v>256</v>
      </c>
      <c r="M9" s="61">
        <v>12550</v>
      </c>
      <c r="N9" s="108">
        <f t="shared" si="1"/>
        <v>3212800</v>
      </c>
      <c r="O9" s="46">
        <v>163</v>
      </c>
    </row>
    <row r="10" spans="1:15" x14ac:dyDescent="0.25">
      <c r="A10" s="51" t="s">
        <v>45</v>
      </c>
      <c r="B10" s="48">
        <v>9</v>
      </c>
      <c r="C10" s="48">
        <v>2</v>
      </c>
      <c r="D10" s="48">
        <v>2018</v>
      </c>
      <c r="E10" s="46">
        <f>Electricity!G14</f>
        <v>24160</v>
      </c>
      <c r="F10" s="46">
        <f>+Electricity!E14</f>
        <v>3720</v>
      </c>
      <c r="G10" s="46">
        <f>+Electricity!F14</f>
        <v>20440</v>
      </c>
      <c r="H10" s="50">
        <v>1553.67</v>
      </c>
      <c r="I10" s="60" t="s">
        <v>29</v>
      </c>
      <c r="J10" s="108">
        <f>Electricity!L14</f>
        <v>27597819.494399998</v>
      </c>
      <c r="K10" s="46">
        <f t="shared" si="0"/>
        <v>1142.293853245033</v>
      </c>
      <c r="L10" s="61">
        <f>Water!G13</f>
        <v>212</v>
      </c>
      <c r="M10" s="61">
        <v>12550</v>
      </c>
      <c r="N10" s="108">
        <f t="shared" si="1"/>
        <v>2660600</v>
      </c>
      <c r="O10" s="46">
        <v>163</v>
      </c>
    </row>
    <row r="11" spans="1:15" x14ac:dyDescent="0.25">
      <c r="A11" s="51" t="s">
        <v>45</v>
      </c>
      <c r="B11" s="48">
        <v>10</v>
      </c>
      <c r="C11" s="48">
        <v>2</v>
      </c>
      <c r="D11" s="48">
        <v>2018</v>
      </c>
      <c r="E11" s="46">
        <f>Electricity!G15</f>
        <v>25960</v>
      </c>
      <c r="F11" s="46">
        <f>+Electricity!E15</f>
        <v>5600</v>
      </c>
      <c r="G11" s="46">
        <f>+Electricity!F15</f>
        <v>20360</v>
      </c>
      <c r="H11" s="50">
        <v>1553.67</v>
      </c>
      <c r="I11" s="60" t="s">
        <v>29</v>
      </c>
      <c r="J11" s="108">
        <f>Electricity!L15</f>
        <v>30503969.587200001</v>
      </c>
      <c r="K11" s="46">
        <f t="shared" si="0"/>
        <v>1175.037349275809</v>
      </c>
      <c r="L11" s="61">
        <f>Water!G14</f>
        <v>471</v>
      </c>
      <c r="M11" s="61">
        <v>12550</v>
      </c>
      <c r="N11" s="108">
        <f t="shared" si="1"/>
        <v>5911050</v>
      </c>
      <c r="O11" s="46">
        <v>163</v>
      </c>
    </row>
    <row r="12" spans="1:15" x14ac:dyDescent="0.25">
      <c r="A12" s="51" t="s">
        <v>45</v>
      </c>
      <c r="B12" s="48">
        <v>11</v>
      </c>
      <c r="C12" s="48">
        <v>2</v>
      </c>
      <c r="D12" s="48">
        <v>2018</v>
      </c>
      <c r="E12" s="46">
        <f>Electricity!G16</f>
        <v>24600</v>
      </c>
      <c r="F12" s="46">
        <f>+Electricity!E16</f>
        <v>4080</v>
      </c>
      <c r="G12" s="46">
        <f>+Electricity!F16</f>
        <v>20520</v>
      </c>
      <c r="H12" s="50">
        <v>1553.67</v>
      </c>
      <c r="I12" s="60" t="s">
        <v>29</v>
      </c>
      <c r="J12" s="108">
        <f>Electricity!L16</f>
        <v>28255415.500799995</v>
      </c>
      <c r="K12" s="46">
        <f t="shared" si="0"/>
        <v>1148.5941260487803</v>
      </c>
      <c r="L12" s="61">
        <f>Water!G15</f>
        <v>406</v>
      </c>
      <c r="M12" s="61">
        <v>12550</v>
      </c>
      <c r="N12" s="108">
        <f t="shared" si="1"/>
        <v>5095300</v>
      </c>
      <c r="O12" s="46">
        <v>163</v>
      </c>
    </row>
    <row r="13" spans="1:15" x14ac:dyDescent="0.25">
      <c r="A13" s="51" t="s">
        <v>45</v>
      </c>
      <c r="B13" s="48">
        <v>12</v>
      </c>
      <c r="C13" s="48">
        <v>2</v>
      </c>
      <c r="D13" s="48">
        <v>2018</v>
      </c>
      <c r="E13" s="46">
        <f>Electricity!G17</f>
        <v>22760</v>
      </c>
      <c r="F13" s="46">
        <f>+Electricity!E17</f>
        <v>4560</v>
      </c>
      <c r="G13" s="46">
        <f>+Electricity!F17</f>
        <v>18200</v>
      </c>
      <c r="H13" s="50">
        <v>1553.67</v>
      </c>
      <c r="I13" s="60" t="s">
        <v>29</v>
      </c>
      <c r="J13" s="108">
        <f>Electricity!L17</f>
        <v>26558393.548799999</v>
      </c>
      <c r="K13" s="46">
        <f t="shared" si="0"/>
        <v>1166.8889959929702</v>
      </c>
      <c r="L13" s="61">
        <f>Water!G16</f>
        <v>36</v>
      </c>
      <c r="M13" s="61">
        <v>12550</v>
      </c>
      <c r="N13" s="108">
        <f t="shared" si="1"/>
        <v>451800</v>
      </c>
      <c r="O13" s="46">
        <v>163</v>
      </c>
    </row>
    <row r="14" spans="1:15" x14ac:dyDescent="0.25">
      <c r="A14" s="51" t="s">
        <v>45</v>
      </c>
      <c r="B14" s="48">
        <v>13</v>
      </c>
      <c r="C14" s="48">
        <v>2</v>
      </c>
      <c r="D14" s="48">
        <v>2018</v>
      </c>
      <c r="E14" s="46">
        <f>Electricity!G18</f>
        <v>27600</v>
      </c>
      <c r="F14" s="46">
        <f>+Electricity!E18</f>
        <v>5600</v>
      </c>
      <c r="G14" s="46">
        <f>+Electricity!F18</f>
        <v>22000</v>
      </c>
      <c r="H14" s="50">
        <v>1553.67</v>
      </c>
      <c r="I14" s="60" t="s">
        <v>29</v>
      </c>
      <c r="J14" s="108">
        <f>Electricity!L18</f>
        <v>32243417.088</v>
      </c>
      <c r="K14" s="46">
        <f t="shared" si="0"/>
        <v>1168.2397495652174</v>
      </c>
      <c r="L14" s="61">
        <f>Water!G17</f>
        <v>479</v>
      </c>
      <c r="M14" s="61">
        <v>12550</v>
      </c>
      <c r="N14" s="108">
        <f t="shared" si="1"/>
        <v>6011450</v>
      </c>
      <c r="O14" s="46">
        <v>163</v>
      </c>
    </row>
    <row r="15" spans="1:15" x14ac:dyDescent="0.25">
      <c r="A15" s="51" t="s">
        <v>45</v>
      </c>
      <c r="B15" s="48">
        <v>14</v>
      </c>
      <c r="C15" s="48">
        <v>2</v>
      </c>
      <c r="D15" s="48">
        <v>2018</v>
      </c>
      <c r="E15" s="46">
        <f>Electricity!G19</f>
        <v>23280</v>
      </c>
      <c r="F15" s="46">
        <f>+Electricity!E19</f>
        <v>4400</v>
      </c>
      <c r="G15" s="46">
        <f>+Electricity!F19</f>
        <v>18880</v>
      </c>
      <c r="H15" s="50">
        <v>1553.67</v>
      </c>
      <c r="I15" s="60" t="s">
        <v>29</v>
      </c>
      <c r="J15" s="108">
        <f>Electricity!L19</f>
        <v>27025074.5856</v>
      </c>
      <c r="K15" s="46">
        <f t="shared" si="0"/>
        <v>1160.8709014432989</v>
      </c>
      <c r="L15" s="61">
        <f>Water!G18</f>
        <v>449</v>
      </c>
      <c r="M15" s="61">
        <v>12550</v>
      </c>
      <c r="N15" s="108">
        <f t="shared" si="1"/>
        <v>5634950</v>
      </c>
      <c r="O15" s="46">
        <v>163</v>
      </c>
    </row>
    <row r="16" spans="1:15" x14ac:dyDescent="0.25">
      <c r="A16" s="51" t="s">
        <v>45</v>
      </c>
      <c r="B16" s="48">
        <v>15</v>
      </c>
      <c r="C16" s="48">
        <v>2</v>
      </c>
      <c r="D16" s="48">
        <v>2018</v>
      </c>
      <c r="E16" s="46">
        <f>Electricity!G20</f>
        <v>26160</v>
      </c>
      <c r="F16" s="46">
        <f>+Electricity!E20</f>
        <v>4560</v>
      </c>
      <c r="G16" s="46">
        <f>+Electricity!F20</f>
        <v>21600</v>
      </c>
      <c r="H16" s="50">
        <v>1553.67</v>
      </c>
      <c r="I16" s="60" t="s">
        <v>29</v>
      </c>
      <c r="J16" s="108">
        <f>Electricity!L20</f>
        <v>30164565.196800001</v>
      </c>
      <c r="K16" s="46">
        <f t="shared" si="0"/>
        <v>1153.0797093577983</v>
      </c>
      <c r="L16" s="61">
        <f>Water!G19</f>
        <v>362</v>
      </c>
      <c r="M16" s="61">
        <v>12550</v>
      </c>
      <c r="N16" s="108">
        <f t="shared" si="1"/>
        <v>4543100</v>
      </c>
      <c r="O16" s="46">
        <v>163</v>
      </c>
    </row>
    <row r="17" spans="1:15" x14ac:dyDescent="0.25">
      <c r="A17" s="51" t="s">
        <v>45</v>
      </c>
      <c r="B17" s="48">
        <v>16</v>
      </c>
      <c r="C17" s="48">
        <v>2</v>
      </c>
      <c r="D17" s="48">
        <v>2018</v>
      </c>
      <c r="E17" s="46">
        <f>Electricity!G21</f>
        <v>23120</v>
      </c>
      <c r="F17" s="46">
        <f>+Electricity!E21</f>
        <v>4000</v>
      </c>
      <c r="G17" s="46">
        <f>+Electricity!F21</f>
        <v>19120</v>
      </c>
      <c r="H17" s="50">
        <v>1553.67</v>
      </c>
      <c r="I17" s="60" t="s">
        <v>29</v>
      </c>
      <c r="J17" s="108">
        <f>Electricity!L21</f>
        <v>26643244.646399997</v>
      </c>
      <c r="K17" s="46">
        <f t="shared" si="0"/>
        <v>1152.3894743252595</v>
      </c>
      <c r="L17" s="61">
        <f>Water!G20</f>
        <v>400</v>
      </c>
      <c r="M17" s="61">
        <v>12550</v>
      </c>
      <c r="N17" s="108">
        <f t="shared" si="1"/>
        <v>5020000</v>
      </c>
      <c r="O17" s="46">
        <v>163</v>
      </c>
    </row>
    <row r="18" spans="1:15" x14ac:dyDescent="0.25">
      <c r="A18" s="51" t="s">
        <v>45</v>
      </c>
      <c r="B18" s="48">
        <v>17</v>
      </c>
      <c r="C18" s="48">
        <v>2</v>
      </c>
      <c r="D18" s="48">
        <v>2018</v>
      </c>
      <c r="E18" s="46">
        <f>Electricity!G22</f>
        <v>23320</v>
      </c>
      <c r="F18" s="46">
        <f>+Electricity!E22</f>
        <v>4400</v>
      </c>
      <c r="G18" s="46">
        <f>+Electricity!F22</f>
        <v>18920</v>
      </c>
      <c r="H18" s="50">
        <v>1553.67</v>
      </c>
      <c r="I18" s="60" t="s">
        <v>29</v>
      </c>
      <c r="J18" s="108">
        <f>Electricity!L22</f>
        <v>27067500.134399999</v>
      </c>
      <c r="K18" s="46">
        <f t="shared" si="0"/>
        <v>1160.6989766037736</v>
      </c>
      <c r="L18" s="61">
        <f>Water!G21</f>
        <v>140</v>
      </c>
      <c r="M18" s="61">
        <v>12550</v>
      </c>
      <c r="N18" s="108">
        <f t="shared" si="1"/>
        <v>1757000</v>
      </c>
      <c r="O18" s="46">
        <v>163</v>
      </c>
    </row>
    <row r="19" spans="1:15" x14ac:dyDescent="0.25">
      <c r="A19" s="51" t="s">
        <v>45</v>
      </c>
      <c r="B19" s="48">
        <v>18</v>
      </c>
      <c r="C19" s="48">
        <v>2</v>
      </c>
      <c r="D19" s="48">
        <v>2018</v>
      </c>
      <c r="E19" s="46">
        <f>Electricity!G23</f>
        <v>24400</v>
      </c>
      <c r="F19" s="46">
        <f>+Electricity!E23</f>
        <v>4520</v>
      </c>
      <c r="G19" s="46">
        <f>+Electricity!F23</f>
        <v>19880</v>
      </c>
      <c r="H19" s="50">
        <v>1553.67</v>
      </c>
      <c r="I19" s="60" t="s">
        <v>29</v>
      </c>
      <c r="J19" s="108">
        <f>Electricity!L23</f>
        <v>28276628.275199998</v>
      </c>
      <c r="K19" s="46">
        <f t="shared" si="0"/>
        <v>1158.8782079999999</v>
      </c>
      <c r="L19" s="61">
        <f>Water!G22</f>
        <v>356</v>
      </c>
      <c r="M19" s="61">
        <v>12550</v>
      </c>
      <c r="N19" s="108">
        <f t="shared" si="1"/>
        <v>4467800</v>
      </c>
      <c r="O19" s="46">
        <v>163</v>
      </c>
    </row>
    <row r="20" spans="1:15" x14ac:dyDescent="0.25">
      <c r="A20" s="51" t="s">
        <v>45</v>
      </c>
      <c r="B20" s="48">
        <v>19</v>
      </c>
      <c r="C20" s="48">
        <v>2</v>
      </c>
      <c r="D20" s="48">
        <v>2018</v>
      </c>
      <c r="E20" s="46">
        <f>Electricity!G24</f>
        <v>25400</v>
      </c>
      <c r="F20" s="46">
        <f>+Electricity!E24</f>
        <v>5000</v>
      </c>
      <c r="G20" s="46">
        <f>+Electricity!F24</f>
        <v>20400</v>
      </c>
      <c r="H20" s="50">
        <v>1553.67</v>
      </c>
      <c r="I20" s="60" t="s">
        <v>29</v>
      </c>
      <c r="J20" s="108">
        <f>Electricity!L24</f>
        <v>29591820.287999999</v>
      </c>
      <c r="K20" s="46">
        <f t="shared" si="0"/>
        <v>1165.0322948031496</v>
      </c>
      <c r="L20" s="61">
        <f>Water!G23</f>
        <v>72</v>
      </c>
      <c r="M20" s="61">
        <v>12550</v>
      </c>
      <c r="N20" s="108">
        <f t="shared" si="1"/>
        <v>903600</v>
      </c>
      <c r="O20" s="46">
        <v>163</v>
      </c>
    </row>
    <row r="21" spans="1:15" x14ac:dyDescent="0.25">
      <c r="A21" s="51" t="s">
        <v>45</v>
      </c>
      <c r="B21" s="48">
        <v>20</v>
      </c>
      <c r="C21" s="48">
        <v>2</v>
      </c>
      <c r="D21" s="48">
        <v>2018</v>
      </c>
      <c r="E21" s="46">
        <f>Electricity!G25</f>
        <v>25360</v>
      </c>
      <c r="F21" s="46">
        <f>+Electricity!E25</f>
        <v>4680</v>
      </c>
      <c r="G21" s="46">
        <f>+Electricity!F25</f>
        <v>20680</v>
      </c>
      <c r="H21" s="50">
        <v>1553.67</v>
      </c>
      <c r="I21" s="60" t="s">
        <v>29</v>
      </c>
      <c r="J21" s="108">
        <f>Electricity!L25</f>
        <v>29379692.544</v>
      </c>
      <c r="K21" s="46">
        <f t="shared" si="0"/>
        <v>1158.5052264984226</v>
      </c>
      <c r="L21" s="61">
        <f>Water!G24</f>
        <v>514</v>
      </c>
      <c r="M21" s="61">
        <v>12550</v>
      </c>
      <c r="N21" s="108">
        <f t="shared" si="1"/>
        <v>6450700</v>
      </c>
      <c r="O21" s="46">
        <v>163</v>
      </c>
    </row>
    <row r="22" spans="1:15" x14ac:dyDescent="0.25">
      <c r="A22" s="51" t="s">
        <v>45</v>
      </c>
      <c r="B22" s="48">
        <v>21</v>
      </c>
      <c r="C22" s="48">
        <v>2</v>
      </c>
      <c r="D22" s="48">
        <v>2018</v>
      </c>
      <c r="E22" s="46">
        <f>Electricity!G26</f>
        <v>25640</v>
      </c>
      <c r="F22" s="46">
        <f>+Electricity!E26</f>
        <v>4720</v>
      </c>
      <c r="G22" s="46">
        <f>+Electricity!F26</f>
        <v>20920</v>
      </c>
      <c r="H22" s="50">
        <v>1553.67</v>
      </c>
      <c r="I22" s="60" t="s">
        <v>29</v>
      </c>
      <c r="J22" s="108">
        <f>Electricity!L26</f>
        <v>29697884.159999996</v>
      </c>
      <c r="K22" s="46">
        <f t="shared" si="0"/>
        <v>1158.2638127925115</v>
      </c>
      <c r="L22" s="61">
        <f>Water!G25</f>
        <v>576</v>
      </c>
      <c r="M22" s="61">
        <v>12550</v>
      </c>
      <c r="N22" s="108">
        <f t="shared" si="1"/>
        <v>7228800</v>
      </c>
      <c r="O22" s="46">
        <v>163</v>
      </c>
    </row>
    <row r="23" spans="1:15" x14ac:dyDescent="0.25">
      <c r="A23" s="51" t="s">
        <v>45</v>
      </c>
      <c r="B23" s="48">
        <v>22</v>
      </c>
      <c r="C23" s="48">
        <v>2</v>
      </c>
      <c r="D23" s="48">
        <v>2018</v>
      </c>
      <c r="E23" s="46">
        <f>Electricity!G27</f>
        <v>26400</v>
      </c>
      <c r="F23" s="46">
        <f>+Electricity!E27</f>
        <v>5360</v>
      </c>
      <c r="G23" s="46">
        <f>+Electricity!F27</f>
        <v>21040</v>
      </c>
      <c r="H23" s="50">
        <v>1553.67</v>
      </c>
      <c r="I23" s="60" t="s">
        <v>29</v>
      </c>
      <c r="J23" s="108">
        <f>Electricity!L27</f>
        <v>30843373.977599997</v>
      </c>
      <c r="K23" s="46">
        <f t="shared" si="0"/>
        <v>1168.3096203636362</v>
      </c>
      <c r="L23" s="61">
        <f>Water!G26</f>
        <v>424</v>
      </c>
      <c r="M23" s="61">
        <v>12550</v>
      </c>
      <c r="N23" s="108">
        <f t="shared" si="1"/>
        <v>5321200</v>
      </c>
      <c r="O23" s="46">
        <v>163</v>
      </c>
    </row>
    <row r="24" spans="1:15" x14ac:dyDescent="0.25">
      <c r="A24" s="51" t="s">
        <v>45</v>
      </c>
      <c r="B24" s="48">
        <v>23</v>
      </c>
      <c r="C24" s="48">
        <v>2</v>
      </c>
      <c r="D24" s="48">
        <v>2018</v>
      </c>
      <c r="E24" s="46">
        <f>Electricity!G28</f>
        <v>25160</v>
      </c>
      <c r="F24" s="46">
        <f>+Electricity!E28</f>
        <v>4360</v>
      </c>
      <c r="G24" s="46">
        <f>+Electricity!F28</f>
        <v>20800</v>
      </c>
      <c r="H24" s="50">
        <v>1553.67</v>
      </c>
      <c r="I24" s="60" t="s">
        <v>29</v>
      </c>
      <c r="J24" s="108">
        <f>Electricity!L28</f>
        <v>28997862.604800001</v>
      </c>
      <c r="K24" s="46">
        <f t="shared" si="0"/>
        <v>1152.5382593322736</v>
      </c>
      <c r="L24" s="61">
        <f>Water!G27</f>
        <v>62</v>
      </c>
      <c r="M24" s="61">
        <v>12550</v>
      </c>
      <c r="N24" s="108">
        <f t="shared" si="1"/>
        <v>778100</v>
      </c>
      <c r="O24" s="46">
        <v>163</v>
      </c>
    </row>
    <row r="25" spans="1:15" x14ac:dyDescent="0.25">
      <c r="A25" s="51" t="s">
        <v>45</v>
      </c>
      <c r="B25" s="48">
        <v>24</v>
      </c>
      <c r="C25" s="48">
        <v>2</v>
      </c>
      <c r="D25" s="48">
        <v>2018</v>
      </c>
      <c r="E25" s="46">
        <f>Electricity!G29</f>
        <v>25720</v>
      </c>
      <c r="F25" s="46">
        <f>+Electricity!E29</f>
        <v>4560</v>
      </c>
      <c r="G25" s="46">
        <f>+Electricity!F29</f>
        <v>21160</v>
      </c>
      <c r="H25" s="50">
        <v>1553.67</v>
      </c>
      <c r="I25" s="60" t="s">
        <v>29</v>
      </c>
      <c r="J25" s="108">
        <f>Electricity!L29</f>
        <v>29697884.16</v>
      </c>
      <c r="K25" s="46">
        <f t="shared" si="0"/>
        <v>1154.6611259720062</v>
      </c>
      <c r="L25" s="61">
        <f>Water!G28</f>
        <v>557</v>
      </c>
      <c r="M25" s="61">
        <v>12550</v>
      </c>
      <c r="N25" s="108">
        <f t="shared" si="1"/>
        <v>6990350</v>
      </c>
      <c r="O25" s="46">
        <v>163</v>
      </c>
    </row>
    <row r="26" spans="1:15" x14ac:dyDescent="0.25">
      <c r="A26" s="51" t="s">
        <v>45</v>
      </c>
      <c r="B26" s="48">
        <v>25</v>
      </c>
      <c r="C26" s="48">
        <v>2</v>
      </c>
      <c r="D26" s="48">
        <v>2018</v>
      </c>
      <c r="E26" s="46">
        <f>Electricity!G30</f>
        <v>20280</v>
      </c>
      <c r="F26" s="46">
        <f>+Electricity!E30</f>
        <v>2080</v>
      </c>
      <c r="G26" s="46">
        <f>+Electricity!F30</f>
        <v>18200</v>
      </c>
      <c r="H26" s="50">
        <v>1553.67</v>
      </c>
      <c r="I26" s="60" t="s">
        <v>29</v>
      </c>
      <c r="J26" s="108">
        <f>Electricity!L30</f>
        <v>22612817.510400001</v>
      </c>
      <c r="K26" s="46">
        <f t="shared" si="0"/>
        <v>1115.0304492307694</v>
      </c>
      <c r="L26" s="61">
        <f>Water!G29</f>
        <v>335</v>
      </c>
      <c r="M26" s="61">
        <v>12550</v>
      </c>
      <c r="N26" s="108">
        <f t="shared" si="1"/>
        <v>4204250</v>
      </c>
      <c r="O26" s="46">
        <v>163</v>
      </c>
    </row>
    <row r="27" spans="1:15" x14ac:dyDescent="0.25">
      <c r="A27" s="51" t="s">
        <v>45</v>
      </c>
      <c r="B27" s="48">
        <v>26</v>
      </c>
      <c r="C27" s="48">
        <v>2</v>
      </c>
      <c r="D27" s="48">
        <v>2018</v>
      </c>
      <c r="E27" s="46">
        <f>Electricity!G31</f>
        <v>29360</v>
      </c>
      <c r="F27" s="46">
        <f>+Electricity!E31</f>
        <v>6400</v>
      </c>
      <c r="G27" s="46">
        <f>+Electricity!F31</f>
        <v>22960</v>
      </c>
      <c r="H27" s="50">
        <v>1553.67</v>
      </c>
      <c r="I27" s="60" t="s">
        <v>29</v>
      </c>
      <c r="J27" s="108">
        <f>Electricity!L31</f>
        <v>34534396.723199993</v>
      </c>
      <c r="K27" s="46">
        <f t="shared" si="0"/>
        <v>1176.2396704087191</v>
      </c>
      <c r="L27" s="61">
        <f>Water!G30</f>
        <v>407</v>
      </c>
      <c r="M27" s="61">
        <v>12550</v>
      </c>
      <c r="N27" s="108">
        <f t="shared" si="1"/>
        <v>5107850</v>
      </c>
      <c r="O27" s="46">
        <v>163</v>
      </c>
    </row>
    <row r="28" spans="1:15" x14ac:dyDescent="0.25">
      <c r="A28" s="51" t="s">
        <v>45</v>
      </c>
      <c r="B28" s="48">
        <v>27</v>
      </c>
      <c r="C28" s="48">
        <v>2</v>
      </c>
      <c r="D28" s="48">
        <v>2018</v>
      </c>
      <c r="E28" s="46">
        <f>Electricity!G32</f>
        <v>30240</v>
      </c>
      <c r="F28" s="46">
        <f>+Electricity!E32</f>
        <v>7080</v>
      </c>
      <c r="G28" s="46">
        <f>+Electricity!F32</f>
        <v>23160</v>
      </c>
      <c r="H28" s="50">
        <v>1553.67</v>
      </c>
      <c r="I28" s="60" t="s">
        <v>29</v>
      </c>
      <c r="J28" s="108">
        <f>Electricity!L32</f>
        <v>35828375.961599998</v>
      </c>
      <c r="K28" s="46">
        <f t="shared" si="0"/>
        <v>1184.8007923809523</v>
      </c>
      <c r="L28" s="61">
        <f>Water!G31</f>
        <v>114</v>
      </c>
      <c r="M28" s="61">
        <v>12550</v>
      </c>
      <c r="N28" s="108">
        <f t="shared" si="1"/>
        <v>1430700</v>
      </c>
      <c r="O28" s="46">
        <v>163</v>
      </c>
    </row>
    <row r="29" spans="1:15" x14ac:dyDescent="0.25">
      <c r="A29" s="51" t="s">
        <v>45</v>
      </c>
      <c r="B29" s="48">
        <v>28</v>
      </c>
      <c r="C29" s="48">
        <v>2</v>
      </c>
      <c r="D29" s="48">
        <v>2018</v>
      </c>
      <c r="E29" s="46">
        <f>Electricity!G33</f>
        <v>25680</v>
      </c>
      <c r="F29" s="46">
        <f>+Electricity!E33</f>
        <v>4360</v>
      </c>
      <c r="G29" s="46">
        <f>+Electricity!F33</f>
        <v>21320</v>
      </c>
      <c r="H29" s="50">
        <v>1553.67</v>
      </c>
      <c r="I29" s="60" t="s">
        <v>29</v>
      </c>
      <c r="J29" s="108">
        <f>Electricity!L33</f>
        <v>29549394.739199996</v>
      </c>
      <c r="K29" s="46">
        <f t="shared" si="0"/>
        <v>1150.6773652336447</v>
      </c>
      <c r="L29" s="61">
        <f>Water!G32</f>
        <v>484</v>
      </c>
      <c r="M29" s="61">
        <v>12550</v>
      </c>
      <c r="N29" s="108">
        <f t="shared" si="1"/>
        <v>6074200</v>
      </c>
      <c r="O29" s="46">
        <v>163</v>
      </c>
    </row>
    <row r="30" spans="1:15" s="46" customFormat="1" x14ac:dyDescent="0.25">
      <c r="A30" s="47"/>
      <c r="B30" s="49"/>
      <c r="C30" s="49"/>
      <c r="D30" s="48"/>
      <c r="I30" s="50"/>
      <c r="J30" s="108"/>
      <c r="K30" s="108"/>
      <c r="L30" s="108"/>
      <c r="M30" s="108"/>
      <c r="N30" s="108"/>
      <c r="O30" s="108"/>
    </row>
    <row r="31" spans="1:15" s="46" customFormat="1" x14ac:dyDescent="0.25">
      <c r="A31" s="47"/>
      <c r="B31" s="49"/>
      <c r="C31" s="49"/>
      <c r="D31" s="48"/>
      <c r="I31" s="50"/>
      <c r="J31" s="50"/>
      <c r="K31" s="50"/>
      <c r="L31" s="50"/>
      <c r="M31" s="50"/>
    </row>
    <row r="32" spans="1:15" s="46" customFormat="1" x14ac:dyDescent="0.25">
      <c r="A32" s="47"/>
      <c r="B32" s="49"/>
      <c r="C32" s="49"/>
      <c r="D32" s="48"/>
      <c r="I32" s="50"/>
      <c r="J32" s="50"/>
      <c r="K32" s="50"/>
      <c r="L32" s="50"/>
      <c r="M32" s="50"/>
    </row>
    <row r="33" spans="1:13" s="46" customFormat="1" x14ac:dyDescent="0.25">
      <c r="A33" s="47"/>
      <c r="B33" s="49"/>
      <c r="C33" s="49"/>
      <c r="D33" s="48"/>
      <c r="I33" s="50"/>
      <c r="J33" s="50"/>
      <c r="K33" s="50"/>
      <c r="L33" s="50"/>
      <c r="M33" s="50"/>
    </row>
    <row r="34" spans="1:13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3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2"/>
  <sheetViews>
    <sheetView view="pageBreakPreview" zoomScale="80" zoomScaleNormal="80" zoomScaleSheetLayoutView="80" workbookViewId="0">
      <pane ySplit="4" topLeftCell="A20" activePane="bottomLeft" state="frozen"/>
      <selection pane="bottomLeft" activeCell="H40" sqref="H40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4" customWidth="1"/>
    <col min="5" max="5" width="17.7109375" style="43" customWidth="1"/>
    <col min="6" max="6" width="17.7109375" style="11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87" customWidth="1"/>
    <col min="11" max="11" width="20.5703125" style="87" bestFit="1" customWidth="1"/>
    <col min="12" max="12" width="23.42578125" style="87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36</v>
      </c>
      <c r="C1" s="124"/>
      <c r="D1" s="124"/>
      <c r="E1" s="28"/>
      <c r="F1" s="29"/>
      <c r="G1" s="29"/>
      <c r="H1" s="27"/>
      <c r="I1" s="26"/>
      <c r="J1" s="95"/>
      <c r="K1" s="95"/>
      <c r="L1" s="104"/>
      <c r="M1" s="2"/>
      <c r="N1" s="2"/>
    </row>
    <row r="2" spans="2:17" s="3" customFormat="1" ht="63" customHeight="1" x14ac:dyDescent="0.25">
      <c r="B2" s="125" t="s">
        <v>0</v>
      </c>
      <c r="C2" s="137" t="s">
        <v>34</v>
      </c>
      <c r="D2" s="128" t="s">
        <v>10</v>
      </c>
      <c r="E2" s="131" t="s">
        <v>38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8</v>
      </c>
      <c r="F3" s="24" t="s">
        <v>14</v>
      </c>
      <c r="G3" s="24" t="s">
        <v>17</v>
      </c>
      <c r="H3" s="134" t="s">
        <v>18</v>
      </c>
      <c r="I3" s="135"/>
      <c r="J3" s="136"/>
      <c r="K3" s="119" t="s">
        <v>37</v>
      </c>
      <c r="L3" s="121" t="s">
        <v>3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5"/>
      <c r="D4" s="130"/>
      <c r="E4" s="19" t="s">
        <v>13</v>
      </c>
      <c r="F4" s="18" t="s">
        <v>15</v>
      </c>
      <c r="G4" s="18" t="s">
        <v>16</v>
      </c>
      <c r="H4" s="25" t="s">
        <v>8</v>
      </c>
      <c r="I4" s="18" t="s">
        <v>9</v>
      </c>
      <c r="J4" s="96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6" t="s">
        <v>35</v>
      </c>
      <c r="D5" s="88">
        <v>1035.78</v>
      </c>
      <c r="E5" s="18" t="s">
        <v>11</v>
      </c>
      <c r="F5" s="18" t="s">
        <v>11</v>
      </c>
      <c r="G5" s="18" t="s">
        <v>11</v>
      </c>
      <c r="H5" s="18" t="s">
        <v>12</v>
      </c>
      <c r="I5" s="18" t="s">
        <v>12</v>
      </c>
      <c r="J5" s="96" t="s">
        <v>12</v>
      </c>
      <c r="K5" s="103" t="s">
        <v>12</v>
      </c>
      <c r="L5" s="105" t="s">
        <v>12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43132</v>
      </c>
      <c r="C6" s="62">
        <v>163</v>
      </c>
      <c r="D6" s="89">
        <v>1035.78</v>
      </c>
      <c r="E6" s="111">
        <v>4480</v>
      </c>
      <c r="F6" s="111">
        <v>21040</v>
      </c>
      <c r="G6" s="82">
        <f>F6+E6</f>
        <v>25520</v>
      </c>
      <c r="H6" s="83">
        <f>E6*1.5*D6</f>
        <v>6960441.5999999996</v>
      </c>
      <c r="I6" s="83">
        <f>F6*D6</f>
        <v>21792811.199999999</v>
      </c>
      <c r="J6" s="83">
        <f t="shared" ref="J6:J30" si="0">I6+H6</f>
        <v>28753252.799999997</v>
      </c>
      <c r="K6" s="83">
        <f>J6*0.024</f>
        <v>690078.06719999993</v>
      </c>
      <c r="L6" s="106">
        <f>J6+K6</f>
        <v>29443330.867199998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43133</v>
      </c>
      <c r="C7" s="62">
        <v>163</v>
      </c>
      <c r="D7" s="89">
        <v>1035.78</v>
      </c>
      <c r="E7" s="112">
        <v>5480</v>
      </c>
      <c r="F7" s="112">
        <v>20680</v>
      </c>
      <c r="G7" s="82">
        <f t="shared" ref="G7:G33" si="1">F7+E7</f>
        <v>26160</v>
      </c>
      <c r="H7" s="83">
        <f t="shared" ref="H7:H33" si="2">E7*1.5*D7</f>
        <v>8514111.5999999996</v>
      </c>
      <c r="I7" s="83">
        <f t="shared" ref="I7:I33" si="3">F7*D7</f>
        <v>21419930.399999999</v>
      </c>
      <c r="J7" s="83">
        <f t="shared" si="0"/>
        <v>29934042</v>
      </c>
      <c r="K7" s="83">
        <f t="shared" ref="K7:K33" si="4">J7*0.024</f>
        <v>718417.00800000003</v>
      </c>
      <c r="L7" s="106">
        <f>J7+K7</f>
        <v>30652459.008000001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43134</v>
      </c>
      <c r="C8" s="62">
        <v>163</v>
      </c>
      <c r="D8" s="89">
        <v>1035.78</v>
      </c>
      <c r="E8" s="112">
        <v>4720</v>
      </c>
      <c r="F8" s="112">
        <v>20680</v>
      </c>
      <c r="G8" s="82">
        <f t="shared" si="1"/>
        <v>25400</v>
      </c>
      <c r="H8" s="83">
        <f t="shared" si="2"/>
        <v>7333322.3999999994</v>
      </c>
      <c r="I8" s="83">
        <f t="shared" si="3"/>
        <v>21419930.399999999</v>
      </c>
      <c r="J8" s="83">
        <f t="shared" si="0"/>
        <v>28753252.799999997</v>
      </c>
      <c r="K8" s="83">
        <f t="shared" si="4"/>
        <v>690078.06719999993</v>
      </c>
      <c r="L8" s="106">
        <f t="shared" ref="L8:L30" si="5">J8+K8</f>
        <v>29443330.867199998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43135</v>
      </c>
      <c r="C9" s="62">
        <v>163</v>
      </c>
      <c r="D9" s="89">
        <v>1035.78</v>
      </c>
      <c r="E9" s="112">
        <v>4720</v>
      </c>
      <c r="F9" s="112">
        <v>19600</v>
      </c>
      <c r="G9" s="82">
        <f t="shared" si="1"/>
        <v>24320</v>
      </c>
      <c r="H9" s="83">
        <f t="shared" si="2"/>
        <v>7333322.3999999994</v>
      </c>
      <c r="I9" s="83">
        <f t="shared" si="3"/>
        <v>20301288</v>
      </c>
      <c r="J9" s="83">
        <f t="shared" si="0"/>
        <v>27634610.399999999</v>
      </c>
      <c r="K9" s="83">
        <f t="shared" si="4"/>
        <v>663230.6496</v>
      </c>
      <c r="L9" s="106">
        <f t="shared" si="5"/>
        <v>28297841.049599998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43136</v>
      </c>
      <c r="C10" s="62">
        <v>163</v>
      </c>
      <c r="D10" s="89">
        <v>1035.78</v>
      </c>
      <c r="E10" s="112">
        <v>3960</v>
      </c>
      <c r="F10" s="112">
        <v>21200</v>
      </c>
      <c r="G10" s="82">
        <f t="shared" si="1"/>
        <v>25160</v>
      </c>
      <c r="H10" s="83">
        <f t="shared" si="2"/>
        <v>6152533.2000000002</v>
      </c>
      <c r="I10" s="83">
        <f t="shared" si="3"/>
        <v>21958536</v>
      </c>
      <c r="J10" s="83">
        <f t="shared" si="0"/>
        <v>28111069.199999999</v>
      </c>
      <c r="K10" s="83">
        <f t="shared" si="4"/>
        <v>674665.66079999995</v>
      </c>
      <c r="L10" s="106">
        <f t="shared" si="5"/>
        <v>28785734.860799998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43137</v>
      </c>
      <c r="C11" s="62">
        <v>163</v>
      </c>
      <c r="D11" s="89">
        <v>1035.78</v>
      </c>
      <c r="E11" s="112">
        <v>4760</v>
      </c>
      <c r="F11" s="112">
        <v>19720</v>
      </c>
      <c r="G11" s="82">
        <f t="shared" si="1"/>
        <v>24480</v>
      </c>
      <c r="H11" s="83">
        <f t="shared" si="2"/>
        <v>7395469.2000000002</v>
      </c>
      <c r="I11" s="83">
        <f t="shared" si="3"/>
        <v>20425581.599999998</v>
      </c>
      <c r="J11" s="83">
        <f t="shared" si="0"/>
        <v>27821050.799999997</v>
      </c>
      <c r="K11" s="83">
        <f t="shared" si="4"/>
        <v>667705.21919999993</v>
      </c>
      <c r="L11" s="106">
        <f t="shared" si="5"/>
        <v>28488756.019199997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43138</v>
      </c>
      <c r="C12" s="62">
        <v>163</v>
      </c>
      <c r="D12" s="89">
        <v>1035.78</v>
      </c>
      <c r="E12" s="112">
        <v>2920</v>
      </c>
      <c r="F12" s="112">
        <v>19920</v>
      </c>
      <c r="G12" s="82">
        <f t="shared" si="1"/>
        <v>22840</v>
      </c>
      <c r="H12" s="83">
        <f t="shared" si="2"/>
        <v>4536716.3999999994</v>
      </c>
      <c r="I12" s="83">
        <f t="shared" si="3"/>
        <v>20632737.599999998</v>
      </c>
      <c r="J12" s="83">
        <f t="shared" si="0"/>
        <v>25169453.999999996</v>
      </c>
      <c r="K12" s="83">
        <f t="shared" si="4"/>
        <v>604066.89599999995</v>
      </c>
      <c r="L12" s="106">
        <f t="shared" si="5"/>
        <v>25773520.895999998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43139</v>
      </c>
      <c r="C13" s="62">
        <v>163</v>
      </c>
      <c r="D13" s="89">
        <v>1035.78</v>
      </c>
      <c r="E13" s="112">
        <v>6960</v>
      </c>
      <c r="F13" s="112">
        <v>20040</v>
      </c>
      <c r="G13" s="82">
        <f t="shared" si="1"/>
        <v>27000</v>
      </c>
      <c r="H13" s="83">
        <f t="shared" si="2"/>
        <v>10813543.199999999</v>
      </c>
      <c r="I13" s="83">
        <f t="shared" si="3"/>
        <v>20757031.199999999</v>
      </c>
      <c r="J13" s="83">
        <f t="shared" si="0"/>
        <v>31570574.399999999</v>
      </c>
      <c r="K13" s="83">
        <f t="shared" si="4"/>
        <v>757693.78559999994</v>
      </c>
      <c r="L13" s="106">
        <f t="shared" si="5"/>
        <v>32328268.185599998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43140</v>
      </c>
      <c r="C14" s="62">
        <v>163</v>
      </c>
      <c r="D14" s="89">
        <v>1035.78</v>
      </c>
      <c r="E14" s="112">
        <v>3720</v>
      </c>
      <c r="F14" s="112">
        <v>20440</v>
      </c>
      <c r="G14" s="82">
        <f t="shared" si="1"/>
        <v>24160</v>
      </c>
      <c r="H14" s="83">
        <f t="shared" si="2"/>
        <v>5779652.3999999994</v>
      </c>
      <c r="I14" s="83">
        <f t="shared" si="3"/>
        <v>21171343.199999999</v>
      </c>
      <c r="J14" s="83">
        <f t="shared" si="0"/>
        <v>26950995.599999998</v>
      </c>
      <c r="K14" s="83">
        <f t="shared" si="4"/>
        <v>646823.89439999999</v>
      </c>
      <c r="L14" s="106">
        <f t="shared" si="5"/>
        <v>27597819.494399998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43141</v>
      </c>
      <c r="C15" s="62">
        <v>163</v>
      </c>
      <c r="D15" s="89">
        <v>1035.78</v>
      </c>
      <c r="E15" s="112">
        <v>5600</v>
      </c>
      <c r="F15" s="112">
        <v>20360</v>
      </c>
      <c r="G15" s="82">
        <f t="shared" si="1"/>
        <v>25960</v>
      </c>
      <c r="H15" s="83">
        <f t="shared" si="2"/>
        <v>8700552</v>
      </c>
      <c r="I15" s="83">
        <f t="shared" si="3"/>
        <v>21088480.800000001</v>
      </c>
      <c r="J15" s="83">
        <f t="shared" si="0"/>
        <v>29789032.800000001</v>
      </c>
      <c r="K15" s="83">
        <f t="shared" si="4"/>
        <v>714936.78720000002</v>
      </c>
      <c r="L15" s="106">
        <f t="shared" si="5"/>
        <v>30503969.587200001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43142</v>
      </c>
      <c r="C16" s="62">
        <v>163</v>
      </c>
      <c r="D16" s="89">
        <v>1035.78</v>
      </c>
      <c r="E16" s="112">
        <v>4080</v>
      </c>
      <c r="F16" s="112">
        <v>20520</v>
      </c>
      <c r="G16" s="82">
        <f t="shared" si="1"/>
        <v>24600</v>
      </c>
      <c r="H16" s="83">
        <f t="shared" si="2"/>
        <v>6338973.5999999996</v>
      </c>
      <c r="I16" s="83">
        <f t="shared" si="3"/>
        <v>21254205.599999998</v>
      </c>
      <c r="J16" s="83">
        <f t="shared" si="0"/>
        <v>27593179.199999996</v>
      </c>
      <c r="K16" s="83">
        <f t="shared" si="4"/>
        <v>662236.30079999985</v>
      </c>
      <c r="L16" s="106">
        <f t="shared" si="5"/>
        <v>28255415.500799995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43143</v>
      </c>
      <c r="C17" s="62">
        <v>163</v>
      </c>
      <c r="D17" s="89">
        <v>1035.78</v>
      </c>
      <c r="E17" s="112">
        <v>4560</v>
      </c>
      <c r="F17" s="112">
        <v>18200</v>
      </c>
      <c r="G17" s="82">
        <f t="shared" si="1"/>
        <v>22760</v>
      </c>
      <c r="H17" s="83">
        <f t="shared" si="2"/>
        <v>7084735.2000000002</v>
      </c>
      <c r="I17" s="83">
        <f t="shared" si="3"/>
        <v>18851196</v>
      </c>
      <c r="J17" s="83">
        <f t="shared" si="0"/>
        <v>25935931.199999999</v>
      </c>
      <c r="K17" s="83">
        <f t="shared" si="4"/>
        <v>622462.34880000004</v>
      </c>
      <c r="L17" s="106">
        <f t="shared" si="5"/>
        <v>26558393.548799999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43144</v>
      </c>
      <c r="C18" s="62">
        <v>163</v>
      </c>
      <c r="D18" s="89">
        <v>1035.78</v>
      </c>
      <c r="E18" s="112">
        <v>5600</v>
      </c>
      <c r="F18" s="112">
        <v>22000</v>
      </c>
      <c r="G18" s="82">
        <f t="shared" si="1"/>
        <v>27600</v>
      </c>
      <c r="H18" s="83">
        <f t="shared" si="2"/>
        <v>8700552</v>
      </c>
      <c r="I18" s="83">
        <f t="shared" si="3"/>
        <v>22787160</v>
      </c>
      <c r="J18" s="83">
        <f t="shared" si="0"/>
        <v>31487712</v>
      </c>
      <c r="K18" s="83">
        <f t="shared" si="4"/>
        <v>755705.08799999999</v>
      </c>
      <c r="L18" s="106">
        <f t="shared" si="5"/>
        <v>32243417.088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43145</v>
      </c>
      <c r="C19" s="62">
        <v>163</v>
      </c>
      <c r="D19" s="89">
        <v>1035.78</v>
      </c>
      <c r="E19" s="112">
        <v>4400</v>
      </c>
      <c r="F19" s="112">
        <v>18880</v>
      </c>
      <c r="G19" s="82">
        <f t="shared" si="1"/>
        <v>23280</v>
      </c>
      <c r="H19" s="83">
        <f t="shared" si="2"/>
        <v>6836148</v>
      </c>
      <c r="I19" s="83">
        <f t="shared" si="3"/>
        <v>19555526.399999999</v>
      </c>
      <c r="J19" s="83">
        <f t="shared" si="0"/>
        <v>26391674.399999999</v>
      </c>
      <c r="K19" s="83">
        <f t="shared" si="4"/>
        <v>633400.18559999997</v>
      </c>
      <c r="L19" s="106">
        <f t="shared" si="5"/>
        <v>27025074.5856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43146</v>
      </c>
      <c r="C20" s="62">
        <v>163</v>
      </c>
      <c r="D20" s="89">
        <v>1035.78</v>
      </c>
      <c r="E20" s="112">
        <v>4560</v>
      </c>
      <c r="F20" s="112">
        <v>21600</v>
      </c>
      <c r="G20" s="82">
        <f t="shared" si="1"/>
        <v>26160</v>
      </c>
      <c r="H20" s="83">
        <f t="shared" si="2"/>
        <v>7084735.2000000002</v>
      </c>
      <c r="I20" s="83">
        <f t="shared" si="3"/>
        <v>22372848</v>
      </c>
      <c r="J20" s="83">
        <f t="shared" si="0"/>
        <v>29457583.199999999</v>
      </c>
      <c r="K20" s="83">
        <f t="shared" si="4"/>
        <v>706981.99679999996</v>
      </c>
      <c r="L20" s="106">
        <f t="shared" si="5"/>
        <v>30164565.196800001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43147</v>
      </c>
      <c r="C21" s="62">
        <v>163</v>
      </c>
      <c r="D21" s="89">
        <v>1035.78</v>
      </c>
      <c r="E21" s="112">
        <v>4000</v>
      </c>
      <c r="F21" s="112">
        <v>19120</v>
      </c>
      <c r="G21" s="82">
        <f t="shared" si="1"/>
        <v>23120</v>
      </c>
      <c r="H21" s="83">
        <f t="shared" si="2"/>
        <v>6214680</v>
      </c>
      <c r="I21" s="83">
        <f t="shared" si="3"/>
        <v>19804113.599999998</v>
      </c>
      <c r="J21" s="83">
        <f t="shared" si="0"/>
        <v>26018793.599999998</v>
      </c>
      <c r="K21" s="83">
        <f t="shared" si="4"/>
        <v>624451.04639999999</v>
      </c>
      <c r="L21" s="106">
        <f t="shared" si="5"/>
        <v>26643244.646399997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43148</v>
      </c>
      <c r="C22" s="62">
        <v>163</v>
      </c>
      <c r="D22" s="89">
        <v>1035.78</v>
      </c>
      <c r="E22" s="112">
        <v>4400</v>
      </c>
      <c r="F22" s="112">
        <v>18920</v>
      </c>
      <c r="G22" s="82">
        <f t="shared" si="1"/>
        <v>23320</v>
      </c>
      <c r="H22" s="83">
        <f t="shared" si="2"/>
        <v>6836148</v>
      </c>
      <c r="I22" s="83">
        <f t="shared" si="3"/>
        <v>19596957.599999998</v>
      </c>
      <c r="J22" s="83">
        <f t="shared" si="0"/>
        <v>26433105.599999998</v>
      </c>
      <c r="K22" s="83">
        <f t="shared" si="4"/>
        <v>634394.5344</v>
      </c>
      <c r="L22" s="106">
        <f t="shared" si="5"/>
        <v>27067500.134399999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43149</v>
      </c>
      <c r="C23" s="62">
        <v>163</v>
      </c>
      <c r="D23" s="89">
        <v>1035.78</v>
      </c>
      <c r="E23" s="112">
        <v>4520</v>
      </c>
      <c r="F23" s="112">
        <v>19880</v>
      </c>
      <c r="G23" s="82">
        <f t="shared" si="1"/>
        <v>24400</v>
      </c>
      <c r="H23" s="83">
        <f t="shared" si="2"/>
        <v>7022588.3999999994</v>
      </c>
      <c r="I23" s="83">
        <f t="shared" si="3"/>
        <v>20591306.399999999</v>
      </c>
      <c r="J23" s="83">
        <f t="shared" si="0"/>
        <v>27613894.799999997</v>
      </c>
      <c r="K23" s="83">
        <f t="shared" si="4"/>
        <v>662733.47519999999</v>
      </c>
      <c r="L23" s="106">
        <f t="shared" si="5"/>
        <v>28276628.275199998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43150</v>
      </c>
      <c r="C24" s="62">
        <v>163</v>
      </c>
      <c r="D24" s="89">
        <v>1035.78</v>
      </c>
      <c r="E24" s="112">
        <v>5000</v>
      </c>
      <c r="F24" s="112">
        <v>20400</v>
      </c>
      <c r="G24" s="82">
        <f t="shared" si="1"/>
        <v>25400</v>
      </c>
      <c r="H24" s="83">
        <f t="shared" si="2"/>
        <v>7768350</v>
      </c>
      <c r="I24" s="83">
        <f t="shared" si="3"/>
        <v>21129912</v>
      </c>
      <c r="J24" s="83">
        <f t="shared" si="0"/>
        <v>28898262</v>
      </c>
      <c r="K24" s="83">
        <f t="shared" si="4"/>
        <v>693558.28800000006</v>
      </c>
      <c r="L24" s="106">
        <f t="shared" si="5"/>
        <v>29591820.287999999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43151</v>
      </c>
      <c r="C25" s="62">
        <v>163</v>
      </c>
      <c r="D25" s="89">
        <v>1035.78</v>
      </c>
      <c r="E25" s="112">
        <v>4680</v>
      </c>
      <c r="F25" s="112">
        <v>20680</v>
      </c>
      <c r="G25" s="82">
        <f t="shared" si="1"/>
        <v>25360</v>
      </c>
      <c r="H25" s="83">
        <f t="shared" si="2"/>
        <v>7271175.5999999996</v>
      </c>
      <c r="I25" s="83">
        <f t="shared" si="3"/>
        <v>21419930.399999999</v>
      </c>
      <c r="J25" s="83">
        <f t="shared" si="0"/>
        <v>28691106</v>
      </c>
      <c r="K25" s="83">
        <f t="shared" si="4"/>
        <v>688586.54399999999</v>
      </c>
      <c r="L25" s="106">
        <f t="shared" si="5"/>
        <v>29379692.544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43152</v>
      </c>
      <c r="C26" s="62">
        <v>163</v>
      </c>
      <c r="D26" s="89">
        <v>1035.78</v>
      </c>
      <c r="E26" s="112">
        <v>4720</v>
      </c>
      <c r="F26" s="112">
        <v>20920</v>
      </c>
      <c r="G26" s="82">
        <f t="shared" si="1"/>
        <v>25640</v>
      </c>
      <c r="H26" s="83">
        <f t="shared" si="2"/>
        <v>7333322.3999999994</v>
      </c>
      <c r="I26" s="83">
        <f t="shared" si="3"/>
        <v>21668517.599999998</v>
      </c>
      <c r="J26" s="83">
        <f t="shared" si="0"/>
        <v>29001839.999999996</v>
      </c>
      <c r="K26" s="83">
        <f t="shared" si="4"/>
        <v>696044.15999999992</v>
      </c>
      <c r="L26" s="106">
        <f>J26+K26</f>
        <v>29697884.159999996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43153</v>
      </c>
      <c r="C27" s="62">
        <v>163</v>
      </c>
      <c r="D27" s="89">
        <v>1035.78</v>
      </c>
      <c r="E27" s="112">
        <v>5360</v>
      </c>
      <c r="F27" s="112">
        <v>21040</v>
      </c>
      <c r="G27" s="82">
        <f t="shared" si="1"/>
        <v>26400</v>
      </c>
      <c r="H27" s="83">
        <f t="shared" si="2"/>
        <v>8327671.2000000002</v>
      </c>
      <c r="I27" s="83">
        <f t="shared" si="3"/>
        <v>21792811.199999999</v>
      </c>
      <c r="J27" s="83">
        <f t="shared" si="0"/>
        <v>30120482.399999999</v>
      </c>
      <c r="K27" s="83">
        <f t="shared" si="4"/>
        <v>722891.57759999996</v>
      </c>
      <c r="L27" s="106">
        <f t="shared" si="5"/>
        <v>30843373.977599997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43154</v>
      </c>
      <c r="C28" s="62">
        <v>163</v>
      </c>
      <c r="D28" s="89">
        <v>1035.78</v>
      </c>
      <c r="E28" s="112">
        <v>4360</v>
      </c>
      <c r="F28" s="112">
        <v>20800</v>
      </c>
      <c r="G28" s="82">
        <f t="shared" si="1"/>
        <v>25160</v>
      </c>
      <c r="H28" s="83">
        <f t="shared" si="2"/>
        <v>6774001.2000000002</v>
      </c>
      <c r="I28" s="83">
        <f t="shared" si="3"/>
        <v>21544224</v>
      </c>
      <c r="J28" s="83">
        <f t="shared" si="0"/>
        <v>28318225.199999999</v>
      </c>
      <c r="K28" s="83">
        <f t="shared" si="4"/>
        <v>679637.40480000002</v>
      </c>
      <c r="L28" s="106">
        <f t="shared" si="5"/>
        <v>28997862.604800001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43155</v>
      </c>
      <c r="C29" s="62">
        <v>163</v>
      </c>
      <c r="D29" s="89">
        <v>1035.78</v>
      </c>
      <c r="E29" s="112">
        <v>4560</v>
      </c>
      <c r="F29" s="112">
        <v>21160</v>
      </c>
      <c r="G29" s="82">
        <f t="shared" si="1"/>
        <v>25720</v>
      </c>
      <c r="H29" s="83">
        <f t="shared" si="2"/>
        <v>7084735.2000000002</v>
      </c>
      <c r="I29" s="83">
        <f t="shared" si="3"/>
        <v>21917104.800000001</v>
      </c>
      <c r="J29" s="83">
        <f t="shared" si="0"/>
        <v>29001840</v>
      </c>
      <c r="K29" s="83">
        <f t="shared" si="4"/>
        <v>696044.16</v>
      </c>
      <c r="L29" s="106">
        <f t="shared" si="5"/>
        <v>29697884.16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43156</v>
      </c>
      <c r="C30" s="62">
        <v>163</v>
      </c>
      <c r="D30" s="89">
        <v>1035.78</v>
      </c>
      <c r="E30" s="112">
        <v>2080</v>
      </c>
      <c r="F30" s="112">
        <v>18200</v>
      </c>
      <c r="G30" s="82">
        <f t="shared" si="1"/>
        <v>20280</v>
      </c>
      <c r="H30" s="83">
        <f t="shared" si="2"/>
        <v>3231633.6</v>
      </c>
      <c r="I30" s="83">
        <f t="shared" si="3"/>
        <v>18851196</v>
      </c>
      <c r="J30" s="83">
        <f t="shared" si="0"/>
        <v>22082829.600000001</v>
      </c>
      <c r="K30" s="83">
        <f t="shared" si="4"/>
        <v>529987.91040000005</v>
      </c>
      <c r="L30" s="106">
        <f t="shared" si="5"/>
        <v>22612817.510400001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43157</v>
      </c>
      <c r="C31" s="62">
        <v>163</v>
      </c>
      <c r="D31" s="89">
        <v>1035.78</v>
      </c>
      <c r="E31" s="112">
        <v>6400</v>
      </c>
      <c r="F31" s="112">
        <v>22960</v>
      </c>
      <c r="G31" s="82">
        <f t="shared" si="1"/>
        <v>29360</v>
      </c>
      <c r="H31" s="83">
        <f t="shared" si="2"/>
        <v>9943488</v>
      </c>
      <c r="I31" s="83">
        <f t="shared" si="3"/>
        <v>23781508.800000001</v>
      </c>
      <c r="J31" s="83">
        <f t="shared" ref="J31:J33" si="6">I31+H31</f>
        <v>33724996.799999997</v>
      </c>
      <c r="K31" s="83">
        <f t="shared" si="4"/>
        <v>809399.92319999996</v>
      </c>
      <c r="L31" s="106">
        <f t="shared" ref="L31:L33" si="7">J31+K31</f>
        <v>34534396.723199993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43158</v>
      </c>
      <c r="C32" s="62">
        <v>163</v>
      </c>
      <c r="D32" s="89">
        <v>1035.78</v>
      </c>
      <c r="E32" s="112">
        <v>7080</v>
      </c>
      <c r="F32" s="112">
        <v>23160</v>
      </c>
      <c r="G32" s="82">
        <f t="shared" si="1"/>
        <v>30240</v>
      </c>
      <c r="H32" s="83">
        <f t="shared" si="2"/>
        <v>10999983.6</v>
      </c>
      <c r="I32" s="83">
        <f t="shared" si="3"/>
        <v>23988664.800000001</v>
      </c>
      <c r="J32" s="83">
        <f t="shared" si="6"/>
        <v>34988648.399999999</v>
      </c>
      <c r="K32" s="83">
        <f t="shared" si="4"/>
        <v>839727.56160000002</v>
      </c>
      <c r="L32" s="106">
        <f t="shared" si="7"/>
        <v>35828375.961599998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43159</v>
      </c>
      <c r="C33" s="62">
        <v>163</v>
      </c>
      <c r="D33" s="89">
        <v>1035.78</v>
      </c>
      <c r="E33" s="112">
        <v>4360</v>
      </c>
      <c r="F33" s="112">
        <v>21320</v>
      </c>
      <c r="G33" s="82">
        <f t="shared" si="1"/>
        <v>25680</v>
      </c>
      <c r="H33" s="83">
        <f t="shared" si="2"/>
        <v>6774001.2000000002</v>
      </c>
      <c r="I33" s="83">
        <f t="shared" si="3"/>
        <v>22082829.599999998</v>
      </c>
      <c r="J33" s="83">
        <f t="shared" si="6"/>
        <v>28856830.799999997</v>
      </c>
      <c r="K33" s="83">
        <f t="shared" si="4"/>
        <v>692563.93919999991</v>
      </c>
      <c r="L33" s="106">
        <f t="shared" si="7"/>
        <v>29549394.739199996</v>
      </c>
      <c r="M33" s="1"/>
      <c r="N33" s="1"/>
      <c r="O33" s="1"/>
      <c r="P33" s="1"/>
      <c r="Q33" s="1"/>
    </row>
    <row r="34" spans="2:17" s="1" customFormat="1" x14ac:dyDescent="0.25">
      <c r="B34" s="7"/>
      <c r="C34" s="9">
        <f>SUM(C6:C33)</f>
        <v>4564</v>
      </c>
      <c r="D34" s="90" t="s">
        <v>2</v>
      </c>
      <c r="E34" s="84">
        <f t="shared" ref="E34:L34" si="8">SUM(E5:E33)</f>
        <v>132040</v>
      </c>
      <c r="F34" s="84">
        <f t="shared" si="8"/>
        <v>573440</v>
      </c>
      <c r="G34" s="84">
        <f t="shared" si="8"/>
        <v>705480</v>
      </c>
      <c r="H34" s="84">
        <f t="shared" si="8"/>
        <v>205146586.79999995</v>
      </c>
      <c r="I34" s="84">
        <f t="shared" si="8"/>
        <v>593957683.19999993</v>
      </c>
      <c r="J34" s="84">
        <f t="shared" si="8"/>
        <v>799104269.99999988</v>
      </c>
      <c r="K34" s="84">
        <f t="shared" si="8"/>
        <v>19178502.479999997</v>
      </c>
      <c r="L34" s="84">
        <f t="shared" si="8"/>
        <v>818282772.4799999</v>
      </c>
    </row>
    <row r="35" spans="2:17" s="1" customFormat="1" x14ac:dyDescent="0.25">
      <c r="B35" s="7"/>
      <c r="C35" s="7"/>
      <c r="D35" s="90"/>
      <c r="E35" s="31"/>
      <c r="F35" s="31"/>
      <c r="G35" s="32"/>
      <c r="H35" s="9"/>
      <c r="J35" s="97"/>
      <c r="K35" s="15"/>
      <c r="L35" s="85"/>
    </row>
    <row r="36" spans="2:17" s="1" customFormat="1" x14ac:dyDescent="0.25">
      <c r="B36" s="7"/>
      <c r="C36" s="7"/>
      <c r="D36" s="91"/>
      <c r="E36" s="31"/>
      <c r="F36" s="33"/>
      <c r="G36" s="32"/>
      <c r="H36" s="8"/>
      <c r="I36" s="10"/>
      <c r="J36" s="97"/>
      <c r="K36" s="15"/>
      <c r="L36" s="78"/>
      <c r="N36" s="7"/>
    </row>
    <row r="37" spans="2:17" s="1" customFormat="1" x14ac:dyDescent="0.25">
      <c r="B37" s="7"/>
      <c r="C37" s="7"/>
      <c r="D37" s="92"/>
      <c r="E37" s="31"/>
      <c r="F37" s="34"/>
      <c r="G37" s="32"/>
      <c r="H37" s="9"/>
      <c r="J37" s="98"/>
      <c r="K37" s="85"/>
      <c r="L37" s="78"/>
      <c r="N37" s="7"/>
    </row>
    <row r="38" spans="2:17" s="1" customFormat="1" x14ac:dyDescent="0.25">
      <c r="B38" s="7"/>
      <c r="C38" s="7"/>
      <c r="D38" s="92"/>
      <c r="E38" s="31"/>
      <c r="F38" s="33"/>
      <c r="G38" s="32"/>
      <c r="H38" s="9"/>
      <c r="J38" s="99"/>
      <c r="K38" s="78"/>
      <c r="L38" s="85"/>
      <c r="N38" s="7"/>
    </row>
    <row r="39" spans="2:17" s="1" customFormat="1" x14ac:dyDescent="0.25">
      <c r="B39" s="7"/>
      <c r="C39" s="7"/>
      <c r="D39" s="92"/>
      <c r="E39" s="31"/>
      <c r="F39" s="33"/>
      <c r="G39" s="32"/>
      <c r="H39" s="9"/>
      <c r="J39" s="100"/>
      <c r="K39" s="78"/>
      <c r="L39" s="85"/>
      <c r="N39" s="7"/>
    </row>
    <row r="40" spans="2:17" s="1" customFormat="1" x14ac:dyDescent="0.25">
      <c r="B40" s="7"/>
      <c r="C40" s="7"/>
      <c r="D40" s="91"/>
      <c r="E40" s="31"/>
      <c r="F40" s="31"/>
      <c r="G40" s="32"/>
      <c r="H40" s="9"/>
      <c r="J40" s="98"/>
      <c r="K40" s="15"/>
      <c r="L40" s="85"/>
      <c r="N40" s="7"/>
    </row>
    <row r="41" spans="2:17" s="1" customFormat="1" x14ac:dyDescent="0.25">
      <c r="B41" s="7"/>
      <c r="C41" s="7"/>
      <c r="D41" s="92"/>
      <c r="E41" s="32"/>
      <c r="F41" s="32"/>
      <c r="G41" s="32"/>
      <c r="J41" s="101"/>
      <c r="K41" s="78"/>
      <c r="L41" s="78"/>
      <c r="N41" s="7"/>
    </row>
    <row r="42" spans="2:17" s="1" customFormat="1" x14ac:dyDescent="0.25">
      <c r="B42" s="7"/>
      <c r="C42" s="7"/>
      <c r="D42" s="91"/>
      <c r="E42" s="35"/>
      <c r="F42" s="35"/>
      <c r="G42" s="36" t="s">
        <v>7</v>
      </c>
      <c r="H42" s="9"/>
      <c r="J42" s="98"/>
      <c r="K42" s="85"/>
      <c r="L42" s="85"/>
      <c r="M42" s="11"/>
      <c r="N42" s="7"/>
    </row>
    <row r="43" spans="2:17" s="1" customFormat="1" ht="21" x14ac:dyDescent="0.25">
      <c r="B43" s="7"/>
      <c r="C43" s="7"/>
      <c r="D43" s="92"/>
      <c r="E43" s="32"/>
      <c r="F43" s="32"/>
      <c r="G43" s="37"/>
      <c r="H43" s="7"/>
      <c r="J43" s="102"/>
      <c r="K43" s="85"/>
      <c r="L43" s="107"/>
      <c r="N43" s="7"/>
    </row>
    <row r="44" spans="2:17" s="1" customFormat="1" x14ac:dyDescent="0.25">
      <c r="D44" s="91"/>
      <c r="E44" s="38"/>
      <c r="F44" s="32"/>
      <c r="G44" s="30"/>
      <c r="J44" s="85"/>
      <c r="K44" s="85"/>
      <c r="L44" s="85"/>
      <c r="M44" s="16"/>
      <c r="N44" s="7"/>
    </row>
    <row r="45" spans="2:17" s="1" customFormat="1" x14ac:dyDescent="0.25">
      <c r="D45" s="92"/>
      <c r="E45" s="32"/>
      <c r="F45" s="32"/>
      <c r="G45" s="30"/>
      <c r="J45" s="85"/>
      <c r="K45" s="85"/>
      <c r="L45" s="85"/>
    </row>
    <row r="46" spans="2:17" s="1" customFormat="1" x14ac:dyDescent="0.25">
      <c r="D46" s="92"/>
      <c r="E46" s="32"/>
      <c r="F46" s="32"/>
      <c r="G46" s="39"/>
      <c r="J46" s="85"/>
      <c r="K46" s="85"/>
      <c r="L46" s="85"/>
    </row>
    <row r="47" spans="2:17" s="1" customFormat="1" x14ac:dyDescent="0.25">
      <c r="B47" s="12"/>
      <c r="C47" s="12"/>
      <c r="D47" s="93"/>
      <c r="E47" s="40"/>
      <c r="F47" s="32"/>
      <c r="G47" s="41"/>
      <c r="H47" s="12"/>
      <c r="I47" s="12"/>
      <c r="J47" s="86"/>
      <c r="K47" s="86"/>
      <c r="L47" s="86"/>
    </row>
    <row r="48" spans="2:17" s="12" customFormat="1" x14ac:dyDescent="0.25">
      <c r="D48" s="93"/>
      <c r="E48" s="40"/>
      <c r="F48" s="32"/>
      <c r="G48" s="42"/>
      <c r="J48" s="86"/>
      <c r="K48" s="86"/>
      <c r="L48" s="86"/>
    </row>
    <row r="49" spans="2:12" s="12" customFormat="1" x14ac:dyDescent="0.25">
      <c r="D49" s="93"/>
      <c r="E49" s="40"/>
      <c r="F49" s="32"/>
      <c r="G49" s="40"/>
      <c r="J49" s="86"/>
      <c r="K49" s="86"/>
      <c r="L49" s="86"/>
    </row>
    <row r="50" spans="2:12" s="12" customFormat="1" x14ac:dyDescent="0.25">
      <c r="D50" s="93"/>
      <c r="E50" s="40"/>
      <c r="F50" s="32"/>
      <c r="G50" s="42"/>
      <c r="J50" s="86"/>
      <c r="K50" s="86"/>
      <c r="L50" s="86"/>
    </row>
    <row r="51" spans="2:12" s="12" customFormat="1" x14ac:dyDescent="0.25">
      <c r="D51" s="93"/>
      <c r="E51" s="40"/>
      <c r="F51" s="32"/>
      <c r="G51" s="40"/>
      <c r="J51" s="86"/>
      <c r="K51" s="86"/>
      <c r="L51" s="86"/>
    </row>
    <row r="52" spans="2:12" s="12" customFormat="1" x14ac:dyDescent="0.25">
      <c r="B52" s="13"/>
      <c r="C52" s="13"/>
      <c r="D52" s="94"/>
      <c r="E52" s="43"/>
      <c r="F52" s="113"/>
      <c r="G52" s="43"/>
      <c r="H52" s="13"/>
      <c r="I52" s="13"/>
      <c r="J52" s="87"/>
      <c r="K52" s="87"/>
      <c r="L52" s="87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3">
    <cfRule type="cellIs" dxfId="5" priority="139" operator="greaterThan">
      <formula>$G$44</formula>
    </cfRule>
  </conditionalFormatting>
  <conditionalFormatting sqref="G6:G33">
    <cfRule type="cellIs" dxfId="4" priority="138" operator="greaterThan">
      <formula>$G$44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$D$44</formula>
    </cfRule>
  </conditionalFormatting>
  <conditionalFormatting sqref="E30:E33">
    <cfRule type="cellIs" dxfId="1" priority="7" operator="greaterThan">
      <formula>#REF!</formula>
    </cfRule>
  </conditionalFormatting>
  <conditionalFormatting sqref="F30:F33">
    <cfRule type="cellIs" dxfId="0" priority="6" operator="greaterThan">
      <formula>$D$44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4"/>
  <sheetViews>
    <sheetView tabSelected="1" topLeftCell="A7" zoomScaleNormal="100" workbookViewId="0">
      <selection activeCell="F9" sqref="F9"/>
    </sheetView>
  </sheetViews>
  <sheetFormatPr defaultRowHeight="15" x14ac:dyDescent="0.25"/>
  <cols>
    <col min="1" max="4" width="9.140625" style="58"/>
    <col min="5" max="5" width="19.28515625" style="70" customWidth="1"/>
    <col min="6" max="6" width="29" style="70" customWidth="1"/>
    <col min="7" max="7" width="33.140625" style="70" customWidth="1"/>
    <col min="8" max="8" width="13.42578125" style="58" bestFit="1" customWidth="1"/>
    <col min="9" max="9" width="11.5703125" style="58" bestFit="1" customWidth="1"/>
    <col min="10" max="43" width="9.140625" style="58"/>
    <col min="44" max="16384" width="9.140625" style="64"/>
  </cols>
  <sheetData>
    <row r="1" spans="1:43" ht="15" customHeight="1" x14ac:dyDescent="0.25">
      <c r="B1" s="139" t="s">
        <v>4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7" customFormat="1" ht="27" customHeight="1" x14ac:dyDescent="0.3">
      <c r="A3" s="65"/>
      <c r="B3" s="140" t="s">
        <v>0</v>
      </c>
      <c r="C3" s="140" t="s">
        <v>23</v>
      </c>
      <c r="D3" s="141" t="s">
        <v>22</v>
      </c>
      <c r="E3" s="109" t="s">
        <v>31</v>
      </c>
      <c r="F3" s="109" t="s">
        <v>33</v>
      </c>
      <c r="G3" s="80" t="s">
        <v>19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</row>
    <row r="4" spans="1:43" s="67" customFormat="1" ht="27" customHeight="1" x14ac:dyDescent="0.3">
      <c r="A4" s="65"/>
      <c r="B4" s="140"/>
      <c r="C4" s="140"/>
      <c r="D4" s="142"/>
      <c r="E4" s="110" t="s">
        <v>32</v>
      </c>
      <c r="F4" s="109" t="s">
        <v>32</v>
      </c>
      <c r="G4" s="66" t="s">
        <v>32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</row>
    <row r="5" spans="1:43" ht="15.75" x14ac:dyDescent="0.25">
      <c r="B5" s="81">
        <v>1</v>
      </c>
      <c r="C5" s="81">
        <v>2</v>
      </c>
      <c r="D5" s="81">
        <v>2018</v>
      </c>
      <c r="E5" s="114">
        <v>100</v>
      </c>
      <c r="F5" s="114">
        <v>354</v>
      </c>
      <c r="G5" s="59">
        <f>E5+F5</f>
        <v>454</v>
      </c>
    </row>
    <row r="6" spans="1:43" ht="15.75" x14ac:dyDescent="0.25">
      <c r="B6" s="81">
        <v>2</v>
      </c>
      <c r="C6" s="81">
        <v>2</v>
      </c>
      <c r="D6" s="81">
        <v>2018</v>
      </c>
      <c r="E6" s="115">
        <v>25</v>
      </c>
      <c r="F6" s="115">
        <v>97</v>
      </c>
      <c r="G6" s="59">
        <f t="shared" ref="G6:G32" si="0">E6+F6</f>
        <v>122</v>
      </c>
    </row>
    <row r="7" spans="1:43" ht="15.75" x14ac:dyDescent="0.25">
      <c r="B7" s="81">
        <v>3</v>
      </c>
      <c r="C7" s="81">
        <v>2</v>
      </c>
      <c r="D7" s="81">
        <v>2018</v>
      </c>
      <c r="E7" s="115">
        <v>80</v>
      </c>
      <c r="F7" s="115">
        <v>314</v>
      </c>
      <c r="G7" s="59">
        <f t="shared" si="0"/>
        <v>394</v>
      </c>
    </row>
    <row r="8" spans="1:43" ht="15.75" x14ac:dyDescent="0.25">
      <c r="B8" s="81">
        <v>4</v>
      </c>
      <c r="C8" s="81">
        <v>2</v>
      </c>
      <c r="D8" s="81">
        <v>2018</v>
      </c>
      <c r="E8" s="115">
        <v>82</v>
      </c>
      <c r="F8" s="115">
        <v>322</v>
      </c>
      <c r="G8" s="59">
        <f t="shared" si="0"/>
        <v>404</v>
      </c>
    </row>
    <row r="9" spans="1:43" ht="15.75" x14ac:dyDescent="0.25">
      <c r="B9" s="81">
        <v>5</v>
      </c>
      <c r="C9" s="81">
        <v>2</v>
      </c>
      <c r="D9" s="81">
        <v>2018</v>
      </c>
      <c r="E9" s="116">
        <v>0</v>
      </c>
      <c r="F9" s="115">
        <v>3</v>
      </c>
      <c r="G9" s="59">
        <f t="shared" si="0"/>
        <v>3</v>
      </c>
    </row>
    <row r="10" spans="1:43" ht="15.75" x14ac:dyDescent="0.25">
      <c r="B10" s="81">
        <v>6</v>
      </c>
      <c r="C10" s="81">
        <v>2</v>
      </c>
      <c r="D10" s="81">
        <v>2018</v>
      </c>
      <c r="E10" s="115">
        <v>98</v>
      </c>
      <c r="F10" s="115">
        <v>382</v>
      </c>
      <c r="G10" s="59">
        <f t="shared" si="0"/>
        <v>480</v>
      </c>
    </row>
    <row r="11" spans="1:43" ht="15.75" x14ac:dyDescent="0.25">
      <c r="B11" s="81">
        <v>7</v>
      </c>
      <c r="C11" s="81">
        <v>2</v>
      </c>
      <c r="D11" s="81">
        <v>2018</v>
      </c>
      <c r="E11" s="115">
        <v>88</v>
      </c>
      <c r="F11" s="115">
        <v>327</v>
      </c>
      <c r="G11" s="59">
        <f t="shared" si="0"/>
        <v>415</v>
      </c>
    </row>
    <row r="12" spans="1:43" ht="15.75" x14ac:dyDescent="0.25">
      <c r="B12" s="81">
        <v>8</v>
      </c>
      <c r="C12" s="81">
        <v>2</v>
      </c>
      <c r="D12" s="81">
        <v>2018</v>
      </c>
      <c r="E12" s="117">
        <v>50</v>
      </c>
      <c r="F12" s="117">
        <v>206</v>
      </c>
      <c r="G12" s="59">
        <f t="shared" si="0"/>
        <v>256</v>
      </c>
    </row>
    <row r="13" spans="1:43" ht="15.75" x14ac:dyDescent="0.25">
      <c r="B13" s="81">
        <v>9</v>
      </c>
      <c r="C13" s="81">
        <v>2</v>
      </c>
      <c r="D13" s="81">
        <v>2018</v>
      </c>
      <c r="E13" s="115">
        <v>43</v>
      </c>
      <c r="F13" s="115">
        <v>169</v>
      </c>
      <c r="G13" s="59">
        <f t="shared" si="0"/>
        <v>212</v>
      </c>
    </row>
    <row r="14" spans="1:43" ht="15.75" x14ac:dyDescent="0.25">
      <c r="B14" s="81">
        <v>10</v>
      </c>
      <c r="C14" s="81">
        <v>2</v>
      </c>
      <c r="D14" s="81">
        <v>2018</v>
      </c>
      <c r="E14" s="115">
        <v>98</v>
      </c>
      <c r="F14" s="115">
        <v>373</v>
      </c>
      <c r="G14" s="59">
        <f t="shared" si="0"/>
        <v>471</v>
      </c>
    </row>
    <row r="15" spans="1:43" ht="15.75" x14ac:dyDescent="0.25">
      <c r="B15" s="81">
        <v>11</v>
      </c>
      <c r="C15" s="81">
        <v>2</v>
      </c>
      <c r="D15" s="81">
        <v>2018</v>
      </c>
      <c r="E15" s="115">
        <v>84</v>
      </c>
      <c r="F15" s="115">
        <v>322</v>
      </c>
      <c r="G15" s="59">
        <f t="shared" si="0"/>
        <v>406</v>
      </c>
    </row>
    <row r="16" spans="1:43" ht="15.75" x14ac:dyDescent="0.25">
      <c r="B16" s="81">
        <v>12</v>
      </c>
      <c r="C16" s="81">
        <v>2</v>
      </c>
      <c r="D16" s="81">
        <v>2018</v>
      </c>
      <c r="E16" s="117">
        <v>7</v>
      </c>
      <c r="F16" s="117">
        <v>29</v>
      </c>
      <c r="G16" s="59">
        <f t="shared" si="0"/>
        <v>36</v>
      </c>
    </row>
    <row r="17" spans="2:7" ht="15.75" x14ac:dyDescent="0.25">
      <c r="B17" s="81">
        <v>13</v>
      </c>
      <c r="C17" s="81">
        <v>2</v>
      </c>
      <c r="D17" s="81">
        <v>2018</v>
      </c>
      <c r="E17" s="115">
        <v>98</v>
      </c>
      <c r="F17" s="115">
        <v>381</v>
      </c>
      <c r="G17" s="59">
        <f t="shared" si="0"/>
        <v>479</v>
      </c>
    </row>
    <row r="18" spans="2:7" ht="15.75" x14ac:dyDescent="0.25">
      <c r="B18" s="81">
        <v>14</v>
      </c>
      <c r="C18" s="81">
        <v>2</v>
      </c>
      <c r="D18" s="81">
        <v>2018</v>
      </c>
      <c r="E18" s="115">
        <v>93</v>
      </c>
      <c r="F18" s="115">
        <v>356</v>
      </c>
      <c r="G18" s="59">
        <f t="shared" si="0"/>
        <v>449</v>
      </c>
    </row>
    <row r="19" spans="2:7" ht="15.75" x14ac:dyDescent="0.25">
      <c r="B19" s="81">
        <v>15</v>
      </c>
      <c r="C19" s="81">
        <v>2</v>
      </c>
      <c r="D19" s="81">
        <v>2018</v>
      </c>
      <c r="E19" s="115">
        <v>75</v>
      </c>
      <c r="F19" s="115">
        <v>287</v>
      </c>
      <c r="G19" s="59">
        <f t="shared" si="0"/>
        <v>362</v>
      </c>
    </row>
    <row r="20" spans="2:7" ht="15.75" x14ac:dyDescent="0.25">
      <c r="B20" s="81">
        <v>16</v>
      </c>
      <c r="C20" s="81">
        <v>2</v>
      </c>
      <c r="D20" s="81">
        <v>2018</v>
      </c>
      <c r="E20" s="115">
        <v>82</v>
      </c>
      <c r="F20" s="115">
        <v>318</v>
      </c>
      <c r="G20" s="59">
        <f t="shared" si="0"/>
        <v>400</v>
      </c>
    </row>
    <row r="21" spans="2:7" ht="15.75" x14ac:dyDescent="0.25">
      <c r="B21" s="81">
        <v>17</v>
      </c>
      <c r="C21" s="81">
        <v>2</v>
      </c>
      <c r="D21" s="81">
        <v>2018</v>
      </c>
      <c r="E21" s="115">
        <v>30</v>
      </c>
      <c r="F21" s="115">
        <v>110</v>
      </c>
      <c r="G21" s="59">
        <f t="shared" si="0"/>
        <v>140</v>
      </c>
    </row>
    <row r="22" spans="2:7" ht="15.75" x14ac:dyDescent="0.25">
      <c r="B22" s="81">
        <v>18</v>
      </c>
      <c r="C22" s="81">
        <v>2</v>
      </c>
      <c r="D22" s="81">
        <v>2018</v>
      </c>
      <c r="E22" s="115">
        <v>72</v>
      </c>
      <c r="F22" s="115">
        <v>284</v>
      </c>
      <c r="G22" s="59">
        <f t="shared" si="0"/>
        <v>356</v>
      </c>
    </row>
    <row r="23" spans="2:7" ht="15.75" x14ac:dyDescent="0.25">
      <c r="B23" s="81">
        <v>19</v>
      </c>
      <c r="C23" s="81">
        <v>2</v>
      </c>
      <c r="D23" s="81">
        <v>2018</v>
      </c>
      <c r="E23" s="115">
        <v>14</v>
      </c>
      <c r="F23" s="115">
        <v>58</v>
      </c>
      <c r="G23" s="59">
        <f t="shared" si="0"/>
        <v>72</v>
      </c>
    </row>
    <row r="24" spans="2:7" ht="15.75" x14ac:dyDescent="0.25">
      <c r="B24" s="81">
        <v>20</v>
      </c>
      <c r="C24" s="81">
        <v>2</v>
      </c>
      <c r="D24" s="81">
        <v>2018</v>
      </c>
      <c r="E24" s="115">
        <v>102</v>
      </c>
      <c r="F24" s="115">
        <v>412</v>
      </c>
      <c r="G24" s="59">
        <f t="shared" si="0"/>
        <v>514</v>
      </c>
    </row>
    <row r="25" spans="2:7" ht="15.75" x14ac:dyDescent="0.25">
      <c r="B25" s="81">
        <v>21</v>
      </c>
      <c r="C25" s="81">
        <v>2</v>
      </c>
      <c r="D25" s="81">
        <v>2018</v>
      </c>
      <c r="E25" s="115">
        <v>111</v>
      </c>
      <c r="F25" s="115">
        <v>465</v>
      </c>
      <c r="G25" s="59">
        <f t="shared" si="0"/>
        <v>576</v>
      </c>
    </row>
    <row r="26" spans="2:7" ht="15.75" x14ac:dyDescent="0.25">
      <c r="B26" s="81">
        <v>22</v>
      </c>
      <c r="C26" s="81">
        <v>2</v>
      </c>
      <c r="D26" s="81">
        <v>2018</v>
      </c>
      <c r="E26" s="115">
        <v>83</v>
      </c>
      <c r="F26" s="115">
        <v>341</v>
      </c>
      <c r="G26" s="59">
        <f t="shared" si="0"/>
        <v>424</v>
      </c>
    </row>
    <row r="27" spans="2:7" ht="15.75" x14ac:dyDescent="0.25">
      <c r="B27" s="81">
        <v>23</v>
      </c>
      <c r="C27" s="81">
        <v>2</v>
      </c>
      <c r="D27" s="81">
        <v>2018</v>
      </c>
      <c r="E27" s="115">
        <v>12</v>
      </c>
      <c r="F27" s="115">
        <v>50</v>
      </c>
      <c r="G27" s="59">
        <f t="shared" si="0"/>
        <v>62</v>
      </c>
    </row>
    <row r="28" spans="2:7" ht="15.75" x14ac:dyDescent="0.25">
      <c r="B28" s="81">
        <v>24</v>
      </c>
      <c r="C28" s="81">
        <v>2</v>
      </c>
      <c r="D28" s="81">
        <v>2018</v>
      </c>
      <c r="E28" s="115">
        <v>107</v>
      </c>
      <c r="F28" s="115">
        <v>450</v>
      </c>
      <c r="G28" s="59">
        <f t="shared" si="0"/>
        <v>557</v>
      </c>
    </row>
    <row r="29" spans="2:7" ht="15.75" x14ac:dyDescent="0.25">
      <c r="B29" s="81">
        <v>25</v>
      </c>
      <c r="C29" s="81">
        <v>2</v>
      </c>
      <c r="D29" s="81">
        <v>2018</v>
      </c>
      <c r="E29" s="115">
        <v>65</v>
      </c>
      <c r="F29" s="115">
        <v>270</v>
      </c>
      <c r="G29" s="59">
        <f t="shared" si="0"/>
        <v>335</v>
      </c>
    </row>
    <row r="30" spans="2:7" ht="15.75" x14ac:dyDescent="0.25">
      <c r="B30" s="81">
        <v>26</v>
      </c>
      <c r="C30" s="81">
        <v>2</v>
      </c>
      <c r="D30" s="81">
        <v>2018</v>
      </c>
      <c r="E30" s="115">
        <v>80</v>
      </c>
      <c r="F30" s="115">
        <v>327</v>
      </c>
      <c r="G30" s="59">
        <f t="shared" si="0"/>
        <v>407</v>
      </c>
    </row>
    <row r="31" spans="2:7" ht="15.75" x14ac:dyDescent="0.25">
      <c r="B31" s="81">
        <v>27</v>
      </c>
      <c r="C31" s="81">
        <v>2</v>
      </c>
      <c r="D31" s="81">
        <v>2018</v>
      </c>
      <c r="E31" s="115">
        <v>23</v>
      </c>
      <c r="F31" s="115">
        <v>91</v>
      </c>
      <c r="G31" s="59">
        <f t="shared" si="0"/>
        <v>114</v>
      </c>
    </row>
    <row r="32" spans="2:7" ht="15.75" x14ac:dyDescent="0.25">
      <c r="B32" s="81">
        <v>28</v>
      </c>
      <c r="C32" s="81">
        <v>2</v>
      </c>
      <c r="D32" s="81">
        <v>2018</v>
      </c>
      <c r="E32" s="115">
        <v>94</v>
      </c>
      <c r="F32" s="115">
        <v>390</v>
      </c>
      <c r="G32" s="59">
        <f t="shared" si="0"/>
        <v>484</v>
      </c>
    </row>
    <row r="33" spans="2:9" x14ac:dyDescent="0.25">
      <c r="B33" s="68"/>
      <c r="C33" s="68"/>
      <c r="D33" s="68"/>
      <c r="E33" s="63"/>
      <c r="F33" s="63"/>
      <c r="G33" s="63"/>
    </row>
    <row r="34" spans="2:9" ht="21" x14ac:dyDescent="0.35">
      <c r="B34" s="69"/>
      <c r="C34" s="69"/>
      <c r="D34" s="69"/>
      <c r="E34" s="14">
        <f>SUM(E5:E33)</f>
        <v>1896</v>
      </c>
      <c r="F34" s="14">
        <f>SUM(F5:F32)</f>
        <v>7488</v>
      </c>
      <c r="G34" s="14">
        <f>SUM(G5:G32)</f>
        <v>9384</v>
      </c>
    </row>
    <row r="35" spans="2:9" x14ac:dyDescent="0.25">
      <c r="I35" s="71"/>
    </row>
    <row r="36" spans="2:9" x14ac:dyDescent="0.25">
      <c r="I36" s="71"/>
    </row>
    <row r="37" spans="2:9" ht="15.75" thickBot="1" x14ac:dyDescent="0.3"/>
    <row r="38" spans="2:9" ht="21.75" thickBot="1" x14ac:dyDescent="0.4">
      <c r="C38" s="75"/>
      <c r="D38" s="75"/>
      <c r="F38" s="118"/>
      <c r="G38" s="72">
        <f>E34+F34</f>
        <v>9384</v>
      </c>
      <c r="H38" s="73"/>
    </row>
    <row r="39" spans="2:9" ht="15.75" x14ac:dyDescent="0.25">
      <c r="B39" s="75"/>
      <c r="C39" s="75"/>
      <c r="D39" s="75"/>
      <c r="E39" s="118"/>
      <c r="F39" s="118"/>
      <c r="G39" s="74"/>
      <c r="H39" s="73"/>
    </row>
    <row r="40" spans="2:9" ht="15.75" x14ac:dyDescent="0.25">
      <c r="B40" s="75"/>
      <c r="C40" s="75"/>
      <c r="D40" s="75"/>
      <c r="E40" s="118"/>
      <c r="F40" s="118"/>
      <c r="G40" s="74"/>
      <c r="H40" s="73"/>
    </row>
    <row r="41" spans="2:9" ht="15.75" x14ac:dyDescent="0.25">
      <c r="B41" s="75" t="s">
        <v>5</v>
      </c>
      <c r="C41" s="75"/>
      <c r="D41" s="75"/>
      <c r="F41" s="70" t="s">
        <v>20</v>
      </c>
      <c r="G41" s="76">
        <v>12550</v>
      </c>
      <c r="H41" s="77"/>
    </row>
    <row r="42" spans="2:9" x14ac:dyDescent="0.25">
      <c r="G42" s="74"/>
    </row>
    <row r="43" spans="2:9" ht="15.75" thickBot="1" x14ac:dyDescent="0.3">
      <c r="G43" s="74"/>
    </row>
    <row r="44" spans="2:9" ht="27" thickBot="1" x14ac:dyDescent="0.3">
      <c r="F44" s="118" t="s">
        <v>6</v>
      </c>
      <c r="G44" s="79">
        <f>G38*G41</f>
        <v>117769200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2023-03-09T09:51:08Z</dcterms:modified>
</cp:coreProperties>
</file>