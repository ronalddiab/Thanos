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ineering\meter readings\2021\"/>
    </mc:Choice>
  </mc:AlternateContent>
  <xr:revisionPtr revIDLastSave="0" documentId="13_ncr:1_{0AAF8D41-A66E-4A97-A2AB-CCF9D741CC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8" i="1" l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S38" i="1"/>
  <c r="T38" i="1"/>
  <c r="U38" i="1"/>
  <c r="B38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V38" i="1" s="1"/>
  <c r="B37" i="1"/>
</calcChain>
</file>

<file path=xl/sharedStrings.xml><?xml version="1.0" encoding="utf-8"?>
<sst xmlns="http://schemas.openxmlformats.org/spreadsheetml/2006/main" count="29" uniqueCount="22">
  <si>
    <t>Date</t>
  </si>
  <si>
    <t>Electric</t>
  </si>
  <si>
    <t>Gas</t>
  </si>
  <si>
    <t>Water</t>
  </si>
  <si>
    <t>Anthropologie (Effective 10/2/2012)</t>
  </si>
  <si>
    <t>Engineer</t>
  </si>
  <si>
    <t>Meter</t>
  </si>
  <si>
    <t xml:space="preserve">Meter </t>
  </si>
  <si>
    <t>Mina</t>
  </si>
  <si>
    <t>Main</t>
  </si>
  <si>
    <t>Chilled</t>
  </si>
  <si>
    <t>Hot</t>
  </si>
  <si>
    <t>Electric      Main</t>
  </si>
  <si>
    <t>Electric    Chilled</t>
  </si>
  <si>
    <t>Electric        Hot</t>
  </si>
  <si>
    <t>Bygone</t>
  </si>
  <si>
    <t>Heat</t>
  </si>
  <si>
    <t xml:space="preserve">Water </t>
  </si>
  <si>
    <t>Total</t>
  </si>
  <si>
    <t>March</t>
  </si>
  <si>
    <t>Varience</t>
  </si>
  <si>
    <t>Varience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</si>
</sst>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6">
    <xf numFmtId="0" fontId="0" fillId="0" borderId="0" xfId="0"/>
    <xf numFmtId="0" fontId="3" fillId="0" borderId="2" xfId="0" applyFont="1" applyFill="1" applyBorder="1" applyAlignment="1">
      <alignment horizontal="center" vertical="center" wrapText="1"/>
    </xf>
    <xf numFmtId="14" fontId="5" fillId="0" borderId="2" xfId="0" applyNumberFormat="1" applyFont="1" applyFill="1" applyBorder="1"/>
    <xf numFmtId="0" fontId="5" fillId="0" borderId="2" xfId="0" applyFont="1" applyFill="1" applyBorder="1"/>
    <xf numFmtId="1" fontId="5" fillId="0" borderId="2" xfId="0" applyNumberFormat="1" applyFont="1" applyFill="1" applyBorder="1"/>
    <xf numFmtId="0" fontId="5" fillId="0" borderId="2" xfId="0" applyFont="1" applyFill="1" applyBorder="1" applyAlignment="1"/>
    <xf numFmtId="0" fontId="5" fillId="0" borderId="2" xfId="0" applyFont="1" applyFill="1" applyBorder="1" applyAlignment="1">
      <alignment horizontal="right"/>
    </xf>
    <xf numFmtId="164" fontId="5" fillId="0" borderId="2" xfId="0" applyNumberFormat="1" applyFont="1" applyFill="1" applyBorder="1" applyAlignment="1"/>
    <xf numFmtId="1" fontId="5" fillId="0" borderId="2" xfId="0" applyNumberFormat="1" applyFont="1" applyFill="1" applyBorder="1" applyAlignment="1"/>
    <xf numFmtId="1" fontId="5" fillId="0" borderId="2" xfId="0" applyNumberFormat="1" applyFont="1" applyFill="1" applyBorder="1" applyAlignment="1">
      <alignment horizontal="right"/>
    </xf>
    <xf numFmtId="0" fontId="5" fillId="0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0" fontId="5" fillId="0" borderId="2" xfId="0" applyNumberFormat="1" applyFont="1" applyFill="1" applyBorder="1" applyAlignment="1"/>
    <xf numFmtId="0" fontId="6" fillId="0" borderId="0" xfId="0" applyFont="1"/>
    <xf numFmtId="0" fontId="6" fillId="0" borderId="2" xfId="0" applyFont="1" applyBorder="1"/>
    <xf numFmtId="0" fontId="5" fillId="2" borderId="2" xfId="0" applyFont="1" applyFill="1" applyBorder="1"/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164" fontId="5" fillId="2" borderId="2" xfId="0" applyNumberFormat="1" applyFont="1" applyFill="1" applyBorder="1" applyAlignment="1"/>
    <xf numFmtId="0" fontId="5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/>
    <xf numFmtId="0" fontId="1" fillId="2" borderId="3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/>
    <xf numFmtId="0" fontId="5" fillId="2" borderId="2" xfId="0" applyNumberFormat="1" applyFont="1" applyFill="1" applyBorder="1"/>
    <xf numFmtId="0" fontId="5" fillId="2" borderId="2" xfId="0" applyNumberFormat="1" applyFont="1" applyFill="1" applyBorder="1" applyAlignment="1"/>
    <xf numFmtId="0" fontId="5" fillId="0" borderId="6" xfId="0" applyFont="1" applyFill="1" applyBorder="1"/>
    <xf numFmtId="0" fontId="5" fillId="0" borderId="6" xfId="0" applyFont="1" applyFill="1" applyBorder="1" applyAlignment="1"/>
    <xf numFmtId="1" fontId="5" fillId="0" borderId="7" xfId="0" applyNumberFormat="1" applyFont="1" applyFill="1" applyBorder="1"/>
    <xf numFmtId="0" fontId="0" fillId="0" borderId="2" xfId="0" applyBorder="1"/>
    <xf numFmtId="0" fontId="0" fillId="2" borderId="2" xfId="0" applyFill="1" applyBorder="1"/>
    <xf numFmtId="0" fontId="8" fillId="0" borderId="2" xfId="0" applyFont="1" applyBorder="1" applyAlignment="1">
      <alignment wrapText="1"/>
    </xf>
    <xf numFmtId="0" fontId="8" fillId="3" borderId="2" xfId="0" applyFont="1" applyFill="1" applyBorder="1" applyAlignment="1">
      <alignment wrapText="1"/>
    </xf>
    <xf numFmtId="9" fontId="0" fillId="0" borderId="2" xfId="1" applyFont="1" applyBorder="1"/>
    <xf numFmtId="9" fontId="0" fillId="2" borderId="2" xfId="1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8"/>
  <sheetViews>
    <sheetView tabSelected="1" topLeftCell="A16" workbookViewId="0">
      <selection activeCell="V37" sqref="V37"/>
    </sheetView>
  </sheetViews>
  <sheetFormatPr defaultRowHeight="15" x14ac:dyDescent="0.25"/>
  <cols>
    <col min="1" max="1" width="12.42578125" bestFit="1" customWidth="1"/>
    <col min="2" max="2" width="15.7109375" customWidth="1"/>
    <col min="3" max="3" width="11.85546875" customWidth="1"/>
    <col min="4" max="4" width="11" customWidth="1"/>
    <col min="5" max="5" width="1.42578125" customWidth="1"/>
    <col min="6" max="6" width="10.140625" customWidth="1"/>
    <col min="7" max="7" width="10.28515625" customWidth="1"/>
    <col min="8" max="8" width="1.5703125" customWidth="1"/>
    <col min="9" max="9" width="10.28515625" customWidth="1"/>
    <col min="10" max="10" width="12.5703125" customWidth="1"/>
    <col min="11" max="11" width="14" customWidth="1"/>
    <col min="12" max="12" width="1.5703125" customWidth="1"/>
    <col min="13" max="13" width="10.7109375" customWidth="1"/>
    <col min="14" max="14" width="11.140625" customWidth="1"/>
    <col min="15" max="15" width="9.42578125" customWidth="1"/>
    <col min="18" max="18" width="11.42578125" customWidth="1"/>
    <col min="21" max="21" width="9.140625" customWidth="1"/>
    <col min="22" max="22" width="7.7109375" customWidth="1"/>
    <col min="23" max="23" width="10.5703125" customWidth="1"/>
  </cols>
  <sheetData>
    <row r="1" spans="1:23" ht="15.75" customHeight="1" x14ac:dyDescent="0.25">
      <c r="A1" s="39" t="s">
        <v>0</v>
      </c>
      <c r="B1" s="47" t="s">
        <v>1</v>
      </c>
      <c r="C1" s="47"/>
      <c r="D1" s="47"/>
      <c r="E1" s="20"/>
      <c r="F1" s="47" t="s">
        <v>2</v>
      </c>
      <c r="G1" s="47"/>
      <c r="H1" s="20"/>
      <c r="I1" s="47" t="s">
        <v>3</v>
      </c>
      <c r="J1" s="47"/>
      <c r="K1" s="47"/>
      <c r="L1" s="26"/>
      <c r="M1" s="48" t="s">
        <v>4</v>
      </c>
      <c r="N1" s="49"/>
      <c r="O1" s="49"/>
      <c r="P1" s="49"/>
      <c r="Q1" s="50"/>
      <c r="R1" s="44" t="s">
        <v>15</v>
      </c>
      <c r="S1" s="45"/>
      <c r="T1" s="45"/>
      <c r="U1" s="45"/>
      <c r="V1" s="46"/>
      <c r="W1" s="39" t="s">
        <v>5</v>
      </c>
    </row>
    <row r="2" spans="1:23" ht="15" customHeight="1" x14ac:dyDescent="0.25">
      <c r="A2" s="40"/>
      <c r="B2" s="1" t="s">
        <v>6</v>
      </c>
      <c r="C2" s="1" t="s">
        <v>7</v>
      </c>
      <c r="D2" s="1" t="s">
        <v>7</v>
      </c>
      <c r="E2" s="21"/>
      <c r="F2" s="55" t="s">
        <v>8</v>
      </c>
      <c r="G2" s="55" t="s">
        <v>9</v>
      </c>
      <c r="H2" s="23"/>
      <c r="I2" s="51" t="s">
        <v>9</v>
      </c>
      <c r="J2" s="51" t="s">
        <v>10</v>
      </c>
      <c r="K2" s="51" t="s">
        <v>11</v>
      </c>
      <c r="L2" s="23"/>
      <c r="M2" s="52" t="s">
        <v>12</v>
      </c>
      <c r="N2" s="54" t="s">
        <v>13</v>
      </c>
      <c r="O2" s="54" t="s">
        <v>14</v>
      </c>
      <c r="P2" s="52" t="s">
        <v>10</v>
      </c>
      <c r="Q2" s="52" t="s">
        <v>11</v>
      </c>
      <c r="R2" s="42" t="s">
        <v>16</v>
      </c>
      <c r="S2" s="42" t="s">
        <v>10</v>
      </c>
      <c r="T2" s="42" t="s">
        <v>2</v>
      </c>
      <c r="U2" s="42" t="s">
        <v>17</v>
      </c>
      <c r="V2" s="42" t="s">
        <v>1</v>
      </c>
      <c r="W2" s="40"/>
    </row>
    <row r="3" spans="1:23" ht="15" customHeight="1" x14ac:dyDescent="0.25">
      <c r="A3" s="41"/>
      <c r="B3" s="1">
        <v>1</v>
      </c>
      <c r="C3" s="1">
        <v>2</v>
      </c>
      <c r="D3" s="1">
        <v>3</v>
      </c>
      <c r="E3" s="21"/>
      <c r="F3" s="55"/>
      <c r="G3" s="55"/>
      <c r="H3" s="24"/>
      <c r="I3" s="43"/>
      <c r="J3" s="43"/>
      <c r="K3" s="43"/>
      <c r="L3" s="24"/>
      <c r="M3" s="53"/>
      <c r="N3" s="53"/>
      <c r="O3" s="53"/>
      <c r="P3" s="53"/>
      <c r="Q3" s="53"/>
      <c r="R3" s="43"/>
      <c r="S3" s="43"/>
      <c r="T3" s="43"/>
      <c r="U3" s="43"/>
      <c r="V3" s="43"/>
      <c r="W3" s="41"/>
    </row>
    <row r="4" spans="1:23" ht="24.75" customHeight="1" x14ac:dyDescent="0.25">
      <c r="A4" s="2">
        <v>44287</v>
      </c>
      <c r="B4" s="3">
        <v>367957</v>
      </c>
      <c r="C4" s="3">
        <v>26140665</v>
      </c>
      <c r="D4" s="3">
        <v>6838724</v>
      </c>
      <c r="E4" s="15"/>
      <c r="F4" s="3">
        <v>41280</v>
      </c>
      <c r="G4" s="3">
        <v>18443</v>
      </c>
      <c r="H4" s="15"/>
      <c r="I4" s="3">
        <v>34063</v>
      </c>
      <c r="J4" s="4">
        <v>19851758</v>
      </c>
      <c r="K4" s="4">
        <v>204352</v>
      </c>
      <c r="L4" s="27"/>
      <c r="M4" s="3">
        <v>157922</v>
      </c>
      <c r="N4" s="3">
        <v>16050</v>
      </c>
      <c r="O4" s="3">
        <v>3417</v>
      </c>
      <c r="P4" s="15"/>
      <c r="Q4" s="15"/>
      <c r="R4" s="3">
        <v>50280</v>
      </c>
      <c r="S4" s="4">
        <v>162901</v>
      </c>
      <c r="T4" s="32">
        <v>8381851</v>
      </c>
      <c r="U4" s="4">
        <v>27922</v>
      </c>
      <c r="V4" s="4">
        <v>2134</v>
      </c>
      <c r="W4" s="3"/>
    </row>
    <row r="5" spans="1:23" ht="23.25" customHeight="1" x14ac:dyDescent="0.25">
      <c r="A5" s="2">
        <v>44288</v>
      </c>
      <c r="B5" s="5">
        <v>372159</v>
      </c>
      <c r="C5" s="3">
        <v>26148620</v>
      </c>
      <c r="D5" s="14">
        <v>6842364</v>
      </c>
      <c r="E5" s="22"/>
      <c r="F5" s="5">
        <v>41392</v>
      </c>
      <c r="G5" s="5">
        <v>18447</v>
      </c>
      <c r="H5" s="16"/>
      <c r="I5" s="5">
        <v>34101</v>
      </c>
      <c r="J5" s="5">
        <v>19855200</v>
      </c>
      <c r="K5" s="5">
        <v>204462</v>
      </c>
      <c r="L5" s="16"/>
      <c r="M5" s="5">
        <v>158319</v>
      </c>
      <c r="N5" s="5">
        <v>16065</v>
      </c>
      <c r="O5" s="5">
        <v>3420</v>
      </c>
      <c r="P5" s="16"/>
      <c r="Q5" s="16"/>
      <c r="R5" s="5"/>
      <c r="S5" s="5"/>
      <c r="T5" s="5"/>
      <c r="U5" s="5"/>
      <c r="V5" s="5"/>
      <c r="W5" s="3"/>
    </row>
    <row r="6" spans="1:23" ht="24" customHeight="1" x14ac:dyDescent="0.25">
      <c r="A6" s="2">
        <v>44289</v>
      </c>
      <c r="B6" s="13"/>
      <c r="C6" s="3"/>
      <c r="D6" s="14"/>
      <c r="E6" s="22"/>
      <c r="F6" s="5"/>
      <c r="G6" s="5"/>
      <c r="H6" s="16"/>
      <c r="I6" s="5"/>
      <c r="J6" s="5"/>
      <c r="K6" s="5"/>
      <c r="L6" s="16"/>
      <c r="M6" s="6"/>
      <c r="N6" s="5"/>
      <c r="O6" s="5"/>
      <c r="P6" s="16"/>
      <c r="Q6" s="16"/>
      <c r="R6" s="5"/>
      <c r="S6" s="5"/>
      <c r="T6" s="5"/>
      <c r="U6" s="5"/>
      <c r="V6" s="5"/>
      <c r="W6" s="3"/>
    </row>
    <row r="7" spans="1:23" ht="24" customHeight="1" x14ac:dyDescent="0.25">
      <c r="A7" s="2">
        <v>44290</v>
      </c>
      <c r="B7" s="5">
        <v>380834</v>
      </c>
      <c r="C7" s="3">
        <v>26164631</v>
      </c>
      <c r="D7" s="5">
        <v>6849992</v>
      </c>
      <c r="E7" s="16"/>
      <c r="F7" s="5">
        <v>41642</v>
      </c>
      <c r="G7" s="5">
        <v>18457</v>
      </c>
      <c r="H7" s="16"/>
      <c r="I7" s="7">
        <v>34200</v>
      </c>
      <c r="J7" s="7">
        <v>19862940</v>
      </c>
      <c r="K7" s="8">
        <v>204660</v>
      </c>
      <c r="L7" s="25"/>
      <c r="M7" s="8">
        <v>159123</v>
      </c>
      <c r="N7" s="8">
        <v>16098</v>
      </c>
      <c r="O7" s="8">
        <v>3427</v>
      </c>
      <c r="P7" s="16"/>
      <c r="Q7" s="17"/>
      <c r="R7" s="7">
        <v>50280</v>
      </c>
      <c r="S7" s="7">
        <v>163442</v>
      </c>
      <c r="T7" s="7">
        <v>8409752</v>
      </c>
      <c r="U7" s="7">
        <v>27930</v>
      </c>
      <c r="V7" s="8">
        <v>5337</v>
      </c>
      <c r="W7" s="3"/>
    </row>
    <row r="8" spans="1:23" ht="24" customHeight="1" x14ac:dyDescent="0.25">
      <c r="A8" s="2">
        <v>44291</v>
      </c>
      <c r="B8" s="5">
        <v>388462</v>
      </c>
      <c r="C8" s="3">
        <v>26180590</v>
      </c>
      <c r="D8" s="5">
        <v>6857479</v>
      </c>
      <c r="E8" s="16"/>
      <c r="F8" s="12">
        <v>41856</v>
      </c>
      <c r="G8" s="8">
        <v>18466</v>
      </c>
      <c r="H8" s="25"/>
      <c r="I8" s="7">
        <v>34279</v>
      </c>
      <c r="J8" s="7">
        <v>19873815</v>
      </c>
      <c r="K8" s="8">
        <v>204779</v>
      </c>
      <c r="L8" s="25"/>
      <c r="M8" s="8">
        <v>159950</v>
      </c>
      <c r="N8" s="8">
        <v>16129</v>
      </c>
      <c r="O8" s="8">
        <v>3431</v>
      </c>
      <c r="P8" s="18"/>
      <c r="Q8" s="18"/>
      <c r="R8" s="7">
        <v>50280</v>
      </c>
      <c r="S8" s="7">
        <v>163581</v>
      </c>
      <c r="T8" s="7">
        <v>8415672</v>
      </c>
      <c r="U8" s="7">
        <v>27932</v>
      </c>
      <c r="V8" s="8">
        <v>6124</v>
      </c>
      <c r="W8" s="3"/>
    </row>
    <row r="9" spans="1:23" ht="22.5" customHeight="1" x14ac:dyDescent="0.25">
      <c r="A9" s="2">
        <v>44292</v>
      </c>
      <c r="B9" s="7">
        <v>392133</v>
      </c>
      <c r="C9" s="3">
        <v>261886</v>
      </c>
      <c r="D9" s="5">
        <v>6861218</v>
      </c>
      <c r="E9" s="16"/>
      <c r="F9" s="12">
        <v>41963</v>
      </c>
      <c r="G9" s="8">
        <v>188471</v>
      </c>
      <c r="H9" s="25"/>
      <c r="I9" s="7">
        <v>34320</v>
      </c>
      <c r="J9" s="7">
        <v>19879981</v>
      </c>
      <c r="K9" s="8">
        <v>204828</v>
      </c>
      <c r="L9" s="25"/>
      <c r="M9" s="8">
        <v>160367</v>
      </c>
      <c r="N9" s="8">
        <v>16144</v>
      </c>
      <c r="O9" s="8">
        <v>3433</v>
      </c>
      <c r="P9" s="18"/>
      <c r="Q9" s="18"/>
      <c r="R9" s="7">
        <v>50280</v>
      </c>
      <c r="S9" s="7">
        <v>163716</v>
      </c>
      <c r="T9" s="7">
        <v>8420590</v>
      </c>
      <c r="U9" s="7">
        <v>27932</v>
      </c>
      <c r="V9" s="8">
        <v>6925</v>
      </c>
      <c r="W9" s="3"/>
    </row>
    <row r="10" spans="1:23" ht="22.5" customHeight="1" x14ac:dyDescent="0.25">
      <c r="A10" s="2">
        <v>44293</v>
      </c>
      <c r="B10" s="7">
        <v>396052</v>
      </c>
      <c r="C10" s="3">
        <v>26196950</v>
      </c>
      <c r="D10" s="7">
        <v>6864867</v>
      </c>
      <c r="E10" s="18"/>
      <c r="F10" s="12">
        <v>42072</v>
      </c>
      <c r="G10" s="8">
        <v>18477</v>
      </c>
      <c r="H10" s="25"/>
      <c r="I10" s="5">
        <v>34369</v>
      </c>
      <c r="J10" s="5">
        <v>19886428</v>
      </c>
      <c r="K10" s="8">
        <v>204880</v>
      </c>
      <c r="L10" s="25"/>
      <c r="M10" s="8">
        <v>160700</v>
      </c>
      <c r="N10" s="8">
        <v>16159</v>
      </c>
      <c r="O10" s="8">
        <v>3435</v>
      </c>
      <c r="P10" s="18"/>
      <c r="Q10" s="18"/>
      <c r="R10" s="5">
        <v>50280</v>
      </c>
      <c r="S10" s="5">
        <v>163850</v>
      </c>
      <c r="T10" s="5">
        <v>8426551</v>
      </c>
      <c r="U10" s="5">
        <v>27933</v>
      </c>
      <c r="V10" s="8">
        <v>7708</v>
      </c>
      <c r="W10" s="5"/>
    </row>
    <row r="11" spans="1:23" ht="23.25" customHeight="1" x14ac:dyDescent="0.25">
      <c r="A11" s="2">
        <v>44294</v>
      </c>
      <c r="B11" s="7">
        <v>400239</v>
      </c>
      <c r="C11" s="3">
        <v>26205460</v>
      </c>
      <c r="D11" s="5">
        <v>6868617</v>
      </c>
      <c r="E11" s="16"/>
      <c r="F11" s="5">
        <v>42194</v>
      </c>
      <c r="G11" s="5">
        <v>18484</v>
      </c>
      <c r="H11" s="16"/>
      <c r="I11" s="5">
        <v>34413</v>
      </c>
      <c r="J11" s="5">
        <v>19892050</v>
      </c>
      <c r="K11" s="5">
        <v>204939</v>
      </c>
      <c r="L11" s="16"/>
      <c r="M11" s="5">
        <v>161201</v>
      </c>
      <c r="N11" s="5">
        <v>16175</v>
      </c>
      <c r="O11" s="5">
        <v>3438</v>
      </c>
      <c r="P11" s="16"/>
      <c r="Q11" s="16"/>
      <c r="R11" s="5"/>
      <c r="S11" s="5"/>
      <c r="T11" s="5"/>
      <c r="U11" s="5"/>
      <c r="V11" s="5"/>
      <c r="W11" s="5"/>
    </row>
    <row r="12" spans="1:23" ht="21.75" customHeight="1" x14ac:dyDescent="0.25">
      <c r="A12" s="2">
        <v>44295</v>
      </c>
      <c r="B12" s="5"/>
      <c r="C12" s="3"/>
      <c r="D12" s="5"/>
      <c r="E12" s="16"/>
      <c r="F12" s="5"/>
      <c r="G12" s="5"/>
      <c r="H12" s="16"/>
      <c r="I12" s="5"/>
      <c r="J12" s="5"/>
      <c r="K12" s="5"/>
      <c r="L12" s="16"/>
      <c r="M12" s="5"/>
      <c r="N12" s="5"/>
      <c r="O12" s="6"/>
      <c r="P12" s="19"/>
      <c r="Q12" s="19"/>
      <c r="R12" s="5"/>
      <c r="S12" s="5"/>
      <c r="T12" s="5"/>
      <c r="U12" s="5"/>
      <c r="V12" s="5"/>
      <c r="W12" s="3"/>
    </row>
    <row r="13" spans="1:23" ht="21.75" customHeight="1" x14ac:dyDescent="0.25">
      <c r="A13" s="2">
        <v>44296</v>
      </c>
      <c r="B13" s="5">
        <v>404148</v>
      </c>
      <c r="C13" s="3">
        <v>26213390</v>
      </c>
      <c r="D13" s="5">
        <v>6872271</v>
      </c>
      <c r="E13" s="16"/>
      <c r="F13" s="5">
        <v>42317</v>
      </c>
      <c r="G13" s="5">
        <v>18490</v>
      </c>
      <c r="H13" s="16"/>
      <c r="I13" s="5">
        <v>34454</v>
      </c>
      <c r="J13" s="5">
        <v>19897633</v>
      </c>
      <c r="K13" s="5">
        <v>205003</v>
      </c>
      <c r="L13" s="16"/>
      <c r="M13" s="3">
        <v>161595</v>
      </c>
      <c r="N13" s="5">
        <v>16190</v>
      </c>
      <c r="O13" s="6">
        <v>3440</v>
      </c>
      <c r="P13" s="19"/>
      <c r="Q13" s="19"/>
      <c r="R13" s="5">
        <v>50280</v>
      </c>
      <c r="S13" s="5">
        <v>164134</v>
      </c>
      <c r="T13" s="5">
        <v>8438473</v>
      </c>
      <c r="U13" s="5">
        <v>27937</v>
      </c>
      <c r="V13" s="5">
        <v>9274</v>
      </c>
      <c r="W13" s="3"/>
    </row>
    <row r="14" spans="1:23" ht="22.5" customHeight="1" x14ac:dyDescent="0.25">
      <c r="A14" s="2">
        <v>44297</v>
      </c>
      <c r="B14" s="3">
        <v>408191</v>
      </c>
      <c r="C14" s="3">
        <v>26221666</v>
      </c>
      <c r="D14" s="5">
        <v>6876755</v>
      </c>
      <c r="E14" s="16"/>
      <c r="F14" s="5">
        <v>42443</v>
      </c>
      <c r="G14" s="5">
        <v>18498</v>
      </c>
      <c r="H14" s="16"/>
      <c r="I14" s="3">
        <v>34503</v>
      </c>
      <c r="J14" s="5">
        <v>19904348</v>
      </c>
      <c r="K14" s="8">
        <v>205059</v>
      </c>
      <c r="L14" s="25"/>
      <c r="M14" s="3">
        <v>162009</v>
      </c>
      <c r="N14" s="5">
        <v>16206</v>
      </c>
      <c r="O14" s="6">
        <v>3444</v>
      </c>
      <c r="P14" s="19"/>
      <c r="Q14" s="19"/>
      <c r="R14" s="3">
        <v>50280</v>
      </c>
      <c r="S14" s="5">
        <v>164268</v>
      </c>
      <c r="T14" s="5">
        <v>8444434</v>
      </c>
      <c r="U14" s="5">
        <v>27939</v>
      </c>
      <c r="V14" s="8">
        <v>10057</v>
      </c>
      <c r="W14" s="5"/>
    </row>
    <row r="15" spans="1:23" ht="22.5" customHeight="1" x14ac:dyDescent="0.25">
      <c r="A15" s="2">
        <v>44298</v>
      </c>
      <c r="B15" s="5">
        <v>412175</v>
      </c>
      <c r="C15" s="3">
        <v>26229947</v>
      </c>
      <c r="D15" s="3">
        <v>6880200</v>
      </c>
      <c r="E15" s="15"/>
      <c r="F15" s="5">
        <v>42550</v>
      </c>
      <c r="G15" s="3">
        <v>18504</v>
      </c>
      <c r="H15" s="15"/>
      <c r="I15" s="5">
        <v>34554</v>
      </c>
      <c r="J15" s="8">
        <v>19911875</v>
      </c>
      <c r="K15" s="5">
        <v>205112</v>
      </c>
      <c r="L15" s="16"/>
      <c r="M15" s="5">
        <v>162428</v>
      </c>
      <c r="N15" s="5">
        <v>16221</v>
      </c>
      <c r="O15" s="6">
        <v>3446</v>
      </c>
      <c r="P15" s="19"/>
      <c r="Q15" s="19"/>
      <c r="R15" s="5">
        <v>50280</v>
      </c>
      <c r="S15" s="8">
        <v>164429</v>
      </c>
      <c r="T15" s="8">
        <v>8456266</v>
      </c>
      <c r="U15" s="8">
        <v>27941</v>
      </c>
      <c r="V15" s="5">
        <v>10007</v>
      </c>
      <c r="W15" s="5"/>
    </row>
    <row r="16" spans="1:23" ht="21" customHeight="1" x14ac:dyDescent="0.25">
      <c r="A16" s="2">
        <v>44299</v>
      </c>
      <c r="B16" s="3">
        <v>416141</v>
      </c>
      <c r="C16" s="3">
        <v>26237714</v>
      </c>
      <c r="D16" s="3">
        <v>6883731</v>
      </c>
      <c r="E16" s="15"/>
      <c r="F16" s="3">
        <v>42642</v>
      </c>
      <c r="G16" s="5">
        <v>18510</v>
      </c>
      <c r="H16" s="16"/>
      <c r="I16" s="3">
        <v>34595</v>
      </c>
      <c r="J16" s="5">
        <v>19916499</v>
      </c>
      <c r="K16" s="8">
        <v>205176</v>
      </c>
      <c r="L16" s="25"/>
      <c r="M16" s="3">
        <v>162843</v>
      </c>
      <c r="N16" s="5">
        <v>16236</v>
      </c>
      <c r="O16" s="6">
        <v>3448</v>
      </c>
      <c r="P16" s="19"/>
      <c r="Q16" s="19"/>
      <c r="R16" s="3">
        <v>50280</v>
      </c>
      <c r="S16" s="5">
        <v>164561</v>
      </c>
      <c r="T16" s="5">
        <v>8461649</v>
      </c>
      <c r="U16" s="5">
        <v>27942</v>
      </c>
      <c r="V16" s="8">
        <v>1789</v>
      </c>
      <c r="W16" s="5"/>
    </row>
    <row r="17" spans="1:23" ht="19.5" customHeight="1" x14ac:dyDescent="0.25">
      <c r="A17" s="2">
        <v>44300</v>
      </c>
      <c r="B17" s="5">
        <v>420153</v>
      </c>
      <c r="C17" s="3">
        <v>26245783</v>
      </c>
      <c r="D17" s="5">
        <v>6887484</v>
      </c>
      <c r="E17" s="16"/>
      <c r="F17" s="5">
        <v>42742</v>
      </c>
      <c r="G17" s="3">
        <v>18514</v>
      </c>
      <c r="H17" s="15"/>
      <c r="I17" s="5">
        <v>34634</v>
      </c>
      <c r="J17" s="8">
        <v>19921918</v>
      </c>
      <c r="K17" s="5">
        <v>205236</v>
      </c>
      <c r="L17" s="16"/>
      <c r="M17" s="5">
        <v>163253</v>
      </c>
      <c r="N17" s="5">
        <v>16252</v>
      </c>
      <c r="O17" s="6">
        <v>3451</v>
      </c>
      <c r="P17" s="19"/>
      <c r="Q17" s="19"/>
      <c r="R17" s="5">
        <v>50280</v>
      </c>
      <c r="S17" s="8">
        <v>164694</v>
      </c>
      <c r="T17" s="8">
        <v>8467271</v>
      </c>
      <c r="U17" s="8">
        <v>27942</v>
      </c>
      <c r="V17" s="5">
        <v>2587</v>
      </c>
      <c r="W17" s="5"/>
    </row>
    <row r="18" spans="1:23" ht="19.5" customHeight="1" x14ac:dyDescent="0.25">
      <c r="A18" s="2">
        <v>44301</v>
      </c>
      <c r="B18" s="3">
        <v>424081</v>
      </c>
      <c r="C18" s="3">
        <v>26253685</v>
      </c>
      <c r="D18" s="3">
        <v>6891157</v>
      </c>
      <c r="E18" s="15"/>
      <c r="F18" s="3">
        <v>42840</v>
      </c>
      <c r="G18" s="5">
        <v>18520</v>
      </c>
      <c r="H18" s="16"/>
      <c r="I18" s="5">
        <v>34674</v>
      </c>
      <c r="J18" s="5">
        <v>19927264</v>
      </c>
      <c r="K18" s="5">
        <v>205298</v>
      </c>
      <c r="L18" s="16"/>
      <c r="M18" s="3">
        <v>163673</v>
      </c>
      <c r="N18" s="5">
        <v>16268</v>
      </c>
      <c r="O18" s="6">
        <v>3453</v>
      </c>
      <c r="P18" s="19"/>
      <c r="Q18" s="19"/>
      <c r="R18" s="5">
        <v>50280</v>
      </c>
      <c r="S18" s="5">
        <v>164828</v>
      </c>
      <c r="T18" s="5">
        <v>8471344</v>
      </c>
      <c r="U18" s="5">
        <v>27943</v>
      </c>
      <c r="V18" s="5">
        <v>3363</v>
      </c>
      <c r="W18" s="5"/>
    </row>
    <row r="19" spans="1:23" ht="24" customHeight="1" x14ac:dyDescent="0.25">
      <c r="A19" s="2">
        <v>44302</v>
      </c>
      <c r="B19" s="5">
        <v>428390</v>
      </c>
      <c r="C19" s="3">
        <v>26261932</v>
      </c>
      <c r="D19" s="5">
        <v>6894896</v>
      </c>
      <c r="E19" s="16"/>
      <c r="F19" s="5">
        <v>42960</v>
      </c>
      <c r="G19" s="5">
        <v>18525</v>
      </c>
      <c r="H19" s="16"/>
      <c r="I19" s="5">
        <v>34716</v>
      </c>
      <c r="J19" s="5">
        <v>19932479</v>
      </c>
      <c r="K19" s="5">
        <v>205373</v>
      </c>
      <c r="L19" s="16"/>
      <c r="M19" s="5">
        <v>164090</v>
      </c>
      <c r="N19" s="8">
        <v>16283</v>
      </c>
      <c r="O19" s="9">
        <v>3456</v>
      </c>
      <c r="P19" s="19"/>
      <c r="Q19" s="19"/>
      <c r="R19" s="5">
        <v>50280</v>
      </c>
      <c r="S19" s="5">
        <v>164953</v>
      </c>
      <c r="T19" s="5">
        <v>8477357</v>
      </c>
      <c r="U19" s="5">
        <v>27944</v>
      </c>
      <c r="V19" s="5">
        <v>4115</v>
      </c>
      <c r="W19" s="5"/>
    </row>
    <row r="20" spans="1:23" ht="20.25" customHeight="1" x14ac:dyDescent="0.25">
      <c r="A20" s="2">
        <v>44303</v>
      </c>
      <c r="B20" s="5">
        <v>432630</v>
      </c>
      <c r="C20" s="3">
        <v>26269810</v>
      </c>
      <c r="D20" s="3">
        <v>6898473</v>
      </c>
      <c r="E20" s="15"/>
      <c r="F20" s="5">
        <v>43079</v>
      </c>
      <c r="G20" s="5">
        <v>15831</v>
      </c>
      <c r="H20" s="16"/>
      <c r="I20" s="5">
        <v>34764</v>
      </c>
      <c r="J20" s="5">
        <v>19936789</v>
      </c>
      <c r="K20" s="5">
        <v>205453</v>
      </c>
      <c r="L20" s="16"/>
      <c r="M20" s="5">
        <v>164484</v>
      </c>
      <c r="N20" s="5">
        <v>16299</v>
      </c>
      <c r="O20" s="6">
        <v>3458</v>
      </c>
      <c r="P20" s="19"/>
      <c r="Q20" s="19"/>
      <c r="R20" s="5">
        <v>50280</v>
      </c>
      <c r="S20" s="5">
        <v>165085</v>
      </c>
      <c r="T20" s="5">
        <v>8484169</v>
      </c>
      <c r="U20" s="5">
        <v>27947</v>
      </c>
      <c r="V20" s="5">
        <v>4954</v>
      </c>
      <c r="W20" s="5"/>
    </row>
    <row r="21" spans="1:23" ht="21" customHeight="1" x14ac:dyDescent="0.25">
      <c r="A21" s="2">
        <v>44304</v>
      </c>
      <c r="B21" s="3">
        <v>436875</v>
      </c>
      <c r="C21" s="3">
        <v>26277820</v>
      </c>
      <c r="D21" s="5">
        <v>6902235</v>
      </c>
      <c r="E21" s="16"/>
      <c r="F21" s="5">
        <v>43204</v>
      </c>
      <c r="G21" s="5">
        <v>18536</v>
      </c>
      <c r="H21" s="16"/>
      <c r="I21" s="6">
        <v>34808</v>
      </c>
      <c r="J21" s="5">
        <v>19941320</v>
      </c>
      <c r="K21" s="10">
        <v>205528</v>
      </c>
      <c r="L21" s="28"/>
      <c r="M21" s="3">
        <v>164892</v>
      </c>
      <c r="N21" s="5">
        <v>16314</v>
      </c>
      <c r="O21" s="6">
        <v>3461</v>
      </c>
      <c r="P21" s="19"/>
      <c r="Q21" s="19"/>
      <c r="R21" s="5">
        <v>50280</v>
      </c>
      <c r="S21" s="5">
        <v>165223</v>
      </c>
      <c r="T21" s="5">
        <v>8491526</v>
      </c>
      <c r="U21" s="5">
        <v>27950</v>
      </c>
      <c r="V21" s="10">
        <v>5814</v>
      </c>
      <c r="W21" s="5"/>
    </row>
    <row r="22" spans="1:23" ht="18.75" customHeight="1" x14ac:dyDescent="0.25">
      <c r="A22" s="2">
        <v>44305</v>
      </c>
      <c r="B22" s="3">
        <v>441035</v>
      </c>
      <c r="C22" s="3">
        <v>26286138</v>
      </c>
      <c r="D22" s="5">
        <v>6906167</v>
      </c>
      <c r="E22" s="16"/>
      <c r="F22" s="5">
        <v>43312</v>
      </c>
      <c r="G22" s="3">
        <v>18542</v>
      </c>
      <c r="H22" s="15"/>
      <c r="I22" s="3">
        <v>34848</v>
      </c>
      <c r="J22" s="4">
        <v>19941320</v>
      </c>
      <c r="K22" s="10">
        <v>205593</v>
      </c>
      <c r="L22" s="28"/>
      <c r="M22" s="3">
        <v>165312</v>
      </c>
      <c r="N22" s="3">
        <v>16331</v>
      </c>
      <c r="O22" s="6">
        <v>3464</v>
      </c>
      <c r="P22" s="19"/>
      <c r="Q22" s="19"/>
      <c r="R22" s="5">
        <v>50280</v>
      </c>
      <c r="S22" s="4">
        <v>165350</v>
      </c>
      <c r="T22" s="4">
        <v>8498465</v>
      </c>
      <c r="U22" s="4">
        <v>27952</v>
      </c>
      <c r="V22" s="10">
        <v>6598</v>
      </c>
      <c r="W22" s="5"/>
    </row>
    <row r="23" spans="1:23" ht="21" customHeight="1" x14ac:dyDescent="0.25">
      <c r="A23" s="2">
        <v>44306</v>
      </c>
      <c r="B23" s="5">
        <v>444909</v>
      </c>
      <c r="C23" s="3">
        <v>26294260</v>
      </c>
      <c r="D23" s="3">
        <v>6909761</v>
      </c>
      <c r="E23" s="15"/>
      <c r="F23" s="3">
        <v>43412</v>
      </c>
      <c r="G23" s="3">
        <v>18548</v>
      </c>
      <c r="H23" s="15"/>
      <c r="I23" s="3">
        <v>34878</v>
      </c>
      <c r="J23" s="4">
        <v>19951425</v>
      </c>
      <c r="K23" s="10">
        <v>205655</v>
      </c>
      <c r="L23" s="28"/>
      <c r="M23" s="3">
        <v>165705</v>
      </c>
      <c r="N23" s="3">
        <v>16346</v>
      </c>
      <c r="O23" s="6">
        <v>3466</v>
      </c>
      <c r="P23" s="19"/>
      <c r="Q23" s="19"/>
      <c r="R23" s="5">
        <v>50280</v>
      </c>
      <c r="S23" s="4">
        <v>165484</v>
      </c>
      <c r="T23" s="4">
        <v>8503893</v>
      </c>
      <c r="U23" s="4">
        <v>27952</v>
      </c>
      <c r="V23" s="10">
        <v>7298</v>
      </c>
      <c r="W23" s="5"/>
    </row>
    <row r="24" spans="1:23" ht="22.5" customHeight="1" x14ac:dyDescent="0.25">
      <c r="A24" s="2">
        <v>44307</v>
      </c>
      <c r="B24" s="3">
        <v>448962</v>
      </c>
      <c r="C24" s="3">
        <v>26302465</v>
      </c>
      <c r="D24" s="3">
        <v>6913407</v>
      </c>
      <c r="E24" s="15"/>
      <c r="F24" s="3">
        <v>43516</v>
      </c>
      <c r="G24" s="3">
        <v>18544</v>
      </c>
      <c r="H24" s="15"/>
      <c r="I24" s="5">
        <v>34912</v>
      </c>
      <c r="J24" s="4">
        <v>19957338</v>
      </c>
      <c r="K24" s="5">
        <v>205710</v>
      </c>
      <c r="L24" s="16"/>
      <c r="M24" s="5">
        <v>166100</v>
      </c>
      <c r="N24" s="5">
        <v>16362</v>
      </c>
      <c r="O24" s="6">
        <v>3468</v>
      </c>
      <c r="P24" s="19"/>
      <c r="Q24" s="19"/>
      <c r="R24" s="5">
        <v>50280</v>
      </c>
      <c r="S24" s="4">
        <v>165616</v>
      </c>
      <c r="T24" s="4">
        <v>8509042</v>
      </c>
      <c r="U24" s="4">
        <v>27953</v>
      </c>
      <c r="V24" s="5">
        <v>8092</v>
      </c>
      <c r="W24" s="5"/>
    </row>
    <row r="25" spans="1:23" ht="22.5" customHeight="1" x14ac:dyDescent="0.25">
      <c r="A25" s="2">
        <v>44308</v>
      </c>
      <c r="B25" s="5">
        <v>453104</v>
      </c>
      <c r="C25" s="3">
        <v>26310750</v>
      </c>
      <c r="D25" s="3">
        <v>6917002</v>
      </c>
      <c r="E25" s="15"/>
      <c r="F25" s="3">
        <v>43618</v>
      </c>
      <c r="G25" s="5">
        <v>18559</v>
      </c>
      <c r="H25" s="16"/>
      <c r="I25" s="3">
        <v>34944</v>
      </c>
      <c r="J25" s="5">
        <v>19963018</v>
      </c>
      <c r="K25" s="10">
        <v>205800</v>
      </c>
      <c r="L25" s="28"/>
      <c r="M25" s="11">
        <v>166509</v>
      </c>
      <c r="N25" s="5">
        <v>16378</v>
      </c>
      <c r="O25" s="6">
        <v>3471</v>
      </c>
      <c r="P25" s="19"/>
      <c r="Q25" s="19"/>
      <c r="R25" s="5">
        <v>50280</v>
      </c>
      <c r="S25" s="5">
        <v>165744</v>
      </c>
      <c r="T25" s="5">
        <v>8513261</v>
      </c>
      <c r="U25" s="5">
        <v>27954</v>
      </c>
      <c r="V25" s="10">
        <v>8825</v>
      </c>
      <c r="W25" s="5"/>
    </row>
    <row r="26" spans="1:23" ht="22.5" customHeight="1" x14ac:dyDescent="0.25">
      <c r="A26" s="2">
        <v>44309</v>
      </c>
      <c r="B26" s="5">
        <v>457258</v>
      </c>
      <c r="C26" s="3">
        <v>26318844</v>
      </c>
      <c r="D26" s="5">
        <v>6920633</v>
      </c>
      <c r="E26" s="16"/>
      <c r="F26" s="5">
        <v>43728</v>
      </c>
      <c r="G26" s="5">
        <v>18565</v>
      </c>
      <c r="H26" s="16"/>
      <c r="I26" s="5">
        <v>34979</v>
      </c>
      <c r="J26" s="4">
        <v>19966903</v>
      </c>
      <c r="K26" s="5">
        <v>205891</v>
      </c>
      <c r="L26" s="16"/>
      <c r="M26" s="5">
        <v>166912</v>
      </c>
      <c r="N26" s="5">
        <v>16393</v>
      </c>
      <c r="O26" s="6">
        <v>3473</v>
      </c>
      <c r="P26" s="19"/>
      <c r="Q26" s="19"/>
      <c r="R26" s="5">
        <v>50280</v>
      </c>
      <c r="S26" s="4">
        <v>165872</v>
      </c>
      <c r="T26" s="4">
        <v>8517480</v>
      </c>
      <c r="U26" s="4">
        <v>27955</v>
      </c>
      <c r="V26" s="5">
        <v>9558</v>
      </c>
      <c r="W26" s="5"/>
    </row>
    <row r="27" spans="1:23" ht="21" customHeight="1" x14ac:dyDescent="0.25">
      <c r="A27" s="2">
        <v>44310</v>
      </c>
      <c r="B27" s="3">
        <v>461468</v>
      </c>
      <c r="C27" s="3">
        <v>26327062</v>
      </c>
      <c r="D27" s="5">
        <v>6924376</v>
      </c>
      <c r="E27" s="16"/>
      <c r="F27" s="5">
        <v>43851</v>
      </c>
      <c r="G27" s="5">
        <v>18571</v>
      </c>
      <c r="H27" s="16"/>
      <c r="I27" s="5">
        <v>35022</v>
      </c>
      <c r="J27" s="5">
        <v>19471677</v>
      </c>
      <c r="K27" s="5">
        <v>205964</v>
      </c>
      <c r="L27" s="16"/>
      <c r="M27" s="5">
        <v>167320</v>
      </c>
      <c r="N27" s="5">
        <v>16409</v>
      </c>
      <c r="O27" s="6">
        <v>3476</v>
      </c>
      <c r="P27" s="19"/>
      <c r="Q27" s="19"/>
      <c r="R27" s="5">
        <v>50280</v>
      </c>
      <c r="S27" s="5">
        <v>166000</v>
      </c>
      <c r="T27" s="5">
        <v>8521699</v>
      </c>
      <c r="U27" s="5">
        <v>27957</v>
      </c>
      <c r="V27" s="5">
        <v>10291</v>
      </c>
      <c r="W27" s="5"/>
    </row>
    <row r="28" spans="1:23" ht="22.5" customHeight="1" x14ac:dyDescent="0.25">
      <c r="A28" s="2">
        <v>44311</v>
      </c>
      <c r="B28" s="3">
        <v>465678</v>
      </c>
      <c r="C28" s="3">
        <v>26335487</v>
      </c>
      <c r="D28" s="3">
        <v>6928195</v>
      </c>
      <c r="E28" s="16"/>
      <c r="F28" s="5">
        <v>43988</v>
      </c>
      <c r="G28" s="5">
        <v>18578</v>
      </c>
      <c r="H28" s="16"/>
      <c r="I28" s="3">
        <v>35069</v>
      </c>
      <c r="J28" s="5">
        <v>19976722</v>
      </c>
      <c r="K28" s="10">
        <v>206031</v>
      </c>
      <c r="L28" s="28"/>
      <c r="M28" s="3">
        <v>167732</v>
      </c>
      <c r="N28" s="3">
        <v>16424</v>
      </c>
      <c r="O28" s="6">
        <v>3478</v>
      </c>
      <c r="P28" s="19"/>
      <c r="Q28" s="19"/>
      <c r="R28" s="5">
        <v>50280</v>
      </c>
      <c r="S28" s="5">
        <v>166128</v>
      </c>
      <c r="T28" s="5">
        <v>8525918</v>
      </c>
      <c r="U28" s="5">
        <v>27958</v>
      </c>
      <c r="V28" s="10">
        <v>10904</v>
      </c>
      <c r="W28" s="5"/>
    </row>
    <row r="29" spans="1:23" ht="21" customHeight="1" x14ac:dyDescent="0.25">
      <c r="A29" s="2">
        <v>44312</v>
      </c>
      <c r="B29" s="5">
        <v>469668</v>
      </c>
      <c r="C29" s="3">
        <v>26343734</v>
      </c>
      <c r="D29" s="3">
        <v>6432017</v>
      </c>
      <c r="E29" s="15"/>
      <c r="F29" s="5">
        <v>44097</v>
      </c>
      <c r="G29" s="3">
        <v>18583</v>
      </c>
      <c r="H29" s="15"/>
      <c r="I29" s="5">
        <v>35113</v>
      </c>
      <c r="J29" s="4">
        <v>19981839</v>
      </c>
      <c r="K29" s="12">
        <v>206095</v>
      </c>
      <c r="L29" s="29"/>
      <c r="M29" s="5">
        <v>168145</v>
      </c>
      <c r="N29" s="3">
        <v>16439</v>
      </c>
      <c r="O29" s="6">
        <v>3481</v>
      </c>
      <c r="P29" s="19"/>
      <c r="Q29" s="19"/>
      <c r="R29" s="5">
        <v>50280</v>
      </c>
      <c r="S29" s="4">
        <v>166283</v>
      </c>
      <c r="T29" s="4">
        <v>8541304</v>
      </c>
      <c r="U29" s="4">
        <v>27960</v>
      </c>
      <c r="V29" s="12">
        <v>1289</v>
      </c>
      <c r="W29" s="5"/>
    </row>
    <row r="30" spans="1:23" ht="22.5" customHeight="1" x14ac:dyDescent="0.25">
      <c r="A30" s="2">
        <v>44313</v>
      </c>
      <c r="B30" s="3">
        <v>473812</v>
      </c>
      <c r="C30" s="3">
        <v>26351822</v>
      </c>
      <c r="D30" s="3">
        <v>6935628</v>
      </c>
      <c r="E30" s="15"/>
      <c r="F30" s="3">
        <v>44196</v>
      </c>
      <c r="G30" s="5">
        <v>18589</v>
      </c>
      <c r="H30" s="16"/>
      <c r="I30" s="5">
        <v>36149</v>
      </c>
      <c r="J30" s="4">
        <v>19987217</v>
      </c>
      <c r="K30" s="5">
        <v>206156</v>
      </c>
      <c r="L30" s="16"/>
      <c r="M30" s="5">
        <v>168556</v>
      </c>
      <c r="N30" s="5">
        <v>16455</v>
      </c>
      <c r="O30" s="6">
        <v>3484</v>
      </c>
      <c r="P30" s="19"/>
      <c r="Q30" s="19"/>
      <c r="R30" s="5">
        <v>50280</v>
      </c>
      <c r="S30" s="4">
        <v>166401</v>
      </c>
      <c r="T30" s="4">
        <v>8546759</v>
      </c>
      <c r="U30" s="4">
        <v>27961</v>
      </c>
      <c r="V30" s="5">
        <v>1911</v>
      </c>
      <c r="W30" s="5"/>
    </row>
    <row r="31" spans="1:23" ht="23.25" customHeight="1" x14ac:dyDescent="0.25">
      <c r="A31" s="2">
        <v>44314</v>
      </c>
      <c r="B31" s="3">
        <v>477336</v>
      </c>
      <c r="C31" s="3">
        <v>26359979</v>
      </c>
      <c r="D31" s="5">
        <v>6939295</v>
      </c>
      <c r="E31" s="15"/>
      <c r="F31" s="5">
        <v>44300</v>
      </c>
      <c r="G31" s="5">
        <v>18595</v>
      </c>
      <c r="H31" s="16"/>
      <c r="I31" s="3">
        <v>35184</v>
      </c>
      <c r="J31" s="4">
        <v>19994671</v>
      </c>
      <c r="K31" s="10">
        <v>206198</v>
      </c>
      <c r="L31" s="28"/>
      <c r="M31" s="3">
        <v>168962</v>
      </c>
      <c r="N31" s="5">
        <v>16470</v>
      </c>
      <c r="O31" s="6">
        <v>3486</v>
      </c>
      <c r="P31" s="19"/>
      <c r="Q31" s="19"/>
      <c r="R31" s="5">
        <v>50280</v>
      </c>
      <c r="S31" s="4">
        <v>166536</v>
      </c>
      <c r="T31" s="4">
        <v>8551900</v>
      </c>
      <c r="U31" s="4">
        <v>27962</v>
      </c>
      <c r="V31" s="10">
        <v>2474</v>
      </c>
      <c r="W31" s="5"/>
    </row>
    <row r="32" spans="1:23" ht="23.25" customHeight="1" x14ac:dyDescent="0.25">
      <c r="A32" s="2">
        <v>44315</v>
      </c>
      <c r="B32" s="3">
        <v>481298</v>
      </c>
      <c r="C32" s="3">
        <v>26368610</v>
      </c>
      <c r="D32" s="5">
        <v>6943084</v>
      </c>
      <c r="E32" s="16"/>
      <c r="F32" s="5">
        <v>44419</v>
      </c>
      <c r="G32" s="3">
        <v>18602</v>
      </c>
      <c r="H32" s="15"/>
      <c r="I32" s="3">
        <v>35223</v>
      </c>
      <c r="J32" s="5">
        <v>20004761</v>
      </c>
      <c r="K32" s="3">
        <v>206237</v>
      </c>
      <c r="L32" s="15"/>
      <c r="M32" s="3">
        <v>169405</v>
      </c>
      <c r="N32" s="3">
        <v>16486</v>
      </c>
      <c r="O32" s="6">
        <v>3488</v>
      </c>
      <c r="P32" s="19"/>
      <c r="Q32" s="19"/>
      <c r="R32" s="5">
        <v>50280</v>
      </c>
      <c r="S32" s="5">
        <v>166678</v>
      </c>
      <c r="T32" s="5">
        <v>8556793</v>
      </c>
      <c r="U32" s="5">
        <v>27963</v>
      </c>
      <c r="V32" s="3">
        <v>3293</v>
      </c>
      <c r="W32" s="5"/>
    </row>
    <row r="33" spans="1:23" ht="21.75" customHeight="1" x14ac:dyDescent="0.25">
      <c r="A33" s="2">
        <v>44316</v>
      </c>
      <c r="B33" s="30">
        <v>485072</v>
      </c>
      <c r="C33" s="5">
        <v>26376740</v>
      </c>
      <c r="D33" s="31">
        <v>6946737</v>
      </c>
      <c r="E33" s="16"/>
      <c r="F33" s="3">
        <v>44536</v>
      </c>
      <c r="G33" s="3">
        <v>18607</v>
      </c>
      <c r="H33" s="15"/>
      <c r="I33" s="3">
        <v>35257</v>
      </c>
      <c r="J33" s="3">
        <v>20014238</v>
      </c>
      <c r="K33" s="3">
        <v>206278</v>
      </c>
      <c r="L33" s="15"/>
      <c r="M33" s="3">
        <v>169829</v>
      </c>
      <c r="N33" s="3">
        <v>16501</v>
      </c>
      <c r="O33" s="6">
        <v>3491</v>
      </c>
      <c r="P33" s="19"/>
      <c r="Q33" s="19"/>
      <c r="R33" s="5">
        <v>50280</v>
      </c>
      <c r="S33" s="3">
        <v>166818</v>
      </c>
      <c r="T33" s="3">
        <v>8562591</v>
      </c>
      <c r="U33" s="3">
        <v>27964</v>
      </c>
      <c r="V33" s="3">
        <v>24115</v>
      </c>
      <c r="W33" s="3"/>
    </row>
    <row r="34" spans="1:23" ht="21" customHeight="1" x14ac:dyDescent="0.25">
      <c r="A34" s="2"/>
      <c r="B34" s="3"/>
      <c r="C34" s="3"/>
      <c r="D34" s="3"/>
      <c r="E34" s="15"/>
      <c r="F34" s="3"/>
      <c r="G34" s="3"/>
      <c r="H34" s="15"/>
      <c r="I34" s="3"/>
      <c r="J34" s="3"/>
      <c r="K34" s="3"/>
      <c r="L34" s="15"/>
      <c r="M34" s="3"/>
      <c r="N34" s="3"/>
      <c r="O34" s="6"/>
      <c r="P34" s="19"/>
      <c r="Q34" s="19"/>
      <c r="R34" s="3"/>
      <c r="S34" s="3"/>
      <c r="T34" s="3"/>
      <c r="U34" s="3"/>
      <c r="V34" s="3"/>
      <c r="W34" s="3"/>
    </row>
    <row r="35" spans="1:23" ht="15.75" x14ac:dyDescent="0.25">
      <c r="A35" s="33" t="s">
        <v>18</v>
      </c>
      <c r="B35" s="3">
        <v>117115</v>
      </c>
      <c r="C35" s="3">
        <v>236075</v>
      </c>
      <c r="D35" s="3">
        <v>108013</v>
      </c>
      <c r="E35" s="34"/>
      <c r="F35" s="3">
        <v>3256</v>
      </c>
      <c r="G35" s="3">
        <v>164</v>
      </c>
      <c r="H35" s="34"/>
      <c r="I35" s="3">
        <v>1194</v>
      </c>
      <c r="J35" s="3">
        <v>162480</v>
      </c>
      <c r="K35" s="3">
        <v>1926</v>
      </c>
      <c r="L35" s="34"/>
      <c r="M35" s="3">
        <v>11907</v>
      </c>
      <c r="N35" s="3">
        <v>451</v>
      </c>
      <c r="O35" s="6">
        <v>74</v>
      </c>
      <c r="P35" s="34"/>
      <c r="Q35" s="34"/>
      <c r="R35" s="3">
        <v>0</v>
      </c>
      <c r="S35" s="3">
        <v>3917</v>
      </c>
      <c r="T35" s="3">
        <v>180740</v>
      </c>
      <c r="U35" s="3">
        <v>42</v>
      </c>
      <c r="V35" s="3">
        <v>21981</v>
      </c>
    </row>
    <row r="36" spans="1:23" x14ac:dyDescent="0.25">
      <c r="A36" s="33" t="s">
        <v>19</v>
      </c>
      <c r="B36" s="35">
        <v>120562</v>
      </c>
      <c r="C36" s="35">
        <v>244535</v>
      </c>
      <c r="D36" s="35">
        <v>109469</v>
      </c>
      <c r="E36" s="36"/>
      <c r="F36" s="35">
        <v>3049</v>
      </c>
      <c r="G36" s="35">
        <v>103</v>
      </c>
      <c r="H36" s="36"/>
      <c r="I36" s="35">
        <v>1354</v>
      </c>
      <c r="J36" s="35">
        <v>129469</v>
      </c>
      <c r="K36" s="35">
        <v>2635</v>
      </c>
      <c r="L36" s="36"/>
      <c r="M36" s="35">
        <v>12510</v>
      </c>
      <c r="N36" s="35">
        <v>444</v>
      </c>
      <c r="O36" s="35">
        <v>83</v>
      </c>
      <c r="P36" s="36"/>
      <c r="Q36" s="36"/>
      <c r="R36" s="35">
        <v>0</v>
      </c>
      <c r="S36" s="35">
        <v>3734</v>
      </c>
      <c r="T36" s="35">
        <v>179319</v>
      </c>
      <c r="U36" s="35">
        <v>41</v>
      </c>
      <c r="V36" s="35">
        <v>18461</v>
      </c>
    </row>
    <row r="37" spans="1:23" ht="15.75" x14ac:dyDescent="0.25">
      <c r="A37" s="33" t="s">
        <v>20</v>
      </c>
      <c r="B37" s="3">
        <f>B35-B36</f>
        <v>-3447</v>
      </c>
      <c r="C37" s="3">
        <f t="shared" ref="C37:V37" si="0">C35-C36</f>
        <v>-8460</v>
      </c>
      <c r="D37" s="3">
        <f t="shared" si="0"/>
        <v>-1456</v>
      </c>
      <c r="E37" s="15">
        <f t="shared" si="0"/>
        <v>0</v>
      </c>
      <c r="F37" s="3">
        <f t="shared" si="0"/>
        <v>207</v>
      </c>
      <c r="G37" s="3">
        <f t="shared" si="0"/>
        <v>61</v>
      </c>
      <c r="H37" s="15">
        <f t="shared" si="0"/>
        <v>0</v>
      </c>
      <c r="I37" s="3">
        <f t="shared" si="0"/>
        <v>-160</v>
      </c>
      <c r="J37" s="3">
        <f t="shared" si="0"/>
        <v>33011</v>
      </c>
      <c r="K37" s="3">
        <f t="shared" si="0"/>
        <v>-709</v>
      </c>
      <c r="L37" s="15">
        <f t="shared" si="0"/>
        <v>0</v>
      </c>
      <c r="M37" s="3">
        <f t="shared" si="0"/>
        <v>-603</v>
      </c>
      <c r="N37" s="3">
        <f t="shared" si="0"/>
        <v>7</v>
      </c>
      <c r="O37" s="3">
        <f t="shared" si="0"/>
        <v>-9</v>
      </c>
      <c r="P37" s="15">
        <f t="shared" si="0"/>
        <v>0</v>
      </c>
      <c r="Q37" s="15">
        <f t="shared" si="0"/>
        <v>0</v>
      </c>
      <c r="R37" s="3">
        <f t="shared" si="0"/>
        <v>0</v>
      </c>
      <c r="S37" s="3">
        <f t="shared" si="0"/>
        <v>183</v>
      </c>
      <c r="T37" s="3">
        <f t="shared" si="0"/>
        <v>1421</v>
      </c>
      <c r="U37" s="3">
        <f t="shared" si="0"/>
        <v>1</v>
      </c>
      <c r="V37" s="3">
        <f t="shared" si="0"/>
        <v>3520</v>
      </c>
    </row>
    <row r="38" spans="1:23" x14ac:dyDescent="0.25">
      <c r="A38" s="33" t="s">
        <v>21</v>
      </c>
      <c r="B38" s="37">
        <f>B37/B36</f>
        <v>-2.8591098356032581E-2</v>
      </c>
      <c r="C38" s="37">
        <f t="shared" ref="C38:V38" si="1">C37/C36</f>
        <v>-3.459627456192365E-2</v>
      </c>
      <c r="D38" s="37">
        <f t="shared" si="1"/>
        <v>-1.3300569110889841E-2</v>
      </c>
      <c r="E38" s="38" t="e">
        <f t="shared" si="1"/>
        <v>#DIV/0!</v>
      </c>
      <c r="F38" s="37">
        <f t="shared" si="1"/>
        <v>6.7891111839947518E-2</v>
      </c>
      <c r="G38" s="37">
        <f t="shared" si="1"/>
        <v>0.59223300970873782</v>
      </c>
      <c r="H38" s="38" t="e">
        <f t="shared" si="1"/>
        <v>#DIV/0!</v>
      </c>
      <c r="I38" s="37">
        <f t="shared" si="1"/>
        <v>-0.11816838995568685</v>
      </c>
      <c r="J38" s="37">
        <f t="shared" si="1"/>
        <v>0.25497223273524938</v>
      </c>
      <c r="K38" s="37">
        <f t="shared" si="1"/>
        <v>-0.26907020872865273</v>
      </c>
      <c r="L38" s="38" t="e">
        <f t="shared" si="1"/>
        <v>#DIV/0!</v>
      </c>
      <c r="M38" s="37">
        <f t="shared" si="1"/>
        <v>-4.8201438848920863E-2</v>
      </c>
      <c r="N38" s="37">
        <f t="shared" si="1"/>
        <v>1.5765765765765764E-2</v>
      </c>
      <c r="O38" s="37">
        <f t="shared" si="1"/>
        <v>-0.10843373493975904</v>
      </c>
      <c r="P38" s="38" t="e">
        <f t="shared" si="1"/>
        <v>#DIV/0!</v>
      </c>
      <c r="Q38" s="38" t="e">
        <f t="shared" si="1"/>
        <v>#DIV/0!</v>
      </c>
      <c r="R38" s="37">
        <v>0</v>
      </c>
      <c r="S38" s="37">
        <f t="shared" si="1"/>
        <v>4.9009105516871987E-2</v>
      </c>
      <c r="T38" s="37">
        <f t="shared" si="1"/>
        <v>7.9244251863996567E-3</v>
      </c>
      <c r="U38" s="37">
        <f t="shared" si="1"/>
        <v>2.4390243902439025E-2</v>
      </c>
      <c r="V38" s="37">
        <f t="shared" si="1"/>
        <v>0.19067222793998159</v>
      </c>
    </row>
  </sheetData>
  <mergeCells count="22">
    <mergeCell ref="A1:A3"/>
    <mergeCell ref="B1:D1"/>
    <mergeCell ref="F1:G1"/>
    <mergeCell ref="I1:K1"/>
    <mergeCell ref="M1:Q1"/>
    <mergeCell ref="K2:K3"/>
    <mergeCell ref="M2:M3"/>
    <mergeCell ref="N2:N3"/>
    <mergeCell ref="O2:O3"/>
    <mergeCell ref="P2:P3"/>
    <mergeCell ref="F2:F3"/>
    <mergeCell ref="G2:G3"/>
    <mergeCell ref="I2:I3"/>
    <mergeCell ref="J2:J3"/>
    <mergeCell ref="Q2:Q3"/>
    <mergeCell ref="W1:W3"/>
    <mergeCell ref="R2:R3"/>
    <mergeCell ref="S2:S3"/>
    <mergeCell ref="T2:T3"/>
    <mergeCell ref="U2:U3"/>
    <mergeCell ref="V2:V3"/>
    <mergeCell ref="R1:V1"/>
  </mergeCells>
  <pageMargins left="0" right="0" top="0" bottom="0" header="0" footer="0"/>
  <pageSetup paperSize="5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Four Seasons Hotel Baltimore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Gibbons</dc:creator>
  <cp:lastModifiedBy>Josh Faby</cp:lastModifiedBy>
  <cp:lastPrinted>2021-04-07T16:01:31Z</cp:lastPrinted>
  <dcterms:created xsi:type="dcterms:W3CDTF">2014-07-01T13:26:04Z</dcterms:created>
  <dcterms:modified xsi:type="dcterms:W3CDTF">2021-05-11T20:28:40Z</dcterms:modified>
</cp:coreProperties>
</file>