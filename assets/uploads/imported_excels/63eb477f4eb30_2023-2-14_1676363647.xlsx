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0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ida.Jasiulyte\Four Seasons Hotels Limited\LON_Engineering_O365 - Engineering Department Files\HEP\2022\"/>
    </mc:Choice>
  </mc:AlternateContent>
  <xr:revisionPtr revIDLastSave="4821" documentId="8_{B5C46BEE-2163-4AAC-A0A7-4875FCE1155D}" xr6:coauthVersionLast="47" xr6:coauthVersionMax="47" xr10:uidLastSave="{041BD618-05C8-4541-8574-5EEDE8F86F96}"/>
  <bookViews>
    <workbookView xWindow="0" yWindow="0" windowWidth="28800" windowHeight="12105" firstSheet="2" activeTab="2" xr2:uid="{00000000-000D-0000-FFFF-FFFF00000000}"/>
  </bookViews>
  <sheets>
    <sheet name="TOTAL" sheetId="1" r:id="rId1"/>
    <sheet name="Submetering" sheetId="3" r:id="rId2"/>
    <sheet name="FSLPL Daily " sheetId="2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2" i="2" l="1"/>
  <c r="AU12" i="2"/>
  <c r="AS12" i="2"/>
  <c r="AP12" i="2"/>
  <c r="AF9" i="2"/>
  <c r="AP6" i="2"/>
  <c r="D1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AW28" i="2"/>
  <c r="AN27" i="2"/>
  <c r="AW26" i="2"/>
  <c r="AU22" i="2"/>
  <c r="AS22" i="2"/>
  <c r="AW22" i="2"/>
  <c r="AN18" i="2"/>
  <c r="D17" i="2"/>
  <c r="D18" i="2"/>
  <c r="R18" i="2"/>
  <c r="AW18" i="2"/>
  <c r="AW17" i="2"/>
  <c r="N14" i="2"/>
  <c r="Z14" i="2"/>
  <c r="K31" i="1"/>
  <c r="AD12" i="2"/>
  <c r="Z12" i="2"/>
  <c r="X12" i="2"/>
  <c r="V12" i="2"/>
  <c r="AW27" i="2"/>
  <c r="D27" i="2"/>
  <c r="D26" i="2"/>
  <c r="AY17" i="2"/>
  <c r="AY16" i="2"/>
  <c r="D11" i="2"/>
  <c r="AB4" i="2"/>
  <c r="AB5" i="2"/>
  <c r="BC30" i="2"/>
  <c r="BA30" i="2"/>
  <c r="BC4" i="2"/>
  <c r="AD4" i="2"/>
  <c r="AF4" i="2"/>
  <c r="AH4" i="2"/>
  <c r="AJ4" i="2"/>
  <c r="AL4" i="2"/>
  <c r="AN4" i="2"/>
  <c r="AP4" i="2"/>
  <c r="AW4" i="2"/>
  <c r="Z4" i="2"/>
  <c r="X4" i="2"/>
  <c r="V4" i="2"/>
  <c r="T4" i="2"/>
  <c r="R4" i="2"/>
  <c r="P4" i="2"/>
  <c r="N4" i="2"/>
  <c r="L4" i="2"/>
  <c r="J4" i="2"/>
  <c r="D5" i="2"/>
  <c r="D4" i="2"/>
  <c r="H5" i="2"/>
  <c r="H4" i="2"/>
  <c r="L26" i="2"/>
  <c r="AY4" i="2"/>
  <c r="BA4" i="2"/>
  <c r="BC5" i="2"/>
  <c r="AY10" i="2"/>
  <c r="BA29" i="2"/>
  <c r="L27" i="2"/>
  <c r="H26" i="2"/>
  <c r="J26" i="2"/>
  <c r="N26" i="2"/>
  <c r="P26" i="2"/>
  <c r="R26" i="2"/>
  <c r="T26" i="2"/>
  <c r="V26" i="2"/>
  <c r="X26" i="2"/>
  <c r="Z26" i="2"/>
  <c r="AB26" i="2"/>
  <c r="H27" i="2"/>
  <c r="J27" i="2"/>
  <c r="N27" i="2"/>
  <c r="P27" i="2"/>
  <c r="R27" i="2"/>
  <c r="T27" i="2"/>
  <c r="V27" i="2"/>
  <c r="X27" i="2"/>
  <c r="Z27" i="2"/>
  <c r="AB27" i="2"/>
  <c r="BH30" i="2" l="1"/>
  <c r="BH29" i="2"/>
  <c r="BH28" i="2"/>
  <c r="BH27" i="2"/>
  <c r="BH26" i="2"/>
  <c r="BH25" i="2"/>
  <c r="BH24" i="2"/>
  <c r="BH23" i="2"/>
  <c r="BH22" i="2"/>
  <c r="BH21" i="2"/>
  <c r="BH20" i="2"/>
  <c r="BH19" i="2"/>
  <c r="BH18" i="2"/>
  <c r="BH17" i="2"/>
  <c r="BH4" i="2" l="1"/>
  <c r="BH5" i="2"/>
  <c r="BH6" i="2"/>
  <c r="BH7" i="2"/>
  <c r="BH8" i="2"/>
  <c r="BH9" i="2"/>
  <c r="BH10" i="2"/>
  <c r="BH11" i="2"/>
  <c r="BH12" i="2"/>
  <c r="BH13" i="2"/>
  <c r="BH14" i="2"/>
  <c r="BH15" i="2"/>
  <c r="BH16" i="2"/>
  <c r="BH3" i="2"/>
  <c r="BA5" i="2" l="1"/>
  <c r="BA6" i="2"/>
  <c r="AN7" i="2" l="1"/>
  <c r="AN8" i="2"/>
  <c r="AN9" i="2"/>
  <c r="G3" i="1" l="1"/>
  <c r="G4" i="1"/>
  <c r="G5" i="1"/>
  <c r="G6" i="1"/>
  <c r="G7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BC29" i="2"/>
  <c r="BC28" i="2"/>
  <c r="BC27" i="2"/>
  <c r="BC26" i="2"/>
  <c r="BC25" i="2"/>
  <c r="BC24" i="2"/>
  <c r="BC23" i="2"/>
  <c r="BC22" i="2"/>
  <c r="BC21" i="2"/>
  <c r="BC20" i="2"/>
  <c r="BC19" i="2"/>
  <c r="BC18" i="2"/>
  <c r="BC17" i="2"/>
  <c r="BC16" i="2"/>
  <c r="BC15" i="2"/>
  <c r="BC14" i="2"/>
  <c r="BC13" i="2"/>
  <c r="BC12" i="2"/>
  <c r="BC9" i="2"/>
  <c r="BC8" i="2"/>
  <c r="BC7" i="2"/>
  <c r="BC6" i="2"/>
  <c r="BA28" i="2"/>
  <c r="BA27" i="2"/>
  <c r="BA26" i="2"/>
  <c r="BA25" i="2"/>
  <c r="BA24" i="2"/>
  <c r="BA23" i="2"/>
  <c r="BA22" i="2"/>
  <c r="BA21" i="2"/>
  <c r="BA20" i="2"/>
  <c r="BA19" i="2"/>
  <c r="BA18" i="2"/>
  <c r="BA17" i="2"/>
  <c r="BA16" i="2"/>
  <c r="BA15" i="2"/>
  <c r="BA14" i="2"/>
  <c r="BA13" i="2"/>
  <c r="BA12" i="2"/>
  <c r="BA9" i="2"/>
  <c r="BA8" i="2"/>
  <c r="BA7" i="2"/>
  <c r="AY30" i="2"/>
  <c r="AY29" i="2"/>
  <c r="AY28" i="2"/>
  <c r="AY27" i="2"/>
  <c r="AY26" i="2"/>
  <c r="AY25" i="2"/>
  <c r="AY24" i="2"/>
  <c r="AY23" i="2"/>
  <c r="AY22" i="2"/>
  <c r="AY21" i="2"/>
  <c r="AY20" i="2"/>
  <c r="AY19" i="2"/>
  <c r="AY18" i="2"/>
  <c r="AY15" i="2"/>
  <c r="AY14" i="2"/>
  <c r="AY13" i="2"/>
  <c r="AY12" i="2"/>
  <c r="AY11" i="2"/>
  <c r="AY9" i="2"/>
  <c r="AY8" i="2"/>
  <c r="AY7" i="2"/>
  <c r="AY6" i="2"/>
  <c r="AY5" i="2"/>
  <c r="AW30" i="2"/>
  <c r="AW29" i="2"/>
  <c r="AW25" i="2"/>
  <c r="AW24" i="2"/>
  <c r="AW23" i="2"/>
  <c r="AW21" i="2"/>
  <c r="AW20" i="2"/>
  <c r="AW19" i="2"/>
  <c r="AW16" i="2"/>
  <c r="AW15" i="2"/>
  <c r="AW14" i="2"/>
  <c r="AW13" i="2"/>
  <c r="AW12" i="2"/>
  <c r="AW11" i="2"/>
  <c r="AW10" i="2"/>
  <c r="AW9" i="2"/>
  <c r="AW8" i="2"/>
  <c r="AW7" i="2"/>
  <c r="AW6" i="2"/>
  <c r="AW5" i="2"/>
  <c r="AP30" i="2"/>
  <c r="AP29" i="2"/>
  <c r="AP28" i="2"/>
  <c r="AP27" i="2"/>
  <c r="AP26" i="2"/>
  <c r="AP25" i="2"/>
  <c r="AP24" i="2"/>
  <c r="AP23" i="2"/>
  <c r="AP22" i="2"/>
  <c r="AP21" i="2"/>
  <c r="AP20" i="2"/>
  <c r="AP19" i="2"/>
  <c r="AP18" i="2"/>
  <c r="AP17" i="2"/>
  <c r="AP16" i="2"/>
  <c r="AP15" i="2"/>
  <c r="AP14" i="2"/>
  <c r="AP13" i="2"/>
  <c r="AP11" i="2"/>
  <c r="AP10" i="2"/>
  <c r="AP9" i="2"/>
  <c r="AP8" i="2"/>
  <c r="AP7" i="2"/>
  <c r="AP5" i="2"/>
  <c r="AN30" i="2"/>
  <c r="AN29" i="2"/>
  <c r="AN28" i="2"/>
  <c r="AN26" i="2"/>
  <c r="AN25" i="2"/>
  <c r="AN24" i="2"/>
  <c r="AN23" i="2"/>
  <c r="AN22" i="2"/>
  <c r="AN21" i="2"/>
  <c r="AN20" i="2"/>
  <c r="AN19" i="2"/>
  <c r="AN17" i="2"/>
  <c r="AN16" i="2"/>
  <c r="AN15" i="2"/>
  <c r="AN14" i="2"/>
  <c r="AN13" i="2"/>
  <c r="AN12" i="2"/>
  <c r="AN11" i="2"/>
  <c r="AN10" i="2"/>
  <c r="AN6" i="2"/>
  <c r="AN5" i="2"/>
  <c r="AL30" i="2"/>
  <c r="AL29" i="2"/>
  <c r="AL28" i="2"/>
  <c r="AL27" i="2"/>
  <c r="AL26" i="2"/>
  <c r="AL25" i="2"/>
  <c r="AL24" i="2"/>
  <c r="AL23" i="2"/>
  <c r="AL22" i="2"/>
  <c r="AL21" i="2"/>
  <c r="AL20" i="2"/>
  <c r="AL19" i="2"/>
  <c r="AL18" i="2"/>
  <c r="AL17" i="2"/>
  <c r="AL16" i="2"/>
  <c r="AL15" i="2"/>
  <c r="AL14" i="2"/>
  <c r="AL13" i="2"/>
  <c r="AL12" i="2"/>
  <c r="AL11" i="2"/>
  <c r="AL10" i="2"/>
  <c r="AL9" i="2"/>
  <c r="AL8" i="2"/>
  <c r="AL7" i="2"/>
  <c r="AL6" i="2"/>
  <c r="AL5" i="2"/>
  <c r="AJ30" i="2"/>
  <c r="AJ29" i="2"/>
  <c r="AJ28" i="2"/>
  <c r="AJ27" i="2"/>
  <c r="AJ26" i="2"/>
  <c r="AJ25" i="2"/>
  <c r="AJ24" i="2"/>
  <c r="AJ23" i="2"/>
  <c r="AJ22" i="2"/>
  <c r="AJ21" i="2"/>
  <c r="AJ20" i="2"/>
  <c r="AJ19" i="2"/>
  <c r="AJ18" i="2"/>
  <c r="AJ17" i="2"/>
  <c r="AJ16" i="2"/>
  <c r="AJ15" i="2"/>
  <c r="AJ14" i="2"/>
  <c r="AJ13" i="2"/>
  <c r="AJ12" i="2"/>
  <c r="AJ11" i="2"/>
  <c r="AJ10" i="2"/>
  <c r="AJ9" i="2"/>
  <c r="AJ8" i="2"/>
  <c r="AJ7" i="2"/>
  <c r="AJ6" i="2"/>
  <c r="AJ5" i="2"/>
  <c r="AH30" i="2"/>
  <c r="AH29" i="2"/>
  <c r="AH28" i="2"/>
  <c r="AH27" i="2"/>
  <c r="AH26" i="2"/>
  <c r="AH25" i="2"/>
  <c r="AH24" i="2"/>
  <c r="AH23" i="2"/>
  <c r="AH22" i="2"/>
  <c r="AH21" i="2"/>
  <c r="AH20" i="2"/>
  <c r="AH19" i="2"/>
  <c r="AH18" i="2"/>
  <c r="AH17" i="2"/>
  <c r="AH16" i="2"/>
  <c r="AH15" i="2"/>
  <c r="AH14" i="2"/>
  <c r="AH13" i="2"/>
  <c r="AH12" i="2"/>
  <c r="AH11" i="2"/>
  <c r="AH10" i="2"/>
  <c r="AH9" i="2"/>
  <c r="AH8" i="2"/>
  <c r="AH7" i="2"/>
  <c r="AH6" i="2"/>
  <c r="AH5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8" i="2"/>
  <c r="AF7" i="2"/>
  <c r="AF6" i="2"/>
  <c r="AF5" i="2"/>
  <c r="AD30" i="2"/>
  <c r="AD29" i="2"/>
  <c r="AD28" i="2"/>
  <c r="AD27" i="2"/>
  <c r="AD26" i="2"/>
  <c r="AD25" i="2"/>
  <c r="AD24" i="2"/>
  <c r="AD23" i="2"/>
  <c r="AD22" i="2"/>
  <c r="AD21" i="2"/>
  <c r="AD20" i="2"/>
  <c r="AD19" i="2"/>
  <c r="AD18" i="2"/>
  <c r="AD17" i="2"/>
  <c r="AD16" i="2"/>
  <c r="AD15" i="2"/>
  <c r="AD14" i="2"/>
  <c r="AD13" i="2"/>
  <c r="AD11" i="2"/>
  <c r="AD10" i="2"/>
  <c r="AD9" i="2"/>
  <c r="AD8" i="2"/>
  <c r="AD7" i="2"/>
  <c r="AD6" i="2"/>
  <c r="AD5" i="2"/>
  <c r="AB30" i="2"/>
  <c r="AB29" i="2"/>
  <c r="AB28" i="2"/>
  <c r="AB25" i="2"/>
  <c r="AB24" i="2"/>
  <c r="AB23" i="2"/>
  <c r="AB22" i="2"/>
  <c r="AB21" i="2"/>
  <c r="AB20" i="2"/>
  <c r="AB19" i="2"/>
  <c r="AB18" i="2"/>
  <c r="AB17" i="2"/>
  <c r="AB16" i="2"/>
  <c r="AB15" i="2"/>
  <c r="AB14" i="2"/>
  <c r="AB13" i="2"/>
  <c r="AB11" i="2"/>
  <c r="AB10" i="2"/>
  <c r="AB9" i="2"/>
  <c r="AB8" i="2"/>
  <c r="AB7" i="2"/>
  <c r="AB6" i="2"/>
  <c r="Z30" i="2"/>
  <c r="Z29" i="2"/>
  <c r="Z28" i="2"/>
  <c r="Z25" i="2"/>
  <c r="Z24" i="2"/>
  <c r="Z23" i="2"/>
  <c r="Z22" i="2"/>
  <c r="Z21" i="2"/>
  <c r="Z20" i="2"/>
  <c r="Z19" i="2"/>
  <c r="Z18" i="2"/>
  <c r="Z17" i="2"/>
  <c r="Z16" i="2"/>
  <c r="Z15" i="2"/>
  <c r="Z13" i="2"/>
  <c r="Z11" i="2"/>
  <c r="Z10" i="2"/>
  <c r="Z9" i="2"/>
  <c r="Z8" i="2"/>
  <c r="Z7" i="2"/>
  <c r="Z6" i="2"/>
  <c r="Z5" i="2"/>
  <c r="X30" i="2"/>
  <c r="X29" i="2"/>
  <c r="X28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1" i="2"/>
  <c r="X10" i="2"/>
  <c r="X9" i="2"/>
  <c r="X8" i="2"/>
  <c r="X7" i="2"/>
  <c r="X6" i="2"/>
  <c r="X5" i="2"/>
  <c r="V5" i="2"/>
  <c r="V6" i="2"/>
  <c r="V7" i="2"/>
  <c r="V8" i="2"/>
  <c r="V9" i="2"/>
  <c r="V10" i="2"/>
  <c r="V11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8" i="2"/>
  <c r="V29" i="2"/>
  <c r="V30" i="2"/>
  <c r="T30" i="2"/>
  <c r="T29" i="2"/>
  <c r="T28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R30" i="2"/>
  <c r="R29" i="2"/>
  <c r="R28" i="2"/>
  <c r="R25" i="2"/>
  <c r="R24" i="2"/>
  <c r="R23" i="2"/>
  <c r="R22" i="2"/>
  <c r="R21" i="2"/>
  <c r="R20" i="2"/>
  <c r="R19" i="2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P30" i="2"/>
  <c r="P29" i="2"/>
  <c r="P28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N30" i="2"/>
  <c r="N29" i="2"/>
  <c r="N28" i="2"/>
  <c r="N25" i="2"/>
  <c r="N24" i="2"/>
  <c r="N23" i="2"/>
  <c r="N22" i="2"/>
  <c r="N21" i="2"/>
  <c r="N20" i="2"/>
  <c r="N19" i="2"/>
  <c r="N18" i="2"/>
  <c r="N17" i="2"/>
  <c r="N16" i="2"/>
  <c r="N15" i="2"/>
  <c r="N13" i="2"/>
  <c r="N12" i="2"/>
  <c r="N11" i="2"/>
  <c r="N10" i="2"/>
  <c r="N9" i="2"/>
  <c r="N8" i="2"/>
  <c r="N7" i="2"/>
  <c r="N6" i="2"/>
  <c r="N5" i="2"/>
  <c r="L30" i="2"/>
  <c r="L29" i="2"/>
  <c r="L28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8" i="2"/>
  <c r="J29" i="2"/>
  <c r="J30" i="2"/>
  <c r="J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8" i="2"/>
  <c r="H29" i="2"/>
  <c r="H30" i="2"/>
  <c r="D6" i="2"/>
  <c r="D7" i="2"/>
  <c r="D8" i="2"/>
  <c r="D9" i="2"/>
  <c r="D10" i="2"/>
  <c r="D12" i="2"/>
  <c r="D14" i="2"/>
  <c r="D15" i="2"/>
  <c r="D16" i="2"/>
  <c r="D19" i="2"/>
  <c r="D20" i="2"/>
  <c r="D21" i="2"/>
  <c r="D22" i="2"/>
  <c r="D23" i="2"/>
  <c r="D24" i="2"/>
  <c r="D25" i="2"/>
  <c r="D28" i="2"/>
  <c r="D29" i="2"/>
  <c r="D30" i="2"/>
  <c r="G8" i="1" l="1"/>
  <c r="G9" i="1"/>
  <c r="BA11" i="2"/>
  <c r="BA10" i="2"/>
  <c r="BC11" i="2"/>
  <c r="BC10" i="2"/>
  <c r="K30" i="1"/>
  <c r="L30" i="1"/>
  <c r="L31" i="1"/>
  <c r="I31" i="1"/>
  <c r="E30" i="1"/>
  <c r="F30" i="1" s="1"/>
  <c r="E31" i="1"/>
  <c r="F31" i="1" s="1"/>
  <c r="G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L2" i="1"/>
  <c r="K2" i="1"/>
  <c r="I7" i="1"/>
  <c r="I24" i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E22" i="1" l="1"/>
  <c r="E8" i="1"/>
  <c r="F8" i="1" s="1"/>
  <c r="E19" i="1"/>
  <c r="F19" i="1" s="1"/>
  <c r="F22" i="1"/>
  <c r="I15" i="1"/>
  <c r="E3" i="1"/>
  <c r="F3" i="1" s="1"/>
  <c r="E26" i="1"/>
  <c r="F26" i="1" s="1"/>
  <c r="E25" i="1"/>
  <c r="F25" i="1" s="1"/>
  <c r="E23" i="1"/>
  <c r="F23" i="1" s="1"/>
  <c r="E17" i="1"/>
  <c r="F17" i="1" s="1"/>
  <c r="E16" i="1"/>
  <c r="F16" i="1" s="1"/>
  <c r="I5" i="1"/>
  <c r="E13" i="1"/>
  <c r="F13" i="1" s="1"/>
  <c r="E18" i="1"/>
  <c r="F18" i="1" s="1"/>
  <c r="E7" i="1"/>
  <c r="F7" i="1" s="1"/>
  <c r="E15" i="1"/>
  <c r="F15" i="1" s="1"/>
  <c r="E14" i="1"/>
  <c r="F14" i="1" s="1"/>
  <c r="E12" i="1"/>
  <c r="F12" i="1" s="1"/>
  <c r="E10" i="1"/>
  <c r="F10" i="1" s="1"/>
  <c r="E9" i="1"/>
  <c r="F9" i="1" s="1"/>
  <c r="E11" i="1"/>
  <c r="F11" i="1" s="1"/>
  <c r="E5" i="1"/>
  <c r="F5" i="1" s="1"/>
  <c r="E6" i="1"/>
  <c r="F6" i="1" s="1"/>
  <c r="E4" i="1"/>
  <c r="F4" i="1" s="1"/>
  <c r="E2" i="1"/>
  <c r="F2" i="1" s="1"/>
  <c r="I11" i="1"/>
  <c r="I2" i="1"/>
  <c r="E24" i="1"/>
  <c r="F24" i="1" s="1"/>
  <c r="E28" i="1"/>
  <c r="F28" i="1" s="1"/>
  <c r="E27" i="1"/>
  <c r="F27" i="1" s="1"/>
  <c r="E29" i="1"/>
  <c r="F29" i="1" s="1"/>
  <c r="I30" i="1"/>
  <c r="I29" i="1"/>
  <c r="I12" i="1"/>
  <c r="I10" i="1"/>
  <c r="I14" i="1"/>
  <c r="I25" i="1"/>
  <c r="I28" i="1"/>
  <c r="I4" i="1"/>
  <c r="I23" i="1"/>
  <c r="I19" i="1"/>
  <c r="I13" i="1"/>
  <c r="I21" i="1"/>
  <c r="I8" i="1"/>
  <c r="I27" i="1"/>
  <c r="I6" i="1"/>
  <c r="I3" i="1"/>
  <c r="I22" i="1"/>
  <c r="I18" i="1"/>
  <c r="I16" i="1"/>
  <c r="I9" i="1"/>
  <c r="I17" i="1"/>
  <c r="I26" i="1"/>
  <c r="E21" i="1"/>
  <c r="F21" i="1" s="1"/>
  <c r="E20" i="1"/>
  <c r="F20" i="1" s="1"/>
  <c r="I20" i="1"/>
</calcChain>
</file>

<file path=xl/sharedStrings.xml><?xml version="1.0" encoding="utf-8"?>
<sst xmlns="http://schemas.openxmlformats.org/spreadsheetml/2006/main" count="236" uniqueCount="61">
  <si>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</si>
  <si>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</si>
  <si>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</si>
  <si>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</si>
  <si>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</si>
  <si>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</si>
  <si>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</si>
  <si>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</si>
  <si>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</si>
  <si>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</si>
  <si>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</si>
  <si>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</si>
  <si>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London at Park Lane</t>
  </si>
  <si>
    <t>LV Panel 1 KWh</t>
  </si>
  <si>
    <t>LV Panel 2 KWh</t>
  </si>
  <si>
    <t>CHP KWh</t>
  </si>
  <si>
    <t>MCC9 KWh</t>
  </si>
  <si>
    <t>GF Panel KWh</t>
  </si>
  <si>
    <t>Kitchen Switch. KWh</t>
  </si>
  <si>
    <t>Kitchen Panel KWh</t>
  </si>
  <si>
    <t>MCC3 (AHU) KWh</t>
  </si>
  <si>
    <t>MCC8 KWh</t>
  </si>
  <si>
    <t>First Floor Plan (KWh)</t>
  </si>
  <si>
    <t>MCC6 (1st floor AHU) KWh</t>
  </si>
  <si>
    <t>Chiller 1 KWh</t>
  </si>
  <si>
    <t>Chiller 2 KWh</t>
  </si>
  <si>
    <t>MCC 10 (Mechanical Services) KWh</t>
  </si>
  <si>
    <t>MCC2 CHW KWh</t>
  </si>
  <si>
    <t>MCC7 (Kitchen) KWh</t>
  </si>
  <si>
    <t>MCC 5 (Mechanical services) KWh</t>
  </si>
  <si>
    <t>MCC 4 (Water Services) KWh</t>
  </si>
  <si>
    <t>MCC1 (KWh)</t>
  </si>
  <si>
    <t>Laundry db KWh</t>
  </si>
  <si>
    <r>
      <t>City Water 1 m</t>
    </r>
    <r>
      <rPr>
        <b/>
        <vertAlign val="superscript"/>
        <sz val="11"/>
        <color indexed="8"/>
        <rFont val="Calibri"/>
        <family val="2"/>
      </rPr>
      <t>3</t>
    </r>
  </si>
  <si>
    <r>
      <t>City Water 2  m</t>
    </r>
    <r>
      <rPr>
        <b/>
        <vertAlign val="superscript"/>
        <sz val="11"/>
        <color indexed="8"/>
        <rFont val="Calibri"/>
        <family val="2"/>
      </rPr>
      <t>3</t>
    </r>
  </si>
  <si>
    <r>
      <t>Laundry CW   m</t>
    </r>
    <r>
      <rPr>
        <b/>
        <vertAlign val="superscript"/>
        <sz val="11"/>
        <color indexed="8"/>
        <rFont val="Calibri"/>
        <family val="2"/>
      </rPr>
      <t>3</t>
    </r>
  </si>
  <si>
    <r>
      <t>Laundry HW m</t>
    </r>
    <r>
      <rPr>
        <b/>
        <vertAlign val="superscript"/>
        <sz val="11"/>
        <color indexed="8"/>
        <rFont val="Calibri"/>
        <family val="2"/>
      </rPr>
      <t>3</t>
    </r>
  </si>
  <si>
    <r>
      <t>Natural Gas m</t>
    </r>
    <r>
      <rPr>
        <b/>
        <vertAlign val="superscript"/>
        <sz val="11"/>
        <color indexed="8"/>
        <rFont val="Calibri"/>
        <family val="2"/>
      </rPr>
      <t>3</t>
    </r>
  </si>
  <si>
    <r>
      <t>CHP Natural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</si>
  <si>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Days </t>
  </si>
  <si>
    <t>Kitchen Switchboard</t>
  </si>
  <si>
    <t xml:space="preserve">Kitchen Panel </t>
  </si>
  <si>
    <t>First Floor Panel (KWh)</t>
  </si>
  <si>
    <t>MCC6(1st floor AHU) KWh</t>
  </si>
  <si>
    <r>
      <t>Hamilton Place Water 1 m</t>
    </r>
    <r>
      <rPr>
        <b/>
        <vertAlign val="superscript"/>
        <sz val="11"/>
        <color indexed="8"/>
        <rFont val="Calibri"/>
        <family val="2"/>
      </rPr>
      <t>3</t>
    </r>
  </si>
  <si>
    <r>
      <t>Old Parklane  Water 2  m</t>
    </r>
    <r>
      <rPr>
        <b/>
        <vertAlign val="superscript"/>
        <sz val="11"/>
        <color indexed="8"/>
        <rFont val="Calibri"/>
        <family val="2"/>
      </rPr>
      <t>3</t>
    </r>
  </si>
  <si>
    <r>
      <rPr>
        <b/>
        <sz val="11"/>
        <color rgb="FF000000"/>
        <rFont val="Calibri"/>
      </rPr>
      <t>Laundry: Cold Water  m</t>
    </r>
    <r>
      <rPr>
        <b/>
        <vertAlign val="superscript"/>
        <sz val="11"/>
        <color rgb="FF000000"/>
        <rFont val="Calibri"/>
      </rPr>
      <t>3</t>
    </r>
  </si>
  <si>
    <r>
      <rPr>
        <b/>
        <sz val="11"/>
        <color rgb="FF000000"/>
        <rFont val="Calibri"/>
      </rPr>
      <t>Laundry: Hot Water m</t>
    </r>
    <r>
      <rPr>
        <b/>
        <vertAlign val="superscript"/>
        <sz val="11"/>
        <color rgb="FF000000"/>
        <rFont val="Calibri"/>
      </rPr>
      <t>3</t>
    </r>
  </si>
  <si>
    <t>Natural Gas m3</t>
  </si>
  <si>
    <t xml:space="preserve">Date </t>
  </si>
  <si>
    <t xml:space="preserve">Reading KWH </t>
  </si>
  <si>
    <t>Difference KWH</t>
  </si>
  <si>
    <t xml:space="preserve"> Reading KWH </t>
  </si>
  <si>
    <t>Reading m³</t>
  </si>
  <si>
    <t xml:space="preserve">Daily Consumption m³ </t>
  </si>
  <si>
    <t>Daily Consumption m³</t>
  </si>
  <si>
    <t>Reading  Liters</t>
  </si>
  <si>
    <t>Daily Consumption L</t>
  </si>
  <si>
    <t>ROOM NIGHTS</t>
  </si>
  <si>
    <t>TOTAL GUESTS</t>
  </si>
  <si>
    <t>No reading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</si>
</sst>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6"/>
      <color theme="1"/>
      <name val="Segoe UI Emoji"/>
      <family val="2"/>
    </font>
    <font>
      <b/>
      <sz val="11"/>
      <color rgb="FF000000"/>
      <name val="Calibri"/>
    </font>
    <font>
      <b/>
      <vertAlign val="superscript"/>
      <sz val="11"/>
      <color rgb="FF000000"/>
      <name val="Calibri"/>
    </font>
    <font>
      <sz val="11"/>
      <color rgb="FF000000"/>
      <name val="Calibri"/>
      <family val="2"/>
    </font>
    <font>
      <sz val="11"/>
      <color rgb="FF000000"/>
      <name val="Calibri"/>
    </font>
    <font>
      <sz val="11"/>
      <color theme="1"/>
      <name val="Calibri"/>
    </font>
    <font>
      <b/>
      <sz val="11"/>
      <color rgb="FF000000"/>
      <name val="Segoe UI Emoji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3" tint="0.79998168889431442"/>
        <bgColor indexed="13"/>
      </patternFill>
    </fill>
    <fill>
      <patternFill patternType="solid">
        <fgColor rgb="FFFAD3C0"/>
        <bgColor indexed="64"/>
      </patternFill>
    </fill>
    <fill>
      <patternFill patternType="solid">
        <fgColor theme="3" tint="0.79998168889431442"/>
        <bgColor indexed="10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5" fontId="2" fillId="2" borderId="1" xfId="0" applyNumberFormat="1" applyFont="1" applyFill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2" fillId="3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2" fillId="3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4" fillId="4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2" fillId="5" borderId="3" xfId="0" applyNumberFormat="1" applyFont="1" applyFill="1" applyBorder="1" applyAlignment="1">
      <alignment horizontal="center" wrapText="1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0" fontId="0" fillId="0" borderId="6" xfId="0" applyBorder="1" applyAlignment="1">
      <alignment horizontal="center"/>
    </xf>
    <xf numFmtId="1" fontId="3" fillId="0" borderId="15" xfId="0" applyNumberFormat="1" applyFont="1" applyBorder="1" applyAlignment="1">
      <alignment horizontal="center"/>
    </xf>
    <xf numFmtId="1" fontId="3" fillId="0" borderId="13" xfId="0" applyNumberFormat="1" applyFont="1" applyBorder="1" applyAlignment="1">
      <alignment horizontal="center"/>
    </xf>
    <xf numFmtId="1" fontId="3" fillId="0" borderId="14" xfId="0" applyNumberFormat="1" applyFont="1" applyBorder="1" applyAlignment="1">
      <alignment horizontal="center"/>
    </xf>
    <xf numFmtId="1" fontId="3" fillId="0" borderId="16" xfId="0" applyNumberFormat="1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1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10" fillId="0" borderId="0" xfId="0" applyFont="1" applyAlignment="1">
      <alignment horizontal="center"/>
    </xf>
    <xf numFmtId="1" fontId="11" fillId="0" borderId="0" xfId="0" applyNumberFormat="1" applyFont="1" applyAlignment="1">
      <alignment horizontal="center"/>
    </xf>
    <xf numFmtId="0" fontId="11" fillId="0" borderId="0" xfId="0" applyFont="1"/>
    <xf numFmtId="1" fontId="12" fillId="0" borderId="3" xfId="0" applyNumberFormat="1" applyFont="1" applyBorder="1" applyAlignment="1">
      <alignment horizontal="center"/>
    </xf>
    <xf numFmtId="1" fontId="3" fillId="0" borderId="6" xfId="0" applyNumberFormat="1" applyFont="1" applyBorder="1" applyAlignment="1">
      <alignment horizontal="center"/>
    </xf>
    <xf numFmtId="1" fontId="10" fillId="0" borderId="0" xfId="0" applyNumberFormat="1" applyFont="1" applyAlignment="1">
      <alignment horizontal="center"/>
    </xf>
    <xf numFmtId="0" fontId="6" fillId="7" borderId="6" xfId="0" applyFont="1" applyFill="1" applyBorder="1" applyAlignment="1">
      <alignment horizontal="center"/>
    </xf>
    <xf numFmtId="0" fontId="6" fillId="7" borderId="17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2" fillId="10" borderId="13" xfId="0" applyFont="1" applyFill="1" applyBorder="1" applyAlignment="1">
      <alignment horizontal="center" wrapText="1"/>
    </xf>
    <xf numFmtId="0" fontId="2" fillId="10" borderId="14" xfId="0" applyFont="1" applyFill="1" applyBorder="1" applyAlignment="1">
      <alignment horizontal="center" wrapText="1"/>
    </xf>
    <xf numFmtId="0" fontId="7" fillId="11" borderId="10" xfId="0" applyFont="1" applyFill="1" applyBorder="1" applyAlignment="1">
      <alignment horizontal="center" vertical="center" wrapText="1"/>
    </xf>
    <xf numFmtId="0" fontId="2" fillId="11" borderId="10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2" fillId="9" borderId="10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X31"/>
  <sheetViews>
    <sheetView workbookViewId="0">
      <selection activeCell="E8" sqref="E8"/>
    </sheetView>
  </sheetViews>
  <sheetFormatPr defaultColWidth="11.5703125" defaultRowHeight="15"/>
  <cols>
    <col min="1" max="1" width="18.140625" style="16" customWidth="1"/>
    <col min="2" max="3" width="11.5703125" style="10"/>
    <col min="4" max="4" width="13.42578125" style="10" customWidth="1"/>
    <col min="5" max="5" width="12.5703125" style="7" customWidth="1"/>
    <col min="6" max="6" width="12.5703125" style="15" customWidth="1"/>
    <col min="7" max="7" width="11.5703125" style="7"/>
    <col min="8" max="8" width="11.5703125" style="15"/>
    <col min="9" max="24" width="11.5703125" style="7"/>
  </cols>
  <sheetData>
    <row r="1" spans="1:24" s="16" customFormat="1" ht="60">
      <c r="A1" s="21" t="s">
        <v>0</v>
      </c>
      <c r="B1" s="22" t="s">
        <v>1</v>
      </c>
      <c r="C1" s="22" t="s">
        <v>2</v>
      </c>
      <c r="D1" s="22" t="s">
        <v>3</v>
      </c>
      <c r="E1" s="23" t="s">
        <v>4</v>
      </c>
      <c r="F1" s="24" t="s">
        <v>5</v>
      </c>
      <c r="G1" s="23" t="s">
        <v>6</v>
      </c>
      <c r="H1" s="24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>
      <c r="A2" s="16" t="s">
        <v>12</v>
      </c>
      <c r="B2" s="10">
        <v>1</v>
      </c>
      <c r="C2" s="10">
        <v>2</v>
      </c>
      <c r="D2" s="10">
        <v>2023</v>
      </c>
      <c r="E2" s="19">
        <f>Submetering!E2+Submetering!F2+Submetering!G2</f>
        <v>19870</v>
      </c>
      <c r="F2" s="15">
        <f>((Submetering!E2+Submetering!F2)*0.11+Submetering!G2*0.0302)/TOTAL!E2</f>
        <v>9.4847237040764976E-2</v>
      </c>
      <c r="G2" s="19">
        <f>Submetering!AC2</f>
        <v>2340</v>
      </c>
      <c r="H2" s="15">
        <v>0.25512900304306657</v>
      </c>
      <c r="I2" s="19">
        <f>Submetering!Y2+Submetering!Z2</f>
        <v>129.5</v>
      </c>
      <c r="J2" s="15">
        <v>2.3196172978505634</v>
      </c>
      <c r="K2" s="19">
        <f>Submetering!AE2</f>
        <v>126</v>
      </c>
      <c r="L2" s="19">
        <f>Submetering!AF2</f>
        <v>174</v>
      </c>
    </row>
    <row r="3" spans="1:24">
      <c r="A3" s="16" t="s">
        <v>12</v>
      </c>
      <c r="B3" s="10">
        <f>B2+1</f>
        <v>2</v>
      </c>
      <c r="C3" s="10">
        <v>2</v>
      </c>
      <c r="D3" s="10">
        <v>2023</v>
      </c>
      <c r="E3" s="19">
        <f>Submetering!E3+Submetering!F3+Submetering!G3</f>
        <v>17417</v>
      </c>
      <c r="F3" s="15">
        <f>((Submetering!E3+Submetering!F3)*0.11+Submetering!G3*0.0302)/TOTAL!E3</f>
        <v>9.0463501177010963E-2</v>
      </c>
      <c r="G3" s="19">
        <f>Submetering!AC3</f>
        <v>2572</v>
      </c>
      <c r="H3" s="15">
        <v>0.25512900304306657</v>
      </c>
      <c r="I3" s="19">
        <f>Submetering!Y3+Submetering!Z3</f>
        <v>0</v>
      </c>
      <c r="J3" s="15">
        <v>2.3196172978505634</v>
      </c>
      <c r="K3" s="19">
        <f>Submetering!AE3</f>
        <v>139</v>
      </c>
      <c r="L3" s="19">
        <f>Submetering!AF3</f>
        <v>144</v>
      </c>
    </row>
    <row r="4" spans="1:24">
      <c r="A4" s="16" t="s">
        <v>12</v>
      </c>
      <c r="B4" s="10">
        <f t="shared" ref="B4:B31" si="0">B3+1</f>
        <v>3</v>
      </c>
      <c r="C4" s="10">
        <v>2</v>
      </c>
      <c r="D4" s="10">
        <v>2023</v>
      </c>
      <c r="E4" s="19">
        <f>Submetering!E4+Submetering!F4+Submetering!G4</f>
        <v>15685</v>
      </c>
      <c r="F4" s="15">
        <f>((Submetering!E4+Submetering!F4)*0.11+Submetering!G4*0.0302)/TOTAL!E4</f>
        <v>9.049389862926363E-2</v>
      </c>
      <c r="G4" s="19">
        <f>Submetering!AC4</f>
        <v>2258</v>
      </c>
      <c r="H4" s="15">
        <v>0.25512900304306657</v>
      </c>
      <c r="I4" s="19">
        <f>Submetering!Y4+Submetering!Z4</f>
        <v>0</v>
      </c>
      <c r="J4" s="15">
        <v>2.3196172978505634</v>
      </c>
      <c r="K4" s="19">
        <f>Submetering!AE4</f>
        <v>100</v>
      </c>
      <c r="L4" s="19">
        <f>Submetering!AF4</f>
        <v>145</v>
      </c>
    </row>
    <row r="5" spans="1:24">
      <c r="A5" s="16" t="s">
        <v>12</v>
      </c>
      <c r="B5" s="10">
        <f t="shared" si="0"/>
        <v>4</v>
      </c>
      <c r="C5" s="10">
        <v>2</v>
      </c>
      <c r="D5" s="10">
        <v>2023</v>
      </c>
      <c r="E5" s="19">
        <f>Submetering!E5+Submetering!F5+Submetering!G5</f>
        <v>15429</v>
      </c>
      <c r="F5" s="15">
        <f>((Submetering!E5+Submetering!F5)*0.11+Submetering!G5*0.0302)/TOTAL!E5</f>
        <v>9.0366789811394135E-2</v>
      </c>
      <c r="G5" s="19">
        <f>Submetering!AC5</f>
        <v>2005</v>
      </c>
      <c r="H5" s="15">
        <v>0.25512900304306657</v>
      </c>
      <c r="I5" s="19">
        <f>Submetering!Y5+Submetering!Z5</f>
        <v>0</v>
      </c>
      <c r="J5" s="15">
        <v>2.3196172978505634</v>
      </c>
      <c r="K5" s="19">
        <f>Submetering!AE5</f>
        <v>102</v>
      </c>
      <c r="L5" s="19">
        <f>Submetering!AF5</f>
        <v>163</v>
      </c>
    </row>
    <row r="6" spans="1:24">
      <c r="A6" s="16" t="s">
        <v>12</v>
      </c>
      <c r="B6" s="10">
        <f t="shared" si="0"/>
        <v>5</v>
      </c>
      <c r="C6" s="10">
        <v>2</v>
      </c>
      <c r="D6" s="10">
        <v>2023</v>
      </c>
      <c r="E6" s="19">
        <f>Submetering!E6+Submetering!F6+Submetering!G6</f>
        <v>15394</v>
      </c>
      <c r="F6" s="15">
        <f>((Submetering!E6+Submetering!F6)*0.11+Submetering!G6*0.0302)/TOTAL!E6</f>
        <v>9.0042224243211635E-2</v>
      </c>
      <c r="G6" s="19">
        <f>Submetering!AC6</f>
        <v>2185</v>
      </c>
      <c r="H6" s="15">
        <v>0.25512900304306657</v>
      </c>
      <c r="I6" s="19">
        <f>Submetering!Y6+Submetering!Z6</f>
        <v>0</v>
      </c>
      <c r="J6" s="15">
        <v>2.3196172978505634</v>
      </c>
      <c r="K6" s="19">
        <f>Submetering!AE6</f>
        <v>114</v>
      </c>
      <c r="L6" s="19">
        <f>Submetering!AF6</f>
        <v>169</v>
      </c>
    </row>
    <row r="7" spans="1:24">
      <c r="A7" s="16" t="s">
        <v>12</v>
      </c>
      <c r="B7" s="10">
        <f t="shared" si="0"/>
        <v>6</v>
      </c>
      <c r="C7" s="10">
        <v>2</v>
      </c>
      <c r="D7" s="10">
        <v>2023</v>
      </c>
      <c r="E7" s="19">
        <f>Submetering!E7+Submetering!F7+Submetering!G7</f>
        <v>16988</v>
      </c>
      <c r="F7" s="15">
        <f>((Submetering!E7+Submetering!F7)*0.11+Submetering!G7*0.0302)/TOTAL!E7</f>
        <v>9.0350635742877328E-2</v>
      </c>
      <c r="G7" s="19">
        <f>Submetering!AC7</f>
        <v>2489</v>
      </c>
      <c r="H7" s="15">
        <v>0.25512900304306657</v>
      </c>
      <c r="I7" s="19">
        <f>Submetering!Y7+Submetering!Z7</f>
        <v>0</v>
      </c>
      <c r="J7" s="15">
        <v>2.3196172978505634</v>
      </c>
      <c r="K7" s="19">
        <f>Submetering!AE7</f>
        <v>141</v>
      </c>
      <c r="L7" s="19">
        <f>Submetering!AF7</f>
        <v>197</v>
      </c>
    </row>
    <row r="8" spans="1:24">
      <c r="A8" s="16" t="s">
        <v>12</v>
      </c>
      <c r="B8" s="10">
        <f t="shared" si="0"/>
        <v>7</v>
      </c>
      <c r="C8" s="10">
        <v>2</v>
      </c>
      <c r="D8" s="10">
        <v>2023</v>
      </c>
      <c r="E8" s="19">
        <f>Submetering!E8+Submetering!F8+Submetering!G8</f>
        <v>14101</v>
      </c>
      <c r="F8" s="15">
        <f>((Submetering!E8+Submetering!F8)*0.11+Submetering!G8*0.0302)/TOTAL!E8</f>
        <v>9.0085369831926804E-2</v>
      </c>
      <c r="G8" s="19">
        <f>Submetering!AC8</f>
        <v>2190</v>
      </c>
      <c r="H8" s="15">
        <v>0.25512900304306657</v>
      </c>
      <c r="I8" s="19">
        <f>Submetering!Y8+Submetering!Z8</f>
        <v>0</v>
      </c>
      <c r="J8" s="15">
        <v>2.3196172978505634</v>
      </c>
      <c r="K8" s="19">
        <f>Submetering!AE8</f>
        <v>148</v>
      </c>
      <c r="L8" s="19">
        <f>Submetering!AF8</f>
        <v>207</v>
      </c>
    </row>
    <row r="9" spans="1:24">
      <c r="A9" s="16" t="s">
        <v>12</v>
      </c>
      <c r="B9" s="10">
        <f t="shared" si="0"/>
        <v>8</v>
      </c>
      <c r="C9" s="10">
        <v>2</v>
      </c>
      <c r="D9" s="10">
        <v>2023</v>
      </c>
      <c r="E9" s="19">
        <f>Submetering!E9+Submetering!F9+Submetering!G9</f>
        <v>16790</v>
      </c>
      <c r="F9" s="15">
        <f>((Submetering!E9+Submetering!F9)*0.11+Submetering!G9*0.0302)/TOTAL!E9</f>
        <v>9.0475378201310297E-2</v>
      </c>
      <c r="G9" s="19">
        <f>Submetering!AC9</f>
        <v>2721</v>
      </c>
      <c r="H9" s="15">
        <v>0.25512900304306657</v>
      </c>
      <c r="I9" s="19">
        <f>Submetering!Y9+Submetering!Z9</f>
        <v>0</v>
      </c>
      <c r="J9" s="15">
        <v>2.3196172978505634</v>
      </c>
      <c r="K9" s="19">
        <f>Submetering!AE9</f>
        <v>135</v>
      </c>
      <c r="L9" s="19">
        <f>Submetering!AF9</f>
        <v>179</v>
      </c>
    </row>
    <row r="10" spans="1:24">
      <c r="A10" s="16" t="s">
        <v>12</v>
      </c>
      <c r="B10" s="10">
        <f t="shared" si="0"/>
        <v>9</v>
      </c>
      <c r="C10" s="10">
        <v>2</v>
      </c>
      <c r="D10" s="10">
        <v>2023</v>
      </c>
      <c r="E10" s="19">
        <f>Submetering!E10+Submetering!F10+Submetering!G10</f>
        <v>14878</v>
      </c>
      <c r="F10" s="15">
        <f>((Submetering!E10+Submetering!F10)*0.11+Submetering!G10*0.0302)/TOTAL!E10</f>
        <v>9.0546135233230268E-2</v>
      </c>
      <c r="G10" s="19">
        <f>Submetering!AC10</f>
        <v>2467</v>
      </c>
      <c r="H10" s="15">
        <v>0.25512900304306657</v>
      </c>
      <c r="I10" s="19">
        <f>Submetering!Y10+Submetering!Z10</f>
        <v>0</v>
      </c>
      <c r="J10" s="15">
        <v>2.3196172978505634</v>
      </c>
      <c r="K10" s="19">
        <f>Submetering!AE10</f>
        <v>122</v>
      </c>
      <c r="L10" s="19">
        <f>Submetering!AF10</f>
        <v>162</v>
      </c>
    </row>
    <row r="11" spans="1:24">
      <c r="A11" s="16" t="s">
        <v>12</v>
      </c>
      <c r="B11" s="10">
        <f t="shared" si="0"/>
        <v>10</v>
      </c>
      <c r="C11" s="10">
        <v>2</v>
      </c>
      <c r="D11" s="10">
        <v>2023</v>
      </c>
      <c r="E11" s="19">
        <f>Submetering!E11+Submetering!F11+Submetering!G11</f>
        <v>13839</v>
      </c>
      <c r="F11" s="15">
        <f>((Submetering!E11+Submetering!F11)*0.11+Submetering!G11*0.0302)/TOTAL!E11</f>
        <v>9.1864946889226098E-2</v>
      </c>
      <c r="G11" s="19">
        <f>Submetering!AC11</f>
        <v>2298</v>
      </c>
      <c r="H11" s="15">
        <v>0.25512900304306657</v>
      </c>
      <c r="I11" s="19">
        <f>Submetering!Y11+Submetering!Z11</f>
        <v>103</v>
      </c>
      <c r="J11" s="15">
        <v>2.3196172978505634</v>
      </c>
      <c r="K11" s="19">
        <f>Submetering!AE11</f>
        <v>117</v>
      </c>
      <c r="L11" s="19">
        <f>Submetering!AF11</f>
        <v>169</v>
      </c>
    </row>
    <row r="12" spans="1:24">
      <c r="A12" s="16" t="s">
        <v>12</v>
      </c>
      <c r="B12" s="10">
        <f t="shared" si="0"/>
        <v>11</v>
      </c>
      <c r="C12" s="10">
        <v>2</v>
      </c>
      <c r="D12" s="10">
        <v>2023</v>
      </c>
      <c r="E12" s="19">
        <f>Submetering!E12+Submetering!F12+Submetering!G12</f>
        <v>15128</v>
      </c>
      <c r="F12" s="15">
        <f>((Submetering!E12+Submetering!F12)*0.11+Submetering!G12*0.0302)/TOTAL!E12</f>
        <v>8.9812625594923312E-2</v>
      </c>
      <c r="G12" s="19">
        <f>Submetering!AC12</f>
        <v>407</v>
      </c>
      <c r="H12" s="15">
        <v>0.25512900304306657</v>
      </c>
      <c r="I12" s="19">
        <f>Submetering!Y12+Submetering!Z12</f>
        <v>0</v>
      </c>
      <c r="J12" s="15">
        <v>2.3196172978505634</v>
      </c>
      <c r="K12" s="19">
        <f>Submetering!AE12</f>
        <v>121</v>
      </c>
      <c r="L12" s="19">
        <f>Submetering!AF12</f>
        <v>183</v>
      </c>
    </row>
    <row r="13" spans="1:24">
      <c r="A13" s="16" t="s">
        <v>12</v>
      </c>
      <c r="B13" s="10">
        <f t="shared" si="0"/>
        <v>12</v>
      </c>
      <c r="C13" s="10">
        <v>2</v>
      </c>
      <c r="D13" s="10">
        <v>2023</v>
      </c>
      <c r="E13" s="19">
        <f>Submetering!E13+Submetering!F13+Submetering!G13</f>
        <v>10863</v>
      </c>
      <c r="F13" s="15">
        <f>((Submetering!E13+Submetering!F13)*0.11+Submetering!G13*0.0302)/TOTAL!E13</f>
        <v>8.2048329190831257E-2</v>
      </c>
      <c r="G13" s="19">
        <f>Submetering!AC13</f>
        <v>4143</v>
      </c>
      <c r="H13" s="15">
        <v>0.25512900304306657</v>
      </c>
      <c r="I13" s="19">
        <f>Submetering!Y13+Submetering!Z13</f>
        <v>0</v>
      </c>
      <c r="J13" s="15">
        <v>2.3196172978505634</v>
      </c>
      <c r="K13" s="19">
        <f>Submetering!AE13</f>
        <v>70</v>
      </c>
      <c r="L13" s="19">
        <f>Submetering!AF13</f>
        <v>111</v>
      </c>
    </row>
    <row r="14" spans="1:24">
      <c r="A14" s="16" t="s">
        <v>12</v>
      </c>
      <c r="B14" s="10">
        <f t="shared" si="0"/>
        <v>13</v>
      </c>
      <c r="C14" s="10">
        <v>2</v>
      </c>
      <c r="D14" s="10">
        <v>2023</v>
      </c>
      <c r="E14" s="19">
        <f>Submetering!E14+Submetering!F14+Submetering!G14</f>
        <v>15593</v>
      </c>
      <c r="F14" s="15">
        <f>((Submetering!E14+Submetering!F14)*0.11+Submetering!G14*0.0302)/TOTAL!E14</f>
        <v>9.0373693323927418E-2</v>
      </c>
      <c r="G14" s="19">
        <f>Submetering!AC14</f>
        <v>2186</v>
      </c>
      <c r="H14" s="15">
        <v>0.25512900304306657</v>
      </c>
      <c r="I14" s="19">
        <f>Submetering!Y14+Submetering!Z14</f>
        <v>0</v>
      </c>
      <c r="J14" s="15">
        <v>2.3196172978505634</v>
      </c>
      <c r="K14" s="19">
        <f>Submetering!AE14</f>
        <v>90</v>
      </c>
      <c r="L14" s="19">
        <f>Submetering!AF14</f>
        <v>133</v>
      </c>
    </row>
    <row r="15" spans="1:24">
      <c r="A15" s="16" t="s">
        <v>12</v>
      </c>
      <c r="B15" s="10">
        <f t="shared" si="0"/>
        <v>14</v>
      </c>
      <c r="C15" s="10">
        <v>2</v>
      </c>
      <c r="D15" s="10">
        <v>2023</v>
      </c>
      <c r="E15" s="19">
        <f>Submetering!E15+Submetering!F15+Submetering!G15</f>
        <v>0</v>
      </c>
      <c r="F15" s="15" t="e">
        <f>((Submetering!E15+Submetering!F15)*0.11+Submetering!G15*0.0302)/TOTAL!E15</f>
        <v>#DIV/0!</v>
      </c>
      <c r="G15" s="19">
        <f>Submetering!AC15</f>
        <v>0</v>
      </c>
      <c r="H15" s="15">
        <v>0.25512900304306657</v>
      </c>
      <c r="I15" s="19">
        <f>Submetering!Y15+Submetering!Z15</f>
        <v>0</v>
      </c>
      <c r="J15" s="15">
        <v>2.3196172978505634</v>
      </c>
      <c r="K15" s="19">
        <f>Submetering!AE15</f>
        <v>0</v>
      </c>
      <c r="L15" s="19">
        <f>Submetering!AF15</f>
        <v>0</v>
      </c>
    </row>
    <row r="16" spans="1:24">
      <c r="A16" s="16" t="s">
        <v>12</v>
      </c>
      <c r="B16" s="10">
        <f t="shared" si="0"/>
        <v>15</v>
      </c>
      <c r="C16" s="10">
        <v>2</v>
      </c>
      <c r="D16" s="10">
        <v>2023</v>
      </c>
      <c r="E16" s="19">
        <f>Submetering!E16+Submetering!F16+Submetering!G16</f>
        <v>0</v>
      </c>
      <c r="F16" s="15" t="e">
        <f>((Submetering!E16+Submetering!F16)*0.11+Submetering!G16*0.0302)/TOTAL!E16</f>
        <v>#DIV/0!</v>
      </c>
      <c r="G16" s="19">
        <f>Submetering!AC16</f>
        <v>0</v>
      </c>
      <c r="H16" s="15">
        <v>0.25512900304306657</v>
      </c>
      <c r="I16" s="19">
        <f>Submetering!Y16+Submetering!Z16</f>
        <v>0</v>
      </c>
      <c r="J16" s="15">
        <v>2.3196172978505634</v>
      </c>
      <c r="K16" s="19">
        <f>Submetering!AE16</f>
        <v>0</v>
      </c>
      <c r="L16" s="19">
        <f>Submetering!AF16</f>
        <v>0</v>
      </c>
    </row>
    <row r="17" spans="1:12">
      <c r="A17" s="16" t="s">
        <v>12</v>
      </c>
      <c r="B17" s="10">
        <f t="shared" si="0"/>
        <v>16</v>
      </c>
      <c r="C17" s="10">
        <v>2</v>
      </c>
      <c r="D17" s="10">
        <v>2023</v>
      </c>
      <c r="E17" s="19">
        <f>Submetering!E17+Submetering!F17+Submetering!G17</f>
        <v>0</v>
      </c>
      <c r="F17" s="15" t="e">
        <f>((Submetering!E17+Submetering!F17)*0.11+Submetering!G17*0.0302)/TOTAL!E17</f>
        <v>#DIV/0!</v>
      </c>
      <c r="G17" s="19">
        <f>Submetering!AC17</f>
        <v>0</v>
      </c>
      <c r="H17" s="15">
        <v>0.25512900304306657</v>
      </c>
      <c r="I17" s="19">
        <f>Submetering!Y17+Submetering!Z17</f>
        <v>0</v>
      </c>
      <c r="J17" s="15">
        <v>2.3196172978505634</v>
      </c>
      <c r="K17" s="19">
        <f>Submetering!AE17</f>
        <v>0</v>
      </c>
      <c r="L17" s="19">
        <f>Submetering!AF17</f>
        <v>0</v>
      </c>
    </row>
    <row r="18" spans="1:12">
      <c r="A18" s="16" t="s">
        <v>12</v>
      </c>
      <c r="B18" s="10">
        <f t="shared" si="0"/>
        <v>17</v>
      </c>
      <c r="C18" s="10">
        <v>2</v>
      </c>
      <c r="D18" s="10">
        <v>2023</v>
      </c>
      <c r="E18" s="19">
        <f>Submetering!E18+Submetering!F18+Submetering!G18</f>
        <v>0</v>
      </c>
      <c r="F18" s="15" t="e">
        <f>((Submetering!E18+Submetering!F18)*0.11+Submetering!G18*0.0302)/TOTAL!E18</f>
        <v>#DIV/0!</v>
      </c>
      <c r="G18" s="19">
        <f>Submetering!AC18</f>
        <v>0</v>
      </c>
      <c r="H18" s="15">
        <v>0.25512900304306657</v>
      </c>
      <c r="I18" s="19">
        <f>Submetering!Y18+Submetering!Z18</f>
        <v>0</v>
      </c>
      <c r="J18" s="15">
        <v>2.3196172978505634</v>
      </c>
      <c r="K18" s="19">
        <f>Submetering!AE18</f>
        <v>0</v>
      </c>
      <c r="L18" s="19">
        <f>Submetering!AF18</f>
        <v>0</v>
      </c>
    </row>
    <row r="19" spans="1:12">
      <c r="A19" s="16" t="s">
        <v>12</v>
      </c>
      <c r="B19" s="10">
        <f t="shared" si="0"/>
        <v>18</v>
      </c>
      <c r="C19" s="10">
        <v>2</v>
      </c>
      <c r="D19" s="10">
        <v>2023</v>
      </c>
      <c r="E19" s="19">
        <f>Submetering!E19+Submetering!F19+Submetering!G19</f>
        <v>0</v>
      </c>
      <c r="F19" s="15" t="e">
        <f>((Submetering!E19+Submetering!F19)*0.11+Submetering!G19*0.0302)/TOTAL!E19</f>
        <v>#DIV/0!</v>
      </c>
      <c r="G19" s="19">
        <f>Submetering!AC19</f>
        <v>0</v>
      </c>
      <c r="H19" s="15">
        <v>0.25512900304306657</v>
      </c>
      <c r="I19" s="19">
        <f>Submetering!Y19+Submetering!Z19</f>
        <v>0</v>
      </c>
      <c r="J19" s="15">
        <v>2.3196172978505634</v>
      </c>
      <c r="K19" s="19">
        <f>Submetering!AE19</f>
        <v>0</v>
      </c>
      <c r="L19" s="19">
        <f>Submetering!AF19</f>
        <v>0</v>
      </c>
    </row>
    <row r="20" spans="1:12">
      <c r="A20" s="16" t="s">
        <v>12</v>
      </c>
      <c r="B20" s="10">
        <f t="shared" si="0"/>
        <v>19</v>
      </c>
      <c r="C20" s="10">
        <v>2</v>
      </c>
      <c r="D20" s="10">
        <v>2023</v>
      </c>
      <c r="E20" s="19">
        <f>Submetering!E20+Submetering!F20+Submetering!G20</f>
        <v>0</v>
      </c>
      <c r="F20" s="15" t="e">
        <f>((Submetering!E20+Submetering!F20)*0.11+Submetering!G20*0.0302)/TOTAL!E20</f>
        <v>#DIV/0!</v>
      </c>
      <c r="G20" s="19">
        <f>Submetering!AC20</f>
        <v>0</v>
      </c>
      <c r="H20" s="15">
        <v>0.25512900304306657</v>
      </c>
      <c r="I20" s="19">
        <f>Submetering!Y20+Submetering!Z20</f>
        <v>0</v>
      </c>
      <c r="J20" s="15">
        <v>2.3196172978505634</v>
      </c>
      <c r="K20" s="19">
        <f>Submetering!AE20</f>
        <v>0</v>
      </c>
      <c r="L20" s="19">
        <f>Submetering!AF20</f>
        <v>0</v>
      </c>
    </row>
    <row r="21" spans="1:12">
      <c r="A21" s="16" t="s">
        <v>12</v>
      </c>
      <c r="B21" s="10">
        <f t="shared" si="0"/>
        <v>20</v>
      </c>
      <c r="C21" s="10">
        <v>2</v>
      </c>
      <c r="D21" s="10">
        <v>2023</v>
      </c>
      <c r="E21" s="19">
        <f>Submetering!E21+Submetering!F21+Submetering!G21</f>
        <v>0</v>
      </c>
      <c r="F21" s="15" t="e">
        <f>((Submetering!E21+Submetering!F21)*0.11+Submetering!G21*0.0302)/TOTAL!E21</f>
        <v>#DIV/0!</v>
      </c>
      <c r="G21" s="19">
        <f>Submetering!AC21</f>
        <v>0</v>
      </c>
      <c r="H21" s="15">
        <v>0.25512900304306657</v>
      </c>
      <c r="I21" s="19">
        <f>Submetering!Y21+Submetering!Z21</f>
        <v>0</v>
      </c>
      <c r="J21" s="15">
        <v>2.3196172978505634</v>
      </c>
      <c r="K21" s="19">
        <f>Submetering!AE21</f>
        <v>0</v>
      </c>
      <c r="L21" s="19">
        <f>Submetering!AF21</f>
        <v>0</v>
      </c>
    </row>
    <row r="22" spans="1:12">
      <c r="A22" s="16" t="s">
        <v>12</v>
      </c>
      <c r="B22" s="10">
        <f t="shared" si="0"/>
        <v>21</v>
      </c>
      <c r="C22" s="10">
        <v>2</v>
      </c>
      <c r="D22" s="10">
        <v>2023</v>
      </c>
      <c r="E22" s="19">
        <f>Submetering!E22+Submetering!F22+Submetering!G22</f>
        <v>0</v>
      </c>
      <c r="F22" s="15" t="e">
        <f>((Submetering!E22+Submetering!F22)*0.11+Submetering!G22*0.0302)/TOTAL!E22</f>
        <v>#DIV/0!</v>
      </c>
      <c r="G22" s="19">
        <f>Submetering!AC22</f>
        <v>0</v>
      </c>
      <c r="H22" s="15">
        <v>0.25512900304306657</v>
      </c>
      <c r="I22" s="19">
        <f>Submetering!Y22+Submetering!Z22</f>
        <v>0</v>
      </c>
      <c r="J22" s="15">
        <v>2.3196172978505634</v>
      </c>
      <c r="K22" s="19">
        <f>Submetering!AE22</f>
        <v>0</v>
      </c>
      <c r="L22" s="19">
        <f>Submetering!AF22</f>
        <v>0</v>
      </c>
    </row>
    <row r="23" spans="1:12">
      <c r="A23" s="16" t="s">
        <v>12</v>
      </c>
      <c r="B23" s="10">
        <f t="shared" si="0"/>
        <v>22</v>
      </c>
      <c r="C23" s="10">
        <v>2</v>
      </c>
      <c r="D23" s="10">
        <v>2023</v>
      </c>
      <c r="E23" s="19">
        <f>Submetering!E23+Submetering!F23+Submetering!G23</f>
        <v>0</v>
      </c>
      <c r="F23" s="15" t="e">
        <f>((Submetering!E23+Submetering!F23)*0.11+Submetering!G23*0.0302)/TOTAL!E23</f>
        <v>#DIV/0!</v>
      </c>
      <c r="G23" s="19">
        <f>Submetering!AC23</f>
        <v>0</v>
      </c>
      <c r="H23" s="15">
        <v>0.25512900304306657</v>
      </c>
      <c r="I23" s="19">
        <f>Submetering!Y23+Submetering!Z23</f>
        <v>0</v>
      </c>
      <c r="J23" s="15">
        <v>2.3196172978505634</v>
      </c>
      <c r="K23" s="19">
        <f>Submetering!AE23</f>
        <v>0</v>
      </c>
      <c r="L23" s="19">
        <f>Submetering!AF23</f>
        <v>0</v>
      </c>
    </row>
    <row r="24" spans="1:12">
      <c r="A24" s="16" t="s">
        <v>12</v>
      </c>
      <c r="B24" s="10">
        <f t="shared" si="0"/>
        <v>23</v>
      </c>
      <c r="C24" s="10">
        <v>2</v>
      </c>
      <c r="D24" s="10">
        <v>2023</v>
      </c>
      <c r="E24" s="19">
        <f>Submetering!E24+Submetering!F24+Submetering!G24</f>
        <v>0</v>
      </c>
      <c r="F24" s="15" t="e">
        <f>((Submetering!E24+Submetering!F24)*0.11+Submetering!G24*0.0302)/TOTAL!E24</f>
        <v>#DIV/0!</v>
      </c>
      <c r="G24" s="19">
        <f>Submetering!AC24</f>
        <v>0</v>
      </c>
      <c r="H24" s="15">
        <v>0.25512900304306657</v>
      </c>
      <c r="I24" s="19">
        <f>Submetering!Y24+Submetering!Z24</f>
        <v>0</v>
      </c>
      <c r="J24" s="15">
        <v>2.3196172978505634</v>
      </c>
      <c r="K24" s="19">
        <f>Submetering!AE24</f>
        <v>0</v>
      </c>
      <c r="L24" s="19">
        <f>Submetering!AF24</f>
        <v>0</v>
      </c>
    </row>
    <row r="25" spans="1:12">
      <c r="A25" s="16" t="s">
        <v>12</v>
      </c>
      <c r="B25" s="10">
        <f t="shared" si="0"/>
        <v>24</v>
      </c>
      <c r="C25" s="10">
        <v>2</v>
      </c>
      <c r="D25" s="10">
        <v>2023</v>
      </c>
      <c r="E25" s="19">
        <f>Submetering!E25+Submetering!F25+Submetering!G25</f>
        <v>0</v>
      </c>
      <c r="F25" s="15" t="e">
        <f>((Submetering!E25+Submetering!F25)*0.11+Submetering!G25*0.0302)/TOTAL!E25</f>
        <v>#DIV/0!</v>
      </c>
      <c r="G25" s="19">
        <f>Submetering!AC25</f>
        <v>0</v>
      </c>
      <c r="H25" s="15">
        <v>0.25512900304306657</v>
      </c>
      <c r="I25" s="19">
        <f>Submetering!Y25+Submetering!Z25</f>
        <v>0</v>
      </c>
      <c r="J25" s="15">
        <v>2.3196172978505634</v>
      </c>
      <c r="K25" s="19">
        <f>Submetering!AE25</f>
        <v>0</v>
      </c>
      <c r="L25" s="19">
        <f>Submetering!AF25</f>
        <v>0</v>
      </c>
    </row>
    <row r="26" spans="1:12">
      <c r="A26" s="16" t="s">
        <v>12</v>
      </c>
      <c r="B26" s="10">
        <f>B25+1</f>
        <v>25</v>
      </c>
      <c r="C26" s="10">
        <v>2</v>
      </c>
      <c r="D26" s="10">
        <v>2023</v>
      </c>
      <c r="E26" s="19">
        <f>Submetering!E26+Submetering!F26+Submetering!G26</f>
        <v>0</v>
      </c>
      <c r="F26" s="15" t="e">
        <f>((Submetering!E26+Submetering!F26)*0.11+Submetering!G26*0.0302)/TOTAL!E26</f>
        <v>#DIV/0!</v>
      </c>
      <c r="G26" s="19">
        <f>Submetering!AC26</f>
        <v>0</v>
      </c>
      <c r="H26" s="15">
        <v>0.25512900304306657</v>
      </c>
      <c r="I26" s="19">
        <f>Submetering!Y26+Submetering!Z26</f>
        <v>0</v>
      </c>
      <c r="J26" s="15">
        <v>2.3196172978505634</v>
      </c>
      <c r="K26" s="19">
        <f>Submetering!AE26</f>
        <v>0</v>
      </c>
      <c r="L26" s="19">
        <f>Submetering!AF26</f>
        <v>0</v>
      </c>
    </row>
    <row r="27" spans="1:12">
      <c r="A27" s="16" t="s">
        <v>12</v>
      </c>
      <c r="B27" s="10">
        <f t="shared" si="0"/>
        <v>26</v>
      </c>
      <c r="C27" s="10">
        <v>2</v>
      </c>
      <c r="D27" s="10">
        <v>2023</v>
      </c>
      <c r="E27" s="19">
        <f>Submetering!E27+Submetering!F27+Submetering!G27</f>
        <v>0</v>
      </c>
      <c r="F27" s="15" t="e">
        <f>((Submetering!E27+Submetering!F27)*0.11+Submetering!G27*0.0302)/TOTAL!E27</f>
        <v>#DIV/0!</v>
      </c>
      <c r="G27" s="19">
        <f>Submetering!AC27</f>
        <v>0</v>
      </c>
      <c r="H27" s="15">
        <v>0.25512900304306657</v>
      </c>
      <c r="I27" s="19">
        <f>Submetering!Y27+Submetering!Z27</f>
        <v>0</v>
      </c>
      <c r="J27" s="15">
        <v>2.3196172978505634</v>
      </c>
      <c r="K27" s="19">
        <f>Submetering!AE27</f>
        <v>0</v>
      </c>
      <c r="L27" s="19">
        <f>Submetering!AF27</f>
        <v>0</v>
      </c>
    </row>
    <row r="28" spans="1:12">
      <c r="A28" s="16" t="s">
        <v>12</v>
      </c>
      <c r="B28" s="10">
        <f t="shared" si="0"/>
        <v>27</v>
      </c>
      <c r="C28" s="10">
        <v>2</v>
      </c>
      <c r="D28" s="10">
        <v>2023</v>
      </c>
      <c r="E28" s="19">
        <f>Submetering!E28+Submetering!F28+Submetering!G28</f>
        <v>0</v>
      </c>
      <c r="F28" s="15" t="e">
        <f>((Submetering!E28+Submetering!F28)*0.11+Submetering!G28*0.0302)/TOTAL!E28</f>
        <v>#DIV/0!</v>
      </c>
      <c r="G28" s="19">
        <f>Submetering!AC28</f>
        <v>0</v>
      </c>
      <c r="H28" s="15">
        <v>0.25512900304306657</v>
      </c>
      <c r="I28" s="19">
        <f>Submetering!Y28+Submetering!Z28</f>
        <v>0</v>
      </c>
      <c r="J28" s="15">
        <v>2.3196172978505634</v>
      </c>
      <c r="K28" s="19">
        <f>Submetering!AE28</f>
        <v>0</v>
      </c>
      <c r="L28" s="19">
        <f>Submetering!AF28</f>
        <v>0</v>
      </c>
    </row>
    <row r="29" spans="1:12">
      <c r="A29" s="16" t="s">
        <v>12</v>
      </c>
      <c r="B29" s="10">
        <f t="shared" si="0"/>
        <v>28</v>
      </c>
      <c r="C29" s="10">
        <v>2</v>
      </c>
      <c r="D29" s="10">
        <v>2023</v>
      </c>
      <c r="E29" s="19">
        <f>Submetering!E29+Submetering!F29+Submetering!G29</f>
        <v>0</v>
      </c>
      <c r="F29" s="15" t="e">
        <f>((Submetering!E29+Submetering!F29)*0.11+Submetering!G29*0.0302)/TOTAL!E29</f>
        <v>#DIV/0!</v>
      </c>
      <c r="G29" s="19">
        <f>Submetering!AC29</f>
        <v>0</v>
      </c>
      <c r="H29" s="15">
        <v>0.25512900304306657</v>
      </c>
      <c r="I29" s="19">
        <f>Submetering!Y29+Submetering!Z29</f>
        <v>0</v>
      </c>
      <c r="J29" s="15">
        <v>2.3196172978505634</v>
      </c>
      <c r="K29" s="19">
        <f>Submetering!AE29</f>
        <v>0</v>
      </c>
      <c r="L29" s="19">
        <f>Submetering!AF29</f>
        <v>0</v>
      </c>
    </row>
    <row r="30" spans="1:12">
      <c r="A30" s="16" t="s">
        <v>12</v>
      </c>
      <c r="B30" s="10">
        <f t="shared" si="0"/>
        <v>29</v>
      </c>
      <c r="C30" s="10">
        <v>2</v>
      </c>
      <c r="D30" s="10">
        <v>2023</v>
      </c>
      <c r="E30" s="19">
        <f>Submetering!E30+Submetering!F30+Submetering!G30</f>
        <v>0</v>
      </c>
      <c r="F30" s="15" t="e">
        <f>((Submetering!E30+Submetering!F30)*0.11+Submetering!G30*0.0302)/TOTAL!E30</f>
        <v>#DIV/0!</v>
      </c>
      <c r="G30" s="19">
        <f>Submetering!AC30</f>
        <v>0</v>
      </c>
      <c r="H30" s="15">
        <v>0.25512900304306657</v>
      </c>
      <c r="I30" s="19">
        <f>Submetering!Y30+Submetering!Z30</f>
        <v>0</v>
      </c>
      <c r="J30" s="15">
        <v>2.3196172978505634</v>
      </c>
      <c r="K30" s="19">
        <f>Submetering!AE30</f>
        <v>0</v>
      </c>
      <c r="L30" s="19">
        <f>Submetering!AF30</f>
        <v>0</v>
      </c>
    </row>
    <row r="31" spans="1:12">
      <c r="A31" s="16" t="s">
        <v>12</v>
      </c>
      <c r="B31" s="10">
        <f t="shared" si="0"/>
        <v>30</v>
      </c>
      <c r="C31" s="10">
        <v>2</v>
      </c>
      <c r="D31" s="10">
        <v>2023</v>
      </c>
      <c r="E31" s="19">
        <f>Submetering!E31+Submetering!F31+Submetering!G31</f>
        <v>0</v>
      </c>
      <c r="F31" s="15" t="e">
        <f>((Submetering!E31+Submetering!F31)*0.11+Submetering!G31*0.0302)/TOTAL!E31</f>
        <v>#DIV/0!</v>
      </c>
      <c r="G31" s="19">
        <f>Submetering!AC31</f>
        <v>0</v>
      </c>
      <c r="H31" s="15">
        <v>0.25512900304306702</v>
      </c>
      <c r="I31" s="19">
        <f>Submetering!Y31+Submetering!Z31</f>
        <v>0</v>
      </c>
      <c r="J31" s="15">
        <v>2.3196172978505598</v>
      </c>
      <c r="K31" s="19">
        <f>Submetering!AE31</f>
        <v>0</v>
      </c>
      <c r="L31" s="19">
        <f>Submetering!AF31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AN31"/>
  <sheetViews>
    <sheetView workbookViewId="0">
      <pane xSplit="2" ySplit="1" topLeftCell="W2" activePane="bottomRight" state="frozen"/>
      <selection pane="bottomRight" activeCell="A11" sqref="A11"/>
      <selection pane="bottomLeft" activeCell="A2" sqref="A2"/>
      <selection pane="topRight" activeCell="C1" sqref="C1"/>
    </sheetView>
  </sheetViews>
  <sheetFormatPr defaultColWidth="11.5703125" defaultRowHeight="15"/>
  <cols>
    <col min="1" max="1" width="25.85546875" style="16" customWidth="1"/>
    <col min="2" max="3" width="11.5703125" style="7" customWidth="1"/>
    <col min="4" max="4" width="13.42578125" style="7" customWidth="1"/>
    <col min="5" max="6" width="12.5703125" style="19" customWidth="1"/>
    <col min="7" max="7" width="7.140625" style="19" customWidth="1"/>
    <col min="8" max="8" width="9.28515625" style="19" customWidth="1"/>
    <col min="9" max="9" width="12.5703125" style="19" customWidth="1"/>
    <col min="10" max="10" width="14.42578125" style="19" customWidth="1"/>
    <col min="11" max="12" width="12.5703125" style="19" customWidth="1"/>
    <col min="13" max="13" width="8.85546875" style="19" customWidth="1"/>
    <col min="14" max="14" width="14.85546875" style="19" customWidth="1"/>
    <col min="15" max="15" width="15.42578125" style="19" customWidth="1"/>
    <col min="16" max="16" width="10.5703125" style="19" customWidth="1"/>
    <col min="17" max="17" width="9" style="19" customWidth="1"/>
    <col min="18" max="18" width="20" style="19" customWidth="1"/>
    <col min="19" max="19" width="12.5703125" style="19" customWidth="1"/>
    <col min="20" max="20" width="14" style="19" customWidth="1"/>
    <col min="21" max="21" width="18" style="19" customWidth="1"/>
    <col min="22" max="22" width="17.140625" style="19" customWidth="1"/>
    <col min="23" max="23" width="10.85546875" style="19" customWidth="1"/>
    <col min="24" max="29" width="12.5703125" style="19" customWidth="1"/>
    <col min="30" max="30" width="11.5703125" style="19"/>
    <col min="31" max="31" width="11.5703125" style="7"/>
    <col min="32" max="32" width="11.5703125" style="19"/>
  </cols>
  <sheetData>
    <row r="1" spans="1:40" s="16" customFormat="1" ht="60.75">
      <c r="A1" s="21" t="s">
        <v>0</v>
      </c>
      <c r="B1" s="22" t="s">
        <v>1</v>
      </c>
      <c r="C1" s="22" t="s">
        <v>2</v>
      </c>
      <c r="D1" s="10" t="s">
        <v>3</v>
      </c>
      <c r="E1" s="31" t="s">
        <v>13</v>
      </c>
      <c r="F1" s="31" t="s">
        <v>14</v>
      </c>
      <c r="G1" s="31" t="s">
        <v>15</v>
      </c>
      <c r="H1" s="31" t="s">
        <v>16</v>
      </c>
      <c r="I1" s="31" t="s">
        <v>17</v>
      </c>
      <c r="J1" s="31" t="s">
        <v>18</v>
      </c>
      <c r="K1" s="31" t="s">
        <v>19</v>
      </c>
      <c r="L1" s="31" t="s">
        <v>20</v>
      </c>
      <c r="M1" s="31" t="s">
        <v>21</v>
      </c>
      <c r="N1" s="31" t="s">
        <v>22</v>
      </c>
      <c r="O1" s="31" t="s">
        <v>23</v>
      </c>
      <c r="P1" s="31" t="s">
        <v>24</v>
      </c>
      <c r="Q1" s="31" t="s">
        <v>25</v>
      </c>
      <c r="R1" s="31" t="s">
        <v>26</v>
      </c>
      <c r="S1" s="31" t="s">
        <v>27</v>
      </c>
      <c r="T1" s="31" t="s">
        <v>28</v>
      </c>
      <c r="U1" s="31" t="s">
        <v>29</v>
      </c>
      <c r="V1" s="31" t="s">
        <v>30</v>
      </c>
      <c r="W1" s="31" t="s">
        <v>31</v>
      </c>
      <c r="X1" s="31" t="s">
        <v>32</v>
      </c>
      <c r="Y1" s="31" t="s">
        <v>33</v>
      </c>
      <c r="Z1" s="31" t="s">
        <v>34</v>
      </c>
      <c r="AA1" s="31" t="s">
        <v>35</v>
      </c>
      <c r="AB1" s="31" t="s">
        <v>36</v>
      </c>
      <c r="AC1" s="31" t="s">
        <v>37</v>
      </c>
      <c r="AD1" s="31" t="s">
        <v>38</v>
      </c>
      <c r="AE1" s="32" t="s">
        <v>10</v>
      </c>
      <c r="AF1" s="31" t="s">
        <v>11</v>
      </c>
    </row>
    <row r="2" spans="1:40">
      <c r="A2" s="16" t="s">
        <v>12</v>
      </c>
      <c r="B2" s="7">
        <v>1</v>
      </c>
      <c r="C2" s="7">
        <v>2</v>
      </c>
      <c r="D2" s="7">
        <v>2023</v>
      </c>
      <c r="E2" s="33">
        <v>7285</v>
      </c>
      <c r="F2" s="33">
        <v>8812</v>
      </c>
      <c r="G2" s="33">
        <v>3773</v>
      </c>
      <c r="H2" s="33">
        <v>589</v>
      </c>
      <c r="I2" s="33">
        <v>445</v>
      </c>
      <c r="J2" s="33">
        <v>1481</v>
      </c>
      <c r="K2" s="34">
        <v>0</v>
      </c>
      <c r="L2" s="33">
        <v>353</v>
      </c>
      <c r="M2" s="33">
        <v>16</v>
      </c>
      <c r="N2" s="33">
        <v>818</v>
      </c>
      <c r="O2" s="33">
        <v>274</v>
      </c>
      <c r="P2" s="33">
        <v>1423</v>
      </c>
      <c r="Q2" s="33">
        <v>3</v>
      </c>
      <c r="R2" s="33">
        <v>1186</v>
      </c>
      <c r="S2" s="33">
        <v>1823</v>
      </c>
      <c r="T2" s="33">
        <v>290</v>
      </c>
      <c r="U2" s="33">
        <v>0</v>
      </c>
      <c r="V2" s="33">
        <v>224</v>
      </c>
      <c r="W2" s="33">
        <v>585</v>
      </c>
      <c r="X2" s="33">
        <v>642</v>
      </c>
      <c r="Y2" s="33">
        <v>125</v>
      </c>
      <c r="Z2" s="33">
        <v>4.5</v>
      </c>
      <c r="AA2" s="33">
        <v>15</v>
      </c>
      <c r="AB2" s="33">
        <v>2</v>
      </c>
      <c r="AC2" s="33">
        <v>2340</v>
      </c>
      <c r="AD2" s="33">
        <v>1177</v>
      </c>
      <c r="AE2" s="33">
        <v>126</v>
      </c>
      <c r="AF2" s="33">
        <v>174</v>
      </c>
      <c r="AG2" s="35"/>
      <c r="AH2" s="35"/>
      <c r="AI2" s="35"/>
      <c r="AJ2" s="35"/>
      <c r="AK2" s="35"/>
      <c r="AL2" s="35"/>
      <c r="AM2" s="35"/>
      <c r="AN2" s="35"/>
    </row>
    <row r="3" spans="1:40">
      <c r="A3" s="16" t="s">
        <v>12</v>
      </c>
      <c r="B3" s="7">
        <f>B2+1</f>
        <v>2</v>
      </c>
      <c r="C3" s="7">
        <v>2</v>
      </c>
      <c r="D3" s="7">
        <v>2023</v>
      </c>
      <c r="E3" s="33">
        <v>8022</v>
      </c>
      <c r="F3" s="33">
        <v>5131</v>
      </c>
      <c r="G3" s="33">
        <v>4264</v>
      </c>
      <c r="H3" s="33">
        <v>529</v>
      </c>
      <c r="I3" s="33">
        <v>509</v>
      </c>
      <c r="J3" s="33">
        <v>1745</v>
      </c>
      <c r="K3" s="33">
        <v>0</v>
      </c>
      <c r="L3" s="33">
        <v>371</v>
      </c>
      <c r="M3" s="33">
        <v>17</v>
      </c>
      <c r="N3" s="33">
        <v>1005</v>
      </c>
      <c r="O3" s="33">
        <v>332</v>
      </c>
      <c r="P3" s="33">
        <v>1513</v>
      </c>
      <c r="Q3" s="33">
        <v>2</v>
      </c>
      <c r="R3" s="33">
        <v>1336</v>
      </c>
      <c r="S3" s="33">
        <v>2055</v>
      </c>
      <c r="T3" s="33">
        <v>325</v>
      </c>
      <c r="U3" s="33">
        <v>25</v>
      </c>
      <c r="V3" s="33">
        <v>252</v>
      </c>
      <c r="W3" s="33">
        <v>619</v>
      </c>
      <c r="X3" s="33">
        <v>691</v>
      </c>
      <c r="Y3" s="34">
        <v>0</v>
      </c>
      <c r="Z3" s="34">
        <v>0</v>
      </c>
      <c r="AA3" s="33">
        <v>19</v>
      </c>
      <c r="AB3" s="33">
        <v>2</v>
      </c>
      <c r="AC3" s="33">
        <v>2572</v>
      </c>
      <c r="AD3" s="33">
        <v>1323</v>
      </c>
      <c r="AE3" s="33">
        <v>139</v>
      </c>
      <c r="AF3" s="33">
        <v>144</v>
      </c>
    </row>
    <row r="4" spans="1:40">
      <c r="A4" s="16" t="s">
        <v>12</v>
      </c>
      <c r="B4" s="7">
        <f t="shared" ref="B4:B30" si="0">B3+1</f>
        <v>3</v>
      </c>
      <c r="C4" s="7">
        <v>2</v>
      </c>
      <c r="D4" s="7">
        <v>2023</v>
      </c>
      <c r="E4" s="33">
        <v>7242</v>
      </c>
      <c r="F4" s="33">
        <v>4609</v>
      </c>
      <c r="G4" s="33">
        <v>3834</v>
      </c>
      <c r="H4" s="33">
        <v>560</v>
      </c>
      <c r="I4" s="33">
        <v>468</v>
      </c>
      <c r="J4" s="33">
        <v>1462</v>
      </c>
      <c r="K4" s="33">
        <v>0</v>
      </c>
      <c r="L4" s="33">
        <v>330</v>
      </c>
      <c r="M4" s="33">
        <v>16</v>
      </c>
      <c r="N4" s="33">
        <v>833</v>
      </c>
      <c r="O4" s="33">
        <v>226</v>
      </c>
      <c r="P4" s="33">
        <v>1530</v>
      </c>
      <c r="Q4" s="33">
        <v>3</v>
      </c>
      <c r="R4" s="33">
        <v>1204</v>
      </c>
      <c r="S4" s="33">
        <v>1852</v>
      </c>
      <c r="T4" s="33">
        <v>292</v>
      </c>
      <c r="U4" s="33">
        <v>44</v>
      </c>
      <c r="V4" s="33">
        <v>243</v>
      </c>
      <c r="W4" s="33">
        <v>549</v>
      </c>
      <c r="X4" s="33">
        <v>568</v>
      </c>
      <c r="Y4" s="33">
        <v>0</v>
      </c>
      <c r="Z4" s="33">
        <v>0</v>
      </c>
      <c r="AA4" s="33">
        <v>16</v>
      </c>
      <c r="AB4" s="33">
        <v>1</v>
      </c>
      <c r="AC4" s="33">
        <v>2258</v>
      </c>
      <c r="AD4" s="33">
        <v>1191</v>
      </c>
      <c r="AE4" s="33">
        <v>100</v>
      </c>
      <c r="AF4" s="33">
        <v>145</v>
      </c>
    </row>
    <row r="5" spans="1:40">
      <c r="A5" s="16" t="s">
        <v>12</v>
      </c>
      <c r="B5" s="7">
        <f t="shared" si="0"/>
        <v>4</v>
      </c>
      <c r="C5" s="7">
        <v>2</v>
      </c>
      <c r="D5" s="7">
        <v>2023</v>
      </c>
      <c r="E5" s="33">
        <v>7019</v>
      </c>
      <c r="F5" s="33">
        <v>4614</v>
      </c>
      <c r="G5" s="33">
        <v>3796</v>
      </c>
      <c r="H5" s="33">
        <v>554</v>
      </c>
      <c r="I5" s="33">
        <v>481</v>
      </c>
      <c r="J5" s="33">
        <v>1271</v>
      </c>
      <c r="K5" s="33">
        <v>0</v>
      </c>
      <c r="L5" s="33">
        <v>329</v>
      </c>
      <c r="M5" s="33">
        <v>18</v>
      </c>
      <c r="N5" s="33">
        <v>774</v>
      </c>
      <c r="O5" s="33">
        <v>187</v>
      </c>
      <c r="P5" s="33">
        <v>1587</v>
      </c>
      <c r="Q5" s="33">
        <v>2</v>
      </c>
      <c r="R5" s="33">
        <v>1199</v>
      </c>
      <c r="S5" s="33">
        <v>1839</v>
      </c>
      <c r="T5" s="33">
        <v>291</v>
      </c>
      <c r="U5" s="33">
        <v>44</v>
      </c>
      <c r="V5" s="33">
        <v>229</v>
      </c>
      <c r="W5" s="33">
        <v>517</v>
      </c>
      <c r="X5" s="33">
        <v>524</v>
      </c>
      <c r="Y5" s="33">
        <v>0</v>
      </c>
      <c r="Z5" s="34">
        <v>0</v>
      </c>
      <c r="AA5" s="33">
        <v>15</v>
      </c>
      <c r="AB5" s="33">
        <v>2</v>
      </c>
      <c r="AC5" s="33">
        <v>2005</v>
      </c>
      <c r="AD5" s="33">
        <v>1192</v>
      </c>
      <c r="AE5" s="33">
        <v>102</v>
      </c>
      <c r="AF5" s="33">
        <v>163</v>
      </c>
    </row>
    <row r="6" spans="1:40">
      <c r="A6" s="16" t="s">
        <v>12</v>
      </c>
      <c r="B6" s="7">
        <f t="shared" si="0"/>
        <v>5</v>
      </c>
      <c r="C6" s="7">
        <v>2</v>
      </c>
      <c r="D6" s="7">
        <v>2023</v>
      </c>
      <c r="E6" s="33">
        <v>6836</v>
      </c>
      <c r="F6" s="33">
        <v>4708</v>
      </c>
      <c r="G6" s="33">
        <v>3850</v>
      </c>
      <c r="H6" s="33">
        <v>588</v>
      </c>
      <c r="I6" s="33">
        <v>431</v>
      </c>
      <c r="J6" s="33">
        <v>1246</v>
      </c>
      <c r="K6" s="33">
        <v>0</v>
      </c>
      <c r="L6" s="33">
        <v>339</v>
      </c>
      <c r="M6" s="33">
        <v>16</v>
      </c>
      <c r="N6" s="33">
        <v>736</v>
      </c>
      <c r="O6" s="33">
        <v>188</v>
      </c>
      <c r="P6" s="33">
        <v>1490</v>
      </c>
      <c r="Q6" s="33">
        <v>3</v>
      </c>
      <c r="R6" s="33">
        <v>1225</v>
      </c>
      <c r="S6" s="33">
        <v>1871</v>
      </c>
      <c r="T6" s="33">
        <v>298</v>
      </c>
      <c r="U6" s="33">
        <v>44</v>
      </c>
      <c r="V6" s="33">
        <v>247</v>
      </c>
      <c r="W6" s="33">
        <v>540</v>
      </c>
      <c r="X6" s="33">
        <v>617</v>
      </c>
      <c r="Y6" s="33">
        <v>0</v>
      </c>
      <c r="Z6" s="34">
        <v>0</v>
      </c>
      <c r="AA6" s="33">
        <v>9</v>
      </c>
      <c r="AB6" s="33">
        <v>1</v>
      </c>
      <c r="AC6" s="33">
        <v>2185</v>
      </c>
      <c r="AD6" s="33">
        <v>1203</v>
      </c>
      <c r="AE6" s="33">
        <v>114</v>
      </c>
      <c r="AF6" s="33">
        <v>169</v>
      </c>
    </row>
    <row r="7" spans="1:40">
      <c r="A7" s="16" t="s">
        <v>12</v>
      </c>
      <c r="B7" s="7">
        <f t="shared" si="0"/>
        <v>6</v>
      </c>
      <c r="C7" s="7">
        <v>2</v>
      </c>
      <c r="D7" s="7">
        <v>2023</v>
      </c>
      <c r="E7" s="33">
        <v>7833</v>
      </c>
      <c r="F7" s="33">
        <v>4972</v>
      </c>
      <c r="G7" s="33">
        <v>4183</v>
      </c>
      <c r="H7" s="33">
        <v>575</v>
      </c>
      <c r="I7" s="33">
        <v>448</v>
      </c>
      <c r="J7" s="33">
        <v>1349</v>
      </c>
      <c r="K7" s="33">
        <v>0</v>
      </c>
      <c r="L7" s="33">
        <v>368</v>
      </c>
      <c r="M7" s="33">
        <v>17</v>
      </c>
      <c r="N7" s="33">
        <v>870</v>
      </c>
      <c r="O7" s="33">
        <v>208</v>
      </c>
      <c r="P7" s="33">
        <v>1482</v>
      </c>
      <c r="Q7" s="33">
        <v>2</v>
      </c>
      <c r="R7" s="33">
        <v>1333</v>
      </c>
      <c r="S7" s="33">
        <v>2033</v>
      </c>
      <c r="T7" s="33">
        <v>327</v>
      </c>
      <c r="U7" s="33">
        <v>48</v>
      </c>
      <c r="V7" s="33">
        <v>244</v>
      </c>
      <c r="W7" s="33">
        <v>600</v>
      </c>
      <c r="X7" s="33">
        <v>663</v>
      </c>
      <c r="Y7" s="33">
        <v>0</v>
      </c>
      <c r="Z7" s="34">
        <v>0</v>
      </c>
      <c r="AA7" s="33">
        <v>23</v>
      </c>
      <c r="AB7" s="33">
        <v>3</v>
      </c>
      <c r="AC7" s="33">
        <v>2489</v>
      </c>
      <c r="AD7" s="33">
        <v>885</v>
      </c>
      <c r="AE7" s="33">
        <v>141</v>
      </c>
      <c r="AF7" s="33">
        <v>197</v>
      </c>
    </row>
    <row r="8" spans="1:40">
      <c r="A8" s="16" t="s">
        <v>12</v>
      </c>
      <c r="B8" s="7">
        <f t="shared" si="0"/>
        <v>7</v>
      </c>
      <c r="C8" s="7">
        <v>2</v>
      </c>
      <c r="D8" s="7">
        <v>2023</v>
      </c>
      <c r="E8" s="33">
        <v>6150</v>
      </c>
      <c r="F8" s="33">
        <v>4432</v>
      </c>
      <c r="G8" s="33">
        <v>3519</v>
      </c>
      <c r="H8" s="33">
        <v>543</v>
      </c>
      <c r="I8" s="33">
        <v>405</v>
      </c>
      <c r="J8" s="33">
        <v>1394</v>
      </c>
      <c r="K8" s="33">
        <v>0</v>
      </c>
      <c r="L8" s="33">
        <v>319</v>
      </c>
      <c r="M8" s="33">
        <v>15</v>
      </c>
      <c r="N8" s="33">
        <v>766</v>
      </c>
      <c r="O8" s="33">
        <v>246</v>
      </c>
      <c r="P8" s="33">
        <v>1337</v>
      </c>
      <c r="Q8" s="33">
        <v>2</v>
      </c>
      <c r="R8" s="33">
        <v>1124</v>
      </c>
      <c r="S8" s="33">
        <v>1715</v>
      </c>
      <c r="T8" s="33">
        <v>272</v>
      </c>
      <c r="U8" s="33">
        <v>41</v>
      </c>
      <c r="V8" s="33">
        <v>219</v>
      </c>
      <c r="W8" s="33">
        <v>512</v>
      </c>
      <c r="X8" s="33">
        <v>587</v>
      </c>
      <c r="Y8" s="34">
        <v>0</v>
      </c>
      <c r="Z8" s="34">
        <v>0</v>
      </c>
      <c r="AA8" s="33">
        <v>18</v>
      </c>
      <c r="AB8" s="33">
        <v>2</v>
      </c>
      <c r="AC8" s="38">
        <v>2190</v>
      </c>
      <c r="AD8" s="33">
        <v>1485</v>
      </c>
      <c r="AE8" s="33">
        <v>148</v>
      </c>
      <c r="AF8" s="33">
        <v>207</v>
      </c>
    </row>
    <row r="9" spans="1:40">
      <c r="A9" s="16" t="s">
        <v>12</v>
      </c>
      <c r="B9" s="7">
        <f t="shared" si="0"/>
        <v>8</v>
      </c>
      <c r="C9" s="7">
        <v>2</v>
      </c>
      <c r="D9" s="7">
        <v>2023</v>
      </c>
      <c r="E9" s="33">
        <v>7553</v>
      </c>
      <c r="F9" s="33">
        <v>5129</v>
      </c>
      <c r="G9" s="33">
        <v>4108</v>
      </c>
      <c r="H9" s="33">
        <v>570</v>
      </c>
      <c r="I9" s="33">
        <v>477</v>
      </c>
      <c r="J9" s="33">
        <v>1423</v>
      </c>
      <c r="K9" s="33">
        <v>0</v>
      </c>
      <c r="L9" s="33">
        <v>427</v>
      </c>
      <c r="M9" s="33">
        <v>17</v>
      </c>
      <c r="N9" s="33">
        <v>940</v>
      </c>
      <c r="O9" s="33">
        <v>258</v>
      </c>
      <c r="P9" s="33">
        <v>1529</v>
      </c>
      <c r="Q9" s="33">
        <v>3</v>
      </c>
      <c r="R9" s="33">
        <v>1300</v>
      </c>
      <c r="S9" s="33">
        <v>1981</v>
      </c>
      <c r="T9" s="33">
        <v>316</v>
      </c>
      <c r="U9" s="33">
        <v>48</v>
      </c>
      <c r="V9" s="33">
        <v>256</v>
      </c>
      <c r="W9" s="33">
        <v>612</v>
      </c>
      <c r="X9" s="33">
        <v>648</v>
      </c>
      <c r="Y9" s="34">
        <v>0</v>
      </c>
      <c r="Z9" s="34">
        <v>0</v>
      </c>
      <c r="AA9" s="33">
        <v>16</v>
      </c>
      <c r="AB9" s="33">
        <v>2</v>
      </c>
      <c r="AC9" s="33">
        <v>2721</v>
      </c>
      <c r="AD9" s="33">
        <v>1263</v>
      </c>
      <c r="AE9" s="33">
        <v>135</v>
      </c>
      <c r="AF9" s="33">
        <v>179</v>
      </c>
    </row>
    <row r="10" spans="1:40">
      <c r="A10" s="16" t="s">
        <v>12</v>
      </c>
      <c r="B10" s="7">
        <f t="shared" si="0"/>
        <v>9</v>
      </c>
      <c r="C10" s="7">
        <v>2</v>
      </c>
      <c r="D10" s="7">
        <v>2023</v>
      </c>
      <c r="E10" s="33">
        <v>6711</v>
      </c>
      <c r="F10" s="33">
        <v>4540</v>
      </c>
      <c r="G10" s="33">
        <v>3627</v>
      </c>
      <c r="H10" s="33">
        <v>522</v>
      </c>
      <c r="I10" s="33">
        <v>433</v>
      </c>
      <c r="J10" s="33">
        <v>1278</v>
      </c>
      <c r="K10" s="33">
        <v>0</v>
      </c>
      <c r="L10" s="33">
        <v>367</v>
      </c>
      <c r="M10" s="33">
        <v>15</v>
      </c>
      <c r="N10" s="33">
        <v>749</v>
      </c>
      <c r="O10" s="33">
        <v>171</v>
      </c>
      <c r="P10" s="33">
        <v>1343</v>
      </c>
      <c r="Q10" s="33">
        <v>2</v>
      </c>
      <c r="R10" s="33">
        <v>1142</v>
      </c>
      <c r="S10" s="33">
        <v>1727</v>
      </c>
      <c r="T10" s="33">
        <v>278</v>
      </c>
      <c r="U10" s="33">
        <v>41</v>
      </c>
      <c r="V10" s="33">
        <v>225</v>
      </c>
      <c r="W10" s="33">
        <v>588</v>
      </c>
      <c r="X10" s="33">
        <v>601</v>
      </c>
      <c r="Y10" s="34">
        <v>0</v>
      </c>
      <c r="Z10" s="34">
        <v>0</v>
      </c>
      <c r="AA10" s="33">
        <v>19</v>
      </c>
      <c r="AB10" s="33">
        <v>1</v>
      </c>
      <c r="AC10" s="33">
        <v>2467</v>
      </c>
      <c r="AD10" s="33">
        <v>1115</v>
      </c>
      <c r="AE10" s="33">
        <v>122</v>
      </c>
      <c r="AF10" s="33">
        <v>162</v>
      </c>
    </row>
    <row r="11" spans="1:40">
      <c r="A11" s="16" t="s">
        <v>12</v>
      </c>
      <c r="B11" s="7">
        <f t="shared" si="0"/>
        <v>10</v>
      </c>
      <c r="C11" s="7">
        <v>2</v>
      </c>
      <c r="D11" s="7">
        <v>2023</v>
      </c>
      <c r="E11" s="33">
        <v>5886</v>
      </c>
      <c r="F11" s="33">
        <v>4808</v>
      </c>
      <c r="G11" s="33">
        <v>3145</v>
      </c>
      <c r="H11" s="33">
        <v>439</v>
      </c>
      <c r="I11" s="33">
        <v>445</v>
      </c>
      <c r="J11" s="33">
        <v>1211</v>
      </c>
      <c r="K11" s="33">
        <v>0</v>
      </c>
      <c r="L11" s="33">
        <v>377</v>
      </c>
      <c r="M11" s="33">
        <v>15</v>
      </c>
      <c r="N11" s="33">
        <v>789</v>
      </c>
      <c r="O11" s="33">
        <v>178</v>
      </c>
      <c r="P11" s="33">
        <v>634</v>
      </c>
      <c r="Q11" s="33">
        <v>3</v>
      </c>
      <c r="R11" s="33">
        <v>1163</v>
      </c>
      <c r="S11" s="34">
        <v>0</v>
      </c>
      <c r="T11" s="33">
        <v>282</v>
      </c>
      <c r="U11" s="33">
        <v>43</v>
      </c>
      <c r="V11" s="33">
        <v>229</v>
      </c>
      <c r="W11" s="33">
        <v>616</v>
      </c>
      <c r="X11" s="33">
        <v>578</v>
      </c>
      <c r="Y11" s="33">
        <v>100</v>
      </c>
      <c r="Z11" s="33">
        <v>3</v>
      </c>
      <c r="AA11" s="33">
        <v>14</v>
      </c>
      <c r="AB11" s="34">
        <v>0</v>
      </c>
      <c r="AC11" s="33">
        <v>2298</v>
      </c>
      <c r="AD11" s="33">
        <v>965</v>
      </c>
      <c r="AE11" s="33">
        <v>117</v>
      </c>
      <c r="AF11" s="33">
        <v>169</v>
      </c>
    </row>
    <row r="12" spans="1:40">
      <c r="A12" s="16" t="s">
        <v>12</v>
      </c>
      <c r="B12" s="7">
        <f t="shared" si="0"/>
        <v>11</v>
      </c>
      <c r="C12" s="7">
        <v>2</v>
      </c>
      <c r="D12" s="7">
        <v>2023</v>
      </c>
      <c r="E12" s="33">
        <v>6697</v>
      </c>
      <c r="F12" s="33">
        <v>4604</v>
      </c>
      <c r="G12" s="33">
        <v>3827</v>
      </c>
      <c r="H12" s="33">
        <v>10488</v>
      </c>
      <c r="I12" s="33">
        <v>465</v>
      </c>
      <c r="J12" s="33">
        <v>1297</v>
      </c>
      <c r="K12" s="33">
        <v>0</v>
      </c>
      <c r="L12" s="33">
        <v>389</v>
      </c>
      <c r="M12" s="33">
        <v>15</v>
      </c>
      <c r="N12" s="33">
        <v>826</v>
      </c>
      <c r="O12" s="33">
        <v>362</v>
      </c>
      <c r="P12" s="33">
        <v>1033</v>
      </c>
      <c r="Q12" s="33">
        <v>2</v>
      </c>
      <c r="R12" s="33">
        <v>1208</v>
      </c>
      <c r="S12" s="33">
        <v>4425</v>
      </c>
      <c r="T12" s="33">
        <v>293</v>
      </c>
      <c r="U12" s="33">
        <v>44</v>
      </c>
      <c r="V12" s="33">
        <v>233</v>
      </c>
      <c r="W12" s="33">
        <v>615</v>
      </c>
      <c r="X12" s="33">
        <v>615</v>
      </c>
      <c r="Y12" s="34">
        <v>0</v>
      </c>
      <c r="Z12" s="34">
        <v>0</v>
      </c>
      <c r="AA12" s="33">
        <v>18</v>
      </c>
      <c r="AB12" s="33">
        <v>104</v>
      </c>
      <c r="AC12" s="33">
        <v>407</v>
      </c>
      <c r="AD12" s="33">
        <v>1165</v>
      </c>
      <c r="AE12" s="33">
        <v>121</v>
      </c>
      <c r="AF12" s="33">
        <v>183</v>
      </c>
    </row>
    <row r="13" spans="1:40">
      <c r="A13" s="16" t="s">
        <v>12</v>
      </c>
      <c r="B13" s="7">
        <f t="shared" si="0"/>
        <v>12</v>
      </c>
      <c r="C13" s="7">
        <v>2</v>
      </c>
      <c r="D13" s="7">
        <v>2023</v>
      </c>
      <c r="E13" s="33">
        <v>7058</v>
      </c>
      <c r="F13" s="33">
        <v>0</v>
      </c>
      <c r="G13" s="33">
        <v>3805</v>
      </c>
      <c r="H13" s="33">
        <v>552</v>
      </c>
      <c r="I13" s="33">
        <v>455</v>
      </c>
      <c r="J13" s="33">
        <v>1269</v>
      </c>
      <c r="K13" s="33">
        <v>0</v>
      </c>
      <c r="L13" s="33">
        <v>380</v>
      </c>
      <c r="M13" s="33">
        <v>15</v>
      </c>
      <c r="N13" s="33">
        <v>827</v>
      </c>
      <c r="O13" s="33">
        <v>370</v>
      </c>
      <c r="P13" s="33"/>
      <c r="Q13" s="33">
        <v>2</v>
      </c>
      <c r="R13" s="33">
        <v>1198</v>
      </c>
      <c r="S13" s="33">
        <v>1875</v>
      </c>
      <c r="T13" s="33">
        <v>289</v>
      </c>
      <c r="U13" s="33">
        <v>44</v>
      </c>
      <c r="V13" s="33">
        <v>234</v>
      </c>
      <c r="W13" s="33">
        <v>562</v>
      </c>
      <c r="X13" s="33">
        <v>574</v>
      </c>
      <c r="Y13" s="34">
        <v>0</v>
      </c>
      <c r="Z13" s="34">
        <v>0</v>
      </c>
      <c r="AA13" s="33">
        <v>16</v>
      </c>
      <c r="AB13" s="33">
        <v>0</v>
      </c>
      <c r="AC13" s="33">
        <v>4143</v>
      </c>
      <c r="AD13" s="33">
        <v>1228</v>
      </c>
      <c r="AE13" s="33">
        <v>70</v>
      </c>
      <c r="AF13" s="33">
        <v>111</v>
      </c>
    </row>
    <row r="14" spans="1:40">
      <c r="A14" s="16" t="s">
        <v>12</v>
      </c>
      <c r="B14" s="7">
        <f t="shared" si="0"/>
        <v>13</v>
      </c>
      <c r="C14" s="7">
        <v>2</v>
      </c>
      <c r="D14" s="7">
        <v>2023</v>
      </c>
      <c r="E14" s="33">
        <v>7116</v>
      </c>
      <c r="F14" s="33">
        <v>4642</v>
      </c>
      <c r="G14" s="33">
        <v>3835</v>
      </c>
      <c r="H14" s="33">
        <v>0</v>
      </c>
      <c r="I14" s="33">
        <v>464</v>
      </c>
      <c r="J14" s="33">
        <v>1321</v>
      </c>
      <c r="K14" s="33">
        <v>0</v>
      </c>
      <c r="L14" s="33">
        <v>396</v>
      </c>
      <c r="M14" s="33">
        <v>16</v>
      </c>
      <c r="N14" s="33">
        <v>871</v>
      </c>
      <c r="O14" s="33">
        <v>396</v>
      </c>
      <c r="P14" s="33">
        <v>1329</v>
      </c>
      <c r="Q14" s="33">
        <v>3</v>
      </c>
      <c r="R14" s="33">
        <v>1208</v>
      </c>
      <c r="S14" s="33">
        <v>1894</v>
      </c>
      <c r="T14" s="33">
        <v>392</v>
      </c>
      <c r="U14" s="33">
        <v>44</v>
      </c>
      <c r="V14" s="33">
        <v>224</v>
      </c>
      <c r="W14" s="33">
        <v>604</v>
      </c>
      <c r="X14" s="33">
        <v>766</v>
      </c>
      <c r="Y14" s="34">
        <v>0</v>
      </c>
      <c r="Z14" s="34">
        <v>0</v>
      </c>
      <c r="AA14" s="33">
        <v>18</v>
      </c>
      <c r="AB14" s="33">
        <v>2</v>
      </c>
      <c r="AC14" s="33">
        <v>2186</v>
      </c>
      <c r="AD14" s="33">
        <v>1125</v>
      </c>
      <c r="AE14" s="33">
        <v>90</v>
      </c>
      <c r="AF14" s="33">
        <v>133</v>
      </c>
    </row>
    <row r="15" spans="1:40">
      <c r="A15" s="16" t="s">
        <v>12</v>
      </c>
      <c r="B15" s="7">
        <f t="shared" si="0"/>
        <v>14</v>
      </c>
      <c r="C15" s="7">
        <v>2</v>
      </c>
      <c r="D15" s="7">
        <v>2023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  <c r="O15" s="19">
        <v>0</v>
      </c>
      <c r="P15" s="19">
        <v>0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  <c r="AD15" s="19">
        <v>0</v>
      </c>
      <c r="AE15" s="19">
        <v>0</v>
      </c>
      <c r="AF15" s="19">
        <v>0</v>
      </c>
    </row>
    <row r="16" spans="1:40">
      <c r="A16" s="16" t="s">
        <v>12</v>
      </c>
      <c r="B16" s="7">
        <f t="shared" si="0"/>
        <v>15</v>
      </c>
      <c r="C16" s="7">
        <v>2</v>
      </c>
      <c r="D16" s="7">
        <v>2023</v>
      </c>
      <c r="E16" s="19">
        <v>0</v>
      </c>
      <c r="F16" s="19">
        <v>0</v>
      </c>
      <c r="G16" s="19">
        <v>0</v>
      </c>
      <c r="H16" s="19">
        <v>0</v>
      </c>
      <c r="I16" s="19">
        <v>0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19">
        <v>0</v>
      </c>
      <c r="P16" s="19">
        <v>0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0</v>
      </c>
    </row>
    <row r="17" spans="1:32">
      <c r="A17" s="16" t="s">
        <v>12</v>
      </c>
      <c r="B17" s="7">
        <f t="shared" si="0"/>
        <v>16</v>
      </c>
      <c r="C17" s="7">
        <v>2</v>
      </c>
      <c r="D17" s="7">
        <v>2023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  <c r="AD17" s="19">
        <v>0</v>
      </c>
      <c r="AE17" s="19">
        <v>0</v>
      </c>
      <c r="AF17" s="19">
        <v>0</v>
      </c>
    </row>
    <row r="18" spans="1:32">
      <c r="A18" s="16" t="s">
        <v>12</v>
      </c>
      <c r="B18" s="7">
        <f t="shared" si="0"/>
        <v>17</v>
      </c>
      <c r="C18" s="7">
        <v>2</v>
      </c>
      <c r="D18" s="7">
        <v>2023</v>
      </c>
      <c r="E18" s="19">
        <v>0</v>
      </c>
      <c r="F18" s="19">
        <v>0</v>
      </c>
      <c r="G18" s="19">
        <v>0</v>
      </c>
      <c r="H18" s="19">
        <v>0</v>
      </c>
      <c r="I18" s="19">
        <v>0</v>
      </c>
      <c r="J18" s="19">
        <v>0</v>
      </c>
      <c r="K18" s="19">
        <v>0</v>
      </c>
      <c r="L18" s="19">
        <v>0</v>
      </c>
      <c r="M18" s="19">
        <v>0</v>
      </c>
      <c r="N18" s="19">
        <v>0</v>
      </c>
      <c r="O18" s="19">
        <v>0</v>
      </c>
      <c r="P18" s="19">
        <v>0</v>
      </c>
      <c r="Q18" s="19">
        <v>0</v>
      </c>
      <c r="R18" s="19">
        <v>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19">
        <v>0</v>
      </c>
      <c r="AE18" s="19">
        <v>0</v>
      </c>
      <c r="AF18" s="19">
        <v>0</v>
      </c>
    </row>
    <row r="19" spans="1:32">
      <c r="A19" s="16" t="s">
        <v>12</v>
      </c>
      <c r="B19" s="7">
        <f t="shared" si="0"/>
        <v>18</v>
      </c>
      <c r="C19" s="7">
        <v>2</v>
      </c>
      <c r="D19" s="7">
        <v>2023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  <c r="O19" s="19">
        <v>0</v>
      </c>
      <c r="P19" s="19">
        <v>0</v>
      </c>
      <c r="Q19" s="19">
        <v>0</v>
      </c>
      <c r="R19" s="19">
        <v>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0</v>
      </c>
      <c r="AB19" s="19">
        <v>0</v>
      </c>
      <c r="AC19" s="19">
        <v>0</v>
      </c>
      <c r="AD19" s="19">
        <v>0</v>
      </c>
      <c r="AE19" s="19">
        <v>0</v>
      </c>
      <c r="AF19" s="19">
        <v>0</v>
      </c>
    </row>
    <row r="20" spans="1:32">
      <c r="A20" s="16" t="s">
        <v>12</v>
      </c>
      <c r="B20" s="7">
        <f t="shared" si="0"/>
        <v>19</v>
      </c>
      <c r="C20" s="7">
        <v>2</v>
      </c>
      <c r="D20" s="7">
        <v>2023</v>
      </c>
      <c r="E20" s="19">
        <v>0</v>
      </c>
      <c r="F20" s="19">
        <v>0</v>
      </c>
      <c r="G20" s="19">
        <v>0</v>
      </c>
      <c r="H20" s="19">
        <v>0</v>
      </c>
      <c r="I20" s="19">
        <v>0</v>
      </c>
      <c r="J20" s="19">
        <v>0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0</v>
      </c>
    </row>
    <row r="21" spans="1:32">
      <c r="A21" s="16" t="s">
        <v>12</v>
      </c>
      <c r="B21" s="7">
        <f t="shared" si="0"/>
        <v>20</v>
      </c>
      <c r="C21" s="7">
        <v>2</v>
      </c>
      <c r="D21" s="7">
        <v>2023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  <c r="K21" s="19">
        <v>0</v>
      </c>
      <c r="L21" s="19">
        <v>0</v>
      </c>
      <c r="M21" s="19">
        <v>0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</row>
    <row r="22" spans="1:32">
      <c r="A22" s="16" t="s">
        <v>12</v>
      </c>
      <c r="B22" s="7">
        <f t="shared" si="0"/>
        <v>21</v>
      </c>
      <c r="C22" s="7">
        <v>2</v>
      </c>
      <c r="D22" s="7">
        <v>2023</v>
      </c>
      <c r="E22" s="19">
        <v>0</v>
      </c>
      <c r="F22" s="19">
        <v>0</v>
      </c>
      <c r="G22" s="19">
        <v>0</v>
      </c>
      <c r="H22" s="19">
        <v>0</v>
      </c>
      <c r="I22" s="19">
        <v>0</v>
      </c>
      <c r="J22" s="19">
        <v>0</v>
      </c>
      <c r="K22" s="19">
        <v>0</v>
      </c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0</v>
      </c>
    </row>
    <row r="23" spans="1:32">
      <c r="A23" s="16" t="s">
        <v>12</v>
      </c>
      <c r="B23" s="7">
        <f t="shared" si="0"/>
        <v>22</v>
      </c>
      <c r="C23" s="7">
        <v>2</v>
      </c>
      <c r="D23" s="7">
        <v>2023</v>
      </c>
      <c r="E23" s="19">
        <v>0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0</v>
      </c>
      <c r="L23" s="19">
        <v>0</v>
      </c>
      <c r="M23" s="19">
        <v>0</v>
      </c>
      <c r="N23" s="19">
        <v>0</v>
      </c>
      <c r="O23" s="19">
        <v>0</v>
      </c>
      <c r="P23" s="19">
        <v>0</v>
      </c>
      <c r="Q23" s="19">
        <v>0</v>
      </c>
      <c r="R23" s="19">
        <v>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0</v>
      </c>
    </row>
    <row r="24" spans="1:32">
      <c r="A24" s="16" t="s">
        <v>12</v>
      </c>
      <c r="B24" s="7">
        <f t="shared" si="0"/>
        <v>23</v>
      </c>
      <c r="C24" s="7">
        <v>2</v>
      </c>
      <c r="D24" s="7">
        <v>2023</v>
      </c>
      <c r="E24" s="19">
        <v>0</v>
      </c>
      <c r="F24" s="19">
        <v>0</v>
      </c>
      <c r="G24" s="19">
        <v>0</v>
      </c>
      <c r="H24" s="19">
        <v>0</v>
      </c>
      <c r="I24" s="19">
        <v>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19">
        <v>0</v>
      </c>
      <c r="Q24" s="19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  <c r="AD24" s="19">
        <v>0</v>
      </c>
      <c r="AE24" s="19">
        <v>0</v>
      </c>
      <c r="AF24" s="19">
        <v>0</v>
      </c>
    </row>
    <row r="25" spans="1:32">
      <c r="A25" s="16" t="s">
        <v>12</v>
      </c>
      <c r="B25" s="7">
        <f t="shared" si="0"/>
        <v>24</v>
      </c>
      <c r="C25" s="7">
        <v>2</v>
      </c>
      <c r="D25" s="7">
        <v>2023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19">
        <v>0</v>
      </c>
      <c r="Q25" s="19">
        <v>0</v>
      </c>
      <c r="R25" s="19">
        <v>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0</v>
      </c>
      <c r="AD25" s="19">
        <v>0</v>
      </c>
      <c r="AE25" s="19">
        <v>0</v>
      </c>
      <c r="AF25" s="19">
        <v>0</v>
      </c>
    </row>
    <row r="26" spans="1:32">
      <c r="A26" s="16" t="s">
        <v>12</v>
      </c>
      <c r="B26" s="7">
        <f>B25+1</f>
        <v>25</v>
      </c>
      <c r="C26" s="7">
        <v>2</v>
      </c>
      <c r="D26" s="7">
        <v>2023</v>
      </c>
      <c r="E26" s="19">
        <v>0</v>
      </c>
      <c r="F26" s="19">
        <v>0</v>
      </c>
      <c r="G26" s="19">
        <v>0</v>
      </c>
      <c r="H26" s="19">
        <v>0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0</v>
      </c>
      <c r="AE26" s="19">
        <v>0</v>
      </c>
      <c r="AF26" s="19">
        <v>0</v>
      </c>
    </row>
    <row r="27" spans="1:32">
      <c r="A27" s="16" t="s">
        <v>12</v>
      </c>
      <c r="B27" s="7">
        <f t="shared" si="0"/>
        <v>26</v>
      </c>
      <c r="C27" s="7">
        <v>2</v>
      </c>
      <c r="D27" s="7">
        <v>2023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  <c r="P27" s="19">
        <v>0</v>
      </c>
      <c r="Q27" s="19">
        <v>0</v>
      </c>
      <c r="R27" s="19">
        <v>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0</v>
      </c>
      <c r="Y27" s="19">
        <v>0</v>
      </c>
      <c r="Z27" s="19">
        <v>0</v>
      </c>
      <c r="AA27" s="19">
        <v>0</v>
      </c>
      <c r="AB27" s="19">
        <v>0</v>
      </c>
      <c r="AC27" s="19">
        <v>0</v>
      </c>
      <c r="AD27" s="19">
        <v>0</v>
      </c>
      <c r="AE27" s="19">
        <v>0</v>
      </c>
      <c r="AF27" s="19">
        <v>0</v>
      </c>
    </row>
    <row r="28" spans="1:32">
      <c r="A28" s="16" t="s">
        <v>12</v>
      </c>
      <c r="B28" s="7">
        <f t="shared" si="0"/>
        <v>27</v>
      </c>
      <c r="C28" s="7">
        <v>2</v>
      </c>
      <c r="D28" s="7">
        <v>2023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</row>
    <row r="29" spans="1:32">
      <c r="A29" s="16" t="s">
        <v>12</v>
      </c>
      <c r="B29" s="7">
        <f t="shared" si="0"/>
        <v>28</v>
      </c>
      <c r="C29" s="7">
        <v>2</v>
      </c>
      <c r="D29" s="7">
        <v>2023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</row>
    <row r="30" spans="1:32">
      <c r="A30" s="16" t="s">
        <v>12</v>
      </c>
      <c r="B30" s="7">
        <f t="shared" si="0"/>
        <v>29</v>
      </c>
      <c r="C30" s="7">
        <v>2</v>
      </c>
      <c r="D30" s="7">
        <v>2023</v>
      </c>
      <c r="E30" s="19">
        <v>0</v>
      </c>
      <c r="F30" s="19">
        <v>0</v>
      </c>
      <c r="G30" s="19">
        <v>0</v>
      </c>
      <c r="H30" s="19">
        <v>0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0</v>
      </c>
      <c r="AF30" s="19">
        <v>0</v>
      </c>
    </row>
    <row r="31" spans="1:32">
      <c r="A31" s="16" t="s">
        <v>12</v>
      </c>
      <c r="B31" s="7">
        <v>30</v>
      </c>
      <c r="C31" s="7">
        <v>2</v>
      </c>
      <c r="D31" s="7">
        <v>2023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0</v>
      </c>
      <c r="AF31" s="19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BH30"/>
  <sheetViews>
    <sheetView tabSelected="1" topLeftCell="AE1" zoomScale="70" zoomScaleNormal="70" workbookViewId="0">
      <pane ySplit="1" topLeftCell="AM8" activePane="bottomLeft" state="frozen"/>
      <selection pane="bottomLeft" activeCell="BD13" sqref="BD13"/>
    </sheetView>
  </sheetViews>
  <sheetFormatPr defaultRowHeight="15"/>
  <cols>
    <col min="1" max="1" width="14" customWidth="1"/>
    <col min="2" max="2" width="2" customWidth="1"/>
    <col min="3" max="3" width="11.85546875" style="7" customWidth="1"/>
    <col min="4" max="4" width="13.5703125" style="13" customWidth="1"/>
    <col min="5" max="5" width="13.7109375" customWidth="1"/>
    <col min="6" max="6" width="13.85546875" style="15" customWidth="1"/>
    <col min="7" max="8" width="14.7109375" style="7" customWidth="1"/>
    <col min="9" max="9" width="13.42578125" customWidth="1"/>
    <col min="10" max="10" width="13.42578125" style="7" customWidth="1"/>
    <col min="11" max="11" width="13.42578125" customWidth="1"/>
    <col min="12" max="12" width="13.42578125" style="7" customWidth="1"/>
    <col min="13" max="13" width="13.42578125" customWidth="1"/>
    <col min="14" max="16" width="13.42578125" style="10" customWidth="1"/>
    <col min="17" max="17" width="13.42578125" customWidth="1"/>
    <col min="18" max="18" width="13.42578125" style="10" customWidth="1"/>
    <col min="19" max="19" width="13.42578125" customWidth="1"/>
    <col min="20" max="20" width="13.42578125" style="10" customWidth="1"/>
    <col min="21" max="21" width="13.42578125" customWidth="1"/>
    <col min="22" max="22" width="13.42578125" style="10" customWidth="1"/>
    <col min="23" max="23" width="13.42578125" customWidth="1"/>
    <col min="24" max="24" width="13.42578125" style="10" customWidth="1"/>
    <col min="25" max="25" width="13.42578125" customWidth="1"/>
    <col min="26" max="26" width="13.42578125" style="10" customWidth="1"/>
    <col min="27" max="27" width="13.42578125" customWidth="1"/>
    <col min="28" max="28" width="13.42578125" style="10" customWidth="1"/>
    <col min="29" max="29" width="13.42578125" customWidth="1"/>
    <col min="30" max="30" width="20.140625" style="10" customWidth="1"/>
    <col min="31" max="31" width="13.42578125" customWidth="1"/>
    <col min="32" max="32" width="13.42578125" style="10" customWidth="1"/>
    <col min="33" max="33" width="13.42578125" customWidth="1"/>
    <col min="34" max="34" width="13.42578125" style="10" customWidth="1"/>
    <col min="35" max="35" width="19.7109375" customWidth="1"/>
    <col min="36" max="36" width="16.42578125" style="10" customWidth="1"/>
    <col min="37" max="37" width="13.42578125" customWidth="1"/>
    <col min="38" max="38" width="16" style="10" customWidth="1"/>
    <col min="39" max="39" width="13.42578125" style="7" customWidth="1"/>
    <col min="40" max="40" width="13.42578125" style="10" customWidth="1"/>
    <col min="41" max="41" width="13.42578125" style="7" customWidth="1"/>
    <col min="42" max="42" width="13.42578125" style="10" customWidth="1"/>
    <col min="43" max="43" width="2.140625" style="10" customWidth="1"/>
    <col min="44" max="44" width="12" style="7" customWidth="1"/>
    <col min="45" max="45" width="14.140625" customWidth="1"/>
    <col min="46" max="46" width="11.42578125" customWidth="1"/>
    <col min="47" max="47" width="13.85546875" customWidth="1"/>
    <col min="48" max="48" width="12.7109375" style="7" customWidth="1"/>
    <col min="49" max="49" width="12.5703125" customWidth="1"/>
    <col min="50" max="50" width="10.42578125" style="7" customWidth="1"/>
    <col min="51" max="51" width="13.7109375" customWidth="1"/>
    <col min="52" max="52" width="13.7109375" style="7" customWidth="1"/>
    <col min="53" max="53" width="13" style="7" customWidth="1"/>
    <col min="54" max="54" width="13.7109375" style="7" customWidth="1"/>
    <col min="55" max="55" width="13" style="7" customWidth="1"/>
    <col min="56" max="57" width="13" style="19" customWidth="1"/>
  </cols>
  <sheetData>
    <row r="1" spans="1:60" ht="35.25" customHeight="1">
      <c r="A1" s="18" t="s">
        <v>39</v>
      </c>
      <c r="B1" s="39"/>
      <c r="C1" s="50" t="s">
        <v>13</v>
      </c>
      <c r="D1" s="51"/>
      <c r="E1" s="43" t="s">
        <v>14</v>
      </c>
      <c r="F1" s="43"/>
      <c r="G1" s="43" t="s">
        <v>15</v>
      </c>
      <c r="H1" s="43"/>
      <c r="I1" s="43" t="s">
        <v>16</v>
      </c>
      <c r="J1" s="43"/>
      <c r="K1" s="43" t="s">
        <v>17</v>
      </c>
      <c r="L1" s="43"/>
      <c r="M1" s="43" t="s">
        <v>40</v>
      </c>
      <c r="N1" s="43"/>
      <c r="O1" s="43" t="s">
        <v>41</v>
      </c>
      <c r="P1" s="43"/>
      <c r="Q1" s="43" t="s">
        <v>20</v>
      </c>
      <c r="R1" s="43"/>
      <c r="S1" s="43" t="s">
        <v>21</v>
      </c>
      <c r="T1" s="43"/>
      <c r="U1" s="43" t="s">
        <v>42</v>
      </c>
      <c r="V1" s="43"/>
      <c r="W1" s="43" t="s">
        <v>43</v>
      </c>
      <c r="X1" s="43"/>
      <c r="Y1" s="43" t="s">
        <v>24</v>
      </c>
      <c r="Z1" s="43"/>
      <c r="AA1" s="43" t="s">
        <v>25</v>
      </c>
      <c r="AB1" s="43"/>
      <c r="AC1" s="43" t="s">
        <v>26</v>
      </c>
      <c r="AD1" s="43"/>
      <c r="AE1" s="43" t="s">
        <v>27</v>
      </c>
      <c r="AF1" s="43"/>
      <c r="AG1" s="43" t="s">
        <v>28</v>
      </c>
      <c r="AH1" s="43"/>
      <c r="AI1" s="43" t="s">
        <v>29</v>
      </c>
      <c r="AJ1" s="43"/>
      <c r="AK1" s="43" t="s">
        <v>30</v>
      </c>
      <c r="AL1" s="43"/>
      <c r="AM1" s="43" t="s">
        <v>31</v>
      </c>
      <c r="AN1" s="43"/>
      <c r="AO1" s="43" t="s">
        <v>32</v>
      </c>
      <c r="AP1" s="43"/>
      <c r="AQ1" s="41"/>
      <c r="AR1" s="48" t="s">
        <v>44</v>
      </c>
      <c r="AS1" s="49"/>
      <c r="AT1" s="47" t="s">
        <v>45</v>
      </c>
      <c r="AU1" s="47"/>
      <c r="AV1" s="46" t="s">
        <v>46</v>
      </c>
      <c r="AW1" s="47"/>
      <c r="AX1" s="46" t="s">
        <v>47</v>
      </c>
      <c r="AY1" s="47"/>
      <c r="AZ1" s="44" t="s">
        <v>48</v>
      </c>
      <c r="BA1" s="45"/>
      <c r="BB1" s="44" t="s">
        <v>38</v>
      </c>
      <c r="BC1" s="45"/>
      <c r="BD1" s="11"/>
      <c r="BE1" s="11"/>
    </row>
    <row r="2" spans="1:60" ht="44.25" customHeight="1">
      <c r="A2" s="1" t="s">
        <v>49</v>
      </c>
      <c r="B2" s="40"/>
      <c r="C2" s="2" t="s">
        <v>50</v>
      </c>
      <c r="D2" s="12" t="s">
        <v>51</v>
      </c>
      <c r="E2" s="3" t="s">
        <v>52</v>
      </c>
      <c r="F2" s="14" t="s">
        <v>51</v>
      </c>
      <c r="G2" s="3" t="s">
        <v>52</v>
      </c>
      <c r="H2" s="3" t="s">
        <v>51</v>
      </c>
      <c r="I2" s="3" t="s">
        <v>52</v>
      </c>
      <c r="J2" s="3" t="s">
        <v>51</v>
      </c>
      <c r="K2" s="3" t="s">
        <v>50</v>
      </c>
      <c r="L2" s="3" t="s">
        <v>51</v>
      </c>
      <c r="M2" s="3" t="s">
        <v>52</v>
      </c>
      <c r="N2" s="3" t="s">
        <v>51</v>
      </c>
      <c r="O2" s="3" t="s">
        <v>52</v>
      </c>
      <c r="P2" s="3" t="s">
        <v>51</v>
      </c>
      <c r="Q2" s="3" t="s">
        <v>52</v>
      </c>
      <c r="R2" s="3" t="s">
        <v>51</v>
      </c>
      <c r="S2" s="3" t="s">
        <v>52</v>
      </c>
      <c r="T2" s="3" t="s">
        <v>51</v>
      </c>
      <c r="U2" s="3" t="s">
        <v>52</v>
      </c>
      <c r="V2" s="3" t="s">
        <v>51</v>
      </c>
      <c r="W2" s="3" t="s">
        <v>52</v>
      </c>
      <c r="X2" s="3" t="s">
        <v>51</v>
      </c>
      <c r="Y2" s="3" t="s">
        <v>52</v>
      </c>
      <c r="Z2" s="3" t="s">
        <v>51</v>
      </c>
      <c r="AA2" s="3" t="s">
        <v>52</v>
      </c>
      <c r="AB2" s="3" t="s">
        <v>51</v>
      </c>
      <c r="AC2" s="3" t="s">
        <v>52</v>
      </c>
      <c r="AD2" s="3" t="s">
        <v>51</v>
      </c>
      <c r="AE2" s="3" t="s">
        <v>52</v>
      </c>
      <c r="AF2" s="3" t="s">
        <v>51</v>
      </c>
      <c r="AG2" s="3" t="s">
        <v>52</v>
      </c>
      <c r="AH2" s="3" t="s">
        <v>51</v>
      </c>
      <c r="AI2" s="3" t="s">
        <v>52</v>
      </c>
      <c r="AJ2" s="3" t="s">
        <v>51</v>
      </c>
      <c r="AK2" s="3" t="s">
        <v>52</v>
      </c>
      <c r="AL2" s="3" t="s">
        <v>51</v>
      </c>
      <c r="AM2" s="3" t="s">
        <v>52</v>
      </c>
      <c r="AN2" s="3" t="s">
        <v>51</v>
      </c>
      <c r="AO2" s="3" t="s">
        <v>52</v>
      </c>
      <c r="AP2" s="3" t="s">
        <v>51</v>
      </c>
      <c r="AQ2" s="41"/>
      <c r="AR2" s="3" t="s">
        <v>53</v>
      </c>
      <c r="AS2" s="4" t="s">
        <v>54</v>
      </c>
      <c r="AT2" s="3" t="s">
        <v>53</v>
      </c>
      <c r="AU2" s="4" t="s">
        <v>55</v>
      </c>
      <c r="AV2" s="3" t="s">
        <v>53</v>
      </c>
      <c r="AW2" s="4" t="s">
        <v>54</v>
      </c>
      <c r="AX2" s="3" t="s">
        <v>53</v>
      </c>
      <c r="AY2" s="4" t="s">
        <v>54</v>
      </c>
      <c r="AZ2" s="6" t="s">
        <v>56</v>
      </c>
      <c r="BA2" s="5" t="s">
        <v>57</v>
      </c>
      <c r="BB2" s="6" t="s">
        <v>56</v>
      </c>
      <c r="BC2" s="5" t="s">
        <v>57</v>
      </c>
      <c r="BD2" s="20" t="s">
        <v>58</v>
      </c>
      <c r="BE2" s="20" t="s">
        <v>59</v>
      </c>
    </row>
    <row r="3" spans="1:60" ht="42" customHeight="1">
      <c r="A3" s="8">
        <v>44958</v>
      </c>
      <c r="B3" s="40"/>
      <c r="C3" s="25">
        <v>32283689</v>
      </c>
      <c r="D3" s="9">
        <v>7285</v>
      </c>
      <c r="E3" s="25">
        <v>32631492</v>
      </c>
      <c r="F3" s="9">
        <v>8812</v>
      </c>
      <c r="G3" s="25">
        <v>13865290</v>
      </c>
      <c r="H3" s="9">
        <v>3773</v>
      </c>
      <c r="I3" s="25">
        <v>1945936</v>
      </c>
      <c r="J3" s="9">
        <v>589</v>
      </c>
      <c r="K3" s="25">
        <v>3945344</v>
      </c>
      <c r="L3" s="9">
        <v>445</v>
      </c>
      <c r="M3" s="25">
        <v>5184048</v>
      </c>
      <c r="N3" s="9">
        <v>1481</v>
      </c>
      <c r="O3" s="30">
        <v>2271833</v>
      </c>
      <c r="P3" s="9">
        <v>0</v>
      </c>
      <c r="Q3" s="25">
        <v>1583324</v>
      </c>
      <c r="R3" s="9">
        <v>353</v>
      </c>
      <c r="S3" s="25">
        <v>573256</v>
      </c>
      <c r="T3" s="9">
        <v>16</v>
      </c>
      <c r="U3" s="25">
        <v>4934003</v>
      </c>
      <c r="V3" s="9">
        <v>818</v>
      </c>
      <c r="W3" s="25">
        <v>1126126</v>
      </c>
      <c r="X3" s="9">
        <v>274</v>
      </c>
      <c r="Y3" s="25">
        <v>5122408</v>
      </c>
      <c r="Z3" s="9">
        <v>1423</v>
      </c>
      <c r="AA3" s="25">
        <v>2271939</v>
      </c>
      <c r="AB3" s="9">
        <v>3</v>
      </c>
      <c r="AC3" s="25">
        <v>6420672</v>
      </c>
      <c r="AD3" s="9">
        <v>1186</v>
      </c>
      <c r="AE3" s="25">
        <v>9248679</v>
      </c>
      <c r="AF3" s="9">
        <v>1823</v>
      </c>
      <c r="AG3" s="25">
        <v>1537996</v>
      </c>
      <c r="AH3" s="9">
        <v>290</v>
      </c>
      <c r="AI3" s="25">
        <v>288051</v>
      </c>
      <c r="AJ3" s="9">
        <v>0</v>
      </c>
      <c r="AK3" s="25">
        <v>1209119</v>
      </c>
      <c r="AL3" s="9">
        <v>224</v>
      </c>
      <c r="AM3" s="25">
        <v>2301258</v>
      </c>
      <c r="AN3" s="9">
        <v>585</v>
      </c>
      <c r="AO3" s="25">
        <v>2228267</v>
      </c>
      <c r="AP3" s="9">
        <v>642</v>
      </c>
      <c r="AQ3" s="41"/>
      <c r="AR3" s="17">
        <v>30633.200000000001</v>
      </c>
      <c r="AS3" s="9">
        <v>124.8</v>
      </c>
      <c r="AT3" s="17">
        <v>28539</v>
      </c>
      <c r="AU3" s="9">
        <v>4.5</v>
      </c>
      <c r="AV3" s="25">
        <v>98257</v>
      </c>
      <c r="AW3" s="9">
        <v>15</v>
      </c>
      <c r="AX3" s="25">
        <v>1588</v>
      </c>
      <c r="AY3" s="37">
        <v>2</v>
      </c>
      <c r="AZ3" s="25">
        <v>8456229</v>
      </c>
      <c r="BA3" s="9">
        <v>2340</v>
      </c>
      <c r="BB3" s="25">
        <v>2020316</v>
      </c>
      <c r="BC3" s="9">
        <v>1177</v>
      </c>
      <c r="BD3" s="25">
        <v>126</v>
      </c>
      <c r="BE3" s="25">
        <v>174</v>
      </c>
      <c r="BH3">
        <f>193*(BF3/100)</f>
        <v>0</v>
      </c>
    </row>
    <row r="4" spans="1:60" ht="45.75" customHeight="1">
      <c r="A4" s="8">
        <v>44959</v>
      </c>
      <c r="B4" s="40">
        <v>2023</v>
      </c>
      <c r="C4" s="25">
        <v>32291711</v>
      </c>
      <c r="D4" s="9">
        <f>IF((C4-C3&lt;0), "0",C4-C3)</f>
        <v>8022</v>
      </c>
      <c r="E4" s="25">
        <v>32636623</v>
      </c>
      <c r="F4" s="36">
        <f>IF((E4-E3&lt;0), "0",E4-E3)</f>
        <v>5131</v>
      </c>
      <c r="G4" s="25">
        <v>13869554</v>
      </c>
      <c r="H4" s="26">
        <f>IF((G4-G3&lt;0), "0",G4-G3)</f>
        <v>4264</v>
      </c>
      <c r="I4" s="25">
        <v>1946465</v>
      </c>
      <c r="J4" s="9">
        <f>IF((I4-I3&lt;0), "",I4-I3)</f>
        <v>529</v>
      </c>
      <c r="K4" s="25">
        <v>3945853</v>
      </c>
      <c r="L4" s="9">
        <f>IF((K4-K3&lt;0), "",K4-K3)</f>
        <v>509</v>
      </c>
      <c r="M4" s="25">
        <v>5185793</v>
      </c>
      <c r="N4" s="9">
        <f>IF((M4-M3&lt;0), "",M4-M3)</f>
        <v>1745</v>
      </c>
      <c r="O4" s="30">
        <v>2271833</v>
      </c>
      <c r="P4" s="9">
        <f>IF((O4-O3&lt;0), "",O4-O3)</f>
        <v>0</v>
      </c>
      <c r="Q4" s="25">
        <v>1583695</v>
      </c>
      <c r="R4" s="9">
        <f>IF((Q4-Q3&lt;0), "",Q4-Q3)</f>
        <v>371</v>
      </c>
      <c r="S4" s="25">
        <v>573273</v>
      </c>
      <c r="T4" s="9">
        <f>IF((S4-S3&lt;0), "",S4-S3)</f>
        <v>17</v>
      </c>
      <c r="U4" s="25">
        <v>4935008</v>
      </c>
      <c r="V4" s="9">
        <f>IF((U4-U3&lt;0), "",U4-U3)</f>
        <v>1005</v>
      </c>
      <c r="W4" s="25">
        <v>1126458</v>
      </c>
      <c r="X4" s="9">
        <f>IF((W4-W3&lt;0), "",W4-W3)</f>
        <v>332</v>
      </c>
      <c r="Y4" s="25">
        <v>5123921</v>
      </c>
      <c r="Z4" s="9">
        <f>IF((Y4-Y3&lt;0), "",Y4-Y3)</f>
        <v>1513</v>
      </c>
      <c r="AA4" s="25">
        <v>2271941</v>
      </c>
      <c r="AB4" s="9">
        <f>IF((AA4-AA3&lt;0), "",AA4-AA3)</f>
        <v>2</v>
      </c>
      <c r="AC4" s="25">
        <v>6422008</v>
      </c>
      <c r="AD4" s="9">
        <f>IF((AC4-AC3&lt;0), "",AC4-AC3)</f>
        <v>1336</v>
      </c>
      <c r="AE4" s="25">
        <v>9250734</v>
      </c>
      <c r="AF4" s="9">
        <f>IF((AE4-AE3&lt;0), "",AE4-AE3)</f>
        <v>2055</v>
      </c>
      <c r="AG4" s="25">
        <v>1538321</v>
      </c>
      <c r="AH4" s="9">
        <f>IF((AG4-AG3&lt;0), "",AG4-AG3)</f>
        <v>325</v>
      </c>
      <c r="AI4" s="25">
        <v>288076</v>
      </c>
      <c r="AJ4" s="9">
        <f>IF((AI4-AI3&lt;0), "",AI4-AI3)</f>
        <v>25</v>
      </c>
      <c r="AK4" s="25">
        <v>1209371</v>
      </c>
      <c r="AL4" s="9">
        <f>IF((AK4-AK3&lt;0), "",AK4-AK3)</f>
        <v>252</v>
      </c>
      <c r="AM4" s="25">
        <v>2301877</v>
      </c>
      <c r="AN4" s="9">
        <f>IF((AM4-AM3&lt;0), "",AM4-AM3)</f>
        <v>619</v>
      </c>
      <c r="AO4" s="25">
        <v>2228958</v>
      </c>
      <c r="AP4" s="9">
        <f>IF((AO4-AO3&lt;0), "",AO4-AO3)</f>
        <v>691</v>
      </c>
      <c r="AQ4" s="41"/>
      <c r="AR4" s="17" t="s">
        <v>60</v>
      </c>
      <c r="AS4" s="9">
        <v>0</v>
      </c>
      <c r="AT4" s="17" t="s">
        <v>60</v>
      </c>
      <c r="AU4" s="9">
        <v>0</v>
      </c>
      <c r="AV4" s="25">
        <v>98276</v>
      </c>
      <c r="AW4" s="9">
        <f>IF((AV4-AV3&lt;0), "",AV4-AV3)</f>
        <v>19</v>
      </c>
      <c r="AX4" s="25">
        <v>1590</v>
      </c>
      <c r="AY4" s="9">
        <f>IF((AX4-AX3&lt;0), "",AX4-AX3)</f>
        <v>2</v>
      </c>
      <c r="AZ4" s="25">
        <v>8458801</v>
      </c>
      <c r="BA4" s="9">
        <f>IF((AZ4-AZ3&lt;0), "",AZ4-AZ3)</f>
        <v>2572</v>
      </c>
      <c r="BB4" s="25">
        <v>2021639</v>
      </c>
      <c r="BC4" s="9">
        <f>IF((BB4-BB3&lt;0), "",BB4-BB3)</f>
        <v>1323</v>
      </c>
      <c r="BD4" s="25">
        <v>139</v>
      </c>
      <c r="BE4" s="25">
        <v>144</v>
      </c>
      <c r="BH4">
        <f t="shared" ref="BH4:BH30" si="0">193*(BF4/100)</f>
        <v>0</v>
      </c>
    </row>
    <row r="5" spans="1:60" ht="45" customHeight="1">
      <c r="A5" s="8">
        <v>44960</v>
      </c>
      <c r="B5" s="40"/>
      <c r="C5" s="25">
        <v>32298953</v>
      </c>
      <c r="D5" s="9">
        <f>IF((C5-C4&lt;0), "0",C5-C4)</f>
        <v>7242</v>
      </c>
      <c r="E5" s="25">
        <v>32641232</v>
      </c>
      <c r="F5" s="9">
        <f>IF((E5-E4&lt;0), "0",E5-E4)</f>
        <v>4609</v>
      </c>
      <c r="G5" s="25">
        <v>13873388</v>
      </c>
      <c r="H5" s="9">
        <f t="shared" ref="H5:H30" si="1">IF((G5-G4&lt;0), "0",G5-G4)</f>
        <v>3834</v>
      </c>
      <c r="I5" s="25">
        <v>1947025</v>
      </c>
      <c r="J5" s="9">
        <f>IF((I5-I4&lt;0), "0",I5-I4)</f>
        <v>560</v>
      </c>
      <c r="K5" s="25">
        <v>3946321</v>
      </c>
      <c r="L5" s="9">
        <f>IF((K5-K4&lt;0), "0",K5-K4)</f>
        <v>468</v>
      </c>
      <c r="M5" s="25">
        <v>5187255</v>
      </c>
      <c r="N5" s="9">
        <f>IF((M5-M4&lt;0), "0",M5-M4)</f>
        <v>1462</v>
      </c>
      <c r="O5" s="30">
        <v>2271833</v>
      </c>
      <c r="P5" s="9">
        <f>IF((O5-O4&lt;0), "0",O5-O4)</f>
        <v>0</v>
      </c>
      <c r="Q5" s="25">
        <v>1584025</v>
      </c>
      <c r="R5" s="9">
        <f>IF((Q5-Q4&lt;0), "0",Q5-Q4)</f>
        <v>330</v>
      </c>
      <c r="S5" s="25">
        <v>573289</v>
      </c>
      <c r="T5" s="9">
        <f>IF((S5-S4&lt;0), "0",S5-S4)</f>
        <v>16</v>
      </c>
      <c r="U5" s="25">
        <v>4935841</v>
      </c>
      <c r="V5" s="9">
        <f t="shared" ref="V5:AP15" si="2">IF((U5-U4&lt;0), "",U5-U4)</f>
        <v>833</v>
      </c>
      <c r="W5" s="25">
        <v>1126684</v>
      </c>
      <c r="X5" s="9">
        <f t="shared" si="2"/>
        <v>226</v>
      </c>
      <c r="Y5" s="25">
        <v>5125451</v>
      </c>
      <c r="Z5" s="9">
        <f t="shared" si="2"/>
        <v>1530</v>
      </c>
      <c r="AA5" s="25">
        <v>2271944</v>
      </c>
      <c r="AB5" s="9">
        <f>IF((AA5-AA4&lt;0), "",AA5-AA4)</f>
        <v>3</v>
      </c>
      <c r="AC5" s="25">
        <v>6423212</v>
      </c>
      <c r="AD5" s="9">
        <f t="shared" si="2"/>
        <v>1204</v>
      </c>
      <c r="AE5" s="25">
        <v>9252586</v>
      </c>
      <c r="AF5" s="9">
        <f t="shared" si="2"/>
        <v>1852</v>
      </c>
      <c r="AG5" s="25">
        <v>1538613</v>
      </c>
      <c r="AH5" s="9">
        <f t="shared" si="2"/>
        <v>292</v>
      </c>
      <c r="AI5" s="25">
        <v>288120</v>
      </c>
      <c r="AJ5" s="9">
        <f t="shared" si="2"/>
        <v>44</v>
      </c>
      <c r="AK5" s="25">
        <v>1209614</v>
      </c>
      <c r="AL5" s="9">
        <f t="shared" si="2"/>
        <v>243</v>
      </c>
      <c r="AM5" s="25">
        <v>2302426</v>
      </c>
      <c r="AN5" s="9">
        <f t="shared" si="2"/>
        <v>549</v>
      </c>
      <c r="AO5" s="25">
        <v>2229526</v>
      </c>
      <c r="AP5" s="9">
        <f t="shared" si="2"/>
        <v>568</v>
      </c>
      <c r="AQ5" s="42"/>
      <c r="AR5" s="17" t="s">
        <v>60</v>
      </c>
      <c r="AS5" s="9">
        <v>0</v>
      </c>
      <c r="AT5" s="17" t="s">
        <v>60</v>
      </c>
      <c r="AU5" s="9">
        <v>0</v>
      </c>
      <c r="AV5" s="25">
        <v>98292</v>
      </c>
      <c r="AW5" s="9">
        <f t="shared" ref="AW5:AW30" si="3">IF((AV5-AV4&lt;0), "",AV5-AV4)</f>
        <v>16</v>
      </c>
      <c r="AX5" s="25">
        <v>1591</v>
      </c>
      <c r="AY5" s="9">
        <f t="shared" ref="AY5:AY30" si="4">IF((AX5-AX4&lt;0), "",AX5-AX4)</f>
        <v>1</v>
      </c>
      <c r="AZ5" s="25">
        <v>8461059</v>
      </c>
      <c r="BA5" s="9">
        <f t="shared" ref="BA5:BA28" si="5">IF((AZ5-AZ4&lt;0), "",AZ5-AZ4)</f>
        <v>2258</v>
      </c>
      <c r="BB5" s="25">
        <v>2022830</v>
      </c>
      <c r="BC5" s="9">
        <f>IF((BB5-BB4&lt;0), "",BB5-BB4)</f>
        <v>1191</v>
      </c>
      <c r="BD5" s="25">
        <v>100</v>
      </c>
      <c r="BE5" s="25">
        <v>145</v>
      </c>
      <c r="BH5">
        <f t="shared" si="0"/>
        <v>0</v>
      </c>
    </row>
    <row r="6" spans="1:60" ht="42.75" customHeight="1">
      <c r="A6" s="8">
        <v>44961</v>
      </c>
      <c r="B6" s="40"/>
      <c r="C6" s="25">
        <v>32305972</v>
      </c>
      <c r="D6" s="9">
        <f t="shared" ref="D6:D30" si="6">IF((C6-C5&lt;0), "0",C6-C5)</f>
        <v>7019</v>
      </c>
      <c r="E6" s="25">
        <v>32645846</v>
      </c>
      <c r="F6" s="9">
        <f t="shared" ref="F6:F30" si="7">IF((E6-E5&lt;0), "0",E6-E5)</f>
        <v>4614</v>
      </c>
      <c r="G6" s="25">
        <v>13877184</v>
      </c>
      <c r="H6" s="9">
        <f t="shared" si="1"/>
        <v>3796</v>
      </c>
      <c r="I6" s="25">
        <v>1947579</v>
      </c>
      <c r="J6" s="9">
        <f t="shared" ref="J6:L30" si="8">IF((I6-I5&lt;0), "0",I6-I5)</f>
        <v>554</v>
      </c>
      <c r="K6" s="25">
        <v>3946802</v>
      </c>
      <c r="L6" s="9">
        <f t="shared" si="8"/>
        <v>481</v>
      </c>
      <c r="M6" s="25">
        <v>5188526</v>
      </c>
      <c r="N6" s="9">
        <f t="shared" ref="N6" si="9">IF((M6-M5&lt;0), "0",M6-M5)</f>
        <v>1271</v>
      </c>
      <c r="O6" s="30">
        <v>2271833</v>
      </c>
      <c r="P6" s="9">
        <f t="shared" ref="P6" si="10">IF((O6-O5&lt;0), "0",O6-O5)</f>
        <v>0</v>
      </c>
      <c r="Q6" s="25">
        <v>1584354</v>
      </c>
      <c r="R6" s="9">
        <f t="shared" ref="R6" si="11">IF((Q6-Q5&lt;0), "0",Q6-Q5)</f>
        <v>329</v>
      </c>
      <c r="S6" s="25">
        <v>573307</v>
      </c>
      <c r="T6" s="9">
        <f t="shared" ref="T6" si="12">IF((S6-S5&lt;0), "0",S6-S5)</f>
        <v>18</v>
      </c>
      <c r="U6" s="25">
        <v>4936615</v>
      </c>
      <c r="V6" s="9">
        <f t="shared" si="2"/>
        <v>774</v>
      </c>
      <c r="W6" s="25">
        <v>1126871</v>
      </c>
      <c r="X6" s="9">
        <f t="shared" si="2"/>
        <v>187</v>
      </c>
      <c r="Y6" s="25">
        <v>5127038</v>
      </c>
      <c r="Z6" s="9">
        <f t="shared" si="2"/>
        <v>1587</v>
      </c>
      <c r="AA6" s="25">
        <v>2271946</v>
      </c>
      <c r="AB6" s="9">
        <f t="shared" si="2"/>
        <v>2</v>
      </c>
      <c r="AC6" s="25">
        <v>6424411</v>
      </c>
      <c r="AD6" s="9">
        <f t="shared" si="2"/>
        <v>1199</v>
      </c>
      <c r="AE6" s="25">
        <v>9254425</v>
      </c>
      <c r="AF6" s="9">
        <f t="shared" si="2"/>
        <v>1839</v>
      </c>
      <c r="AG6" s="25">
        <v>1538904</v>
      </c>
      <c r="AH6" s="9">
        <f t="shared" si="2"/>
        <v>291</v>
      </c>
      <c r="AI6" s="25">
        <v>288164</v>
      </c>
      <c r="AJ6" s="9">
        <f t="shared" si="2"/>
        <v>44</v>
      </c>
      <c r="AK6" s="25">
        <v>1209843</v>
      </c>
      <c r="AL6" s="9">
        <f t="shared" si="2"/>
        <v>229</v>
      </c>
      <c r="AM6" s="25">
        <v>2302943</v>
      </c>
      <c r="AN6" s="9">
        <f t="shared" si="2"/>
        <v>517</v>
      </c>
      <c r="AO6" s="25">
        <v>2230050</v>
      </c>
      <c r="AP6" s="9">
        <f t="shared" si="2"/>
        <v>524</v>
      </c>
      <c r="AQ6" s="41"/>
      <c r="AR6" s="17" t="s">
        <v>60</v>
      </c>
      <c r="AS6" s="9">
        <v>0</v>
      </c>
      <c r="AT6" s="17" t="s">
        <v>60</v>
      </c>
      <c r="AU6" s="9">
        <v>0</v>
      </c>
      <c r="AV6" s="25">
        <v>98307</v>
      </c>
      <c r="AW6" s="9">
        <f t="shared" si="3"/>
        <v>15</v>
      </c>
      <c r="AX6" s="25">
        <v>1593</v>
      </c>
      <c r="AY6" s="9">
        <f t="shared" si="4"/>
        <v>2</v>
      </c>
      <c r="AZ6" s="25">
        <v>8463064</v>
      </c>
      <c r="BA6" s="9">
        <f t="shared" si="5"/>
        <v>2005</v>
      </c>
      <c r="BB6" s="25">
        <v>2024022</v>
      </c>
      <c r="BC6" s="9">
        <f t="shared" ref="BC6:BC29" si="13">IF((BB6-BB5&lt;0), "",BB6-BB5)</f>
        <v>1192</v>
      </c>
      <c r="BD6" s="25">
        <v>102</v>
      </c>
      <c r="BE6" s="25">
        <v>163</v>
      </c>
      <c r="BH6">
        <f t="shared" si="0"/>
        <v>0</v>
      </c>
    </row>
    <row r="7" spans="1:60" ht="45" customHeight="1">
      <c r="A7" s="8">
        <v>44962</v>
      </c>
      <c r="B7" s="40"/>
      <c r="C7" s="25">
        <v>32312808</v>
      </c>
      <c r="D7" s="9">
        <f t="shared" si="6"/>
        <v>6836</v>
      </c>
      <c r="E7" s="25">
        <v>32650554</v>
      </c>
      <c r="F7" s="9">
        <f t="shared" si="7"/>
        <v>4708</v>
      </c>
      <c r="G7" s="25">
        <v>13881034</v>
      </c>
      <c r="H7" s="9">
        <f t="shared" si="1"/>
        <v>3850</v>
      </c>
      <c r="I7" s="25">
        <v>1948167</v>
      </c>
      <c r="J7" s="9">
        <f t="shared" si="8"/>
        <v>588</v>
      </c>
      <c r="K7" s="25">
        <v>3947233</v>
      </c>
      <c r="L7" s="9">
        <f t="shared" si="8"/>
        <v>431</v>
      </c>
      <c r="M7" s="25">
        <v>5189772</v>
      </c>
      <c r="N7" s="9">
        <f t="shared" ref="N7" si="14">IF((M7-M6&lt;0), "0",M7-M6)</f>
        <v>1246</v>
      </c>
      <c r="O7" s="30">
        <v>2271833</v>
      </c>
      <c r="P7" s="9">
        <f t="shared" ref="P7" si="15">IF((O7-O6&lt;0), "0",O7-O6)</f>
        <v>0</v>
      </c>
      <c r="Q7" s="25">
        <v>1584693</v>
      </c>
      <c r="R7" s="9">
        <f t="shared" ref="R7" si="16">IF((Q7-Q6&lt;0), "0",Q7-Q6)</f>
        <v>339</v>
      </c>
      <c r="S7" s="25">
        <v>573323</v>
      </c>
      <c r="T7" s="9">
        <f t="shared" ref="T7" si="17">IF((S7-S6&lt;0), "0",S7-S6)</f>
        <v>16</v>
      </c>
      <c r="U7" s="25">
        <v>4937351</v>
      </c>
      <c r="V7" s="9">
        <f t="shared" si="2"/>
        <v>736</v>
      </c>
      <c r="W7" s="25">
        <v>1127059</v>
      </c>
      <c r="X7" s="9">
        <f t="shared" si="2"/>
        <v>188</v>
      </c>
      <c r="Y7" s="25">
        <v>5128528</v>
      </c>
      <c r="Z7" s="9">
        <f t="shared" si="2"/>
        <v>1490</v>
      </c>
      <c r="AA7" s="25">
        <v>2271949</v>
      </c>
      <c r="AB7" s="9">
        <f t="shared" si="2"/>
        <v>3</v>
      </c>
      <c r="AC7" s="25">
        <v>6425636</v>
      </c>
      <c r="AD7" s="9">
        <f t="shared" si="2"/>
        <v>1225</v>
      </c>
      <c r="AE7" s="25">
        <v>9256296</v>
      </c>
      <c r="AF7" s="9">
        <f t="shared" si="2"/>
        <v>1871</v>
      </c>
      <c r="AG7" s="25">
        <v>1539202</v>
      </c>
      <c r="AH7" s="9">
        <f t="shared" si="2"/>
        <v>298</v>
      </c>
      <c r="AI7" s="25">
        <v>288208</v>
      </c>
      <c r="AJ7" s="9">
        <f t="shared" si="2"/>
        <v>44</v>
      </c>
      <c r="AK7" s="25">
        <v>1210090</v>
      </c>
      <c r="AL7" s="9">
        <f t="shared" si="2"/>
        <v>247</v>
      </c>
      <c r="AM7" s="25">
        <v>2303483</v>
      </c>
      <c r="AN7" s="9">
        <f t="shared" si="2"/>
        <v>540</v>
      </c>
      <c r="AO7" s="25">
        <v>2230667</v>
      </c>
      <c r="AP7" s="9">
        <f t="shared" si="2"/>
        <v>617</v>
      </c>
      <c r="AQ7" s="41"/>
      <c r="AR7" s="17" t="s">
        <v>60</v>
      </c>
      <c r="AS7" s="9">
        <v>0</v>
      </c>
      <c r="AT7" s="17" t="s">
        <v>60</v>
      </c>
      <c r="AU7" s="9">
        <v>0</v>
      </c>
      <c r="AV7" s="25">
        <v>98316</v>
      </c>
      <c r="AW7" s="9">
        <f t="shared" si="3"/>
        <v>9</v>
      </c>
      <c r="AX7" s="25">
        <v>1594</v>
      </c>
      <c r="AY7" s="9">
        <f t="shared" si="4"/>
        <v>1</v>
      </c>
      <c r="AZ7" s="25">
        <v>8465249</v>
      </c>
      <c r="BA7" s="9">
        <f t="shared" si="5"/>
        <v>2185</v>
      </c>
      <c r="BB7" s="25">
        <v>2025225</v>
      </c>
      <c r="BC7" s="9">
        <f t="shared" si="13"/>
        <v>1203</v>
      </c>
      <c r="BD7" s="25">
        <v>114</v>
      </c>
      <c r="BE7" s="25">
        <v>169</v>
      </c>
      <c r="BH7">
        <f t="shared" si="0"/>
        <v>0</v>
      </c>
    </row>
    <row r="8" spans="1:60" ht="45" customHeight="1">
      <c r="A8" s="8">
        <v>44963</v>
      </c>
      <c r="B8" s="40"/>
      <c r="C8" s="25">
        <v>32320641</v>
      </c>
      <c r="D8" s="9">
        <f t="shared" si="6"/>
        <v>7833</v>
      </c>
      <c r="E8" s="25">
        <v>32655526</v>
      </c>
      <c r="F8" s="9">
        <f t="shared" si="7"/>
        <v>4972</v>
      </c>
      <c r="G8" s="25">
        <v>13885217</v>
      </c>
      <c r="H8" s="9">
        <f t="shared" si="1"/>
        <v>4183</v>
      </c>
      <c r="I8" s="25">
        <v>1948742</v>
      </c>
      <c r="J8" s="9">
        <f t="shared" si="8"/>
        <v>575</v>
      </c>
      <c r="K8" s="25">
        <v>3947681</v>
      </c>
      <c r="L8" s="9">
        <f t="shared" si="8"/>
        <v>448</v>
      </c>
      <c r="M8" s="25">
        <v>5191121</v>
      </c>
      <c r="N8" s="9">
        <f t="shared" ref="N8" si="18">IF((M8-M7&lt;0), "0",M8-M7)</f>
        <v>1349</v>
      </c>
      <c r="O8" s="30">
        <v>2271833</v>
      </c>
      <c r="P8" s="9">
        <f t="shared" ref="P8" si="19">IF((O8-O7&lt;0), "0",O8-O7)</f>
        <v>0</v>
      </c>
      <c r="Q8" s="25">
        <v>1585061</v>
      </c>
      <c r="R8" s="9">
        <f t="shared" ref="R8" si="20">IF((Q8-Q7&lt;0), "0",Q8-Q7)</f>
        <v>368</v>
      </c>
      <c r="S8" s="25">
        <v>573340</v>
      </c>
      <c r="T8" s="9">
        <f t="shared" ref="T8" si="21">IF((S8-S7&lt;0), "0",S8-S7)</f>
        <v>17</v>
      </c>
      <c r="U8" s="25">
        <v>4938221</v>
      </c>
      <c r="V8" s="9">
        <f t="shared" si="2"/>
        <v>870</v>
      </c>
      <c r="W8" s="25">
        <v>1127267</v>
      </c>
      <c r="X8" s="9">
        <f t="shared" si="2"/>
        <v>208</v>
      </c>
      <c r="Y8" s="25">
        <v>5130010</v>
      </c>
      <c r="Z8" s="9">
        <f t="shared" si="2"/>
        <v>1482</v>
      </c>
      <c r="AA8" s="25">
        <v>2271951</v>
      </c>
      <c r="AB8" s="9">
        <f t="shared" si="2"/>
        <v>2</v>
      </c>
      <c r="AC8" s="25">
        <v>6426969</v>
      </c>
      <c r="AD8" s="9">
        <f t="shared" si="2"/>
        <v>1333</v>
      </c>
      <c r="AE8" s="25">
        <v>9258329</v>
      </c>
      <c r="AF8" s="9">
        <f t="shared" si="2"/>
        <v>2033</v>
      </c>
      <c r="AG8" s="25">
        <v>1539529</v>
      </c>
      <c r="AH8" s="9">
        <f t="shared" si="2"/>
        <v>327</v>
      </c>
      <c r="AI8" s="25">
        <v>288256</v>
      </c>
      <c r="AJ8" s="9">
        <f t="shared" si="2"/>
        <v>48</v>
      </c>
      <c r="AK8" s="25">
        <v>1210334</v>
      </c>
      <c r="AL8" s="9">
        <f t="shared" si="2"/>
        <v>244</v>
      </c>
      <c r="AM8" s="25">
        <v>2304083</v>
      </c>
      <c r="AN8" s="9">
        <f t="shared" si="2"/>
        <v>600</v>
      </c>
      <c r="AO8" s="25">
        <v>2231330</v>
      </c>
      <c r="AP8" s="9">
        <f t="shared" si="2"/>
        <v>663</v>
      </c>
      <c r="AQ8" s="41"/>
      <c r="AR8" s="17" t="s">
        <v>60</v>
      </c>
      <c r="AS8" s="9">
        <v>0</v>
      </c>
      <c r="AT8" s="17" t="s">
        <v>60</v>
      </c>
      <c r="AU8" s="9">
        <v>0</v>
      </c>
      <c r="AV8" s="25">
        <v>98339</v>
      </c>
      <c r="AW8" s="9">
        <f t="shared" si="3"/>
        <v>23</v>
      </c>
      <c r="AX8" s="25">
        <v>1597</v>
      </c>
      <c r="AY8" s="9">
        <f t="shared" si="4"/>
        <v>3</v>
      </c>
      <c r="AZ8" s="25">
        <v>8467738</v>
      </c>
      <c r="BA8" s="9">
        <f t="shared" si="5"/>
        <v>2489</v>
      </c>
      <c r="BB8" s="25">
        <v>2026110</v>
      </c>
      <c r="BC8" s="9">
        <f t="shared" si="13"/>
        <v>885</v>
      </c>
      <c r="BD8" s="25">
        <v>141</v>
      </c>
      <c r="BE8" s="25">
        <v>197</v>
      </c>
      <c r="BH8">
        <f t="shared" si="0"/>
        <v>0</v>
      </c>
    </row>
    <row r="9" spans="1:60" ht="45" customHeight="1">
      <c r="A9" s="8">
        <v>44964</v>
      </c>
      <c r="B9" s="40"/>
      <c r="C9" s="25">
        <v>32326791</v>
      </c>
      <c r="D9" s="9">
        <f t="shared" si="6"/>
        <v>6150</v>
      </c>
      <c r="E9" s="25">
        <v>32659958</v>
      </c>
      <c r="F9" s="9">
        <f t="shared" si="7"/>
        <v>4432</v>
      </c>
      <c r="G9" s="25">
        <v>13888736</v>
      </c>
      <c r="H9" s="9">
        <f t="shared" si="1"/>
        <v>3519</v>
      </c>
      <c r="I9" s="25">
        <v>1949285</v>
      </c>
      <c r="J9" s="9">
        <f t="shared" si="8"/>
        <v>543</v>
      </c>
      <c r="K9" s="25">
        <v>3948086</v>
      </c>
      <c r="L9" s="9">
        <f t="shared" si="8"/>
        <v>405</v>
      </c>
      <c r="M9" s="25">
        <v>5192515</v>
      </c>
      <c r="N9" s="9">
        <f t="shared" ref="N9" si="22">IF((M9-M8&lt;0), "0",M9-M8)</f>
        <v>1394</v>
      </c>
      <c r="O9" s="30">
        <v>2271833</v>
      </c>
      <c r="P9" s="9">
        <f t="shared" ref="P9" si="23">IF((O9-O8&lt;0), "0",O9-O8)</f>
        <v>0</v>
      </c>
      <c r="Q9" s="25">
        <v>1585380</v>
      </c>
      <c r="R9" s="9">
        <f t="shared" ref="R9" si="24">IF((Q9-Q8&lt;0), "0",Q9-Q8)</f>
        <v>319</v>
      </c>
      <c r="S9" s="25">
        <v>573355</v>
      </c>
      <c r="T9" s="9">
        <f t="shared" ref="T9" si="25">IF((S9-S8&lt;0), "0",S9-S8)</f>
        <v>15</v>
      </c>
      <c r="U9" s="25">
        <v>4938987</v>
      </c>
      <c r="V9" s="9">
        <f t="shared" si="2"/>
        <v>766</v>
      </c>
      <c r="W9" s="25">
        <v>1127513</v>
      </c>
      <c r="X9" s="9">
        <f t="shared" si="2"/>
        <v>246</v>
      </c>
      <c r="Y9" s="25">
        <v>5131347</v>
      </c>
      <c r="Z9" s="9">
        <f t="shared" si="2"/>
        <v>1337</v>
      </c>
      <c r="AA9" s="25">
        <v>2271953</v>
      </c>
      <c r="AB9" s="9">
        <f t="shared" si="2"/>
        <v>2</v>
      </c>
      <c r="AC9" s="25">
        <v>6428093</v>
      </c>
      <c r="AD9" s="9">
        <f t="shared" si="2"/>
        <v>1124</v>
      </c>
      <c r="AE9" s="25">
        <v>9260044</v>
      </c>
      <c r="AF9" s="9">
        <f t="shared" si="2"/>
        <v>1715</v>
      </c>
      <c r="AG9" s="25">
        <v>1539801</v>
      </c>
      <c r="AH9" s="9">
        <f t="shared" si="2"/>
        <v>272</v>
      </c>
      <c r="AI9" s="25">
        <v>288297</v>
      </c>
      <c r="AJ9" s="9">
        <f t="shared" si="2"/>
        <v>41</v>
      </c>
      <c r="AK9" s="25">
        <v>1210553</v>
      </c>
      <c r="AL9" s="9">
        <f t="shared" si="2"/>
        <v>219</v>
      </c>
      <c r="AM9" s="25">
        <v>2304595</v>
      </c>
      <c r="AN9" s="9">
        <f t="shared" si="2"/>
        <v>512</v>
      </c>
      <c r="AO9" s="25">
        <v>2231917</v>
      </c>
      <c r="AP9" s="9">
        <f t="shared" si="2"/>
        <v>587</v>
      </c>
      <c r="AQ9" s="41"/>
      <c r="AR9" s="17" t="s">
        <v>60</v>
      </c>
      <c r="AS9" s="9">
        <v>0</v>
      </c>
      <c r="AT9" s="17" t="s">
        <v>60</v>
      </c>
      <c r="AU9" s="9">
        <v>0</v>
      </c>
      <c r="AV9" s="25">
        <v>98357</v>
      </c>
      <c r="AW9" s="9">
        <f t="shared" si="3"/>
        <v>18</v>
      </c>
      <c r="AX9" s="25">
        <v>1599</v>
      </c>
      <c r="AY9" s="9">
        <f t="shared" si="4"/>
        <v>2</v>
      </c>
      <c r="AZ9" s="25">
        <v>8469928</v>
      </c>
      <c r="BA9" s="9">
        <f t="shared" si="5"/>
        <v>2190</v>
      </c>
      <c r="BB9" s="25">
        <v>2027595</v>
      </c>
      <c r="BC9" s="9">
        <f t="shared" si="13"/>
        <v>1485</v>
      </c>
      <c r="BD9" s="25">
        <v>148</v>
      </c>
      <c r="BE9" s="25">
        <v>207</v>
      </c>
      <c r="BH9">
        <f t="shared" si="0"/>
        <v>0</v>
      </c>
    </row>
    <row r="10" spans="1:60" ht="45" customHeight="1">
      <c r="A10" s="8">
        <v>44965</v>
      </c>
      <c r="B10" s="40"/>
      <c r="C10" s="25">
        <v>32334344</v>
      </c>
      <c r="D10" s="9">
        <f t="shared" si="6"/>
        <v>7553</v>
      </c>
      <c r="E10" s="25">
        <v>32665087</v>
      </c>
      <c r="F10" s="9">
        <f t="shared" si="7"/>
        <v>5129</v>
      </c>
      <c r="G10" s="25">
        <v>13892844</v>
      </c>
      <c r="H10" s="9">
        <f t="shared" si="1"/>
        <v>4108</v>
      </c>
      <c r="I10" s="25">
        <v>1949855</v>
      </c>
      <c r="J10" s="9">
        <f t="shared" si="8"/>
        <v>570</v>
      </c>
      <c r="K10" s="25">
        <v>3948563</v>
      </c>
      <c r="L10" s="9">
        <f t="shared" si="8"/>
        <v>477</v>
      </c>
      <c r="M10" s="25">
        <v>5193938</v>
      </c>
      <c r="N10" s="9">
        <f t="shared" ref="N10" si="26">IF((M10-M9&lt;0), "0",M10-M9)</f>
        <v>1423</v>
      </c>
      <c r="O10" s="30">
        <v>2271833</v>
      </c>
      <c r="P10" s="9">
        <f t="shared" ref="P10" si="27">IF((O10-O9&lt;0), "0",O10-O9)</f>
        <v>0</v>
      </c>
      <c r="Q10" s="25">
        <v>1585807</v>
      </c>
      <c r="R10" s="9">
        <f t="shared" ref="R10" si="28">IF((Q10-Q9&lt;0), "0",Q10-Q9)</f>
        <v>427</v>
      </c>
      <c r="S10" s="25">
        <v>573372</v>
      </c>
      <c r="T10" s="9">
        <f t="shared" ref="T10" si="29">IF((S10-S9&lt;0), "0",S10-S9)</f>
        <v>17</v>
      </c>
      <c r="U10" s="25">
        <v>4939927</v>
      </c>
      <c r="V10" s="9">
        <f t="shared" si="2"/>
        <v>940</v>
      </c>
      <c r="W10" s="25">
        <v>1127771</v>
      </c>
      <c r="X10" s="9">
        <f t="shared" si="2"/>
        <v>258</v>
      </c>
      <c r="Y10" s="25">
        <v>5132876</v>
      </c>
      <c r="Z10" s="9">
        <f t="shared" si="2"/>
        <v>1529</v>
      </c>
      <c r="AA10" s="25">
        <v>2271956</v>
      </c>
      <c r="AB10" s="9">
        <f t="shared" si="2"/>
        <v>3</v>
      </c>
      <c r="AC10" s="25">
        <v>6429393</v>
      </c>
      <c r="AD10" s="9">
        <f t="shared" si="2"/>
        <v>1300</v>
      </c>
      <c r="AE10" s="25">
        <v>9262025</v>
      </c>
      <c r="AF10" s="9">
        <f t="shared" si="2"/>
        <v>1981</v>
      </c>
      <c r="AG10" s="25">
        <v>1540117</v>
      </c>
      <c r="AH10" s="9">
        <f t="shared" si="2"/>
        <v>316</v>
      </c>
      <c r="AI10" s="25">
        <v>288345</v>
      </c>
      <c r="AJ10" s="9">
        <f t="shared" si="2"/>
        <v>48</v>
      </c>
      <c r="AK10" s="25">
        <v>1210809</v>
      </c>
      <c r="AL10" s="9">
        <f t="shared" si="2"/>
        <v>256</v>
      </c>
      <c r="AM10" s="25">
        <v>2305207</v>
      </c>
      <c r="AN10" s="9">
        <f t="shared" si="2"/>
        <v>612</v>
      </c>
      <c r="AO10" s="25">
        <v>2232565</v>
      </c>
      <c r="AP10" s="9">
        <f t="shared" si="2"/>
        <v>648</v>
      </c>
      <c r="AQ10" s="41"/>
      <c r="AR10" s="17" t="s">
        <v>60</v>
      </c>
      <c r="AS10" s="9">
        <v>0</v>
      </c>
      <c r="AT10" s="17" t="s">
        <v>60</v>
      </c>
      <c r="AU10" s="9">
        <v>0</v>
      </c>
      <c r="AV10" s="25">
        <v>98373</v>
      </c>
      <c r="AW10" s="9">
        <f t="shared" si="3"/>
        <v>16</v>
      </c>
      <c r="AX10" s="25">
        <v>1601</v>
      </c>
      <c r="AY10" s="9">
        <f t="shared" si="4"/>
        <v>2</v>
      </c>
      <c r="AZ10" s="25">
        <v>8472649</v>
      </c>
      <c r="BA10" s="9">
        <f t="shared" si="5"/>
        <v>2721</v>
      </c>
      <c r="BB10" s="25">
        <v>2028858</v>
      </c>
      <c r="BC10" s="9">
        <f t="shared" si="13"/>
        <v>1263</v>
      </c>
      <c r="BD10" s="25">
        <v>135</v>
      </c>
      <c r="BE10" s="25">
        <v>179</v>
      </c>
      <c r="BH10">
        <f t="shared" si="0"/>
        <v>0</v>
      </c>
    </row>
    <row r="11" spans="1:60" ht="45" customHeight="1">
      <c r="A11" s="8">
        <v>44966</v>
      </c>
      <c r="B11" s="40"/>
      <c r="C11" s="25">
        <v>32341055</v>
      </c>
      <c r="D11" s="9">
        <f>IF((C11-C10&lt;0), "0",C11-C10)</f>
        <v>6711</v>
      </c>
      <c r="E11" s="25">
        <v>32669627</v>
      </c>
      <c r="F11" s="9">
        <f t="shared" si="7"/>
        <v>4540</v>
      </c>
      <c r="G11" s="25">
        <v>13896471</v>
      </c>
      <c r="H11" s="9">
        <f t="shared" si="1"/>
        <v>3627</v>
      </c>
      <c r="I11" s="25">
        <v>1950377</v>
      </c>
      <c r="J11" s="9">
        <f t="shared" si="8"/>
        <v>522</v>
      </c>
      <c r="K11" s="25">
        <v>3948996</v>
      </c>
      <c r="L11" s="9">
        <f t="shared" si="8"/>
        <v>433</v>
      </c>
      <c r="M11" s="25">
        <v>5195216</v>
      </c>
      <c r="N11" s="9">
        <f t="shared" ref="N11" si="30">IF((M11-M10&lt;0), "0",M11-M10)</f>
        <v>1278</v>
      </c>
      <c r="O11" s="30">
        <v>2271833</v>
      </c>
      <c r="P11" s="9">
        <f t="shared" ref="P11" si="31">IF((O11-O10&lt;0), "0",O11-O10)</f>
        <v>0</v>
      </c>
      <c r="Q11" s="25">
        <v>1586174</v>
      </c>
      <c r="R11" s="9">
        <f t="shared" ref="R11" si="32">IF((Q11-Q10&lt;0), "0",Q11-Q10)</f>
        <v>367</v>
      </c>
      <c r="S11" s="25">
        <v>573387</v>
      </c>
      <c r="T11" s="9">
        <f t="shared" ref="T11" si="33">IF((S11-S10&lt;0), "0",S11-S10)</f>
        <v>15</v>
      </c>
      <c r="U11" s="25">
        <v>4940676</v>
      </c>
      <c r="V11" s="9">
        <f t="shared" si="2"/>
        <v>749</v>
      </c>
      <c r="W11" s="25">
        <v>1127942</v>
      </c>
      <c r="X11" s="9">
        <f t="shared" si="2"/>
        <v>171</v>
      </c>
      <c r="Y11" s="25">
        <v>5134219</v>
      </c>
      <c r="Z11" s="9">
        <f t="shared" si="2"/>
        <v>1343</v>
      </c>
      <c r="AA11" s="25">
        <v>2271958</v>
      </c>
      <c r="AB11" s="9">
        <f t="shared" si="2"/>
        <v>2</v>
      </c>
      <c r="AC11" s="25">
        <v>6430535</v>
      </c>
      <c r="AD11" s="9">
        <f t="shared" si="2"/>
        <v>1142</v>
      </c>
      <c r="AE11" s="25">
        <v>9263752</v>
      </c>
      <c r="AF11" s="9">
        <f t="shared" si="2"/>
        <v>1727</v>
      </c>
      <c r="AG11" s="25">
        <v>1540395</v>
      </c>
      <c r="AH11" s="9">
        <f t="shared" si="2"/>
        <v>278</v>
      </c>
      <c r="AI11" s="25">
        <v>288386</v>
      </c>
      <c r="AJ11" s="9">
        <f t="shared" si="2"/>
        <v>41</v>
      </c>
      <c r="AK11" s="25">
        <v>1211034</v>
      </c>
      <c r="AL11" s="9">
        <f t="shared" si="2"/>
        <v>225</v>
      </c>
      <c r="AM11" s="25">
        <v>2305795</v>
      </c>
      <c r="AN11" s="9">
        <f t="shared" si="2"/>
        <v>588</v>
      </c>
      <c r="AO11" s="25">
        <v>2233166</v>
      </c>
      <c r="AP11" s="9">
        <f t="shared" si="2"/>
        <v>601</v>
      </c>
      <c r="AQ11" s="41"/>
      <c r="AR11" s="17" t="s">
        <v>60</v>
      </c>
      <c r="AS11" s="9">
        <v>0</v>
      </c>
      <c r="AT11" s="17" t="s">
        <v>60</v>
      </c>
      <c r="AU11" s="9">
        <v>0</v>
      </c>
      <c r="AV11" s="25">
        <v>98392</v>
      </c>
      <c r="AW11" s="9">
        <f t="shared" si="3"/>
        <v>19</v>
      </c>
      <c r="AX11" s="25">
        <v>1602</v>
      </c>
      <c r="AY11" s="9">
        <f t="shared" si="4"/>
        <v>1</v>
      </c>
      <c r="AZ11" s="25">
        <v>8475116</v>
      </c>
      <c r="BA11" s="9">
        <f t="shared" si="5"/>
        <v>2467</v>
      </c>
      <c r="BB11" s="25">
        <v>2029973</v>
      </c>
      <c r="BC11" s="9">
        <f t="shared" si="13"/>
        <v>1115</v>
      </c>
      <c r="BD11" s="25">
        <v>122</v>
      </c>
      <c r="BE11" s="25">
        <v>162</v>
      </c>
      <c r="BH11">
        <f t="shared" si="0"/>
        <v>0</v>
      </c>
    </row>
    <row r="12" spans="1:60" ht="45" customHeight="1">
      <c r="A12" s="8">
        <v>44967</v>
      </c>
      <c r="B12" s="40"/>
      <c r="C12" s="25">
        <v>32346941</v>
      </c>
      <c r="D12" s="9">
        <f t="shared" si="6"/>
        <v>5886</v>
      </c>
      <c r="E12" s="25">
        <v>32674435</v>
      </c>
      <c r="F12" s="9">
        <f t="shared" si="7"/>
        <v>4808</v>
      </c>
      <c r="G12" s="25">
        <v>13899616</v>
      </c>
      <c r="H12" s="9">
        <f t="shared" si="1"/>
        <v>3145</v>
      </c>
      <c r="I12" s="25">
        <v>1950816</v>
      </c>
      <c r="J12" s="9">
        <f t="shared" si="8"/>
        <v>439</v>
      </c>
      <c r="K12" s="25">
        <v>3949441</v>
      </c>
      <c r="L12" s="9">
        <f t="shared" si="8"/>
        <v>445</v>
      </c>
      <c r="M12" s="25">
        <v>5196427</v>
      </c>
      <c r="N12" s="9">
        <f t="shared" ref="N12" si="34">IF((M12-M11&lt;0), "0",M12-M11)</f>
        <v>1211</v>
      </c>
      <c r="O12" s="30">
        <v>2271833</v>
      </c>
      <c r="P12" s="9">
        <f t="shared" ref="P12" si="35">IF((O12-O11&lt;0), "0",O12-O11)</f>
        <v>0</v>
      </c>
      <c r="Q12" s="25">
        <v>1586551</v>
      </c>
      <c r="R12" s="9">
        <f t="shared" ref="R12" si="36">IF((Q12-Q11&lt;0), "0",Q12-Q11)</f>
        <v>377</v>
      </c>
      <c r="S12" s="25">
        <v>573402</v>
      </c>
      <c r="T12" s="9">
        <f t="shared" ref="T12" si="37">IF((S12-S11&lt;0), "0",S12-S11)</f>
        <v>15</v>
      </c>
      <c r="U12" s="25">
        <v>4941465</v>
      </c>
      <c r="V12" s="9">
        <f t="shared" si="2"/>
        <v>789</v>
      </c>
      <c r="W12" s="25">
        <v>1128120</v>
      </c>
      <c r="X12" s="9">
        <f t="shared" si="2"/>
        <v>178</v>
      </c>
      <c r="Y12" s="25">
        <v>5134853</v>
      </c>
      <c r="Z12" s="9">
        <f t="shared" si="2"/>
        <v>634</v>
      </c>
      <c r="AA12" s="25">
        <v>2271961</v>
      </c>
      <c r="AB12" s="9">
        <f t="shared" si="2"/>
        <v>3</v>
      </c>
      <c r="AC12" s="25">
        <v>6431698</v>
      </c>
      <c r="AD12" s="9">
        <f t="shared" si="2"/>
        <v>1163</v>
      </c>
      <c r="AE12" s="25">
        <v>9262522</v>
      </c>
      <c r="AF12" s="9" t="str">
        <f t="shared" si="2"/>
        <v/>
      </c>
      <c r="AG12" s="25">
        <v>1540677</v>
      </c>
      <c r="AH12" s="9">
        <f t="shared" si="2"/>
        <v>282</v>
      </c>
      <c r="AI12" s="25">
        <v>288429</v>
      </c>
      <c r="AJ12" s="9">
        <f t="shared" si="2"/>
        <v>43</v>
      </c>
      <c r="AK12" s="25">
        <v>1211263</v>
      </c>
      <c r="AL12" s="9">
        <f t="shared" si="2"/>
        <v>229</v>
      </c>
      <c r="AM12" s="25">
        <v>2306411</v>
      </c>
      <c r="AN12" s="9">
        <f t="shared" si="2"/>
        <v>616</v>
      </c>
      <c r="AO12" s="25">
        <v>2233744</v>
      </c>
      <c r="AP12" s="9">
        <f>IF((AO12-AO11&lt;0), "",AO12-AO11)</f>
        <v>578</v>
      </c>
      <c r="AQ12" s="41"/>
      <c r="AR12" s="17">
        <v>30733.1</v>
      </c>
      <c r="AS12" s="9">
        <f>IF((AR12-AR3&lt;0), "",AR12-AR3)</f>
        <v>99.899999999997817</v>
      </c>
      <c r="AT12" s="17">
        <v>28542.1</v>
      </c>
      <c r="AU12" s="9">
        <f>IF((AT12-AT3&lt;0), "",AT12-AT3)</f>
        <v>3.0999999999985448</v>
      </c>
      <c r="AV12" s="25">
        <v>98406</v>
      </c>
      <c r="AW12" s="9">
        <f t="shared" si="3"/>
        <v>14</v>
      </c>
      <c r="AX12" s="25">
        <v>1504</v>
      </c>
      <c r="AY12" s="9" t="str">
        <f t="shared" si="4"/>
        <v/>
      </c>
      <c r="AZ12" s="25">
        <v>8477414</v>
      </c>
      <c r="BA12" s="9">
        <f t="shared" si="5"/>
        <v>2298</v>
      </c>
      <c r="BB12" s="25">
        <v>2030938</v>
      </c>
      <c r="BC12" s="9">
        <f t="shared" si="13"/>
        <v>965</v>
      </c>
      <c r="BD12" s="25">
        <v>117</v>
      </c>
      <c r="BE12" s="25">
        <v>169</v>
      </c>
      <c r="BH12">
        <f t="shared" si="0"/>
        <v>0</v>
      </c>
    </row>
    <row r="13" spans="1:60" ht="45" customHeight="1">
      <c r="A13" s="8">
        <v>44968</v>
      </c>
      <c r="B13" s="40"/>
      <c r="C13" s="25">
        <v>32353638</v>
      </c>
      <c r="D13" s="9">
        <f t="shared" si="6"/>
        <v>6697</v>
      </c>
      <c r="E13" s="25">
        <v>32679039</v>
      </c>
      <c r="F13" s="9">
        <f t="shared" si="7"/>
        <v>4604</v>
      </c>
      <c r="G13" s="25">
        <v>13903443</v>
      </c>
      <c r="H13" s="9">
        <f t="shared" si="1"/>
        <v>3827</v>
      </c>
      <c r="I13" s="25">
        <v>1961304</v>
      </c>
      <c r="J13" s="9">
        <f t="shared" si="8"/>
        <v>10488</v>
      </c>
      <c r="K13" s="25">
        <v>3949906</v>
      </c>
      <c r="L13" s="9">
        <f t="shared" si="8"/>
        <v>465</v>
      </c>
      <c r="M13" s="25">
        <v>5197724</v>
      </c>
      <c r="N13" s="9">
        <f t="shared" ref="N13" si="38">IF((M13-M12&lt;0), "0",M13-M12)</f>
        <v>1297</v>
      </c>
      <c r="O13" s="30">
        <v>2271833</v>
      </c>
      <c r="P13" s="9">
        <f t="shared" ref="P13" si="39">IF((O13-O12&lt;0), "0",O13-O12)</f>
        <v>0</v>
      </c>
      <c r="Q13" s="25">
        <v>1586940</v>
      </c>
      <c r="R13" s="9">
        <f t="shared" ref="R13" si="40">IF((Q13-Q12&lt;0), "0",Q13-Q12)</f>
        <v>389</v>
      </c>
      <c r="S13" s="25">
        <v>573417</v>
      </c>
      <c r="T13" s="9">
        <f t="shared" ref="T13" si="41">IF((S13-S12&lt;0), "0",S13-S12)</f>
        <v>15</v>
      </c>
      <c r="U13" s="25">
        <v>4942291</v>
      </c>
      <c r="V13" s="9">
        <f t="shared" si="2"/>
        <v>826</v>
      </c>
      <c r="W13" s="25">
        <v>1128482</v>
      </c>
      <c r="X13" s="9">
        <f t="shared" si="2"/>
        <v>362</v>
      </c>
      <c r="Y13" s="25">
        <v>5135886</v>
      </c>
      <c r="Z13" s="9">
        <f t="shared" si="2"/>
        <v>1033</v>
      </c>
      <c r="AA13" s="25">
        <v>2271963</v>
      </c>
      <c r="AB13" s="9">
        <f t="shared" si="2"/>
        <v>2</v>
      </c>
      <c r="AC13" s="25">
        <v>6432906</v>
      </c>
      <c r="AD13" s="9">
        <f t="shared" si="2"/>
        <v>1208</v>
      </c>
      <c r="AE13" s="25">
        <v>9266947</v>
      </c>
      <c r="AF13" s="9">
        <f t="shared" si="2"/>
        <v>4425</v>
      </c>
      <c r="AG13" s="25">
        <v>1540970</v>
      </c>
      <c r="AH13" s="9">
        <f t="shared" si="2"/>
        <v>293</v>
      </c>
      <c r="AI13" s="25">
        <v>288473</v>
      </c>
      <c r="AJ13" s="9">
        <f t="shared" si="2"/>
        <v>44</v>
      </c>
      <c r="AK13" s="25">
        <v>1211496</v>
      </c>
      <c r="AL13" s="9">
        <f t="shared" si="2"/>
        <v>233</v>
      </c>
      <c r="AM13" s="25">
        <v>2307026</v>
      </c>
      <c r="AN13" s="9">
        <f t="shared" si="2"/>
        <v>615</v>
      </c>
      <c r="AO13" s="25">
        <v>2234359</v>
      </c>
      <c r="AP13" s="9">
        <f t="shared" si="2"/>
        <v>615</v>
      </c>
      <c r="AQ13" s="41"/>
      <c r="AR13" s="17" t="s">
        <v>60</v>
      </c>
      <c r="AS13" s="9">
        <v>0</v>
      </c>
      <c r="AT13" s="17" t="s">
        <v>60</v>
      </c>
      <c r="AU13" s="9">
        <v>0</v>
      </c>
      <c r="AV13" s="25">
        <v>98424</v>
      </c>
      <c r="AW13" s="9">
        <f t="shared" si="3"/>
        <v>18</v>
      </c>
      <c r="AX13" s="25">
        <v>1608</v>
      </c>
      <c r="AY13" s="9">
        <f t="shared" si="4"/>
        <v>104</v>
      </c>
      <c r="AZ13" s="25">
        <v>8477821</v>
      </c>
      <c r="BA13" s="9">
        <f t="shared" si="5"/>
        <v>407</v>
      </c>
      <c r="BB13" s="25">
        <v>2032103</v>
      </c>
      <c r="BC13" s="9">
        <f t="shared" si="13"/>
        <v>1165</v>
      </c>
      <c r="BD13" s="25">
        <v>121</v>
      </c>
      <c r="BE13" s="25">
        <v>183</v>
      </c>
      <c r="BH13">
        <f t="shared" si="0"/>
        <v>0</v>
      </c>
    </row>
    <row r="14" spans="1:60" ht="45" customHeight="1">
      <c r="A14" s="8">
        <v>44969</v>
      </c>
      <c r="B14" s="40"/>
      <c r="C14" s="25">
        <v>32360696</v>
      </c>
      <c r="D14" s="9">
        <f t="shared" si="6"/>
        <v>7058</v>
      </c>
      <c r="E14" s="25">
        <v>32683688</v>
      </c>
      <c r="F14" s="9" t="str">
        <f>IF((E13-E14&lt;0), "0",E13-E14)</f>
        <v>0</v>
      </c>
      <c r="G14" s="25">
        <v>13907248</v>
      </c>
      <c r="H14" s="9">
        <f t="shared" si="1"/>
        <v>3805</v>
      </c>
      <c r="I14" s="25">
        <v>1961856</v>
      </c>
      <c r="J14" s="9">
        <f t="shared" si="8"/>
        <v>552</v>
      </c>
      <c r="K14" s="25">
        <v>3950361</v>
      </c>
      <c r="L14" s="9">
        <f t="shared" si="8"/>
        <v>455</v>
      </c>
      <c r="M14" s="25">
        <v>5198993</v>
      </c>
      <c r="N14" s="9">
        <f>IF((M14-M13&lt;0), "0",M14-M13)</f>
        <v>1269</v>
      </c>
      <c r="O14" s="30">
        <v>2271833</v>
      </c>
      <c r="P14" s="9">
        <f t="shared" ref="P14" si="42">IF((O14-O13&lt;0), "0",O14-O13)</f>
        <v>0</v>
      </c>
      <c r="Q14" s="25">
        <v>1587320</v>
      </c>
      <c r="R14" s="9">
        <f t="shared" ref="R14" si="43">IF((Q14-Q13&lt;0), "0",Q14-Q13)</f>
        <v>380</v>
      </c>
      <c r="S14" s="25">
        <v>573432</v>
      </c>
      <c r="T14" s="9">
        <f t="shared" ref="T14" si="44">IF((S14-S13&lt;0), "0",S14-S13)</f>
        <v>15</v>
      </c>
      <c r="U14" s="25">
        <v>4943118</v>
      </c>
      <c r="V14" s="9">
        <f t="shared" si="2"/>
        <v>827</v>
      </c>
      <c r="W14" s="25">
        <v>1128852</v>
      </c>
      <c r="X14" s="9">
        <f t="shared" si="2"/>
        <v>370</v>
      </c>
      <c r="Y14" s="25">
        <v>5137281</v>
      </c>
      <c r="Z14" s="9" t="str">
        <f>IF((Y13-Y14&lt;0), "",Y13-Y14)</f>
        <v/>
      </c>
      <c r="AA14" s="25">
        <v>2271965</v>
      </c>
      <c r="AB14" s="9">
        <f t="shared" si="2"/>
        <v>2</v>
      </c>
      <c r="AC14" s="25">
        <v>6434104</v>
      </c>
      <c r="AD14" s="9">
        <f t="shared" si="2"/>
        <v>1198</v>
      </c>
      <c r="AE14" s="25">
        <v>9268822</v>
      </c>
      <c r="AF14" s="9">
        <f t="shared" si="2"/>
        <v>1875</v>
      </c>
      <c r="AG14" s="25">
        <v>1541259</v>
      </c>
      <c r="AH14" s="9">
        <f t="shared" si="2"/>
        <v>289</v>
      </c>
      <c r="AI14" s="25">
        <v>288517</v>
      </c>
      <c r="AJ14" s="9">
        <f t="shared" si="2"/>
        <v>44</v>
      </c>
      <c r="AK14" s="25">
        <v>1211730</v>
      </c>
      <c r="AL14" s="9">
        <f t="shared" si="2"/>
        <v>234</v>
      </c>
      <c r="AM14" s="25">
        <v>2307588</v>
      </c>
      <c r="AN14" s="9">
        <f t="shared" si="2"/>
        <v>562</v>
      </c>
      <c r="AO14" s="25">
        <v>2234933</v>
      </c>
      <c r="AP14" s="9">
        <f t="shared" si="2"/>
        <v>574</v>
      </c>
      <c r="AQ14" s="41"/>
      <c r="AR14" s="17" t="s">
        <v>60</v>
      </c>
      <c r="AS14" s="9">
        <v>0</v>
      </c>
      <c r="AT14" s="17" t="s">
        <v>60</v>
      </c>
      <c r="AU14" s="9">
        <v>0</v>
      </c>
      <c r="AV14" s="25">
        <v>98440</v>
      </c>
      <c r="AW14" s="9">
        <f t="shared" si="3"/>
        <v>16</v>
      </c>
      <c r="AX14" s="25">
        <v>1608</v>
      </c>
      <c r="AY14" s="9">
        <f t="shared" si="4"/>
        <v>0</v>
      </c>
      <c r="AZ14" s="25">
        <v>8481964</v>
      </c>
      <c r="BA14" s="9">
        <f t="shared" si="5"/>
        <v>4143</v>
      </c>
      <c r="BB14" s="25">
        <v>2033331</v>
      </c>
      <c r="BC14" s="9">
        <f t="shared" si="13"/>
        <v>1228</v>
      </c>
      <c r="BD14" s="25">
        <v>70</v>
      </c>
      <c r="BE14" s="25">
        <v>111</v>
      </c>
      <c r="BH14">
        <f t="shared" si="0"/>
        <v>0</v>
      </c>
    </row>
    <row r="15" spans="1:60" ht="45" customHeight="1">
      <c r="A15" s="8">
        <v>44970</v>
      </c>
      <c r="B15" s="40"/>
      <c r="C15" s="25">
        <v>32367812</v>
      </c>
      <c r="D15" s="9">
        <f t="shared" si="6"/>
        <v>7116</v>
      </c>
      <c r="E15" s="25">
        <v>32688330</v>
      </c>
      <c r="F15" s="9">
        <f t="shared" si="7"/>
        <v>4642</v>
      </c>
      <c r="G15" s="25">
        <v>13911083</v>
      </c>
      <c r="H15" s="9">
        <f t="shared" si="1"/>
        <v>3835</v>
      </c>
      <c r="I15" s="25">
        <v>1952434</v>
      </c>
      <c r="J15" s="9" t="str">
        <f t="shared" si="8"/>
        <v>0</v>
      </c>
      <c r="K15" s="25">
        <v>3950825</v>
      </c>
      <c r="L15" s="9">
        <f t="shared" si="8"/>
        <v>464</v>
      </c>
      <c r="M15" s="25">
        <v>5200314</v>
      </c>
      <c r="N15" s="9">
        <f t="shared" ref="N15" si="45">IF((M15-M14&lt;0), "0",M15-M14)</f>
        <v>1321</v>
      </c>
      <c r="O15" s="30">
        <v>2271833</v>
      </c>
      <c r="P15" s="9">
        <f t="shared" ref="P15" si="46">IF((O15-O14&lt;0), "0",O15-O14)</f>
        <v>0</v>
      </c>
      <c r="Q15" s="25">
        <v>1587716</v>
      </c>
      <c r="R15" s="9">
        <f t="shared" ref="R15" si="47">IF((Q15-Q14&lt;0), "0",Q15-Q14)</f>
        <v>396</v>
      </c>
      <c r="S15" s="25">
        <v>573448</v>
      </c>
      <c r="T15" s="9">
        <f t="shared" ref="T15" si="48">IF((S15-S14&lt;0), "0",S15-S14)</f>
        <v>16</v>
      </c>
      <c r="U15" s="25">
        <v>4943989</v>
      </c>
      <c r="V15" s="9">
        <f t="shared" si="2"/>
        <v>871</v>
      </c>
      <c r="W15" s="25">
        <v>1129248</v>
      </c>
      <c r="X15" s="9">
        <f t="shared" si="2"/>
        <v>396</v>
      </c>
      <c r="Y15" s="25">
        <v>5138610</v>
      </c>
      <c r="Z15" s="9">
        <f t="shared" si="2"/>
        <v>1329</v>
      </c>
      <c r="AA15" s="25">
        <v>2271968</v>
      </c>
      <c r="AB15" s="9">
        <f t="shared" si="2"/>
        <v>3</v>
      </c>
      <c r="AC15" s="25">
        <v>6435312</v>
      </c>
      <c r="AD15" s="9">
        <f t="shared" si="2"/>
        <v>1208</v>
      </c>
      <c r="AE15" s="25">
        <v>9270716</v>
      </c>
      <c r="AF15" s="9">
        <f t="shared" si="2"/>
        <v>1894</v>
      </c>
      <c r="AG15" s="25">
        <v>1541651</v>
      </c>
      <c r="AH15" s="9">
        <f t="shared" si="2"/>
        <v>392</v>
      </c>
      <c r="AI15" s="25">
        <v>288561</v>
      </c>
      <c r="AJ15" s="9">
        <f t="shared" si="2"/>
        <v>44</v>
      </c>
      <c r="AK15" s="25">
        <v>1211954</v>
      </c>
      <c r="AL15" s="9">
        <f t="shared" si="2"/>
        <v>224</v>
      </c>
      <c r="AM15" s="25">
        <v>2308192</v>
      </c>
      <c r="AN15" s="9">
        <f t="shared" si="2"/>
        <v>604</v>
      </c>
      <c r="AO15" s="25">
        <v>2235699</v>
      </c>
      <c r="AP15" s="9">
        <f t="shared" si="2"/>
        <v>766</v>
      </c>
      <c r="AQ15" s="41"/>
      <c r="AR15" s="17" t="s">
        <v>60</v>
      </c>
      <c r="AS15" s="9">
        <v>0</v>
      </c>
      <c r="AT15" s="17" t="s">
        <v>60</v>
      </c>
      <c r="AU15" s="9">
        <v>0</v>
      </c>
      <c r="AV15" s="25">
        <v>98458</v>
      </c>
      <c r="AW15" s="9">
        <f t="shared" si="3"/>
        <v>18</v>
      </c>
      <c r="AX15" s="25">
        <v>1610</v>
      </c>
      <c r="AY15" s="9">
        <f t="shared" si="4"/>
        <v>2</v>
      </c>
      <c r="AZ15" s="25">
        <v>8484150</v>
      </c>
      <c r="BA15" s="9">
        <f t="shared" si="5"/>
        <v>2186</v>
      </c>
      <c r="BB15" s="25">
        <v>2034456</v>
      </c>
      <c r="BC15" s="9">
        <f t="shared" si="13"/>
        <v>1125</v>
      </c>
      <c r="BD15" s="25">
        <v>90</v>
      </c>
      <c r="BE15" s="25">
        <v>133</v>
      </c>
      <c r="BH15">
        <f t="shared" si="0"/>
        <v>0</v>
      </c>
    </row>
    <row r="16" spans="1:60" ht="45" customHeight="1">
      <c r="A16" s="8">
        <v>44971</v>
      </c>
      <c r="B16" s="40"/>
      <c r="C16" s="25">
        <v>32374914</v>
      </c>
      <c r="D16" s="9">
        <f t="shared" si="6"/>
        <v>7102</v>
      </c>
      <c r="E16" s="25">
        <v>32692948</v>
      </c>
      <c r="F16" s="9">
        <f t="shared" si="7"/>
        <v>4618</v>
      </c>
      <c r="G16" s="25">
        <v>13915008</v>
      </c>
      <c r="H16" s="9">
        <f t="shared" si="1"/>
        <v>3925</v>
      </c>
      <c r="I16" s="25">
        <v>1952990</v>
      </c>
      <c r="J16" s="9">
        <f t="shared" si="8"/>
        <v>556</v>
      </c>
      <c r="K16" s="25">
        <v>3951308</v>
      </c>
      <c r="L16" s="9">
        <f t="shared" si="8"/>
        <v>483</v>
      </c>
      <c r="M16" s="25">
        <v>5201586</v>
      </c>
      <c r="N16" s="9">
        <f t="shared" ref="N16" si="49">IF((M16-M15&lt;0), "0",M16-M15)</f>
        <v>1272</v>
      </c>
      <c r="O16" s="30">
        <v>2271833</v>
      </c>
      <c r="P16" s="9">
        <f t="shared" ref="P16" si="50">IF((O16-O15&lt;0), "0",O16-O15)</f>
        <v>0</v>
      </c>
      <c r="Q16" s="25">
        <v>1588109</v>
      </c>
      <c r="R16" s="9">
        <f t="shared" ref="R16" si="51">IF((Q16-Q15&lt;0), "0",Q16-Q15)</f>
        <v>393</v>
      </c>
      <c r="S16" s="25">
        <v>573465</v>
      </c>
      <c r="T16" s="9">
        <f t="shared" ref="T16" si="52">IF((S16-S15&lt;0), "0",S16-S15)</f>
        <v>17</v>
      </c>
      <c r="U16" s="25">
        <v>4944890</v>
      </c>
      <c r="V16" s="9">
        <f t="shared" ref="V16:AP30" si="53">IF((U16-U15&lt;0), "",U16-U15)</f>
        <v>901</v>
      </c>
      <c r="W16" s="25">
        <v>1129517</v>
      </c>
      <c r="X16" s="9">
        <f t="shared" si="53"/>
        <v>269</v>
      </c>
      <c r="Y16" s="25">
        <v>5139047</v>
      </c>
      <c r="Z16" s="9">
        <f t="shared" si="53"/>
        <v>437</v>
      </c>
      <c r="AA16" s="25">
        <v>2271970</v>
      </c>
      <c r="AB16" s="9">
        <f t="shared" si="53"/>
        <v>2</v>
      </c>
      <c r="AC16" s="25">
        <v>6436547</v>
      </c>
      <c r="AD16" s="9">
        <f t="shared" si="53"/>
        <v>1235</v>
      </c>
      <c r="AE16" s="25">
        <v>9272629</v>
      </c>
      <c r="AF16" s="9">
        <f t="shared" si="53"/>
        <v>1913</v>
      </c>
      <c r="AG16" s="25">
        <v>1541850</v>
      </c>
      <c r="AH16" s="9">
        <f t="shared" si="53"/>
        <v>199</v>
      </c>
      <c r="AI16" s="25">
        <v>288606</v>
      </c>
      <c r="AJ16" s="9">
        <f t="shared" si="53"/>
        <v>45</v>
      </c>
      <c r="AK16" s="25">
        <v>1212178</v>
      </c>
      <c r="AL16" s="9">
        <f t="shared" si="53"/>
        <v>224</v>
      </c>
      <c r="AM16" s="25">
        <v>2308759</v>
      </c>
      <c r="AN16" s="9">
        <f t="shared" si="53"/>
        <v>567</v>
      </c>
      <c r="AO16" s="25">
        <v>2236160</v>
      </c>
      <c r="AP16" s="9">
        <f t="shared" si="53"/>
        <v>461</v>
      </c>
      <c r="AQ16" s="41"/>
      <c r="AR16" s="17" t="s">
        <v>60</v>
      </c>
      <c r="AS16" s="9">
        <v>0</v>
      </c>
      <c r="AT16" s="17" t="s">
        <v>60</v>
      </c>
      <c r="AU16" s="9">
        <v>0</v>
      </c>
      <c r="AV16" s="25">
        <v>98472</v>
      </c>
      <c r="AW16" s="9">
        <f t="shared" si="3"/>
        <v>14</v>
      </c>
      <c r="AX16" s="25">
        <v>1612</v>
      </c>
      <c r="AY16" s="9">
        <f>IF((AX16-AX15&lt;0), "",AX16-AX15)</f>
        <v>2</v>
      </c>
      <c r="AZ16" s="25">
        <v>8486267</v>
      </c>
      <c r="BA16" s="9">
        <f t="shared" si="5"/>
        <v>2117</v>
      </c>
      <c r="BB16" s="25">
        <v>2035665</v>
      </c>
      <c r="BC16" s="9">
        <f t="shared" si="13"/>
        <v>1209</v>
      </c>
      <c r="BD16" s="25">
        <v>87</v>
      </c>
      <c r="BE16" s="25">
        <v>134</v>
      </c>
      <c r="BH16">
        <f t="shared" si="0"/>
        <v>0</v>
      </c>
    </row>
    <row r="17" spans="1:60" ht="45" customHeight="1">
      <c r="A17" s="8">
        <v>44972</v>
      </c>
      <c r="B17" s="40"/>
      <c r="C17" s="25">
        <v>0</v>
      </c>
      <c r="D17" s="9" t="str">
        <f>IF((C17-C16&lt;0), "0",C17-C16)</f>
        <v>0</v>
      </c>
      <c r="E17" s="25">
        <v>0</v>
      </c>
      <c r="F17" s="9" t="str">
        <f t="shared" si="7"/>
        <v>0</v>
      </c>
      <c r="G17" s="25">
        <v>0</v>
      </c>
      <c r="H17" s="9" t="str">
        <f t="shared" si="1"/>
        <v>0</v>
      </c>
      <c r="I17" s="25">
        <v>0</v>
      </c>
      <c r="J17" s="9" t="str">
        <f t="shared" si="8"/>
        <v>0</v>
      </c>
      <c r="K17" s="25">
        <v>0</v>
      </c>
      <c r="L17" s="9" t="str">
        <f t="shared" si="8"/>
        <v>0</v>
      </c>
      <c r="M17" s="25">
        <v>0</v>
      </c>
      <c r="N17" s="9" t="str">
        <f t="shared" ref="N17" si="54">IF((M17-M16&lt;0), "0",M17-M16)</f>
        <v>0</v>
      </c>
      <c r="O17" s="25">
        <v>0</v>
      </c>
      <c r="P17" s="9" t="str">
        <f t="shared" ref="P17" si="55">IF((O17-O16&lt;0), "0",O17-O16)</f>
        <v>0</v>
      </c>
      <c r="Q17" s="25">
        <v>0</v>
      </c>
      <c r="R17" s="9" t="str">
        <f t="shared" ref="R17" si="56">IF((Q17-Q16&lt;0), "0",Q17-Q16)</f>
        <v>0</v>
      </c>
      <c r="S17" s="25">
        <v>0</v>
      </c>
      <c r="T17" s="9" t="str">
        <f t="shared" ref="T17" si="57">IF((S17-S16&lt;0), "0",S17-S16)</f>
        <v>0</v>
      </c>
      <c r="U17" s="25">
        <v>0</v>
      </c>
      <c r="V17" s="9" t="str">
        <f t="shared" si="53"/>
        <v/>
      </c>
      <c r="W17" s="25">
        <v>0</v>
      </c>
      <c r="X17" s="9" t="str">
        <f t="shared" si="53"/>
        <v/>
      </c>
      <c r="Y17" s="25">
        <v>0</v>
      </c>
      <c r="Z17" s="9" t="str">
        <f t="shared" si="53"/>
        <v/>
      </c>
      <c r="AA17" s="25">
        <v>0</v>
      </c>
      <c r="AB17" s="9" t="str">
        <f t="shared" si="53"/>
        <v/>
      </c>
      <c r="AC17" s="25">
        <v>0</v>
      </c>
      <c r="AD17" s="9" t="str">
        <f t="shared" si="53"/>
        <v/>
      </c>
      <c r="AE17" s="25">
        <v>0</v>
      </c>
      <c r="AF17" s="9" t="str">
        <f t="shared" si="53"/>
        <v/>
      </c>
      <c r="AG17" s="25">
        <v>0</v>
      </c>
      <c r="AH17" s="9" t="str">
        <f t="shared" si="53"/>
        <v/>
      </c>
      <c r="AI17" s="25">
        <v>0</v>
      </c>
      <c r="AJ17" s="9" t="str">
        <f t="shared" si="53"/>
        <v/>
      </c>
      <c r="AK17" s="25">
        <v>0</v>
      </c>
      <c r="AL17" s="9" t="str">
        <f t="shared" si="53"/>
        <v/>
      </c>
      <c r="AM17" s="25">
        <v>0</v>
      </c>
      <c r="AN17" s="9" t="str">
        <f t="shared" si="53"/>
        <v/>
      </c>
      <c r="AO17" s="25">
        <v>0</v>
      </c>
      <c r="AP17" s="9" t="str">
        <f t="shared" si="53"/>
        <v/>
      </c>
      <c r="AQ17" s="41"/>
      <c r="AR17" s="17" t="s">
        <v>60</v>
      </c>
      <c r="AS17" s="9">
        <v>0</v>
      </c>
      <c r="AT17" s="17" t="s">
        <v>60</v>
      </c>
      <c r="AU17" s="9">
        <v>0</v>
      </c>
      <c r="AV17" s="25">
        <v>0</v>
      </c>
      <c r="AW17" s="9" t="str">
        <f t="shared" si="3"/>
        <v/>
      </c>
      <c r="AX17" s="25">
        <v>0</v>
      </c>
      <c r="AY17" s="9" t="str">
        <f>IF((AX17-AX16&lt;0), "",AX17-AX16)</f>
        <v/>
      </c>
      <c r="AZ17" s="25">
        <v>0</v>
      </c>
      <c r="BA17" s="9" t="str">
        <f t="shared" si="5"/>
        <v/>
      </c>
      <c r="BB17" s="25">
        <v>0</v>
      </c>
      <c r="BC17" s="9" t="str">
        <f t="shared" si="13"/>
        <v/>
      </c>
      <c r="BD17" s="25">
        <v>0</v>
      </c>
      <c r="BE17" s="25">
        <v>0</v>
      </c>
      <c r="BH17">
        <f t="shared" si="0"/>
        <v>0</v>
      </c>
    </row>
    <row r="18" spans="1:60" ht="45" customHeight="1">
      <c r="A18" s="8">
        <v>44973</v>
      </c>
      <c r="B18" s="40"/>
      <c r="C18" s="25">
        <v>0</v>
      </c>
      <c r="D18" s="9">
        <f>IF((C18-C17&lt;0), "0",C18-C17)</f>
        <v>0</v>
      </c>
      <c r="E18" s="25">
        <v>0</v>
      </c>
      <c r="F18" s="9">
        <f t="shared" si="7"/>
        <v>0</v>
      </c>
      <c r="G18" s="25">
        <v>0</v>
      </c>
      <c r="H18" s="9">
        <f t="shared" si="1"/>
        <v>0</v>
      </c>
      <c r="I18" s="25">
        <v>0</v>
      </c>
      <c r="J18" s="9">
        <f t="shared" si="8"/>
        <v>0</v>
      </c>
      <c r="K18" s="25">
        <v>0</v>
      </c>
      <c r="L18" s="9">
        <f t="shared" si="8"/>
        <v>0</v>
      </c>
      <c r="M18" s="25">
        <v>0</v>
      </c>
      <c r="N18" s="9">
        <f t="shared" ref="N18" si="58">IF((M18-M17&lt;0), "0",M18-M17)</f>
        <v>0</v>
      </c>
      <c r="O18" s="25">
        <v>0</v>
      </c>
      <c r="P18" s="9">
        <f t="shared" ref="P18" si="59">IF((O18-O17&lt;0), "0",O18-O17)</f>
        <v>0</v>
      </c>
      <c r="Q18" s="25">
        <v>0</v>
      </c>
      <c r="R18" s="9">
        <f>IF((Q17-Q18&lt;0), "0",Q17-Q18)</f>
        <v>0</v>
      </c>
      <c r="S18" s="25">
        <v>0</v>
      </c>
      <c r="T18" s="9">
        <f t="shared" ref="T18" si="60">IF((S18-S17&lt;0), "0",S18-S17)</f>
        <v>0</v>
      </c>
      <c r="U18" s="25">
        <v>0</v>
      </c>
      <c r="V18" s="9">
        <f t="shared" si="53"/>
        <v>0</v>
      </c>
      <c r="W18" s="25">
        <v>0</v>
      </c>
      <c r="X18" s="9">
        <f t="shared" si="53"/>
        <v>0</v>
      </c>
      <c r="Y18" s="25">
        <v>0</v>
      </c>
      <c r="Z18" s="9">
        <f t="shared" si="53"/>
        <v>0</v>
      </c>
      <c r="AA18" s="25">
        <v>0</v>
      </c>
      <c r="AB18" s="9">
        <f t="shared" si="53"/>
        <v>0</v>
      </c>
      <c r="AC18" s="25">
        <v>0</v>
      </c>
      <c r="AD18" s="9">
        <f t="shared" si="53"/>
        <v>0</v>
      </c>
      <c r="AE18" s="25">
        <v>0</v>
      </c>
      <c r="AF18" s="9">
        <f t="shared" si="53"/>
        <v>0</v>
      </c>
      <c r="AG18" s="25">
        <v>0</v>
      </c>
      <c r="AH18" s="9">
        <f t="shared" si="53"/>
        <v>0</v>
      </c>
      <c r="AI18" s="25">
        <v>0</v>
      </c>
      <c r="AJ18" s="9">
        <f t="shared" si="53"/>
        <v>0</v>
      </c>
      <c r="AK18" s="25">
        <v>0</v>
      </c>
      <c r="AL18" s="9">
        <f t="shared" si="53"/>
        <v>0</v>
      </c>
      <c r="AM18" s="25">
        <v>0</v>
      </c>
      <c r="AN18" s="9">
        <f>IF((AM17-AM18&lt;0), "",AM17-AM18)</f>
        <v>0</v>
      </c>
      <c r="AO18" s="25">
        <v>0</v>
      </c>
      <c r="AP18" s="9">
        <f t="shared" si="53"/>
        <v>0</v>
      </c>
      <c r="AQ18" s="41"/>
      <c r="AR18" s="17" t="s">
        <v>60</v>
      </c>
      <c r="AS18" s="9">
        <v>0</v>
      </c>
      <c r="AT18" s="17" t="s">
        <v>60</v>
      </c>
      <c r="AU18" s="9">
        <v>0</v>
      </c>
      <c r="AV18" s="25">
        <v>0</v>
      </c>
      <c r="AW18" s="9">
        <f t="shared" si="3"/>
        <v>0</v>
      </c>
      <c r="AX18" s="25">
        <v>0</v>
      </c>
      <c r="AY18" s="9">
        <f t="shared" si="4"/>
        <v>0</v>
      </c>
      <c r="AZ18" s="25">
        <v>0</v>
      </c>
      <c r="BA18" s="9">
        <f t="shared" si="5"/>
        <v>0</v>
      </c>
      <c r="BB18" s="25">
        <v>0</v>
      </c>
      <c r="BC18" s="9">
        <f t="shared" si="13"/>
        <v>0</v>
      </c>
      <c r="BD18" s="25">
        <v>0</v>
      </c>
      <c r="BE18" s="25">
        <v>0</v>
      </c>
      <c r="BH18">
        <f t="shared" si="0"/>
        <v>0</v>
      </c>
    </row>
    <row r="19" spans="1:60" ht="45" customHeight="1">
      <c r="A19" s="8">
        <v>44974</v>
      </c>
      <c r="B19" s="40"/>
      <c r="C19" s="25">
        <v>0</v>
      </c>
      <c r="D19" s="9">
        <f t="shared" si="6"/>
        <v>0</v>
      </c>
      <c r="E19" s="25">
        <v>0</v>
      </c>
      <c r="F19" s="9">
        <f t="shared" si="7"/>
        <v>0</v>
      </c>
      <c r="G19" s="25">
        <v>0</v>
      </c>
      <c r="H19" s="9">
        <f t="shared" si="1"/>
        <v>0</v>
      </c>
      <c r="I19" s="25">
        <v>0</v>
      </c>
      <c r="J19" s="9">
        <f t="shared" si="8"/>
        <v>0</v>
      </c>
      <c r="K19" s="25">
        <v>0</v>
      </c>
      <c r="L19" s="9">
        <f t="shared" si="8"/>
        <v>0</v>
      </c>
      <c r="M19" s="25">
        <v>0</v>
      </c>
      <c r="N19" s="9">
        <f t="shared" ref="N19" si="61">IF((M19-M18&lt;0), "0",M19-M18)</f>
        <v>0</v>
      </c>
      <c r="O19" s="25">
        <v>0</v>
      </c>
      <c r="P19" s="9">
        <f t="shared" ref="P19" si="62">IF((O19-O18&lt;0), "0",O19-O18)</f>
        <v>0</v>
      </c>
      <c r="Q19" s="25">
        <v>0</v>
      </c>
      <c r="R19" s="9">
        <f t="shared" ref="R19" si="63">IF((Q19-Q18&lt;0), "0",Q19-Q18)</f>
        <v>0</v>
      </c>
      <c r="S19" s="25">
        <v>0</v>
      </c>
      <c r="T19" s="9">
        <f t="shared" ref="T19" si="64">IF((S19-S18&lt;0), "0",S19-S18)</f>
        <v>0</v>
      </c>
      <c r="U19" s="25">
        <v>0</v>
      </c>
      <c r="V19" s="9">
        <f t="shared" si="53"/>
        <v>0</v>
      </c>
      <c r="W19" s="25">
        <v>0</v>
      </c>
      <c r="X19" s="9">
        <f t="shared" si="53"/>
        <v>0</v>
      </c>
      <c r="Y19" s="25">
        <v>0</v>
      </c>
      <c r="Z19" s="9">
        <f t="shared" si="53"/>
        <v>0</v>
      </c>
      <c r="AA19" s="25">
        <v>0</v>
      </c>
      <c r="AB19" s="9">
        <f t="shared" si="53"/>
        <v>0</v>
      </c>
      <c r="AC19" s="25">
        <v>0</v>
      </c>
      <c r="AD19" s="9">
        <f t="shared" si="53"/>
        <v>0</v>
      </c>
      <c r="AE19" s="25">
        <v>0</v>
      </c>
      <c r="AF19" s="9">
        <f t="shared" si="53"/>
        <v>0</v>
      </c>
      <c r="AG19" s="25">
        <v>0</v>
      </c>
      <c r="AH19" s="9">
        <f t="shared" si="53"/>
        <v>0</v>
      </c>
      <c r="AI19" s="25">
        <v>0</v>
      </c>
      <c r="AJ19" s="9">
        <f t="shared" si="53"/>
        <v>0</v>
      </c>
      <c r="AK19" s="25">
        <v>0</v>
      </c>
      <c r="AL19" s="9">
        <f t="shared" si="53"/>
        <v>0</v>
      </c>
      <c r="AM19" s="25">
        <v>0</v>
      </c>
      <c r="AN19" s="9">
        <f t="shared" si="53"/>
        <v>0</v>
      </c>
      <c r="AO19" s="25">
        <v>0</v>
      </c>
      <c r="AP19" s="9">
        <f t="shared" si="53"/>
        <v>0</v>
      </c>
      <c r="AQ19" s="41"/>
      <c r="AR19" s="17" t="s">
        <v>60</v>
      </c>
      <c r="AS19" s="9">
        <v>0</v>
      </c>
      <c r="AT19" s="17" t="s">
        <v>60</v>
      </c>
      <c r="AU19" s="9">
        <v>0</v>
      </c>
      <c r="AV19" s="25">
        <v>0</v>
      </c>
      <c r="AW19" s="9">
        <f t="shared" si="3"/>
        <v>0</v>
      </c>
      <c r="AX19" s="25">
        <v>0</v>
      </c>
      <c r="AY19" s="9">
        <f t="shared" si="4"/>
        <v>0</v>
      </c>
      <c r="AZ19" s="25">
        <v>0</v>
      </c>
      <c r="BA19" s="9">
        <f t="shared" si="5"/>
        <v>0</v>
      </c>
      <c r="BB19" s="25">
        <v>0</v>
      </c>
      <c r="BC19" s="9">
        <f t="shared" si="13"/>
        <v>0</v>
      </c>
      <c r="BD19" s="25">
        <v>0</v>
      </c>
      <c r="BE19" s="25">
        <v>0</v>
      </c>
      <c r="BH19">
        <f t="shared" si="0"/>
        <v>0</v>
      </c>
    </row>
    <row r="20" spans="1:60" ht="45" customHeight="1">
      <c r="A20" s="8">
        <v>44975</v>
      </c>
      <c r="B20" s="40"/>
      <c r="C20" s="25">
        <v>0</v>
      </c>
      <c r="D20" s="9">
        <f t="shared" si="6"/>
        <v>0</v>
      </c>
      <c r="E20" s="25">
        <v>0</v>
      </c>
      <c r="F20" s="9">
        <f t="shared" si="7"/>
        <v>0</v>
      </c>
      <c r="G20" s="25">
        <v>0</v>
      </c>
      <c r="H20" s="9">
        <f t="shared" si="1"/>
        <v>0</v>
      </c>
      <c r="I20" s="25">
        <v>0</v>
      </c>
      <c r="J20" s="9">
        <f t="shared" si="8"/>
        <v>0</v>
      </c>
      <c r="K20" s="25">
        <v>0</v>
      </c>
      <c r="L20" s="9">
        <f t="shared" si="8"/>
        <v>0</v>
      </c>
      <c r="M20" s="25">
        <v>0</v>
      </c>
      <c r="N20" s="9">
        <f t="shared" ref="N20" si="65">IF((M20-M19&lt;0), "0",M20-M19)</f>
        <v>0</v>
      </c>
      <c r="O20" s="25">
        <v>0</v>
      </c>
      <c r="P20" s="9">
        <f t="shared" ref="P20" si="66">IF((O20-O19&lt;0), "0",O20-O19)</f>
        <v>0</v>
      </c>
      <c r="Q20" s="25">
        <v>0</v>
      </c>
      <c r="R20" s="9">
        <f t="shared" ref="R20" si="67">IF((Q20-Q19&lt;0), "0",Q20-Q19)</f>
        <v>0</v>
      </c>
      <c r="S20" s="25">
        <v>0</v>
      </c>
      <c r="T20" s="9">
        <f t="shared" ref="T20" si="68">IF((S20-S19&lt;0), "0",S20-S19)</f>
        <v>0</v>
      </c>
      <c r="U20" s="25">
        <v>0</v>
      </c>
      <c r="V20" s="9">
        <f t="shared" si="53"/>
        <v>0</v>
      </c>
      <c r="W20" s="25">
        <v>0</v>
      </c>
      <c r="X20" s="9">
        <f t="shared" si="53"/>
        <v>0</v>
      </c>
      <c r="Y20" s="25">
        <v>0</v>
      </c>
      <c r="Z20" s="9">
        <f t="shared" si="53"/>
        <v>0</v>
      </c>
      <c r="AA20" s="25">
        <v>0</v>
      </c>
      <c r="AB20" s="9">
        <f t="shared" si="53"/>
        <v>0</v>
      </c>
      <c r="AC20" s="25">
        <v>0</v>
      </c>
      <c r="AD20" s="9">
        <f t="shared" si="53"/>
        <v>0</v>
      </c>
      <c r="AE20" s="25">
        <v>0</v>
      </c>
      <c r="AF20" s="9">
        <f t="shared" si="53"/>
        <v>0</v>
      </c>
      <c r="AG20" s="25">
        <v>0</v>
      </c>
      <c r="AH20" s="9">
        <f t="shared" si="53"/>
        <v>0</v>
      </c>
      <c r="AI20" s="25">
        <v>0</v>
      </c>
      <c r="AJ20" s="9">
        <f t="shared" si="53"/>
        <v>0</v>
      </c>
      <c r="AK20" s="25">
        <v>0</v>
      </c>
      <c r="AL20" s="9">
        <f t="shared" si="53"/>
        <v>0</v>
      </c>
      <c r="AM20" s="25">
        <v>0</v>
      </c>
      <c r="AN20" s="9">
        <f t="shared" si="53"/>
        <v>0</v>
      </c>
      <c r="AO20" s="25">
        <v>0</v>
      </c>
      <c r="AP20" s="9">
        <f t="shared" si="53"/>
        <v>0</v>
      </c>
      <c r="AQ20" s="41"/>
      <c r="AR20" s="17" t="s">
        <v>60</v>
      </c>
      <c r="AS20" s="9">
        <v>0</v>
      </c>
      <c r="AT20" s="17" t="s">
        <v>60</v>
      </c>
      <c r="AU20" s="9">
        <v>0</v>
      </c>
      <c r="AV20" s="25">
        <v>0</v>
      </c>
      <c r="AW20" s="9">
        <f t="shared" si="3"/>
        <v>0</v>
      </c>
      <c r="AX20" s="25">
        <v>0</v>
      </c>
      <c r="AY20" s="9">
        <f t="shared" si="4"/>
        <v>0</v>
      </c>
      <c r="AZ20" s="25">
        <v>0</v>
      </c>
      <c r="BA20" s="9">
        <f t="shared" si="5"/>
        <v>0</v>
      </c>
      <c r="BB20" s="25">
        <v>0</v>
      </c>
      <c r="BC20" s="9">
        <f t="shared" si="13"/>
        <v>0</v>
      </c>
      <c r="BD20" s="25">
        <v>0</v>
      </c>
      <c r="BE20" s="25">
        <v>0</v>
      </c>
      <c r="BH20">
        <f t="shared" si="0"/>
        <v>0</v>
      </c>
    </row>
    <row r="21" spans="1:60" ht="45" customHeight="1">
      <c r="A21" s="8">
        <v>44976</v>
      </c>
      <c r="B21" s="40"/>
      <c r="C21" s="25">
        <v>0</v>
      </c>
      <c r="D21" s="9">
        <f t="shared" si="6"/>
        <v>0</v>
      </c>
      <c r="E21" s="25">
        <v>0</v>
      </c>
      <c r="F21" s="9">
        <f t="shared" si="7"/>
        <v>0</v>
      </c>
      <c r="G21" s="25">
        <v>0</v>
      </c>
      <c r="H21" s="9">
        <f t="shared" si="1"/>
        <v>0</v>
      </c>
      <c r="I21" s="25">
        <v>0</v>
      </c>
      <c r="J21" s="9">
        <f t="shared" si="8"/>
        <v>0</v>
      </c>
      <c r="K21" s="25">
        <v>0</v>
      </c>
      <c r="L21" s="9">
        <f t="shared" si="8"/>
        <v>0</v>
      </c>
      <c r="M21" s="25">
        <v>0</v>
      </c>
      <c r="N21" s="9">
        <f t="shared" ref="N21" si="69">IF((M21-M20&lt;0), "0",M21-M20)</f>
        <v>0</v>
      </c>
      <c r="O21" s="25">
        <v>0</v>
      </c>
      <c r="P21" s="9">
        <f t="shared" ref="P21" si="70">IF((O21-O20&lt;0), "0",O21-O20)</f>
        <v>0</v>
      </c>
      <c r="Q21" s="25">
        <v>0</v>
      </c>
      <c r="R21" s="9">
        <f t="shared" ref="R21" si="71">IF((Q21-Q20&lt;0), "0",Q21-Q20)</f>
        <v>0</v>
      </c>
      <c r="S21" s="25">
        <v>0</v>
      </c>
      <c r="T21" s="9">
        <f t="shared" ref="T21" si="72">IF((S21-S20&lt;0), "0",S21-S20)</f>
        <v>0</v>
      </c>
      <c r="U21" s="25">
        <v>0</v>
      </c>
      <c r="V21" s="9">
        <f t="shared" si="53"/>
        <v>0</v>
      </c>
      <c r="W21" s="25">
        <v>0</v>
      </c>
      <c r="X21" s="9">
        <f t="shared" si="53"/>
        <v>0</v>
      </c>
      <c r="Y21" s="25">
        <v>0</v>
      </c>
      <c r="Z21" s="9">
        <f t="shared" si="53"/>
        <v>0</v>
      </c>
      <c r="AA21" s="25">
        <v>0</v>
      </c>
      <c r="AB21" s="9">
        <f t="shared" si="53"/>
        <v>0</v>
      </c>
      <c r="AC21" s="25">
        <v>0</v>
      </c>
      <c r="AD21" s="9">
        <f t="shared" si="53"/>
        <v>0</v>
      </c>
      <c r="AE21" s="25">
        <v>0</v>
      </c>
      <c r="AF21" s="9">
        <f t="shared" si="53"/>
        <v>0</v>
      </c>
      <c r="AG21" s="25">
        <v>0</v>
      </c>
      <c r="AH21" s="9">
        <f t="shared" si="53"/>
        <v>0</v>
      </c>
      <c r="AI21" s="25">
        <v>0</v>
      </c>
      <c r="AJ21" s="9">
        <f t="shared" si="53"/>
        <v>0</v>
      </c>
      <c r="AK21" s="25">
        <v>0</v>
      </c>
      <c r="AL21" s="9">
        <f t="shared" si="53"/>
        <v>0</v>
      </c>
      <c r="AM21" s="25">
        <v>0</v>
      </c>
      <c r="AN21" s="9">
        <f t="shared" si="53"/>
        <v>0</v>
      </c>
      <c r="AO21" s="25">
        <v>0</v>
      </c>
      <c r="AP21" s="9">
        <f t="shared" si="53"/>
        <v>0</v>
      </c>
      <c r="AQ21" s="41"/>
      <c r="AR21" s="17" t="s">
        <v>60</v>
      </c>
      <c r="AS21" s="9">
        <v>0</v>
      </c>
      <c r="AT21" s="17" t="s">
        <v>60</v>
      </c>
      <c r="AU21" s="9">
        <v>0</v>
      </c>
      <c r="AV21" s="25">
        <v>0</v>
      </c>
      <c r="AW21" s="9">
        <f t="shared" si="3"/>
        <v>0</v>
      </c>
      <c r="AX21" s="25">
        <v>0</v>
      </c>
      <c r="AY21" s="9">
        <f t="shared" si="4"/>
        <v>0</v>
      </c>
      <c r="AZ21" s="25">
        <v>0</v>
      </c>
      <c r="BA21" s="9">
        <f t="shared" si="5"/>
        <v>0</v>
      </c>
      <c r="BB21" s="25">
        <v>0</v>
      </c>
      <c r="BC21" s="9">
        <f t="shared" si="13"/>
        <v>0</v>
      </c>
      <c r="BD21" s="25">
        <v>0</v>
      </c>
      <c r="BE21" s="25">
        <v>0</v>
      </c>
      <c r="BH21">
        <f t="shared" si="0"/>
        <v>0</v>
      </c>
    </row>
    <row r="22" spans="1:60" ht="45" customHeight="1">
      <c r="A22" s="8">
        <v>44977</v>
      </c>
      <c r="B22" s="40"/>
      <c r="C22" s="25">
        <v>0</v>
      </c>
      <c r="D22" s="9">
        <f t="shared" si="6"/>
        <v>0</v>
      </c>
      <c r="E22" s="25">
        <v>0</v>
      </c>
      <c r="F22" s="9">
        <f t="shared" si="7"/>
        <v>0</v>
      </c>
      <c r="G22" s="25">
        <v>0</v>
      </c>
      <c r="H22" s="9">
        <f t="shared" si="1"/>
        <v>0</v>
      </c>
      <c r="I22" s="25">
        <v>0</v>
      </c>
      <c r="J22" s="9">
        <f t="shared" si="8"/>
        <v>0</v>
      </c>
      <c r="K22" s="25">
        <v>0</v>
      </c>
      <c r="L22" s="9">
        <f t="shared" si="8"/>
        <v>0</v>
      </c>
      <c r="M22" s="25">
        <v>0</v>
      </c>
      <c r="N22" s="9">
        <f t="shared" ref="N22" si="73">IF((M22-M21&lt;0), "0",M22-M21)</f>
        <v>0</v>
      </c>
      <c r="O22" s="25">
        <v>0</v>
      </c>
      <c r="P22" s="9">
        <f t="shared" ref="P22" si="74">IF((O22-O21&lt;0), "0",O22-O21)</f>
        <v>0</v>
      </c>
      <c r="Q22" s="25">
        <v>0</v>
      </c>
      <c r="R22" s="9">
        <f t="shared" ref="R22" si="75">IF((Q22-Q21&lt;0), "0",Q22-Q21)</f>
        <v>0</v>
      </c>
      <c r="S22" s="25">
        <v>0</v>
      </c>
      <c r="T22" s="9">
        <f t="shared" ref="T22" si="76">IF((S22-S21&lt;0), "0",S22-S21)</f>
        <v>0</v>
      </c>
      <c r="U22" s="25">
        <v>0</v>
      </c>
      <c r="V22" s="9">
        <f t="shared" si="53"/>
        <v>0</v>
      </c>
      <c r="W22" s="25">
        <v>0</v>
      </c>
      <c r="X22" s="9">
        <f t="shared" si="53"/>
        <v>0</v>
      </c>
      <c r="Y22" s="25">
        <v>0</v>
      </c>
      <c r="Z22" s="9">
        <f t="shared" si="53"/>
        <v>0</v>
      </c>
      <c r="AA22" s="25">
        <v>0</v>
      </c>
      <c r="AB22" s="9">
        <f t="shared" si="53"/>
        <v>0</v>
      </c>
      <c r="AC22" s="25">
        <v>0</v>
      </c>
      <c r="AD22" s="9">
        <f t="shared" si="53"/>
        <v>0</v>
      </c>
      <c r="AE22" s="25">
        <v>0</v>
      </c>
      <c r="AF22" s="9">
        <f t="shared" si="53"/>
        <v>0</v>
      </c>
      <c r="AG22" s="25">
        <v>0</v>
      </c>
      <c r="AH22" s="9">
        <f t="shared" si="53"/>
        <v>0</v>
      </c>
      <c r="AI22" s="25">
        <v>0</v>
      </c>
      <c r="AJ22" s="9">
        <f t="shared" si="53"/>
        <v>0</v>
      </c>
      <c r="AK22" s="25">
        <v>0</v>
      </c>
      <c r="AL22" s="9">
        <f t="shared" si="53"/>
        <v>0</v>
      </c>
      <c r="AM22" s="25">
        <v>0</v>
      </c>
      <c r="AN22" s="9">
        <f t="shared" si="53"/>
        <v>0</v>
      </c>
      <c r="AO22" s="25">
        <v>0</v>
      </c>
      <c r="AP22" s="9">
        <f t="shared" si="53"/>
        <v>0</v>
      </c>
      <c r="AQ22" s="41"/>
      <c r="AR22" s="17">
        <v>0</v>
      </c>
      <c r="AS22" s="9" t="str">
        <f>IF((AR22-AR12&lt;0), "",AR22-AR12)</f>
        <v/>
      </c>
      <c r="AT22" s="17">
        <v>0</v>
      </c>
      <c r="AU22" s="9" t="str">
        <f>IF((AT22-AT12&lt;0), "",AT22-AT12)</f>
        <v/>
      </c>
      <c r="AV22" s="25">
        <v>0</v>
      </c>
      <c r="AW22" s="9">
        <f>IF((AV22-AV21&lt;0), "",AV22-AV21)</f>
        <v>0</v>
      </c>
      <c r="AX22" s="25">
        <v>0</v>
      </c>
      <c r="AY22" s="9">
        <f t="shared" si="4"/>
        <v>0</v>
      </c>
      <c r="AZ22" s="25">
        <v>0</v>
      </c>
      <c r="BA22" s="9">
        <f t="shared" si="5"/>
        <v>0</v>
      </c>
      <c r="BB22" s="25">
        <v>0</v>
      </c>
      <c r="BC22" s="9">
        <f t="shared" si="13"/>
        <v>0</v>
      </c>
      <c r="BD22" s="25">
        <v>0</v>
      </c>
      <c r="BE22" s="25">
        <v>0</v>
      </c>
      <c r="BH22">
        <f t="shared" si="0"/>
        <v>0</v>
      </c>
    </row>
    <row r="23" spans="1:60" ht="45" customHeight="1">
      <c r="A23" s="8">
        <v>44978</v>
      </c>
      <c r="B23" s="40"/>
      <c r="C23" s="25">
        <v>0</v>
      </c>
      <c r="D23" s="9">
        <f t="shared" si="6"/>
        <v>0</v>
      </c>
      <c r="E23" s="25">
        <v>0</v>
      </c>
      <c r="F23" s="9">
        <f t="shared" si="7"/>
        <v>0</v>
      </c>
      <c r="G23" s="25">
        <v>0</v>
      </c>
      <c r="H23" s="9">
        <f t="shared" si="1"/>
        <v>0</v>
      </c>
      <c r="I23" s="25">
        <v>0</v>
      </c>
      <c r="J23" s="9">
        <f t="shared" si="8"/>
        <v>0</v>
      </c>
      <c r="K23" s="25">
        <v>0</v>
      </c>
      <c r="L23" s="9">
        <f t="shared" si="8"/>
        <v>0</v>
      </c>
      <c r="M23" s="25">
        <v>0</v>
      </c>
      <c r="N23" s="9">
        <f t="shared" ref="N23" si="77">IF((M23-M22&lt;0), "0",M23-M22)</f>
        <v>0</v>
      </c>
      <c r="O23" s="25">
        <v>0</v>
      </c>
      <c r="P23" s="9">
        <f t="shared" ref="P23" si="78">IF((O23-O22&lt;0), "0",O23-O22)</f>
        <v>0</v>
      </c>
      <c r="Q23" s="25">
        <v>0</v>
      </c>
      <c r="R23" s="9">
        <f t="shared" ref="R23" si="79">IF((Q23-Q22&lt;0), "0",Q23-Q22)</f>
        <v>0</v>
      </c>
      <c r="S23" s="25">
        <v>0</v>
      </c>
      <c r="T23" s="9">
        <f t="shared" ref="T23" si="80">IF((S23-S22&lt;0), "0",S23-S22)</f>
        <v>0</v>
      </c>
      <c r="U23" s="25">
        <v>0</v>
      </c>
      <c r="V23" s="9">
        <f t="shared" si="53"/>
        <v>0</v>
      </c>
      <c r="W23" s="25">
        <v>0</v>
      </c>
      <c r="X23" s="9">
        <f t="shared" si="53"/>
        <v>0</v>
      </c>
      <c r="Y23" s="25">
        <v>0</v>
      </c>
      <c r="Z23" s="9">
        <f t="shared" si="53"/>
        <v>0</v>
      </c>
      <c r="AA23" s="25">
        <v>0</v>
      </c>
      <c r="AB23" s="9">
        <f t="shared" si="53"/>
        <v>0</v>
      </c>
      <c r="AC23" s="25">
        <v>0</v>
      </c>
      <c r="AD23" s="9">
        <f t="shared" si="53"/>
        <v>0</v>
      </c>
      <c r="AE23" s="25">
        <v>0</v>
      </c>
      <c r="AF23" s="9">
        <f t="shared" si="53"/>
        <v>0</v>
      </c>
      <c r="AG23" s="25">
        <v>0</v>
      </c>
      <c r="AH23" s="9">
        <f t="shared" si="53"/>
        <v>0</v>
      </c>
      <c r="AI23" s="25">
        <v>0</v>
      </c>
      <c r="AJ23" s="9">
        <f t="shared" si="53"/>
        <v>0</v>
      </c>
      <c r="AK23" s="25">
        <v>0</v>
      </c>
      <c r="AL23" s="9">
        <f t="shared" si="53"/>
        <v>0</v>
      </c>
      <c r="AM23" s="25">
        <v>0</v>
      </c>
      <c r="AN23" s="9">
        <f t="shared" si="53"/>
        <v>0</v>
      </c>
      <c r="AO23" s="25">
        <v>0</v>
      </c>
      <c r="AP23" s="9">
        <f t="shared" si="53"/>
        <v>0</v>
      </c>
      <c r="AQ23" s="41"/>
      <c r="AR23" s="17" t="s">
        <v>60</v>
      </c>
      <c r="AS23" s="9">
        <v>0</v>
      </c>
      <c r="AT23" s="17" t="s">
        <v>60</v>
      </c>
      <c r="AU23" s="9">
        <v>0</v>
      </c>
      <c r="AV23" s="25">
        <v>0</v>
      </c>
      <c r="AW23" s="9">
        <f t="shared" si="3"/>
        <v>0</v>
      </c>
      <c r="AX23" s="25">
        <v>0</v>
      </c>
      <c r="AY23" s="9">
        <f t="shared" si="4"/>
        <v>0</v>
      </c>
      <c r="AZ23" s="25">
        <v>0</v>
      </c>
      <c r="BA23" s="9">
        <f t="shared" si="5"/>
        <v>0</v>
      </c>
      <c r="BB23" s="25">
        <v>0</v>
      </c>
      <c r="BC23" s="9">
        <f t="shared" si="13"/>
        <v>0</v>
      </c>
      <c r="BD23" s="25">
        <v>0</v>
      </c>
      <c r="BE23" s="25">
        <v>0</v>
      </c>
      <c r="BH23">
        <f t="shared" si="0"/>
        <v>0</v>
      </c>
    </row>
    <row r="24" spans="1:60" ht="45" customHeight="1">
      <c r="A24" s="8">
        <v>44979</v>
      </c>
      <c r="B24" s="40"/>
      <c r="C24" s="25">
        <v>0</v>
      </c>
      <c r="D24" s="9">
        <f t="shared" si="6"/>
        <v>0</v>
      </c>
      <c r="E24" s="25">
        <v>0</v>
      </c>
      <c r="F24" s="9">
        <f t="shared" si="7"/>
        <v>0</v>
      </c>
      <c r="G24" s="25">
        <v>0</v>
      </c>
      <c r="H24" s="9">
        <f t="shared" si="1"/>
        <v>0</v>
      </c>
      <c r="I24" s="25">
        <v>0</v>
      </c>
      <c r="J24" s="9">
        <f t="shared" si="8"/>
        <v>0</v>
      </c>
      <c r="K24" s="25">
        <v>0</v>
      </c>
      <c r="L24" s="9">
        <f t="shared" si="8"/>
        <v>0</v>
      </c>
      <c r="M24" s="25">
        <v>0</v>
      </c>
      <c r="N24" s="9">
        <f t="shared" ref="N24" si="81">IF((M24-M23&lt;0), "0",M24-M23)</f>
        <v>0</v>
      </c>
      <c r="O24" s="25">
        <v>0</v>
      </c>
      <c r="P24" s="9">
        <f t="shared" ref="P24" si="82">IF((O24-O23&lt;0), "0",O24-O23)</f>
        <v>0</v>
      </c>
      <c r="Q24" s="25">
        <v>0</v>
      </c>
      <c r="R24" s="9">
        <f t="shared" ref="R24" si="83">IF((Q24-Q23&lt;0), "0",Q24-Q23)</f>
        <v>0</v>
      </c>
      <c r="S24" s="25">
        <v>0</v>
      </c>
      <c r="T24" s="9">
        <f t="shared" ref="T24" si="84">IF((S24-S23&lt;0), "0",S24-S23)</f>
        <v>0</v>
      </c>
      <c r="U24" s="25">
        <v>0</v>
      </c>
      <c r="V24" s="9">
        <f t="shared" si="53"/>
        <v>0</v>
      </c>
      <c r="W24" s="25">
        <v>0</v>
      </c>
      <c r="X24" s="9">
        <f t="shared" si="53"/>
        <v>0</v>
      </c>
      <c r="Y24" s="25">
        <v>0</v>
      </c>
      <c r="Z24" s="9">
        <f t="shared" si="53"/>
        <v>0</v>
      </c>
      <c r="AA24" s="25">
        <v>0</v>
      </c>
      <c r="AB24" s="9">
        <f t="shared" si="53"/>
        <v>0</v>
      </c>
      <c r="AC24" s="25">
        <v>0</v>
      </c>
      <c r="AD24" s="9">
        <f t="shared" si="53"/>
        <v>0</v>
      </c>
      <c r="AE24" s="25">
        <v>0</v>
      </c>
      <c r="AF24" s="9">
        <f t="shared" si="53"/>
        <v>0</v>
      </c>
      <c r="AG24" s="25">
        <v>0</v>
      </c>
      <c r="AH24" s="9">
        <f t="shared" si="53"/>
        <v>0</v>
      </c>
      <c r="AI24" s="25">
        <v>0</v>
      </c>
      <c r="AJ24" s="9">
        <f t="shared" si="53"/>
        <v>0</v>
      </c>
      <c r="AK24" s="25">
        <v>0</v>
      </c>
      <c r="AL24" s="9">
        <f t="shared" si="53"/>
        <v>0</v>
      </c>
      <c r="AM24" s="25">
        <v>0</v>
      </c>
      <c r="AN24" s="9">
        <f t="shared" si="53"/>
        <v>0</v>
      </c>
      <c r="AO24" s="25">
        <v>0</v>
      </c>
      <c r="AP24" s="9">
        <f t="shared" si="53"/>
        <v>0</v>
      </c>
      <c r="AQ24" s="41"/>
      <c r="AR24" s="17" t="s">
        <v>60</v>
      </c>
      <c r="AS24" s="9">
        <v>0</v>
      </c>
      <c r="AT24" s="17" t="s">
        <v>60</v>
      </c>
      <c r="AU24" s="9">
        <v>0</v>
      </c>
      <c r="AV24" s="25">
        <v>0</v>
      </c>
      <c r="AW24" s="9">
        <f t="shared" si="3"/>
        <v>0</v>
      </c>
      <c r="AX24" s="25">
        <v>0</v>
      </c>
      <c r="AY24" s="9">
        <f t="shared" si="4"/>
        <v>0</v>
      </c>
      <c r="AZ24" s="25">
        <v>0</v>
      </c>
      <c r="BA24" s="9">
        <f t="shared" si="5"/>
        <v>0</v>
      </c>
      <c r="BB24" s="25">
        <v>0</v>
      </c>
      <c r="BC24" s="9">
        <f t="shared" si="13"/>
        <v>0</v>
      </c>
      <c r="BD24" s="25">
        <v>0</v>
      </c>
      <c r="BE24" s="25">
        <v>0</v>
      </c>
      <c r="BH24">
        <f t="shared" si="0"/>
        <v>0</v>
      </c>
    </row>
    <row r="25" spans="1:60" ht="45" customHeight="1">
      <c r="A25" s="8">
        <v>44980</v>
      </c>
      <c r="B25" s="40"/>
      <c r="C25" s="25">
        <v>0</v>
      </c>
      <c r="D25" s="9">
        <f t="shared" si="6"/>
        <v>0</v>
      </c>
      <c r="E25" s="25">
        <v>0</v>
      </c>
      <c r="F25" s="9">
        <f t="shared" si="7"/>
        <v>0</v>
      </c>
      <c r="G25" s="25">
        <v>0</v>
      </c>
      <c r="H25" s="9">
        <f t="shared" si="1"/>
        <v>0</v>
      </c>
      <c r="I25" s="25">
        <v>0</v>
      </c>
      <c r="J25" s="9">
        <f t="shared" si="8"/>
        <v>0</v>
      </c>
      <c r="K25" s="25">
        <v>0</v>
      </c>
      <c r="L25" s="9">
        <f t="shared" si="8"/>
        <v>0</v>
      </c>
      <c r="M25" s="25">
        <v>0</v>
      </c>
      <c r="N25" s="9">
        <f t="shared" ref="N25:N26" si="85">IF((M25-M24&lt;0), "0",M25-M24)</f>
        <v>0</v>
      </c>
      <c r="O25" s="25">
        <v>0</v>
      </c>
      <c r="P25" s="9">
        <f t="shared" ref="P25:P26" si="86">IF((O25-O24&lt;0), "0",O25-O24)</f>
        <v>0</v>
      </c>
      <c r="Q25" s="25">
        <v>0</v>
      </c>
      <c r="R25" s="9">
        <f t="shared" ref="R25:R26" si="87">IF((Q25-Q24&lt;0), "0",Q25-Q24)</f>
        <v>0</v>
      </c>
      <c r="S25" s="25">
        <v>0</v>
      </c>
      <c r="T25" s="9">
        <f t="shared" ref="T25:T26" si="88">IF((S25-S24&lt;0), "0",S25-S24)</f>
        <v>0</v>
      </c>
      <c r="U25" s="25">
        <v>0</v>
      </c>
      <c r="V25" s="9">
        <f t="shared" si="53"/>
        <v>0</v>
      </c>
      <c r="W25" s="25">
        <v>0</v>
      </c>
      <c r="X25" s="9">
        <f t="shared" si="53"/>
        <v>0</v>
      </c>
      <c r="Y25" s="25">
        <v>0</v>
      </c>
      <c r="Z25" s="9">
        <f t="shared" si="53"/>
        <v>0</v>
      </c>
      <c r="AA25" s="25">
        <v>0</v>
      </c>
      <c r="AB25" s="9">
        <f t="shared" si="53"/>
        <v>0</v>
      </c>
      <c r="AC25" s="25">
        <v>0</v>
      </c>
      <c r="AD25" s="9">
        <f t="shared" si="53"/>
        <v>0</v>
      </c>
      <c r="AE25" s="25">
        <v>0</v>
      </c>
      <c r="AF25" s="9">
        <f t="shared" si="53"/>
        <v>0</v>
      </c>
      <c r="AG25" s="25">
        <v>0</v>
      </c>
      <c r="AH25" s="9">
        <f t="shared" si="53"/>
        <v>0</v>
      </c>
      <c r="AI25" s="25">
        <v>0</v>
      </c>
      <c r="AJ25" s="9">
        <f t="shared" si="53"/>
        <v>0</v>
      </c>
      <c r="AK25" s="25">
        <v>0</v>
      </c>
      <c r="AL25" s="9">
        <f t="shared" si="53"/>
        <v>0</v>
      </c>
      <c r="AM25" s="25">
        <v>0</v>
      </c>
      <c r="AN25" s="9">
        <f t="shared" si="53"/>
        <v>0</v>
      </c>
      <c r="AO25" s="25">
        <v>0</v>
      </c>
      <c r="AP25" s="9">
        <f t="shared" si="53"/>
        <v>0</v>
      </c>
      <c r="AQ25" s="41"/>
      <c r="AR25" s="17" t="s">
        <v>60</v>
      </c>
      <c r="AS25" s="9">
        <v>0</v>
      </c>
      <c r="AT25" s="17" t="s">
        <v>60</v>
      </c>
      <c r="AU25" s="9">
        <v>0</v>
      </c>
      <c r="AV25" s="25">
        <v>0</v>
      </c>
      <c r="AW25" s="9">
        <f t="shared" si="3"/>
        <v>0</v>
      </c>
      <c r="AX25" s="25">
        <v>0</v>
      </c>
      <c r="AY25" s="9">
        <f t="shared" si="4"/>
        <v>0</v>
      </c>
      <c r="AZ25" s="25">
        <v>0</v>
      </c>
      <c r="BA25" s="9">
        <f t="shared" si="5"/>
        <v>0</v>
      </c>
      <c r="BB25" s="25">
        <v>0</v>
      </c>
      <c r="BC25" s="9">
        <f t="shared" si="13"/>
        <v>0</v>
      </c>
      <c r="BD25" s="25">
        <v>0</v>
      </c>
      <c r="BE25" s="25">
        <v>0</v>
      </c>
      <c r="BH25">
        <f t="shared" si="0"/>
        <v>0</v>
      </c>
    </row>
    <row r="26" spans="1:60" ht="45" customHeight="1">
      <c r="A26" s="8">
        <v>44981</v>
      </c>
      <c r="B26" s="40"/>
      <c r="C26" s="25">
        <v>0</v>
      </c>
      <c r="D26" s="9">
        <f>IF((C26-C25&lt;0), "0",C26-C25)</f>
        <v>0</v>
      </c>
      <c r="E26" s="25">
        <v>0</v>
      </c>
      <c r="F26" s="9">
        <f>IF((E26-E25&lt;0), "0",E26-E25)</f>
        <v>0</v>
      </c>
      <c r="G26" s="25">
        <v>0</v>
      </c>
      <c r="H26" s="9">
        <f>IF((G26-G25&lt;0), "0",G26-G25)</f>
        <v>0</v>
      </c>
      <c r="I26" s="25">
        <v>0</v>
      </c>
      <c r="J26" s="9">
        <f t="shared" si="8"/>
        <v>0</v>
      </c>
      <c r="K26" s="25">
        <v>0</v>
      </c>
      <c r="L26" s="9">
        <f>IF((K26-K25&lt;0), "0",K26-K25)</f>
        <v>0</v>
      </c>
      <c r="M26" s="25">
        <v>0</v>
      </c>
      <c r="N26" s="9">
        <f t="shared" ref="N26:O27" si="89">IF((M26-M25&lt;0), "0",M26-M25)</f>
        <v>0</v>
      </c>
      <c r="O26" s="25">
        <v>0</v>
      </c>
      <c r="P26" s="9">
        <f t="shared" ref="P26" si="90">IF((O26-O25&lt;0), "0",O26-O25)</f>
        <v>0</v>
      </c>
      <c r="Q26" s="25">
        <v>0</v>
      </c>
      <c r="R26" s="9">
        <f t="shared" ref="R26" si="91">IF((Q26-Q25&lt;0), "0",Q26-Q25)</f>
        <v>0</v>
      </c>
      <c r="S26" s="25">
        <v>0</v>
      </c>
      <c r="T26" s="9">
        <f t="shared" ref="T26" si="92">IF((S26-S25&lt;0), "0",S26-S25)</f>
        <v>0</v>
      </c>
      <c r="U26" s="25">
        <v>0</v>
      </c>
      <c r="V26" s="9">
        <f t="shared" si="53"/>
        <v>0</v>
      </c>
      <c r="W26" s="25">
        <v>0</v>
      </c>
      <c r="X26" s="9">
        <f t="shared" si="53"/>
        <v>0</v>
      </c>
      <c r="Y26" s="25">
        <v>0</v>
      </c>
      <c r="Z26" s="9">
        <f t="shared" si="53"/>
        <v>0</v>
      </c>
      <c r="AA26" s="25">
        <v>0</v>
      </c>
      <c r="AB26" s="9">
        <f t="shared" si="53"/>
        <v>0</v>
      </c>
      <c r="AC26" s="25">
        <v>0</v>
      </c>
      <c r="AD26" s="27">
        <f t="shared" si="53"/>
        <v>0</v>
      </c>
      <c r="AE26" s="25">
        <v>0</v>
      </c>
      <c r="AF26" s="29">
        <f t="shared" si="53"/>
        <v>0</v>
      </c>
      <c r="AG26" s="25">
        <v>0</v>
      </c>
      <c r="AH26" s="28">
        <f t="shared" si="53"/>
        <v>0</v>
      </c>
      <c r="AI26" s="25">
        <v>0</v>
      </c>
      <c r="AJ26" s="9">
        <f t="shared" si="53"/>
        <v>0</v>
      </c>
      <c r="AK26" s="25">
        <v>0</v>
      </c>
      <c r="AL26" s="9">
        <f t="shared" si="53"/>
        <v>0</v>
      </c>
      <c r="AM26" s="25">
        <v>0</v>
      </c>
      <c r="AN26" s="9">
        <f t="shared" si="53"/>
        <v>0</v>
      </c>
      <c r="AO26" s="25">
        <v>0</v>
      </c>
      <c r="AP26" s="9">
        <f t="shared" si="53"/>
        <v>0</v>
      </c>
      <c r="AQ26" s="41"/>
      <c r="AR26" s="17" t="s">
        <v>60</v>
      </c>
      <c r="AS26" s="9">
        <v>0</v>
      </c>
      <c r="AT26" s="17" t="s">
        <v>60</v>
      </c>
      <c r="AU26" s="9">
        <v>0</v>
      </c>
      <c r="AV26" s="25">
        <v>0</v>
      </c>
      <c r="AW26" s="9">
        <f t="shared" si="3"/>
        <v>0</v>
      </c>
      <c r="AX26" s="25">
        <v>0</v>
      </c>
      <c r="AY26" s="9">
        <f t="shared" si="4"/>
        <v>0</v>
      </c>
      <c r="AZ26" s="25">
        <v>0</v>
      </c>
      <c r="BA26" s="9">
        <f t="shared" si="5"/>
        <v>0</v>
      </c>
      <c r="BB26" s="25">
        <v>0</v>
      </c>
      <c r="BC26" s="9">
        <f t="shared" si="13"/>
        <v>0</v>
      </c>
      <c r="BD26" s="25">
        <v>0</v>
      </c>
      <c r="BE26" s="25">
        <v>0</v>
      </c>
      <c r="BH26">
        <f t="shared" si="0"/>
        <v>0</v>
      </c>
    </row>
    <row r="27" spans="1:60" ht="45" customHeight="1">
      <c r="A27" s="8">
        <v>44982</v>
      </c>
      <c r="B27" s="40"/>
      <c r="C27" s="25">
        <v>0</v>
      </c>
      <c r="D27" s="9">
        <f>IF((C27-C26&lt;0), "0",C27-C26)</f>
        <v>0</v>
      </c>
      <c r="E27" s="25">
        <v>0</v>
      </c>
      <c r="F27" s="9">
        <f>IF((E27-E26&lt;0), "0",E27-E26)</f>
        <v>0</v>
      </c>
      <c r="G27" s="25">
        <v>0</v>
      </c>
      <c r="H27" s="9">
        <f t="shared" si="1"/>
        <v>0</v>
      </c>
      <c r="I27" s="25">
        <v>0</v>
      </c>
      <c r="J27" s="9">
        <f t="shared" si="8"/>
        <v>0</v>
      </c>
      <c r="K27" s="25">
        <v>0</v>
      </c>
      <c r="L27" s="9">
        <f t="shared" si="8"/>
        <v>0</v>
      </c>
      <c r="M27" s="25">
        <v>0</v>
      </c>
      <c r="N27" s="9">
        <f t="shared" ref="N27" si="93">IF((M27-M26&lt;0), "0",M27-M26)</f>
        <v>0</v>
      </c>
      <c r="O27" s="25">
        <v>0</v>
      </c>
      <c r="P27" s="9">
        <f t="shared" ref="P27" si="94">IF((O27-O26&lt;0), "0",O27-O26)</f>
        <v>0</v>
      </c>
      <c r="Q27" s="25">
        <v>0</v>
      </c>
      <c r="R27" s="9">
        <f t="shared" ref="R27" si="95">IF((Q27-Q26&lt;0), "0",Q27-Q26)</f>
        <v>0</v>
      </c>
      <c r="S27" s="25">
        <v>0</v>
      </c>
      <c r="T27" s="9">
        <f t="shared" ref="T27" si="96">IF((S27-S26&lt;0), "0",S27-S26)</f>
        <v>0</v>
      </c>
      <c r="U27" s="25">
        <v>0</v>
      </c>
      <c r="V27" s="9">
        <f t="shared" si="53"/>
        <v>0</v>
      </c>
      <c r="W27" s="25">
        <v>0</v>
      </c>
      <c r="X27" s="9">
        <f t="shared" si="53"/>
        <v>0</v>
      </c>
      <c r="Y27" s="25">
        <v>0</v>
      </c>
      <c r="Z27" s="9">
        <f t="shared" si="53"/>
        <v>0</v>
      </c>
      <c r="AA27" s="25">
        <v>0</v>
      </c>
      <c r="AB27" s="9">
        <f t="shared" si="53"/>
        <v>0</v>
      </c>
      <c r="AC27" s="25">
        <v>0</v>
      </c>
      <c r="AD27" s="27">
        <f t="shared" si="53"/>
        <v>0</v>
      </c>
      <c r="AE27" s="25">
        <v>0</v>
      </c>
      <c r="AF27" s="29">
        <f t="shared" si="53"/>
        <v>0</v>
      </c>
      <c r="AG27" s="25">
        <v>0</v>
      </c>
      <c r="AH27" s="28">
        <f t="shared" si="53"/>
        <v>0</v>
      </c>
      <c r="AI27" s="25">
        <v>0</v>
      </c>
      <c r="AJ27" s="9">
        <f t="shared" si="53"/>
        <v>0</v>
      </c>
      <c r="AK27" s="25">
        <v>0</v>
      </c>
      <c r="AL27" s="9">
        <f t="shared" si="53"/>
        <v>0</v>
      </c>
      <c r="AM27" s="25">
        <v>0</v>
      </c>
      <c r="AN27" s="9">
        <f t="shared" si="53"/>
        <v>0</v>
      </c>
      <c r="AO27" s="25">
        <v>0</v>
      </c>
      <c r="AP27" s="9">
        <f t="shared" si="53"/>
        <v>0</v>
      </c>
      <c r="AQ27" s="41"/>
      <c r="AR27" s="17" t="s">
        <v>60</v>
      </c>
      <c r="AS27" s="9">
        <v>0</v>
      </c>
      <c r="AT27" s="17" t="s">
        <v>60</v>
      </c>
      <c r="AU27" s="9">
        <v>0</v>
      </c>
      <c r="AV27" s="25">
        <v>0</v>
      </c>
      <c r="AW27" s="9">
        <f t="shared" si="3"/>
        <v>0</v>
      </c>
      <c r="AX27" s="25">
        <v>0</v>
      </c>
      <c r="AY27" s="9">
        <f t="shared" si="4"/>
        <v>0</v>
      </c>
      <c r="AZ27" s="25">
        <v>0</v>
      </c>
      <c r="BA27" s="9">
        <f t="shared" si="5"/>
        <v>0</v>
      </c>
      <c r="BB27" s="25">
        <v>0</v>
      </c>
      <c r="BC27" s="9">
        <f t="shared" si="13"/>
        <v>0</v>
      </c>
      <c r="BD27" s="25">
        <v>0</v>
      </c>
      <c r="BE27" s="25">
        <v>0</v>
      </c>
      <c r="BH27">
        <f t="shared" si="0"/>
        <v>0</v>
      </c>
    </row>
    <row r="28" spans="1:60" ht="45" customHeight="1">
      <c r="A28" s="8">
        <v>44983</v>
      </c>
      <c r="B28" s="40"/>
      <c r="C28" s="25">
        <v>0</v>
      </c>
      <c r="D28" s="9">
        <f t="shared" si="6"/>
        <v>0</v>
      </c>
      <c r="E28" s="25">
        <v>0</v>
      </c>
      <c r="F28" s="9">
        <f t="shared" si="7"/>
        <v>0</v>
      </c>
      <c r="G28" s="25">
        <v>0</v>
      </c>
      <c r="H28" s="9">
        <f t="shared" si="1"/>
        <v>0</v>
      </c>
      <c r="I28" s="25">
        <v>0</v>
      </c>
      <c r="J28" s="9">
        <f t="shared" si="8"/>
        <v>0</v>
      </c>
      <c r="K28" s="25">
        <v>0</v>
      </c>
      <c r="L28" s="9">
        <f t="shared" si="8"/>
        <v>0</v>
      </c>
      <c r="M28" s="25">
        <v>0</v>
      </c>
      <c r="N28" s="9">
        <f t="shared" ref="N28" si="97">IF((M28-M27&lt;0), "0",M28-M27)</f>
        <v>0</v>
      </c>
      <c r="O28" s="25">
        <v>0</v>
      </c>
      <c r="P28" s="9">
        <f t="shared" ref="P28" si="98">IF((O28-O27&lt;0), "0",O28-O27)</f>
        <v>0</v>
      </c>
      <c r="Q28" s="25">
        <v>0</v>
      </c>
      <c r="R28" s="9">
        <f t="shared" ref="R28" si="99">IF((Q28-Q27&lt;0), "0",Q28-Q27)</f>
        <v>0</v>
      </c>
      <c r="S28" s="25">
        <v>0</v>
      </c>
      <c r="T28" s="9">
        <f t="shared" ref="T28" si="100">IF((S28-S27&lt;0), "0",S28-S27)</f>
        <v>0</v>
      </c>
      <c r="U28" s="25">
        <v>0</v>
      </c>
      <c r="V28" s="9">
        <f t="shared" si="53"/>
        <v>0</v>
      </c>
      <c r="W28" s="25">
        <v>0</v>
      </c>
      <c r="X28" s="9">
        <f t="shared" si="53"/>
        <v>0</v>
      </c>
      <c r="Y28" s="25">
        <v>0</v>
      </c>
      <c r="Z28" s="9">
        <f t="shared" si="53"/>
        <v>0</v>
      </c>
      <c r="AA28" s="25">
        <v>0</v>
      </c>
      <c r="AB28" s="9">
        <f t="shared" si="53"/>
        <v>0</v>
      </c>
      <c r="AC28" s="25">
        <v>0</v>
      </c>
      <c r="AD28" s="27">
        <f t="shared" si="53"/>
        <v>0</v>
      </c>
      <c r="AE28" s="25">
        <v>0</v>
      </c>
      <c r="AF28" s="29">
        <f t="shared" si="53"/>
        <v>0</v>
      </c>
      <c r="AG28" s="25">
        <v>0</v>
      </c>
      <c r="AH28" s="28">
        <f t="shared" si="53"/>
        <v>0</v>
      </c>
      <c r="AI28" s="25">
        <v>0</v>
      </c>
      <c r="AJ28" s="9">
        <f t="shared" si="53"/>
        <v>0</v>
      </c>
      <c r="AK28" s="25">
        <v>0</v>
      </c>
      <c r="AL28" s="9">
        <f t="shared" si="53"/>
        <v>0</v>
      </c>
      <c r="AM28" s="25">
        <v>0</v>
      </c>
      <c r="AN28" s="9">
        <f t="shared" si="53"/>
        <v>0</v>
      </c>
      <c r="AO28" s="25">
        <v>0</v>
      </c>
      <c r="AP28" s="9">
        <f t="shared" si="53"/>
        <v>0</v>
      </c>
      <c r="AQ28" s="41"/>
      <c r="AR28" s="17" t="s">
        <v>60</v>
      </c>
      <c r="AS28" s="9">
        <v>0</v>
      </c>
      <c r="AT28" s="17" t="s">
        <v>60</v>
      </c>
      <c r="AU28" s="9">
        <v>0</v>
      </c>
      <c r="AV28" s="25">
        <v>0</v>
      </c>
      <c r="AW28" s="9">
        <f t="shared" si="3"/>
        <v>0</v>
      </c>
      <c r="AX28" s="25">
        <v>0</v>
      </c>
      <c r="AY28" s="9">
        <f t="shared" si="4"/>
        <v>0</v>
      </c>
      <c r="AZ28" s="25">
        <v>0</v>
      </c>
      <c r="BA28" s="9">
        <f t="shared" si="5"/>
        <v>0</v>
      </c>
      <c r="BB28" s="25">
        <v>0</v>
      </c>
      <c r="BC28" s="9">
        <f t="shared" si="13"/>
        <v>0</v>
      </c>
      <c r="BD28" s="25">
        <v>0</v>
      </c>
      <c r="BE28" s="25">
        <v>0</v>
      </c>
      <c r="BH28">
        <f t="shared" si="0"/>
        <v>0</v>
      </c>
    </row>
    <row r="29" spans="1:60" ht="45" customHeight="1">
      <c r="A29" s="8">
        <v>44984</v>
      </c>
      <c r="B29" s="40"/>
      <c r="C29" s="25">
        <v>0</v>
      </c>
      <c r="D29" s="9">
        <f t="shared" si="6"/>
        <v>0</v>
      </c>
      <c r="E29" s="25">
        <v>0</v>
      </c>
      <c r="F29" s="9">
        <f t="shared" si="7"/>
        <v>0</v>
      </c>
      <c r="G29" s="25">
        <v>0</v>
      </c>
      <c r="H29" s="9">
        <f t="shared" si="1"/>
        <v>0</v>
      </c>
      <c r="I29" s="25">
        <v>0</v>
      </c>
      <c r="J29" s="9">
        <f t="shared" si="8"/>
        <v>0</v>
      </c>
      <c r="K29" s="25">
        <v>0</v>
      </c>
      <c r="L29" s="9">
        <f t="shared" si="8"/>
        <v>0</v>
      </c>
      <c r="M29" s="25">
        <v>0</v>
      </c>
      <c r="N29" s="9">
        <f t="shared" ref="N29" si="101">IF((M29-M28&lt;0), "0",M29-M28)</f>
        <v>0</v>
      </c>
      <c r="O29" s="25">
        <v>0</v>
      </c>
      <c r="P29" s="9">
        <f t="shared" ref="P29" si="102">IF((O29-O28&lt;0), "0",O29-O28)</f>
        <v>0</v>
      </c>
      <c r="Q29" s="25">
        <v>0</v>
      </c>
      <c r="R29" s="9">
        <f t="shared" ref="R29" si="103">IF((Q29-Q28&lt;0), "0",Q29-Q28)</f>
        <v>0</v>
      </c>
      <c r="S29" s="25">
        <v>0</v>
      </c>
      <c r="T29" s="9">
        <f t="shared" ref="T29" si="104">IF((S29-S28&lt;0), "0",S29-S28)</f>
        <v>0</v>
      </c>
      <c r="U29" s="25">
        <v>0</v>
      </c>
      <c r="V29" s="9">
        <f t="shared" si="53"/>
        <v>0</v>
      </c>
      <c r="W29" s="25">
        <v>0</v>
      </c>
      <c r="X29" s="9">
        <f t="shared" si="53"/>
        <v>0</v>
      </c>
      <c r="Y29" s="25">
        <v>0</v>
      </c>
      <c r="Z29" s="9">
        <f t="shared" si="53"/>
        <v>0</v>
      </c>
      <c r="AA29" s="25">
        <v>0</v>
      </c>
      <c r="AB29" s="9">
        <f t="shared" si="53"/>
        <v>0</v>
      </c>
      <c r="AC29" s="25">
        <v>0</v>
      </c>
      <c r="AD29" s="27">
        <f t="shared" si="53"/>
        <v>0</v>
      </c>
      <c r="AE29" s="25">
        <v>0</v>
      </c>
      <c r="AF29" s="29">
        <f t="shared" si="53"/>
        <v>0</v>
      </c>
      <c r="AG29" s="25">
        <v>0</v>
      </c>
      <c r="AH29" s="28">
        <f t="shared" si="53"/>
        <v>0</v>
      </c>
      <c r="AI29" s="25">
        <v>0</v>
      </c>
      <c r="AJ29" s="9">
        <f t="shared" si="53"/>
        <v>0</v>
      </c>
      <c r="AK29" s="25">
        <v>0</v>
      </c>
      <c r="AL29" s="9">
        <f t="shared" si="53"/>
        <v>0</v>
      </c>
      <c r="AM29" s="25">
        <v>0</v>
      </c>
      <c r="AN29" s="9">
        <f t="shared" si="53"/>
        <v>0</v>
      </c>
      <c r="AO29" s="25">
        <v>0</v>
      </c>
      <c r="AP29" s="9">
        <f t="shared" si="53"/>
        <v>0</v>
      </c>
      <c r="AQ29" s="42"/>
      <c r="AR29" s="17" t="s">
        <v>60</v>
      </c>
      <c r="AS29" s="9">
        <v>0</v>
      </c>
      <c r="AT29" s="17" t="s">
        <v>60</v>
      </c>
      <c r="AU29" s="9">
        <v>0</v>
      </c>
      <c r="AV29" s="25">
        <v>0</v>
      </c>
      <c r="AW29" s="9">
        <f t="shared" si="3"/>
        <v>0</v>
      </c>
      <c r="AX29" s="25">
        <v>0</v>
      </c>
      <c r="AY29" s="9">
        <f t="shared" si="4"/>
        <v>0</v>
      </c>
      <c r="AZ29" s="25">
        <v>0</v>
      </c>
      <c r="BA29" s="9">
        <f>IF((AZ29-AZ28&lt;0), "",AZ29-AZ28)</f>
        <v>0</v>
      </c>
      <c r="BB29" s="25">
        <v>0</v>
      </c>
      <c r="BC29" s="9">
        <f t="shared" si="13"/>
        <v>0</v>
      </c>
      <c r="BD29" s="25">
        <v>0</v>
      </c>
      <c r="BE29" s="25">
        <v>0</v>
      </c>
      <c r="BH29">
        <f t="shared" si="0"/>
        <v>0</v>
      </c>
    </row>
    <row r="30" spans="1:60" ht="45" customHeight="1">
      <c r="A30" s="8">
        <v>44985</v>
      </c>
      <c r="B30" s="40"/>
      <c r="C30" s="25">
        <v>0</v>
      </c>
      <c r="D30" s="9">
        <f t="shared" si="6"/>
        <v>0</v>
      </c>
      <c r="E30" s="25">
        <v>0</v>
      </c>
      <c r="F30" s="9">
        <f t="shared" si="7"/>
        <v>0</v>
      </c>
      <c r="G30" s="25">
        <v>0</v>
      </c>
      <c r="H30" s="9">
        <f t="shared" si="1"/>
        <v>0</v>
      </c>
      <c r="I30" s="25">
        <v>0</v>
      </c>
      <c r="J30" s="9">
        <f t="shared" si="8"/>
        <v>0</v>
      </c>
      <c r="K30" s="25">
        <v>0</v>
      </c>
      <c r="L30" s="9">
        <f t="shared" si="8"/>
        <v>0</v>
      </c>
      <c r="M30" s="25">
        <v>0</v>
      </c>
      <c r="N30" s="9">
        <f t="shared" ref="N30" si="105">IF((M30-M29&lt;0), "0",M30-M29)</f>
        <v>0</v>
      </c>
      <c r="O30" s="25">
        <v>0</v>
      </c>
      <c r="P30" s="9">
        <f t="shared" ref="P30" si="106">IF((O30-O29&lt;0), "0",O30-O29)</f>
        <v>0</v>
      </c>
      <c r="Q30" s="25">
        <v>0</v>
      </c>
      <c r="R30" s="9">
        <f t="shared" ref="R30" si="107">IF((Q30-Q29&lt;0), "0",Q30-Q29)</f>
        <v>0</v>
      </c>
      <c r="S30" s="25">
        <v>0</v>
      </c>
      <c r="T30" s="9">
        <f t="shared" ref="T30" si="108">IF((S30-S29&lt;0), "0",S30-S29)</f>
        <v>0</v>
      </c>
      <c r="U30" s="25">
        <v>0</v>
      </c>
      <c r="V30" s="9">
        <f t="shared" si="53"/>
        <v>0</v>
      </c>
      <c r="W30" s="25">
        <v>0</v>
      </c>
      <c r="X30" s="9">
        <f t="shared" si="53"/>
        <v>0</v>
      </c>
      <c r="Y30" s="25">
        <v>0</v>
      </c>
      <c r="Z30" s="9">
        <f t="shared" si="53"/>
        <v>0</v>
      </c>
      <c r="AA30" s="25">
        <v>0</v>
      </c>
      <c r="AB30" s="9">
        <f t="shared" si="53"/>
        <v>0</v>
      </c>
      <c r="AC30" s="25">
        <v>0</v>
      </c>
      <c r="AD30" s="27">
        <f t="shared" si="53"/>
        <v>0</v>
      </c>
      <c r="AE30" s="25">
        <v>0</v>
      </c>
      <c r="AF30" s="29">
        <f t="shared" si="53"/>
        <v>0</v>
      </c>
      <c r="AG30" s="25">
        <v>0</v>
      </c>
      <c r="AH30" s="28">
        <f t="shared" si="53"/>
        <v>0</v>
      </c>
      <c r="AI30" s="25">
        <v>0</v>
      </c>
      <c r="AJ30" s="9">
        <f t="shared" si="53"/>
        <v>0</v>
      </c>
      <c r="AK30" s="25">
        <v>0</v>
      </c>
      <c r="AL30" s="9">
        <f t="shared" si="53"/>
        <v>0</v>
      </c>
      <c r="AM30" s="25">
        <v>0</v>
      </c>
      <c r="AN30" s="9">
        <f t="shared" si="53"/>
        <v>0</v>
      </c>
      <c r="AO30" s="25">
        <v>0</v>
      </c>
      <c r="AP30" s="9">
        <f t="shared" si="53"/>
        <v>0</v>
      </c>
      <c r="AQ30" s="42"/>
      <c r="AR30" s="17" t="s">
        <v>60</v>
      </c>
      <c r="AS30" s="9">
        <v>0</v>
      </c>
      <c r="AT30" s="17" t="s">
        <v>60</v>
      </c>
      <c r="AU30" s="9">
        <v>0</v>
      </c>
      <c r="AV30" s="25">
        <v>0</v>
      </c>
      <c r="AW30" s="9">
        <f t="shared" si="3"/>
        <v>0</v>
      </c>
      <c r="AX30" s="25">
        <v>0</v>
      </c>
      <c r="AY30" s="9">
        <f t="shared" si="4"/>
        <v>0</v>
      </c>
      <c r="AZ30" s="25">
        <v>0</v>
      </c>
      <c r="BA30" s="9">
        <f>IF((AZ30-AZ29&lt;0), "",AZ30-AZ29)</f>
        <v>0</v>
      </c>
      <c r="BB30" s="25">
        <v>0</v>
      </c>
      <c r="BC30" s="9">
        <f>IF((BB30-BB29&lt;0), "",BB30-BB29)</f>
        <v>0</v>
      </c>
      <c r="BD30" s="25">
        <v>0</v>
      </c>
      <c r="BE30" s="25">
        <v>0</v>
      </c>
      <c r="BH30">
        <f t="shared" si="0"/>
        <v>0</v>
      </c>
    </row>
  </sheetData>
  <mergeCells count="28">
    <mergeCell ref="C1:D1"/>
    <mergeCell ref="Y1:Z1"/>
    <mergeCell ref="O1:P1"/>
    <mergeCell ref="W1:X1"/>
    <mergeCell ref="E1:F1"/>
    <mergeCell ref="U1:V1"/>
    <mergeCell ref="BB1:BC1"/>
    <mergeCell ref="AV1:AW1"/>
    <mergeCell ref="AZ1:BA1"/>
    <mergeCell ref="AX1:AY1"/>
    <mergeCell ref="AR1:AS1"/>
    <mergeCell ref="AT1:AU1"/>
    <mergeCell ref="B1:B30"/>
    <mergeCell ref="AQ1:AQ30"/>
    <mergeCell ref="AM1:AN1"/>
    <mergeCell ref="I1:J1"/>
    <mergeCell ref="K1:L1"/>
    <mergeCell ref="M1:N1"/>
    <mergeCell ref="Q1:R1"/>
    <mergeCell ref="AA1:AB1"/>
    <mergeCell ref="AK1:AL1"/>
    <mergeCell ref="AO1:AP1"/>
    <mergeCell ref="G1:H1"/>
    <mergeCell ref="AI1:AJ1"/>
    <mergeCell ref="AG1:AH1"/>
    <mergeCell ref="S1:T1"/>
    <mergeCell ref="AC1:AD1"/>
    <mergeCell ref="AE1:AF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5" ma:contentTypeDescription="Create a new document." ma:contentTypeScope="" ma:versionID="c9086a087a366c5a2ac8d9dbca002292">
  <xsd:schema xmlns:xsd="http://www.w3.org/2001/XMLSchema" xmlns:xs="http://www.w3.org/2001/XMLSchema" xmlns:p="http://schemas.microsoft.com/office/2006/metadata/properties" xmlns:ns2="eff43ebd-2a19-4bb7-a86e-e6d7ee257b8d" xmlns:ns3="7baf53ce-c784-4a12-8ee0-51f8f1a018ac" targetNamespace="http://schemas.microsoft.com/office/2006/metadata/properties" ma:root="true" ma:fieldsID="2334372b5fbc5a254fd3404fd85ed283" ns2:_="" ns3:_="">
    <xsd:import namespace="eff43ebd-2a19-4bb7-a86e-e6d7ee257b8d"/>
    <xsd:import namespace="7baf53ce-c784-4a12-8ee0-51f8f1a018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7d8afc-78d1-4e9b-9b6b-2c0ac061dc07}" ma:internalName="TaxCatchAll" ma:showField="CatchAllData" ma:web="7baf53ce-c784-4a12-8ee0-51f8f1a018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f43ebd-2a19-4bb7-a86e-e6d7ee257b8d">
      <Terms xmlns="http://schemas.microsoft.com/office/infopath/2007/PartnerControls"/>
    </lcf76f155ced4ddcb4097134ff3c332f>
    <TaxCatchAll xmlns="7baf53ce-c784-4a12-8ee0-51f8f1a018ac" xsi:nil="true"/>
    <SharedWithUsers xmlns="7baf53ce-c784-4a12-8ee0-51f8f1a018ac">
      <UserInfo>
        <DisplayName>James Mairs</DisplayName>
        <AccountId>34</AccountId>
        <AccountType/>
      </UserInfo>
      <UserInfo>
        <DisplayName>Filippo Comello</DisplayName>
        <AccountId>63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819C71C7-7AF2-4A52-B8E3-E30B0EB4CD45}"/>
</file>

<file path=customXml/itemProps2.xml><?xml version="1.0" encoding="utf-8"?>
<ds:datastoreItem xmlns:ds="http://schemas.openxmlformats.org/officeDocument/2006/customXml" ds:itemID="{7985FC72-D33E-4772-844D-C85DFD168D82}"/>
</file>

<file path=customXml/itemProps3.xml><?xml version="1.0" encoding="utf-8"?>
<ds:datastoreItem xmlns:ds="http://schemas.openxmlformats.org/officeDocument/2006/customXml" ds:itemID="{35EBE560-F8EF-4F74-811A-7A3685544D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Simon Tibbitts</cp:lastModifiedBy>
  <cp:revision/>
  <dcterms:created xsi:type="dcterms:W3CDTF">2017-05-03T09:23:30Z</dcterms:created>
  <dcterms:modified xsi:type="dcterms:W3CDTF">2023-02-14T08:29:37Z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  <property fmtid="{D5CDD505-2E9C-101B-9397-08002B2CF9AE}" pid="3" name="MediaServiceImageTags">
    <vt:lpwstr/>
  </property>
</Properties>
</file>