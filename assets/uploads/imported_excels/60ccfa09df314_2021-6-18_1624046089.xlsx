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X16" i="7" l="1"/>
  <c r="X17" i="7"/>
  <c r="CL10" i="7" l="1"/>
  <c r="F9" i="7" l="1"/>
  <c r="F8" i="7"/>
  <c r="CL9" i="7"/>
  <c r="G19" i="3" l="1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CM21" i="7"/>
  <c r="I19" i="3" s="1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G15" i="3" s="1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18" i="3" l="1"/>
  <c r="G17" i="3"/>
  <c r="G16" i="3"/>
  <c r="G14" i="3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<sst xmlns="http://schemas.openxmlformats.org/spreadsheetml/2006/main" count="313" uniqueCount="148">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</sst>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9703.2870000000021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 t="e">
        <f>Submetering!E19+Submetering!F19+Submetering!G19+Submetering!H19+Submetering!J19-Submetering!AV19</f>
        <v>#VALUE!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 t="e">
        <f>'FS Desroches Daily'!CM21</f>
        <v>#VALUE!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>
        <f>IF(LPG!F21-LPG!G21&lt;0,"0",(LPG!F21-LPG!G21)*1.8315)</f>
        <v>9686.8035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 t="str">
        <f>IF(LPG!F25-LPG!F24&lt;0,"0",(LPG!F25-LPG!F24)*1.8315)</f>
        <v>0</v>
      </c>
      <c r="AY18" s="31" t="str">
        <f>IF(LPG!H25-LPG!H24&lt;0,"0",(LPG!H25-LPG!H24)*1.8315)</f>
        <v>0</v>
      </c>
      <c r="AZ18" s="31" t="str">
        <f>IF(LPG!J25-LPG!J24&lt;0,"0",(LPG!J25-LPG!J24)*1.8315)</f>
        <v>0</v>
      </c>
      <c r="BA18" s="31" t="str">
        <f>IF(LPG!M25-LPG!M24&lt;0,"0",(LPG!M25-LPG!M24)*1.8315)</f>
        <v>0</v>
      </c>
      <c r="BB18" s="31" t="str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 t="str">
        <f>'FS Desroches Daily'!D21</f>
        <v>0</v>
      </c>
      <c r="F19" s="32" t="str">
        <f>'FS Desroches Daily'!F21</f>
        <v>0</v>
      </c>
      <c r="G19" s="31" t="str">
        <f>'FS Desroches Daily'!H21</f>
        <v>0</v>
      </c>
      <c r="H19" s="32" t="str">
        <f>'FS Desroches Daily'!J21</f>
        <v>0</v>
      </c>
      <c r="I19" s="31" t="str">
        <f>'FS Desroches Daily'!L21</f>
        <v>0</v>
      </c>
      <c r="J19" s="32" t="str">
        <f>'FS Desroches Daily'!N21</f>
        <v/>
      </c>
      <c r="K19" s="13" t="str">
        <f>'FS Desroches Daily'!P21</f>
        <v/>
      </c>
      <c r="L19" s="31" t="str">
        <f>'FS Desroches Daily'!R21</f>
        <v/>
      </c>
      <c r="M19" s="31" t="str">
        <f>'FS Desroches Daily'!T21</f>
        <v/>
      </c>
      <c r="N19" s="31" t="str">
        <f>'FS Desroches Daily'!V21</f>
        <v/>
      </c>
      <c r="O19" s="31" t="str">
        <f>'FS Desroches Daily'!X21</f>
        <v/>
      </c>
      <c r="P19" s="31" t="str">
        <f>'FS Desroches Daily'!Z21</f>
        <v/>
      </c>
      <c r="Q19" s="31" t="str">
        <f>'FS Desroches Daily'!AB21</f>
        <v/>
      </c>
      <c r="R19" s="31" t="str">
        <f>'FS Desroches Daily'!AD21</f>
        <v/>
      </c>
      <c r="S19" s="31" t="str">
        <f>'FS Desroches Daily'!AF21</f>
        <v/>
      </c>
      <c r="T19" s="31" t="str">
        <f>'FS Desroches Daily'!AH21</f>
        <v/>
      </c>
      <c r="U19" s="35" t="str">
        <f>'FS Desroches Daily'!AJ21</f>
        <v/>
      </c>
      <c r="V19" s="35" t="str">
        <f>'FS Desroches Daily'!AL21</f>
        <v/>
      </c>
      <c r="W19" s="35" t="str">
        <f>'FS Desroches Daily'!AN21</f>
        <v/>
      </c>
      <c r="X19" s="35" t="str">
        <f>'FS Desroches Daily'!AP21</f>
        <v/>
      </c>
      <c r="Y19" s="35" t="str">
        <f>'FS Desroches Daily'!AR21</f>
        <v/>
      </c>
      <c r="Z19" s="35" t="str">
        <f>'FS Desroches Daily'!AT21</f>
        <v/>
      </c>
      <c r="AA19" s="35" t="str">
        <f>'FS Desroches Daily'!AT21</f>
        <v/>
      </c>
      <c r="AB19" s="35" t="str">
        <f>'FS Desroches Daily'!AV21</f>
        <v/>
      </c>
      <c r="AC19" s="35" t="str">
        <f>'FS Desroches Daily'!AZ21</f>
        <v/>
      </c>
      <c r="AD19" s="35" t="str">
        <f>'FS Desroches Daily'!BB21</f>
        <v/>
      </c>
      <c r="AE19" s="35" t="str">
        <f>'FS Desroches Daily'!BD21</f>
        <v/>
      </c>
      <c r="AF19" s="31" t="str">
        <f>'FS Desroches Daily'!BF21</f>
        <v/>
      </c>
      <c r="AG19" s="32" t="str">
        <f>'FS Desroches Daily'!BH21</f>
        <v/>
      </c>
      <c r="AH19" s="32" t="str">
        <f>'FS Desroches Daily'!BJ21</f>
        <v/>
      </c>
      <c r="AI19" s="32" t="str">
        <f>'FS Desroches Daily'!BL21</f>
        <v/>
      </c>
      <c r="AJ19" s="32" t="str">
        <f>'FS Desroches Daily'!BN21</f>
        <v/>
      </c>
      <c r="AK19" s="32" t="str">
        <f>'FS Desroches Daily'!BP21</f>
        <v/>
      </c>
      <c r="AL19" s="32" t="str">
        <f>'FS Desroches Daily'!BR21</f>
        <v/>
      </c>
      <c r="AM19" s="32" t="str">
        <f>'FS Desroches Daily'!BT21</f>
        <v/>
      </c>
      <c r="AN19" s="32" t="str">
        <f>'FS Desroches Daily'!BV21</f>
        <v/>
      </c>
      <c r="AO19" s="32" t="str">
        <f>'FS Desroches Daily'!BX21</f>
        <v/>
      </c>
      <c r="AP19" s="32" t="str">
        <f>'FS Desroches Daily'!BZ21</f>
        <v/>
      </c>
      <c r="AQ19" s="31" t="str">
        <f>'FS Desroches Daily'!CB21</f>
        <v/>
      </c>
      <c r="AR19" s="31" t="str">
        <f>'FS Desroches Daily'!CD21</f>
        <v/>
      </c>
      <c r="AS19" s="31" t="str">
        <f>'FS Desroches Daily'!CF21</f>
        <v/>
      </c>
      <c r="AT19" s="31" t="str">
        <f>'FS Desroches Daily'!CH21</f>
        <v/>
      </c>
      <c r="AU19" s="31" t="str">
        <f>'FS Desroches Daily'!CJ21</f>
        <v/>
      </c>
      <c r="AV19" s="31" t="str">
        <f>'FS Desroches Daily'!CL21</f>
        <v/>
      </c>
      <c r="AW19" s="31" t="e">
        <f>'FS Desroches Daily'!CM21</f>
        <v>#VALUE!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32100.000000000233</v>
      </c>
      <c r="F33" s="17">
        <f t="shared" ref="F33:BC33" si="1">SUM(F2:F32)</f>
        <v>48000.000000000058</v>
      </c>
      <c r="G33" s="17">
        <f t="shared" si="1"/>
        <v>43300.000000000342</v>
      </c>
      <c r="H33" s="17">
        <f t="shared" si="1"/>
        <v>21600.000000000065</v>
      </c>
      <c r="I33" s="17">
        <f t="shared" si="1"/>
        <v>35700.000000000291</v>
      </c>
      <c r="J33" s="17">
        <f t="shared" si="1"/>
        <v>16299.999999999984</v>
      </c>
      <c r="K33" s="17">
        <f t="shared" si="1"/>
        <v>129</v>
      </c>
      <c r="L33" s="17">
        <f t="shared" si="1"/>
        <v>51</v>
      </c>
      <c r="M33" s="17">
        <f t="shared" si="1"/>
        <v>12189.599999999977</v>
      </c>
      <c r="N33" s="17">
        <f t="shared" si="1"/>
        <v>5218.6999999999534</v>
      </c>
      <c r="O33" s="17">
        <f t="shared" si="1"/>
        <v>5199.9999999999891</v>
      </c>
      <c r="P33" s="17">
        <f t="shared" si="1"/>
        <v>42499.999999999985</v>
      </c>
      <c r="Q33" s="17">
        <f t="shared" si="1"/>
        <v>4800.0000000000118</v>
      </c>
      <c r="R33" s="17">
        <f t="shared" si="1"/>
        <v>4759.9999999999909</v>
      </c>
      <c r="S33" s="17">
        <f t="shared" si="1"/>
        <v>4919.9999999999591</v>
      </c>
      <c r="T33" s="17">
        <f t="shared" si="1"/>
        <v>584</v>
      </c>
      <c r="U33" s="35">
        <f t="shared" si="1"/>
        <v>9019.9999999999818</v>
      </c>
      <c r="V33" s="35">
        <f t="shared" si="1"/>
        <v>3400.0000000000055</v>
      </c>
      <c r="W33" s="35">
        <f t="shared" si="1"/>
        <v>2570.0000000000214</v>
      </c>
      <c r="X33" s="35">
        <f t="shared" si="1"/>
        <v>1690.0000000000261</v>
      </c>
      <c r="Y33" s="35">
        <f t="shared" si="1"/>
        <v>2590.0000000000027</v>
      </c>
      <c r="Z33" s="35">
        <f t="shared" si="1"/>
        <v>3534.949999999943</v>
      </c>
      <c r="AA33" s="35">
        <f t="shared" si="1"/>
        <v>3534.949999999943</v>
      </c>
      <c r="AB33" s="35">
        <f t="shared" si="1"/>
        <v>1060.0000000000023</v>
      </c>
      <c r="AC33" s="35">
        <f t="shared" si="1"/>
        <v>769.99999999998181</v>
      </c>
      <c r="AD33" s="35">
        <f t="shared" si="1"/>
        <v>449.99999999998863</v>
      </c>
      <c r="AE33" s="35">
        <f t="shared" si="1"/>
        <v>439.99999999999773</v>
      </c>
      <c r="AF33" s="17">
        <f t="shared" si="1"/>
        <v>514</v>
      </c>
      <c r="AG33" s="32">
        <f t="shared" si="1"/>
        <v>539.99999999999204</v>
      </c>
      <c r="AH33" s="32">
        <f t="shared" si="1"/>
        <v>480.00000000001819</v>
      </c>
      <c r="AI33" s="32">
        <f t="shared" si="1"/>
        <v>550.00000000001137</v>
      </c>
      <c r="AJ33" s="32">
        <f t="shared" si="1"/>
        <v>620.00000000000455</v>
      </c>
      <c r="AK33" s="32">
        <f t="shared" si="1"/>
        <v>529.99999999997272</v>
      </c>
      <c r="AL33" s="32">
        <f t="shared" si="1"/>
        <v>378</v>
      </c>
      <c r="AM33" s="32">
        <f t="shared" si="1"/>
        <v>419.99999999998749</v>
      </c>
      <c r="AN33" s="32">
        <f t="shared" si="1"/>
        <v>716</v>
      </c>
      <c r="AO33" s="32">
        <f t="shared" si="1"/>
        <v>430.00000000000682</v>
      </c>
      <c r="AP33" s="32">
        <f t="shared" si="1"/>
        <v>706</v>
      </c>
      <c r="AQ33" s="17">
        <f t="shared" si="1"/>
        <v>517</v>
      </c>
      <c r="AR33" s="17">
        <f t="shared" si="1"/>
        <v>127.29999999999927</v>
      </c>
      <c r="AS33" s="17">
        <f t="shared" si="1"/>
        <v>72.399999999999636</v>
      </c>
      <c r="AT33" s="17">
        <f t="shared" si="1"/>
        <v>575.59999999999854</v>
      </c>
      <c r="AU33" s="17">
        <f t="shared" si="1"/>
        <v>4687</v>
      </c>
      <c r="AV33" s="17">
        <f t="shared" si="1"/>
        <v>12089.99999999992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135.53100000000001</v>
      </c>
      <c r="BC33" s="17">
        <f t="shared" si="1"/>
        <v>142</v>
      </c>
    </row>
    <row r="35" spans="5:55" x14ac:dyDescent="0.25">
      <c r="E35" s="38">
        <f>E33/E37</f>
        <v>0.21057741508022995</v>
      </c>
      <c r="G35" s="29">
        <f>G33-M36</f>
        <v>25891.700000000412</v>
      </c>
      <c r="AE35" s="35">
        <f>SUM(U33:AE33)</f>
        <v>29059.899999999896</v>
      </c>
      <c r="AG35" s="32">
        <f>SUM(AG33:AP33)</f>
        <v>5369.9999999999927</v>
      </c>
    </row>
    <row r="36" spans="5:55" x14ac:dyDescent="0.25">
      <c r="G36" s="29">
        <f>G35-633*14</f>
        <v>17029.700000000412</v>
      </c>
      <c r="M36" s="29">
        <f>M33+N33</f>
        <v>17408.29999999993</v>
      </c>
    </row>
    <row r="37" spans="5:55" x14ac:dyDescent="0.25">
      <c r="E37" s="17">
        <f>E33+F33+G33+H33+J33-633*14</f>
        <v>152438.00000000067</v>
      </c>
      <c r="G37" s="37">
        <f>M36/E37</f>
        <v>0.11419921541872666</v>
      </c>
      <c r="M37" s="35">
        <f>AE35</f>
        <v>29059.899999999896</v>
      </c>
    </row>
    <row r="38" spans="5:55" x14ac:dyDescent="0.25">
      <c r="L38" s="27">
        <f>M38/E37</f>
        <v>3.5227436728374611E-2</v>
      </c>
      <c r="M38" s="29">
        <f>AG35</f>
        <v>5369.9999999999927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opLeftCell="BA1" zoomScale="80" zoomScaleNormal="80" workbookViewId="0">
      <pane ySplit="1" topLeftCell="A5" activePane="bottomLeft" state="frozen"/>
      <selection pane="bottomLeft" activeCell="BE20" sqref="BE20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0</v>
      </c>
      <c r="CO20" s="62">
        <v>0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/>
      <c r="D21" s="64" t="str">
        <f t="shared" si="0"/>
        <v>0</v>
      </c>
      <c r="E21" s="58"/>
      <c r="F21" s="64" t="str">
        <f t="shared" si="1"/>
        <v>0</v>
      </c>
      <c r="G21" s="58"/>
      <c r="H21" s="64" t="str">
        <f t="shared" si="2"/>
        <v>0</v>
      </c>
      <c r="I21" s="58"/>
      <c r="J21" s="64" t="str">
        <f t="shared" si="3"/>
        <v>0</v>
      </c>
      <c r="K21" s="58"/>
      <c r="L21" s="64" t="str">
        <f t="shared" si="4"/>
        <v>0</v>
      </c>
      <c r="M21" s="58"/>
      <c r="N21" s="64" t="str">
        <f t="shared" si="5"/>
        <v/>
      </c>
      <c r="O21" s="58"/>
      <c r="P21" s="67" t="str">
        <f t="shared" si="44"/>
        <v/>
      </c>
      <c r="Q21" s="58"/>
      <c r="R21" s="67" t="str">
        <f t="shared" si="6"/>
        <v/>
      </c>
      <c r="S21" s="58"/>
      <c r="T21" s="67" t="str">
        <f t="shared" si="7"/>
        <v/>
      </c>
      <c r="U21" s="58"/>
      <c r="V21" s="67" t="str">
        <f t="shared" si="8"/>
        <v/>
      </c>
      <c r="W21" s="58"/>
      <c r="X21" s="65" t="str">
        <f t="shared" si="9"/>
        <v/>
      </c>
      <c r="Y21" s="58"/>
      <c r="Z21" s="65" t="str">
        <f t="shared" si="10"/>
        <v/>
      </c>
      <c r="AA21" s="58"/>
      <c r="AB21" s="65" t="str">
        <f t="shared" si="11"/>
        <v/>
      </c>
      <c r="AC21" s="58"/>
      <c r="AD21" s="65" t="str">
        <f t="shared" si="12"/>
        <v/>
      </c>
      <c r="AE21" s="58"/>
      <c r="AF21" s="65" t="str">
        <f t="shared" si="13"/>
        <v/>
      </c>
      <c r="AG21" s="58"/>
      <c r="AH21" s="67" t="str">
        <f t="shared" si="14"/>
        <v/>
      </c>
      <c r="AI21" s="58"/>
      <c r="AJ21" s="65" t="str">
        <f t="shared" si="15"/>
        <v/>
      </c>
      <c r="AK21" s="58"/>
      <c r="AL21" s="65" t="str">
        <f t="shared" si="15"/>
        <v/>
      </c>
      <c r="AM21" s="58"/>
      <c r="AN21" s="65" t="str">
        <f t="shared" si="15"/>
        <v/>
      </c>
      <c r="AO21" s="58"/>
      <c r="AP21" s="65" t="str">
        <f t="shared" si="15"/>
        <v/>
      </c>
      <c r="AQ21" s="58"/>
      <c r="AR21" s="65" t="str">
        <f t="shared" si="16"/>
        <v/>
      </c>
      <c r="AS21" s="58"/>
      <c r="AT21" s="65" t="str">
        <f t="shared" si="17"/>
        <v/>
      </c>
      <c r="AU21" s="58"/>
      <c r="AV21" s="65" t="str">
        <f t="shared" si="18"/>
        <v/>
      </c>
      <c r="AW21" s="58"/>
      <c r="AX21" s="65" t="str">
        <f t="shared" si="19"/>
        <v/>
      </c>
      <c r="AY21" s="58"/>
      <c r="AZ21" s="65" t="str">
        <f t="shared" si="20"/>
        <v/>
      </c>
      <c r="BA21" s="58"/>
      <c r="BB21" s="65" t="str">
        <f t="shared" si="21"/>
        <v/>
      </c>
      <c r="BC21" s="58"/>
      <c r="BD21" s="65" t="str">
        <f t="shared" si="22"/>
        <v/>
      </c>
      <c r="BE21" s="59"/>
      <c r="BF21" s="67" t="str">
        <f t="shared" si="39"/>
        <v/>
      </c>
      <c r="BG21" s="60"/>
      <c r="BH21" s="65" t="str">
        <f t="shared" si="23"/>
        <v/>
      </c>
      <c r="BI21" s="60"/>
      <c r="BJ21" s="65" t="str">
        <f t="shared" si="40"/>
        <v/>
      </c>
      <c r="BK21" s="60"/>
      <c r="BL21" s="65" t="str">
        <f t="shared" si="24"/>
        <v/>
      </c>
      <c r="BM21" s="60"/>
      <c r="BN21" s="65" t="str">
        <f t="shared" si="25"/>
        <v/>
      </c>
      <c r="BO21" s="60"/>
      <c r="BP21" s="65" t="str">
        <f t="shared" si="26"/>
        <v/>
      </c>
      <c r="BQ21" s="60"/>
      <c r="BR21" s="65" t="str">
        <f t="shared" si="27"/>
        <v/>
      </c>
      <c r="BS21" s="60"/>
      <c r="BT21" s="65" t="str">
        <f t="shared" si="42"/>
        <v/>
      </c>
      <c r="BU21" s="60"/>
      <c r="BV21" s="65" t="str">
        <f t="shared" si="29"/>
        <v/>
      </c>
      <c r="BW21" s="60"/>
      <c r="BX21" s="65" t="str">
        <f t="shared" si="30"/>
        <v/>
      </c>
      <c r="BY21" s="60"/>
      <c r="BZ21" s="67" t="str">
        <f t="shared" si="31"/>
        <v/>
      </c>
      <c r="CA21" s="60"/>
      <c r="CB21" s="67" t="str">
        <f t="shared" si="32"/>
        <v/>
      </c>
      <c r="CC21" s="60"/>
      <c r="CD21" s="67" t="str">
        <f t="shared" si="33"/>
        <v/>
      </c>
      <c r="CE21" s="60"/>
      <c r="CF21" s="67" t="str">
        <f t="shared" si="34"/>
        <v/>
      </c>
      <c r="CG21" s="60"/>
      <c r="CH21" s="67" t="str">
        <f t="shared" si="35"/>
        <v/>
      </c>
      <c r="CI21" s="60"/>
      <c r="CJ21" s="67" t="str">
        <f t="shared" si="36"/>
        <v/>
      </c>
      <c r="CK21" s="60"/>
      <c r="CL21" s="64" t="str">
        <f t="shared" si="37"/>
        <v/>
      </c>
      <c r="CM21" s="65" t="e">
        <f t="shared" si="41"/>
        <v>#VALUE!</v>
      </c>
      <c r="CN21" s="62">
        <v>0</v>
      </c>
      <c r="CO21" s="62">
        <v>0</v>
      </c>
      <c r="CP21" s="68"/>
      <c r="CQ21" s="67" t="str">
        <f t="shared" si="38"/>
        <v/>
      </c>
      <c r="CR21" s="68"/>
      <c r="CS21" s="67" t="str">
        <f t="shared" si="38"/>
        <v/>
      </c>
      <c r="CT21" s="75"/>
      <c r="CU21" s="67" t="str">
        <f t="shared" si="38"/>
        <v/>
      </c>
      <c r="CV21" s="68"/>
      <c r="CW21" s="67" t="str">
        <f t="shared" si="38"/>
        <v/>
      </c>
    </row>
    <row r="22" spans="1:101" ht="25.5" customHeight="1" thickBot="1" x14ac:dyDescent="0.45">
      <c r="A22" s="63">
        <v>44366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44367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44368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44369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44370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44371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abSelected="1" topLeftCell="A4" zoomScaleNormal="100" workbookViewId="0">
      <selection activeCell="D24" sqref="D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 t="shared" si="0"/>
        <v>0</v>
      </c>
    </row>
    <row r="25" spans="1:20" x14ac:dyDescent="0.25">
      <c r="A25" s="73">
        <v>44365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-197</v>
      </c>
    </row>
    <row r="26" spans="1:20" x14ac:dyDescent="0.25">
      <c r="A26" s="73">
        <v>44366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44367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2021-06-18T17:39:36Z</dcterms:modified>
</cp:coreProperties>
</file>