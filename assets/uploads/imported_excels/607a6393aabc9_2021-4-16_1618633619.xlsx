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5" i="10" l="1"/>
  <c r="H33" i="10"/>
  <c r="I33" i="10" s="1"/>
  <c r="H32" i="10"/>
  <c r="H31" i="10"/>
  <c r="H30" i="10"/>
  <c r="H29" i="10"/>
  <c r="H28" i="10"/>
  <c r="H27" i="10"/>
  <c r="I28" i="10" s="1"/>
  <c r="H26" i="10"/>
  <c r="H25" i="10"/>
  <c r="H24" i="10"/>
  <c r="H23" i="10"/>
  <c r="I24" i="10" s="1"/>
  <c r="H22" i="10"/>
  <c r="H21" i="10"/>
  <c r="I22" i="10" s="1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I8" i="10" s="1"/>
  <c r="H7" i="10"/>
  <c r="H6" i="10"/>
  <c r="H5" i="10"/>
  <c r="I5" i="10" s="1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J30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4" i="8" s="1"/>
  <c r="I17" i="10" l="1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AX21" i="10"/>
  <c r="AV21" i="10"/>
  <c r="AS21" i="10"/>
  <c r="AT21" i="10" s="1"/>
  <c r="AQ21" i="10"/>
  <c r="AO21" i="10"/>
  <c r="AC21" i="10"/>
  <c r="T21" i="10"/>
  <c r="U22" i="10" s="1"/>
  <c r="AX20" i="10"/>
  <c r="AV20" i="10"/>
  <c r="AS20" i="10"/>
  <c r="AQ20" i="10"/>
  <c r="AO20" i="10"/>
  <c r="AC20" i="10"/>
  <c r="T20" i="10"/>
  <c r="U20" i="10" s="1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T16" i="10" s="1"/>
  <c r="AQ16" i="10"/>
  <c r="AO16" i="10"/>
  <c r="AC16" i="10"/>
  <c r="T16" i="10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R12" i="10" s="1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T9" i="10" s="1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17" i="10"/>
  <c r="U23" i="10"/>
  <c r="U28" i="10"/>
  <c r="U31" i="10"/>
  <c r="AW8" i="10"/>
  <c r="AR11" i="10"/>
  <c r="V8" i="10"/>
  <c r="AD17" i="10"/>
  <c r="AD21" i="10"/>
  <c r="AD25" i="10"/>
  <c r="AD29" i="10"/>
  <c r="AT23" i="10"/>
  <c r="AT31" i="10"/>
  <c r="AT34" i="10"/>
  <c r="AP21" i="10"/>
  <c r="AP35" i="10"/>
  <c r="AW13" i="10"/>
  <c r="V13" i="10"/>
  <c r="AD5" i="10" l="1"/>
  <c r="AT25" i="10"/>
  <c r="U8" i="10"/>
  <c r="AP6" i="10"/>
  <c r="AU6" i="10" s="1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U35" i="10" s="1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U16" i="10" s="1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U18" i="10" s="1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AU13" i="10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7" i="10" l="1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<sst xmlns="http://schemas.openxmlformats.org/spreadsheetml/2006/main" count="110" uniqueCount="57">
  <si>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</si>
  <si>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</si>
  <si>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</si>
  <si>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</si>
  <si>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</si>
  <si>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</si>
  <si>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</si>
  <si>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</si>
  <si>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</si>
  <si>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</si>
  <si>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</si>
  <si>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</si>
  <si>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</si>
  <si>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</si>
  <si>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</si>
  <si>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</si>
  <si>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</si>
  <si>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</si>
  <si>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</si>
  <si>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</si>
  <si>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</si>
  <si>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</si>
  <si>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</si>
  <si>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</si>
  <si>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</si>
  <si>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</si>
  <si>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</si>
  <si>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</si>
  <si>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</si>
  <si>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</si>
  <si>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</si>
  <si>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</si>
  <si>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</si>
  <si>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</si>
  <si>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</si>
  <si>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</si>
  <si>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</si>
  <si>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</si>
  <si>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</si>
  <si>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</si>
  <si>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</si>
  <si>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</si>
  <si>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</si>
  <si>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</si>
  <si>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</si>
  <si>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</si>
  <si>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</si>
  <si>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</si>
  <si>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</si>
  <si>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</si>
  <si>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BİRİM FİYAT : 1.655 TL/m3 + KDV  x 1764,5 = 2796,4 TL + KDV</t>
  </si>
  <si>
    <t>Istanbul at Sultanahmet</t>
  </si>
  <si>
    <t>BİRİM FİYAT : 0.70  x 44794,8 =28668,6 TL/Kwh+KDV</t>
  </si>
  <si>
    <t>BİRİM FİYAT :   12.93 TL/m3 + KDV x  91,0 = 1116,6 TL + KDV</t>
  </si>
  <si>
    <t>WATER CONSUMPTION , APRIL.2021</t>
  </si>
  <si>
    <t>NATURAL GAS CONSUMPTION , APRIL.2021</t>
  </si>
  <si>
    <t>ELECTRICITY CONSUMPTION , APRIL.2021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</si>
</sst>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[2]Dec.2020!$J$3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[2]Dec.2020!$D$4:$D$34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[2]Dec.2020!$J$4:$J$34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[2]Dec.2020!$K$3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[2]Dec.2020!$D$4:$D$34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[2]Dec.2020!$K$4:$K$34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6168"/>
        <c:axId val="253296952"/>
      </c:lineChart>
      <c:dateAx>
        <c:axId val="253296168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25329695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25329695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296168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'[4]Aralık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'[4]Aralık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9696"/>
        <c:axId val="253298128"/>
      </c:lineChart>
      <c:dateAx>
        <c:axId val="25329969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8128"/>
        <c:crosses val="autoZero"/>
        <c:auto val="0"/>
        <c:lblOffset val="100"/>
        <c:baseTimeUnit val="days"/>
      </c:dateAx>
      <c:valAx>
        <c:axId val="25329812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969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'[4]Aralık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'[4]Aralık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3816"/>
        <c:axId val="253297344"/>
      </c:lineChart>
      <c:dateAx>
        <c:axId val="25329381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7344"/>
        <c:crosses val="autoZero"/>
        <c:auto val="0"/>
        <c:lblOffset val="100"/>
        <c:baseTimeUnit val="days"/>
        <c:majorUnit val="1"/>
        <c:majorTimeUnit val="days"/>
      </c:dateAx>
      <c:valAx>
        <c:axId val="253297344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381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/>
      <sheetData sheetId="2">
        <row r="34">
          <cell r="G34">
            <v>10104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>
        <row r="31">
          <cell r="R31">
            <v>342148.92</v>
          </cell>
          <cell r="AA31">
            <v>454395.36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zoomScale="110" zoomScaleNormal="110" workbookViewId="0">
      <selection activeCell="G22" sqref="G22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51</v>
      </c>
      <c r="B2" s="12">
        <v>1</v>
      </c>
      <c r="C2" s="3">
        <v>4</v>
      </c>
      <c r="D2" s="12">
        <v>2021</v>
      </c>
      <c r="E2" s="13">
        <f>Electricity!I4</f>
        <v>1771.9</v>
      </c>
      <c r="F2" s="3">
        <v>0.72</v>
      </c>
      <c r="G2" s="13">
        <v>0</v>
      </c>
      <c r="H2" s="3">
        <v>1.66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51</v>
      </c>
      <c r="B3" s="15">
        <f>B2+1</f>
        <v>2</v>
      </c>
      <c r="C3" s="3">
        <v>4</v>
      </c>
      <c r="D3" s="12">
        <v>2021</v>
      </c>
      <c r="E3" s="13">
        <f>Electricity!I5</f>
        <v>1863.0000000018626</v>
      </c>
      <c r="F3" s="3">
        <v>0.72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51</v>
      </c>
      <c r="B4" s="15">
        <f t="shared" ref="B4:B31" si="0">B3+1</f>
        <v>3</v>
      </c>
      <c r="C4" s="3">
        <v>4</v>
      </c>
      <c r="D4" s="12">
        <v>2021</v>
      </c>
      <c r="E4" s="13">
        <f>Electricity!I6</f>
        <v>1534.5600000005215</v>
      </c>
      <c r="F4" s="3">
        <v>0.72</v>
      </c>
      <c r="G4" s="13">
        <f>Gas!J6</f>
        <v>0</v>
      </c>
      <c r="H4" s="3">
        <v>1.66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51</v>
      </c>
      <c r="B5" s="15">
        <f t="shared" si="0"/>
        <v>4</v>
      </c>
      <c r="C5" s="3">
        <v>4</v>
      </c>
      <c r="D5" s="12">
        <v>2021</v>
      </c>
      <c r="E5" s="13">
        <f>Electricity!I7</f>
        <v>1297.1999999973923</v>
      </c>
      <c r="F5" s="3">
        <v>0.72</v>
      </c>
      <c r="G5" s="13">
        <f>Gas!J7</f>
        <v>0</v>
      </c>
      <c r="H5" s="3">
        <v>1.66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51</v>
      </c>
      <c r="B6" s="15">
        <f t="shared" si="0"/>
        <v>5</v>
      </c>
      <c r="C6" s="3">
        <v>4</v>
      </c>
      <c r="D6" s="12">
        <v>2021</v>
      </c>
      <c r="E6" s="13">
        <f>Electricity!I8</f>
        <v>1752.6000000014901</v>
      </c>
      <c r="F6" s="3">
        <v>0.72</v>
      </c>
      <c r="G6" s="13">
        <f>Gas!J8</f>
        <v>0</v>
      </c>
      <c r="H6" s="3">
        <v>1.66</v>
      </c>
      <c r="I6" s="13">
        <f>Water!H8</f>
        <v>2</v>
      </c>
      <c r="J6" s="3">
        <v>12.93</v>
      </c>
      <c r="K6" s="12">
        <v>0</v>
      </c>
    </row>
    <row r="7" spans="1:11" s="16" customFormat="1" x14ac:dyDescent="0.25">
      <c r="A7" s="26" t="s">
        <v>51</v>
      </c>
      <c r="B7" s="15">
        <f t="shared" si="0"/>
        <v>6</v>
      </c>
      <c r="C7" s="3">
        <v>4</v>
      </c>
      <c r="D7" s="12">
        <v>2021</v>
      </c>
      <c r="E7" s="13">
        <f>Electricity!I9</f>
        <v>1349.640000000596</v>
      </c>
      <c r="F7" s="3">
        <v>0.72</v>
      </c>
      <c r="G7" s="13">
        <f>Gas!J9</f>
        <v>0</v>
      </c>
      <c r="H7" s="3">
        <v>1.66</v>
      </c>
      <c r="I7" s="13">
        <f>Water!H9</f>
        <v>3</v>
      </c>
      <c r="J7" s="3">
        <v>12.93</v>
      </c>
      <c r="K7" s="12">
        <v>0</v>
      </c>
    </row>
    <row r="8" spans="1:11" s="16" customFormat="1" x14ac:dyDescent="0.25">
      <c r="A8" s="26" t="s">
        <v>51</v>
      </c>
      <c r="B8" s="15">
        <f t="shared" si="0"/>
        <v>7</v>
      </c>
      <c r="C8" s="3">
        <v>4</v>
      </c>
      <c r="D8" s="12">
        <v>2021</v>
      </c>
      <c r="E8" s="13">
        <f>Electricity!I10</f>
        <v>1587</v>
      </c>
      <c r="F8" s="3">
        <v>0.72</v>
      </c>
      <c r="G8" s="13">
        <f>Gas!J10</f>
        <v>0</v>
      </c>
      <c r="H8" s="3">
        <v>1.66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51</v>
      </c>
      <c r="B9" s="15">
        <f t="shared" si="0"/>
        <v>8</v>
      </c>
      <c r="C9" s="3">
        <v>4</v>
      </c>
      <c r="D9" s="12">
        <v>2021</v>
      </c>
      <c r="E9" s="13">
        <f>Electricity!I11</f>
        <v>1410.359999999404</v>
      </c>
      <c r="F9" s="3">
        <v>0.72</v>
      </c>
      <c r="G9" s="13">
        <f>Gas!J11</f>
        <v>0</v>
      </c>
      <c r="H9" s="3">
        <v>1.66</v>
      </c>
      <c r="I9" s="13">
        <f>Water!H11</f>
        <v>2</v>
      </c>
      <c r="J9" s="3">
        <v>12.93</v>
      </c>
      <c r="K9" s="12">
        <v>0</v>
      </c>
    </row>
    <row r="10" spans="1:11" s="16" customFormat="1" x14ac:dyDescent="0.25">
      <c r="A10" s="26" t="s">
        <v>51</v>
      </c>
      <c r="B10" s="15">
        <f t="shared" si="0"/>
        <v>9</v>
      </c>
      <c r="C10" s="3">
        <v>4</v>
      </c>
      <c r="D10" s="12">
        <v>2021</v>
      </c>
      <c r="E10" s="13">
        <f>Electricity!I12</f>
        <v>1661.5200000014156</v>
      </c>
      <c r="F10" s="3">
        <v>0.72</v>
      </c>
      <c r="G10" s="13">
        <f>Gas!J12</f>
        <v>0</v>
      </c>
      <c r="H10" s="3">
        <v>1.66</v>
      </c>
      <c r="I10" s="13">
        <f>Water!H12</f>
        <v>3</v>
      </c>
      <c r="J10" s="3">
        <v>12.93</v>
      </c>
      <c r="K10" s="12">
        <v>0</v>
      </c>
    </row>
    <row r="11" spans="1:11" s="16" customFormat="1" x14ac:dyDescent="0.25">
      <c r="A11" s="26" t="s">
        <v>51</v>
      </c>
      <c r="B11" s="15">
        <f t="shared" si="0"/>
        <v>10</v>
      </c>
      <c r="C11" s="3">
        <v>4</v>
      </c>
      <c r="D11" s="12">
        <v>2021</v>
      </c>
      <c r="E11" s="13">
        <f>Electricity!I13</f>
        <v>1592.5199999976903</v>
      </c>
      <c r="F11" s="3">
        <v>0.72</v>
      </c>
      <c r="G11" s="13">
        <f>Gas!J13</f>
        <v>0</v>
      </c>
      <c r="H11" s="3">
        <v>1.66</v>
      </c>
      <c r="I11" s="13">
        <f>Water!H13</f>
        <v>3</v>
      </c>
      <c r="J11" s="3">
        <v>12.93</v>
      </c>
      <c r="K11" s="12">
        <v>0</v>
      </c>
    </row>
    <row r="12" spans="1:11" s="16" customFormat="1" x14ac:dyDescent="0.25">
      <c r="A12" s="26" t="s">
        <v>51</v>
      </c>
      <c r="B12" s="15">
        <f t="shared" si="0"/>
        <v>11</v>
      </c>
      <c r="C12" s="3">
        <v>4</v>
      </c>
      <c r="D12" s="12">
        <v>2021</v>
      </c>
      <c r="E12" s="13">
        <f>Electricity!I14</f>
        <v>1504.2000000011176</v>
      </c>
      <c r="F12" s="3">
        <v>0.72</v>
      </c>
      <c r="G12" s="13">
        <f>Gas!J14</f>
        <v>0</v>
      </c>
      <c r="H12" s="3">
        <v>1.66</v>
      </c>
      <c r="I12" s="13">
        <f>Water!H14</f>
        <v>4</v>
      </c>
      <c r="J12" s="3">
        <v>12.93</v>
      </c>
      <c r="K12" s="12">
        <v>0</v>
      </c>
    </row>
    <row r="13" spans="1:11" s="16" customFormat="1" x14ac:dyDescent="0.25">
      <c r="A13" s="26" t="s">
        <v>51</v>
      </c>
      <c r="B13" s="15">
        <f t="shared" si="0"/>
        <v>12</v>
      </c>
      <c r="C13" s="3">
        <v>4</v>
      </c>
      <c r="D13" s="12">
        <v>2021</v>
      </c>
      <c r="E13" s="13">
        <f>Electricity!I15</f>
        <v>1255.7999999988824</v>
      </c>
      <c r="F13" s="3">
        <v>0.72</v>
      </c>
      <c r="G13" s="13">
        <f>Gas!J15</f>
        <v>23.180111999856308</v>
      </c>
      <c r="H13" s="3">
        <v>1.66</v>
      </c>
      <c r="I13" s="13">
        <f>Water!H15</f>
        <v>2</v>
      </c>
      <c r="J13" s="3">
        <v>12.93</v>
      </c>
      <c r="K13" s="12">
        <v>0</v>
      </c>
    </row>
    <row r="14" spans="1:11" s="16" customFormat="1" x14ac:dyDescent="0.25">
      <c r="A14" s="26" t="s">
        <v>51</v>
      </c>
      <c r="B14" s="15">
        <f t="shared" si="0"/>
        <v>13</v>
      </c>
      <c r="C14" s="3">
        <v>4</v>
      </c>
      <c r="D14" s="12">
        <v>2021</v>
      </c>
      <c r="E14" s="13">
        <f>Electricity!I16</f>
        <v>1468.320000000298</v>
      </c>
      <c r="F14" s="3">
        <v>0.72</v>
      </c>
      <c r="G14" s="13">
        <f>Gas!J16</f>
        <v>15.453408000059426</v>
      </c>
      <c r="H14" s="3">
        <v>1.66</v>
      </c>
      <c r="I14" s="13">
        <f>Water!H16</f>
        <v>3</v>
      </c>
      <c r="J14" s="3">
        <v>12.93</v>
      </c>
      <c r="K14" s="12">
        <v>0</v>
      </c>
    </row>
    <row r="15" spans="1:11" s="16" customFormat="1" x14ac:dyDescent="0.25">
      <c r="A15" s="26" t="s">
        <v>51</v>
      </c>
      <c r="B15" s="15">
        <f t="shared" si="0"/>
        <v>14</v>
      </c>
      <c r="C15" s="3">
        <v>4</v>
      </c>
      <c r="D15" s="12">
        <v>2021</v>
      </c>
      <c r="E15" s="13">
        <f>Electricity!I17</f>
        <v>1446.2400000020862</v>
      </c>
      <c r="F15" s="3">
        <v>0.72</v>
      </c>
      <c r="G15" s="13">
        <f>Gas!J17</f>
        <v>0</v>
      </c>
      <c r="H15" s="3">
        <v>1.66</v>
      </c>
      <c r="I15" s="13">
        <f>Water!H17</f>
        <v>7</v>
      </c>
      <c r="J15" s="3">
        <v>12.93</v>
      </c>
      <c r="K15" s="12">
        <v>0</v>
      </c>
    </row>
    <row r="16" spans="1:11" s="16" customFormat="1" x14ac:dyDescent="0.25">
      <c r="A16" s="26" t="s">
        <v>51</v>
      </c>
      <c r="B16" s="15">
        <f t="shared" si="0"/>
        <v>15</v>
      </c>
      <c r="C16" s="3">
        <v>4</v>
      </c>
      <c r="D16" s="12">
        <v>2021</v>
      </c>
      <c r="E16" s="13">
        <f>Electricity!I18</f>
        <v>1426.9199999999255</v>
      </c>
      <c r="F16" s="3">
        <v>0.72</v>
      </c>
      <c r="G16" s="13">
        <f>Gas!J18</f>
        <v>0</v>
      </c>
      <c r="H16" s="3">
        <v>1.66</v>
      </c>
      <c r="I16" s="13">
        <f>Water!H18</f>
        <v>54</v>
      </c>
      <c r="J16" s="3">
        <v>12.93</v>
      </c>
      <c r="K16" s="12">
        <v>0</v>
      </c>
    </row>
    <row r="17" spans="1:11" s="16" customFormat="1" x14ac:dyDescent="0.25">
      <c r="A17" s="26" t="s">
        <v>51</v>
      </c>
      <c r="B17" s="15">
        <f t="shared" si="0"/>
        <v>16</v>
      </c>
      <c r="C17" s="3">
        <v>4</v>
      </c>
      <c r="D17" s="12">
        <v>2021</v>
      </c>
      <c r="E17" s="13">
        <f>Electricity!I19</f>
        <v>1595.2799999974668</v>
      </c>
      <c r="F17" s="3">
        <v>0.72</v>
      </c>
      <c r="G17" s="13">
        <f>Gas!J19</f>
        <v>0</v>
      </c>
      <c r="H17" s="3">
        <v>1.66</v>
      </c>
      <c r="I17" s="13">
        <f>Water!H19</f>
        <v>16</v>
      </c>
      <c r="J17" s="3">
        <v>12.93</v>
      </c>
      <c r="K17" s="12">
        <v>0</v>
      </c>
    </row>
    <row r="18" spans="1:11" s="16" customFormat="1" x14ac:dyDescent="0.25">
      <c r="A18" s="26" t="s">
        <v>51</v>
      </c>
      <c r="B18" s="15">
        <f t="shared" si="0"/>
        <v>17</v>
      </c>
      <c r="C18" s="3">
        <v>4</v>
      </c>
      <c r="D18" s="12">
        <v>2021</v>
      </c>
      <c r="E18" s="13">
        <f>Electricity!I20</f>
        <v>1553.8800000008196</v>
      </c>
      <c r="F18" s="3">
        <v>0.72</v>
      </c>
      <c r="G18" s="13">
        <f>Gas!J20</f>
        <v>0</v>
      </c>
      <c r="H18" s="3">
        <v>1.66</v>
      </c>
      <c r="I18" s="13">
        <f>Water!H20</f>
        <v>3</v>
      </c>
      <c r="J18" s="3">
        <v>12.93</v>
      </c>
      <c r="K18" s="12">
        <v>0</v>
      </c>
    </row>
    <row r="19" spans="1:11" s="16" customFormat="1" x14ac:dyDescent="0.25">
      <c r="A19" s="26" t="s">
        <v>51</v>
      </c>
      <c r="B19" s="15">
        <f t="shared" si="0"/>
        <v>18</v>
      </c>
      <c r="C19" s="3">
        <v>4</v>
      </c>
      <c r="D19" s="12">
        <v>2021</v>
      </c>
      <c r="E19" s="13">
        <f>Electricity!I21</f>
        <v>-12876603.359999999</v>
      </c>
      <c r="F19" s="3">
        <v>0.72</v>
      </c>
      <c r="G19" s="13">
        <f>Gas!J21</f>
        <v>-1201400.737064</v>
      </c>
      <c r="H19" s="3">
        <v>1.66</v>
      </c>
      <c r="I19" s="13">
        <f>Water!H21</f>
        <v>-9153</v>
      </c>
      <c r="J19" s="3">
        <v>12.93</v>
      </c>
      <c r="K19" s="12">
        <v>0</v>
      </c>
    </row>
    <row r="20" spans="1:11" s="16" customFormat="1" x14ac:dyDescent="0.25">
      <c r="A20" s="26" t="s">
        <v>51</v>
      </c>
      <c r="B20" s="15">
        <f t="shared" si="0"/>
        <v>19</v>
      </c>
      <c r="C20" s="3">
        <v>4</v>
      </c>
      <c r="D20" s="12">
        <v>2021</v>
      </c>
      <c r="E20" s="13">
        <f>Electricity!I22</f>
        <v>0</v>
      </c>
      <c r="F20" s="3">
        <v>0.72</v>
      </c>
      <c r="G20" s="13">
        <f>Gas!J22</f>
        <v>0</v>
      </c>
      <c r="H20" s="3">
        <v>1.66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6" t="s">
        <v>51</v>
      </c>
      <c r="B21" s="15">
        <f t="shared" si="0"/>
        <v>20</v>
      </c>
      <c r="C21" s="3">
        <v>4</v>
      </c>
      <c r="D21" s="12">
        <v>2021</v>
      </c>
      <c r="E21" s="13">
        <f>Electricity!I23</f>
        <v>0</v>
      </c>
      <c r="F21" s="3">
        <v>0.72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51</v>
      </c>
      <c r="B22" s="15">
        <f t="shared" si="0"/>
        <v>21</v>
      </c>
      <c r="C22" s="3">
        <v>4</v>
      </c>
      <c r="D22" s="12">
        <v>2021</v>
      </c>
      <c r="E22" s="13">
        <f>Electricity!I24</f>
        <v>0</v>
      </c>
      <c r="F22" s="3">
        <v>0.72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51</v>
      </c>
      <c r="B23" s="15">
        <f t="shared" si="0"/>
        <v>22</v>
      </c>
      <c r="C23" s="3">
        <v>4</v>
      </c>
      <c r="D23" s="12">
        <v>2021</v>
      </c>
      <c r="E23" s="13">
        <f>Electricity!I25</f>
        <v>0</v>
      </c>
      <c r="F23" s="3">
        <v>0.72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51</v>
      </c>
      <c r="B24" s="15">
        <f t="shared" si="0"/>
        <v>23</v>
      </c>
      <c r="C24" s="3">
        <v>4</v>
      </c>
      <c r="D24" s="12">
        <v>2021</v>
      </c>
      <c r="E24" s="13">
        <f>Electricity!I26</f>
        <v>0</v>
      </c>
      <c r="F24" s="3">
        <v>0.72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51</v>
      </c>
      <c r="B25" s="15">
        <f t="shared" si="0"/>
        <v>24</v>
      </c>
      <c r="C25" s="3">
        <v>4</v>
      </c>
      <c r="D25" s="12">
        <v>2021</v>
      </c>
      <c r="E25" s="13">
        <f>Electricity!I27</f>
        <v>0</v>
      </c>
      <c r="F25" s="3">
        <v>0.72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51</v>
      </c>
      <c r="B26" s="15">
        <f>B25+1</f>
        <v>25</v>
      </c>
      <c r="C26" s="3">
        <v>4</v>
      </c>
      <c r="D26" s="12">
        <v>2021</v>
      </c>
      <c r="E26" s="13">
        <f>Electricity!I28</f>
        <v>0</v>
      </c>
      <c r="F26" s="3">
        <v>0.72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51</v>
      </c>
      <c r="B27" s="15">
        <f t="shared" si="0"/>
        <v>26</v>
      </c>
      <c r="C27" s="3">
        <v>4</v>
      </c>
      <c r="D27" s="12">
        <v>2021</v>
      </c>
      <c r="E27" s="13">
        <f>Electricity!I29</f>
        <v>0</v>
      </c>
      <c r="F27" s="3">
        <v>0.72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51</v>
      </c>
      <c r="B28" s="15">
        <f t="shared" si="0"/>
        <v>27</v>
      </c>
      <c r="C28" s="3">
        <v>4</v>
      </c>
      <c r="D28" s="12">
        <v>2021</v>
      </c>
      <c r="E28" s="13">
        <f>Electricity!I30</f>
        <v>0</v>
      </c>
      <c r="F28" s="3">
        <v>0.72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51</v>
      </c>
      <c r="B29" s="15">
        <f t="shared" si="0"/>
        <v>28</v>
      </c>
      <c r="C29" s="3">
        <v>4</v>
      </c>
      <c r="D29" s="12">
        <v>2021</v>
      </c>
      <c r="E29" s="13">
        <f>Electricity!I31</f>
        <v>0</v>
      </c>
      <c r="F29" s="3">
        <v>0.72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51</v>
      </c>
      <c r="B30" s="15">
        <f t="shared" si="0"/>
        <v>29</v>
      </c>
      <c r="C30" s="3">
        <v>4</v>
      </c>
      <c r="D30" s="12">
        <v>2021</v>
      </c>
      <c r="E30" s="13">
        <f>Electricity!I32</f>
        <v>0</v>
      </c>
      <c r="F30" s="3">
        <v>0.72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51</v>
      </c>
      <c r="B31" s="15">
        <f t="shared" si="0"/>
        <v>30</v>
      </c>
      <c r="C31" s="3">
        <v>4</v>
      </c>
      <c r="D31" s="12">
        <v>2021</v>
      </c>
      <c r="E31" s="13">
        <f>Electricity!I33</f>
        <v>0</v>
      </c>
      <c r="F31" s="3">
        <v>0.72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21" sqref="E21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54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44287</v>
      </c>
      <c r="E4" s="24">
        <v>9041</v>
      </c>
      <c r="F4" s="24">
        <v>1065</v>
      </c>
      <c r="G4" s="24">
        <f>E4+F4</f>
        <v>10106</v>
      </c>
      <c r="H4" s="25">
        <f>+(G4-[1]Mar.2021!G34)</f>
        <v>2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44288</v>
      </c>
      <c r="E5" s="24">
        <v>9045</v>
      </c>
      <c r="F5" s="24">
        <v>1065</v>
      </c>
      <c r="G5" s="24">
        <f>E5+F5</f>
        <v>10110</v>
      </c>
      <c r="H5" s="25">
        <f t="shared" ref="H5:H33" si="0">G5-G4</f>
        <v>4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44289</v>
      </c>
      <c r="E6" s="24">
        <v>9047</v>
      </c>
      <c r="F6" s="24">
        <v>1065</v>
      </c>
      <c r="G6" s="24">
        <f>E6+F6</f>
        <v>10112</v>
      </c>
      <c r="H6" s="25">
        <f t="shared" si="0"/>
        <v>2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44290</v>
      </c>
      <c r="E7" s="24">
        <v>9049</v>
      </c>
      <c r="F7" s="24">
        <v>1065</v>
      </c>
      <c r="G7" s="24">
        <f>E7+F7</f>
        <v>10114</v>
      </c>
      <c r="H7" s="25">
        <f t="shared" si="0"/>
        <v>2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44291</v>
      </c>
      <c r="E8" s="24">
        <v>9051</v>
      </c>
      <c r="F8" s="24">
        <v>1065</v>
      </c>
      <c r="G8" s="24">
        <f>E8+F8</f>
        <v>10116</v>
      </c>
      <c r="H8" s="25">
        <f t="shared" si="0"/>
        <v>2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44292</v>
      </c>
      <c r="E9" s="24">
        <v>9054</v>
      </c>
      <c r="F9" s="24">
        <v>1065</v>
      </c>
      <c r="G9" s="24">
        <f t="shared" ref="G9:G33" si="1">E9+F9</f>
        <v>10119</v>
      </c>
      <c r="H9" s="25">
        <f t="shared" si="0"/>
        <v>3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44293</v>
      </c>
      <c r="E10" s="24">
        <v>9056</v>
      </c>
      <c r="F10" s="24">
        <v>1065</v>
      </c>
      <c r="G10" s="24">
        <f t="shared" si="1"/>
        <v>10121</v>
      </c>
      <c r="H10" s="25">
        <f t="shared" si="0"/>
        <v>2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44294</v>
      </c>
      <c r="E11" s="24">
        <v>9058</v>
      </c>
      <c r="F11" s="24">
        <v>1065</v>
      </c>
      <c r="G11" s="24">
        <f t="shared" si="1"/>
        <v>10123</v>
      </c>
      <c r="H11" s="25">
        <f t="shared" si="0"/>
        <v>2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44295</v>
      </c>
      <c r="E12" s="24">
        <v>9061</v>
      </c>
      <c r="F12" s="24">
        <v>1065</v>
      </c>
      <c r="G12" s="24">
        <f t="shared" si="1"/>
        <v>10126</v>
      </c>
      <c r="H12" s="25">
        <f t="shared" si="0"/>
        <v>3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44296</v>
      </c>
      <c r="E13" s="24">
        <v>9064</v>
      </c>
      <c r="F13" s="24">
        <v>1065</v>
      </c>
      <c r="G13" s="24">
        <f t="shared" si="1"/>
        <v>10129</v>
      </c>
      <c r="H13" s="25">
        <f t="shared" si="0"/>
        <v>3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44297</v>
      </c>
      <c r="E14" s="24">
        <v>9068</v>
      </c>
      <c r="F14" s="24">
        <v>1065</v>
      </c>
      <c r="G14" s="24">
        <f t="shared" si="1"/>
        <v>10133</v>
      </c>
      <c r="H14" s="25">
        <f t="shared" si="0"/>
        <v>4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44298</v>
      </c>
      <c r="E15" s="24">
        <v>9070</v>
      </c>
      <c r="F15" s="24">
        <v>1065</v>
      </c>
      <c r="G15" s="24">
        <f t="shared" si="1"/>
        <v>10135</v>
      </c>
      <c r="H15" s="25">
        <f t="shared" si="0"/>
        <v>2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44299</v>
      </c>
      <c r="E16" s="24">
        <v>9073</v>
      </c>
      <c r="F16" s="24">
        <v>1065</v>
      </c>
      <c r="G16" s="24">
        <f t="shared" si="1"/>
        <v>10138</v>
      </c>
      <c r="H16" s="25">
        <f t="shared" si="0"/>
        <v>3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44300</v>
      </c>
      <c r="E17" s="24">
        <v>9080</v>
      </c>
      <c r="F17" s="24">
        <v>1065</v>
      </c>
      <c r="G17" s="24">
        <f t="shared" si="1"/>
        <v>10145</v>
      </c>
      <c r="H17" s="25">
        <f t="shared" si="0"/>
        <v>7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44301</v>
      </c>
      <c r="E18" s="24">
        <v>9134</v>
      </c>
      <c r="F18" s="24">
        <v>1065</v>
      </c>
      <c r="G18" s="24">
        <f t="shared" si="1"/>
        <v>10199</v>
      </c>
      <c r="H18" s="25">
        <f t="shared" si="0"/>
        <v>54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44302</v>
      </c>
      <c r="E19" s="24">
        <v>9150</v>
      </c>
      <c r="F19" s="24">
        <v>1065</v>
      </c>
      <c r="G19" s="24">
        <f>E19+F19</f>
        <v>10215</v>
      </c>
      <c r="H19" s="25">
        <f t="shared" si="0"/>
        <v>16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44303</v>
      </c>
      <c r="E20" s="24">
        <v>9153</v>
      </c>
      <c r="F20" s="24">
        <v>1065</v>
      </c>
      <c r="G20" s="24">
        <f t="shared" si="1"/>
        <v>10218</v>
      </c>
      <c r="H20" s="25">
        <f t="shared" si="0"/>
        <v>3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44304</v>
      </c>
      <c r="E21" s="24"/>
      <c r="F21" s="24">
        <v>1065</v>
      </c>
      <c r="G21" s="24">
        <f t="shared" si="1"/>
        <v>1065</v>
      </c>
      <c r="H21" s="25">
        <f t="shared" si="0"/>
        <v>-9153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44305</v>
      </c>
      <c r="E22" s="24"/>
      <c r="F22" s="24">
        <v>1065</v>
      </c>
      <c r="G22" s="24">
        <f t="shared" si="1"/>
        <v>1065</v>
      </c>
      <c r="H22" s="25">
        <f t="shared" si="0"/>
        <v>0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44306</v>
      </c>
      <c r="E23" s="24"/>
      <c r="F23" s="24">
        <v>1065</v>
      </c>
      <c r="G23" s="24">
        <f t="shared" si="1"/>
        <v>1065</v>
      </c>
      <c r="H23" s="25">
        <f t="shared" si="0"/>
        <v>0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44307</v>
      </c>
      <c r="E24" s="24"/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44308</v>
      </c>
      <c r="E25" s="24"/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44309</v>
      </c>
      <c r="E26" s="24"/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44310</v>
      </c>
      <c r="E27" s="24"/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44311</v>
      </c>
      <c r="E28" s="24"/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44312</v>
      </c>
      <c r="E29" s="24"/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44313</v>
      </c>
      <c r="E30" s="24"/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44314</v>
      </c>
      <c r="E31" s="24"/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44315</v>
      </c>
      <c r="E32" s="24"/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44316</v>
      </c>
      <c r="E33" s="24"/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-9039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53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19" sqref="F19:F20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55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44287</v>
      </c>
      <c r="E4" s="24">
        <v>760788</v>
      </c>
      <c r="F4" s="24">
        <v>172103</v>
      </c>
      <c r="G4" s="24">
        <f>E4+F4</f>
        <v>932891</v>
      </c>
      <c r="H4" s="18">
        <v>1.287784</v>
      </c>
      <c r="I4" s="24">
        <f t="shared" ref="I4:I33" si="0">H4*G4</f>
        <v>1201362.1035440001</v>
      </c>
      <c r="J4" s="25"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44288</v>
      </c>
      <c r="E5" s="24">
        <v>760788</v>
      </c>
      <c r="F5" s="24">
        <v>172103</v>
      </c>
      <c r="G5" s="24">
        <f t="shared" ref="G5:G33" si="1">E5+F5</f>
        <v>932891</v>
      </c>
      <c r="H5" s="18">
        <v>1.287784</v>
      </c>
      <c r="I5" s="24">
        <f t="shared" si="0"/>
        <v>1201362.1035440001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44289</v>
      </c>
      <c r="E6" s="24">
        <v>760788</v>
      </c>
      <c r="F6" s="24">
        <v>172103</v>
      </c>
      <c r="G6" s="24">
        <f t="shared" si="1"/>
        <v>932891</v>
      </c>
      <c r="H6" s="18">
        <v>1.287784</v>
      </c>
      <c r="I6" s="24">
        <f t="shared" si="0"/>
        <v>1201362.1035440001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44290</v>
      </c>
      <c r="E7" s="24">
        <v>760788</v>
      </c>
      <c r="F7" s="24">
        <v>172103</v>
      </c>
      <c r="G7" s="24">
        <f t="shared" si="1"/>
        <v>932891</v>
      </c>
      <c r="H7" s="18">
        <v>1.287784</v>
      </c>
      <c r="I7" s="24">
        <f t="shared" si="0"/>
        <v>1201362.1035440001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44291</v>
      </c>
      <c r="E8" s="24">
        <v>760788</v>
      </c>
      <c r="F8" s="24">
        <v>172103</v>
      </c>
      <c r="G8" s="24">
        <f t="shared" si="1"/>
        <v>932891</v>
      </c>
      <c r="H8" s="18">
        <v>1.287784</v>
      </c>
      <c r="I8" s="24">
        <f t="shared" si="0"/>
        <v>1201362.1035440001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44292</v>
      </c>
      <c r="E9" s="24">
        <v>760788</v>
      </c>
      <c r="F9" s="24">
        <v>172103</v>
      </c>
      <c r="G9" s="24">
        <f t="shared" si="1"/>
        <v>932891</v>
      </c>
      <c r="H9" s="18">
        <v>1.287784</v>
      </c>
      <c r="I9" s="24">
        <f t="shared" si="0"/>
        <v>1201362.1035440001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44293</v>
      </c>
      <c r="E10" s="24">
        <v>760788</v>
      </c>
      <c r="F10" s="24">
        <v>172103</v>
      </c>
      <c r="G10" s="24">
        <f t="shared" si="1"/>
        <v>932891</v>
      </c>
      <c r="H10" s="18">
        <v>1.287784</v>
      </c>
      <c r="I10" s="24">
        <f t="shared" si="0"/>
        <v>1201362.1035440001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44294</v>
      </c>
      <c r="E11" s="24">
        <v>760788</v>
      </c>
      <c r="F11" s="24">
        <v>172103</v>
      </c>
      <c r="G11" s="24">
        <f t="shared" si="1"/>
        <v>932891</v>
      </c>
      <c r="H11" s="18">
        <v>1.287784</v>
      </c>
      <c r="I11" s="24">
        <f t="shared" si="0"/>
        <v>1201362.1035440001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44295</v>
      </c>
      <c r="E12" s="24">
        <v>760788</v>
      </c>
      <c r="F12" s="24">
        <v>172103</v>
      </c>
      <c r="G12" s="24">
        <f>E12+F12</f>
        <v>932891</v>
      </c>
      <c r="H12" s="18">
        <v>1.287784</v>
      </c>
      <c r="I12" s="24">
        <f t="shared" si="0"/>
        <v>1201362.1035440001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44296</v>
      </c>
      <c r="E13" s="24">
        <v>760788</v>
      </c>
      <c r="F13" s="24">
        <v>172103</v>
      </c>
      <c r="G13" s="24">
        <f>E13+F13</f>
        <v>932891</v>
      </c>
      <c r="H13" s="18">
        <v>1.287784</v>
      </c>
      <c r="I13" s="24">
        <f t="shared" si="0"/>
        <v>1201362.1035440001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44297</v>
      </c>
      <c r="E14" s="24">
        <v>760788</v>
      </c>
      <c r="F14" s="24">
        <v>172103</v>
      </c>
      <c r="G14" s="24">
        <f t="shared" si="1"/>
        <v>932891</v>
      </c>
      <c r="H14" s="18">
        <v>1.287784</v>
      </c>
      <c r="I14" s="24">
        <f t="shared" si="0"/>
        <v>1201362.1035440001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44298</v>
      </c>
      <c r="E15" s="24">
        <v>760788</v>
      </c>
      <c r="F15" s="24">
        <v>172121</v>
      </c>
      <c r="G15" s="24">
        <f>E15+F15</f>
        <v>932909</v>
      </c>
      <c r="H15" s="18">
        <v>1.287784</v>
      </c>
      <c r="I15" s="24">
        <f t="shared" si="0"/>
        <v>1201385.2836559999</v>
      </c>
      <c r="J15" s="25">
        <f t="shared" si="2"/>
        <v>23.180111999856308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44299</v>
      </c>
      <c r="E16" s="24">
        <v>760788</v>
      </c>
      <c r="F16" s="24">
        <v>172133</v>
      </c>
      <c r="G16" s="24">
        <f>E16+F16</f>
        <v>932921</v>
      </c>
      <c r="H16" s="18">
        <v>1.287784</v>
      </c>
      <c r="I16" s="24">
        <f t="shared" si="0"/>
        <v>1201400.737064</v>
      </c>
      <c r="J16" s="25">
        <f t="shared" si="2"/>
        <v>15.453408000059426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44300</v>
      </c>
      <c r="E17" s="24">
        <v>760788</v>
      </c>
      <c r="F17" s="24">
        <v>172133</v>
      </c>
      <c r="G17" s="24">
        <f t="shared" si="1"/>
        <v>932921</v>
      </c>
      <c r="H17" s="18">
        <v>1.287784</v>
      </c>
      <c r="I17" s="24">
        <f t="shared" si="0"/>
        <v>1201400.737064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44301</v>
      </c>
      <c r="E18" s="24">
        <v>760788</v>
      </c>
      <c r="F18" s="24">
        <v>172133</v>
      </c>
      <c r="G18" s="24">
        <f t="shared" si="1"/>
        <v>932921</v>
      </c>
      <c r="H18" s="18">
        <v>1.287784</v>
      </c>
      <c r="I18" s="24">
        <f t="shared" si="0"/>
        <v>1201400.737064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44302</v>
      </c>
      <c r="E19" s="24">
        <v>760788</v>
      </c>
      <c r="F19" s="24">
        <v>172133</v>
      </c>
      <c r="G19" s="24">
        <f t="shared" si="1"/>
        <v>932921</v>
      </c>
      <c r="H19" s="18">
        <v>1.287784</v>
      </c>
      <c r="I19" s="24">
        <f t="shared" si="0"/>
        <v>1201400.737064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44303</v>
      </c>
      <c r="E20" s="24">
        <v>760788</v>
      </c>
      <c r="F20" s="24">
        <v>172133</v>
      </c>
      <c r="G20" s="24">
        <f t="shared" si="1"/>
        <v>932921</v>
      </c>
      <c r="H20" s="18">
        <v>1.287784</v>
      </c>
      <c r="I20" s="24">
        <f t="shared" si="0"/>
        <v>1201400.737064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44304</v>
      </c>
      <c r="E21" s="24"/>
      <c r="F21" s="24"/>
      <c r="G21" s="24">
        <f t="shared" si="1"/>
        <v>0</v>
      </c>
      <c r="H21" s="18">
        <v>1.287784</v>
      </c>
      <c r="I21" s="24">
        <f t="shared" si="0"/>
        <v>0</v>
      </c>
      <c r="J21" s="25">
        <f t="shared" si="2"/>
        <v>-1201400.737064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44305</v>
      </c>
      <c r="E22" s="24"/>
      <c r="F22" s="24"/>
      <c r="G22" s="24">
        <f t="shared" si="1"/>
        <v>0</v>
      </c>
      <c r="H22" s="18">
        <v>1.287784</v>
      </c>
      <c r="I22" s="24">
        <f t="shared" si="0"/>
        <v>0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44306</v>
      </c>
      <c r="E23" s="24"/>
      <c r="F23" s="24"/>
      <c r="G23" s="24">
        <f t="shared" si="1"/>
        <v>0</v>
      </c>
      <c r="H23" s="18">
        <v>1.287784</v>
      </c>
      <c r="I23" s="24">
        <f t="shared" si="0"/>
        <v>0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44307</v>
      </c>
      <c r="E24" s="24"/>
      <c r="F24" s="24"/>
      <c r="G24" s="24">
        <f t="shared" si="1"/>
        <v>0</v>
      </c>
      <c r="H24" s="18">
        <v>1.287784</v>
      </c>
      <c r="I24" s="24">
        <f t="shared" si="0"/>
        <v>0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44308</v>
      </c>
      <c r="E25" s="24"/>
      <c r="F25" s="24"/>
      <c r="G25" s="24">
        <f t="shared" si="1"/>
        <v>0</v>
      </c>
      <c r="H25" s="18">
        <v>1.287784</v>
      </c>
      <c r="I25" s="24">
        <f t="shared" si="0"/>
        <v>0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44309</v>
      </c>
      <c r="E26" s="24"/>
      <c r="F26" s="24"/>
      <c r="G26" s="24">
        <f t="shared" si="1"/>
        <v>0</v>
      </c>
      <c r="H26" s="18">
        <v>1.287784</v>
      </c>
      <c r="I26" s="24">
        <f t="shared" si="0"/>
        <v>0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44310</v>
      </c>
      <c r="E27" s="24"/>
      <c r="F27" s="24"/>
      <c r="G27" s="24">
        <f t="shared" si="1"/>
        <v>0</v>
      </c>
      <c r="H27" s="18">
        <v>1.287784</v>
      </c>
      <c r="I27" s="24">
        <f t="shared" si="0"/>
        <v>0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44311</v>
      </c>
      <c r="E28" s="24"/>
      <c r="F28" s="24"/>
      <c r="G28" s="24">
        <f t="shared" si="1"/>
        <v>0</v>
      </c>
      <c r="H28" s="18">
        <v>1.287784</v>
      </c>
      <c r="I28" s="24">
        <f t="shared" si="0"/>
        <v>0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44312</v>
      </c>
      <c r="E29" s="24"/>
      <c r="F29" s="24"/>
      <c r="G29" s="24">
        <f t="shared" si="1"/>
        <v>0</v>
      </c>
      <c r="H29" s="18">
        <v>1.287784</v>
      </c>
      <c r="I29" s="24">
        <f t="shared" si="0"/>
        <v>0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44313</v>
      </c>
      <c r="E30" s="24"/>
      <c r="F30" s="24"/>
      <c r="G30" s="24">
        <f t="shared" si="1"/>
        <v>0</v>
      </c>
      <c r="H30" s="18">
        <v>1.287784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44314</v>
      </c>
      <c r="E31" s="24"/>
      <c r="F31" s="24"/>
      <c r="G31" s="24">
        <f t="shared" si="1"/>
        <v>0</v>
      </c>
      <c r="H31" s="18">
        <v>1.287784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44315</v>
      </c>
      <c r="E32" s="24"/>
      <c r="F32" s="24"/>
      <c r="G32" s="24">
        <f t="shared" si="1"/>
        <v>0</v>
      </c>
      <c r="H32" s="18">
        <v>1.287784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44316</v>
      </c>
      <c r="E33" s="24"/>
      <c r="F33" s="24"/>
      <c r="G33" s="24">
        <f t="shared" si="1"/>
        <v>0</v>
      </c>
      <c r="H33" s="18">
        <v>1.287784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-1201362.1035440001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0</v>
      </c>
      <c r="M36" s="17">
        <f>+(L36*31)</f>
        <v>0</v>
      </c>
    </row>
    <row r="37" spans="4:18" ht="12.75" customHeight="1" x14ac:dyDescent="0.25">
      <c r="D37" s="50" t="s">
        <v>50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21" sqref="F21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56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47</v>
      </c>
      <c r="R1" s="107"/>
      <c r="S1" s="107"/>
      <c r="T1" s="107"/>
      <c r="U1" s="107"/>
      <c r="V1" s="107"/>
      <c r="W1" s="107"/>
      <c r="X1" s="107"/>
      <c r="Y1" s="17"/>
      <c r="Z1" s="107" t="s">
        <v>48</v>
      </c>
      <c r="AA1" s="107"/>
      <c r="AB1" s="107"/>
      <c r="AC1" s="107"/>
      <c r="AD1" s="107"/>
      <c r="AE1" s="107"/>
      <c r="AF1" s="107"/>
      <c r="AG1" s="107"/>
      <c r="AI1" s="107" t="s">
        <v>49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44287</v>
      </c>
      <c r="F4" s="92">
        <v>4656.6319999999996</v>
      </c>
      <c r="G4" s="23">
        <v>2760</v>
      </c>
      <c r="H4" s="24">
        <f>G4*F4</f>
        <v>12852304.319999998</v>
      </c>
      <c r="I4" s="25">
        <v>1771.9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44256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+(T4-[3]Feb.2021!$R$31)</f>
        <v>52.440000000002328</v>
      </c>
      <c r="V4" s="25">
        <f t="shared" ref="V4:V9" si="1">I4</f>
        <v>1771.9</v>
      </c>
      <c r="W4" s="74">
        <f t="shared" ref="W4:W33" si="2">U4/V4</f>
        <v>2.9595349624697967E-2</v>
      </c>
      <c r="X4" s="75">
        <v>0.2</v>
      </c>
      <c r="Y4" s="33"/>
      <c r="Z4" s="39">
        <v>44256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+(AC4-[3]Feb.2021!$AA$31)</f>
        <v>49.679999999993015</v>
      </c>
      <c r="AE4" s="25">
        <f t="shared" ref="AE4:AE9" si="4">I4</f>
        <v>1771.9</v>
      </c>
      <c r="AF4" s="74">
        <f t="shared" ref="AF4:AF9" si="5">AD4/AE4</f>
        <v>2.8037699644445517E-2</v>
      </c>
      <c r="AG4" s="75">
        <v>0.15</v>
      </c>
      <c r="AI4" s="39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1771.9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44288</v>
      </c>
      <c r="F5" s="92">
        <v>4657.3069999999998</v>
      </c>
      <c r="G5" s="23">
        <v>2760</v>
      </c>
      <c r="H5" s="24">
        <f t="shared" ref="H5:H33" si="11">G5*F5</f>
        <v>12854167.32</v>
      </c>
      <c r="I5" s="25">
        <f>H5-H4</f>
        <v>1863.0000000018626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44257</v>
      </c>
      <c r="R5" s="73">
        <v>124.027</v>
      </c>
      <c r="S5" s="73">
        <v>2760</v>
      </c>
      <c r="T5" s="73">
        <f t="shared" si="0"/>
        <v>342314.52</v>
      </c>
      <c r="U5" s="25">
        <f t="shared" ref="U5:U10" si="12">T5-T4</f>
        <v>113.1600000000326</v>
      </c>
      <c r="V5" s="25">
        <f t="shared" si="1"/>
        <v>1863.0000000018626</v>
      </c>
      <c r="W5" s="74">
        <f t="shared" si="2"/>
        <v>6.0740740740697512E-2</v>
      </c>
      <c r="X5" s="75">
        <v>0.2</v>
      </c>
      <c r="Y5" s="33"/>
      <c r="Z5" s="39">
        <v>44257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1863.0000000018626</v>
      </c>
      <c r="AF5" s="74">
        <f t="shared" si="5"/>
        <v>2.9629629629606254E-2</v>
      </c>
      <c r="AG5" s="75">
        <v>0.15</v>
      </c>
      <c r="AI5" s="39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1863.0000000018626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44289</v>
      </c>
      <c r="F6" s="92">
        <v>4657.8630000000003</v>
      </c>
      <c r="G6" s="23">
        <v>2760</v>
      </c>
      <c r="H6" s="24">
        <f t="shared" si="11"/>
        <v>12855701.880000001</v>
      </c>
      <c r="I6" s="25">
        <f t="shared" ref="I6:I32" si="18">H6-H5</f>
        <v>1534.5600000005215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44258</v>
      </c>
      <c r="R6" s="73">
        <v>124.063</v>
      </c>
      <c r="S6" s="73">
        <v>2760</v>
      </c>
      <c r="T6" s="73">
        <f t="shared" si="0"/>
        <v>342413.88</v>
      </c>
      <c r="U6" s="25">
        <f t="shared" si="12"/>
        <v>99.35999999998603</v>
      </c>
      <c r="V6" s="25">
        <f t="shared" si="1"/>
        <v>1534.5600000005215</v>
      </c>
      <c r="W6" s="74">
        <f t="shared" si="2"/>
        <v>6.4748201438817807E-2</v>
      </c>
      <c r="X6" s="75">
        <v>0.2</v>
      </c>
      <c r="Y6" s="33"/>
      <c r="Z6" s="39">
        <v>44258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1534.5600000005215</v>
      </c>
      <c r="AF6" s="74">
        <f t="shared" si="5"/>
        <v>3.4172661870531432E-2</v>
      </c>
      <c r="AG6" s="75">
        <v>0.15</v>
      </c>
      <c r="AI6" s="39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1534.5600000005215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44290</v>
      </c>
      <c r="F7" s="92">
        <v>4658.3329999999996</v>
      </c>
      <c r="G7" s="23">
        <v>2760</v>
      </c>
      <c r="H7" s="24">
        <f t="shared" si="11"/>
        <v>12856999.079999998</v>
      </c>
      <c r="I7" s="25">
        <f t="shared" si="18"/>
        <v>1297.1999999973923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44259</v>
      </c>
      <c r="R7" s="73"/>
      <c r="S7" s="73">
        <v>2760</v>
      </c>
      <c r="T7" s="73">
        <f t="shared" si="0"/>
        <v>0</v>
      </c>
      <c r="U7" s="25">
        <f t="shared" si="12"/>
        <v>-342413.88</v>
      </c>
      <c r="V7" s="25">
        <f t="shared" si="1"/>
        <v>1297.1999999973923</v>
      </c>
      <c r="W7" s="74">
        <f t="shared" si="2"/>
        <v>-263.96382978776467</v>
      </c>
      <c r="X7" s="75">
        <v>0.2</v>
      </c>
      <c r="Y7" s="33"/>
      <c r="Z7" s="39">
        <v>44259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1297.1999999973923</v>
      </c>
      <c r="AF7" s="74">
        <f t="shared" si="5"/>
        <v>-350.41063829857677</v>
      </c>
      <c r="AG7" s="75">
        <v>0.15</v>
      </c>
      <c r="AI7" s="39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1297.1999999973923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44291</v>
      </c>
      <c r="F8" s="92">
        <v>4658.9679999999998</v>
      </c>
      <c r="G8" s="23">
        <v>2760</v>
      </c>
      <c r="H8" s="24">
        <f t="shared" si="11"/>
        <v>12858751.68</v>
      </c>
      <c r="I8" s="25">
        <f t="shared" si="18"/>
        <v>1752.6000000014901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44260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1752.6000000014901</v>
      </c>
      <c r="W8" s="74">
        <f t="shared" si="2"/>
        <v>0</v>
      </c>
      <c r="X8" s="75">
        <v>0.2</v>
      </c>
      <c r="Y8" s="33"/>
      <c r="Z8" s="39">
        <v>44260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1752.6000000014901</v>
      </c>
      <c r="AF8" s="74">
        <f t="shared" si="5"/>
        <v>0</v>
      </c>
      <c r="AG8" s="75">
        <v>0.15</v>
      </c>
      <c r="AI8" s="39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1752.6000000014901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44292</v>
      </c>
      <c r="F9" s="92">
        <v>4659.4570000000003</v>
      </c>
      <c r="G9" s="23">
        <v>2760</v>
      </c>
      <c r="H9" s="24">
        <f t="shared" si="11"/>
        <v>12860101.32</v>
      </c>
      <c r="I9" s="25">
        <f t="shared" si="18"/>
        <v>1349.640000000596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44261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1349.640000000596</v>
      </c>
      <c r="W9" s="74">
        <f t="shared" si="2"/>
        <v>0</v>
      </c>
      <c r="X9" s="75">
        <v>0.2</v>
      </c>
      <c r="Y9" s="33"/>
      <c r="Z9" s="39">
        <v>44261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1349.640000000596</v>
      </c>
      <c r="AF9" s="74">
        <f t="shared" si="5"/>
        <v>0</v>
      </c>
      <c r="AG9" s="75">
        <v>0.15</v>
      </c>
      <c r="AI9" s="39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1349.640000000596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44293</v>
      </c>
      <c r="F10" s="92">
        <v>4660.0320000000002</v>
      </c>
      <c r="G10" s="23">
        <v>2760</v>
      </c>
      <c r="H10" s="24">
        <f t="shared" si="11"/>
        <v>12861688.32</v>
      </c>
      <c r="I10" s="25">
        <f t="shared" si="18"/>
        <v>1587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44262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1587</v>
      </c>
      <c r="W10" s="74">
        <f t="shared" si="2"/>
        <v>0</v>
      </c>
      <c r="X10" s="75">
        <v>0.2</v>
      </c>
      <c r="Y10" s="33"/>
      <c r="Z10" s="39">
        <v>44262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1587</v>
      </c>
      <c r="AF10" s="74">
        <f>AD10/AE10</f>
        <v>0</v>
      </c>
      <c r="AG10" s="75">
        <v>0.15</v>
      </c>
      <c r="AI10" s="39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1587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44294</v>
      </c>
      <c r="F11" s="92">
        <v>4660.5429999999997</v>
      </c>
      <c r="G11" s="23">
        <v>2760</v>
      </c>
      <c r="H11" s="24">
        <f t="shared" si="11"/>
        <v>12863098.68</v>
      </c>
      <c r="I11" s="25">
        <f t="shared" si="18"/>
        <v>1410.359999999404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44263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1410.359999999404</v>
      </c>
      <c r="W11" s="74">
        <f t="shared" si="2"/>
        <v>0</v>
      </c>
      <c r="X11" s="75">
        <v>0.2</v>
      </c>
      <c r="Y11" s="33"/>
      <c r="Z11" s="39">
        <v>44263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1410.359999999404</v>
      </c>
      <c r="AF11" s="74">
        <f>AD11/AE11</f>
        <v>0</v>
      </c>
      <c r="AG11" s="75">
        <v>0.15</v>
      </c>
      <c r="AI11" s="39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1410.359999999404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44295</v>
      </c>
      <c r="F12" s="92">
        <v>4661.1450000000004</v>
      </c>
      <c r="G12" s="23">
        <v>2760</v>
      </c>
      <c r="H12" s="24">
        <f t="shared" si="11"/>
        <v>12864760.200000001</v>
      </c>
      <c r="I12" s="25">
        <f t="shared" si="18"/>
        <v>1661.5200000014156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44264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1661.5200000014156</v>
      </c>
      <c r="W12" s="74">
        <f t="shared" si="2"/>
        <v>0</v>
      </c>
      <c r="X12" s="75">
        <v>0.2</v>
      </c>
      <c r="Y12" s="33"/>
      <c r="Z12" s="39">
        <v>44264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1661.5200000014156</v>
      </c>
      <c r="AF12" s="74">
        <f>AD12/AE12</f>
        <v>0</v>
      </c>
      <c r="AG12" s="75">
        <v>0.15</v>
      </c>
      <c r="AI12" s="39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1661.5200000014156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44296</v>
      </c>
      <c r="F13" s="92">
        <v>4661.7219999999998</v>
      </c>
      <c r="G13" s="23">
        <v>2760</v>
      </c>
      <c r="H13" s="24">
        <f t="shared" si="11"/>
        <v>12866352.719999999</v>
      </c>
      <c r="I13" s="25">
        <f t="shared" si="18"/>
        <v>1592.5199999976903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44265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1592.5199999976903</v>
      </c>
      <c r="W13" s="74">
        <f t="shared" si="2"/>
        <v>0</v>
      </c>
      <c r="X13" s="75">
        <v>0.2</v>
      </c>
      <c r="Y13" s="33"/>
      <c r="Z13" s="39">
        <v>44265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1592.5199999976903</v>
      </c>
      <c r="AF13" s="74">
        <f>AD13/AE13</f>
        <v>0</v>
      </c>
      <c r="AG13" s="75">
        <v>0.15</v>
      </c>
      <c r="AI13" s="39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1592.5199999976903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44297</v>
      </c>
      <c r="F14" s="92">
        <v>4662.2669999999998</v>
      </c>
      <c r="G14" s="23">
        <v>2760</v>
      </c>
      <c r="H14" s="24">
        <f t="shared" si="11"/>
        <v>12867856.92</v>
      </c>
      <c r="I14" s="25">
        <f t="shared" si="18"/>
        <v>1504.2000000011176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44266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1504.2000000011176</v>
      </c>
      <c r="W14" s="74">
        <f t="shared" si="2"/>
        <v>0</v>
      </c>
      <c r="X14" s="75">
        <v>0.2</v>
      </c>
      <c r="Y14" s="33"/>
      <c r="Z14" s="39">
        <v>44266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1504.2000000011176</v>
      </c>
      <c r="AF14" s="74">
        <f>AD14/AE14</f>
        <v>0</v>
      </c>
      <c r="AG14" s="75">
        <v>0.15</v>
      </c>
      <c r="AI14" s="39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1504.2000000011176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44298</v>
      </c>
      <c r="F15" s="92">
        <v>4662.7219999999998</v>
      </c>
      <c r="G15" s="23">
        <v>2760</v>
      </c>
      <c r="H15" s="24">
        <f t="shared" si="11"/>
        <v>12869112.719999999</v>
      </c>
      <c r="I15" s="25">
        <f t="shared" si="18"/>
        <v>1255.7999999988824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44267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1255.7999999988824</v>
      </c>
      <c r="W15" s="81">
        <f t="shared" si="2"/>
        <v>0</v>
      </c>
      <c r="X15" s="75">
        <v>0.2</v>
      </c>
      <c r="Y15" s="33"/>
      <c r="Z15" s="39">
        <v>44267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1255.7999999988824</v>
      </c>
      <c r="AF15" s="74">
        <f t="shared" ref="AF15:AF35" si="25">AD15/AE15</f>
        <v>0</v>
      </c>
      <c r="AG15" s="75">
        <v>0.15</v>
      </c>
      <c r="AI15" s="39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1255.7999999988824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44299</v>
      </c>
      <c r="F16" s="92">
        <v>4663.2539999999999</v>
      </c>
      <c r="G16" s="23">
        <v>2760</v>
      </c>
      <c r="H16" s="24">
        <f t="shared" si="11"/>
        <v>12870581.039999999</v>
      </c>
      <c r="I16" s="25">
        <f t="shared" si="18"/>
        <v>1468.320000000298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44268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1468.320000000298</v>
      </c>
      <c r="W16" s="81">
        <f t="shared" si="2"/>
        <v>0</v>
      </c>
      <c r="X16" s="75">
        <v>0.2</v>
      </c>
      <c r="Y16" s="33"/>
      <c r="Z16" s="39">
        <v>44268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1468.320000000298</v>
      </c>
      <c r="AF16" s="74">
        <f t="shared" si="25"/>
        <v>0</v>
      </c>
      <c r="AG16" s="75">
        <v>0.15</v>
      </c>
      <c r="AI16" s="39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1468.320000000298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44300</v>
      </c>
      <c r="F17" s="92">
        <v>4663.7780000000002</v>
      </c>
      <c r="G17" s="23">
        <v>2760</v>
      </c>
      <c r="H17" s="24">
        <f t="shared" si="11"/>
        <v>12872027.280000001</v>
      </c>
      <c r="I17" s="25">
        <f t="shared" si="18"/>
        <v>1446.2400000020862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44269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1446.2400000020862</v>
      </c>
      <c r="W17" s="74">
        <f t="shared" si="2"/>
        <v>0</v>
      </c>
      <c r="X17" s="75">
        <v>0.2</v>
      </c>
      <c r="Y17" s="33"/>
      <c r="Z17" s="39">
        <v>44269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1446.2400000020862</v>
      </c>
      <c r="AF17" s="74">
        <f t="shared" si="25"/>
        <v>0</v>
      </c>
      <c r="AG17" s="75">
        <v>0.15</v>
      </c>
      <c r="AI17" s="39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1446.2400000020862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44301</v>
      </c>
      <c r="F18" s="92">
        <v>4664.2950000000001</v>
      </c>
      <c r="G18" s="23">
        <v>2760</v>
      </c>
      <c r="H18" s="24">
        <f t="shared" si="11"/>
        <v>12873454.200000001</v>
      </c>
      <c r="I18" s="25">
        <f t="shared" si="18"/>
        <v>1426.9199999999255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44270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1426.9199999999255</v>
      </c>
      <c r="W18" s="74">
        <f>U18/V18</f>
        <v>0</v>
      </c>
      <c r="X18" s="75">
        <v>0.2</v>
      </c>
      <c r="Y18" s="33"/>
      <c r="Z18" s="39">
        <v>44270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1426.9199999999255</v>
      </c>
      <c r="AF18" s="74">
        <f t="shared" si="25"/>
        <v>0</v>
      </c>
      <c r="AG18" s="75">
        <v>0.15</v>
      </c>
      <c r="AI18" s="39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1426.9199999999255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44302</v>
      </c>
      <c r="F19" s="92">
        <v>4664.8729999999996</v>
      </c>
      <c r="G19" s="23">
        <v>2760</v>
      </c>
      <c r="H19" s="24">
        <f t="shared" si="11"/>
        <v>12875049.479999999</v>
      </c>
      <c r="I19" s="25">
        <f t="shared" si="18"/>
        <v>1595.2799999974668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44271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1595.2799999974668</v>
      </c>
      <c r="W19" s="74">
        <f>U19/V19</f>
        <v>0</v>
      </c>
      <c r="X19" s="75">
        <v>0.2</v>
      </c>
      <c r="Y19" s="33"/>
      <c r="Z19" s="39">
        <v>44271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1595.2799999974668</v>
      </c>
      <c r="AF19" s="74">
        <f t="shared" si="25"/>
        <v>0</v>
      </c>
      <c r="AG19" s="75">
        <v>0.15</v>
      </c>
      <c r="AI19" s="39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1595.2799999974668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44303</v>
      </c>
      <c r="F20" s="92">
        <v>4665.4359999999997</v>
      </c>
      <c r="G20" s="23">
        <v>2760</v>
      </c>
      <c r="H20" s="24">
        <f t="shared" si="11"/>
        <v>12876603.359999999</v>
      </c>
      <c r="I20" s="25">
        <f t="shared" si="18"/>
        <v>1553.8800000008196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44272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1553.8800000008196</v>
      </c>
      <c r="W20" s="74">
        <f t="shared" si="2"/>
        <v>0</v>
      </c>
      <c r="X20" s="75">
        <v>0.2</v>
      </c>
      <c r="Y20" s="33"/>
      <c r="Z20" s="39">
        <v>44272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1553.8800000008196</v>
      </c>
      <c r="AF20" s="74">
        <f t="shared" si="25"/>
        <v>0</v>
      </c>
      <c r="AG20" s="75">
        <v>0.15</v>
      </c>
      <c r="AI20" s="39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1553.8800000008196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44304</v>
      </c>
      <c r="F21" s="92"/>
      <c r="G21" s="23">
        <v>2760</v>
      </c>
      <c r="H21" s="24">
        <f t="shared" si="11"/>
        <v>0</v>
      </c>
      <c r="I21" s="25">
        <f t="shared" si="18"/>
        <v>-12876603.359999999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44273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-12876603.359999999</v>
      </c>
      <c r="W21" s="74">
        <f t="shared" si="2"/>
        <v>0</v>
      </c>
      <c r="X21" s="75">
        <v>0.2</v>
      </c>
      <c r="Y21" s="33"/>
      <c r="Z21" s="39">
        <v>44273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-12876603.359999999</v>
      </c>
      <c r="AF21" s="74">
        <f>AD21/AE21</f>
        <v>0</v>
      </c>
      <c r="AG21" s="75">
        <v>0.15</v>
      </c>
      <c r="AI21" s="39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-12876603.359999999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44305</v>
      </c>
      <c r="F22" s="92"/>
      <c r="G22" s="23">
        <v>2760</v>
      </c>
      <c r="H22" s="24">
        <f t="shared" si="11"/>
        <v>0</v>
      </c>
      <c r="I22" s="25">
        <f t="shared" si="18"/>
        <v>0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44274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0</v>
      </c>
      <c r="W22" s="74" t="e">
        <f t="shared" si="2"/>
        <v>#DIV/0!</v>
      </c>
      <c r="X22" s="75">
        <v>0.2</v>
      </c>
      <c r="Y22" s="33"/>
      <c r="Z22" s="39">
        <v>44274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0</v>
      </c>
      <c r="AF22" s="74" t="e">
        <f t="shared" si="25"/>
        <v>#DIV/0!</v>
      </c>
      <c r="AG22" s="75">
        <v>0.15</v>
      </c>
      <c r="AI22" s="39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0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44306</v>
      </c>
      <c r="F23" s="92"/>
      <c r="G23" s="23">
        <v>2760</v>
      </c>
      <c r="H23" s="24">
        <f t="shared" si="11"/>
        <v>0</v>
      </c>
      <c r="I23" s="25">
        <f>H23-H22</f>
        <v>0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44275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0</v>
      </c>
      <c r="W23" s="74" t="e">
        <f t="shared" si="2"/>
        <v>#DIV/0!</v>
      </c>
      <c r="X23" s="75">
        <v>0.2</v>
      </c>
      <c r="Y23" s="33"/>
      <c r="Z23" s="39">
        <v>44275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0</v>
      </c>
      <c r="AF23" s="74" t="e">
        <f t="shared" si="25"/>
        <v>#DIV/0!</v>
      </c>
      <c r="AG23" s="75">
        <v>0.15</v>
      </c>
      <c r="AI23" s="39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0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44307</v>
      </c>
      <c r="F24" s="92"/>
      <c r="G24" s="23">
        <v>2760</v>
      </c>
      <c r="H24" s="24">
        <f t="shared" si="11"/>
        <v>0</v>
      </c>
      <c r="I24" s="25">
        <f t="shared" si="18"/>
        <v>0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44276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0</v>
      </c>
      <c r="W24" s="74" t="e">
        <f t="shared" si="2"/>
        <v>#DIV/0!</v>
      </c>
      <c r="X24" s="75">
        <v>0.2</v>
      </c>
      <c r="Y24" s="33"/>
      <c r="Z24" s="39">
        <v>44276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0</v>
      </c>
      <c r="AF24" s="74" t="e">
        <f t="shared" si="25"/>
        <v>#DIV/0!</v>
      </c>
      <c r="AG24" s="75">
        <v>0.15</v>
      </c>
      <c r="AI24" s="39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0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44308</v>
      </c>
      <c r="F25" s="92"/>
      <c r="G25" s="23">
        <v>2760</v>
      </c>
      <c r="H25" s="24">
        <f t="shared" si="11"/>
        <v>0</v>
      </c>
      <c r="I25" s="25">
        <f t="shared" si="18"/>
        <v>0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44277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0</v>
      </c>
      <c r="W25" s="74" t="e">
        <f t="shared" si="2"/>
        <v>#DIV/0!</v>
      </c>
      <c r="X25" s="75">
        <v>0.2</v>
      </c>
      <c r="Y25" s="33"/>
      <c r="Z25" s="39">
        <v>44277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0</v>
      </c>
      <c r="AF25" s="74" t="e">
        <f t="shared" si="25"/>
        <v>#DIV/0!</v>
      </c>
      <c r="AG25" s="75">
        <v>0.15</v>
      </c>
      <c r="AI25" s="39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0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44309</v>
      </c>
      <c r="F26" s="103"/>
      <c r="G26" s="23">
        <v>2760</v>
      </c>
      <c r="H26" s="24">
        <f t="shared" si="11"/>
        <v>0</v>
      </c>
      <c r="I26" s="25">
        <f t="shared" si="18"/>
        <v>0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44278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0</v>
      </c>
      <c r="W26" s="86" t="e">
        <f t="shared" si="2"/>
        <v>#DIV/0!</v>
      </c>
      <c r="X26" s="75">
        <v>0.2</v>
      </c>
      <c r="Y26" s="33"/>
      <c r="Z26" s="39">
        <v>44278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0</v>
      </c>
      <c r="AF26" s="86" t="e">
        <f>AD26/AE26</f>
        <v>#DIV/0!</v>
      </c>
      <c r="AG26" s="75">
        <v>0.15</v>
      </c>
      <c r="AI26" s="39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0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44310</v>
      </c>
      <c r="F27" s="103"/>
      <c r="G27" s="23">
        <v>2760</v>
      </c>
      <c r="H27" s="24">
        <f t="shared" si="11"/>
        <v>0</v>
      </c>
      <c r="I27" s="25">
        <f t="shared" si="18"/>
        <v>0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44279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0</v>
      </c>
      <c r="W27" s="86" t="e">
        <f t="shared" si="2"/>
        <v>#DIV/0!</v>
      </c>
      <c r="X27" s="75">
        <v>0.2</v>
      </c>
      <c r="Y27" s="33"/>
      <c r="Z27" s="39">
        <v>44279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0</v>
      </c>
      <c r="AF27" s="86" t="e">
        <f>AD27/AE27</f>
        <v>#DIV/0!</v>
      </c>
      <c r="AG27" s="75">
        <v>0.15</v>
      </c>
      <c r="AI27" s="39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0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44311</v>
      </c>
      <c r="F28" s="103"/>
      <c r="G28" s="23">
        <v>2760</v>
      </c>
      <c r="H28" s="24">
        <f t="shared" si="11"/>
        <v>0</v>
      </c>
      <c r="I28" s="25">
        <f t="shared" si="18"/>
        <v>0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44280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0</v>
      </c>
      <c r="W28" s="86" t="e">
        <f t="shared" si="2"/>
        <v>#DIV/0!</v>
      </c>
      <c r="X28" s="75">
        <v>0.2</v>
      </c>
      <c r="Y28" s="33"/>
      <c r="Z28" s="39">
        <v>44280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0</v>
      </c>
      <c r="AF28" s="86" t="e">
        <f>AD28/AE28</f>
        <v>#DIV/0!</v>
      </c>
      <c r="AG28" s="75">
        <v>0.15</v>
      </c>
      <c r="AI28" s="39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44312</v>
      </c>
      <c r="F29" s="103"/>
      <c r="G29" s="23">
        <v>2760</v>
      </c>
      <c r="H29" s="24">
        <f t="shared" si="11"/>
        <v>0</v>
      </c>
      <c r="I29" s="25">
        <f t="shared" si="18"/>
        <v>0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44281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0</v>
      </c>
      <c r="W29" s="86" t="e">
        <f t="shared" si="2"/>
        <v>#DIV/0!</v>
      </c>
      <c r="X29" s="75">
        <v>0.2</v>
      </c>
      <c r="Y29" s="33"/>
      <c r="Z29" s="39">
        <v>44281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0</v>
      </c>
      <c r="AF29" s="86" t="e">
        <f t="shared" si="25"/>
        <v>#DIV/0!</v>
      </c>
      <c r="AG29" s="75">
        <v>0.15</v>
      </c>
      <c r="AI29" s="39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44313</v>
      </c>
      <c r="F30" s="103"/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44282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44282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44314</v>
      </c>
      <c r="F31" s="103"/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44283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44283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44315</v>
      </c>
      <c r="F32" s="103"/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44284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44284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44316</v>
      </c>
      <c r="F33" s="103"/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44285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44285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>
        <v>44286</v>
      </c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-12850532.419999998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-12850532.419999998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-12850532.419999998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-12850532.419999998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52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2021-04-17T04:26:13Z</dcterms:modified>
</cp:coreProperties>
</file>