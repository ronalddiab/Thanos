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<sst xmlns="http://schemas.openxmlformats.org/spreadsheetml/2006/main" count="315" uniqueCount="148">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</sst>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12.820499999999999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 t="e">
        <f>Submetering!E16+Submetering!F16+Submetering!G16+Submetering!H16+Submetering!J16-Submetering!AV16</f>
        <v>#VALUE!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 t="e">
        <f>'FS Desroches Daily'!CM18</f>
        <v>#VALUE!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270.00000000001023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55799.999999999607</v>
      </c>
      <c r="F33" s="17">
        <f t="shared" ref="F33:BC33" si="0">SUM(F2:F32)</f>
        <v>49400.000000000342</v>
      </c>
      <c r="G33" s="17">
        <f t="shared" si="0"/>
        <v>51499.999999999898</v>
      </c>
      <c r="H33" s="17">
        <f t="shared" si="0"/>
        <v>26400.000000000211</v>
      </c>
      <c r="I33" s="17">
        <f t="shared" si="0"/>
        <v>36999.999999999927</v>
      </c>
      <c r="J33" s="17">
        <f t="shared" si="0"/>
        <v>32999.999999999913</v>
      </c>
      <c r="K33" s="17">
        <f t="shared" si="0"/>
        <v>541</v>
      </c>
      <c r="L33" s="17">
        <f t="shared" si="0"/>
        <v>89</v>
      </c>
      <c r="M33" s="17">
        <f t="shared" si="0"/>
        <v>20.599999999999909</v>
      </c>
      <c r="N33" s="17">
        <f t="shared" si="0"/>
        <v>7575.8000000000466</v>
      </c>
      <c r="O33" s="17">
        <f t="shared" si="0"/>
        <v>5500</v>
      </c>
      <c r="P33" s="17">
        <f t="shared" si="0"/>
        <v>44900.000000000167</v>
      </c>
      <c r="Q33" s="17">
        <f t="shared" si="0"/>
        <v>6430.0000000000091</v>
      </c>
      <c r="R33" s="17">
        <f t="shared" si="0"/>
        <v>8590.0000000000327</v>
      </c>
      <c r="S33" s="17">
        <f t="shared" si="0"/>
        <v>16579.999999999927</v>
      </c>
      <c r="T33" s="17">
        <f t="shared" si="0"/>
        <v>588</v>
      </c>
      <c r="U33" s="35">
        <f t="shared" si="0"/>
        <v>14429.999999999949</v>
      </c>
      <c r="V33" s="35">
        <f t="shared" si="0"/>
        <v>4180.0000000000073</v>
      </c>
      <c r="W33" s="35">
        <f t="shared" si="0"/>
        <v>4740.0000000000091</v>
      </c>
      <c r="X33" s="35">
        <f t="shared" si="0"/>
        <v>3780.0000000000009</v>
      </c>
      <c r="Y33" s="35">
        <f t="shared" si="0"/>
        <v>3586.4999999999773</v>
      </c>
      <c r="Z33" s="35">
        <f t="shared" si="0"/>
        <v>4459.99999999998</v>
      </c>
      <c r="AA33" s="35">
        <f t="shared" si="0"/>
        <v>4459.99999999998</v>
      </c>
      <c r="AB33" s="35">
        <f t="shared" si="0"/>
        <v>4090.0000000000318</v>
      </c>
      <c r="AC33" s="35">
        <f t="shared" si="0"/>
        <v>3060.0000000000023</v>
      </c>
      <c r="AD33" s="35">
        <f t="shared" si="0"/>
        <v>3819.9999999999932</v>
      </c>
      <c r="AE33" s="35">
        <f t="shared" si="0"/>
        <v>2289.9999999999636</v>
      </c>
      <c r="AF33" s="17">
        <f t="shared" si="0"/>
        <v>502</v>
      </c>
      <c r="AG33" s="32">
        <f t="shared" si="0"/>
        <v>650.00000000000568</v>
      </c>
      <c r="AH33" s="32">
        <f t="shared" si="0"/>
        <v>560.00000000000227</v>
      </c>
      <c r="AI33" s="32">
        <f t="shared" si="0"/>
        <v>879.99999999999545</v>
      </c>
      <c r="AJ33" s="32">
        <f t="shared" si="0"/>
        <v>689.99999999999773</v>
      </c>
      <c r="AK33" s="32">
        <f t="shared" si="0"/>
        <v>949.99999999998863</v>
      </c>
      <c r="AL33" s="32">
        <f t="shared" si="0"/>
        <v>677</v>
      </c>
      <c r="AM33" s="32">
        <f t="shared" si="0"/>
        <v>1039.999999999992</v>
      </c>
      <c r="AN33" s="32">
        <f t="shared" si="0"/>
        <v>701</v>
      </c>
      <c r="AO33" s="32">
        <f t="shared" si="0"/>
        <v>719.99999999999886</v>
      </c>
      <c r="AP33" s="32">
        <f t="shared" si="0"/>
        <v>721</v>
      </c>
      <c r="AQ33" s="17">
        <f t="shared" si="0"/>
        <v>900.09999999999854</v>
      </c>
      <c r="AR33" s="17">
        <f t="shared" si="0"/>
        <v>177.10000000000036</v>
      </c>
      <c r="AS33" s="17">
        <f t="shared" si="0"/>
        <v>85</v>
      </c>
      <c r="AT33" s="17">
        <f t="shared" si="0"/>
        <v>754.30000000000291</v>
      </c>
      <c r="AU33" s="17">
        <f t="shared" si="0"/>
        <v>4475</v>
      </c>
      <c r="AV33" s="17">
        <f t="shared" si="0"/>
        <v>13240.000000000009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84.249000000000009</v>
      </c>
      <c r="BC33" s="17">
        <f t="shared" si="0"/>
        <v>454</v>
      </c>
    </row>
    <row r="35" spans="5:55" x14ac:dyDescent="0.25">
      <c r="E35" s="38">
        <f>E33/E37</f>
        <v>0.26925563844468497</v>
      </c>
      <c r="G35" s="29">
        <f>G33-M36</f>
        <v>43903.599999999853</v>
      </c>
      <c r="AE35" s="35">
        <f>SUM(U33:AE33)</f>
        <v>52896.499999999884</v>
      </c>
      <c r="AG35" s="32">
        <f>SUM(AG33:AP33)</f>
        <v>7588.9999999999809</v>
      </c>
    </row>
    <row r="36" spans="5:55" x14ac:dyDescent="0.25">
      <c r="G36" s="29">
        <f>G35-633*14</f>
        <v>35041.599999999853</v>
      </c>
      <c r="M36" s="29">
        <f>M33+N33</f>
        <v>7596.4000000000469</v>
      </c>
    </row>
    <row r="37" spans="5:55" x14ac:dyDescent="0.25">
      <c r="E37" s="17">
        <f>E33+F33+G33+H33+J33-633*14</f>
        <v>207237.99999999994</v>
      </c>
      <c r="G37" s="37">
        <f>M36/E37</f>
        <v>3.6655439639448603E-2</v>
      </c>
      <c r="M37" s="35">
        <f>AE35</f>
        <v>52896.499999999884</v>
      </c>
    </row>
    <row r="38" spans="5:55" x14ac:dyDescent="0.25">
      <c r="L38" s="27">
        <f>M38/E37</f>
        <v>3.6619731902450242E-2</v>
      </c>
      <c r="M38" s="29">
        <f>AG35</f>
        <v>7588.9999999999809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B1" zoomScale="82" zoomScaleNormal="82" workbookViewId="0">
      <pane ySplit="1" topLeftCell="A8" activePane="bottomLeft" state="frozen"/>
      <selection pane="bottomLeft" activeCell="CN17" sqref="CN1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215.53</v>
      </c>
      <c r="BT17" s="65">
        <f t="shared" si="84"/>
        <v>270.00000000001023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/>
      <c r="CO17" s="62"/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/>
      <c r="D18" s="64" t="str">
        <f t="shared" si="50"/>
        <v>0</v>
      </c>
      <c r="E18" s="58"/>
      <c r="F18" s="64" t="str">
        <f t="shared" si="51"/>
        <v>0</v>
      </c>
      <c r="G18" s="58"/>
      <c r="H18" s="64" t="str">
        <f t="shared" si="52"/>
        <v>0</v>
      </c>
      <c r="I18" s="58"/>
      <c r="J18" s="64" t="str">
        <f t="shared" si="53"/>
        <v>0</v>
      </c>
      <c r="K18" s="58"/>
      <c r="L18" s="64" t="str">
        <f t="shared" si="54"/>
        <v>0</v>
      </c>
      <c r="M18" s="58"/>
      <c r="N18" s="64" t="str">
        <f t="shared" si="55"/>
        <v/>
      </c>
      <c r="O18" s="58"/>
      <c r="P18" s="67" t="str">
        <f t="shared" si="56"/>
        <v/>
      </c>
      <c r="Q18" s="58"/>
      <c r="R18" s="67" t="str">
        <f t="shared" si="57"/>
        <v/>
      </c>
      <c r="S18" s="58"/>
      <c r="T18" s="67" t="str">
        <f t="shared" si="58"/>
        <v/>
      </c>
      <c r="U18" s="58"/>
      <c r="V18" s="67" t="str">
        <f t="shared" si="59"/>
        <v/>
      </c>
      <c r="W18" s="58"/>
      <c r="X18" s="65" t="str">
        <f t="shared" si="60"/>
        <v/>
      </c>
      <c r="Y18" s="58"/>
      <c r="Z18" s="65" t="str">
        <f t="shared" si="61"/>
        <v/>
      </c>
      <c r="AA18" s="58"/>
      <c r="AB18" s="65" t="str">
        <f t="shared" si="62"/>
        <v/>
      </c>
      <c r="AC18" s="58"/>
      <c r="AD18" s="65" t="str">
        <f t="shared" si="63"/>
        <v/>
      </c>
      <c r="AE18" s="58"/>
      <c r="AF18" s="65" t="str">
        <f t="shared" si="64"/>
        <v/>
      </c>
      <c r="AG18" s="58"/>
      <c r="AH18" s="67" t="str">
        <f t="shared" si="65"/>
        <v/>
      </c>
      <c r="AI18" s="58"/>
      <c r="AJ18" s="65" t="str">
        <f t="shared" si="66"/>
        <v/>
      </c>
      <c r="AK18" s="58"/>
      <c r="AL18" s="65" t="str">
        <f t="shared" si="67"/>
        <v/>
      </c>
      <c r="AM18" s="58"/>
      <c r="AN18" s="65" t="str">
        <f t="shared" si="68"/>
        <v/>
      </c>
      <c r="AO18" s="58"/>
      <c r="AP18" s="65" t="str">
        <f t="shared" si="69"/>
        <v/>
      </c>
      <c r="AQ18" s="58"/>
      <c r="AR18" s="65" t="str">
        <f t="shared" si="70"/>
        <v/>
      </c>
      <c r="AS18" s="58"/>
      <c r="AT18" s="65" t="str">
        <f t="shared" si="71"/>
        <v/>
      </c>
      <c r="AU18" s="58"/>
      <c r="AV18" s="65" t="str">
        <f t="shared" si="72"/>
        <v/>
      </c>
      <c r="AW18" s="58"/>
      <c r="AX18" s="65" t="str">
        <f t="shared" si="73"/>
        <v/>
      </c>
      <c r="AY18" s="58"/>
      <c r="AZ18" s="65" t="str">
        <f t="shared" si="74"/>
        <v/>
      </c>
      <c r="BA18" s="58"/>
      <c r="BB18" s="65" t="str">
        <f t="shared" si="75"/>
        <v/>
      </c>
      <c r="BC18" s="58"/>
      <c r="BD18" s="65" t="str">
        <f t="shared" si="76"/>
        <v/>
      </c>
      <c r="BE18" s="59"/>
      <c r="BF18" s="67" t="str">
        <f t="shared" si="77"/>
        <v/>
      </c>
      <c r="BG18" s="60"/>
      <c r="BH18" s="65" t="str">
        <f t="shared" si="78"/>
        <v/>
      </c>
      <c r="BI18" s="60"/>
      <c r="BJ18" s="65" t="str">
        <f t="shared" si="79"/>
        <v/>
      </c>
      <c r="BK18" s="60"/>
      <c r="BL18" s="65" t="str">
        <f t="shared" si="80"/>
        <v/>
      </c>
      <c r="BM18" s="60"/>
      <c r="BN18" s="65" t="str">
        <f t="shared" si="81"/>
        <v/>
      </c>
      <c r="BO18" s="60"/>
      <c r="BP18" s="65" t="str">
        <f t="shared" si="82"/>
        <v/>
      </c>
      <c r="BQ18" s="60"/>
      <c r="BR18" s="65" t="str">
        <f t="shared" si="83"/>
        <v/>
      </c>
      <c r="BS18" s="60"/>
      <c r="BT18" s="65" t="str">
        <f t="shared" si="84"/>
        <v/>
      </c>
      <c r="BU18" s="60"/>
      <c r="BV18" s="65" t="str">
        <f t="shared" si="85"/>
        <v/>
      </c>
      <c r="BW18" s="60"/>
      <c r="BX18" s="65" t="str">
        <f t="shared" si="86"/>
        <v/>
      </c>
      <c r="BY18" s="60"/>
      <c r="BZ18" s="67" t="str">
        <f t="shared" si="87"/>
        <v/>
      </c>
      <c r="CA18" s="60"/>
      <c r="CB18" s="67" t="str">
        <f t="shared" si="88"/>
        <v/>
      </c>
      <c r="CC18" s="60"/>
      <c r="CD18" s="67" t="str">
        <f t="shared" si="89"/>
        <v/>
      </c>
      <c r="CE18" s="60"/>
      <c r="CF18" s="67" t="str">
        <f t="shared" si="90"/>
        <v/>
      </c>
      <c r="CG18" s="60"/>
      <c r="CH18" s="67" t="str">
        <f t="shared" si="91"/>
        <v/>
      </c>
      <c r="CI18" s="60"/>
      <c r="CJ18" s="67" t="str">
        <f t="shared" si="92"/>
        <v/>
      </c>
      <c r="CK18" s="60"/>
      <c r="CL18" s="64" t="str">
        <f t="shared" si="93"/>
        <v/>
      </c>
      <c r="CM18" s="65" t="e">
        <f t="shared" si="94"/>
        <v>#VALUE!</v>
      </c>
      <c r="CN18" s="62"/>
      <c r="CO18" s="62"/>
      <c r="CP18" s="68"/>
      <c r="CQ18" s="67" t="str">
        <f t="shared" si="97"/>
        <v/>
      </c>
      <c r="CR18" s="68"/>
      <c r="CS18" s="67" t="str">
        <f t="shared" si="45"/>
        <v/>
      </c>
      <c r="CT18" s="75"/>
      <c r="CU18" s="67" t="str">
        <f t="shared" si="47"/>
        <v/>
      </c>
      <c r="CV18" s="68"/>
      <c r="CW18" s="67" t="str">
        <f t="shared" si="95"/>
        <v/>
      </c>
      <c r="CX18" s="58"/>
      <c r="CY18" s="67" t="str">
        <f t="shared" si="96"/>
        <v/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D21" sqref="D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2212</v>
      </c>
      <c r="I19" s="41">
        <v>40</v>
      </c>
      <c r="J19" s="41">
        <v>617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2212</v>
      </c>
      <c r="I20" s="41">
        <v>85</v>
      </c>
      <c r="J20" s="41">
        <v>620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>
        <v>85</v>
      </c>
      <c r="F21" s="41">
        <v>6834</v>
      </c>
      <c r="G21" s="41">
        <v>60</v>
      </c>
      <c r="H21" s="41">
        <v>2212</v>
      </c>
      <c r="I21" s="41">
        <v>85</v>
      </c>
      <c r="J21" s="41">
        <v>620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-227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Umesh Lohar</cp:lastModifiedBy>
  <dcterms:created xsi:type="dcterms:W3CDTF">2019-08-14T08:16:24Z</dcterms:created>
  <dcterms:modified xsi:type="dcterms:W3CDTF">2022-05-15T17:16:20Z</dcterms:modified>
</cp:coreProperties>
</file>