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2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I33" i="10" s="1"/>
  <c r="H32" i="10"/>
  <c r="H31" i="10"/>
  <c r="H30" i="10"/>
  <c r="H29" i="10"/>
  <c r="H28" i="10"/>
  <c r="H27" i="10"/>
  <c r="I28" i="10" s="1"/>
  <c r="H26" i="10"/>
  <c r="H25" i="10"/>
  <c r="H24" i="10"/>
  <c r="H23" i="10"/>
  <c r="I24" i="10" s="1"/>
  <c r="H22" i="10"/>
  <c r="H21" i="10"/>
  <c r="I22" i="10" s="1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I8" i="10" s="1"/>
  <c r="H7" i="10"/>
  <c r="H6" i="10"/>
  <c r="H5" i="10"/>
  <c r="I5" i="10" s="1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17" i="10" l="1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AX21" i="10"/>
  <c r="AV21" i="10"/>
  <c r="AS21" i="10"/>
  <c r="AT21" i="10" s="1"/>
  <c r="AQ21" i="10"/>
  <c r="AO21" i="10"/>
  <c r="AC21" i="10"/>
  <c r="T21" i="10"/>
  <c r="U22" i="10" s="1"/>
  <c r="AX20" i="10"/>
  <c r="AV20" i="10"/>
  <c r="AS20" i="10"/>
  <c r="AQ20" i="10"/>
  <c r="AO20" i="10"/>
  <c r="AC20" i="10"/>
  <c r="T20" i="10"/>
  <c r="U20" i="10" s="1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T16" i="10" s="1"/>
  <c r="AQ16" i="10"/>
  <c r="AO16" i="10"/>
  <c r="AC16" i="10"/>
  <c r="T16" i="10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17" i="10"/>
  <c r="U23" i="10"/>
  <c r="U28" i="10"/>
  <c r="U31" i="10"/>
  <c r="AW8" i="10"/>
  <c r="AR11" i="10"/>
  <c r="V8" i="10"/>
  <c r="AD17" i="10"/>
  <c r="AD21" i="10"/>
  <c r="AD25" i="10"/>
  <c r="AD29" i="10"/>
  <c r="AT23" i="10"/>
  <c r="AT31" i="10"/>
  <c r="AT34" i="10"/>
  <c r="AP21" i="10"/>
  <c r="AP35" i="10"/>
  <c r="AW13" i="10"/>
  <c r="V13" i="10"/>
  <c r="AD5" i="10" l="1"/>
  <c r="AT25" i="10"/>
  <c r="U8" i="10"/>
  <c r="AP6" i="10"/>
  <c r="AU6" i="10" s="1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U35" i="10" s="1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AU13" i="10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7" i="10" l="1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<sst xmlns="http://schemas.openxmlformats.org/spreadsheetml/2006/main" count="110" uniqueCount="57">
  <si>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</si>
  <si>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</si>
  <si>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</si>
  <si>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</si>
  <si>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</si>
  <si>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</si>
  <si>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</si>
  <si>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</si>
  <si>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</si>
  <si>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</si>
  <si>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</si>
  <si>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</si>
  <si>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</si>
  <si>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</si>
  <si>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</si>
  <si>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</si>
  <si>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</si>
  <si>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</si>
  <si>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</si>
  <si>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</si>
  <si>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</si>
  <si>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</si>
  <si>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</si>
  <si>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</si>
  <si>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</si>
  <si>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</si>
  <si>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</si>
  <si>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</si>
  <si>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</si>
  <si>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</si>
  <si>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</si>
  <si>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</si>
  <si>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</si>
  <si>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</si>
  <si>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</si>
  <si>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</si>
  <si>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</si>
  <si>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</si>
  <si>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</si>
  <si>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</si>
  <si>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</si>
  <si>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</si>
  <si>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</si>
  <si>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</si>
  <si>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</si>
  <si>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</si>
  <si>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</si>
  <si>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</si>
  <si>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</si>
  <si>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</si>
  <si>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BİRİM FİYAT : 1.655 TL/m3 + KDV  x 1764,5 = 2796,4 TL + KDV</t>
  </si>
  <si>
    <t>Istanbul at Sultanahmet</t>
  </si>
  <si>
    <t>BİRİM FİYAT : 0.70  x 44794,8 =28668,6 TL/Kwh+KDV</t>
  </si>
  <si>
    <t>BİRİM FİYAT :   12.93 TL/m3 + KDV x  91,0 = 1116,6 TL + KDV</t>
  </si>
  <si>
    <t>WATER CONSUMPTION , APRIL.2021</t>
  </si>
  <si>
    <t>NATURAL GAS CONSUMPTION , APRIL.2021</t>
  </si>
  <si>
    <t>ELECTRICITY CONSUMPTION , APRIL.2021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</si>
</sst>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168"/>
        <c:axId val="253296952"/>
      </c:lineChart>
      <c:dateAx>
        <c:axId val="25329616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329695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5329695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9616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9696"/>
        <c:axId val="253298128"/>
      </c:lineChart>
      <c:dateAx>
        <c:axId val="253299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8128"/>
        <c:crosses val="autoZero"/>
        <c:auto val="0"/>
        <c:lblOffset val="100"/>
        <c:baseTimeUnit val="days"/>
      </c:dateAx>
      <c:valAx>
        <c:axId val="2532981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96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3816"/>
        <c:axId val="253297344"/>
      </c:lineChart>
      <c:dateAx>
        <c:axId val="2532938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7344"/>
        <c:crosses val="autoZero"/>
        <c:auto val="0"/>
        <c:lblOffset val="100"/>
        <c:baseTimeUnit val="days"/>
        <c:majorUnit val="1"/>
        <c:majorTimeUnit val="days"/>
      </c:dateAx>
      <c:valAx>
        <c:axId val="25329734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38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>
        <row r="34">
          <cell r="G34">
            <v>10104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E19" sqref="E1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0.72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0.72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0.72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0.72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0.72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0.72</v>
      </c>
      <c r="G10" s="13">
        <f>Gas!J12</f>
        <v>0</v>
      </c>
      <c r="H10" s="3">
        <v>1.66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0.72</v>
      </c>
      <c r="G11" s="13">
        <f>Gas!J13</f>
        <v>0</v>
      </c>
      <c r="H11" s="3">
        <v>1.66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4</v>
      </c>
      <c r="D12" s="12">
        <v>2021</v>
      </c>
      <c r="E12" s="13">
        <f>Electricity!I14</f>
        <v>1504.2000000011176</v>
      </c>
      <c r="F12" s="3">
        <v>0.72</v>
      </c>
      <c r="G12" s="13">
        <f>Gas!J14</f>
        <v>0</v>
      </c>
      <c r="H12" s="3">
        <v>1.66</v>
      </c>
      <c r="I12" s="13">
        <f>Water!H14</f>
        <v>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4</v>
      </c>
      <c r="D13" s="12">
        <v>2021</v>
      </c>
      <c r="E13" s="13">
        <f>Electricity!I15</f>
        <v>1255.7999999988824</v>
      </c>
      <c r="F13" s="3">
        <v>0.72</v>
      </c>
      <c r="G13" s="13">
        <f>Gas!J15</f>
        <v>23.180111999856308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4</v>
      </c>
      <c r="D14" s="12">
        <v>2021</v>
      </c>
      <c r="E14" s="13">
        <f>Electricity!I16</f>
        <v>1468.320000000298</v>
      </c>
      <c r="F14" s="3">
        <v>0.72</v>
      </c>
      <c r="G14" s="13">
        <f>Gas!J16</f>
        <v>15.453408000059426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4</v>
      </c>
      <c r="D15" s="12">
        <v>2021</v>
      </c>
      <c r="E15" s="13">
        <f>Electricity!I17</f>
        <v>1446.2400000020862</v>
      </c>
      <c r="F15" s="3">
        <v>0.72</v>
      </c>
      <c r="G15" s="13">
        <f>Gas!J17</f>
        <v>0</v>
      </c>
      <c r="H15" s="3">
        <v>1.66</v>
      </c>
      <c r="I15" s="13">
        <f>Water!H17</f>
        <v>7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4</v>
      </c>
      <c r="D16" s="12">
        <v>2021</v>
      </c>
      <c r="E16" s="13">
        <f>Electricity!I18</f>
        <v>1426.9199999999255</v>
      </c>
      <c r="F16" s="3">
        <v>0.72</v>
      </c>
      <c r="G16" s="13">
        <f>Gas!J18</f>
        <v>0</v>
      </c>
      <c r="H16" s="3">
        <v>1.66</v>
      </c>
      <c r="I16" s="13">
        <f>Water!H18</f>
        <v>54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4</v>
      </c>
      <c r="D17" s="12">
        <v>2021</v>
      </c>
      <c r="E17" s="13">
        <f>Electricity!I19</f>
        <v>1595.2799999974668</v>
      </c>
      <c r="F17" s="3">
        <v>0.72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4</v>
      </c>
      <c r="D18" s="12">
        <v>2021</v>
      </c>
      <c r="E18" s="13">
        <f>Electricity!I20</f>
        <v>1553.8800000008196</v>
      </c>
      <c r="F18" s="3">
        <v>0.72</v>
      </c>
      <c r="G18" s="13">
        <f>Gas!J20</f>
        <v>0</v>
      </c>
      <c r="H18" s="3">
        <v>1.66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4</v>
      </c>
      <c r="D19" s="12">
        <v>2021</v>
      </c>
      <c r="E19" s="13">
        <f>Electricity!I21</f>
        <v>1531.8000000007451</v>
      </c>
      <c r="F19" s="3">
        <v>0.72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4</v>
      </c>
      <c r="D20" s="12">
        <v>2021</v>
      </c>
      <c r="E20" s="13">
        <f>Electricity!I22</f>
        <v>-12878135.16</v>
      </c>
      <c r="F20" s="3">
        <v>0.72</v>
      </c>
      <c r="G20" s="13">
        <f>Gas!J22</f>
        <v>-1201400.737064</v>
      </c>
      <c r="H20" s="3">
        <v>1.66</v>
      </c>
      <c r="I20" s="13">
        <f>Water!H22</f>
        <v>-9156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4</v>
      </c>
      <c r="D21" s="12">
        <v>2021</v>
      </c>
      <c r="E21" s="13">
        <f>Electricity!I23</f>
        <v>0</v>
      </c>
      <c r="F21" s="3">
        <v>0.72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4</v>
      </c>
      <c r="D22" s="12">
        <v>2021</v>
      </c>
      <c r="E22" s="13">
        <f>Electricity!I24</f>
        <v>0</v>
      </c>
      <c r="F22" s="3">
        <v>0.72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4</v>
      </c>
      <c r="D23" s="12">
        <v>2021</v>
      </c>
      <c r="E23" s="13">
        <f>Electricity!I25</f>
        <v>0</v>
      </c>
      <c r="F23" s="3">
        <v>0.72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4</v>
      </c>
      <c r="D24" s="12">
        <v>2021</v>
      </c>
      <c r="E24" s="13">
        <f>Electricity!I26</f>
        <v>0</v>
      </c>
      <c r="F24" s="3">
        <v>0.72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4</v>
      </c>
      <c r="D25" s="12">
        <v>2021</v>
      </c>
      <c r="E25" s="13">
        <f>Electricity!I27</f>
        <v>0</v>
      </c>
      <c r="F25" s="3">
        <v>0.72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4</v>
      </c>
      <c r="D26" s="12">
        <v>2021</v>
      </c>
      <c r="E26" s="13">
        <f>Electricity!I28</f>
        <v>0</v>
      </c>
      <c r="F26" s="3">
        <v>0.72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4</v>
      </c>
      <c r="D27" s="12">
        <v>2021</v>
      </c>
      <c r="E27" s="13">
        <f>Electricity!I29</f>
        <v>0</v>
      </c>
      <c r="F27" s="3">
        <v>0.72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4</v>
      </c>
      <c r="D28" s="12">
        <v>2021</v>
      </c>
      <c r="E28" s="13">
        <f>Electricity!I30</f>
        <v>0</v>
      </c>
      <c r="F28" s="3">
        <v>0.72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4</v>
      </c>
      <c r="D29" s="12">
        <v>2021</v>
      </c>
      <c r="E29" s="13">
        <f>Electricity!I31</f>
        <v>0</v>
      </c>
      <c r="F29" s="3">
        <v>0.72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4</v>
      </c>
      <c r="D30" s="12">
        <v>2021</v>
      </c>
      <c r="E30" s="13">
        <f>Electricity!I32</f>
        <v>0</v>
      </c>
      <c r="F30" s="3">
        <v>0.72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4</v>
      </c>
      <c r="D31" s="12">
        <v>2021</v>
      </c>
      <c r="E31" s="13">
        <f>Electricity!I33</f>
        <v>0</v>
      </c>
      <c r="F31" s="3">
        <v>0.72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2" sqref="E2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54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>
        <v>9068</v>
      </c>
      <c r="F14" s="24">
        <v>1065</v>
      </c>
      <c r="G14" s="24">
        <f t="shared" si="1"/>
        <v>10133</v>
      </c>
      <c r="H14" s="25">
        <f t="shared" si="0"/>
        <v>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>
        <v>9070</v>
      </c>
      <c r="F15" s="24">
        <v>1065</v>
      </c>
      <c r="G15" s="24">
        <f t="shared" si="1"/>
        <v>10135</v>
      </c>
      <c r="H15" s="25">
        <f t="shared" si="0"/>
        <v>2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>
        <v>9073</v>
      </c>
      <c r="F16" s="24">
        <v>1065</v>
      </c>
      <c r="G16" s="24">
        <f t="shared" si="1"/>
        <v>10138</v>
      </c>
      <c r="H16" s="25">
        <f t="shared" si="0"/>
        <v>3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>
        <v>9080</v>
      </c>
      <c r="F17" s="24">
        <v>1065</v>
      </c>
      <c r="G17" s="24">
        <f t="shared" si="1"/>
        <v>10145</v>
      </c>
      <c r="H17" s="25">
        <f t="shared" si="0"/>
        <v>7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>
        <v>9134</v>
      </c>
      <c r="F18" s="24">
        <v>1065</v>
      </c>
      <c r="G18" s="24">
        <f t="shared" si="1"/>
        <v>10199</v>
      </c>
      <c r="H18" s="25">
        <f t="shared" si="0"/>
        <v>54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>
        <v>9150</v>
      </c>
      <c r="F19" s="24">
        <v>1065</v>
      </c>
      <c r="G19" s="24">
        <f>E19+F19</f>
        <v>10215</v>
      </c>
      <c r="H19" s="25">
        <f t="shared" si="0"/>
        <v>16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>
        <v>9153</v>
      </c>
      <c r="F20" s="24">
        <v>1065</v>
      </c>
      <c r="G20" s="24">
        <f t="shared" si="1"/>
        <v>10218</v>
      </c>
      <c r="H20" s="25">
        <f t="shared" si="0"/>
        <v>3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>
        <v>9156</v>
      </c>
      <c r="F21" s="24">
        <v>1065</v>
      </c>
      <c r="G21" s="24">
        <f t="shared" si="1"/>
        <v>10221</v>
      </c>
      <c r="H21" s="25">
        <f t="shared" si="0"/>
        <v>3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/>
      <c r="F22" s="24">
        <v>1065</v>
      </c>
      <c r="G22" s="24">
        <f t="shared" si="1"/>
        <v>1065</v>
      </c>
      <c r="H22" s="25">
        <f t="shared" si="0"/>
        <v>-9156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-9039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53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tabSelected="1" workbookViewId="0">
      <selection activeCell="F21" sqref="F2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55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1.287784</v>
      </c>
      <c r="I4" s="24">
        <f t="shared" ref="I4:I33" si="0">H4*G4</f>
        <v>1201362.1035440001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1.287784</v>
      </c>
      <c r="I5" s="24">
        <f t="shared" si="0"/>
        <v>1201362.1035440001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1.287784</v>
      </c>
      <c r="I6" s="24">
        <f t="shared" si="0"/>
        <v>1201362.1035440001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1.287784</v>
      </c>
      <c r="I7" s="24">
        <f t="shared" si="0"/>
        <v>1201362.1035440001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1.287784</v>
      </c>
      <c r="I8" s="24">
        <f t="shared" si="0"/>
        <v>1201362.1035440001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1.287784</v>
      </c>
      <c r="I9" s="24">
        <f t="shared" si="0"/>
        <v>1201362.1035440001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1.287784</v>
      </c>
      <c r="I10" s="24">
        <f t="shared" si="0"/>
        <v>1201362.1035440001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1.287784</v>
      </c>
      <c r="I11" s="24">
        <f t="shared" si="0"/>
        <v>1201362.1035440001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1.287784</v>
      </c>
      <c r="I12" s="24">
        <f t="shared" si="0"/>
        <v>1201362.1035440001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1.287784</v>
      </c>
      <c r="I13" s="24">
        <f t="shared" si="0"/>
        <v>1201362.1035440001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>
        <v>760788</v>
      </c>
      <c r="F14" s="24">
        <v>172103</v>
      </c>
      <c r="G14" s="24">
        <f t="shared" si="1"/>
        <v>932891</v>
      </c>
      <c r="H14" s="18">
        <v>1.287784</v>
      </c>
      <c r="I14" s="24">
        <f t="shared" si="0"/>
        <v>1201362.1035440001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>
        <v>760788</v>
      </c>
      <c r="F15" s="24">
        <v>172121</v>
      </c>
      <c r="G15" s="24">
        <f>E15+F15</f>
        <v>932909</v>
      </c>
      <c r="H15" s="18">
        <v>1.287784</v>
      </c>
      <c r="I15" s="24">
        <f t="shared" si="0"/>
        <v>1201385.2836559999</v>
      </c>
      <c r="J15" s="25">
        <f t="shared" si="2"/>
        <v>23.180111999856308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>
        <v>760788</v>
      </c>
      <c r="F16" s="24">
        <v>172133</v>
      </c>
      <c r="G16" s="24">
        <f>E16+F16</f>
        <v>932921</v>
      </c>
      <c r="H16" s="18">
        <v>1.287784</v>
      </c>
      <c r="I16" s="24">
        <f t="shared" si="0"/>
        <v>1201400.737064</v>
      </c>
      <c r="J16" s="25">
        <f t="shared" si="2"/>
        <v>15.453408000059426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>
        <v>760788</v>
      </c>
      <c r="F17" s="24">
        <v>172133</v>
      </c>
      <c r="G17" s="24">
        <f t="shared" si="1"/>
        <v>932921</v>
      </c>
      <c r="H17" s="18">
        <v>1.287784</v>
      </c>
      <c r="I17" s="24">
        <f t="shared" si="0"/>
        <v>1201400.737064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>
        <v>760788</v>
      </c>
      <c r="F18" s="24">
        <v>172133</v>
      </c>
      <c r="G18" s="24">
        <f t="shared" si="1"/>
        <v>932921</v>
      </c>
      <c r="H18" s="18">
        <v>1.287784</v>
      </c>
      <c r="I18" s="24">
        <f t="shared" si="0"/>
        <v>1201400.737064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>
        <v>760788</v>
      </c>
      <c r="F19" s="24">
        <v>172133</v>
      </c>
      <c r="G19" s="24">
        <f t="shared" si="1"/>
        <v>932921</v>
      </c>
      <c r="H19" s="18">
        <v>1.287784</v>
      </c>
      <c r="I19" s="24">
        <f t="shared" si="0"/>
        <v>1201400.737064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>
        <v>760788</v>
      </c>
      <c r="F20" s="24">
        <v>172133</v>
      </c>
      <c r="G20" s="24">
        <f t="shared" si="1"/>
        <v>932921</v>
      </c>
      <c r="H20" s="18">
        <v>1.287784</v>
      </c>
      <c r="I20" s="24">
        <f t="shared" si="0"/>
        <v>1201400.737064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>
        <v>760788</v>
      </c>
      <c r="F21" s="24">
        <v>172133</v>
      </c>
      <c r="G21" s="24">
        <f t="shared" si="1"/>
        <v>932921</v>
      </c>
      <c r="H21" s="18">
        <v>1.287784</v>
      </c>
      <c r="I21" s="24">
        <f t="shared" si="0"/>
        <v>1201400.737064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/>
      <c r="F22" s="24"/>
      <c r="G22" s="24">
        <f t="shared" si="1"/>
        <v>0</v>
      </c>
      <c r="H22" s="18">
        <v>1.287784</v>
      </c>
      <c r="I22" s="24">
        <f t="shared" si="0"/>
        <v>0</v>
      </c>
      <c r="J22" s="25">
        <f t="shared" si="2"/>
        <v>-1201400.737064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/>
      <c r="F23" s="24"/>
      <c r="G23" s="24">
        <f t="shared" si="1"/>
        <v>0</v>
      </c>
      <c r="H23" s="18">
        <v>1.287784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/>
      <c r="F24" s="24"/>
      <c r="G24" s="24">
        <f t="shared" si="1"/>
        <v>0</v>
      </c>
      <c r="H24" s="18">
        <v>1.287784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/>
      <c r="F25" s="24"/>
      <c r="G25" s="24">
        <f t="shared" si="1"/>
        <v>0</v>
      </c>
      <c r="H25" s="18">
        <v>1.287784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/>
      <c r="F26" s="24"/>
      <c r="G26" s="24">
        <f t="shared" si="1"/>
        <v>0</v>
      </c>
      <c r="H26" s="18">
        <v>1.287784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/>
      <c r="F27" s="24"/>
      <c r="G27" s="24">
        <f t="shared" si="1"/>
        <v>0</v>
      </c>
      <c r="H27" s="18">
        <v>1.287784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/>
      <c r="F28" s="24"/>
      <c r="G28" s="24">
        <f t="shared" si="1"/>
        <v>0</v>
      </c>
      <c r="H28" s="18">
        <v>1.287784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/>
      <c r="F29" s="24"/>
      <c r="G29" s="24">
        <f t="shared" si="1"/>
        <v>0</v>
      </c>
      <c r="H29" s="18">
        <v>1.287784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/>
      <c r="F30" s="24"/>
      <c r="G30" s="24">
        <f t="shared" si="1"/>
        <v>0</v>
      </c>
      <c r="H30" s="18">
        <v>1.287784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/>
      <c r="F31" s="24"/>
      <c r="G31" s="24">
        <f t="shared" si="1"/>
        <v>0</v>
      </c>
      <c r="H31" s="18">
        <v>1.287784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/>
      <c r="F32" s="24"/>
      <c r="G32" s="24">
        <f t="shared" si="1"/>
        <v>0</v>
      </c>
      <c r="H32" s="18">
        <v>1.287784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/>
      <c r="F33" s="24"/>
      <c r="G33" s="24">
        <f t="shared" si="1"/>
        <v>0</v>
      </c>
      <c r="H33" s="18">
        <v>1.287784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-1201362.1035440001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50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2" sqref="F22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56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>
        <v>4662.2669999999998</v>
      </c>
      <c r="G14" s="23">
        <v>2760</v>
      </c>
      <c r="H14" s="24">
        <f t="shared" si="11"/>
        <v>12867856.92</v>
      </c>
      <c r="I14" s="25">
        <f t="shared" si="18"/>
        <v>1504.2000000011176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1504.2000000011176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1504.2000000011176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1504.2000000011176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>
        <v>4662.7219999999998</v>
      </c>
      <c r="G15" s="23">
        <v>2760</v>
      </c>
      <c r="H15" s="24">
        <f t="shared" si="11"/>
        <v>12869112.719999999</v>
      </c>
      <c r="I15" s="25">
        <f t="shared" si="18"/>
        <v>1255.7999999988824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1255.7999999988824</v>
      </c>
      <c r="W15" s="81">
        <f t="shared" si="2"/>
        <v>0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1255.7999999988824</v>
      </c>
      <c r="AF15" s="74">
        <f t="shared" ref="AF15:AF35" si="25">AD15/AE15</f>
        <v>0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1255.7999999988824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>
        <v>4663.2539999999999</v>
      </c>
      <c r="G16" s="23">
        <v>2760</v>
      </c>
      <c r="H16" s="24">
        <f t="shared" si="11"/>
        <v>12870581.039999999</v>
      </c>
      <c r="I16" s="25">
        <f t="shared" si="18"/>
        <v>1468.320000000298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1468.320000000298</v>
      </c>
      <c r="W16" s="81">
        <f t="shared" si="2"/>
        <v>0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1468.320000000298</v>
      </c>
      <c r="AF16" s="74">
        <f t="shared" si="25"/>
        <v>0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1468.320000000298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>
        <v>4663.7780000000002</v>
      </c>
      <c r="G17" s="23">
        <v>2760</v>
      </c>
      <c r="H17" s="24">
        <f t="shared" si="11"/>
        <v>12872027.280000001</v>
      </c>
      <c r="I17" s="25">
        <f t="shared" si="18"/>
        <v>1446.2400000020862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1446.2400000020862</v>
      </c>
      <c r="W17" s="74">
        <f t="shared" si="2"/>
        <v>0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1446.2400000020862</v>
      </c>
      <c r="AF17" s="74">
        <f t="shared" si="25"/>
        <v>0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1446.2400000020862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>
        <v>4664.2950000000001</v>
      </c>
      <c r="G18" s="23">
        <v>2760</v>
      </c>
      <c r="H18" s="24">
        <f t="shared" si="11"/>
        <v>12873454.200000001</v>
      </c>
      <c r="I18" s="25">
        <f t="shared" si="18"/>
        <v>1426.9199999999255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1426.9199999999255</v>
      </c>
      <c r="W18" s="74">
        <f>U18/V18</f>
        <v>0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1426.9199999999255</v>
      </c>
      <c r="AF18" s="74">
        <f t="shared" si="25"/>
        <v>0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1426.9199999999255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>
        <v>4664.8729999999996</v>
      </c>
      <c r="G19" s="23">
        <v>2760</v>
      </c>
      <c r="H19" s="24">
        <f t="shared" si="11"/>
        <v>12875049.479999999</v>
      </c>
      <c r="I19" s="25">
        <f t="shared" si="18"/>
        <v>1595.2799999974668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1595.2799999974668</v>
      </c>
      <c r="W19" s="74">
        <f>U19/V19</f>
        <v>0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1595.2799999974668</v>
      </c>
      <c r="AF19" s="74">
        <f t="shared" si="25"/>
        <v>0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1595.2799999974668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>
        <v>4665.4359999999997</v>
      </c>
      <c r="G20" s="23">
        <v>2760</v>
      </c>
      <c r="H20" s="24">
        <f t="shared" si="11"/>
        <v>12876603.359999999</v>
      </c>
      <c r="I20" s="25">
        <f t="shared" si="18"/>
        <v>1553.8800000008196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1553.8800000008196</v>
      </c>
      <c r="W20" s="74">
        <f t="shared" si="2"/>
        <v>0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1553.8800000008196</v>
      </c>
      <c r="AF20" s="74">
        <f t="shared" si="25"/>
        <v>0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1553.8800000008196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>
        <v>4665.991</v>
      </c>
      <c r="G21" s="23">
        <v>2760</v>
      </c>
      <c r="H21" s="24">
        <f t="shared" si="11"/>
        <v>12878135.16</v>
      </c>
      <c r="I21" s="25">
        <f t="shared" si="18"/>
        <v>1531.8000000007451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1531.8000000007451</v>
      </c>
      <c r="W21" s="74">
        <f t="shared" si="2"/>
        <v>0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1531.8000000007451</v>
      </c>
      <c r="AF21" s="74">
        <f>AD21/AE21</f>
        <v>0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1531.8000000007451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/>
      <c r="G22" s="23">
        <v>2760</v>
      </c>
      <c r="H22" s="24">
        <f t="shared" si="11"/>
        <v>0</v>
      </c>
      <c r="I22" s="25">
        <f t="shared" si="18"/>
        <v>-12878135.16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-12878135.16</v>
      </c>
      <c r="W22" s="74">
        <f t="shared" si="2"/>
        <v>0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-12878135.16</v>
      </c>
      <c r="AF22" s="74">
        <f t="shared" si="25"/>
        <v>0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-12878135.16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/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/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/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/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/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/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-12850532.419999998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-12850532.419999998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-12850532.419999998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-12850532.419999998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2021-04-18T04:05:15Z</dcterms:modified>
</cp:coreProperties>
</file>