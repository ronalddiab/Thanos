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H:\Energy\HEP tracking\"/>
    </mc:Choice>
  </mc:AlternateContent>
  <bookViews>
    <workbookView xWindow="0" yWindow="0" windowWidth="21570" windowHeight="7485" activeTab="2"/>
  </bookViews>
  <sheets>
    <sheet name="TOTAL" sheetId="5" r:id="rId1"/>
    <sheet name="Submetering " sheetId="4" r:id="rId2"/>
    <sheet name="DAILY" sheetId="6" r:id="rId3"/>
  </sheets>
  <calcPr calcId="162913"/>
  <fileRecoveryPr autoRecover="0"/>
</workbook>
</file>

<file path=xl/calcChain.xml><?xml version="1.0" encoding="utf-8"?>
<calcChain xmlns="http://schemas.openxmlformats.org/spreadsheetml/2006/main">
  <c r="Q3" i="4" l="1"/>
  <c r="Q33" i="4"/>
  <c r="Q32" i="4"/>
  <c r="Q31" i="4"/>
  <c r="Q30" i="4"/>
  <c r="Q29" i="4"/>
  <c r="Q28" i="4"/>
  <c r="Q27" i="4"/>
  <c r="Q26" i="4"/>
  <c r="Q25" i="4"/>
  <c r="Q24" i="4"/>
  <c r="Q23" i="4"/>
  <c r="Q22" i="4"/>
  <c r="Q21" i="4"/>
  <c r="Q20" i="4"/>
  <c r="Q19" i="4"/>
  <c r="Q18" i="4"/>
  <c r="Q17" i="4"/>
  <c r="Q16" i="4"/>
  <c r="Q15" i="4"/>
  <c r="Q14" i="4"/>
  <c r="Q13" i="4"/>
  <c r="Q12" i="4"/>
  <c r="Q11" i="4"/>
  <c r="Q10" i="4"/>
  <c r="Q9" i="4"/>
  <c r="Q8" i="4"/>
  <c r="Q7" i="4"/>
  <c r="Q6" i="4"/>
  <c r="Q5" i="4"/>
  <c r="Q4" i="4"/>
  <c r="P3" i="4"/>
  <c r="P33" i="4"/>
  <c r="P32" i="4"/>
  <c r="P31" i="4"/>
  <c r="P30" i="4"/>
  <c r="P29" i="4"/>
  <c r="P28" i="4"/>
  <c r="P27" i="4"/>
  <c r="P26" i="4"/>
  <c r="K25" i="5" s="1"/>
  <c r="P25" i="4"/>
  <c r="P24" i="4"/>
  <c r="P23" i="4"/>
  <c r="P22" i="4"/>
  <c r="P21" i="4"/>
  <c r="P20" i="4"/>
  <c r="P19" i="4"/>
  <c r="P18" i="4"/>
  <c r="K17" i="5" s="1"/>
  <c r="P17" i="4"/>
  <c r="P16" i="4"/>
  <c r="P15" i="4"/>
  <c r="P14" i="4"/>
  <c r="P13" i="4"/>
  <c r="P12" i="4"/>
  <c r="P11" i="4"/>
  <c r="P10" i="4"/>
  <c r="K9" i="5" s="1"/>
  <c r="P9" i="4"/>
  <c r="P8" i="4"/>
  <c r="P7" i="4"/>
  <c r="P6" i="4"/>
  <c r="P5" i="4"/>
  <c r="P4" i="4"/>
  <c r="O3" i="4"/>
  <c r="O33" i="4"/>
  <c r="O32" i="4"/>
  <c r="O31" i="4"/>
  <c r="O30" i="4"/>
  <c r="O29" i="4"/>
  <c r="O28" i="4"/>
  <c r="O27" i="4"/>
  <c r="O26" i="4"/>
  <c r="O25" i="4"/>
  <c r="O24" i="4"/>
  <c r="O23" i="4"/>
  <c r="O22" i="4"/>
  <c r="O21" i="4"/>
  <c r="O20" i="4"/>
  <c r="O19" i="4"/>
  <c r="O18" i="4"/>
  <c r="O17" i="4"/>
  <c r="O16" i="4"/>
  <c r="O15" i="4"/>
  <c r="O14" i="4"/>
  <c r="O13" i="4"/>
  <c r="O12" i="4"/>
  <c r="O11" i="4"/>
  <c r="O10" i="4"/>
  <c r="O9" i="4"/>
  <c r="O8" i="4"/>
  <c r="O7" i="4"/>
  <c r="O6" i="4"/>
  <c r="O5" i="4"/>
  <c r="O4" i="4"/>
  <c r="N3" i="4"/>
  <c r="N33" i="4"/>
  <c r="N32" i="4"/>
  <c r="N31" i="4"/>
  <c r="N30" i="4"/>
  <c r="N29" i="4"/>
  <c r="N28" i="4"/>
  <c r="N27" i="4"/>
  <c r="N26" i="4"/>
  <c r="N25" i="4"/>
  <c r="N24" i="4"/>
  <c r="I23" i="5" s="1"/>
  <c r="N23" i="4"/>
  <c r="N22" i="4"/>
  <c r="N21" i="4"/>
  <c r="N20" i="4"/>
  <c r="N19" i="4"/>
  <c r="N18" i="4"/>
  <c r="N17" i="4"/>
  <c r="N16" i="4"/>
  <c r="I15" i="5" s="1"/>
  <c r="N15" i="4"/>
  <c r="N14" i="4"/>
  <c r="N13" i="4"/>
  <c r="N12" i="4"/>
  <c r="N11" i="4"/>
  <c r="N10" i="4"/>
  <c r="N9" i="4"/>
  <c r="N8" i="4"/>
  <c r="I7" i="5" s="1"/>
  <c r="N7" i="4"/>
  <c r="N6" i="4"/>
  <c r="N5" i="4"/>
  <c r="N4" i="4"/>
  <c r="M3" i="4"/>
  <c r="G2" i="5" s="1"/>
  <c r="M33" i="4"/>
  <c r="G32" i="5" s="1"/>
  <c r="M32" i="4"/>
  <c r="G31" i="5" s="1"/>
  <c r="M31" i="4"/>
  <c r="G30" i="5" s="1"/>
  <c r="M30" i="4"/>
  <c r="G29" i="5" s="1"/>
  <c r="M29" i="4"/>
  <c r="G28" i="5" s="1"/>
  <c r="M28" i="4"/>
  <c r="G27" i="5" s="1"/>
  <c r="M27" i="4"/>
  <c r="G26" i="5" s="1"/>
  <c r="M26" i="4"/>
  <c r="G25" i="5" s="1"/>
  <c r="M25" i="4"/>
  <c r="G24" i="5" s="1"/>
  <c r="M24" i="4"/>
  <c r="G23" i="5" s="1"/>
  <c r="M23" i="4"/>
  <c r="G22" i="5" s="1"/>
  <c r="M22" i="4"/>
  <c r="G21" i="5" s="1"/>
  <c r="M21" i="4"/>
  <c r="G20" i="5" s="1"/>
  <c r="M20" i="4"/>
  <c r="G19" i="5" s="1"/>
  <c r="M19" i="4"/>
  <c r="G18" i="5" s="1"/>
  <c r="M18" i="4"/>
  <c r="G17" i="5" s="1"/>
  <c r="M17" i="4"/>
  <c r="G16" i="5" s="1"/>
  <c r="M16" i="4"/>
  <c r="G15" i="5" s="1"/>
  <c r="M15" i="4"/>
  <c r="G14" i="5" s="1"/>
  <c r="M14" i="4"/>
  <c r="G13" i="5" s="1"/>
  <c r="M13" i="4"/>
  <c r="G12" i="5" s="1"/>
  <c r="M12" i="4"/>
  <c r="G11" i="5" s="1"/>
  <c r="M11" i="4"/>
  <c r="G10" i="5" s="1"/>
  <c r="M10" i="4"/>
  <c r="G9" i="5" s="1"/>
  <c r="M9" i="4"/>
  <c r="G8" i="5" s="1"/>
  <c r="M8" i="4"/>
  <c r="G7" i="5" s="1"/>
  <c r="M7" i="4"/>
  <c r="G6" i="5" s="1"/>
  <c r="M6" i="4"/>
  <c r="G5" i="5" s="1"/>
  <c r="M5" i="4"/>
  <c r="G4" i="5" s="1"/>
  <c r="M4" i="4"/>
  <c r="G3" i="5" s="1"/>
  <c r="L3" i="4"/>
  <c r="L33" i="4"/>
  <c r="L32" i="4"/>
  <c r="L31" i="4"/>
  <c r="L30" i="4"/>
  <c r="L29" i="4"/>
  <c r="L28" i="4"/>
  <c r="L27" i="4"/>
  <c r="L26" i="4"/>
  <c r="L25" i="4"/>
  <c r="L24" i="4"/>
  <c r="L23" i="4"/>
  <c r="L22" i="4"/>
  <c r="L21" i="4"/>
  <c r="L20" i="4"/>
  <c r="L19" i="4"/>
  <c r="L18" i="4"/>
  <c r="L17" i="4"/>
  <c r="L16" i="4"/>
  <c r="L15" i="4"/>
  <c r="L14" i="4"/>
  <c r="L13" i="4"/>
  <c r="L12" i="4"/>
  <c r="L11" i="4"/>
  <c r="L10" i="4"/>
  <c r="L9" i="4"/>
  <c r="L8" i="4"/>
  <c r="L7" i="4"/>
  <c r="L6" i="4"/>
  <c r="L5" i="4"/>
  <c r="L4" i="4"/>
  <c r="K3" i="4"/>
  <c r="K33" i="4"/>
  <c r="K32" i="4"/>
  <c r="K31" i="4"/>
  <c r="K30" i="4"/>
  <c r="K29" i="4"/>
  <c r="K28" i="4"/>
  <c r="K27" i="4"/>
  <c r="K26" i="4"/>
  <c r="K25" i="4"/>
  <c r="K24" i="4"/>
  <c r="K23" i="4"/>
  <c r="K22" i="4"/>
  <c r="K21" i="4"/>
  <c r="K20" i="4"/>
  <c r="K19" i="4"/>
  <c r="K18" i="4"/>
  <c r="K17" i="4"/>
  <c r="K16" i="4"/>
  <c r="K15" i="4"/>
  <c r="K14" i="4"/>
  <c r="K13" i="4"/>
  <c r="K12" i="4"/>
  <c r="K11" i="4"/>
  <c r="K10" i="4"/>
  <c r="K9" i="4"/>
  <c r="K8" i="4"/>
  <c r="K7" i="4"/>
  <c r="K6" i="4"/>
  <c r="K5" i="4"/>
  <c r="K4" i="4"/>
  <c r="J3" i="4"/>
  <c r="J33" i="4"/>
  <c r="J32" i="4"/>
  <c r="J31" i="4"/>
  <c r="J30" i="4"/>
  <c r="J29" i="4"/>
  <c r="J28" i="4"/>
  <c r="J27" i="4"/>
  <c r="J26" i="4"/>
  <c r="J25" i="4"/>
  <c r="J24" i="4"/>
  <c r="J23" i="4"/>
  <c r="J22" i="4"/>
  <c r="J21" i="4"/>
  <c r="J20" i="4"/>
  <c r="J19" i="4"/>
  <c r="J18" i="4"/>
  <c r="J17" i="4"/>
  <c r="J16" i="4"/>
  <c r="J15" i="4"/>
  <c r="J14" i="4"/>
  <c r="J13" i="4"/>
  <c r="J12" i="4"/>
  <c r="J11" i="4"/>
  <c r="J10" i="4"/>
  <c r="J9" i="4"/>
  <c r="J8" i="4"/>
  <c r="J7" i="4"/>
  <c r="J6" i="4"/>
  <c r="J5" i="4"/>
  <c r="J4" i="4"/>
  <c r="I3" i="4"/>
  <c r="I33" i="4"/>
  <c r="I32" i="4"/>
  <c r="I31" i="4"/>
  <c r="I30" i="4"/>
  <c r="I29" i="4"/>
  <c r="I28" i="4"/>
  <c r="I27" i="4"/>
  <c r="I26" i="4"/>
  <c r="I25" i="4"/>
  <c r="I24" i="4"/>
  <c r="I23" i="4"/>
  <c r="I22" i="4"/>
  <c r="I21" i="4"/>
  <c r="I20" i="4"/>
  <c r="I19" i="4"/>
  <c r="I18" i="4"/>
  <c r="I17" i="4"/>
  <c r="I16" i="4"/>
  <c r="I15" i="4"/>
  <c r="I14" i="4"/>
  <c r="I13" i="4"/>
  <c r="I12" i="4"/>
  <c r="I11" i="4"/>
  <c r="I10" i="4"/>
  <c r="I9" i="4"/>
  <c r="I8" i="4"/>
  <c r="I7" i="4"/>
  <c r="I6" i="4"/>
  <c r="I5" i="4"/>
  <c r="I4" i="4"/>
  <c r="H3" i="4"/>
  <c r="H33" i="4"/>
  <c r="H32" i="4"/>
  <c r="H31" i="4"/>
  <c r="H30" i="4"/>
  <c r="H29" i="4"/>
  <c r="H28" i="4"/>
  <c r="H27" i="4"/>
  <c r="H26" i="4"/>
  <c r="H25" i="4"/>
  <c r="H24" i="4"/>
  <c r="H23" i="4"/>
  <c r="H22" i="4"/>
  <c r="H21" i="4"/>
  <c r="H20" i="4"/>
  <c r="H19" i="4"/>
  <c r="H18" i="4"/>
  <c r="H17" i="4"/>
  <c r="H16" i="4"/>
  <c r="H15" i="4"/>
  <c r="H14" i="4"/>
  <c r="H13" i="4"/>
  <c r="H12" i="4"/>
  <c r="H11" i="4"/>
  <c r="H10" i="4"/>
  <c r="H9" i="4"/>
  <c r="H8" i="4"/>
  <c r="H7" i="4"/>
  <c r="H6" i="4"/>
  <c r="H5" i="4"/>
  <c r="H4" i="4"/>
  <c r="G4" i="4"/>
  <c r="G33" i="4"/>
  <c r="G32" i="4"/>
  <c r="G31" i="4"/>
  <c r="G30" i="4"/>
  <c r="G29" i="4"/>
  <c r="G28" i="4"/>
  <c r="G27" i="4"/>
  <c r="G26" i="4"/>
  <c r="G25" i="4"/>
  <c r="G24" i="4"/>
  <c r="G23" i="4"/>
  <c r="G22" i="4"/>
  <c r="G21" i="4"/>
  <c r="G20" i="4"/>
  <c r="G19" i="4"/>
  <c r="G18" i="4"/>
  <c r="G17" i="4"/>
  <c r="G16" i="4"/>
  <c r="G15" i="4"/>
  <c r="G14" i="4"/>
  <c r="G13" i="4"/>
  <c r="G12" i="4"/>
  <c r="G11" i="4"/>
  <c r="G10" i="4"/>
  <c r="G9" i="4"/>
  <c r="G8" i="4"/>
  <c r="G7" i="4"/>
  <c r="G6" i="4"/>
  <c r="G5" i="4"/>
  <c r="G3" i="4"/>
  <c r="F33" i="4"/>
  <c r="F32" i="4"/>
  <c r="F31" i="4"/>
  <c r="F30" i="4"/>
  <c r="F29" i="4"/>
  <c r="F28" i="4"/>
  <c r="F27" i="4"/>
  <c r="F26" i="4"/>
  <c r="F25" i="4"/>
  <c r="F24" i="4"/>
  <c r="F23" i="4"/>
  <c r="F22" i="4"/>
  <c r="F21" i="4"/>
  <c r="F20" i="4"/>
  <c r="F19" i="4"/>
  <c r="F18" i="4"/>
  <c r="F17" i="4"/>
  <c r="F16" i="4"/>
  <c r="F15" i="4"/>
  <c r="F14" i="4"/>
  <c r="F13" i="4"/>
  <c r="F12" i="4"/>
  <c r="F11" i="4"/>
  <c r="F10" i="4"/>
  <c r="F9" i="4"/>
  <c r="F8" i="4"/>
  <c r="F7" i="4"/>
  <c r="F6" i="4"/>
  <c r="F5" i="4"/>
  <c r="F4" i="4"/>
  <c r="F3" i="4"/>
  <c r="E33" i="4"/>
  <c r="E32" i="4"/>
  <c r="E31" i="4"/>
  <c r="E30" i="4"/>
  <c r="E29" i="4"/>
  <c r="E28" i="4"/>
  <c r="E27" i="4"/>
  <c r="E26" i="4"/>
  <c r="E25" i="4"/>
  <c r="E24" i="4"/>
  <c r="E23" i="4"/>
  <c r="E22" i="4"/>
  <c r="E21" i="5" s="1"/>
  <c r="E21" i="4"/>
  <c r="E20" i="4"/>
  <c r="E19" i="4"/>
  <c r="E18" i="4"/>
  <c r="E17" i="4"/>
  <c r="E16" i="4"/>
  <c r="E15" i="4"/>
  <c r="E14" i="4"/>
  <c r="E13" i="4"/>
  <c r="E12" i="4"/>
  <c r="E11" i="4"/>
  <c r="E10" i="4"/>
  <c r="E9" i="4"/>
  <c r="E8" i="4"/>
  <c r="E7" i="4"/>
  <c r="E6" i="4"/>
  <c r="E5" i="5" s="1"/>
  <c r="E5" i="4"/>
  <c r="E4" i="4"/>
  <c r="E3" i="4"/>
  <c r="I4" i="5" l="1"/>
  <c r="K2" i="5"/>
  <c r="E13" i="5"/>
  <c r="K10" i="5"/>
  <c r="K18" i="5"/>
  <c r="E29" i="5"/>
  <c r="I6" i="5"/>
  <c r="I14" i="5"/>
  <c r="I22" i="5"/>
  <c r="I30" i="5"/>
  <c r="K8" i="5"/>
  <c r="K16" i="5"/>
  <c r="K24" i="5"/>
  <c r="I8" i="5"/>
  <c r="I10" i="5"/>
  <c r="I18" i="5"/>
  <c r="K4" i="5"/>
  <c r="K12" i="5"/>
  <c r="K20" i="5"/>
  <c r="I3" i="5"/>
  <c r="I11" i="5"/>
  <c r="I19" i="5"/>
  <c r="I27" i="5"/>
  <c r="K5" i="5"/>
  <c r="K13" i="5"/>
  <c r="K21" i="5"/>
  <c r="K29" i="5"/>
  <c r="I16" i="5"/>
  <c r="I12" i="5"/>
  <c r="I20" i="5"/>
  <c r="I28" i="5"/>
  <c r="K6" i="5"/>
  <c r="K14" i="5"/>
  <c r="K22" i="5"/>
  <c r="K30" i="5"/>
  <c r="I32" i="5"/>
  <c r="K32" i="5"/>
  <c r="I31" i="5"/>
  <c r="I24" i="5"/>
  <c r="I26" i="5"/>
  <c r="K28" i="5"/>
  <c r="K26" i="5"/>
  <c r="E30" i="5"/>
  <c r="E7" i="5"/>
  <c r="E15" i="5"/>
  <c r="E23" i="5"/>
  <c r="E31" i="5"/>
  <c r="I9" i="5"/>
  <c r="I17" i="5"/>
  <c r="I25" i="5"/>
  <c r="I2" i="5"/>
  <c r="K3" i="5"/>
  <c r="K11" i="5"/>
  <c r="K19" i="5"/>
  <c r="K27" i="5"/>
  <c r="E8" i="5"/>
  <c r="E16" i="5"/>
  <c r="E24" i="5"/>
  <c r="E32" i="5"/>
  <c r="E14" i="5"/>
  <c r="E17" i="5"/>
  <c r="E25" i="5"/>
  <c r="E6" i="5"/>
  <c r="E9" i="5"/>
  <c r="E18" i="5"/>
  <c r="E2" i="5"/>
  <c r="E10" i="5"/>
  <c r="E26" i="5"/>
  <c r="E3" i="5"/>
  <c r="E11" i="5"/>
  <c r="E19" i="5"/>
  <c r="E27" i="5"/>
  <c r="I5" i="5"/>
  <c r="I13" i="5"/>
  <c r="I21" i="5"/>
  <c r="I29" i="5"/>
  <c r="K7" i="5"/>
  <c r="K15" i="5"/>
  <c r="K23" i="5"/>
  <c r="K31" i="5"/>
  <c r="E22" i="5"/>
  <c r="E4" i="5"/>
  <c r="E12" i="5"/>
  <c r="E20" i="5"/>
  <c r="E28" i="5"/>
  <c r="D3" i="6"/>
  <c r="E3" i="6" s="1"/>
  <c r="F3" i="6" s="1"/>
  <c r="G3" i="6" s="1"/>
  <c r="H3" i="6" s="1"/>
  <c r="I3" i="6" s="1"/>
  <c r="J3" i="6" s="1"/>
  <c r="K3" i="6" s="1"/>
  <c r="L3" i="6" s="1"/>
  <c r="M3" i="6" s="1"/>
  <c r="N3" i="6" s="1"/>
  <c r="O3" i="6" s="1"/>
  <c r="P3" i="6" s="1"/>
  <c r="Q3" i="6" s="1"/>
  <c r="R3" i="6" s="1"/>
  <c r="S3" i="6" s="1"/>
  <c r="T3" i="6" s="1"/>
  <c r="U3" i="6" s="1"/>
  <c r="V3" i="6" s="1"/>
  <c r="W3" i="6" s="1"/>
  <c r="X3" i="6" s="1"/>
  <c r="Y3" i="6" s="1"/>
  <c r="Z3" i="6" s="1"/>
  <c r="AA3" i="6" s="1"/>
  <c r="AB3" i="6" s="1"/>
  <c r="AC3" i="6" s="1"/>
  <c r="AD3" i="6" s="1"/>
  <c r="AE3" i="6" s="1"/>
  <c r="AF3" i="6" s="1"/>
  <c r="AG3" i="6" s="1"/>
  <c r="B4" i="4" l="1"/>
  <c r="B5" i="4" s="1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32" i="4" s="1"/>
  <c r="B33" i="4" s="1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</calcChain>
</file>

<file path=xl/sharedStrings.xml><?xml version="1.0" encoding="utf-8"?>
<sst xmlns="http://schemas.openxmlformats.org/spreadsheetml/2006/main" count="525" uniqueCount="393">
  <si>
    <t>Site Name</t>
  </si>
  <si>
    <t>Day</t>
  </si>
  <si>
    <t>Month</t>
  </si>
  <si>
    <t>Year</t>
  </si>
  <si>
    <t>Total Electricity Kwh</t>
  </si>
  <si>
    <t>Natual Gas (m3)</t>
  </si>
  <si>
    <t>Water Utility Supply (m3) m3</t>
  </si>
  <si>
    <t xml:space="preserve">Room Nights </t>
  </si>
  <si>
    <t xml:space="preserve">Total Guests </t>
  </si>
  <si>
    <t>Electricity Tariff ($/Kwh)</t>
  </si>
  <si>
    <t>Natural Gas $/m3</t>
  </si>
  <si>
    <t>Water Utility Supply (m3) $/m3</t>
  </si>
  <si>
    <t>Seattle</t>
  </si>
  <si>
    <t>July Meter Readings</t>
  </si>
  <si>
    <t>Location/Meter</t>
  </si>
  <si>
    <t>Readings</t>
  </si>
  <si>
    <t>C Level Meter 768867</t>
  </si>
  <si>
    <t>C Level Meter 768898</t>
  </si>
  <si>
    <t>C Level Meter 789059</t>
  </si>
  <si>
    <t>C Level 796579</t>
  </si>
  <si>
    <t>C Level 796593</t>
  </si>
  <si>
    <t>D Level 789073</t>
  </si>
  <si>
    <t>16th FL N 788970</t>
  </si>
  <si>
    <t>19th FL S 798644</t>
  </si>
  <si>
    <t>Gas meter</t>
  </si>
  <si>
    <t>Domestic Water South</t>
  </si>
  <si>
    <t>Domestic Water North</t>
  </si>
  <si>
    <t>Condensate 1 (Steam 103-G)</t>
  </si>
  <si>
    <t>Condensate 2 (Steam 7034-G)</t>
  </si>
  <si>
    <t>District Energy Heating Kwh</t>
  </si>
  <si>
    <t>District Energy Heating $/Kwh</t>
  </si>
  <si>
    <t>86971</t>
  </si>
  <si>
    <t>114080</t>
  </si>
  <si>
    <t>52171</t>
  </si>
  <si>
    <t>339515</t>
  </si>
  <si>
    <t>43961</t>
  </si>
  <si>
    <t>0124</t>
  </si>
  <si>
    <t>86654</t>
  </si>
  <si>
    <t>96739</t>
  </si>
  <si>
    <t>228349</t>
  </si>
  <si>
    <t>47309.56</t>
  </si>
  <si>
    <t>8579</t>
  </si>
  <si>
    <t>125381.38</t>
  </si>
  <si>
    <t>43362.07</t>
  </si>
  <si>
    <t>86983</t>
  </si>
  <si>
    <t>86995</t>
  </si>
  <si>
    <t>87005</t>
  </si>
  <si>
    <t>87018</t>
  </si>
  <si>
    <t>87030</t>
  </si>
  <si>
    <t>87045</t>
  </si>
  <si>
    <t>87055</t>
  </si>
  <si>
    <t>87067</t>
  </si>
  <si>
    <t>87078</t>
  </si>
  <si>
    <t>87090</t>
  </si>
  <si>
    <t>87103</t>
  </si>
  <si>
    <t>87114</t>
  </si>
  <si>
    <t>87127</t>
  </si>
  <si>
    <t>87139</t>
  </si>
  <si>
    <t>87150</t>
  </si>
  <si>
    <t>87162</t>
  </si>
  <si>
    <t>87175</t>
  </si>
  <si>
    <t>87186</t>
  </si>
  <si>
    <t>87199</t>
  </si>
  <si>
    <t>87211</t>
  </si>
  <si>
    <t>87223</t>
  </si>
  <si>
    <t>87235</t>
  </si>
  <si>
    <t>87248</t>
  </si>
  <si>
    <t>87259</t>
  </si>
  <si>
    <t>87271</t>
  </si>
  <si>
    <t>87283</t>
  </si>
  <si>
    <t>87300</t>
  </si>
  <si>
    <t>87310</t>
  </si>
  <si>
    <t>87323</t>
  </si>
  <si>
    <t>87335</t>
  </si>
  <si>
    <t>87348</t>
  </si>
  <si>
    <t>114107</t>
  </si>
  <si>
    <t>114134</t>
  </si>
  <si>
    <t>114156</t>
  </si>
  <si>
    <t>114182</t>
  </si>
  <si>
    <t>114206</t>
  </si>
  <si>
    <t>114239</t>
  </si>
  <si>
    <t>114258</t>
  </si>
  <si>
    <t>114283</t>
  </si>
  <si>
    <t>114308</t>
  </si>
  <si>
    <t>114333</t>
  </si>
  <si>
    <t>114361</t>
  </si>
  <si>
    <t>114383</t>
  </si>
  <si>
    <t>114405</t>
  </si>
  <si>
    <t>114430</t>
  </si>
  <si>
    <t>114455</t>
  </si>
  <si>
    <t>114479</t>
  </si>
  <si>
    <t>114505</t>
  </si>
  <si>
    <t>114528</t>
  </si>
  <si>
    <t>114551</t>
  </si>
  <si>
    <t>114575</t>
  </si>
  <si>
    <t>114599</t>
  </si>
  <si>
    <t>114621</t>
  </si>
  <si>
    <t>114649</t>
  </si>
  <si>
    <t>114671</t>
  </si>
  <si>
    <t>114693</t>
  </si>
  <si>
    <t>114715</t>
  </si>
  <si>
    <t>114746</t>
  </si>
  <si>
    <t>114763</t>
  </si>
  <si>
    <t>114787</t>
  </si>
  <si>
    <t>114811</t>
  </si>
  <si>
    <t>114833</t>
  </si>
  <si>
    <t>52178</t>
  </si>
  <si>
    <t>52185</t>
  </si>
  <si>
    <t>52191</t>
  </si>
  <si>
    <t>52199</t>
  </si>
  <si>
    <t>52206</t>
  </si>
  <si>
    <t>52214</t>
  </si>
  <si>
    <t>52221</t>
  </si>
  <si>
    <t>52228</t>
  </si>
  <si>
    <t>52236</t>
  </si>
  <si>
    <t>52244</t>
  </si>
  <si>
    <t>52252</t>
  </si>
  <si>
    <t>52258</t>
  </si>
  <si>
    <t>52265</t>
  </si>
  <si>
    <t>52272</t>
  </si>
  <si>
    <t>52279</t>
  </si>
  <si>
    <t>52286</t>
  </si>
  <si>
    <t>52294</t>
  </si>
  <si>
    <t>52300</t>
  </si>
  <si>
    <t>52307</t>
  </si>
  <si>
    <t>52314</t>
  </si>
  <si>
    <t>52322</t>
  </si>
  <si>
    <t>52330</t>
  </si>
  <si>
    <t>52338</t>
  </si>
  <si>
    <t>52345</t>
  </si>
  <si>
    <t>52351</t>
  </si>
  <si>
    <t>52359</t>
  </si>
  <si>
    <t>52367</t>
  </si>
  <si>
    <t>52374</t>
  </si>
  <si>
    <t>52382</t>
  </si>
  <si>
    <t>52390</t>
  </si>
  <si>
    <t>52398</t>
  </si>
  <si>
    <t>339564</t>
  </si>
  <si>
    <t>339612</t>
  </si>
  <si>
    <t>339652</t>
  </si>
  <si>
    <t>339701</t>
  </si>
  <si>
    <t>339744</t>
  </si>
  <si>
    <t>339801</t>
  </si>
  <si>
    <t>339836</t>
  </si>
  <si>
    <t>339881</t>
  </si>
  <si>
    <t>339926</t>
  </si>
  <si>
    <t>339972</t>
  </si>
  <si>
    <t>340023</t>
  </si>
  <si>
    <t>340063</t>
  </si>
  <si>
    <t>340108</t>
  </si>
  <si>
    <t>340154</t>
  </si>
  <si>
    <t>340199</t>
  </si>
  <si>
    <t>340244</t>
  </si>
  <si>
    <t>340293</t>
  </si>
  <si>
    <t>340335</t>
  </si>
  <si>
    <t>340379</t>
  </si>
  <si>
    <t>340423</t>
  </si>
  <si>
    <t>340470</t>
  </si>
  <si>
    <t>340515</t>
  </si>
  <si>
    <t>340569</t>
  </si>
  <si>
    <t>340611</t>
  </si>
  <si>
    <t>340655</t>
  </si>
  <si>
    <t>340698</t>
  </si>
  <si>
    <t>340740</t>
  </si>
  <si>
    <t>340790</t>
  </si>
  <si>
    <t>340836</t>
  </si>
  <si>
    <t>340882</t>
  </si>
  <si>
    <t>340928</t>
  </si>
  <si>
    <t>43972</t>
  </si>
  <si>
    <t>43983</t>
  </si>
  <si>
    <t>43993</t>
  </si>
  <si>
    <t>44005</t>
  </si>
  <si>
    <t>44016</t>
  </si>
  <si>
    <t>44028</t>
  </si>
  <si>
    <t>44036</t>
  </si>
  <si>
    <t>44047</t>
  </si>
  <si>
    <t>44057</t>
  </si>
  <si>
    <t>44067</t>
  </si>
  <si>
    <t>44078</t>
  </si>
  <si>
    <t>44087</t>
  </si>
  <si>
    <t>44097</t>
  </si>
  <si>
    <t>44107</t>
  </si>
  <si>
    <t>44119</t>
  </si>
  <si>
    <t>44131</t>
  </si>
  <si>
    <t>44143</t>
  </si>
  <si>
    <t>44155</t>
  </si>
  <si>
    <t>44165</t>
  </si>
  <si>
    <t>44176</t>
  </si>
  <si>
    <t>44188</t>
  </si>
  <si>
    <t>44200</t>
  </si>
  <si>
    <t>44214</t>
  </si>
  <si>
    <t>44225</t>
  </si>
  <si>
    <t>44237</t>
  </si>
  <si>
    <t>44250</t>
  </si>
  <si>
    <t>44268</t>
  </si>
  <si>
    <t>44274</t>
  </si>
  <si>
    <t>44286</t>
  </si>
  <si>
    <t>44298</t>
  </si>
  <si>
    <t>44311</t>
  </si>
  <si>
    <t>0125</t>
  </si>
  <si>
    <t>86666</t>
  </si>
  <si>
    <t>86674</t>
  </si>
  <si>
    <t>86682</t>
  </si>
  <si>
    <t>86692</t>
  </si>
  <si>
    <t>86700</t>
  </si>
  <si>
    <t>86712</t>
  </si>
  <si>
    <t>86719</t>
  </si>
  <si>
    <t>86728</t>
  </si>
  <si>
    <t>86737</t>
  </si>
  <si>
    <t>86746</t>
  </si>
  <si>
    <t>86757</t>
  </si>
  <si>
    <t>86764</t>
  </si>
  <si>
    <t>86774</t>
  </si>
  <si>
    <t>86783</t>
  </si>
  <si>
    <t>86795</t>
  </si>
  <si>
    <t>86801</t>
  </si>
  <si>
    <t>86811</t>
  </si>
  <si>
    <t>86820</t>
  </si>
  <si>
    <t>86828</t>
  </si>
  <si>
    <t>86837</t>
  </si>
  <si>
    <t>86849</t>
  </si>
  <si>
    <t>86856</t>
  </si>
  <si>
    <t>86867</t>
  </si>
  <si>
    <t>86876</t>
  </si>
  <si>
    <t>86884</t>
  </si>
  <si>
    <t>86893</t>
  </si>
  <si>
    <t>86903</t>
  </si>
  <si>
    <t>86912</t>
  </si>
  <si>
    <t>86921</t>
  </si>
  <si>
    <t>86930</t>
  </si>
  <si>
    <t>86939</t>
  </si>
  <si>
    <t>96843</t>
  </si>
  <si>
    <t>96945</t>
  </si>
  <si>
    <t>97034</t>
  </si>
  <si>
    <t>97132</t>
  </si>
  <si>
    <t>97219</t>
  </si>
  <si>
    <t>97344</t>
  </si>
  <si>
    <t>97417</t>
  </si>
  <si>
    <t>97514</t>
  </si>
  <si>
    <t>97610</t>
  </si>
  <si>
    <t>97706</t>
  </si>
  <si>
    <t>97814</t>
  </si>
  <si>
    <t>97895</t>
  </si>
  <si>
    <t>97992</t>
  </si>
  <si>
    <t>98092</t>
  </si>
  <si>
    <t>98219</t>
  </si>
  <si>
    <t>98286</t>
  </si>
  <si>
    <t>98391</t>
  </si>
  <si>
    <t>98484</t>
  </si>
  <si>
    <t>98576</t>
  </si>
  <si>
    <t>98674</t>
  </si>
  <si>
    <t>98803</t>
  </si>
  <si>
    <t>98879</t>
  </si>
  <si>
    <t>98997</t>
  </si>
  <si>
    <t>99091</t>
  </si>
  <si>
    <t>99184</t>
  </si>
  <si>
    <t>99274</t>
  </si>
  <si>
    <t>99377</t>
  </si>
  <si>
    <t>99480</t>
  </si>
  <si>
    <t>99580</t>
  </si>
  <si>
    <t>99679</t>
  </si>
  <si>
    <t>99777</t>
  </si>
  <si>
    <t>228450</t>
  </si>
  <si>
    <t>228551</t>
  </si>
  <si>
    <t>228632</t>
  </si>
  <si>
    <t>228721</t>
  </si>
  <si>
    <t>228920</t>
  </si>
  <si>
    <t>229316</t>
  </si>
  <si>
    <t>229570</t>
  </si>
  <si>
    <t>229855</t>
  </si>
  <si>
    <t>230149</t>
  </si>
  <si>
    <t>230433</t>
  </si>
  <si>
    <t>230757</t>
  </si>
  <si>
    <t>231037</t>
  </si>
  <si>
    <t>231354</t>
  </si>
  <si>
    <t>231657</t>
  </si>
  <si>
    <t>231928</t>
  </si>
  <si>
    <t>232201</t>
  </si>
  <si>
    <t>232496</t>
  </si>
  <si>
    <t>232810</t>
  </si>
  <si>
    <t>233107</t>
  </si>
  <si>
    <t>233420</t>
  </si>
  <si>
    <t>233734</t>
  </si>
  <si>
    <t>234026</t>
  </si>
  <si>
    <t>234349</t>
  </si>
  <si>
    <t>234598</t>
  </si>
  <si>
    <t>234868</t>
  </si>
  <si>
    <t>235175</t>
  </si>
  <si>
    <t>235379</t>
  </si>
  <si>
    <t>235851</t>
  </si>
  <si>
    <t>236150</t>
  </si>
  <si>
    <t>236445</t>
  </si>
  <si>
    <t>236728</t>
  </si>
  <si>
    <t>47332.26</t>
  </si>
  <si>
    <t>47356.95</t>
  </si>
  <si>
    <t>47379.81</t>
  </si>
  <si>
    <t>47402.70</t>
  </si>
  <si>
    <t>47425.74</t>
  </si>
  <si>
    <t>47463.78</t>
  </si>
  <si>
    <t>47496.62</t>
  </si>
  <si>
    <t>47520.62</t>
  </si>
  <si>
    <t>47549.16</t>
  </si>
  <si>
    <t>47584.91</t>
  </si>
  <si>
    <t>47616.71</t>
  </si>
  <si>
    <t>47643.09</t>
  </si>
  <si>
    <t>47673.42</t>
  </si>
  <si>
    <t>47709.13</t>
  </si>
  <si>
    <t>47734.74</t>
  </si>
  <si>
    <t>47759.21</t>
  </si>
  <si>
    <t>47785.61</t>
  </si>
  <si>
    <t>47820.43</t>
  </si>
  <si>
    <t>47850.49</t>
  </si>
  <si>
    <t>47893.02</t>
  </si>
  <si>
    <t>47910.40</t>
  </si>
  <si>
    <t>47935.04</t>
  </si>
  <si>
    <t>47959.19</t>
  </si>
  <si>
    <t>47985.84</t>
  </si>
  <si>
    <t>48017.29</t>
  </si>
  <si>
    <t>48048.56</t>
  </si>
  <si>
    <t>48076.45</t>
  </si>
  <si>
    <t>48129.06</t>
  </si>
  <si>
    <t>48161.55</t>
  </si>
  <si>
    <t>48201.06</t>
  </si>
  <si>
    <t>48237.74</t>
  </si>
  <si>
    <t>8580</t>
  </si>
  <si>
    <t>8581</t>
  </si>
  <si>
    <t>8582</t>
  </si>
  <si>
    <t>8583</t>
  </si>
  <si>
    <t>8584</t>
  </si>
  <si>
    <t>8585</t>
  </si>
  <si>
    <t>8586</t>
  </si>
  <si>
    <t>125422.16</t>
  </si>
  <si>
    <t>125466.38</t>
  </si>
  <si>
    <t>125514.74</t>
  </si>
  <si>
    <t>125545.38</t>
  </si>
  <si>
    <t>125582.44</t>
  </si>
  <si>
    <t>125636.90</t>
  </si>
  <si>
    <t>125671.42</t>
  </si>
  <si>
    <t>125715.12</t>
  </si>
  <si>
    <t>125755.92</t>
  </si>
  <si>
    <t>125797.08</t>
  </si>
  <si>
    <t>125842.32</t>
  </si>
  <si>
    <t>125877.42</t>
  </si>
  <si>
    <t>125907.20</t>
  </si>
  <si>
    <t>125949.58</t>
  </si>
  <si>
    <t>125995.82</t>
  </si>
  <si>
    <t>126039.50</t>
  </si>
  <si>
    <t>126081.58</t>
  </si>
  <si>
    <t>126115.22</t>
  </si>
  <si>
    <t>126148.62</t>
  </si>
  <si>
    <t>126185.80</t>
  </si>
  <si>
    <t>126236.84</t>
  </si>
  <si>
    <t>126275.42</t>
  </si>
  <si>
    <t>126305.52</t>
  </si>
  <si>
    <t>126339.98</t>
  </si>
  <si>
    <t>126372.62</t>
  </si>
  <si>
    <t>126406.18</t>
  </si>
  <si>
    <t>126448.32</t>
  </si>
  <si>
    <t>126484.68</t>
  </si>
  <si>
    <t>126524.98</t>
  </si>
  <si>
    <t>126563.44</t>
  </si>
  <si>
    <t>126596.62</t>
  </si>
  <si>
    <t>43370.81</t>
  </si>
  <si>
    <t>43382.49</t>
  </si>
  <si>
    <t>43395.49</t>
  </si>
  <si>
    <t>43403.19</t>
  </si>
  <si>
    <t>43411.55</t>
  </si>
  <si>
    <t>43425.19</t>
  </si>
  <si>
    <t>43436.31</t>
  </si>
  <si>
    <t>43447.75</t>
  </si>
  <si>
    <t>43458.69</t>
  </si>
  <si>
    <t>43469.23</t>
  </si>
  <si>
    <t>43481.35</t>
  </si>
  <si>
    <t>43489.69</t>
  </si>
  <si>
    <t>43497.69</t>
  </si>
  <si>
    <t>43508.79</t>
  </si>
  <si>
    <t>43522.05</t>
  </si>
  <si>
    <t>43533.69</t>
  </si>
  <si>
    <t>43543.43</t>
  </si>
  <si>
    <t>43550.45</t>
  </si>
  <si>
    <t>43557.11</t>
  </si>
  <si>
    <t>43564.37</t>
  </si>
  <si>
    <t>43576.61</t>
  </si>
  <si>
    <t>43585.57</t>
  </si>
  <si>
    <t>43591.69</t>
  </si>
  <si>
    <t>43599.07</t>
  </si>
  <si>
    <t>43606.01</t>
  </si>
  <si>
    <t>43612.37</t>
  </si>
  <si>
    <t>43619.24</t>
  </si>
  <si>
    <t>43629.63</t>
  </si>
  <si>
    <t>43638.71</t>
  </si>
  <si>
    <t>43647.35</t>
  </si>
  <si>
    <t>43653.83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</si>
</sst>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/d/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3"/>
      <name val="Arial"/>
      <family val="2"/>
    </font>
    <font>
      <sz val="11"/>
      <color theme="3"/>
      <name val="Calibri"/>
      <family val="2"/>
      <scheme val="minor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9" fillId="0" borderId="0"/>
  </cellStyleXfs>
  <cellXfs count="49">
    <xf numFmtId="0" fontId="0" fillId="0" borderId="0" xfId="0"/>
    <xf numFmtId="1" fontId="0" fillId="0" borderId="0" xfId="0" applyNumberFormat="1"/>
    <xf numFmtId="0" fontId="1" fillId="0" borderId="0" xfId="0" applyFont="1" applyAlignment="1">
      <alignment wrapText="1"/>
    </xf>
    <xf numFmtId="0" fontId="1" fillId="0" borderId="0" xfId="0" applyFont="1"/>
    <xf numFmtId="0" fontId="3" fillId="0" borderId="0" xfId="0" applyFont="1"/>
    <xf numFmtId="0" fontId="4" fillId="0" borderId="0" xfId="0" applyFont="1"/>
    <xf numFmtId="1" fontId="3" fillId="0" borderId="0" xfId="0" applyNumberFormat="1" applyFont="1"/>
    <xf numFmtId="1" fontId="2" fillId="0" borderId="0" xfId="0" applyNumberFormat="1" applyFont="1"/>
    <xf numFmtId="49" fontId="7" fillId="0" borderId="0" xfId="0" applyNumberFormat="1" applyFont="1"/>
    <xf numFmtId="49" fontId="7" fillId="0" borderId="0" xfId="0" applyNumberFormat="1" applyFont="1" applyAlignment="1">
      <alignment horizontal="center"/>
    </xf>
    <xf numFmtId="49" fontId="8" fillId="0" borderId="0" xfId="0" applyNumberFormat="1" applyFont="1" applyAlignment="1">
      <alignment horizontal="center"/>
    </xf>
    <xf numFmtId="49" fontId="8" fillId="0" borderId="0" xfId="0" applyNumberFormat="1" applyFont="1" applyAlignment="1">
      <alignment horizontal="center" vertical="center"/>
    </xf>
    <xf numFmtId="49" fontId="8" fillId="0" borderId="0" xfId="0" applyNumberFormat="1" applyFont="1"/>
    <xf numFmtId="164" fontId="8" fillId="0" borderId="1" xfId="0" applyNumberFormat="1" applyFont="1" applyBorder="1" applyAlignment="1">
      <alignment horizontal="center"/>
    </xf>
    <xf numFmtId="164" fontId="8" fillId="0" borderId="1" xfId="0" applyNumberFormat="1" applyFont="1" applyBorder="1" applyAlignment="1">
      <alignment horizontal="center" vertical="center"/>
    </xf>
    <xf numFmtId="49" fontId="8" fillId="0" borderId="1" xfId="0" applyNumberFormat="1" applyFont="1" applyBorder="1" applyAlignment="1">
      <alignment horizontal="left" vertical="center"/>
    </xf>
    <xf numFmtId="49" fontId="8" fillId="0" borderId="1" xfId="0" applyNumberFormat="1" applyFont="1" applyFill="1" applyBorder="1" applyAlignment="1">
      <alignment horizontal="left" vertical="center"/>
    </xf>
    <xf numFmtId="49" fontId="8" fillId="0" borderId="1" xfId="0" applyNumberFormat="1" applyFont="1" applyBorder="1" applyAlignment="1">
      <alignment horizontal="left" vertical="center" wrapText="1"/>
    </xf>
    <xf numFmtId="49" fontId="8" fillId="0" borderId="2" xfId="0" applyNumberFormat="1" applyFont="1" applyBorder="1" applyAlignment="1">
      <alignment horizontal="center" vertical="center" wrapText="1"/>
    </xf>
    <xf numFmtId="164" fontId="8" fillId="2" borderId="1" xfId="0" applyNumberFormat="1" applyFont="1" applyFill="1" applyBorder="1" applyAlignment="1">
      <alignment horizontal="center"/>
    </xf>
    <xf numFmtId="1" fontId="3" fillId="0" borderId="0" xfId="0" applyNumberFormat="1" applyFont="1" applyAlignment="1">
      <alignment horizontal="center"/>
    </xf>
    <xf numFmtId="1" fontId="1" fillId="0" borderId="0" xfId="0" applyNumberFormat="1" applyFont="1" applyBorder="1" applyAlignment="1">
      <alignment horizontal="center" wrapText="1"/>
    </xf>
    <xf numFmtId="0" fontId="6" fillId="0" borderId="0" xfId="0" applyFont="1" applyBorder="1" applyAlignment="1">
      <alignment horizontal="center" wrapText="1"/>
    </xf>
    <xf numFmtId="49" fontId="0" fillId="0" borderId="0" xfId="0" applyNumberFormat="1"/>
    <xf numFmtId="2" fontId="8" fillId="0" borderId="1" xfId="0" applyNumberFormat="1" applyFont="1" applyBorder="1" applyAlignment="1">
      <alignment horizontal="center" vertical="center"/>
    </xf>
    <xf numFmtId="2" fontId="8" fillId="0" borderId="1" xfId="0" applyNumberFormat="1" applyFont="1" applyBorder="1" applyAlignment="1">
      <alignment horizontal="center"/>
    </xf>
    <xf numFmtId="2" fontId="8" fillId="0" borderId="1" xfId="0" applyNumberFormat="1" applyFont="1" applyFill="1" applyBorder="1" applyAlignment="1">
      <alignment horizontal="center" vertical="center"/>
    </xf>
    <xf numFmtId="2" fontId="8" fillId="0" borderId="1" xfId="0" applyNumberFormat="1" applyFont="1" applyBorder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49" fontId="8" fillId="0" borderId="1" xfId="0" applyNumberFormat="1" applyFont="1" applyBorder="1" applyAlignment="1">
      <alignment horizontal="center" vertical="center" wrapText="1"/>
    </xf>
    <xf numFmtId="49" fontId="8" fillId="0" borderId="1" xfId="0" applyNumberFormat="1" applyFont="1" applyBorder="1" applyAlignment="1">
      <alignment horizontal="center"/>
    </xf>
    <xf numFmtId="49" fontId="8" fillId="0" borderId="1" xfId="0" applyNumberFormat="1" applyFont="1" applyBorder="1" applyAlignment="1">
      <alignment horizontal="center" vertical="center"/>
    </xf>
    <xf numFmtId="49" fontId="8" fillId="0" borderId="1" xfId="0" applyNumberFormat="1" applyFont="1" applyFill="1" applyBorder="1" applyAlignment="1">
      <alignment horizontal="center" vertical="center"/>
    </xf>
    <xf numFmtId="2" fontId="5" fillId="0" borderId="0" xfId="0" applyNumberFormat="1" applyFont="1" applyAlignment="1">
      <alignment horizontal="center"/>
    </xf>
    <xf numFmtId="49" fontId="8" fillId="0" borderId="1" xfId="0" applyNumberFormat="1" applyFont="1" applyBorder="1" applyAlignment="1">
      <alignment horizontal="center" vertical="center" wrapText="1"/>
    </xf>
    <xf numFmtId="49" fontId="8" fillId="0" borderId="2" xfId="0" applyNumberFormat="1" applyFont="1" applyBorder="1" applyAlignment="1">
      <alignment horizontal="center" wrapText="1"/>
    </xf>
    <xf numFmtId="49" fontId="8" fillId="0" borderId="3" xfId="0" applyNumberFormat="1" applyFont="1" applyBorder="1" applyAlignment="1">
      <alignment horizontal="center" wrapText="1"/>
    </xf>
    <xf numFmtId="49" fontId="0" fillId="0" borderId="3" xfId="0" applyNumberFormat="1" applyBorder="1" applyAlignment="1">
      <alignment horizontal="center"/>
    </xf>
    <xf numFmtId="0" fontId="0" fillId="0" borderId="3" xfId="0" applyBorder="1" applyAlignment="1"/>
    <xf numFmtId="0" fontId="0" fillId="0" borderId="4" xfId="0" applyBorder="1" applyAlignment="1"/>
    <xf numFmtId="0" fontId="1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49" fontId="0" fillId="0" borderId="0" xfId="0" applyNumberFormat="1" applyAlignment="1">
      <alignment horizontal="center"/>
    </xf>
    <xf numFmtId="1" fontId="1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1" fontId="0" fillId="0" borderId="0" xfId="0" applyNumberFormat="1" applyAlignment="1">
      <alignment horizontal="center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2"/>
  <sheetViews>
    <sheetView zoomScale="130" zoomScaleNormal="130" workbookViewId="0">
      <selection activeCell="D6" sqref="D6"/>
    </sheetView>
  </sheetViews>
  <sheetFormatPr defaultColWidth="11.5703125" defaultRowHeight="15" x14ac:dyDescent="0.25"/>
  <cols>
    <col min="2" max="4" width="10.28515625" style="30" customWidth="1"/>
    <col min="5" max="5" width="11.42578125" style="7" customWidth="1"/>
    <col min="6" max="6" width="11.28515625" customWidth="1"/>
    <col min="7" max="7" width="13" style="1" customWidth="1"/>
    <col min="11" max="11" width="13.28515625" bestFit="1" customWidth="1"/>
    <col min="13" max="13" width="7.7109375" style="30" customWidth="1"/>
    <col min="14" max="14" width="8.28515625" style="30" customWidth="1"/>
  </cols>
  <sheetData>
    <row r="1" spans="1:14" s="3" customFormat="1" ht="60" x14ac:dyDescent="0.25">
      <c r="A1" s="3" t="s">
        <v>0</v>
      </c>
      <c r="B1" s="42" t="s">
        <v>1</v>
      </c>
      <c r="C1" s="42" t="s">
        <v>2</v>
      </c>
      <c r="D1" s="42" t="s">
        <v>3</v>
      </c>
      <c r="E1" s="21" t="s">
        <v>4</v>
      </c>
      <c r="F1" s="22" t="s">
        <v>9</v>
      </c>
      <c r="G1" s="21" t="s">
        <v>5</v>
      </c>
      <c r="H1" s="22" t="s">
        <v>10</v>
      </c>
      <c r="I1" s="21" t="s">
        <v>6</v>
      </c>
      <c r="J1" s="22" t="s">
        <v>11</v>
      </c>
      <c r="K1" s="21" t="s">
        <v>29</v>
      </c>
      <c r="L1" s="22" t="s">
        <v>30</v>
      </c>
      <c r="M1" s="28" t="s">
        <v>7</v>
      </c>
      <c r="N1" s="28" t="s">
        <v>8</v>
      </c>
    </row>
    <row r="2" spans="1:14" s="4" customFormat="1" ht="12.75" x14ac:dyDescent="0.2">
      <c r="A2" s="4" t="s">
        <v>12</v>
      </c>
      <c r="B2" s="29">
        <v>1</v>
      </c>
      <c r="C2" s="43">
        <v>3</v>
      </c>
      <c r="D2" s="29">
        <v>2021</v>
      </c>
      <c r="E2" s="20">
        <f>IF('Submetering '!E3+'Submetering '!F3+'Submetering '!G3+'Submetering '!H3+'Submetering '!I3+'Submetering '!J3+'Submetering '!K3+'Submetering '!L3&gt;0,'Submetering '!E3+'Submetering '!F3+'Submetering '!G3+'Submetering '!H3+'Submetering '!I3+'Submetering '!J3+'Submetering '!K3+'Submetering '!L3,0)</f>
        <v>222</v>
      </c>
      <c r="F2" s="35">
        <v>9.5807779476850846E-2</v>
      </c>
      <c r="G2" s="20">
        <f>IF(('Submetering '!M3)*2.8&gt;0,('Submetering '!M3)*2.8,0)</f>
        <v>282.79999999999995</v>
      </c>
      <c r="H2" s="35">
        <v>0.26031906152294881</v>
      </c>
      <c r="I2" s="20">
        <f>IF(('Submetering '!N3+'Submetering '!O3)*2.83&gt;0,('Submetering '!N3+'Submetering '!O3)*2.83,0)</f>
        <v>64.241000000012363</v>
      </c>
      <c r="J2" s="35">
        <v>7.5929284521204163</v>
      </c>
      <c r="K2" s="20">
        <f>IF(('Submetering '!P3+'Submetering '!Q3)*346.26&gt;0,('Submetering '!P3+'Submetering '!Q3)*346.26,0)</f>
        <v>17146.795199998891</v>
      </c>
      <c r="L2" s="35">
        <v>8.940263259482413E-2</v>
      </c>
      <c r="M2" s="29">
        <v>11</v>
      </c>
      <c r="N2" s="29">
        <v>21</v>
      </c>
    </row>
    <row r="3" spans="1:14" s="5" customFormat="1" x14ac:dyDescent="0.25">
      <c r="A3" s="4" t="s">
        <v>12</v>
      </c>
      <c r="B3" s="44">
        <f>B2+1</f>
        <v>2</v>
      </c>
      <c r="C3" s="43">
        <v>3</v>
      </c>
      <c r="D3" s="29">
        <v>2021</v>
      </c>
      <c r="E3" s="20">
        <f>IF('Submetering '!E4+'Submetering '!F4+'Submetering '!G4+'Submetering '!H4+'Submetering '!I4+'Submetering '!J4+'Submetering '!K4+'Submetering '!L4&gt;0,'Submetering '!E4+'Submetering '!F4+'Submetering '!G4+'Submetering '!H4+'Submetering '!I4+'Submetering '!J4+'Submetering '!K4+'Submetering '!L4,0)</f>
        <v>215</v>
      </c>
      <c r="F3" s="35">
        <v>9.5807779476850846E-2</v>
      </c>
      <c r="G3" s="20">
        <f>IF(('Submetering '!M4)*2.8&gt;0,('Submetering '!M4)*2.8,0)</f>
        <v>282.79999999999995</v>
      </c>
      <c r="H3" s="35">
        <v>0.26031906152294881</v>
      </c>
      <c r="I3" s="20">
        <f>IF(('Submetering '!N4+'Submetering '!O4)*2.83&gt;0,('Submetering '!N4+'Submetering '!O4)*2.83,0)</f>
        <v>72.702699999985995</v>
      </c>
      <c r="J3" s="35">
        <v>7.5929284521204163</v>
      </c>
      <c r="K3" s="20">
        <f>IF(('Submetering '!P4+'Submetering '!Q4)*346.26&gt;0,('Submetering '!P4+'Submetering '!Q4)*346.26,0)</f>
        <v>19355.934000000503</v>
      </c>
      <c r="L3" s="35">
        <v>8.940263259482413E-2</v>
      </c>
      <c r="M3" s="29">
        <v>10</v>
      </c>
      <c r="N3" s="29">
        <v>17</v>
      </c>
    </row>
    <row r="4" spans="1:14" s="5" customFormat="1" x14ac:dyDescent="0.25">
      <c r="A4" s="4" t="s">
        <v>12</v>
      </c>
      <c r="B4" s="44">
        <f t="shared" ref="B4:B32" si="0">B3+1</f>
        <v>3</v>
      </c>
      <c r="C4" s="43">
        <v>3</v>
      </c>
      <c r="D4" s="29">
        <v>2021</v>
      </c>
      <c r="E4" s="20">
        <f>IF('Submetering '!E5+'Submetering '!F5+'Submetering '!G5+'Submetering '!H5+'Submetering '!I5+'Submetering '!J5+'Submetering '!K5+'Submetering '!L5&gt;0,'Submetering '!E5+'Submetering '!F5+'Submetering '!G5+'Submetering '!H5+'Submetering '!I5+'Submetering '!J5+'Submetering '!K5+'Submetering '!L5,0)</f>
        <v>185</v>
      </c>
      <c r="F4" s="35">
        <v>9.5807779476850846E-2</v>
      </c>
      <c r="G4" s="20">
        <f>IF(('Submetering '!M5)*2.8&gt;0,('Submetering '!M5)*2.8,0)</f>
        <v>226.79999999999998</v>
      </c>
      <c r="H4" s="35">
        <v>0.26031906152294881</v>
      </c>
      <c r="I4" s="20">
        <f>IF(('Submetering '!N5+'Submetering '!O5)*2.83&gt;0,('Submetering '!N5+'Submetering '!O5)*2.83,0)</f>
        <v>64.693800000001644</v>
      </c>
      <c r="J4" s="35">
        <v>7.5929284521204163</v>
      </c>
      <c r="K4" s="20">
        <f>IF(('Submetering '!P5+'Submetering '!Q5)*346.26&gt;0,('Submetering '!P5+'Submetering '!Q5)*346.26,0)</f>
        <v>21246.513600000202</v>
      </c>
      <c r="L4" s="35">
        <v>8.940263259482413E-2</v>
      </c>
      <c r="M4" s="29">
        <v>11</v>
      </c>
      <c r="N4" s="29">
        <v>18</v>
      </c>
    </row>
    <row r="5" spans="1:14" s="5" customFormat="1" x14ac:dyDescent="0.25">
      <c r="A5" s="4" t="s">
        <v>12</v>
      </c>
      <c r="B5" s="44">
        <f t="shared" si="0"/>
        <v>4</v>
      </c>
      <c r="C5" s="43">
        <v>3</v>
      </c>
      <c r="D5" s="29">
        <v>2021</v>
      </c>
      <c r="E5" s="20">
        <f>IF('Submetering '!E6+'Submetering '!F6+'Submetering '!G6+'Submetering '!H6+'Submetering '!I6+'Submetering '!J6+'Submetering '!K6+'Submetering '!L6&gt;0,'Submetering '!E6+'Submetering '!F6+'Submetering '!G6+'Submetering '!H6+'Submetering '!I6+'Submetering '!J6+'Submetering '!K6+'Submetering '!L6,0)</f>
        <v>216</v>
      </c>
      <c r="F5" s="35">
        <v>9.5807779476850846E-2</v>
      </c>
      <c r="G5" s="20">
        <f>IF(('Submetering '!M6)*2.8&gt;0,('Submetering '!M6)*2.8,0)</f>
        <v>249.2</v>
      </c>
      <c r="H5" s="35">
        <v>0.26031906152294881</v>
      </c>
      <c r="I5" s="20">
        <f>IF(('Submetering '!N6+'Submetering '!O6)*2.83&gt;0,('Submetering '!N6+'Submetering '!O6)*2.83,0)</f>
        <v>64.778699999998352</v>
      </c>
      <c r="J5" s="35">
        <v>7.5929284521204163</v>
      </c>
      <c r="K5" s="20">
        <f>IF(('Submetering '!P6+'Submetering '!Q6)*346.26&gt;0,('Submetering '!P6+'Submetering '!Q6)*346.26,0)</f>
        <v>13275.608400001309</v>
      </c>
      <c r="L5" s="35">
        <v>8.940263259482413E-2</v>
      </c>
      <c r="M5" s="29">
        <v>13</v>
      </c>
      <c r="N5" s="29">
        <v>24</v>
      </c>
    </row>
    <row r="6" spans="1:14" s="5" customFormat="1" x14ac:dyDescent="0.25">
      <c r="A6" s="4" t="s">
        <v>12</v>
      </c>
      <c r="B6" s="44">
        <f t="shared" si="0"/>
        <v>5</v>
      </c>
      <c r="C6" s="43">
        <v>3</v>
      </c>
      <c r="D6" s="29">
        <v>2021</v>
      </c>
      <c r="E6" s="20">
        <f>IF('Submetering '!E7+'Submetering '!F7+'Submetering '!G7+'Submetering '!H7+'Submetering '!I7+'Submetering '!J7+'Submetering '!K7+'Submetering '!L7&gt;0,'Submetering '!E7+'Submetering '!F7+'Submetering '!G7+'Submetering '!H7+'Submetering '!I7+'Submetering '!J7+'Submetering '!K7+'Submetering '!L7,0)</f>
        <v>192</v>
      </c>
      <c r="F6" s="35">
        <v>9.5807779476850846E-2</v>
      </c>
      <c r="G6" s="20">
        <f>IF(('Submetering '!M7)*2.8&gt;0,('Submetering '!M7)*2.8,0)</f>
        <v>557.19999999999993</v>
      </c>
      <c r="H6" s="35">
        <v>0.26031906152294881</v>
      </c>
      <c r="I6" s="20">
        <f>IF(('Submetering '!N7+'Submetering '!O7)*2.83&gt;0,('Submetering '!N7+'Submetering '!O7)*2.83,0)</f>
        <v>65.203200000002468</v>
      </c>
      <c r="J6" s="35">
        <v>7.5929284521204163</v>
      </c>
      <c r="K6" s="20">
        <f>IF(('Submetering '!P7+'Submetering '!Q7)*346.26&gt;0,('Submetering '!P7+'Submetering '!Q7)*346.26,0)</f>
        <v>15727.129199999395</v>
      </c>
      <c r="L6" s="35">
        <v>8.940263259482413E-2</v>
      </c>
      <c r="M6" s="29">
        <v>29</v>
      </c>
      <c r="N6" s="29">
        <v>62</v>
      </c>
    </row>
    <row r="7" spans="1:14" s="5" customFormat="1" x14ac:dyDescent="0.25">
      <c r="A7" s="4" t="s">
        <v>12</v>
      </c>
      <c r="B7" s="44">
        <f t="shared" si="0"/>
        <v>6</v>
      </c>
      <c r="C7" s="43">
        <v>3</v>
      </c>
      <c r="D7" s="29">
        <v>2021</v>
      </c>
      <c r="E7" s="20">
        <f>IF('Submetering '!E8+'Submetering '!F8+'Submetering '!G8+'Submetering '!H8+'Submetering '!I8+'Submetering '!J8+'Submetering '!K8+'Submetering '!L8&gt;0,'Submetering '!E8+'Submetering '!F8+'Submetering '!G8+'Submetering '!H8+'Submetering '!I8+'Submetering '!J8+'Submetering '!K8+'Submetering '!L8,0)</f>
        <v>262</v>
      </c>
      <c r="F7" s="35">
        <v>9.5807779476850846E-2</v>
      </c>
      <c r="G7" s="20">
        <f>IF(('Submetering '!M8)*2.8&gt;0,('Submetering '!M8)*2.8,0)</f>
        <v>1108.8</v>
      </c>
      <c r="H7" s="35">
        <v>0.26031906152294881</v>
      </c>
      <c r="I7" s="20">
        <f>IF(('Submetering '!N8+'Submetering '!O8)*2.83&gt;0,('Submetering '!N8+'Submetering '!O8)*2.83,0)</f>
        <v>110.48320000000247</v>
      </c>
      <c r="J7" s="35">
        <v>7.5929284521204163</v>
      </c>
      <c r="K7" s="20">
        <f>IF(('Submetering '!P8+'Submetering '!Q8)*346.26&gt;0,('Submetering '!P8+'Submetering '!Q8)*346.26,0)</f>
        <v>23580.305999996977</v>
      </c>
      <c r="L7" s="35">
        <v>8.940263259482413E-2</v>
      </c>
      <c r="M7" s="29">
        <v>38</v>
      </c>
      <c r="N7" s="29">
        <v>85</v>
      </c>
    </row>
    <row r="8" spans="1:14" s="5" customFormat="1" x14ac:dyDescent="0.25">
      <c r="A8" s="4" t="s">
        <v>12</v>
      </c>
      <c r="B8" s="44">
        <f t="shared" si="0"/>
        <v>7</v>
      </c>
      <c r="C8" s="43">
        <v>3</v>
      </c>
      <c r="D8" s="29">
        <v>2021</v>
      </c>
      <c r="E8" s="20">
        <f>IF('Submetering '!E9+'Submetering '!F9+'Submetering '!G9+'Submetering '!H9+'Submetering '!I9+'Submetering '!J9+'Submetering '!K9+'Submetering '!L9&gt;0,'Submetering '!E9+'Submetering '!F9+'Submetering '!G9+'Submetering '!H9+'Submetering '!I9+'Submetering '!J9+'Submetering '!K9+'Submetering '!L9,0)</f>
        <v>159</v>
      </c>
      <c r="F8" s="35">
        <v>9.5807779476850846E-2</v>
      </c>
      <c r="G8" s="20">
        <f>IF(('Submetering '!M9)*2.8&gt;0,('Submetering '!M9)*2.8,0)</f>
        <v>711.19999999999993</v>
      </c>
      <c r="H8" s="35">
        <v>0.26031906152294881</v>
      </c>
      <c r="I8" s="20">
        <f>IF(('Submetering '!N9+'Submetering '!O9)*2.83&gt;0,('Submetering '!N9+'Submetering '!O9)*2.83,0)</f>
        <v>92.937200000010705</v>
      </c>
      <c r="J8" s="35">
        <v>7.5929284521204163</v>
      </c>
      <c r="K8" s="20">
        <f>IF(('Submetering '!P9+'Submetering '!Q9)*346.26&gt;0,('Submetering '!P9+'Submetering '!Q9)*346.26,0)</f>
        <v>15803.306399999798</v>
      </c>
      <c r="L8" s="35">
        <v>8.940263259482413E-2</v>
      </c>
      <c r="M8" s="29">
        <v>15</v>
      </c>
      <c r="N8" s="29">
        <v>25</v>
      </c>
    </row>
    <row r="9" spans="1:14" s="5" customFormat="1" x14ac:dyDescent="0.25">
      <c r="A9" s="4" t="s">
        <v>12</v>
      </c>
      <c r="B9" s="44">
        <f t="shared" si="0"/>
        <v>8</v>
      </c>
      <c r="C9" s="43">
        <v>3</v>
      </c>
      <c r="D9" s="29">
        <v>2021</v>
      </c>
      <c r="E9" s="20">
        <f>IF('Submetering '!E10+'Submetering '!F10+'Submetering '!G10+'Submetering '!H10+'Submetering '!I10+'Submetering '!J10+'Submetering '!K10+'Submetering '!L10&gt;0,'Submetering '!E10+'Submetering '!F10+'Submetering '!G10+'Submetering '!H10+'Submetering '!I10+'Submetering '!J10+'Submetering '!K10+'Submetering '!L10,0)</f>
        <v>206</v>
      </c>
      <c r="F9" s="35">
        <v>9.5807779476850846E-2</v>
      </c>
      <c r="G9" s="20">
        <f>IF(('Submetering '!M10)*2.8&gt;0,('Submetering '!M10)*2.8,0)</f>
        <v>798</v>
      </c>
      <c r="H9" s="35">
        <v>0.26031906152294881</v>
      </c>
      <c r="I9" s="20">
        <f>IF(('Submetering '!N10+'Submetering '!O10)*2.83&gt;0,('Submetering '!N10+'Submetering '!O10)*2.83,0)</f>
        <v>67.92</v>
      </c>
      <c r="J9" s="35">
        <v>7.5929284521204163</v>
      </c>
      <c r="K9" s="20">
        <f>IF(('Submetering '!P10+'Submetering '!Q10)*346.26&gt;0,('Submetering '!P10+'Submetering '!Q10)*346.26,0)</f>
        <v>19092.776399999799</v>
      </c>
      <c r="L9" s="35">
        <v>8.940263259482413E-2</v>
      </c>
      <c r="M9" s="29">
        <v>6</v>
      </c>
      <c r="N9" s="29">
        <v>10</v>
      </c>
    </row>
    <row r="10" spans="1:14" s="5" customFormat="1" x14ac:dyDescent="0.25">
      <c r="A10" s="4" t="s">
        <v>12</v>
      </c>
      <c r="B10" s="44">
        <f t="shared" si="0"/>
        <v>9</v>
      </c>
      <c r="C10" s="43">
        <v>3</v>
      </c>
      <c r="D10" s="29">
        <v>2021</v>
      </c>
      <c r="E10" s="20">
        <f>IF('Submetering '!E11+'Submetering '!F11+'Submetering '!G11+'Submetering '!H11+'Submetering '!I11+'Submetering '!J11+'Submetering '!K11+'Submetering '!L11&gt;0,'Submetering '!E11+'Submetering '!F11+'Submetering '!G11+'Submetering '!H11+'Submetering '!I11+'Submetering '!J11+'Submetering '!K11+'Submetering '!L11,0)</f>
        <v>204</v>
      </c>
      <c r="F10" s="35">
        <v>9.5807779476850846E-2</v>
      </c>
      <c r="G10" s="20">
        <f>IF(('Submetering '!M11)*2.8&gt;0,('Submetering '!M11)*2.8,0)</f>
        <v>823.19999999999993</v>
      </c>
      <c r="H10" s="35">
        <v>0.26031906152294881</v>
      </c>
      <c r="I10" s="20">
        <f>IF(('Submetering '!N11+'Submetering '!O11)*2.83&gt;0,('Submetering '!N11+'Submetering '!O11)*2.83,0)</f>
        <v>80.76820000000248</v>
      </c>
      <c r="J10" s="35">
        <v>7.5929284521204163</v>
      </c>
      <c r="K10" s="20">
        <f>IF(('Submetering '!P11+'Submetering '!Q11)*346.26&gt;0,('Submetering '!P11+'Submetering '!Q11)*346.26,0)</f>
        <v>17915.492400001815</v>
      </c>
      <c r="L10" s="35">
        <v>8.940263259482413E-2</v>
      </c>
      <c r="M10" s="29">
        <v>7</v>
      </c>
      <c r="N10" s="29">
        <v>12</v>
      </c>
    </row>
    <row r="11" spans="1:14" s="5" customFormat="1" x14ac:dyDescent="0.25">
      <c r="A11" s="4" t="s">
        <v>12</v>
      </c>
      <c r="B11" s="44">
        <f t="shared" si="0"/>
        <v>10</v>
      </c>
      <c r="C11" s="43">
        <v>3</v>
      </c>
      <c r="D11" s="29">
        <v>2021</v>
      </c>
      <c r="E11" s="20">
        <f>IF('Submetering '!E12+'Submetering '!F12+'Submetering '!G12+'Submetering '!H12+'Submetering '!I12+'Submetering '!J12+'Submetering '!K12+'Submetering '!L12&gt;0,'Submetering '!E12+'Submetering '!F12+'Submetering '!G12+'Submetering '!H12+'Submetering '!I12+'Submetering '!J12+'Submetering '!K12+'Submetering '!L12,0)</f>
        <v>206</v>
      </c>
      <c r="F11" s="35">
        <v>9.5807779476850846E-2</v>
      </c>
      <c r="G11" s="20">
        <f>IF(('Submetering '!M12)*2.8&gt;0,('Submetering '!M12)*2.8,0)</f>
        <v>795.19999999999993</v>
      </c>
      <c r="H11" s="35">
        <v>0.26031906152294881</v>
      </c>
      <c r="I11" s="20">
        <f>IF(('Submetering '!N12+'Submetering '!O12)*2.83&gt;0,('Submetering '!N12+'Submetering '!O12)*2.83,0)</f>
        <v>104.0025</v>
      </c>
      <c r="J11" s="35">
        <v>7.5929284521204163</v>
      </c>
      <c r="K11" s="20">
        <f>IF(('Submetering '!P12+'Submetering '!Q12)*346.26&gt;0,('Submetering '!P12+'Submetering '!Q12)*346.26,0)</f>
        <v>17901.64200000151</v>
      </c>
      <c r="L11" s="35">
        <v>8.940263259482413E-2</v>
      </c>
      <c r="M11" s="29">
        <v>11</v>
      </c>
      <c r="N11" s="29">
        <v>15</v>
      </c>
    </row>
    <row r="12" spans="1:14" s="5" customFormat="1" x14ac:dyDescent="0.25">
      <c r="A12" s="4" t="s">
        <v>12</v>
      </c>
      <c r="B12" s="44">
        <f t="shared" si="0"/>
        <v>11</v>
      </c>
      <c r="C12" s="43">
        <v>3</v>
      </c>
      <c r="D12" s="29">
        <v>2021</v>
      </c>
      <c r="E12" s="20">
        <f>IF('Submetering '!E13+'Submetering '!F13+'Submetering '!G13+'Submetering '!H13+'Submetering '!I13+'Submetering '!J13+'Submetering '!K13+'Submetering '!L13&gt;0,'Submetering '!E13+'Submetering '!F13+'Submetering '!G13+'Submetering '!H13+'Submetering '!I13+'Submetering '!J13+'Submetering '!K13+'Submetering '!L13,0)</f>
        <v>231</v>
      </c>
      <c r="F12" s="35">
        <v>9.5807779476850846E-2</v>
      </c>
      <c r="G12" s="20">
        <f>IF(('Submetering '!M13)*2.8&gt;0,('Submetering '!M13)*2.8,0)</f>
        <v>907.19999999999993</v>
      </c>
      <c r="H12" s="35">
        <v>0.26031906152294881</v>
      </c>
      <c r="I12" s="20">
        <f>IF(('Submetering '!N13+'Submetering '!O13)*2.83&gt;0,('Submetering '!N13+'Submetering '!O13)*2.83,0)</f>
        <v>89.993999999987651</v>
      </c>
      <c r="J12" s="35">
        <v>7.5929284521204163</v>
      </c>
      <c r="K12" s="20">
        <f>IF(('Submetering '!P13+'Submetering '!Q13)*346.26&gt;0,('Submetering '!P13+'Submetering '!Q13)*346.26,0)</f>
        <v>19861.473600000201</v>
      </c>
      <c r="L12" s="35">
        <v>8.940263259482413E-2</v>
      </c>
      <c r="M12" s="29">
        <v>14</v>
      </c>
      <c r="N12" s="29">
        <v>25</v>
      </c>
    </row>
    <row r="13" spans="1:14" s="5" customFormat="1" x14ac:dyDescent="0.25">
      <c r="A13" s="4" t="s">
        <v>12</v>
      </c>
      <c r="B13" s="44">
        <f t="shared" si="0"/>
        <v>12</v>
      </c>
      <c r="C13" s="43">
        <v>3</v>
      </c>
      <c r="D13" s="29">
        <v>2021</v>
      </c>
      <c r="E13" s="20">
        <f>IF('Submetering '!E14+'Submetering '!F14+'Submetering '!G14+'Submetering '!H14+'Submetering '!I14+'Submetering '!J14+'Submetering '!K14+'Submetering '!L14&gt;0,'Submetering '!E14+'Submetering '!F14+'Submetering '!G14+'Submetering '!H14+'Submetering '!I14+'Submetering '!J14+'Submetering '!K14+'Submetering '!L14,0)</f>
        <v>176</v>
      </c>
      <c r="F13" s="35">
        <v>9.5807779476850846E-2</v>
      </c>
      <c r="G13" s="20">
        <f>IF(('Submetering '!M14)*2.8&gt;0,('Submetering '!M14)*2.8,0)</f>
        <v>784</v>
      </c>
      <c r="H13" s="35">
        <v>0.26031906152294881</v>
      </c>
      <c r="I13" s="20">
        <f>IF(('Submetering '!N14+'Submetering '!O14)*2.83&gt;0,('Submetering '!N14+'Submetering '!O14)*2.83,0)</f>
        <v>74.655399999992582</v>
      </c>
      <c r="J13" s="35">
        <v>7.5929284521204163</v>
      </c>
      <c r="K13" s="20">
        <f>IF(('Submetering '!P14+'Submetering '!Q14)*346.26&gt;0,('Submetering '!P14+'Submetering '!Q14)*346.26,0)</f>
        <v>15041.534399998287</v>
      </c>
      <c r="L13" s="35">
        <v>8.940263259482413E-2</v>
      </c>
      <c r="M13" s="29">
        <v>24</v>
      </c>
      <c r="N13" s="29">
        <v>48</v>
      </c>
    </row>
    <row r="14" spans="1:14" s="5" customFormat="1" x14ac:dyDescent="0.25">
      <c r="A14" s="4" t="s">
        <v>12</v>
      </c>
      <c r="B14" s="44">
        <f t="shared" si="0"/>
        <v>13</v>
      </c>
      <c r="C14" s="43">
        <v>3</v>
      </c>
      <c r="D14" s="29">
        <v>2021</v>
      </c>
      <c r="E14" s="20">
        <f>IF('Submetering '!E15+'Submetering '!F15+'Submetering '!G15+'Submetering '!H15+'Submetering '!I15+'Submetering '!J15+'Submetering '!K15+'Submetering '!L15&gt;0,'Submetering '!E15+'Submetering '!F15+'Submetering '!G15+'Submetering '!H15+'Submetering '!I15+'Submetering '!J15+'Submetering '!K15+'Submetering '!L15,0)</f>
        <v>204</v>
      </c>
      <c r="F14" s="35">
        <v>9.5807779476850846E-2</v>
      </c>
      <c r="G14" s="20">
        <f>IF(('Submetering '!M15)*2.8&gt;0,('Submetering '!M15)*2.8,0)</f>
        <v>887.59999999999991</v>
      </c>
      <c r="H14" s="35">
        <v>0.26031906152294881</v>
      </c>
      <c r="I14" s="20">
        <f>IF(('Submetering '!N15+'Submetering '!O15)*2.83&gt;0,('Submetering '!N15+'Submetering '!O15)*2.83,0)</f>
        <v>88.663900000004944</v>
      </c>
      <c r="J14" s="35">
        <v>7.5929284521204163</v>
      </c>
      <c r="K14" s="20">
        <f>IF(('Submetering '!P15+'Submetering '!Q15)*346.26&gt;0,('Submetering '!P15+'Submetering '!Q15)*346.26,0)</f>
        <v>13081.702799999597</v>
      </c>
      <c r="L14" s="35">
        <v>8.940263259482413E-2</v>
      </c>
      <c r="M14" s="29">
        <v>34</v>
      </c>
      <c r="N14" s="29">
        <v>73</v>
      </c>
    </row>
    <row r="15" spans="1:14" s="5" customFormat="1" x14ac:dyDescent="0.25">
      <c r="A15" s="4" t="s">
        <v>12</v>
      </c>
      <c r="B15" s="44">
        <f t="shared" si="0"/>
        <v>14</v>
      </c>
      <c r="C15" s="43">
        <v>3</v>
      </c>
      <c r="D15" s="29">
        <v>2021</v>
      </c>
      <c r="E15" s="20">
        <f>IF('Submetering '!E16+'Submetering '!F16+'Submetering '!G16+'Submetering '!H16+'Submetering '!I16+'Submetering '!J16+'Submetering '!K16+'Submetering '!L16&gt;0,'Submetering '!E16+'Submetering '!F16+'Submetering '!G16+'Submetering '!H16+'Submetering '!I16+'Submetering '!J16+'Submetering '!K16+'Submetering '!L16,0)</f>
        <v>209</v>
      </c>
      <c r="F15" s="35">
        <v>9.5807779476850846E-2</v>
      </c>
      <c r="G15" s="20">
        <f>IF(('Submetering '!M16)*2.8&gt;0,('Submetering '!M16)*2.8,0)</f>
        <v>848.4</v>
      </c>
      <c r="H15" s="35">
        <v>0.26031906152294881</v>
      </c>
      <c r="I15" s="20">
        <f>IF(('Submetering '!N16+'Submetering '!O16)*2.83&gt;0,('Submetering '!N16+'Submetering '!O16)*2.83,0)</f>
        <v>101.05929999999753</v>
      </c>
      <c r="J15" s="35">
        <v>7.5929284521204163</v>
      </c>
      <c r="K15" s="20">
        <f>IF(('Submetering '!P16+'Submetering '!Q16)*346.26&gt;0,('Submetering '!P16+'Submetering '!Q16)*346.26,0)</f>
        <v>18517.984800001108</v>
      </c>
      <c r="L15" s="35">
        <v>8.940263259482413E-2</v>
      </c>
      <c r="M15" s="29">
        <v>14</v>
      </c>
      <c r="N15" s="29">
        <v>27</v>
      </c>
    </row>
    <row r="16" spans="1:14" s="5" customFormat="1" x14ac:dyDescent="0.25">
      <c r="A16" s="4" t="s">
        <v>12</v>
      </c>
      <c r="B16" s="44">
        <f t="shared" si="0"/>
        <v>15</v>
      </c>
      <c r="C16" s="43">
        <v>3</v>
      </c>
      <c r="D16" s="29">
        <v>2021</v>
      </c>
      <c r="E16" s="20">
        <f>IF('Submetering '!E17+'Submetering '!F17+'Submetering '!G17+'Submetering '!H17+'Submetering '!I17+'Submetering '!J17+'Submetering '!K17+'Submetering '!L17&gt;0,'Submetering '!E17+'Submetering '!F17+'Submetering '!G17+'Submetering '!H17+'Submetering '!I17+'Submetering '!J17+'Submetering '!K17+'Submetering '!L17,0)</f>
        <v>239</v>
      </c>
      <c r="F16" s="35">
        <v>9.5807779476850846E-2</v>
      </c>
      <c r="G16" s="20">
        <f>IF(('Submetering '!M17)*2.8&gt;0,('Submetering '!M17)*2.8,0)</f>
        <v>758.8</v>
      </c>
      <c r="H16" s="35">
        <v>0.26031906152294881</v>
      </c>
      <c r="I16" s="20">
        <f>IF(('Submetering '!N17+'Submetering '!O17)*2.83&gt;0,('Submetering '!N17+'Submetering '!O17)*2.83,0)</f>
        <v>72.476300000001643</v>
      </c>
      <c r="J16" s="35">
        <v>7.5929284521204163</v>
      </c>
      <c r="K16" s="20">
        <f>IF(('Submetering '!P17+'Submetering '!Q17)*346.26&gt;0,('Submetering '!P17+'Submetering '!Q17)*346.26,0)</f>
        <v>20602.470000002519</v>
      </c>
      <c r="L16" s="35">
        <v>8.940263259482413E-2</v>
      </c>
      <c r="M16" s="29">
        <v>11</v>
      </c>
      <c r="N16" s="29">
        <v>17</v>
      </c>
    </row>
    <row r="17" spans="1:14" s="5" customFormat="1" x14ac:dyDescent="0.25">
      <c r="A17" s="4" t="s">
        <v>12</v>
      </c>
      <c r="B17" s="44">
        <f t="shared" si="0"/>
        <v>16</v>
      </c>
      <c r="C17" s="43">
        <v>3</v>
      </c>
      <c r="D17" s="29">
        <v>2021</v>
      </c>
      <c r="E17" s="20">
        <f>IF('Submetering '!E18+'Submetering '!F18+'Submetering '!G18+'Submetering '!H18+'Submetering '!I18+'Submetering '!J18+'Submetering '!K18+'Submetering '!L18&gt;0,'Submetering '!E18+'Submetering '!F18+'Submetering '!G18+'Submetering '!H18+'Submetering '!I18+'Submetering '!J18+'Submetering '!K18+'Submetering '!L18,0)</f>
        <v>173</v>
      </c>
      <c r="F17" s="35">
        <v>9.5807779476850846E-2</v>
      </c>
      <c r="G17" s="20">
        <f>IF(('Submetering '!M18)*2.8&gt;0,('Submetering '!M18)*2.8,0)</f>
        <v>764.4</v>
      </c>
      <c r="H17" s="35">
        <v>0.26031906152294881</v>
      </c>
      <c r="I17" s="20">
        <f>IF(('Submetering '!N18+'Submetering '!O18)*2.83&gt;0,('Submetering '!N18+'Submetering '!O18)*2.83,0)</f>
        <v>69.2501000000033</v>
      </c>
      <c r="J17" s="35">
        <v>7.5929284521204163</v>
      </c>
      <c r="K17" s="20">
        <f>IF(('Submetering '!P18+'Submetering '!Q18)*346.26&gt;0,('Submetering '!P18+'Submetering '!Q18)*346.26,0)</f>
        <v>19155.103199997378</v>
      </c>
      <c r="L17" s="35">
        <v>8.940263259482413E-2</v>
      </c>
      <c r="M17" s="29">
        <v>11</v>
      </c>
      <c r="N17" s="29">
        <v>22</v>
      </c>
    </row>
    <row r="18" spans="1:14" s="5" customFormat="1" x14ac:dyDescent="0.25">
      <c r="A18" s="4" t="s">
        <v>12</v>
      </c>
      <c r="B18" s="44">
        <f t="shared" si="0"/>
        <v>17</v>
      </c>
      <c r="C18" s="43">
        <v>3</v>
      </c>
      <c r="D18" s="29">
        <v>2021</v>
      </c>
      <c r="E18" s="20">
        <f>IF('Submetering '!E19+'Submetering '!F19+'Submetering '!G19+'Submetering '!H19+'Submetering '!I19+'Submetering '!J19+'Submetering '!K19+'Submetering '!L19&gt;0,'Submetering '!E19+'Submetering '!F19+'Submetering '!G19+'Submetering '!H19+'Submetering '!I19+'Submetering '!J19+'Submetering '!K19+'Submetering '!L19,0)</f>
        <v>223</v>
      </c>
      <c r="F18" s="35">
        <v>9.5807779476850846E-2</v>
      </c>
      <c r="G18" s="20">
        <f>IF(('Submetering '!M19)*2.8&gt;0,('Submetering '!M19)*2.8,0)</f>
        <v>826</v>
      </c>
      <c r="H18" s="35">
        <v>0.26031906152294881</v>
      </c>
      <c r="I18" s="20">
        <f>IF(('Submetering '!N19+'Submetering '!O19)*2.83&gt;0,('Submetering '!N19+'Submetering '!O19)*2.83,0)</f>
        <v>74.712000000004124</v>
      </c>
      <c r="J18" s="35">
        <v>7.5929284521204163</v>
      </c>
      <c r="K18" s="20">
        <f>IF(('Submetering '!P19+'Submetering '!Q19)*346.26&gt;0,('Submetering '!P19+'Submetering '!Q19)*346.26,0)</f>
        <v>17943.1931999999</v>
      </c>
      <c r="L18" s="35">
        <v>8.940263259482413E-2</v>
      </c>
      <c r="M18" s="29">
        <v>17</v>
      </c>
      <c r="N18" s="29">
        <v>34</v>
      </c>
    </row>
    <row r="19" spans="1:14" s="5" customFormat="1" x14ac:dyDescent="0.25">
      <c r="A19" s="4" t="s">
        <v>12</v>
      </c>
      <c r="B19" s="44">
        <f t="shared" si="0"/>
        <v>18</v>
      </c>
      <c r="C19" s="43">
        <v>3</v>
      </c>
      <c r="D19" s="29">
        <v>2021</v>
      </c>
      <c r="E19" s="20">
        <f>IF('Submetering '!E20+'Submetering '!F20+'Submetering '!G20+'Submetering '!H20+'Submetering '!I20+'Submetering '!J20+'Submetering '!K20+'Submetering '!L20&gt;0,'Submetering '!E20+'Submetering '!F20+'Submetering '!G20+'Submetering '!H20+'Submetering '!I20+'Submetering '!J20+'Submetering '!K20+'Submetering '!L20,0)</f>
        <v>196</v>
      </c>
      <c r="F19" s="35">
        <v>9.5807779476850846E-2</v>
      </c>
      <c r="G19" s="20">
        <f>IF(('Submetering '!M20)*2.8&gt;0,('Submetering '!M20)*2.8,0)</f>
        <v>879.19999999999993</v>
      </c>
      <c r="H19" s="35">
        <v>0.26031906152294881</v>
      </c>
      <c r="I19" s="20">
        <f>IF(('Submetering '!N20+'Submetering '!O20)*2.83&gt;0,('Submetering '!N20+'Submetering '!O20)*2.83,0)</f>
        <v>101.37059999999917</v>
      </c>
      <c r="J19" s="35">
        <v>7.5929284521204163</v>
      </c>
      <c r="K19" s="20">
        <f>IF(('Submetering '!P20+'Submetering '!Q20)*346.26&gt;0,('Submetering '!P20+'Submetering '!Q20)*346.26,0)</f>
        <v>14078.93159999869</v>
      </c>
      <c r="L19" s="35">
        <v>8.940263259482413E-2</v>
      </c>
      <c r="M19" s="29">
        <v>25</v>
      </c>
      <c r="N19" s="29">
        <v>52</v>
      </c>
    </row>
    <row r="20" spans="1:14" s="5" customFormat="1" x14ac:dyDescent="0.25">
      <c r="A20" s="4" t="s">
        <v>12</v>
      </c>
      <c r="B20" s="44">
        <f t="shared" si="0"/>
        <v>19</v>
      </c>
      <c r="C20" s="43">
        <v>3</v>
      </c>
      <c r="D20" s="29">
        <v>2021</v>
      </c>
      <c r="E20" s="20">
        <f>IF('Submetering '!E21+'Submetering '!F21+'Submetering '!G21+'Submetering '!H21+'Submetering '!I21+'Submetering '!J21+'Submetering '!K21+'Submetering '!L21&gt;0,'Submetering '!E21+'Submetering '!F21+'Submetering '!G21+'Submetering '!H21+'Submetering '!I21+'Submetering '!J21+'Submetering '!K21+'Submetering '!L21,0)</f>
        <v>197</v>
      </c>
      <c r="F20" s="35">
        <v>9.5807779476850846E-2</v>
      </c>
      <c r="G20" s="20">
        <f>IF(('Submetering '!M21)*2.8&gt;0,('Submetering '!M21)*2.8,0)</f>
        <v>831.59999999999991</v>
      </c>
      <c r="H20" s="35">
        <v>0.26031906152294881</v>
      </c>
      <c r="I20" s="20">
        <f>IF(('Submetering '!N21+'Submetering '!O21)*2.83&gt;0,('Submetering '!N21+'Submetering '!O21)*2.83,0)</f>
        <v>85.069799999993407</v>
      </c>
      <c r="J20" s="35">
        <v>7.5929284521204163</v>
      </c>
      <c r="K20" s="20">
        <f>IF(('Submetering '!P21+'Submetering '!Q21)*346.26&gt;0,('Submetering '!P21+'Submetering '!Q21)*346.26,0)</f>
        <v>13871.175599999193</v>
      </c>
      <c r="L20" s="35">
        <v>8.940263259482413E-2</v>
      </c>
      <c r="M20" s="29">
        <v>32</v>
      </c>
      <c r="N20" s="29">
        <v>62</v>
      </c>
    </row>
    <row r="21" spans="1:14" s="5" customFormat="1" x14ac:dyDescent="0.25">
      <c r="A21" s="4" t="s">
        <v>12</v>
      </c>
      <c r="B21" s="44">
        <f t="shared" si="0"/>
        <v>20</v>
      </c>
      <c r="C21" s="43">
        <v>3</v>
      </c>
      <c r="D21" s="29">
        <v>2021</v>
      </c>
      <c r="E21" s="20">
        <f>IF('Submetering '!E22+'Submetering '!F22+'Submetering '!G22+'Submetering '!H22+'Submetering '!I22+'Submetering '!J22+'Submetering '!K22+'Submetering '!L22&gt;0,'Submetering '!E22+'Submetering '!F22+'Submetering '!G22+'Submetering '!H22+'Submetering '!I22+'Submetering '!J22+'Submetering '!K22+'Submetering '!L22,0)</f>
        <v>205</v>
      </c>
      <c r="F21" s="35">
        <v>9.5807779476850846E-2</v>
      </c>
      <c r="G21" s="20">
        <f>IF(('Submetering '!M22)*2.8&gt;0,('Submetering '!M22)*2.8,0)</f>
        <v>876.4</v>
      </c>
      <c r="H21" s="35">
        <v>0.26031906152294881</v>
      </c>
      <c r="I21" s="20">
        <f>IF(('Submetering '!N22+'Submetering '!O22)*2.83&gt;0,('Submetering '!N22+'Submetering '!O22)*2.83,0)</f>
        <v>120.35989999999671</v>
      </c>
      <c r="J21" s="35">
        <v>7.5929284521204163</v>
      </c>
      <c r="K21" s="20">
        <f>IF(('Submetering '!P22+'Submetering '!Q22)*346.26&gt;0,('Submetering '!P22+'Submetering '!Q22)*346.26,0)</f>
        <v>15387.794400003326</v>
      </c>
      <c r="L21" s="35">
        <v>8.940263259482413E-2</v>
      </c>
      <c r="M21" s="29">
        <v>26</v>
      </c>
      <c r="N21" s="29">
        <v>51</v>
      </c>
    </row>
    <row r="22" spans="1:14" s="5" customFormat="1" x14ac:dyDescent="0.25">
      <c r="A22" s="4" t="s">
        <v>12</v>
      </c>
      <c r="B22" s="44">
        <f t="shared" si="0"/>
        <v>21</v>
      </c>
      <c r="C22" s="43">
        <v>3</v>
      </c>
      <c r="D22" s="29">
        <v>2021</v>
      </c>
      <c r="E22" s="20">
        <f>IF('Submetering '!E23+'Submetering '!F23+'Submetering '!G23+'Submetering '!H23+'Submetering '!I23+'Submetering '!J23+'Submetering '!K23+'Submetering '!L23&gt;0,'Submetering '!E23+'Submetering '!F23+'Submetering '!G23+'Submetering '!H23+'Submetering '!I23+'Submetering '!J23+'Submetering '!K23+'Submetering '!L23,0)</f>
        <v>244</v>
      </c>
      <c r="F22" s="35">
        <v>9.5807779476850846E-2</v>
      </c>
      <c r="G22" s="20">
        <f>IF(('Submetering '!M23)*2.8&gt;0,('Submetering '!M23)*2.8,0)</f>
        <v>879.19999999999993</v>
      </c>
      <c r="H22" s="35">
        <v>0.26031906152294881</v>
      </c>
      <c r="I22" s="20">
        <f>IF(('Submetering '!N23+'Submetering '!O23)*2.83&gt;0,('Submetering '!N23+'Submetering '!O23)*2.83,0)</f>
        <v>49.185400000013182</v>
      </c>
      <c r="J22" s="35">
        <v>7.5929284521204163</v>
      </c>
      <c r="K22" s="20">
        <f>IF(('Submetering '!P23+'Submetering '!Q23)*346.26&gt;0,('Submetering '!P23+'Submetering '!Q23)*346.26,0)</f>
        <v>21911.332799997075</v>
      </c>
      <c r="L22" s="35">
        <v>8.940263259482413E-2</v>
      </c>
      <c r="M22" s="29">
        <v>5</v>
      </c>
      <c r="N22" s="29">
        <v>10</v>
      </c>
    </row>
    <row r="23" spans="1:14" s="5" customFormat="1" x14ac:dyDescent="0.25">
      <c r="A23" s="4" t="s">
        <v>12</v>
      </c>
      <c r="B23" s="44">
        <f t="shared" si="0"/>
        <v>22</v>
      </c>
      <c r="C23" s="43">
        <v>3</v>
      </c>
      <c r="D23" s="29">
        <v>2021</v>
      </c>
      <c r="E23" s="20">
        <f>IF('Submetering '!E24+'Submetering '!F24+'Submetering '!G24+'Submetering '!H24+'Submetering '!I24+'Submetering '!J24+'Submetering '!K24+'Submetering '!L24&gt;0,'Submetering '!E24+'Submetering '!F24+'Submetering '!G24+'Submetering '!H24+'Submetering '!I24+'Submetering '!J24+'Submetering '!K24+'Submetering '!L24,0)</f>
        <v>182</v>
      </c>
      <c r="F23" s="35">
        <v>9.5807779476850846E-2</v>
      </c>
      <c r="G23" s="20">
        <f>IF(('Submetering '!M24)*2.8&gt;0,('Submetering '!M24)*2.8,0)</f>
        <v>817.59999999999991</v>
      </c>
      <c r="H23" s="35">
        <v>0.26031906152294881</v>
      </c>
      <c r="I23" s="20">
        <f>IF(('Submetering '!N24+'Submetering '!O24)*2.83&gt;0,('Submetering '!N24+'Submetering '!O24)*2.83,0)</f>
        <v>69.731199999998353</v>
      </c>
      <c r="J23" s="35">
        <v>7.5929284521204163</v>
      </c>
      <c r="K23" s="20">
        <f>IF(('Submetering '!P24+'Submetering '!Q24)*346.26&gt;0,('Submetering '!P24+'Submetering '!Q24)*346.26,0)</f>
        <v>16461.200400000303</v>
      </c>
      <c r="L23" s="35">
        <v>8.940263259482413E-2</v>
      </c>
      <c r="M23" s="29">
        <v>12</v>
      </c>
      <c r="N23" s="29">
        <v>22</v>
      </c>
    </row>
    <row r="24" spans="1:14" s="5" customFormat="1" x14ac:dyDescent="0.25">
      <c r="A24" s="4" t="s">
        <v>12</v>
      </c>
      <c r="B24" s="44">
        <f t="shared" si="0"/>
        <v>23</v>
      </c>
      <c r="C24" s="43">
        <v>3</v>
      </c>
      <c r="D24" s="29">
        <v>2021</v>
      </c>
      <c r="E24" s="20">
        <f>IF('Submetering '!E25+'Submetering '!F25+'Submetering '!G25+'Submetering '!H25+'Submetering '!I25+'Submetering '!J25+'Submetering '!K25+'Submetering '!L25&gt;0,'Submetering '!E25+'Submetering '!F25+'Submetering '!G25+'Submetering '!H25+'Submetering '!I25+'Submetering '!J25+'Submetering '!K25+'Submetering '!L25,0)</f>
        <v>246</v>
      </c>
      <c r="F24" s="35">
        <v>9.5807779476850846E-2</v>
      </c>
      <c r="G24" s="20">
        <f>IF(('Submetering '!M25)*2.8&gt;0,('Submetering '!M25)*2.8,0)</f>
        <v>904.4</v>
      </c>
      <c r="H24" s="35">
        <v>0.26031906152294881</v>
      </c>
      <c r="I24" s="20">
        <f>IF(('Submetering '!N25+'Submetering '!O25)*2.83&gt;0,('Submetering '!N25+'Submetering '!O25)*2.83,0)</f>
        <v>68.344500000004118</v>
      </c>
      <c r="J24" s="35">
        <v>7.5929284521204163</v>
      </c>
      <c r="K24" s="20">
        <f>IF(('Submetering '!P25+'Submetering '!Q25)*346.26&gt;0,('Submetering '!P25+'Submetering '!Q25)*346.26,0)</f>
        <v>12541.537200002922</v>
      </c>
      <c r="L24" s="35">
        <v>8.940263259482413E-2</v>
      </c>
      <c r="M24" s="29">
        <v>12</v>
      </c>
      <c r="N24" s="29">
        <v>21</v>
      </c>
    </row>
    <row r="25" spans="1:14" s="5" customFormat="1" x14ac:dyDescent="0.25">
      <c r="A25" s="4" t="s">
        <v>12</v>
      </c>
      <c r="B25" s="44">
        <f t="shared" si="0"/>
        <v>24</v>
      </c>
      <c r="C25" s="43">
        <v>3</v>
      </c>
      <c r="D25" s="29">
        <v>2021</v>
      </c>
      <c r="E25" s="20">
        <f>IF('Submetering '!E26+'Submetering '!F26+'Submetering '!G26+'Submetering '!H26+'Submetering '!I26+'Submetering '!J26+'Submetering '!K26+'Submetering '!L26&gt;0,'Submetering '!E26+'Submetering '!F26+'Submetering '!G26+'Submetering '!H26+'Submetering '!I26+'Submetering '!J26+'Submetering '!K26+'Submetering '!L26,0)</f>
        <v>196</v>
      </c>
      <c r="F25" s="35">
        <v>9.5807779476850846E-2</v>
      </c>
      <c r="G25" s="20">
        <f>IF(('Submetering '!M26)*2.8&gt;0,('Submetering '!M26)*2.8,0)</f>
        <v>697.19999999999993</v>
      </c>
      <c r="H25" s="35">
        <v>0.26031906152294881</v>
      </c>
      <c r="I25" s="20">
        <f>IF(('Submetering '!N26+'Submetering '!O26)*2.83&gt;0,('Submetering '!N26+'Submetering '!O26)*2.83,0)</f>
        <v>78.249499999983527</v>
      </c>
      <c r="J25" s="35">
        <v>7.5929284521204163</v>
      </c>
      <c r="K25" s="20">
        <f>IF(('Submetering '!P26+'Submetering '!Q26)*346.26&gt;0,('Submetering '!P26+'Submetering '!Q26)*346.26,0)</f>
        <v>14487.51839999627</v>
      </c>
      <c r="L25" s="35">
        <v>8.940263259482413E-2</v>
      </c>
      <c r="M25" s="29">
        <v>16</v>
      </c>
      <c r="N25" s="29">
        <v>28</v>
      </c>
    </row>
    <row r="26" spans="1:14" s="5" customFormat="1" x14ac:dyDescent="0.25">
      <c r="A26" s="4" t="s">
        <v>12</v>
      </c>
      <c r="B26" s="44">
        <f>B25+1</f>
        <v>25</v>
      </c>
      <c r="C26" s="43">
        <v>3</v>
      </c>
      <c r="D26" s="29">
        <v>2021</v>
      </c>
      <c r="E26" s="20">
        <f>IF('Submetering '!E27+'Submetering '!F27+'Submetering '!G27+'Submetering '!H27+'Submetering '!I27+'Submetering '!J27+'Submetering '!K27+'Submetering '!L27&gt;0,'Submetering '!E27+'Submetering '!F27+'Submetering '!G27+'Submetering '!H27+'Submetering '!I27+'Submetering '!J27+'Submetering '!K27+'Submetering '!L27,0)</f>
        <v>197</v>
      </c>
      <c r="F26" s="35">
        <v>9.5807779476850846E-2</v>
      </c>
      <c r="G26" s="20">
        <f>IF(('Submetering '!M27)*2.8&gt;0,('Submetering '!M27)*2.8,0)</f>
        <v>756</v>
      </c>
      <c r="H26" s="35">
        <v>0.26031906152294881</v>
      </c>
      <c r="I26" s="20">
        <f>IF(('Submetering '!N27+'Submetering '!O27)*2.83&gt;0,('Submetering '!N27+'Submetering '!O27)*2.83,0)</f>
        <v>89.003500000012352</v>
      </c>
      <c r="J26" s="35">
        <v>7.5929284521204163</v>
      </c>
      <c r="K26" s="20">
        <f>IF(('Submetering '!P27+'Submetering '!Q27)*346.26&gt;0,('Submetering '!P27+'Submetering '!Q27)*346.26,0)</f>
        <v>13704.970800000605</v>
      </c>
      <c r="L26" s="35">
        <v>8.940263259482413E-2</v>
      </c>
      <c r="M26" s="29">
        <v>18</v>
      </c>
      <c r="N26" s="29">
        <v>32</v>
      </c>
    </row>
    <row r="27" spans="1:14" s="5" customFormat="1" x14ac:dyDescent="0.25">
      <c r="A27" s="4" t="s">
        <v>12</v>
      </c>
      <c r="B27" s="44">
        <f t="shared" si="0"/>
        <v>26</v>
      </c>
      <c r="C27" s="43">
        <v>3</v>
      </c>
      <c r="D27" s="29">
        <v>2021</v>
      </c>
      <c r="E27" s="20">
        <f>IF('Submetering '!E28+'Submetering '!F28+'Submetering '!G28+'Submetering '!H28+'Submetering '!I28+'Submetering '!J28+'Submetering '!K28+'Submetering '!L28&gt;0,'Submetering '!E28+'Submetering '!F28+'Submetering '!G28+'Submetering '!H28+'Submetering '!I28+'Submetering '!J28+'Submetering '!K28+'Submetering '!L28,0)</f>
        <v>197</v>
      </c>
      <c r="F27" s="35">
        <v>9.5807779476850846E-2</v>
      </c>
      <c r="G27" s="20">
        <f>IF(('Submetering '!M28)*2.8&gt;0,('Submetering '!M28)*2.8,0)</f>
        <v>859.59999999999991</v>
      </c>
      <c r="H27" s="35">
        <v>0.26031906152294881</v>
      </c>
      <c r="I27" s="20">
        <f>IF(('Submetering '!N28+'Submetering '!O28)*2.83&gt;0,('Submetering '!N28+'Submetering '!O28)*2.83,0)</f>
        <v>88.494099999990937</v>
      </c>
      <c r="J27" s="35">
        <v>7.5929284521204163</v>
      </c>
      <c r="K27" s="20">
        <f>IF(('Submetering '!P28+'Submetering '!Q28)*346.26&gt;0,('Submetering '!P28+'Submetering '!Q28)*346.26,0)</f>
        <v>13822.699199999395</v>
      </c>
      <c r="L27" s="35">
        <v>8.940263259482413E-2</v>
      </c>
      <c r="M27" s="29">
        <v>26</v>
      </c>
      <c r="N27" s="29">
        <v>52</v>
      </c>
    </row>
    <row r="28" spans="1:14" s="5" customFormat="1" x14ac:dyDescent="0.25">
      <c r="A28" s="4" t="s">
        <v>12</v>
      </c>
      <c r="B28" s="44">
        <f t="shared" si="0"/>
        <v>27</v>
      </c>
      <c r="C28" s="43">
        <v>3</v>
      </c>
      <c r="D28" s="29">
        <v>2021</v>
      </c>
      <c r="E28" s="20">
        <f>IF('Submetering '!E29+'Submetering '!F29+'Submetering '!G29+'Submetering '!H29+'Submetering '!I29+'Submetering '!J29+'Submetering '!K29+'Submetering '!L29&gt;0,'Submetering '!E29+'Submetering '!F29+'Submetering '!G29+'Submetering '!H29+'Submetering '!I29+'Submetering '!J29+'Submetering '!K29+'Submetering '!L29,0)</f>
        <v>229</v>
      </c>
      <c r="F28" s="35">
        <v>9.5807779476850846E-2</v>
      </c>
      <c r="G28" s="20">
        <f>IF(('Submetering '!M29)*2.8&gt;0,('Submetering '!M29)*2.8,0)</f>
        <v>571.19999999999993</v>
      </c>
      <c r="H28" s="35">
        <v>0.26031906152294881</v>
      </c>
      <c r="I28" s="20">
        <f>IF(('Submetering '!N29+'Submetering '!O29)*2.83&gt;0,('Submetering '!N29+'Submetering '!O29)*2.83,0)</f>
        <v>78.928699999998358</v>
      </c>
      <c r="J28" s="35">
        <v>7.5929284521204163</v>
      </c>
      <c r="K28" s="20">
        <f>IF(('Submetering '!P29+'Submetering '!Q29)*346.26&gt;0,('Submetering '!P29+'Submetering '!Q29)*346.26,0)</f>
        <v>16970.202600003224</v>
      </c>
      <c r="L28" s="35">
        <v>8.940263259482413E-2</v>
      </c>
      <c r="M28" s="29">
        <v>42</v>
      </c>
      <c r="N28" s="29">
        <v>85</v>
      </c>
    </row>
    <row r="29" spans="1:14" s="5" customFormat="1" x14ac:dyDescent="0.25">
      <c r="A29" s="4" t="s">
        <v>12</v>
      </c>
      <c r="B29" s="44">
        <f t="shared" si="0"/>
        <v>28</v>
      </c>
      <c r="C29" s="43">
        <v>3</v>
      </c>
      <c r="D29" s="29">
        <v>2021</v>
      </c>
      <c r="E29" s="20">
        <f>IF('Submetering '!E30+'Submetering '!F30+'Submetering '!G30+'Submetering '!H30+'Submetering '!I30+'Submetering '!J30+'Submetering '!K30+'Submetering '!L30&gt;0,'Submetering '!E30+'Submetering '!F30+'Submetering '!G30+'Submetering '!H30+'Submetering '!I30+'Submetering '!J30+'Submetering '!K30+'Submetering '!L30,0)</f>
        <v>202</v>
      </c>
      <c r="F29" s="35">
        <v>9.5807779476850846E-2</v>
      </c>
      <c r="G29" s="20">
        <f>IF(('Submetering '!M30)*2.8&gt;0,('Submetering '!M30)*2.8,0)</f>
        <v>1321.6</v>
      </c>
      <c r="H29" s="35">
        <v>0.26031906152294881</v>
      </c>
      <c r="I29" s="20">
        <f>IF(('Submetering '!N30+'Submetering '!O30)*2.83&gt;0,('Submetering '!N30+'Submetering '!O30)*2.83,0)</f>
        <v>148.88630000000165</v>
      </c>
      <c r="J29" s="35">
        <v>7.5929284521204163</v>
      </c>
      <c r="K29" s="20">
        <f>IF(('Submetering '!P30+'Submetering '!Q30)*346.26&gt;0,('Submetering '!P30+'Submetering '!Q30)*346.26,0)</f>
        <v>16187.65499999496</v>
      </c>
      <c r="L29" s="35">
        <v>8.940263259482413E-2</v>
      </c>
      <c r="M29" s="29">
        <v>29</v>
      </c>
      <c r="N29" s="29">
        <v>58</v>
      </c>
    </row>
    <row r="30" spans="1:14" s="5" customFormat="1" x14ac:dyDescent="0.25">
      <c r="A30" s="4" t="s">
        <v>12</v>
      </c>
      <c r="B30" s="44">
        <f t="shared" si="0"/>
        <v>29</v>
      </c>
      <c r="C30" s="43">
        <v>3</v>
      </c>
      <c r="D30" s="29">
        <v>2021</v>
      </c>
      <c r="E30" s="20">
        <f>IF('Submetering '!E31+'Submetering '!F31+'Submetering '!G31+'Submetering '!H31+'Submetering '!I31+'Submetering '!J31+'Submetering '!K31+'Submetering '!L31&gt;0,'Submetering '!E31+'Submetering '!F31+'Submetering '!G31+'Submetering '!H31+'Submetering '!I31+'Submetering '!J31+'Submetering '!K31+'Submetering '!L31,0)</f>
        <v>212</v>
      </c>
      <c r="F30" s="35">
        <v>9.5807779476850846E-2</v>
      </c>
      <c r="G30" s="20">
        <f>IF(('Submetering '!M31)*2.8&gt;0,('Submetering '!M31)*2.8,0)</f>
        <v>837.19999999999993</v>
      </c>
      <c r="H30" s="35">
        <v>0.26031906152294881</v>
      </c>
      <c r="I30" s="20">
        <f>IF(('Submetering '!N31+'Submetering '!O31)*2.83&gt;0,('Submetering '!N31+'Submetering '!O31)*2.83,0)</f>
        <v>94.776700000014827</v>
      </c>
      <c r="J30" s="35">
        <v>7.5929284521204163</v>
      </c>
      <c r="K30" s="20">
        <f>IF(('Submetering '!P31+'Submetering '!Q31)*346.26&gt;0,('Submetering '!P31+'Submetering '!Q31)*346.26,0)</f>
        <v>17098.318800001613</v>
      </c>
      <c r="L30" s="35">
        <v>8.940263259482413E-2</v>
      </c>
      <c r="M30" s="29">
        <v>22</v>
      </c>
      <c r="N30" s="29">
        <v>40</v>
      </c>
    </row>
    <row r="31" spans="1:14" s="4" customFormat="1" x14ac:dyDescent="0.25">
      <c r="A31" s="4" t="s">
        <v>12</v>
      </c>
      <c r="B31" s="44">
        <f t="shared" si="0"/>
        <v>30</v>
      </c>
      <c r="C31" s="43">
        <v>3</v>
      </c>
      <c r="D31" s="29">
        <v>2021</v>
      </c>
      <c r="E31" s="20">
        <f>IF('Submetering '!E32+'Submetering '!F32+'Submetering '!G32+'Submetering '!H32+'Submetering '!I32+'Submetering '!J32+'Submetering '!K32+'Submetering '!L32&gt;0,'Submetering '!E32+'Submetering '!F32+'Submetering '!G32+'Submetering '!H32+'Submetering '!I32+'Submetering '!J32+'Submetering '!K32+'Submetering '!L32,0)</f>
        <v>210</v>
      </c>
      <c r="F31" s="35">
        <v>9.5807779476850846E-2</v>
      </c>
      <c r="G31" s="20">
        <f>IF(('Submetering '!M32)*2.8&gt;0,('Submetering '!M32)*2.8,0)</f>
        <v>826</v>
      </c>
      <c r="H31" s="35">
        <v>0.26031906152294881</v>
      </c>
      <c r="I31" s="20">
        <f>IF(('Submetering '!N32+'Submetering '!O32)*2.83&gt;0,('Submetering '!N32+'Submetering '!O32)*2.83,0)</f>
        <v>111.81329999998518</v>
      </c>
      <c r="J31" s="35">
        <v>7.5929284521204163</v>
      </c>
      <c r="K31" s="20">
        <f>IF(('Submetering '!P32+'Submetering '!Q32)*346.26&gt;0,('Submetering '!P32+'Submetering '!Q32)*346.26,0)</f>
        <v>16308.846000002015</v>
      </c>
      <c r="L31" s="35">
        <v>8.940263259482413E-2</v>
      </c>
      <c r="M31" s="29">
        <v>83</v>
      </c>
      <c r="N31" s="29">
        <v>136</v>
      </c>
    </row>
    <row r="32" spans="1:14" s="4" customFormat="1" x14ac:dyDescent="0.25">
      <c r="A32" s="4" t="s">
        <v>12</v>
      </c>
      <c r="B32" s="44">
        <f t="shared" si="0"/>
        <v>31</v>
      </c>
      <c r="C32" s="43">
        <v>3</v>
      </c>
      <c r="D32" s="29">
        <v>2021</v>
      </c>
      <c r="E32" s="20">
        <f>IF('Submetering '!E33+'Submetering '!F33+'Submetering '!G33+'Submetering '!H33+'Submetering '!I33+'Submetering '!J33+'Submetering '!K33+'Submetering '!L33&gt;0,'Submetering '!E33+'Submetering '!F33+'Submetering '!G33+'Submetering '!H33+'Submetering '!I33+'Submetering '!J33+'Submetering '!K33+'Submetering '!L33,0)</f>
        <v>209</v>
      </c>
      <c r="F32" s="35">
        <v>9.5807779476850846E-2</v>
      </c>
      <c r="G32" s="20">
        <f>IF(('Submetering '!M33)*2.8&gt;0,('Submetering '!M33)*2.8,0)</f>
        <v>792.4</v>
      </c>
      <c r="H32" s="35">
        <v>0.26031906152294881</v>
      </c>
      <c r="I32" s="20">
        <f>IF(('Submetering '!N33+'Submetering '!O33)*2.83&gt;0,('Submetering '!N33+'Submetering '!O33)*2.83,0)</f>
        <v>103.80440000000083</v>
      </c>
      <c r="J32" s="35">
        <v>7.5929284521204163</v>
      </c>
      <c r="K32" s="20">
        <f>IF(('Submetering '!P33+'Submetering '!Q33)*346.26&gt;0,('Submetering '!P33+'Submetering '!Q33)*346.26,0)</f>
        <v>13732.67159999869</v>
      </c>
      <c r="L32" s="35">
        <v>8.940263259482413E-2</v>
      </c>
      <c r="M32" s="29">
        <v>83</v>
      </c>
      <c r="N32" s="29">
        <v>139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8"/>
  <sheetViews>
    <sheetView workbookViewId="0">
      <selection activeCell="E6" sqref="E6"/>
    </sheetView>
  </sheetViews>
  <sheetFormatPr defaultColWidth="11.5703125" defaultRowHeight="15" x14ac:dyDescent="0.25"/>
  <cols>
    <col min="2" max="4" width="8.85546875" style="30" customWidth="1"/>
    <col min="5" max="5" width="11.140625" style="48" customWidth="1"/>
    <col min="6" max="6" width="11.140625" style="30" customWidth="1"/>
    <col min="7" max="7" width="11.140625" style="48" customWidth="1"/>
    <col min="8" max="9" width="11.140625" style="30" customWidth="1"/>
    <col min="10" max="11" width="10" style="30" customWidth="1"/>
    <col min="12" max="12" width="10" style="48" customWidth="1"/>
    <col min="13" max="13" width="10" style="30" customWidth="1"/>
    <col min="14" max="14" width="10.5703125" style="30" customWidth="1"/>
    <col min="15" max="15" width="10.42578125" style="30" customWidth="1"/>
    <col min="16" max="17" width="11.5703125" style="30"/>
  </cols>
  <sheetData>
    <row r="1" spans="1:20" s="3" customFormat="1" ht="45" x14ac:dyDescent="0.25">
      <c r="A1" s="3" t="s">
        <v>0</v>
      </c>
      <c r="B1" s="42" t="s">
        <v>1</v>
      </c>
      <c r="C1" s="42" t="s">
        <v>2</v>
      </c>
      <c r="D1" s="42" t="s">
        <v>3</v>
      </c>
      <c r="E1" s="28" t="s">
        <v>16</v>
      </c>
      <c r="F1" s="28" t="s">
        <v>17</v>
      </c>
      <c r="G1" s="28" t="s">
        <v>18</v>
      </c>
      <c r="H1" s="28" t="s">
        <v>19</v>
      </c>
      <c r="I1" s="28" t="s">
        <v>20</v>
      </c>
      <c r="J1" s="28" t="s">
        <v>21</v>
      </c>
      <c r="K1" s="28" t="s">
        <v>22</v>
      </c>
      <c r="L1" s="28" t="s">
        <v>23</v>
      </c>
      <c r="M1" s="28" t="s">
        <v>24</v>
      </c>
      <c r="N1" s="28" t="s">
        <v>25</v>
      </c>
      <c r="O1" s="28" t="s">
        <v>26</v>
      </c>
      <c r="P1" s="28" t="s">
        <v>27</v>
      </c>
      <c r="Q1" s="28" t="s">
        <v>28</v>
      </c>
      <c r="R1" s="2"/>
    </row>
    <row r="2" spans="1:20" s="3" customFormat="1" x14ac:dyDescent="0.25">
      <c r="B2" s="42"/>
      <c r="C2" s="42"/>
      <c r="D2" s="42"/>
      <c r="E2" s="46"/>
      <c r="F2" s="20"/>
      <c r="G2" s="46"/>
      <c r="H2" s="47"/>
      <c r="I2" s="47"/>
      <c r="J2" s="47"/>
      <c r="K2" s="47"/>
      <c r="L2" s="46"/>
      <c r="M2" s="47"/>
      <c r="N2" s="47"/>
      <c r="O2" s="28"/>
      <c r="P2" s="28"/>
      <c r="Q2" s="42"/>
    </row>
    <row r="3" spans="1:20" s="4" customFormat="1" ht="12.75" x14ac:dyDescent="0.2">
      <c r="A3" s="4" t="s">
        <v>12</v>
      </c>
      <c r="B3" s="29">
        <v>1</v>
      </c>
      <c r="C3" s="43">
        <v>3</v>
      </c>
      <c r="D3" s="29">
        <v>2021</v>
      </c>
      <c r="E3" s="20">
        <f>DAILY!C4-DAILY!B4</f>
        <v>12</v>
      </c>
      <c r="F3" s="20">
        <f>DAILY!$C$5-DAILY!$B$5</f>
        <v>27</v>
      </c>
      <c r="G3" s="20">
        <f>DAILY!$C$6-DAILY!$B$6</f>
        <v>7</v>
      </c>
      <c r="H3" s="20">
        <f>DAILY!$C$7-DAILY!$B$7</f>
        <v>49</v>
      </c>
      <c r="I3" s="20">
        <f>DAILY!$C$8-DAILY!$B$8</f>
        <v>11</v>
      </c>
      <c r="J3" s="20">
        <f>DAILY!$C$9-DAILY!$B$9</f>
        <v>0</v>
      </c>
      <c r="K3" s="20">
        <f>DAILY!$C$10-DAILY!$B$10</f>
        <v>12</v>
      </c>
      <c r="L3" s="20">
        <f>DAILY!$C$11-DAILY!$B$11</f>
        <v>104</v>
      </c>
      <c r="M3" s="20">
        <f>DAILY!$C$12-DAILY!$B$12</f>
        <v>101</v>
      </c>
      <c r="N3" s="20">
        <f>DAILY!$C$13-DAILY!$B$13</f>
        <v>22.700000000004366</v>
      </c>
      <c r="O3" s="20">
        <f>DAILY!$C$14-DAILY!$B$14</f>
        <v>0</v>
      </c>
      <c r="P3" s="20">
        <f>DAILY!$C$15-DAILY!$B$15</f>
        <v>40.779999999998836</v>
      </c>
      <c r="Q3" s="20">
        <f>DAILY!$C$16-DAILY!$B$16</f>
        <v>8.7399999999979627</v>
      </c>
      <c r="R3" s="6"/>
      <c r="S3" s="6"/>
      <c r="T3" s="6"/>
    </row>
    <row r="4" spans="1:20" s="5" customFormat="1" x14ac:dyDescent="0.25">
      <c r="A4" s="4" t="s">
        <v>12</v>
      </c>
      <c r="B4" s="44">
        <f>B3+1</f>
        <v>2</v>
      </c>
      <c r="C4" s="43">
        <v>3</v>
      </c>
      <c r="D4" s="29">
        <v>2021</v>
      </c>
      <c r="E4" s="20">
        <f>DAILY!D4-DAILY!C4</f>
        <v>12</v>
      </c>
      <c r="F4" s="20">
        <f>DAILY!$D$5-DAILY!$C$5</f>
        <v>27</v>
      </c>
      <c r="G4" s="20">
        <f>DAILY!$D$6-DAILY!$C$6</f>
        <v>7</v>
      </c>
      <c r="H4" s="20">
        <f>DAILY!$D$7-DAILY!$C$7</f>
        <v>48</v>
      </c>
      <c r="I4" s="20">
        <f>DAILY!$D$8-DAILY!$C$8</f>
        <v>11</v>
      </c>
      <c r="J4" s="20">
        <f>DAILY!$D$9-DAILY!$C$9</f>
        <v>0</v>
      </c>
      <c r="K4" s="20">
        <f>DAILY!$D$10-DAILY!$C$10</f>
        <v>8</v>
      </c>
      <c r="L4" s="20">
        <f>DAILY!$D$11-DAILY!$C$11</f>
        <v>102</v>
      </c>
      <c r="M4" s="20">
        <f>DAILY!$D$12-DAILY!$C$12</f>
        <v>101</v>
      </c>
      <c r="N4" s="20">
        <f>DAILY!$D$13-DAILY!$C$13</f>
        <v>24.689999999995052</v>
      </c>
      <c r="O4" s="20">
        <f>DAILY!$D$14-DAILY!$C$14</f>
        <v>1</v>
      </c>
      <c r="P4" s="20">
        <f>DAILY!$D$15-DAILY!$C$15</f>
        <v>44.220000000001164</v>
      </c>
      <c r="Q4" s="20">
        <f>DAILY!$D$16-DAILY!$C$16</f>
        <v>11.680000000000291</v>
      </c>
    </row>
    <row r="5" spans="1:20" s="5" customFormat="1" x14ac:dyDescent="0.25">
      <c r="A5" s="4" t="s">
        <v>12</v>
      </c>
      <c r="B5" s="44">
        <f t="shared" ref="B5:B33" si="0">B4+1</f>
        <v>3</v>
      </c>
      <c r="C5" s="43">
        <v>3</v>
      </c>
      <c r="D5" s="29">
        <v>2021</v>
      </c>
      <c r="E5" s="20">
        <f>DAILY!E4-DAILY!D4</f>
        <v>10</v>
      </c>
      <c r="F5" s="20">
        <f>DAILY!$E$5-DAILY!$D$5</f>
        <v>22</v>
      </c>
      <c r="G5" s="20">
        <f>DAILY!$E$6-DAILY!$D$6</f>
        <v>6</v>
      </c>
      <c r="H5" s="20">
        <f>DAILY!$E$7-DAILY!$D$7</f>
        <v>40</v>
      </c>
      <c r="I5" s="20">
        <f>DAILY!$E$8-DAILY!$D$8</f>
        <v>10</v>
      </c>
      <c r="J5" s="20">
        <f>DAILY!$E$9-DAILY!$D$9</f>
        <v>0</v>
      </c>
      <c r="K5" s="20">
        <f>DAILY!$E$10-DAILY!$D$10</f>
        <v>8</v>
      </c>
      <c r="L5" s="20">
        <f>DAILY!$E$11-DAILY!$D$11</f>
        <v>89</v>
      </c>
      <c r="M5" s="20">
        <f>DAILY!$E$12-DAILY!$D$12</f>
        <v>81</v>
      </c>
      <c r="N5" s="20">
        <f>DAILY!$E$13-DAILY!$D$13</f>
        <v>22.860000000000582</v>
      </c>
      <c r="O5" s="20">
        <f>DAILY!$E$14-DAILY!$D$14</f>
        <v>0</v>
      </c>
      <c r="P5" s="20">
        <f>DAILY!$E$15-DAILY!$D$15</f>
        <v>48.360000000000582</v>
      </c>
      <c r="Q5" s="20">
        <f>DAILY!$E$16-DAILY!$D$16</f>
        <v>13</v>
      </c>
    </row>
    <row r="6" spans="1:20" s="5" customFormat="1" x14ac:dyDescent="0.25">
      <c r="A6" s="4" t="s">
        <v>12</v>
      </c>
      <c r="B6" s="44">
        <f t="shared" si="0"/>
        <v>4</v>
      </c>
      <c r="C6" s="43">
        <v>3</v>
      </c>
      <c r="D6" s="29">
        <v>2021</v>
      </c>
      <c r="E6" s="20">
        <f>DAILY!F4-DAILY!E4</f>
        <v>13</v>
      </c>
      <c r="F6" s="20">
        <f>DAILY!$F$5-DAILY!$E$5</f>
        <v>26</v>
      </c>
      <c r="G6" s="20">
        <f>DAILY!$F$6-DAILY!$E$6</f>
        <v>8</v>
      </c>
      <c r="H6" s="20">
        <f>DAILY!$F$7-DAILY!$E$7</f>
        <v>49</v>
      </c>
      <c r="I6" s="20">
        <f>DAILY!$F$8-DAILY!$E$8</f>
        <v>12</v>
      </c>
      <c r="J6" s="20">
        <f>DAILY!$F$9-DAILY!$E$9</f>
        <v>0</v>
      </c>
      <c r="K6" s="20">
        <f>DAILY!$F$10-DAILY!$E$10</f>
        <v>10</v>
      </c>
      <c r="L6" s="20">
        <f>DAILY!$F$11-DAILY!$E$11</f>
        <v>98</v>
      </c>
      <c r="M6" s="20">
        <f>DAILY!$F$12-DAILY!$E$12</f>
        <v>89</v>
      </c>
      <c r="N6" s="20">
        <f>DAILY!$F$13-DAILY!$E$13</f>
        <v>22.889999999999418</v>
      </c>
      <c r="O6" s="20">
        <f>DAILY!$F$14-DAILY!$E$14</f>
        <v>0</v>
      </c>
      <c r="P6" s="20">
        <f>DAILY!$F$15-DAILY!$E$15</f>
        <v>30.639999999999418</v>
      </c>
      <c r="Q6" s="20">
        <f>DAILY!$F$16-DAILY!$E$16</f>
        <v>7.7000000000043656</v>
      </c>
    </row>
    <row r="7" spans="1:20" s="5" customFormat="1" x14ac:dyDescent="0.25">
      <c r="A7" s="4" t="s">
        <v>12</v>
      </c>
      <c r="B7" s="44">
        <f t="shared" si="0"/>
        <v>5</v>
      </c>
      <c r="C7" s="43">
        <v>3</v>
      </c>
      <c r="D7" s="29">
        <v>2021</v>
      </c>
      <c r="E7" s="20">
        <f>DAILY!G4-DAILY!F4</f>
        <v>12</v>
      </c>
      <c r="F7" s="20">
        <f>DAILY!$G$5-DAILY!$F$5</f>
        <v>24</v>
      </c>
      <c r="G7" s="20">
        <f>DAILY!$G$6-DAILY!$F$6</f>
        <v>7</v>
      </c>
      <c r="H7" s="20">
        <f>DAILY!$G$7-DAILY!$F$7</f>
        <v>43</v>
      </c>
      <c r="I7" s="20">
        <f>DAILY!$G$8-DAILY!$F$8</f>
        <v>11</v>
      </c>
      <c r="J7" s="20">
        <f>DAILY!$G$9-DAILY!$F$9</f>
        <v>0</v>
      </c>
      <c r="K7" s="20">
        <f>DAILY!$G$10-DAILY!$F$10</f>
        <v>8</v>
      </c>
      <c r="L7" s="20">
        <f>DAILY!$G$11-DAILY!$F$11</f>
        <v>87</v>
      </c>
      <c r="M7" s="20">
        <f>DAILY!$G$12-DAILY!$F$12</f>
        <v>199</v>
      </c>
      <c r="N7" s="20">
        <f>DAILY!$G$13-DAILY!$F$13</f>
        <v>23.040000000000873</v>
      </c>
      <c r="O7" s="20">
        <f>DAILY!$G$14-DAILY!$F$14</f>
        <v>0</v>
      </c>
      <c r="P7" s="20">
        <f>DAILY!$G$15-DAILY!$F$15</f>
        <v>37.059999999997672</v>
      </c>
      <c r="Q7" s="20">
        <f>DAILY!$G$16-DAILY!$F$16</f>
        <v>8.3600000000005821</v>
      </c>
    </row>
    <row r="8" spans="1:20" s="5" customFormat="1" x14ac:dyDescent="0.25">
      <c r="A8" s="4" t="s">
        <v>12</v>
      </c>
      <c r="B8" s="44">
        <f t="shared" si="0"/>
        <v>6</v>
      </c>
      <c r="C8" s="43">
        <v>3</v>
      </c>
      <c r="D8" s="29">
        <v>2021</v>
      </c>
      <c r="E8" s="20">
        <f>DAILY!H4-DAILY!G4</f>
        <v>15</v>
      </c>
      <c r="F8" s="20">
        <f>DAILY!$H$5-DAILY!$G$5</f>
        <v>33</v>
      </c>
      <c r="G8" s="20">
        <f>DAILY!$H$6-DAILY!$G$6</f>
        <v>8</v>
      </c>
      <c r="H8" s="20">
        <f>DAILY!$H$7-DAILY!$G$7</f>
        <v>57</v>
      </c>
      <c r="I8" s="20">
        <f>DAILY!$H$8-DAILY!$G$8</f>
        <v>12</v>
      </c>
      <c r="J8" s="20">
        <f>DAILY!$H$9-DAILY!$G$9</f>
        <v>0</v>
      </c>
      <c r="K8" s="20">
        <f>DAILY!$H$10-DAILY!$G$10</f>
        <v>12</v>
      </c>
      <c r="L8" s="20">
        <f>DAILY!$H$11-DAILY!$G$11</f>
        <v>125</v>
      </c>
      <c r="M8" s="20">
        <f>DAILY!$H$12-DAILY!$G$12</f>
        <v>396</v>
      </c>
      <c r="N8" s="20">
        <f>DAILY!$H$13-DAILY!$G$13</f>
        <v>38.040000000000873</v>
      </c>
      <c r="O8" s="20">
        <f>DAILY!$H$14-DAILY!$G$14</f>
        <v>1</v>
      </c>
      <c r="P8" s="20">
        <f>DAILY!$H$15-DAILY!$G$15</f>
        <v>54.459999999991851</v>
      </c>
      <c r="Q8" s="20">
        <f>DAILY!$H$16-DAILY!$G$16</f>
        <v>13.639999999999418</v>
      </c>
    </row>
    <row r="9" spans="1:20" s="5" customFormat="1" x14ac:dyDescent="0.25">
      <c r="A9" s="4" t="s">
        <v>12</v>
      </c>
      <c r="B9" s="44">
        <f t="shared" si="0"/>
        <v>7</v>
      </c>
      <c r="C9" s="43">
        <v>3</v>
      </c>
      <c r="D9" s="29">
        <v>2021</v>
      </c>
      <c r="E9" s="20">
        <f>DAILY!I4-DAILY!H4</f>
        <v>10</v>
      </c>
      <c r="F9" s="20">
        <f>DAILY!$I$5-DAILY!$H$5</f>
        <v>19</v>
      </c>
      <c r="G9" s="20">
        <f>DAILY!$I$6-DAILY!$H$6</f>
        <v>7</v>
      </c>
      <c r="H9" s="20">
        <f>DAILY!$I$7-DAILY!$H$7</f>
        <v>35</v>
      </c>
      <c r="I9" s="20">
        <f>DAILY!$I$8-DAILY!$H$8</f>
        <v>8</v>
      </c>
      <c r="J9" s="20">
        <f>DAILY!$I$9-DAILY!$H$9</f>
        <v>0</v>
      </c>
      <c r="K9" s="20">
        <f>DAILY!$I$10-DAILY!$H$10</f>
        <v>7</v>
      </c>
      <c r="L9" s="20">
        <f>DAILY!$I$11-DAILY!$H$11</f>
        <v>73</v>
      </c>
      <c r="M9" s="20">
        <f>DAILY!$I$12-DAILY!$H$12</f>
        <v>254</v>
      </c>
      <c r="N9" s="20">
        <f>DAILY!$I$13-DAILY!$H$13</f>
        <v>32.840000000003783</v>
      </c>
      <c r="O9" s="20">
        <f>DAILY!$I$14-DAILY!$H$14</f>
        <v>0</v>
      </c>
      <c r="P9" s="20">
        <f>DAILY!$I$15-DAILY!$H$15</f>
        <v>34.520000000004075</v>
      </c>
      <c r="Q9" s="20">
        <f>DAILY!$I$16-DAILY!$H$16</f>
        <v>11.119999999995343</v>
      </c>
    </row>
    <row r="10" spans="1:20" s="5" customFormat="1" x14ac:dyDescent="0.25">
      <c r="A10" s="4" t="s">
        <v>12</v>
      </c>
      <c r="B10" s="44">
        <f t="shared" si="0"/>
        <v>8</v>
      </c>
      <c r="C10" s="43">
        <v>3</v>
      </c>
      <c r="D10" s="29">
        <v>2021</v>
      </c>
      <c r="E10" s="20">
        <f>DAILY!J4-DAILY!I4</f>
        <v>12</v>
      </c>
      <c r="F10" s="20">
        <f>DAILY!$J$5-DAILY!$I$5</f>
        <v>25</v>
      </c>
      <c r="G10" s="20">
        <f>DAILY!$J$6-DAILY!$I$6</f>
        <v>7</v>
      </c>
      <c r="H10" s="20">
        <f>DAILY!$J$7-DAILY!$I$7</f>
        <v>45</v>
      </c>
      <c r="I10" s="20">
        <f>DAILY!$J$8-DAILY!$I$8</f>
        <v>11</v>
      </c>
      <c r="J10" s="20">
        <f>DAILY!$J$9-DAILY!$I$9</f>
        <v>0</v>
      </c>
      <c r="K10" s="20">
        <f>DAILY!$J$10-DAILY!$I$10</f>
        <v>9</v>
      </c>
      <c r="L10" s="20">
        <f>DAILY!$J$11-DAILY!$I$11</f>
        <v>97</v>
      </c>
      <c r="M10" s="20">
        <f>DAILY!$J$12-DAILY!$I$12</f>
        <v>285</v>
      </c>
      <c r="N10" s="20">
        <f>DAILY!$J$13-DAILY!$I$13</f>
        <v>24</v>
      </c>
      <c r="O10" s="20">
        <f>DAILY!$J$14-DAILY!$I$14</f>
        <v>0</v>
      </c>
      <c r="P10" s="20">
        <f>DAILY!$J$15-DAILY!$I$15</f>
        <v>43.69999999999709</v>
      </c>
      <c r="Q10" s="20">
        <f>DAILY!$J$16-DAILY!$I$16</f>
        <v>11.440000000002328</v>
      </c>
    </row>
    <row r="11" spans="1:20" s="5" customFormat="1" x14ac:dyDescent="0.25">
      <c r="A11" s="4" t="s">
        <v>12</v>
      </c>
      <c r="B11" s="44">
        <f t="shared" si="0"/>
        <v>9</v>
      </c>
      <c r="C11" s="43">
        <v>3</v>
      </c>
      <c r="D11" s="29">
        <v>2021</v>
      </c>
      <c r="E11" s="20">
        <f>DAILY!K4-DAILY!J4</f>
        <v>11</v>
      </c>
      <c r="F11" s="20">
        <f>DAILY!$K$5-DAILY!$J$5</f>
        <v>25</v>
      </c>
      <c r="G11" s="20">
        <f>DAILY!$K$6-DAILY!$J$6</f>
        <v>8</v>
      </c>
      <c r="H11" s="20">
        <f>DAILY!$K$7-DAILY!$J$7</f>
        <v>45</v>
      </c>
      <c r="I11" s="20">
        <f>DAILY!$K$8-DAILY!$J$8</f>
        <v>10</v>
      </c>
      <c r="J11" s="20">
        <f>DAILY!$K$9-DAILY!$J$9</f>
        <v>0</v>
      </c>
      <c r="K11" s="20">
        <f>DAILY!$K$10-DAILY!$J$10</f>
        <v>9</v>
      </c>
      <c r="L11" s="20">
        <f>DAILY!$K$11-DAILY!$J$11</f>
        <v>96</v>
      </c>
      <c r="M11" s="20">
        <f>DAILY!$K$12-DAILY!$J$12</f>
        <v>294</v>
      </c>
      <c r="N11" s="20">
        <f>DAILY!$K$13-DAILY!$J$13</f>
        <v>28.540000000000873</v>
      </c>
      <c r="O11" s="20">
        <f>DAILY!$K$14-DAILY!$J$14</f>
        <v>0</v>
      </c>
      <c r="P11" s="20">
        <f>DAILY!$K$15-DAILY!$J$15</f>
        <v>40.80000000000291</v>
      </c>
      <c r="Q11" s="20">
        <f>DAILY!$K$16-DAILY!$J$16</f>
        <v>10.940000000002328</v>
      </c>
    </row>
    <row r="12" spans="1:20" s="5" customFormat="1" x14ac:dyDescent="0.25">
      <c r="A12" s="4" t="s">
        <v>12</v>
      </c>
      <c r="B12" s="44">
        <f t="shared" si="0"/>
        <v>10</v>
      </c>
      <c r="C12" s="43">
        <v>3</v>
      </c>
      <c r="D12" s="29">
        <v>2021</v>
      </c>
      <c r="E12" s="20">
        <f>DAILY!L4-DAILY!K4</f>
        <v>12</v>
      </c>
      <c r="F12" s="20">
        <f>DAILY!$L$5-DAILY!$K$5</f>
        <v>25</v>
      </c>
      <c r="G12" s="20">
        <f>DAILY!$L$6-DAILY!$K$6</f>
        <v>8</v>
      </c>
      <c r="H12" s="20">
        <f>DAILY!$L$7-DAILY!$K$7</f>
        <v>46</v>
      </c>
      <c r="I12" s="20">
        <f>DAILY!$L$8-DAILY!$K$8</f>
        <v>10</v>
      </c>
      <c r="J12" s="20">
        <f>DAILY!$L$9-DAILY!$K$9</f>
        <v>0</v>
      </c>
      <c r="K12" s="20">
        <f>DAILY!$L$10-DAILY!$K$10</f>
        <v>9</v>
      </c>
      <c r="L12" s="20">
        <f>DAILY!$L$11-DAILY!$K$11</f>
        <v>96</v>
      </c>
      <c r="M12" s="20">
        <f>DAILY!$L$12-DAILY!$K$12</f>
        <v>284</v>
      </c>
      <c r="N12" s="20">
        <f>DAILY!$L$13-DAILY!$K$13</f>
        <v>35.75</v>
      </c>
      <c r="O12" s="20">
        <f>DAILY!$L$14-DAILY!$K$14</f>
        <v>1</v>
      </c>
      <c r="P12" s="20">
        <f>DAILY!$L$15-DAILY!$K$15</f>
        <v>41.160000000003492</v>
      </c>
      <c r="Q12" s="20">
        <f>DAILY!$L$16-DAILY!$K$16</f>
        <v>10.540000000000873</v>
      </c>
    </row>
    <row r="13" spans="1:20" s="5" customFormat="1" x14ac:dyDescent="0.25">
      <c r="A13" s="4" t="s">
        <v>12</v>
      </c>
      <c r="B13" s="44">
        <f t="shared" si="0"/>
        <v>11</v>
      </c>
      <c r="C13" s="43">
        <v>3</v>
      </c>
      <c r="D13" s="29">
        <v>2021</v>
      </c>
      <c r="E13" s="20">
        <f>DAILY!M4-DAILY!L4</f>
        <v>13</v>
      </c>
      <c r="F13" s="20">
        <f>DAILY!$M$5-DAILY!$L$5</f>
        <v>28</v>
      </c>
      <c r="G13" s="20">
        <f>DAILY!$M$6-DAILY!$L$6</f>
        <v>8</v>
      </c>
      <c r="H13" s="20">
        <f>DAILY!$M$7-DAILY!$L$7</f>
        <v>51</v>
      </c>
      <c r="I13" s="20">
        <f>DAILY!$M$8-DAILY!$L$8</f>
        <v>11</v>
      </c>
      <c r="J13" s="20">
        <f>DAILY!$M$9-DAILY!$L$9</f>
        <v>1</v>
      </c>
      <c r="K13" s="20">
        <f>DAILY!$M$10-DAILY!$L$10</f>
        <v>11</v>
      </c>
      <c r="L13" s="20">
        <f>DAILY!$M$11-DAILY!$L$11</f>
        <v>108</v>
      </c>
      <c r="M13" s="20">
        <f>DAILY!$M$12-DAILY!$L$12</f>
        <v>324</v>
      </c>
      <c r="N13" s="20">
        <f>DAILY!$M$13-DAILY!$L$13</f>
        <v>31.799999999995634</v>
      </c>
      <c r="O13" s="20">
        <f>DAILY!$M$14-DAILY!$L$14</f>
        <v>0</v>
      </c>
      <c r="P13" s="20">
        <f>DAILY!$M$15-DAILY!$L$15</f>
        <v>45.240000000005239</v>
      </c>
      <c r="Q13" s="20">
        <f>DAILY!$M$16-DAILY!$L$16</f>
        <v>12.119999999995343</v>
      </c>
    </row>
    <row r="14" spans="1:20" s="5" customFormat="1" x14ac:dyDescent="0.25">
      <c r="A14" s="4" t="s">
        <v>12</v>
      </c>
      <c r="B14" s="44">
        <f t="shared" si="0"/>
        <v>12</v>
      </c>
      <c r="C14" s="43">
        <v>3</v>
      </c>
      <c r="D14" s="29">
        <v>2021</v>
      </c>
      <c r="E14" s="20">
        <f>DAILY!N4-DAILY!M4</f>
        <v>11</v>
      </c>
      <c r="F14" s="20">
        <f>DAILY!$N$5-DAILY!$M$5</f>
        <v>22</v>
      </c>
      <c r="G14" s="20">
        <f>DAILY!$N$6-DAILY!$M$6</f>
        <v>6</v>
      </c>
      <c r="H14" s="20">
        <f>DAILY!$N$7-DAILY!$M$7</f>
        <v>40</v>
      </c>
      <c r="I14" s="20">
        <f>DAILY!$N$8-DAILY!$M$8</f>
        <v>9</v>
      </c>
      <c r="J14" s="20">
        <f>DAILY!$N$9-DAILY!$M$9</f>
        <v>0</v>
      </c>
      <c r="K14" s="20">
        <f>DAILY!$N$10-DAILY!$M$10</f>
        <v>7</v>
      </c>
      <c r="L14" s="20">
        <f>DAILY!$N$11-DAILY!$M$11</f>
        <v>81</v>
      </c>
      <c r="M14" s="20">
        <f>DAILY!$N$12-DAILY!$M$12</f>
        <v>280</v>
      </c>
      <c r="N14" s="20">
        <f>DAILY!$N$13-DAILY!$M$13</f>
        <v>26.379999999997381</v>
      </c>
      <c r="O14" s="20">
        <f>DAILY!$N$14-DAILY!$M$14</f>
        <v>0</v>
      </c>
      <c r="P14" s="20">
        <f>DAILY!$N$15-DAILY!$M$15</f>
        <v>35.099999999991269</v>
      </c>
      <c r="Q14" s="20">
        <f>DAILY!$N$16-DAILY!$M$16</f>
        <v>8.3400000000037835</v>
      </c>
    </row>
    <row r="15" spans="1:20" s="5" customFormat="1" x14ac:dyDescent="0.25">
      <c r="A15" s="4" t="s">
        <v>12</v>
      </c>
      <c r="B15" s="44">
        <f t="shared" si="0"/>
        <v>13</v>
      </c>
      <c r="C15" s="43">
        <v>3</v>
      </c>
      <c r="D15" s="29">
        <v>2021</v>
      </c>
      <c r="E15" s="20">
        <f>DAILY!O4-DAILY!N4</f>
        <v>13</v>
      </c>
      <c r="F15" s="20">
        <f>DAILY!$O$5-DAILY!$N$5</f>
        <v>22</v>
      </c>
      <c r="G15" s="20">
        <f>DAILY!$O$6-DAILY!$N$6</f>
        <v>7</v>
      </c>
      <c r="H15" s="20">
        <f>DAILY!$O$7-DAILY!$N$7</f>
        <v>45</v>
      </c>
      <c r="I15" s="20">
        <f>DAILY!$O$8-DAILY!$N$8</f>
        <v>10</v>
      </c>
      <c r="J15" s="20">
        <f>DAILY!$O$9-DAILY!$N$9</f>
        <v>0</v>
      </c>
      <c r="K15" s="20">
        <f>DAILY!$O$10-DAILY!$N$10</f>
        <v>10</v>
      </c>
      <c r="L15" s="20">
        <f>DAILY!$O$11-DAILY!$N$11</f>
        <v>97</v>
      </c>
      <c r="M15" s="20">
        <f>DAILY!$O$12-DAILY!$N$12</f>
        <v>317</v>
      </c>
      <c r="N15" s="20">
        <f>DAILY!$O$13-DAILY!$N$13</f>
        <v>30.330000000001746</v>
      </c>
      <c r="O15" s="20">
        <f>DAILY!$O$14-DAILY!$N$14</f>
        <v>1</v>
      </c>
      <c r="P15" s="20">
        <f>DAILY!$O$15-DAILY!$N$15</f>
        <v>29.779999999998836</v>
      </c>
      <c r="Q15" s="20">
        <f>DAILY!$O$16-DAILY!$N$16</f>
        <v>8</v>
      </c>
    </row>
    <row r="16" spans="1:20" s="5" customFormat="1" x14ac:dyDescent="0.25">
      <c r="A16" s="4" t="s">
        <v>12</v>
      </c>
      <c r="B16" s="44">
        <f t="shared" si="0"/>
        <v>14</v>
      </c>
      <c r="C16" s="43">
        <v>3</v>
      </c>
      <c r="D16" s="29">
        <v>2021</v>
      </c>
      <c r="E16" s="20">
        <f>DAILY!P4-DAILY!O4</f>
        <v>12</v>
      </c>
      <c r="F16" s="20">
        <f>DAILY!$P$5-DAILY!$O$5</f>
        <v>25</v>
      </c>
      <c r="G16" s="20">
        <f>DAILY!$P$6-DAILY!$O$6</f>
        <v>7</v>
      </c>
      <c r="H16" s="20">
        <f>DAILY!$P$7-DAILY!$O$7</f>
        <v>46</v>
      </c>
      <c r="I16" s="20">
        <f>DAILY!$P$8-DAILY!$O$8</f>
        <v>10</v>
      </c>
      <c r="J16" s="20">
        <f>DAILY!$P$9-DAILY!$O$9</f>
        <v>0</v>
      </c>
      <c r="K16" s="20">
        <f>DAILY!$P$10-DAILY!$O$10</f>
        <v>9</v>
      </c>
      <c r="L16" s="20">
        <f>DAILY!$P$11-DAILY!$O$11</f>
        <v>100</v>
      </c>
      <c r="M16" s="20">
        <f>DAILY!$P$12-DAILY!$O$12</f>
        <v>303</v>
      </c>
      <c r="N16" s="20">
        <f>DAILY!$P$13-DAILY!$O$13</f>
        <v>35.709999999999127</v>
      </c>
      <c r="O16" s="20">
        <f>DAILY!$P$14-DAILY!$O$14</f>
        <v>0</v>
      </c>
      <c r="P16" s="20">
        <f>DAILY!$P$15-DAILY!$O$15</f>
        <v>42.380000000004657</v>
      </c>
      <c r="Q16" s="20">
        <f>DAILY!$P$16-DAILY!$O$16</f>
        <v>11.099999999998545</v>
      </c>
    </row>
    <row r="17" spans="1:17" s="5" customFormat="1" x14ac:dyDescent="0.25">
      <c r="A17" s="4" t="s">
        <v>12</v>
      </c>
      <c r="B17" s="44">
        <f t="shared" si="0"/>
        <v>15</v>
      </c>
      <c r="C17" s="43">
        <v>3</v>
      </c>
      <c r="D17" s="29">
        <v>2021</v>
      </c>
      <c r="E17" s="20">
        <f>DAILY!Q4-DAILY!P4</f>
        <v>11</v>
      </c>
      <c r="F17" s="20">
        <f>DAILY!$Q$5-DAILY!$P$5</f>
        <v>25</v>
      </c>
      <c r="G17" s="20">
        <f>DAILY!$Q$6-DAILY!$P$6</f>
        <v>7</v>
      </c>
      <c r="H17" s="20">
        <f>DAILY!$Q$7-DAILY!$P$7</f>
        <v>45</v>
      </c>
      <c r="I17" s="20">
        <f>DAILY!$Q$8-DAILY!$P$8</f>
        <v>12</v>
      </c>
      <c r="J17" s="20">
        <f>DAILY!$Q$9-DAILY!$P$9</f>
        <v>0</v>
      </c>
      <c r="K17" s="20">
        <f>DAILY!$Q$10-DAILY!$P$10</f>
        <v>12</v>
      </c>
      <c r="L17" s="20">
        <f>DAILY!$Q$11-DAILY!$P$11</f>
        <v>127</v>
      </c>
      <c r="M17" s="20">
        <f>DAILY!$Q$12-DAILY!$P$12</f>
        <v>271</v>
      </c>
      <c r="N17" s="20">
        <f>DAILY!$Q$13-DAILY!$P$13</f>
        <v>25.610000000000582</v>
      </c>
      <c r="O17" s="20">
        <f>DAILY!$Q$14-DAILY!$P$14</f>
        <v>0</v>
      </c>
      <c r="P17" s="20">
        <f>DAILY!$Q$15-DAILY!$P$15</f>
        <v>46.240000000005239</v>
      </c>
      <c r="Q17" s="20">
        <f>DAILY!$Q$16-DAILY!$P$16</f>
        <v>13.260000000002037</v>
      </c>
    </row>
    <row r="18" spans="1:17" s="5" customFormat="1" x14ac:dyDescent="0.25">
      <c r="A18" s="4" t="s">
        <v>12</v>
      </c>
      <c r="B18" s="44">
        <f t="shared" si="0"/>
        <v>16</v>
      </c>
      <c r="C18" s="43">
        <v>3</v>
      </c>
      <c r="D18" s="29">
        <v>2021</v>
      </c>
      <c r="E18" s="20">
        <f>DAILY!R4-DAILY!Q4</f>
        <v>12</v>
      </c>
      <c r="F18" s="20">
        <f>DAILY!$R$5-DAILY!$Q$5</f>
        <v>24</v>
      </c>
      <c r="G18" s="20">
        <f>DAILY!$R$6-DAILY!$Q$6</f>
        <v>7</v>
      </c>
      <c r="H18" s="20">
        <f>DAILY!$R$7-DAILY!$Q$7</f>
        <v>45</v>
      </c>
      <c r="I18" s="20">
        <f>DAILY!$R$8-DAILY!$Q$8</f>
        <v>12</v>
      </c>
      <c r="J18" s="20">
        <f>DAILY!$R$9-DAILY!$Q$9</f>
        <v>0</v>
      </c>
      <c r="K18" s="20">
        <f>DAILY!$R$10-DAILY!$Q$10</f>
        <v>6</v>
      </c>
      <c r="L18" s="20">
        <f>DAILY!$R$11-DAILY!$Q$11</f>
        <v>67</v>
      </c>
      <c r="M18" s="20">
        <f>DAILY!$R$12-DAILY!$Q$12</f>
        <v>273</v>
      </c>
      <c r="N18" s="20">
        <f>DAILY!$R$13-DAILY!$Q$13</f>
        <v>24.470000000001164</v>
      </c>
      <c r="O18" s="20">
        <f>DAILY!$R$14-DAILY!$Q$14</f>
        <v>0</v>
      </c>
      <c r="P18" s="20">
        <f>DAILY!$R$15-DAILY!$Q$15</f>
        <v>43.679999999993015</v>
      </c>
      <c r="Q18" s="20">
        <f>DAILY!$R$16-DAILY!$Q$16</f>
        <v>11.639999999999418</v>
      </c>
    </row>
    <row r="19" spans="1:17" s="5" customFormat="1" x14ac:dyDescent="0.25">
      <c r="A19" s="4" t="s">
        <v>12</v>
      </c>
      <c r="B19" s="44">
        <f t="shared" si="0"/>
        <v>17</v>
      </c>
      <c r="C19" s="43">
        <v>3</v>
      </c>
      <c r="D19" s="29">
        <v>2021</v>
      </c>
      <c r="E19" s="20">
        <f>DAILY!S4-DAILY!R4</f>
        <v>13</v>
      </c>
      <c r="F19" s="20">
        <f>DAILY!$S$5-DAILY!$R$5</f>
        <v>26</v>
      </c>
      <c r="G19" s="20">
        <f>DAILY!$S$6-DAILY!$R$6</f>
        <v>8</v>
      </c>
      <c r="H19" s="20">
        <f>DAILY!$S$7-DAILY!$R$7</f>
        <v>49</v>
      </c>
      <c r="I19" s="20">
        <f>DAILY!$S$8-DAILY!$R$8</f>
        <v>12</v>
      </c>
      <c r="J19" s="20">
        <f>DAILY!$S$9-DAILY!$R$9</f>
        <v>0</v>
      </c>
      <c r="K19" s="20">
        <f>DAILY!$S$10-DAILY!$R$10</f>
        <v>10</v>
      </c>
      <c r="L19" s="20">
        <f>DAILY!$S$11-DAILY!$R$11</f>
        <v>105</v>
      </c>
      <c r="M19" s="20">
        <f>DAILY!$S$12-DAILY!$R$12</f>
        <v>295</v>
      </c>
      <c r="N19" s="20">
        <f>DAILY!$S$13-DAILY!$R$13</f>
        <v>26.400000000001455</v>
      </c>
      <c r="O19" s="20">
        <f>DAILY!$S$14-DAILY!$R$14</f>
        <v>0</v>
      </c>
      <c r="P19" s="20">
        <f>DAILY!$S$15-DAILY!$R$15</f>
        <v>42.080000000001746</v>
      </c>
      <c r="Q19" s="20">
        <f>DAILY!$S$16-DAILY!$R$16</f>
        <v>9.7399999999979627</v>
      </c>
    </row>
    <row r="20" spans="1:17" s="5" customFormat="1" x14ac:dyDescent="0.25">
      <c r="A20" s="4" t="s">
        <v>12</v>
      </c>
      <c r="B20" s="44">
        <f t="shared" si="0"/>
        <v>18</v>
      </c>
      <c r="C20" s="43">
        <v>3</v>
      </c>
      <c r="D20" s="29">
        <v>2021</v>
      </c>
      <c r="E20" s="20">
        <f>DAILY!T4-DAILY!S4</f>
        <v>11</v>
      </c>
      <c r="F20" s="20">
        <f>DAILY!$T$5-DAILY!$S$5</f>
        <v>23</v>
      </c>
      <c r="G20" s="20">
        <f>DAILY!$T$6-DAILY!$S$6</f>
        <v>6</v>
      </c>
      <c r="H20" s="20">
        <f>DAILY!$T$7-DAILY!$S$7</f>
        <v>42</v>
      </c>
      <c r="I20" s="20">
        <f>DAILY!$T$8-DAILY!$S$8</f>
        <v>12</v>
      </c>
      <c r="J20" s="20">
        <f>DAILY!$T$9-DAILY!$S$9</f>
        <v>0</v>
      </c>
      <c r="K20" s="20">
        <f>DAILY!$T$10-DAILY!$S$10</f>
        <v>9</v>
      </c>
      <c r="L20" s="20">
        <f>DAILY!$T$11-DAILY!$S$11</f>
        <v>93</v>
      </c>
      <c r="M20" s="20">
        <f>DAILY!$T$12-DAILY!$S$12</f>
        <v>314</v>
      </c>
      <c r="N20" s="20">
        <f>DAILY!$T$13-DAILY!$S$13</f>
        <v>34.819999999999709</v>
      </c>
      <c r="O20" s="20">
        <f>DAILY!$T$14-DAILY!$S$14</f>
        <v>1</v>
      </c>
      <c r="P20" s="20">
        <f>DAILY!$T$15-DAILY!$S$15</f>
        <v>33.639999999999418</v>
      </c>
      <c r="Q20" s="20">
        <f>DAILY!$T$16-DAILY!$S$16</f>
        <v>7.0199999999967986</v>
      </c>
    </row>
    <row r="21" spans="1:17" s="5" customFormat="1" x14ac:dyDescent="0.25">
      <c r="A21" s="4" t="s">
        <v>12</v>
      </c>
      <c r="B21" s="44">
        <f t="shared" si="0"/>
        <v>19</v>
      </c>
      <c r="C21" s="43">
        <v>3</v>
      </c>
      <c r="D21" s="29">
        <v>2021</v>
      </c>
      <c r="E21" s="20">
        <f>DAILY!U4-DAILY!T4</f>
        <v>13</v>
      </c>
      <c r="F21" s="20">
        <f>DAILY!$U$5-DAILY!$T$5</f>
        <v>23</v>
      </c>
      <c r="G21" s="20">
        <f>DAILY!$U$6-DAILY!$T$6</f>
        <v>7</v>
      </c>
      <c r="H21" s="20">
        <f>DAILY!$U$7-DAILY!$T$7</f>
        <v>44</v>
      </c>
      <c r="I21" s="20">
        <f>DAILY!$U$8-DAILY!$T$8</f>
        <v>10</v>
      </c>
      <c r="J21" s="20">
        <f>DAILY!$U$9-DAILY!$T$9</f>
        <v>0</v>
      </c>
      <c r="K21" s="20">
        <f>DAILY!$U$10-DAILY!$T$10</f>
        <v>8</v>
      </c>
      <c r="L21" s="20">
        <f>DAILY!$U$11-DAILY!$T$11</f>
        <v>92</v>
      </c>
      <c r="M21" s="20">
        <f>DAILY!$U$12-DAILY!$T$12</f>
        <v>297</v>
      </c>
      <c r="N21" s="20">
        <f>DAILY!$U$13-DAILY!$T$13</f>
        <v>30.059999999997672</v>
      </c>
      <c r="O21" s="20">
        <f>DAILY!$U$14-DAILY!$T$14</f>
        <v>0</v>
      </c>
      <c r="P21" s="20">
        <f>DAILY!$U$15-DAILY!$T$15</f>
        <v>33.399999999994179</v>
      </c>
      <c r="Q21" s="20">
        <f>DAILY!$U$16-DAILY!$T$16</f>
        <v>6.6600000000034925</v>
      </c>
    </row>
    <row r="22" spans="1:17" s="5" customFormat="1" x14ac:dyDescent="0.25">
      <c r="A22" s="4" t="s">
        <v>12</v>
      </c>
      <c r="B22" s="44">
        <f t="shared" si="0"/>
        <v>20</v>
      </c>
      <c r="C22" s="43">
        <v>3</v>
      </c>
      <c r="D22" s="29">
        <v>2021</v>
      </c>
      <c r="E22" s="20">
        <f>DAILY!V4-DAILY!U4</f>
        <v>12</v>
      </c>
      <c r="F22" s="20">
        <f>DAILY!$V$5-DAILY!$U$5</f>
        <v>24</v>
      </c>
      <c r="G22" s="20">
        <f>DAILY!$V$6-DAILY!$U$6</f>
        <v>7</v>
      </c>
      <c r="H22" s="20">
        <f>DAILY!$V$7-DAILY!$U$7</f>
        <v>44</v>
      </c>
      <c r="I22" s="20">
        <f>DAILY!$V$8-DAILY!$U$8</f>
        <v>11</v>
      </c>
      <c r="J22" s="20">
        <f>DAILY!$V$9-DAILY!$U$9</f>
        <v>0</v>
      </c>
      <c r="K22" s="20">
        <f>DAILY!$V$10-DAILY!$U$10</f>
        <v>9</v>
      </c>
      <c r="L22" s="20">
        <f>DAILY!$V$11-DAILY!$U$11</f>
        <v>98</v>
      </c>
      <c r="M22" s="20">
        <f>DAILY!$V$12-DAILY!$U$12</f>
        <v>313</v>
      </c>
      <c r="N22" s="20">
        <f>DAILY!$V$13-DAILY!$U$13</f>
        <v>42.529999999998836</v>
      </c>
      <c r="O22" s="20">
        <f>DAILY!$V$14-DAILY!$U$14</f>
        <v>0</v>
      </c>
      <c r="P22" s="20">
        <f>DAILY!$V$15-DAILY!$U$15</f>
        <v>37.180000000007567</v>
      </c>
      <c r="Q22" s="20">
        <f>DAILY!$V$16-DAILY!$U$16</f>
        <v>7.2600000000020373</v>
      </c>
    </row>
    <row r="23" spans="1:17" s="5" customFormat="1" x14ac:dyDescent="0.25">
      <c r="A23" s="4" t="s">
        <v>12</v>
      </c>
      <c r="B23" s="44">
        <f t="shared" si="0"/>
        <v>21</v>
      </c>
      <c r="C23" s="43">
        <v>3</v>
      </c>
      <c r="D23" s="29">
        <v>2021</v>
      </c>
      <c r="E23" s="20">
        <f>DAILY!W4-DAILY!V4</f>
        <v>12</v>
      </c>
      <c r="F23" s="20">
        <f>DAILY!$W$5-DAILY!$V$5</f>
        <v>24</v>
      </c>
      <c r="G23" s="20">
        <f>DAILY!$W$6-DAILY!$V$6</f>
        <v>8</v>
      </c>
      <c r="H23" s="20">
        <f>DAILY!$W$7-DAILY!$V$7</f>
        <v>47</v>
      </c>
      <c r="I23" s="20">
        <f>DAILY!$W$8-DAILY!$V$8</f>
        <v>12</v>
      </c>
      <c r="J23" s="20">
        <f>DAILY!$W$9-DAILY!$V$9</f>
        <v>0</v>
      </c>
      <c r="K23" s="20">
        <f>DAILY!$W$10-DAILY!$V$10</f>
        <v>12</v>
      </c>
      <c r="L23" s="20">
        <f>DAILY!$W$11-DAILY!$V$11</f>
        <v>129</v>
      </c>
      <c r="M23" s="20">
        <f>DAILY!$W$12-DAILY!$V$12</f>
        <v>314</v>
      </c>
      <c r="N23" s="20">
        <f>DAILY!$W$13-DAILY!$V$13</f>
        <v>17.380000000004657</v>
      </c>
      <c r="O23" s="20">
        <f>DAILY!$W$14-DAILY!$V$14</f>
        <v>0</v>
      </c>
      <c r="P23" s="20">
        <f>DAILY!$W$15-DAILY!$V$15</f>
        <v>51.039999999993597</v>
      </c>
      <c r="Q23" s="20">
        <f>DAILY!$W$16-DAILY!$V$16</f>
        <v>12.239999999997963</v>
      </c>
    </row>
    <row r="24" spans="1:17" s="5" customFormat="1" x14ac:dyDescent="0.25">
      <c r="A24" s="4" t="s">
        <v>12</v>
      </c>
      <c r="B24" s="44">
        <f t="shared" si="0"/>
        <v>22</v>
      </c>
      <c r="C24" s="43">
        <v>3</v>
      </c>
      <c r="D24" s="29">
        <v>2021</v>
      </c>
      <c r="E24" s="20">
        <f>DAILY!X4-DAILY!W4</f>
        <v>12</v>
      </c>
      <c r="F24" s="20">
        <f>DAILY!$X$5-DAILY!$W$5</f>
        <v>22</v>
      </c>
      <c r="G24" s="20">
        <f>DAILY!$X$6-DAILY!$W$6</f>
        <v>8</v>
      </c>
      <c r="H24" s="20">
        <f>DAILY!$X$7-DAILY!$W$7</f>
        <v>45</v>
      </c>
      <c r="I24" s="20">
        <f>DAILY!$X$8-DAILY!$W$8</f>
        <v>12</v>
      </c>
      <c r="J24" s="20">
        <f>DAILY!$X$9-DAILY!$W$9</f>
        <v>0</v>
      </c>
      <c r="K24" s="20">
        <f>DAILY!$X$10-DAILY!$W$10</f>
        <v>7</v>
      </c>
      <c r="L24" s="20">
        <f>DAILY!$X$11-DAILY!$W$11</f>
        <v>76</v>
      </c>
      <c r="M24" s="20">
        <f>DAILY!$X$12-DAILY!$W$12</f>
        <v>292</v>
      </c>
      <c r="N24" s="20">
        <f>DAILY!$X$13-DAILY!$W$13</f>
        <v>24.639999999999418</v>
      </c>
      <c r="O24" s="20">
        <f>DAILY!$X$14-DAILY!$W$14</f>
        <v>0</v>
      </c>
      <c r="P24" s="20">
        <f>DAILY!$X$15-DAILY!$W$15</f>
        <v>38.580000000001746</v>
      </c>
      <c r="Q24" s="20">
        <f>DAILY!$X$16-DAILY!$W$16</f>
        <v>8.9599999999991269</v>
      </c>
    </row>
    <row r="25" spans="1:17" s="5" customFormat="1" x14ac:dyDescent="0.25">
      <c r="A25" s="4" t="s">
        <v>12</v>
      </c>
      <c r="B25" s="44">
        <f t="shared" si="0"/>
        <v>23</v>
      </c>
      <c r="C25" s="43">
        <v>3</v>
      </c>
      <c r="D25" s="29">
        <v>2021</v>
      </c>
      <c r="E25" s="20">
        <f>DAILY!Y4-DAILY!X4</f>
        <v>13</v>
      </c>
      <c r="F25" s="20">
        <f>DAILY!$Y$5-DAILY!$X$5</f>
        <v>28</v>
      </c>
      <c r="G25" s="20">
        <f>DAILY!$Y$6-DAILY!$X$6</f>
        <v>8</v>
      </c>
      <c r="H25" s="20">
        <f>DAILY!$Y$7-DAILY!$X$7</f>
        <v>54</v>
      </c>
      <c r="I25" s="20">
        <f>DAILY!$Y$8-DAILY!$X$8</f>
        <v>14</v>
      </c>
      <c r="J25" s="20">
        <f>DAILY!$Y$9-DAILY!$X$9</f>
        <v>0</v>
      </c>
      <c r="K25" s="20">
        <f>DAILY!$Y$10-DAILY!$X$10</f>
        <v>11</v>
      </c>
      <c r="L25" s="20">
        <f>DAILY!$Y$11-DAILY!$X$11</f>
        <v>118</v>
      </c>
      <c r="M25" s="20">
        <f>DAILY!$Y$12-DAILY!$X$12</f>
        <v>323</v>
      </c>
      <c r="N25" s="20">
        <f>DAILY!$Y$13-DAILY!$X$13</f>
        <v>24.150000000001455</v>
      </c>
      <c r="O25" s="20">
        <f>DAILY!$Y$14-DAILY!$X$14</f>
        <v>0</v>
      </c>
      <c r="P25" s="20">
        <f>DAILY!$Y$15-DAILY!$X$15</f>
        <v>30.100000000005821</v>
      </c>
      <c r="Q25" s="20">
        <f>DAILY!$Y$16-DAILY!$X$16</f>
        <v>6.1200000000026193</v>
      </c>
    </row>
    <row r="26" spans="1:17" s="5" customFormat="1" x14ac:dyDescent="0.25">
      <c r="A26" s="4" t="s">
        <v>12</v>
      </c>
      <c r="B26" s="44">
        <f t="shared" si="0"/>
        <v>24</v>
      </c>
      <c r="C26" s="43">
        <v>3</v>
      </c>
      <c r="D26" s="29">
        <v>2021</v>
      </c>
      <c r="E26" s="20">
        <f>DAILY!Z4-DAILY!Y4</f>
        <v>11</v>
      </c>
      <c r="F26" s="20">
        <f>DAILY!$Z$5-DAILY!$Y$5</f>
        <v>22</v>
      </c>
      <c r="G26" s="20">
        <f>DAILY!$Z$6-DAILY!$Y$6</f>
        <v>7</v>
      </c>
      <c r="H26" s="20">
        <f>DAILY!$Z$7-DAILY!$Y$7</f>
        <v>42</v>
      </c>
      <c r="I26" s="20">
        <f>DAILY!$Z$8-DAILY!$Y$8</f>
        <v>11</v>
      </c>
      <c r="J26" s="20">
        <f>DAILY!$Z$9-DAILY!$Y$9</f>
        <v>0</v>
      </c>
      <c r="K26" s="20">
        <f>DAILY!$Z$10-DAILY!$Y$10</f>
        <v>9</v>
      </c>
      <c r="L26" s="20">
        <f>DAILY!$Z$11-DAILY!$Y$11</f>
        <v>94</v>
      </c>
      <c r="M26" s="20">
        <f>DAILY!$Z$12-DAILY!$Y$12</f>
        <v>249</v>
      </c>
      <c r="N26" s="20">
        <f>DAILY!$Z$13-DAILY!$Y$13</f>
        <v>26.649999999994179</v>
      </c>
      <c r="O26" s="20">
        <f>DAILY!$Z$14-DAILY!$Y$14</f>
        <v>1</v>
      </c>
      <c r="P26" s="20">
        <f>DAILY!$Z$15-DAILY!$Y$15</f>
        <v>34.459999999991851</v>
      </c>
      <c r="Q26" s="20">
        <f>DAILY!$Z$16-DAILY!$Y$16</f>
        <v>7.3799999999973807</v>
      </c>
    </row>
    <row r="27" spans="1:17" s="5" customFormat="1" x14ac:dyDescent="0.25">
      <c r="A27" s="4" t="s">
        <v>12</v>
      </c>
      <c r="B27" s="44">
        <f>B26+1</f>
        <v>25</v>
      </c>
      <c r="C27" s="43">
        <v>3</v>
      </c>
      <c r="D27" s="29">
        <v>2021</v>
      </c>
      <c r="E27" s="20">
        <f>DAILY!AA4-DAILY!Z4</f>
        <v>12</v>
      </c>
      <c r="F27" s="20">
        <f>DAILY!$AA$5-DAILY!$Z$5</f>
        <v>22</v>
      </c>
      <c r="G27" s="20">
        <f>DAILY!$AA$6-DAILY!$Z$6</f>
        <v>6</v>
      </c>
      <c r="H27" s="20">
        <f>DAILY!$AA$7-DAILY!$Z$7</f>
        <v>44</v>
      </c>
      <c r="I27" s="20">
        <f>DAILY!$AA$8-DAILY!$Z$8</f>
        <v>12</v>
      </c>
      <c r="J27" s="20">
        <f>DAILY!$AA$9-DAILY!$Z$9</f>
        <v>0</v>
      </c>
      <c r="K27" s="20">
        <f>DAILY!$AA$10-DAILY!$Z$10</f>
        <v>8</v>
      </c>
      <c r="L27" s="20">
        <f>DAILY!$AA$11-DAILY!$Z$11</f>
        <v>93</v>
      </c>
      <c r="M27" s="20">
        <f>DAILY!$AA$12-DAILY!$Z$12</f>
        <v>270</v>
      </c>
      <c r="N27" s="20">
        <f>DAILY!$AA$13-DAILY!$Z$13</f>
        <v>31.450000000004366</v>
      </c>
      <c r="O27" s="20">
        <f>DAILY!$AA$14-DAILY!$Z$14</f>
        <v>0</v>
      </c>
      <c r="P27" s="20">
        <f>DAILY!$AA$15-DAILY!$Z$15</f>
        <v>32.639999999999418</v>
      </c>
      <c r="Q27" s="20">
        <f>DAILY!$AA$16-DAILY!$Z$16</f>
        <v>6.9400000000023283</v>
      </c>
    </row>
    <row r="28" spans="1:17" s="5" customFormat="1" x14ac:dyDescent="0.25">
      <c r="A28" s="4" t="s">
        <v>12</v>
      </c>
      <c r="B28" s="44">
        <f t="shared" si="0"/>
        <v>26</v>
      </c>
      <c r="C28" s="43">
        <v>3</v>
      </c>
      <c r="D28" s="29">
        <v>2021</v>
      </c>
      <c r="E28" s="20">
        <f>DAILY!AB4-DAILY!AA4</f>
        <v>12</v>
      </c>
      <c r="F28" s="20">
        <f>DAILY!$AB$5-DAILY!$AA$5</f>
        <v>22</v>
      </c>
      <c r="G28" s="20">
        <f>DAILY!$AB$6-DAILY!$AA$6</f>
        <v>8</v>
      </c>
      <c r="H28" s="20">
        <f>DAILY!$AB$7-DAILY!$AA$7</f>
        <v>43</v>
      </c>
      <c r="I28" s="20">
        <f>DAILY!$AB$8-DAILY!$AA$8</f>
        <v>13</v>
      </c>
      <c r="J28" s="20">
        <f>DAILY!$AB$9-DAILY!$AA$9</f>
        <v>0</v>
      </c>
      <c r="K28" s="20">
        <f>DAILY!$AB$10-DAILY!$AA$10</f>
        <v>9</v>
      </c>
      <c r="L28" s="20">
        <f>DAILY!$AB$11-DAILY!$AA$11</f>
        <v>90</v>
      </c>
      <c r="M28" s="20">
        <f>DAILY!$AB$12-DAILY!$AA$12</f>
        <v>307</v>
      </c>
      <c r="N28" s="20">
        <f>DAILY!$AB$13-DAILY!$AA$13</f>
        <v>31.269999999996799</v>
      </c>
      <c r="O28" s="20">
        <f>DAILY!$AB$14-DAILY!$AA$14</f>
        <v>0</v>
      </c>
      <c r="P28" s="20">
        <f>DAILY!$AB$15-DAILY!$AA$15</f>
        <v>33.559999999997672</v>
      </c>
      <c r="Q28" s="20">
        <f>DAILY!$AB$16-DAILY!$AA$16</f>
        <v>6.3600000000005821</v>
      </c>
    </row>
    <row r="29" spans="1:17" s="5" customFormat="1" x14ac:dyDescent="0.25">
      <c r="A29" s="4" t="s">
        <v>12</v>
      </c>
      <c r="B29" s="44">
        <f t="shared" si="0"/>
        <v>27</v>
      </c>
      <c r="C29" s="43">
        <v>3</v>
      </c>
      <c r="D29" s="29">
        <v>2021</v>
      </c>
      <c r="E29" s="20">
        <f>DAILY!AC4-DAILY!AB4</f>
        <v>17</v>
      </c>
      <c r="F29" s="20">
        <f>DAILY!$AC$5-DAILY!$AB$5</f>
        <v>31</v>
      </c>
      <c r="G29" s="20">
        <f>DAILY!$AC$6-DAILY!$AB$6</f>
        <v>8</v>
      </c>
      <c r="H29" s="20">
        <f>DAILY!$AC$7-DAILY!$AB$7</f>
        <v>42</v>
      </c>
      <c r="I29" s="20">
        <f>DAILY!$AC$8-DAILY!$AB$8</f>
        <v>18</v>
      </c>
      <c r="J29" s="20">
        <f>DAILY!$AC$9-DAILY!$AB$9</f>
        <v>0</v>
      </c>
      <c r="K29" s="20">
        <f>DAILY!$AC$10-DAILY!$AB$10</f>
        <v>10</v>
      </c>
      <c r="L29" s="20">
        <f>DAILY!$AC$11-DAILY!$AB$11</f>
        <v>103</v>
      </c>
      <c r="M29" s="20">
        <f>DAILY!$AC$12-DAILY!$AB$12</f>
        <v>204</v>
      </c>
      <c r="N29" s="20">
        <f>DAILY!$AC$13-DAILY!$AB$13</f>
        <v>27.889999999999418</v>
      </c>
      <c r="O29" s="20">
        <f>DAILY!$AC$14-DAILY!$AB$14</f>
        <v>0</v>
      </c>
      <c r="P29" s="20">
        <f>DAILY!$AC$15-DAILY!$AB$15</f>
        <v>42.14000000001397</v>
      </c>
      <c r="Q29" s="20">
        <f>DAILY!$AC$16-DAILY!$AB$16</f>
        <v>6.8699999999953434</v>
      </c>
    </row>
    <row r="30" spans="1:17" s="5" customFormat="1" x14ac:dyDescent="0.25">
      <c r="A30" s="4" t="s">
        <v>12</v>
      </c>
      <c r="B30" s="44">
        <f t="shared" si="0"/>
        <v>28</v>
      </c>
      <c r="C30" s="43">
        <v>3</v>
      </c>
      <c r="D30" s="29">
        <v>2021</v>
      </c>
      <c r="E30" s="20">
        <f>DAILY!AD4-DAILY!AC4</f>
        <v>10</v>
      </c>
      <c r="F30" s="20">
        <f>DAILY!$AD$5-DAILY!$AC$5</f>
        <v>17</v>
      </c>
      <c r="G30" s="20">
        <f>DAILY!$AD$6-DAILY!$AC$6</f>
        <v>7</v>
      </c>
      <c r="H30" s="20">
        <f>DAILY!$AD$7-DAILY!$AC$7</f>
        <v>50</v>
      </c>
      <c r="I30" s="20">
        <f>DAILY!$AD$8-DAILY!$AC$8</f>
        <v>6</v>
      </c>
      <c r="J30" s="20">
        <f>DAILY!$AD$9-DAILY!$AC$9</f>
        <v>0</v>
      </c>
      <c r="K30" s="20">
        <f>DAILY!$AD$10-DAILY!$AC$10</f>
        <v>9</v>
      </c>
      <c r="L30" s="20">
        <f>DAILY!$AD$11-DAILY!$AC$11</f>
        <v>103</v>
      </c>
      <c r="M30" s="20">
        <f>DAILY!$AD$12-DAILY!$AC$12</f>
        <v>472</v>
      </c>
      <c r="N30" s="20">
        <f>DAILY!$AD$13-DAILY!$AC$13</f>
        <v>52.610000000000582</v>
      </c>
      <c r="O30" s="20">
        <f>DAILY!$AD$14-DAILY!$AC$14</f>
        <v>0</v>
      </c>
      <c r="P30" s="20">
        <f>DAILY!$AD$15-DAILY!$AC$15</f>
        <v>36.35999999998603</v>
      </c>
      <c r="Q30" s="20">
        <f>DAILY!$AD$16-DAILY!$AC$16</f>
        <v>10.389999999999418</v>
      </c>
    </row>
    <row r="31" spans="1:17" s="5" customFormat="1" x14ac:dyDescent="0.25">
      <c r="A31" s="4" t="s">
        <v>12</v>
      </c>
      <c r="B31" s="44">
        <f t="shared" si="0"/>
        <v>29</v>
      </c>
      <c r="C31" s="43">
        <v>3</v>
      </c>
      <c r="D31" s="29">
        <v>2021</v>
      </c>
      <c r="E31" s="20">
        <f>DAILY!AE4-DAILY!AD4</f>
        <v>13</v>
      </c>
      <c r="F31" s="20">
        <f>DAILY!$AE$5-DAILY!$AD$5</f>
        <v>24</v>
      </c>
      <c r="G31" s="20">
        <f>DAILY!$AE$6-DAILY!$AD$6</f>
        <v>8</v>
      </c>
      <c r="H31" s="20">
        <f>DAILY!$AE$7-DAILY!$AD$7</f>
        <v>46</v>
      </c>
      <c r="I31" s="20">
        <f>DAILY!$AE$8-DAILY!$AD$8</f>
        <v>12</v>
      </c>
      <c r="J31" s="20">
        <f>DAILY!$AE$9-DAILY!$AD$9</f>
        <v>0</v>
      </c>
      <c r="K31" s="20">
        <f>DAILY!$AE$10-DAILY!$AD$10</f>
        <v>9</v>
      </c>
      <c r="L31" s="20">
        <f>DAILY!$AE$11-DAILY!$AD$11</f>
        <v>100</v>
      </c>
      <c r="M31" s="20">
        <f>DAILY!$AE$12-DAILY!$AD$12</f>
        <v>299</v>
      </c>
      <c r="N31" s="20">
        <f>DAILY!$AE$13-DAILY!$AD$13</f>
        <v>32.490000000005239</v>
      </c>
      <c r="O31" s="20">
        <f>DAILY!$AE$14-DAILY!$AD$14</f>
        <v>1</v>
      </c>
      <c r="P31" s="20">
        <f>DAILY!$AE$15-DAILY!$AD$15</f>
        <v>40.30000000000291</v>
      </c>
      <c r="Q31" s="20">
        <f>DAILY!$AE$16-DAILY!$AD$16</f>
        <v>9.0800000000017462</v>
      </c>
    </row>
    <row r="32" spans="1:17" s="4" customFormat="1" ht="12.75" x14ac:dyDescent="0.2">
      <c r="A32" s="4" t="s">
        <v>12</v>
      </c>
      <c r="B32" s="29">
        <f t="shared" si="0"/>
        <v>30</v>
      </c>
      <c r="C32" s="43">
        <v>3</v>
      </c>
      <c r="D32" s="29">
        <v>2021</v>
      </c>
      <c r="E32" s="20">
        <f>DAILY!AF4-DAILY!AE4</f>
        <v>12</v>
      </c>
      <c r="F32" s="20">
        <f>DAILY!$AF$5-DAILY!$AE$5</f>
        <v>24</v>
      </c>
      <c r="G32" s="20">
        <f>DAILY!$AF$6-DAILY!$AE$6</f>
        <v>8</v>
      </c>
      <c r="H32" s="20">
        <f>DAILY!$AF$7-DAILY!$AE$7</f>
        <v>46</v>
      </c>
      <c r="I32" s="20">
        <f>DAILY!$AF$8-DAILY!$AE$8</f>
        <v>12</v>
      </c>
      <c r="J32" s="20">
        <f>DAILY!$AF$9-DAILY!$AE$9</f>
        <v>0</v>
      </c>
      <c r="K32" s="20">
        <f>DAILY!$AF$10-DAILY!$AE$10</f>
        <v>9</v>
      </c>
      <c r="L32" s="20">
        <f>DAILY!$AF$11-DAILY!$AE$11</f>
        <v>99</v>
      </c>
      <c r="M32" s="20">
        <f>DAILY!$AF$12-DAILY!$AE$12</f>
        <v>295</v>
      </c>
      <c r="N32" s="20">
        <f>DAILY!$AF$13-DAILY!$AE$13</f>
        <v>39.509999999994761</v>
      </c>
      <c r="O32" s="20">
        <f>DAILY!$AF$14-DAILY!$AE$14</f>
        <v>0</v>
      </c>
      <c r="P32" s="20">
        <f>DAILY!$AF$15-DAILY!$AE$15</f>
        <v>38.460000000006403</v>
      </c>
      <c r="Q32" s="20">
        <f>DAILY!$AF$16-DAILY!$AE$16</f>
        <v>8.6399999999994179</v>
      </c>
    </row>
    <row r="33" spans="1:22" s="4" customFormat="1" ht="12.75" x14ac:dyDescent="0.2">
      <c r="A33" s="4" t="s">
        <v>12</v>
      </c>
      <c r="B33" s="29">
        <f t="shared" si="0"/>
        <v>31</v>
      </c>
      <c r="C33" s="43">
        <v>3</v>
      </c>
      <c r="D33" s="29">
        <v>2021</v>
      </c>
      <c r="E33" s="20">
        <f>DAILY!AG4-DAILY!AF4</f>
        <v>13</v>
      </c>
      <c r="F33" s="20">
        <f>DAILY!$AG$5-DAILY!$AF$5</f>
        <v>22</v>
      </c>
      <c r="G33" s="20">
        <f>DAILY!$AG$6-DAILY!$AF$6</f>
        <v>8</v>
      </c>
      <c r="H33" s="20">
        <f>DAILY!$AG$7-DAILY!$AF$7</f>
        <v>46</v>
      </c>
      <c r="I33" s="20">
        <f>DAILY!$AG$8-DAILY!$AF$8</f>
        <v>13</v>
      </c>
      <c r="J33" s="20">
        <f>DAILY!$AG$9-DAILY!$AF$9</f>
        <v>0</v>
      </c>
      <c r="K33" s="20">
        <f>DAILY!$AG$10-DAILY!$AF$10</f>
        <v>9</v>
      </c>
      <c r="L33" s="20">
        <f>DAILY!$AG$11-DAILY!$AF$11</f>
        <v>98</v>
      </c>
      <c r="M33" s="20">
        <f>DAILY!$AG$12-DAILY!$AF$12</f>
        <v>283</v>
      </c>
      <c r="N33" s="20">
        <f>DAILY!$AG$13-DAILY!$AF$13</f>
        <v>36.680000000000291</v>
      </c>
      <c r="O33" s="20">
        <f>DAILY!$AG$14-DAILY!$AF$14</f>
        <v>0</v>
      </c>
      <c r="P33" s="20">
        <f>DAILY!$AG$15-DAILY!$AF$15</f>
        <v>33.179999999993015</v>
      </c>
      <c r="Q33" s="20">
        <f>DAILY!$AG$16-DAILY!$AF$16</f>
        <v>6.4800000000032014</v>
      </c>
    </row>
    <row r="38" spans="1:22" x14ac:dyDescent="0.25">
      <c r="D38" s="45"/>
      <c r="E38" s="45"/>
      <c r="F38" s="45"/>
      <c r="G38" s="45"/>
      <c r="H38" s="45"/>
      <c r="I38" s="45"/>
      <c r="J38" s="45"/>
      <c r="K38" s="45"/>
      <c r="L38" s="45"/>
      <c r="M38" s="45"/>
      <c r="N38" s="45"/>
      <c r="O38" s="45"/>
      <c r="P38" s="45"/>
      <c r="Q38" s="45"/>
      <c r="R38" s="23"/>
      <c r="S38" s="23"/>
      <c r="T38" s="23"/>
      <c r="U38" s="23"/>
      <c r="V38" s="23"/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6"/>
  <sheetViews>
    <sheetView tabSelected="1" topLeftCell="N1" workbookViewId="0">
      <selection activeCell="D8" sqref="D8"/>
    </sheetView>
  </sheetViews>
  <sheetFormatPr defaultColWidth="8.85546875" defaultRowHeight="15.75" x14ac:dyDescent="0.25"/>
  <cols>
    <col min="1" max="2" width="30.28515625" style="12" customWidth="1"/>
    <col min="3" max="3" width="11.28515625" style="10" customWidth="1"/>
    <col min="4" max="4" width="10.28515625" style="10" customWidth="1"/>
    <col min="5" max="5" width="10.140625" style="10" customWidth="1"/>
    <col min="6" max="6" width="9.7109375" style="10" customWidth="1"/>
    <col min="7" max="7" width="10.28515625" style="11" customWidth="1"/>
    <col min="8" max="8" width="10.28515625" style="10" customWidth="1"/>
    <col min="9" max="10" width="9.7109375" style="10" customWidth="1"/>
    <col min="11" max="14" width="9.85546875" style="10" customWidth="1"/>
    <col min="15" max="22" width="9.7109375" style="10" customWidth="1"/>
    <col min="23" max="23" width="11.42578125" style="10" bestFit="1" customWidth="1"/>
    <col min="24" max="30" width="9.7109375" style="10" customWidth="1"/>
    <col min="31" max="31" width="9.7109375" style="12" customWidth="1"/>
    <col min="32" max="32" width="9.85546875" style="12" customWidth="1"/>
    <col min="33" max="33" width="10.140625" style="12" customWidth="1"/>
    <col min="34" max="16384" width="8.85546875" style="12"/>
  </cols>
  <sheetData>
    <row r="1" spans="1:33" x14ac:dyDescent="0.25">
      <c r="A1" s="8" t="s">
        <v>13</v>
      </c>
      <c r="B1" s="8"/>
      <c r="C1" s="9"/>
    </row>
    <row r="2" spans="1:33" x14ac:dyDescent="0.25">
      <c r="A2" s="36" t="s">
        <v>14</v>
      </c>
      <c r="B2" s="18"/>
      <c r="C2" s="37" t="s">
        <v>15</v>
      </c>
      <c r="D2" s="38"/>
      <c r="E2" s="38"/>
      <c r="F2" s="38"/>
      <c r="G2" s="38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9"/>
      <c r="X2" s="39"/>
      <c r="Y2" s="39"/>
      <c r="Z2" s="39"/>
      <c r="AA2" s="39"/>
      <c r="AB2" s="39"/>
      <c r="AC2" s="39"/>
      <c r="AD2" s="39"/>
      <c r="AE2" s="40"/>
      <c r="AF2" s="40"/>
      <c r="AG2" s="41"/>
    </row>
    <row r="3" spans="1:33" x14ac:dyDescent="0.25">
      <c r="A3" s="36"/>
      <c r="B3" s="19">
        <v>44255</v>
      </c>
      <c r="C3" s="13">
        <v>44256</v>
      </c>
      <c r="D3" s="13">
        <f>SUM(C3+1)</f>
        <v>44257</v>
      </c>
      <c r="E3" s="13">
        <f t="shared" ref="E3:AG3" si="0">SUM(D3+1)</f>
        <v>44258</v>
      </c>
      <c r="F3" s="13">
        <f t="shared" si="0"/>
        <v>44259</v>
      </c>
      <c r="G3" s="14">
        <f t="shared" si="0"/>
        <v>44260</v>
      </c>
      <c r="H3" s="13">
        <f t="shared" si="0"/>
        <v>44261</v>
      </c>
      <c r="I3" s="13">
        <f t="shared" si="0"/>
        <v>44262</v>
      </c>
      <c r="J3" s="13">
        <f t="shared" si="0"/>
        <v>44263</v>
      </c>
      <c r="K3" s="13">
        <f t="shared" si="0"/>
        <v>44264</v>
      </c>
      <c r="L3" s="13">
        <f t="shared" si="0"/>
        <v>44265</v>
      </c>
      <c r="M3" s="13">
        <f t="shared" si="0"/>
        <v>44266</v>
      </c>
      <c r="N3" s="13">
        <f t="shared" si="0"/>
        <v>44267</v>
      </c>
      <c r="O3" s="13">
        <f t="shared" si="0"/>
        <v>44268</v>
      </c>
      <c r="P3" s="13">
        <f t="shared" si="0"/>
        <v>44269</v>
      </c>
      <c r="Q3" s="13">
        <f t="shared" si="0"/>
        <v>44270</v>
      </c>
      <c r="R3" s="13">
        <f t="shared" si="0"/>
        <v>44271</v>
      </c>
      <c r="S3" s="13">
        <f t="shared" si="0"/>
        <v>44272</v>
      </c>
      <c r="T3" s="13">
        <f t="shared" si="0"/>
        <v>44273</v>
      </c>
      <c r="U3" s="13">
        <f t="shared" si="0"/>
        <v>44274</v>
      </c>
      <c r="V3" s="13">
        <f t="shared" si="0"/>
        <v>44275</v>
      </c>
      <c r="W3" s="13">
        <f t="shared" si="0"/>
        <v>44276</v>
      </c>
      <c r="X3" s="13">
        <f t="shared" si="0"/>
        <v>44277</v>
      </c>
      <c r="Y3" s="13">
        <f t="shared" si="0"/>
        <v>44278</v>
      </c>
      <c r="Z3" s="13">
        <f t="shared" si="0"/>
        <v>44279</v>
      </c>
      <c r="AA3" s="13">
        <f t="shared" si="0"/>
        <v>44280</v>
      </c>
      <c r="AB3" s="13">
        <f t="shared" si="0"/>
        <v>44281</v>
      </c>
      <c r="AC3" s="13">
        <f t="shared" si="0"/>
        <v>44282</v>
      </c>
      <c r="AD3" s="13">
        <f t="shared" si="0"/>
        <v>44283</v>
      </c>
      <c r="AE3" s="13">
        <f t="shared" si="0"/>
        <v>44284</v>
      </c>
      <c r="AF3" s="13">
        <f t="shared" si="0"/>
        <v>44285</v>
      </c>
      <c r="AG3" s="13">
        <f t="shared" si="0"/>
        <v>44286</v>
      </c>
    </row>
    <row r="4" spans="1:33" x14ac:dyDescent="0.25">
      <c r="A4" s="15" t="s">
        <v>16</v>
      </c>
      <c r="B4" s="24" t="s">
        <v>31</v>
      </c>
      <c r="C4" s="33" t="s">
        <v>44</v>
      </c>
      <c r="D4" s="33" t="s">
        <v>45</v>
      </c>
      <c r="E4" s="32" t="s">
        <v>46</v>
      </c>
      <c r="F4" s="32" t="s">
        <v>47</v>
      </c>
      <c r="G4" s="32" t="s">
        <v>48</v>
      </c>
      <c r="H4" s="32" t="s">
        <v>49</v>
      </c>
      <c r="I4" s="32" t="s">
        <v>50</v>
      </c>
      <c r="J4" s="32" t="s">
        <v>51</v>
      </c>
      <c r="K4" s="32" t="s">
        <v>52</v>
      </c>
      <c r="L4" s="32" t="s">
        <v>53</v>
      </c>
      <c r="M4" s="32" t="s">
        <v>54</v>
      </c>
      <c r="N4" s="32" t="s">
        <v>55</v>
      </c>
      <c r="O4" s="32" t="s">
        <v>56</v>
      </c>
      <c r="P4" s="32" t="s">
        <v>57</v>
      </c>
      <c r="Q4" s="32" t="s">
        <v>58</v>
      </c>
      <c r="R4" s="32" t="s">
        <v>59</v>
      </c>
      <c r="S4" s="32" t="s">
        <v>60</v>
      </c>
      <c r="T4" s="32" t="s">
        <v>61</v>
      </c>
      <c r="U4" s="32" t="s">
        <v>62</v>
      </c>
      <c r="V4" s="32" t="s">
        <v>63</v>
      </c>
      <c r="W4" s="32" t="s">
        <v>64</v>
      </c>
      <c r="X4" s="32" t="s">
        <v>65</v>
      </c>
      <c r="Y4" s="32" t="s">
        <v>66</v>
      </c>
      <c r="Z4" s="32" t="s">
        <v>67</v>
      </c>
      <c r="AA4" s="32" t="s">
        <v>68</v>
      </c>
      <c r="AB4" s="32" t="s">
        <v>69</v>
      </c>
      <c r="AC4" s="32" t="s">
        <v>70</v>
      </c>
      <c r="AD4" s="32" t="s">
        <v>71</v>
      </c>
      <c r="AE4" s="32" t="s">
        <v>72</v>
      </c>
      <c r="AF4" s="32" t="s">
        <v>73</v>
      </c>
      <c r="AG4" s="32" t="s">
        <v>74</v>
      </c>
    </row>
    <row r="5" spans="1:33" x14ac:dyDescent="0.25">
      <c r="A5" s="15" t="s">
        <v>17</v>
      </c>
      <c r="B5" s="24" t="s">
        <v>32</v>
      </c>
      <c r="C5" s="33" t="s">
        <v>75</v>
      </c>
      <c r="D5" s="33" t="s">
        <v>76</v>
      </c>
      <c r="E5" s="32" t="s">
        <v>77</v>
      </c>
      <c r="F5" s="32" t="s">
        <v>78</v>
      </c>
      <c r="G5" s="32" t="s">
        <v>79</v>
      </c>
      <c r="H5" s="32" t="s">
        <v>80</v>
      </c>
      <c r="I5" s="32" t="s">
        <v>81</v>
      </c>
      <c r="J5" s="32" t="s">
        <v>82</v>
      </c>
      <c r="K5" s="32" t="s">
        <v>83</v>
      </c>
      <c r="L5" s="32" t="s">
        <v>84</v>
      </c>
      <c r="M5" s="32" t="s">
        <v>85</v>
      </c>
      <c r="N5" s="32" t="s">
        <v>86</v>
      </c>
      <c r="O5" s="32" t="s">
        <v>87</v>
      </c>
      <c r="P5" s="32" t="s">
        <v>88</v>
      </c>
      <c r="Q5" s="32" t="s">
        <v>89</v>
      </c>
      <c r="R5" s="32" t="s">
        <v>90</v>
      </c>
      <c r="S5" s="32" t="s">
        <v>91</v>
      </c>
      <c r="T5" s="32" t="s">
        <v>92</v>
      </c>
      <c r="U5" s="32" t="s">
        <v>93</v>
      </c>
      <c r="V5" s="32" t="s">
        <v>94</v>
      </c>
      <c r="W5" s="32" t="s">
        <v>95</v>
      </c>
      <c r="X5" s="32" t="s">
        <v>96</v>
      </c>
      <c r="Y5" s="32" t="s">
        <v>97</v>
      </c>
      <c r="Z5" s="32" t="s">
        <v>98</v>
      </c>
      <c r="AA5" s="32" t="s">
        <v>99</v>
      </c>
      <c r="AB5" s="32" t="s">
        <v>100</v>
      </c>
      <c r="AC5" s="32" t="s">
        <v>101</v>
      </c>
      <c r="AD5" s="32" t="s">
        <v>102</v>
      </c>
      <c r="AE5" s="32" t="s">
        <v>103</v>
      </c>
      <c r="AF5" s="32" t="s">
        <v>104</v>
      </c>
      <c r="AG5" s="32" t="s">
        <v>105</v>
      </c>
    </row>
    <row r="6" spans="1:33" x14ac:dyDescent="0.25">
      <c r="A6" s="15" t="s">
        <v>18</v>
      </c>
      <c r="B6" s="24" t="s">
        <v>33</v>
      </c>
      <c r="C6" s="33" t="s">
        <v>106</v>
      </c>
      <c r="D6" s="33" t="s">
        <v>107</v>
      </c>
      <c r="E6" s="32" t="s">
        <v>108</v>
      </c>
      <c r="F6" s="32" t="s">
        <v>109</v>
      </c>
      <c r="G6" s="32" t="s">
        <v>110</v>
      </c>
      <c r="H6" s="32" t="s">
        <v>111</v>
      </c>
      <c r="I6" s="32" t="s">
        <v>112</v>
      </c>
      <c r="J6" s="32" t="s">
        <v>113</v>
      </c>
      <c r="K6" s="32" t="s">
        <v>114</v>
      </c>
      <c r="L6" s="32" t="s">
        <v>115</v>
      </c>
      <c r="M6" s="32" t="s">
        <v>116</v>
      </c>
      <c r="N6" s="32" t="s">
        <v>117</v>
      </c>
      <c r="O6" s="32" t="s">
        <v>118</v>
      </c>
      <c r="P6" s="32" t="s">
        <v>119</v>
      </c>
      <c r="Q6" s="32" t="s">
        <v>120</v>
      </c>
      <c r="R6" s="32" t="s">
        <v>121</v>
      </c>
      <c r="S6" s="32" t="s">
        <v>122</v>
      </c>
      <c r="T6" s="32" t="s">
        <v>123</v>
      </c>
      <c r="U6" s="32" t="s">
        <v>124</v>
      </c>
      <c r="V6" s="32" t="s">
        <v>125</v>
      </c>
      <c r="W6" s="32" t="s">
        <v>126</v>
      </c>
      <c r="X6" s="32" t="s">
        <v>127</v>
      </c>
      <c r="Y6" s="32" t="s">
        <v>128</v>
      </c>
      <c r="Z6" s="32" t="s">
        <v>129</v>
      </c>
      <c r="AA6" s="32" t="s">
        <v>130</v>
      </c>
      <c r="AB6" s="32" t="s">
        <v>131</v>
      </c>
      <c r="AC6" s="32" t="s">
        <v>132</v>
      </c>
      <c r="AD6" s="32" t="s">
        <v>133</v>
      </c>
      <c r="AE6" s="32" t="s">
        <v>134</v>
      </c>
      <c r="AF6" s="32" t="s">
        <v>135</v>
      </c>
      <c r="AG6" s="32" t="s">
        <v>136</v>
      </c>
    </row>
    <row r="7" spans="1:33" x14ac:dyDescent="0.25">
      <c r="A7" s="15" t="s">
        <v>19</v>
      </c>
      <c r="B7" s="24" t="s">
        <v>34</v>
      </c>
      <c r="C7" s="33" t="s">
        <v>137</v>
      </c>
      <c r="D7" s="33" t="s">
        <v>138</v>
      </c>
      <c r="E7" s="32" t="s">
        <v>139</v>
      </c>
      <c r="F7" s="32" t="s">
        <v>140</v>
      </c>
      <c r="G7" s="32" t="s">
        <v>141</v>
      </c>
      <c r="H7" s="32" t="s">
        <v>142</v>
      </c>
      <c r="I7" s="32" t="s">
        <v>143</v>
      </c>
      <c r="J7" s="32" t="s">
        <v>144</v>
      </c>
      <c r="K7" s="32" t="s">
        <v>145</v>
      </c>
      <c r="L7" s="32" t="s">
        <v>146</v>
      </c>
      <c r="M7" s="32" t="s">
        <v>147</v>
      </c>
      <c r="N7" s="32" t="s">
        <v>148</v>
      </c>
      <c r="O7" s="32" t="s">
        <v>149</v>
      </c>
      <c r="P7" s="32" t="s">
        <v>150</v>
      </c>
      <c r="Q7" s="32" t="s">
        <v>151</v>
      </c>
      <c r="R7" s="32" t="s">
        <v>152</v>
      </c>
      <c r="S7" s="32" t="s">
        <v>153</v>
      </c>
      <c r="T7" s="32" t="s">
        <v>154</v>
      </c>
      <c r="U7" s="32" t="s">
        <v>155</v>
      </c>
      <c r="V7" s="32" t="s">
        <v>156</v>
      </c>
      <c r="W7" s="32" t="s">
        <v>157</v>
      </c>
      <c r="X7" s="32" t="s">
        <v>158</v>
      </c>
      <c r="Y7" s="32" t="s">
        <v>159</v>
      </c>
      <c r="Z7" s="32" t="s">
        <v>160</v>
      </c>
      <c r="AA7" s="32" t="s">
        <v>161</v>
      </c>
      <c r="AB7" s="32" t="s">
        <v>162</v>
      </c>
      <c r="AC7" s="32" t="s">
        <v>163</v>
      </c>
      <c r="AD7" s="32" t="s">
        <v>164</v>
      </c>
      <c r="AE7" s="32" t="s">
        <v>165</v>
      </c>
      <c r="AF7" s="32" t="s">
        <v>166</v>
      </c>
      <c r="AG7" s="32" t="s">
        <v>167</v>
      </c>
    </row>
    <row r="8" spans="1:33" x14ac:dyDescent="0.25">
      <c r="A8" s="15" t="s">
        <v>20</v>
      </c>
      <c r="B8" s="24" t="s">
        <v>35</v>
      </c>
      <c r="C8" s="33" t="s">
        <v>168</v>
      </c>
      <c r="D8" s="33" t="s">
        <v>169</v>
      </c>
      <c r="E8" s="32" t="s">
        <v>170</v>
      </c>
      <c r="F8" s="32" t="s">
        <v>171</v>
      </c>
      <c r="G8" s="32" t="s">
        <v>172</v>
      </c>
      <c r="H8" s="32" t="s">
        <v>173</v>
      </c>
      <c r="I8" s="32" t="s">
        <v>174</v>
      </c>
      <c r="J8" s="32" t="s">
        <v>175</v>
      </c>
      <c r="K8" s="32" t="s">
        <v>176</v>
      </c>
      <c r="L8" s="32" t="s">
        <v>177</v>
      </c>
      <c r="M8" s="32" t="s">
        <v>178</v>
      </c>
      <c r="N8" s="32" t="s">
        <v>179</v>
      </c>
      <c r="O8" s="32" t="s">
        <v>180</v>
      </c>
      <c r="P8" s="32" t="s">
        <v>181</v>
      </c>
      <c r="Q8" s="32" t="s">
        <v>182</v>
      </c>
      <c r="R8" s="32" t="s">
        <v>183</v>
      </c>
      <c r="S8" s="32" t="s">
        <v>184</v>
      </c>
      <c r="T8" s="32" t="s">
        <v>185</v>
      </c>
      <c r="U8" s="32" t="s">
        <v>186</v>
      </c>
      <c r="V8" s="32" t="s">
        <v>187</v>
      </c>
      <c r="W8" s="32" t="s">
        <v>188</v>
      </c>
      <c r="X8" s="32" t="s">
        <v>189</v>
      </c>
      <c r="Y8" s="32" t="s">
        <v>190</v>
      </c>
      <c r="Z8" s="32" t="s">
        <v>191</v>
      </c>
      <c r="AA8" s="32" t="s">
        <v>192</v>
      </c>
      <c r="AB8" s="32" t="s">
        <v>193</v>
      </c>
      <c r="AC8" s="32" t="s">
        <v>194</v>
      </c>
      <c r="AD8" s="32" t="s">
        <v>195</v>
      </c>
      <c r="AE8" s="32" t="s">
        <v>196</v>
      </c>
      <c r="AF8" s="32" t="s">
        <v>197</v>
      </c>
      <c r="AG8" s="32" t="s">
        <v>198</v>
      </c>
    </row>
    <row r="9" spans="1:33" x14ac:dyDescent="0.25">
      <c r="A9" s="15" t="s">
        <v>21</v>
      </c>
      <c r="B9" s="24" t="s">
        <v>36</v>
      </c>
      <c r="C9" s="33" t="s">
        <v>36</v>
      </c>
      <c r="D9" s="33" t="s">
        <v>36</v>
      </c>
      <c r="E9" s="33" t="s">
        <v>36</v>
      </c>
      <c r="F9" s="33" t="s">
        <v>36</v>
      </c>
      <c r="G9" s="33" t="s">
        <v>36</v>
      </c>
      <c r="H9" s="33" t="s">
        <v>36</v>
      </c>
      <c r="I9" s="33" t="s">
        <v>36</v>
      </c>
      <c r="J9" s="33" t="s">
        <v>36</v>
      </c>
      <c r="K9" s="33" t="s">
        <v>36</v>
      </c>
      <c r="L9" s="33" t="s">
        <v>36</v>
      </c>
      <c r="M9" s="33" t="s">
        <v>199</v>
      </c>
      <c r="N9" s="33" t="s">
        <v>199</v>
      </c>
      <c r="O9" s="33" t="s">
        <v>199</v>
      </c>
      <c r="P9" s="33" t="s">
        <v>199</v>
      </c>
      <c r="Q9" s="33" t="s">
        <v>199</v>
      </c>
      <c r="R9" s="33" t="s">
        <v>199</v>
      </c>
      <c r="S9" s="33" t="s">
        <v>199</v>
      </c>
      <c r="T9" s="33" t="s">
        <v>199</v>
      </c>
      <c r="U9" s="33" t="s">
        <v>199</v>
      </c>
      <c r="V9" s="33" t="s">
        <v>199</v>
      </c>
      <c r="W9" s="33" t="s">
        <v>199</v>
      </c>
      <c r="X9" s="33" t="s">
        <v>199</v>
      </c>
      <c r="Y9" s="33" t="s">
        <v>199</v>
      </c>
      <c r="Z9" s="33" t="s">
        <v>199</v>
      </c>
      <c r="AA9" s="33" t="s">
        <v>199</v>
      </c>
      <c r="AB9" s="33" t="s">
        <v>199</v>
      </c>
      <c r="AC9" s="33" t="s">
        <v>199</v>
      </c>
      <c r="AD9" s="33" t="s">
        <v>199</v>
      </c>
      <c r="AE9" s="33" t="s">
        <v>199</v>
      </c>
      <c r="AF9" s="32" t="s">
        <v>199</v>
      </c>
      <c r="AG9" s="32" t="s">
        <v>199</v>
      </c>
    </row>
    <row r="10" spans="1:33" x14ac:dyDescent="0.25">
      <c r="A10" s="15" t="s">
        <v>22</v>
      </c>
      <c r="B10" s="24" t="s">
        <v>37</v>
      </c>
      <c r="C10" s="33" t="s">
        <v>200</v>
      </c>
      <c r="D10" s="33" t="s">
        <v>201</v>
      </c>
      <c r="E10" s="32" t="s">
        <v>202</v>
      </c>
      <c r="F10" s="32" t="s">
        <v>203</v>
      </c>
      <c r="G10" s="32" t="s">
        <v>204</v>
      </c>
      <c r="H10" s="32" t="s">
        <v>205</v>
      </c>
      <c r="I10" s="32" t="s">
        <v>206</v>
      </c>
      <c r="J10" s="32" t="s">
        <v>207</v>
      </c>
      <c r="K10" s="32" t="s">
        <v>208</v>
      </c>
      <c r="L10" s="32" t="s">
        <v>209</v>
      </c>
      <c r="M10" s="32" t="s">
        <v>210</v>
      </c>
      <c r="N10" s="32" t="s">
        <v>211</v>
      </c>
      <c r="O10" s="32" t="s">
        <v>212</v>
      </c>
      <c r="P10" s="32" t="s">
        <v>213</v>
      </c>
      <c r="Q10" s="32" t="s">
        <v>214</v>
      </c>
      <c r="R10" s="32" t="s">
        <v>215</v>
      </c>
      <c r="S10" s="32" t="s">
        <v>216</v>
      </c>
      <c r="T10" s="32" t="s">
        <v>217</v>
      </c>
      <c r="U10" s="32" t="s">
        <v>218</v>
      </c>
      <c r="V10" s="32" t="s">
        <v>219</v>
      </c>
      <c r="W10" s="32" t="s">
        <v>220</v>
      </c>
      <c r="X10" s="32" t="s">
        <v>221</v>
      </c>
      <c r="Y10" s="32" t="s">
        <v>222</v>
      </c>
      <c r="Z10" s="32" t="s">
        <v>223</v>
      </c>
      <c r="AA10" s="32" t="s">
        <v>224</v>
      </c>
      <c r="AB10" s="32" t="s">
        <v>225</v>
      </c>
      <c r="AC10" s="32" t="s">
        <v>226</v>
      </c>
      <c r="AD10" s="32" t="s">
        <v>227</v>
      </c>
      <c r="AE10" s="32" t="s">
        <v>228</v>
      </c>
      <c r="AF10" s="32" t="s">
        <v>229</v>
      </c>
      <c r="AG10" s="32" t="s">
        <v>230</v>
      </c>
    </row>
    <row r="11" spans="1:33" x14ac:dyDescent="0.25">
      <c r="A11" s="15" t="s">
        <v>23</v>
      </c>
      <c r="B11" s="24" t="s">
        <v>38</v>
      </c>
      <c r="C11" s="33" t="s">
        <v>231</v>
      </c>
      <c r="D11" s="33" t="s">
        <v>232</v>
      </c>
      <c r="E11" s="32" t="s">
        <v>233</v>
      </c>
      <c r="F11" s="32" t="s">
        <v>234</v>
      </c>
      <c r="G11" s="32" t="s">
        <v>235</v>
      </c>
      <c r="H11" s="32" t="s">
        <v>236</v>
      </c>
      <c r="I11" s="32" t="s">
        <v>237</v>
      </c>
      <c r="J11" s="32" t="s">
        <v>238</v>
      </c>
      <c r="K11" s="32" t="s">
        <v>239</v>
      </c>
      <c r="L11" s="32" t="s">
        <v>240</v>
      </c>
      <c r="M11" s="32" t="s">
        <v>241</v>
      </c>
      <c r="N11" s="32" t="s">
        <v>242</v>
      </c>
      <c r="O11" s="32" t="s">
        <v>243</v>
      </c>
      <c r="P11" s="32" t="s">
        <v>244</v>
      </c>
      <c r="Q11" s="32" t="s">
        <v>245</v>
      </c>
      <c r="R11" s="32" t="s">
        <v>246</v>
      </c>
      <c r="S11" s="32" t="s">
        <v>247</v>
      </c>
      <c r="T11" s="32" t="s">
        <v>248</v>
      </c>
      <c r="U11" s="32" t="s">
        <v>249</v>
      </c>
      <c r="V11" s="32" t="s">
        <v>250</v>
      </c>
      <c r="W11" s="32" t="s">
        <v>251</v>
      </c>
      <c r="X11" s="32" t="s">
        <v>252</v>
      </c>
      <c r="Y11" s="32" t="s">
        <v>253</v>
      </c>
      <c r="Z11" s="32" t="s">
        <v>254</v>
      </c>
      <c r="AA11" s="32" t="s">
        <v>255</v>
      </c>
      <c r="AB11" s="32" t="s">
        <v>256</v>
      </c>
      <c r="AC11" s="32" t="s">
        <v>257</v>
      </c>
      <c r="AD11" s="32" t="s">
        <v>258</v>
      </c>
      <c r="AE11" s="32" t="s">
        <v>259</v>
      </c>
      <c r="AF11" s="32" t="s">
        <v>260</v>
      </c>
      <c r="AG11" s="32" t="s">
        <v>261</v>
      </c>
    </row>
    <row r="12" spans="1:33" x14ac:dyDescent="0.25">
      <c r="A12" s="16" t="s">
        <v>24</v>
      </c>
      <c r="B12" s="26" t="s">
        <v>39</v>
      </c>
      <c r="C12" s="34" t="s">
        <v>262</v>
      </c>
      <c r="D12" s="32" t="s">
        <v>263</v>
      </c>
      <c r="E12" s="32" t="s">
        <v>264</v>
      </c>
      <c r="F12" s="32" t="s">
        <v>265</v>
      </c>
      <c r="G12" s="32" t="s">
        <v>266</v>
      </c>
      <c r="H12" s="32" t="s">
        <v>267</v>
      </c>
      <c r="I12" s="32" t="s">
        <v>268</v>
      </c>
      <c r="J12" s="32" t="s">
        <v>269</v>
      </c>
      <c r="K12" s="32" t="s">
        <v>270</v>
      </c>
      <c r="L12" s="32" t="s">
        <v>271</v>
      </c>
      <c r="M12" s="32" t="s">
        <v>272</v>
      </c>
      <c r="N12" s="32" t="s">
        <v>273</v>
      </c>
      <c r="O12" s="32" t="s">
        <v>274</v>
      </c>
      <c r="P12" s="32" t="s">
        <v>275</v>
      </c>
      <c r="Q12" s="32" t="s">
        <v>276</v>
      </c>
      <c r="R12" s="32" t="s">
        <v>277</v>
      </c>
      <c r="S12" s="32" t="s">
        <v>278</v>
      </c>
      <c r="T12" s="32" t="s">
        <v>279</v>
      </c>
      <c r="U12" s="32" t="s">
        <v>280</v>
      </c>
      <c r="V12" s="32" t="s">
        <v>281</v>
      </c>
      <c r="W12" s="32" t="s">
        <v>282</v>
      </c>
      <c r="X12" s="32" t="s">
        <v>283</v>
      </c>
      <c r="Y12" s="32" t="s">
        <v>284</v>
      </c>
      <c r="Z12" s="32" t="s">
        <v>285</v>
      </c>
      <c r="AA12" s="32" t="s">
        <v>286</v>
      </c>
      <c r="AB12" s="32" t="s">
        <v>287</v>
      </c>
      <c r="AC12" s="32" t="s">
        <v>288</v>
      </c>
      <c r="AD12" s="32" t="s">
        <v>289</v>
      </c>
      <c r="AE12" s="32" t="s">
        <v>290</v>
      </c>
      <c r="AF12" s="32" t="s">
        <v>291</v>
      </c>
      <c r="AG12" s="32" t="s">
        <v>292</v>
      </c>
    </row>
    <row r="13" spans="1:33" ht="16.149999999999999" customHeight="1" x14ac:dyDescent="0.25">
      <c r="A13" s="17" t="s">
        <v>25</v>
      </c>
      <c r="B13" s="25" t="s">
        <v>40</v>
      </c>
      <c r="C13" s="31" t="s">
        <v>293</v>
      </c>
      <c r="D13" s="33" t="s">
        <v>294</v>
      </c>
      <c r="E13" s="32" t="s">
        <v>295</v>
      </c>
      <c r="F13" s="32" t="s">
        <v>296</v>
      </c>
      <c r="G13" s="32" t="s">
        <v>297</v>
      </c>
      <c r="H13" s="32" t="s">
        <v>298</v>
      </c>
      <c r="I13" s="32" t="s">
        <v>299</v>
      </c>
      <c r="J13" s="32" t="s">
        <v>300</v>
      </c>
      <c r="K13" s="32" t="s">
        <v>301</v>
      </c>
      <c r="L13" s="32" t="s">
        <v>302</v>
      </c>
      <c r="M13" s="32" t="s">
        <v>303</v>
      </c>
      <c r="N13" s="32" t="s">
        <v>304</v>
      </c>
      <c r="O13" s="32" t="s">
        <v>305</v>
      </c>
      <c r="P13" s="32" t="s">
        <v>306</v>
      </c>
      <c r="Q13" s="32" t="s">
        <v>307</v>
      </c>
      <c r="R13" s="32" t="s">
        <v>308</v>
      </c>
      <c r="S13" s="32" t="s">
        <v>309</v>
      </c>
      <c r="T13" s="32" t="s">
        <v>310</v>
      </c>
      <c r="U13" s="32" t="s">
        <v>311</v>
      </c>
      <c r="V13" s="32" t="s">
        <v>312</v>
      </c>
      <c r="W13" s="32" t="s">
        <v>313</v>
      </c>
      <c r="X13" s="32" t="s">
        <v>314</v>
      </c>
      <c r="Y13" s="32" t="s">
        <v>315</v>
      </c>
      <c r="Z13" s="32" t="s">
        <v>316</v>
      </c>
      <c r="AA13" s="32" t="s">
        <v>317</v>
      </c>
      <c r="AB13" s="32" t="s">
        <v>318</v>
      </c>
      <c r="AC13" s="32" t="s">
        <v>319</v>
      </c>
      <c r="AD13" s="32" t="s">
        <v>320</v>
      </c>
      <c r="AE13" s="32" t="s">
        <v>321</v>
      </c>
      <c r="AF13" s="32" t="s">
        <v>322</v>
      </c>
      <c r="AG13" s="32" t="s">
        <v>323</v>
      </c>
    </row>
    <row r="14" spans="1:33" ht="16.149999999999999" customHeight="1" x14ac:dyDescent="0.25">
      <c r="A14" s="17" t="s">
        <v>26</v>
      </c>
      <c r="B14" s="25" t="s">
        <v>41</v>
      </c>
      <c r="C14" s="31" t="s">
        <v>41</v>
      </c>
      <c r="D14" s="33" t="s">
        <v>324</v>
      </c>
      <c r="E14" s="32" t="s">
        <v>324</v>
      </c>
      <c r="F14" s="32" t="s">
        <v>324</v>
      </c>
      <c r="G14" s="32" t="s">
        <v>324</v>
      </c>
      <c r="H14" s="32" t="s">
        <v>325</v>
      </c>
      <c r="I14" s="32" t="s">
        <v>325</v>
      </c>
      <c r="J14" s="32" t="s">
        <v>325</v>
      </c>
      <c r="K14" s="32" t="s">
        <v>325</v>
      </c>
      <c r="L14" s="32" t="s">
        <v>326</v>
      </c>
      <c r="M14" s="32" t="s">
        <v>326</v>
      </c>
      <c r="N14" s="32" t="s">
        <v>326</v>
      </c>
      <c r="O14" s="32" t="s">
        <v>327</v>
      </c>
      <c r="P14" s="32" t="s">
        <v>327</v>
      </c>
      <c r="Q14" s="32" t="s">
        <v>327</v>
      </c>
      <c r="R14" s="32" t="s">
        <v>327</v>
      </c>
      <c r="S14" s="32" t="s">
        <v>327</v>
      </c>
      <c r="T14" s="32" t="s">
        <v>328</v>
      </c>
      <c r="U14" s="32" t="s">
        <v>328</v>
      </c>
      <c r="V14" s="32" t="s">
        <v>328</v>
      </c>
      <c r="W14" s="32" t="s">
        <v>328</v>
      </c>
      <c r="X14" s="32" t="s">
        <v>328</v>
      </c>
      <c r="Y14" s="32" t="s">
        <v>328</v>
      </c>
      <c r="Z14" s="32" t="s">
        <v>329</v>
      </c>
      <c r="AA14" s="32" t="s">
        <v>329</v>
      </c>
      <c r="AB14" s="32" t="s">
        <v>329</v>
      </c>
      <c r="AC14" s="32" t="s">
        <v>329</v>
      </c>
      <c r="AD14" s="32" t="s">
        <v>329</v>
      </c>
      <c r="AE14" s="32" t="s">
        <v>330</v>
      </c>
      <c r="AF14" s="32" t="s">
        <v>330</v>
      </c>
      <c r="AG14" s="32" t="s">
        <v>330</v>
      </c>
    </row>
    <row r="15" spans="1:33" ht="16.149999999999999" customHeight="1" x14ac:dyDescent="0.25">
      <c r="A15" s="17" t="s">
        <v>27</v>
      </c>
      <c r="B15" s="27" t="s">
        <v>42</v>
      </c>
      <c r="C15" s="31" t="s">
        <v>331</v>
      </c>
      <c r="D15" s="33" t="s">
        <v>332</v>
      </c>
      <c r="E15" s="32" t="s">
        <v>333</v>
      </c>
      <c r="F15" s="32" t="s">
        <v>334</v>
      </c>
      <c r="G15" s="32" t="s">
        <v>335</v>
      </c>
      <c r="H15" s="32" t="s">
        <v>336</v>
      </c>
      <c r="I15" s="32" t="s">
        <v>337</v>
      </c>
      <c r="J15" s="32" t="s">
        <v>338</v>
      </c>
      <c r="K15" s="32" t="s">
        <v>339</v>
      </c>
      <c r="L15" s="32" t="s">
        <v>340</v>
      </c>
      <c r="M15" s="32" t="s">
        <v>341</v>
      </c>
      <c r="N15" s="32" t="s">
        <v>342</v>
      </c>
      <c r="O15" s="32" t="s">
        <v>343</v>
      </c>
      <c r="P15" s="32" t="s">
        <v>344</v>
      </c>
      <c r="Q15" s="32" t="s">
        <v>345</v>
      </c>
      <c r="R15" s="32" t="s">
        <v>346</v>
      </c>
      <c r="S15" s="32" t="s">
        <v>347</v>
      </c>
      <c r="T15" s="32" t="s">
        <v>348</v>
      </c>
      <c r="U15" s="32" t="s">
        <v>349</v>
      </c>
      <c r="V15" s="32" t="s">
        <v>350</v>
      </c>
      <c r="W15" s="32" t="s">
        <v>351</v>
      </c>
      <c r="X15" s="32" t="s">
        <v>352</v>
      </c>
      <c r="Y15" s="32" t="s">
        <v>353</v>
      </c>
      <c r="Z15" s="32" t="s">
        <v>354</v>
      </c>
      <c r="AA15" s="32" t="s">
        <v>355</v>
      </c>
      <c r="AB15" s="32" t="s">
        <v>356</v>
      </c>
      <c r="AC15" s="32" t="s">
        <v>357</v>
      </c>
      <c r="AD15" s="32" t="s">
        <v>358</v>
      </c>
      <c r="AE15" s="32" t="s">
        <v>359</v>
      </c>
      <c r="AF15" s="32" t="s">
        <v>360</v>
      </c>
      <c r="AG15" s="32" t="s">
        <v>361</v>
      </c>
    </row>
    <row r="16" spans="1:33" ht="16.149999999999999" customHeight="1" x14ac:dyDescent="0.25">
      <c r="A16" s="17" t="s">
        <v>28</v>
      </c>
      <c r="B16" s="27" t="s">
        <v>43</v>
      </c>
      <c r="C16" s="31" t="s">
        <v>362</v>
      </c>
      <c r="D16" s="33" t="s">
        <v>363</v>
      </c>
      <c r="E16" s="32" t="s">
        <v>364</v>
      </c>
      <c r="F16" s="32" t="s">
        <v>365</v>
      </c>
      <c r="G16" s="32" t="s">
        <v>366</v>
      </c>
      <c r="H16" s="32" t="s">
        <v>367</v>
      </c>
      <c r="I16" s="32" t="s">
        <v>368</v>
      </c>
      <c r="J16" s="32" t="s">
        <v>369</v>
      </c>
      <c r="K16" s="32" t="s">
        <v>370</v>
      </c>
      <c r="L16" s="32" t="s">
        <v>371</v>
      </c>
      <c r="M16" s="32" t="s">
        <v>372</v>
      </c>
      <c r="N16" s="32" t="s">
        <v>373</v>
      </c>
      <c r="O16" s="32" t="s">
        <v>374</v>
      </c>
      <c r="P16" s="32" t="s">
        <v>375</v>
      </c>
      <c r="Q16" s="32" t="s">
        <v>376</v>
      </c>
      <c r="R16" s="32" t="s">
        <v>377</v>
      </c>
      <c r="S16" s="32" t="s">
        <v>378</v>
      </c>
      <c r="T16" s="32" t="s">
        <v>379</v>
      </c>
      <c r="U16" s="32" t="s">
        <v>380</v>
      </c>
      <c r="V16" s="32" t="s">
        <v>381</v>
      </c>
      <c r="W16" s="32" t="s">
        <v>382</v>
      </c>
      <c r="X16" s="32" t="s">
        <v>383</v>
      </c>
      <c r="Y16" s="32" t="s">
        <v>384</v>
      </c>
      <c r="Z16" s="32" t="s">
        <v>385</v>
      </c>
      <c r="AA16" s="32" t="s">
        <v>386</v>
      </c>
      <c r="AB16" s="32" t="s">
        <v>387</v>
      </c>
      <c r="AC16" s="32" t="s">
        <v>388</v>
      </c>
      <c r="AD16" s="32" t="s">
        <v>389</v>
      </c>
      <c r="AE16" s="32" t="s">
        <v>390</v>
      </c>
      <c r="AF16" s="32" t="s">
        <v>391</v>
      </c>
      <c r="AG16" s="32" t="s">
        <v>392</v>
      </c>
    </row>
  </sheetData>
  <mergeCells count="2">
    <mergeCell ref="A2:A3"/>
    <mergeCell ref="C2:AG2"/>
  </mergeCells>
  <printOptions horizontalCentered="1" verticalCentered="1"/>
  <pageMargins left="0" right="0" top="0" bottom="0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 </vt:lpstr>
      <vt:lpstr>DAILY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Roxanne Gunnells</cp:lastModifiedBy>
  <dcterms:created xsi:type="dcterms:W3CDTF">2017-05-22T13:08:25Z</dcterms:created>
  <dcterms:modified xsi:type="dcterms:W3CDTF">2021-08-06T13:35:50Z</dcterms:modified>
</cp:coreProperties>
</file>