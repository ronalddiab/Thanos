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FF0692F0-D921-486B-8387-9C7D09D34AD4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<sst xmlns="http://schemas.openxmlformats.org/spreadsheetml/2006/main" count="66" uniqueCount="32">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</sst>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44</v>
          </cell>
          <cell r="H387">
            <v>58</v>
          </cell>
          <cell r="I387">
            <v>62</v>
          </cell>
          <cell r="J387">
            <v>70</v>
          </cell>
          <cell r="K387">
            <v>118</v>
          </cell>
          <cell r="L387">
            <v>66</v>
          </cell>
          <cell r="M387">
            <v>45</v>
          </cell>
          <cell r="N387">
            <v>52</v>
          </cell>
          <cell r="O387">
            <v>61</v>
          </cell>
          <cell r="P387">
            <v>117</v>
          </cell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82</v>
          </cell>
          <cell r="H388">
            <v>99</v>
          </cell>
          <cell r="I388">
            <v>103</v>
          </cell>
          <cell r="J388">
            <v>127</v>
          </cell>
          <cell r="K388">
            <v>223</v>
          </cell>
          <cell r="L388">
            <v>127</v>
          </cell>
          <cell r="M388">
            <v>76</v>
          </cell>
          <cell r="N388">
            <v>91</v>
          </cell>
          <cell r="O388">
            <v>108</v>
          </cell>
          <cell r="P388">
            <v>217</v>
          </cell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</v>
          </cell>
          <cell r="H23">
            <v>153.1</v>
          </cell>
          <cell r="I23">
            <v>180.3</v>
          </cell>
          <cell r="J23">
            <v>193</v>
          </cell>
          <cell r="K23">
            <v>201.9</v>
          </cell>
          <cell r="L23">
            <v>189</v>
          </cell>
          <cell r="M23">
            <v>183</v>
          </cell>
          <cell r="N23">
            <v>171</v>
          </cell>
          <cell r="O23">
            <v>173</v>
          </cell>
          <cell r="P23">
            <v>183.3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132</v>
          </cell>
          <cell r="H41">
            <v>120</v>
          </cell>
          <cell r="I41">
            <v>155</v>
          </cell>
          <cell r="J41">
            <v>141</v>
          </cell>
          <cell r="K41">
            <v>193</v>
          </cell>
          <cell r="L41">
            <v>193</v>
          </cell>
          <cell r="M41">
            <v>253</v>
          </cell>
          <cell r="N41">
            <v>138</v>
          </cell>
          <cell r="O41">
            <v>147</v>
          </cell>
          <cell r="P41">
            <v>177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15397.8984</v>
          </cell>
          <cell r="H91">
            <v>15554.299799999999</v>
          </cell>
          <cell r="I91">
            <v>15326.225999999999</v>
          </cell>
          <cell r="J91">
            <v>18261.738600000001</v>
          </cell>
          <cell r="K91">
            <v>22651.534199999998</v>
          </cell>
          <cell r="L91">
            <v>24159.1548</v>
          </cell>
          <cell r="M91">
            <v>21084.464400000001</v>
          </cell>
          <cell r="N91">
            <v>19523.2284</v>
          </cell>
          <cell r="O91">
            <v>18680.9388</v>
          </cell>
          <cell r="P91">
            <v>26031.5268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810.89819999999997</v>
          </cell>
          <cell r="H115">
            <v>812.28719999999998</v>
          </cell>
          <cell r="I115">
            <v>1037.8607999999999</v>
          </cell>
          <cell r="J115">
            <v>588.65819999999997</v>
          </cell>
          <cell r="K115">
            <v>528.09780000000001</v>
          </cell>
          <cell r="L115">
            <v>222.23999999999998</v>
          </cell>
          <cell r="M115">
            <v>751.1712</v>
          </cell>
          <cell r="N115">
            <v>313.63619999999997</v>
          </cell>
          <cell r="O115">
            <v>669.49799999999993</v>
          </cell>
          <cell r="P115">
            <v>194.46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13664</v>
          </cell>
          <cell r="H147">
            <v>13924</v>
          </cell>
          <cell r="I147">
            <v>13902</v>
          </cell>
          <cell r="J147">
            <v>14645</v>
          </cell>
          <cell r="K147">
            <v>15264</v>
          </cell>
          <cell r="L147">
            <v>15524</v>
          </cell>
          <cell r="M147">
            <v>14413</v>
          </cell>
          <cell r="N147">
            <v>14292</v>
          </cell>
          <cell r="O147">
            <v>14063</v>
          </cell>
          <cell r="P147">
            <v>15284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27.34</v>
          </cell>
        </row>
        <row r="23">
          <cell r="M23">
            <v>142.46641573033691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7" sqref="S1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2022</v>
      </c>
      <c r="E2" s="9">
        <f>'Otemachi Daily'!D5</f>
        <v>13664</v>
      </c>
      <c r="F2" s="34">
        <f>[1]見込!$G$3</f>
        <v>27.34</v>
      </c>
      <c r="G2" s="9">
        <f>'Otemachi Daily'!F5</f>
        <v>188</v>
      </c>
      <c r="H2" s="34">
        <f>[1]見込!$M$23</f>
        <v>142.46641573033691</v>
      </c>
      <c r="I2" s="9">
        <f>'Otemachi Daily'!H5</f>
        <v>810.89819999999997</v>
      </c>
      <c r="J2" s="34">
        <v>10.79</v>
      </c>
      <c r="K2" s="9">
        <f>'Otemachi Daily'!J5</f>
        <v>15397.8984</v>
      </c>
      <c r="L2" s="34">
        <v>7.22</v>
      </c>
      <c r="M2" s="9">
        <f>'Otemachi Daily'!L5</f>
        <v>132</v>
      </c>
      <c r="N2" s="34">
        <v>741</v>
      </c>
      <c r="O2" s="9">
        <f>'Otemachi Daily'!M5</f>
        <v>44</v>
      </c>
      <c r="P2" s="9">
        <f>'Otemachi Daily'!N5</f>
        <v>82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2022</v>
      </c>
      <c r="E3" s="9">
        <f>'Otemachi Daily'!D6</f>
        <v>13924</v>
      </c>
      <c r="F3" s="34">
        <f>[1]見込!$G$3</f>
        <v>27.34</v>
      </c>
      <c r="G3" s="9">
        <f>'Otemachi Daily'!F6</f>
        <v>153.1</v>
      </c>
      <c r="H3" s="34">
        <f>[1]見込!$M$23</f>
        <v>142.46641573033691</v>
      </c>
      <c r="I3" s="9">
        <f>'Otemachi Daily'!H6</f>
        <v>812.28719999999998</v>
      </c>
      <c r="J3" s="34">
        <v>10.79</v>
      </c>
      <c r="K3" s="9">
        <f>'Otemachi Daily'!J6</f>
        <v>15554.299799999999</v>
      </c>
      <c r="L3" s="34">
        <v>7.22</v>
      </c>
      <c r="M3" s="9">
        <f>'Otemachi Daily'!L6</f>
        <v>120</v>
      </c>
      <c r="N3" s="34">
        <v>741</v>
      </c>
      <c r="O3" s="9">
        <f>'Otemachi Daily'!M6</f>
        <v>58</v>
      </c>
      <c r="P3" s="9">
        <f>'Otemachi Daily'!N6</f>
        <v>99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2022</v>
      </c>
      <c r="E4" s="9">
        <f>'Otemachi Daily'!D7</f>
        <v>13902</v>
      </c>
      <c r="F4" s="34">
        <f>[1]見込!$G$3</f>
        <v>27.34</v>
      </c>
      <c r="G4" s="9">
        <f>'Otemachi Daily'!F7</f>
        <v>180.3</v>
      </c>
      <c r="H4" s="34">
        <f>[1]見込!$M$23</f>
        <v>142.46641573033691</v>
      </c>
      <c r="I4" s="9">
        <f>'Otemachi Daily'!H7</f>
        <v>1037.8607999999999</v>
      </c>
      <c r="J4" s="34">
        <v>10.79</v>
      </c>
      <c r="K4" s="9">
        <f>'Otemachi Daily'!J7</f>
        <v>15326.225999999999</v>
      </c>
      <c r="L4" s="34">
        <v>7.22</v>
      </c>
      <c r="M4" s="9">
        <f>'Otemachi Daily'!L7</f>
        <v>155</v>
      </c>
      <c r="N4" s="34">
        <v>741</v>
      </c>
      <c r="O4" s="9">
        <f>'Otemachi Daily'!M7</f>
        <v>62</v>
      </c>
      <c r="P4" s="9">
        <f>'Otemachi Daily'!N7</f>
        <v>103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f>'Otemachi Daily'!D8</f>
        <v>14645</v>
      </c>
      <c r="F5" s="34">
        <f>[1]見込!$G$3</f>
        <v>27.34</v>
      </c>
      <c r="G5" s="9">
        <f>'Otemachi Daily'!F8</f>
        <v>193</v>
      </c>
      <c r="H5" s="34">
        <f>[1]見込!$M$23</f>
        <v>142.46641573033691</v>
      </c>
      <c r="I5" s="9">
        <f>'Otemachi Daily'!H8</f>
        <v>588.65819999999997</v>
      </c>
      <c r="J5" s="34">
        <v>10.79</v>
      </c>
      <c r="K5" s="9">
        <f>'Otemachi Daily'!J8</f>
        <v>18261.738600000001</v>
      </c>
      <c r="L5" s="34">
        <v>7.22</v>
      </c>
      <c r="M5" s="9">
        <f>'Otemachi Daily'!L8</f>
        <v>141</v>
      </c>
      <c r="N5" s="34">
        <v>741</v>
      </c>
      <c r="O5" s="9">
        <f>'Otemachi Daily'!M8</f>
        <v>70</v>
      </c>
      <c r="P5" s="9">
        <f>'Otemachi Daily'!N8</f>
        <v>127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f>'Otemachi Daily'!D9</f>
        <v>15264</v>
      </c>
      <c r="F6" s="34">
        <f>[1]見込!$G$3</f>
        <v>27.34</v>
      </c>
      <c r="G6" s="9">
        <f>'Otemachi Daily'!F9</f>
        <v>201.9</v>
      </c>
      <c r="H6" s="34">
        <f>[1]見込!$M$23</f>
        <v>142.46641573033691</v>
      </c>
      <c r="I6" s="9">
        <f>'Otemachi Daily'!H9</f>
        <v>528.09780000000001</v>
      </c>
      <c r="J6" s="34">
        <v>10.79</v>
      </c>
      <c r="K6" s="9">
        <f>'Otemachi Daily'!J9</f>
        <v>22651.534199999998</v>
      </c>
      <c r="L6" s="34">
        <v>7.22</v>
      </c>
      <c r="M6" s="9">
        <f>'Otemachi Daily'!L9</f>
        <v>193</v>
      </c>
      <c r="N6" s="34">
        <v>741</v>
      </c>
      <c r="O6" s="9">
        <f>'Otemachi Daily'!M9</f>
        <v>118</v>
      </c>
      <c r="P6" s="9">
        <f>'Otemachi Daily'!N9</f>
        <v>223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f>'Otemachi Daily'!D10</f>
        <v>15524</v>
      </c>
      <c r="F7" s="34">
        <f>[1]見込!$G$3</f>
        <v>27.34</v>
      </c>
      <c r="G7" s="9">
        <f>'Otemachi Daily'!F10</f>
        <v>189</v>
      </c>
      <c r="H7" s="34">
        <f>[1]見込!$M$23</f>
        <v>142.46641573033691</v>
      </c>
      <c r="I7" s="9">
        <f>'Otemachi Daily'!H10</f>
        <v>222.23999999999998</v>
      </c>
      <c r="J7" s="34">
        <v>10.79</v>
      </c>
      <c r="K7" s="9">
        <f>'Otemachi Daily'!J10</f>
        <v>24159.1548</v>
      </c>
      <c r="L7" s="34">
        <v>7.22</v>
      </c>
      <c r="M7" s="9">
        <f>'Otemachi Daily'!L10</f>
        <v>193</v>
      </c>
      <c r="N7" s="34">
        <v>741</v>
      </c>
      <c r="O7" s="9">
        <f>'Otemachi Daily'!M10</f>
        <v>66</v>
      </c>
      <c r="P7" s="9">
        <f>'Otemachi Daily'!N10</f>
        <v>127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f>'Otemachi Daily'!D11</f>
        <v>14413</v>
      </c>
      <c r="F8" s="34">
        <f>[1]見込!$G$3</f>
        <v>27.34</v>
      </c>
      <c r="G8" s="9">
        <f>'Otemachi Daily'!F11</f>
        <v>183</v>
      </c>
      <c r="H8" s="34">
        <f>[1]見込!$M$23</f>
        <v>142.46641573033691</v>
      </c>
      <c r="I8" s="9">
        <f>'Otemachi Daily'!H11</f>
        <v>751.1712</v>
      </c>
      <c r="J8" s="34">
        <v>10.79</v>
      </c>
      <c r="K8" s="9">
        <f>'Otemachi Daily'!J11</f>
        <v>21084.464400000001</v>
      </c>
      <c r="L8" s="34">
        <v>7.22</v>
      </c>
      <c r="M8" s="9">
        <f>'Otemachi Daily'!L11</f>
        <v>253</v>
      </c>
      <c r="N8" s="34">
        <v>741</v>
      </c>
      <c r="O8" s="9">
        <f>'Otemachi Daily'!M11</f>
        <v>45</v>
      </c>
      <c r="P8" s="9">
        <f>'Otemachi Daily'!N11</f>
        <v>76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f>'Otemachi Daily'!D12</f>
        <v>14292</v>
      </c>
      <c r="F9" s="34">
        <f>[1]見込!$G$3</f>
        <v>27.34</v>
      </c>
      <c r="G9" s="9">
        <f>'Otemachi Daily'!F12</f>
        <v>171</v>
      </c>
      <c r="H9" s="34">
        <f>[1]見込!$M$23</f>
        <v>142.46641573033691</v>
      </c>
      <c r="I9" s="9">
        <f>'Otemachi Daily'!H12</f>
        <v>313.63619999999997</v>
      </c>
      <c r="J9" s="34">
        <v>10.79</v>
      </c>
      <c r="K9" s="9">
        <f>'Otemachi Daily'!J12</f>
        <v>19523.2284</v>
      </c>
      <c r="L9" s="34">
        <v>7.22</v>
      </c>
      <c r="M9" s="9">
        <f>'Otemachi Daily'!L12</f>
        <v>138</v>
      </c>
      <c r="N9" s="34">
        <v>741</v>
      </c>
      <c r="O9" s="9">
        <f>'Otemachi Daily'!M12</f>
        <v>52</v>
      </c>
      <c r="P9" s="9">
        <f>'Otemachi Daily'!N12</f>
        <v>91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f>'Otemachi Daily'!D13</f>
        <v>14063</v>
      </c>
      <c r="F10" s="34">
        <f>[1]見込!$G$3</f>
        <v>27.34</v>
      </c>
      <c r="G10" s="9">
        <f>'Otemachi Daily'!F13</f>
        <v>173</v>
      </c>
      <c r="H10" s="34">
        <f>[1]見込!$M$23</f>
        <v>142.46641573033691</v>
      </c>
      <c r="I10" s="9">
        <f>'Otemachi Daily'!H13</f>
        <v>669.49799999999993</v>
      </c>
      <c r="J10" s="34">
        <v>10.79</v>
      </c>
      <c r="K10" s="9">
        <f>'Otemachi Daily'!J13</f>
        <v>18680.9388</v>
      </c>
      <c r="L10" s="34">
        <v>7.22</v>
      </c>
      <c r="M10" s="9">
        <f>'Otemachi Daily'!L13</f>
        <v>147</v>
      </c>
      <c r="N10" s="34">
        <v>741</v>
      </c>
      <c r="O10" s="9">
        <f>'Otemachi Daily'!M13</f>
        <v>61</v>
      </c>
      <c r="P10" s="9">
        <f>'Otemachi Daily'!N13</f>
        <v>108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f>'Otemachi Daily'!D14</f>
        <v>15284</v>
      </c>
      <c r="F11" s="34">
        <f>[1]見込!$G$3</f>
        <v>27.34</v>
      </c>
      <c r="G11" s="9">
        <f>'Otemachi Daily'!F14</f>
        <v>183.3</v>
      </c>
      <c r="H11" s="34">
        <f>[1]見込!$M$23</f>
        <v>142.46641573033691</v>
      </c>
      <c r="I11" s="9">
        <f>'Otemachi Daily'!H14</f>
        <v>194.46</v>
      </c>
      <c r="J11" s="34">
        <v>10.79</v>
      </c>
      <c r="K11" s="9">
        <f>'Otemachi Daily'!J14</f>
        <v>26031.5268</v>
      </c>
      <c r="L11" s="34">
        <v>7.22</v>
      </c>
      <c r="M11" s="9">
        <f>'Otemachi Daily'!L14</f>
        <v>177</v>
      </c>
      <c r="N11" s="34">
        <v>741</v>
      </c>
      <c r="O11" s="9">
        <f>'Otemachi Daily'!M14</f>
        <v>117</v>
      </c>
      <c r="P11" s="9">
        <f>'Otemachi Daily'!N14</f>
        <v>217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f>'Otemachi Daily'!D15</f>
        <v>0</v>
      </c>
      <c r="F12" s="34">
        <f>[1]見込!$G$3</f>
        <v>27.34</v>
      </c>
      <c r="G12" s="9">
        <f>'Otemachi Daily'!F15</f>
        <v>0</v>
      </c>
      <c r="H12" s="34">
        <f>[1]見込!$M$23</f>
        <v>142.46641573033691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f>'Otemachi Daily'!D16</f>
        <v>0</v>
      </c>
      <c r="F13" s="34">
        <f>[1]見込!$G$3</f>
        <v>27.34</v>
      </c>
      <c r="G13" s="9">
        <f>'Otemachi Daily'!F16</f>
        <v>0</v>
      </c>
      <c r="H13" s="34">
        <f>[1]見込!$M$23</f>
        <v>142.46641573033691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f>'Otemachi Daily'!D17</f>
        <v>0</v>
      </c>
      <c r="F14" s="34">
        <f>[1]見込!$G$3</f>
        <v>27.34</v>
      </c>
      <c r="G14" s="9">
        <f>'Otemachi Daily'!F17</f>
        <v>0</v>
      </c>
      <c r="H14" s="34">
        <f>[1]見込!$M$23</f>
        <v>142.46641573033691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f>'Otemachi Daily'!D18</f>
        <v>0</v>
      </c>
      <c r="F15" s="34">
        <f>[1]見込!$G$3</f>
        <v>27.34</v>
      </c>
      <c r="G15" s="9">
        <f>'Otemachi Daily'!F18</f>
        <v>0</v>
      </c>
      <c r="H15" s="34">
        <f>[1]見込!$M$23</f>
        <v>142.46641573033691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f>'Otemachi Daily'!D19</f>
        <v>0</v>
      </c>
      <c r="F16" s="34">
        <f>[1]見込!$G$3</f>
        <v>27.34</v>
      </c>
      <c r="G16" s="9">
        <f>'Otemachi Daily'!F19</f>
        <v>0</v>
      </c>
      <c r="H16" s="34">
        <f>[1]見込!$M$23</f>
        <v>142.46641573033691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f>'Otemachi Daily'!D20</f>
        <v>0</v>
      </c>
      <c r="F17" s="34">
        <f>[1]見込!$G$3</f>
        <v>27.34</v>
      </c>
      <c r="G17" s="9">
        <f>'Otemachi Daily'!F20</f>
        <v>0</v>
      </c>
      <c r="H17" s="34">
        <f>[1]見込!$M$23</f>
        <v>142.46641573033691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f>'Otemachi Daily'!D21</f>
        <v>0</v>
      </c>
      <c r="F18" s="34">
        <f>[1]見込!$G$3</f>
        <v>27.34</v>
      </c>
      <c r="G18" s="9">
        <f>'Otemachi Daily'!F21</f>
        <v>0</v>
      </c>
      <c r="H18" s="34">
        <f>[1]見込!$M$23</f>
        <v>142.46641573033691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f>'Otemachi Daily'!D22</f>
        <v>0</v>
      </c>
      <c r="F19" s="34">
        <f>[1]見込!$G$3</f>
        <v>27.34</v>
      </c>
      <c r="G19" s="9">
        <f>'Otemachi Daily'!F22</f>
        <v>0</v>
      </c>
      <c r="H19" s="34">
        <f>[1]見込!$M$23</f>
        <v>142.46641573033691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f>'Otemachi Daily'!D23</f>
        <v>0</v>
      </c>
      <c r="F20" s="34">
        <f>[1]見込!$G$3</f>
        <v>27.34</v>
      </c>
      <c r="G20" s="9">
        <f>'Otemachi Daily'!F23</f>
        <v>0</v>
      </c>
      <c r="H20" s="34">
        <f>[1]見込!$M$23</f>
        <v>142.46641573033691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f>'Otemachi Daily'!D24</f>
        <v>0</v>
      </c>
      <c r="F21" s="34">
        <f>[1]見込!$G$3</f>
        <v>27.34</v>
      </c>
      <c r="G21" s="9">
        <f>'Otemachi Daily'!F24</f>
        <v>0</v>
      </c>
      <c r="H21" s="34">
        <f>[1]見込!$M$23</f>
        <v>142.46641573033691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f>'Otemachi Daily'!D25</f>
        <v>0</v>
      </c>
      <c r="F22" s="34">
        <f>[1]見込!$G$3</f>
        <v>27.34</v>
      </c>
      <c r="G22" s="9">
        <f>'Otemachi Daily'!F25</f>
        <v>0</v>
      </c>
      <c r="H22" s="34">
        <f>[1]見込!$M$23</f>
        <v>142.46641573033691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f>'Otemachi Daily'!D26</f>
        <v>0</v>
      </c>
      <c r="F23" s="34">
        <f>[1]見込!$G$3</f>
        <v>27.34</v>
      </c>
      <c r="G23" s="9">
        <f>'Otemachi Daily'!F26</f>
        <v>0</v>
      </c>
      <c r="H23" s="34">
        <f>[1]見込!$M$23</f>
        <v>142.46641573033691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f>'Otemachi Daily'!D27</f>
        <v>0</v>
      </c>
      <c r="F24" s="34">
        <f>[1]見込!$G$3</f>
        <v>27.34</v>
      </c>
      <c r="G24" s="9">
        <f>'Otemachi Daily'!F27</f>
        <v>0</v>
      </c>
      <c r="H24" s="34">
        <f>[1]見込!$M$23</f>
        <v>142.46641573033691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f>'Otemachi Daily'!D28</f>
        <v>0</v>
      </c>
      <c r="F25" s="34">
        <f>[1]見込!$G$3</f>
        <v>27.34</v>
      </c>
      <c r="G25" s="9">
        <f>'Otemachi Daily'!F28</f>
        <v>0</v>
      </c>
      <c r="H25" s="34">
        <f>[1]見込!$M$23</f>
        <v>142.46641573033691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2022</v>
      </c>
      <c r="E26" s="9">
        <f>'Otemachi Daily'!D29</f>
        <v>0</v>
      </c>
      <c r="F26" s="34">
        <f>[1]見込!$G$3</f>
        <v>27.34</v>
      </c>
      <c r="G26" s="9">
        <f>'Otemachi Daily'!F29</f>
        <v>0</v>
      </c>
      <c r="H26" s="34">
        <f>[1]見込!$M$23</f>
        <v>142.46641573033691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f>'Otemachi Daily'!D30</f>
        <v>0</v>
      </c>
      <c r="F27" s="34">
        <f>[1]見込!$G$3</f>
        <v>27.34</v>
      </c>
      <c r="G27" s="9">
        <f>'Otemachi Daily'!F30</f>
        <v>0</v>
      </c>
      <c r="H27" s="34">
        <f>[1]見込!$M$23</f>
        <v>142.46641573033691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f>'Otemachi Daily'!D31</f>
        <v>0</v>
      </c>
      <c r="F28" s="34">
        <f>[1]見込!$G$3</f>
        <v>27.34</v>
      </c>
      <c r="G28" s="9">
        <f>'Otemachi Daily'!F31</f>
        <v>0</v>
      </c>
      <c r="H28" s="34">
        <f>[1]見込!$M$23</f>
        <v>142.46641573033691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f>'Otemachi Daily'!D32</f>
        <v>0</v>
      </c>
      <c r="F29" s="34">
        <f>[1]見込!$G$3</f>
        <v>27.34</v>
      </c>
      <c r="G29" s="9">
        <f>'Otemachi Daily'!F32</f>
        <v>0</v>
      </c>
      <c r="H29" s="34">
        <f>[1]見込!$M$23</f>
        <v>142.46641573033691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2022</v>
      </c>
      <c r="E30" s="9">
        <f>'Otemachi Daily'!D33</f>
        <v>0</v>
      </c>
      <c r="F30" s="34">
        <f>[1]見込!$G$3</f>
        <v>27.34</v>
      </c>
      <c r="G30" s="9">
        <f>'Otemachi Daily'!F33</f>
        <v>0</v>
      </c>
      <c r="H30" s="34">
        <f>[1]見込!$M$23</f>
        <v>142.46641573033691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2022</v>
      </c>
      <c r="E31" s="9">
        <f>'Otemachi Daily'!D34</f>
        <v>0</v>
      </c>
      <c r="F31" s="34">
        <f>[1]見込!$G$3</f>
        <v>27.34</v>
      </c>
      <c r="G31" s="9">
        <f>'Otemachi Daily'!F34</f>
        <v>0</v>
      </c>
      <c r="H31" s="34">
        <f>[1]見込!$M$23</f>
        <v>142.46641573033691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2022</v>
      </c>
      <c r="E32" s="9">
        <f>'Otemachi Daily'!D35</f>
        <v>0</v>
      </c>
      <c r="F32" s="34">
        <f>[1]見込!$G$3</f>
        <v>27.34</v>
      </c>
      <c r="G32" s="9">
        <f>'Otemachi Daily'!F35</f>
        <v>0</v>
      </c>
      <c r="H32" s="34">
        <f>[1]見込!$M$23</f>
        <v>142.46641573033691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44593</v>
      </c>
      <c r="B5" s="37"/>
      <c r="C5" s="35">
        <f>[1]コスト!$G$147</f>
        <v>13664</v>
      </c>
      <c r="D5" s="35">
        <f>C5</f>
        <v>13664</v>
      </c>
      <c r="E5" s="35">
        <f>[1]コスト!$G$23</f>
        <v>188</v>
      </c>
      <c r="F5" s="35">
        <f>E5</f>
        <v>188</v>
      </c>
      <c r="G5" s="35">
        <f>[1]コスト!$G$115</f>
        <v>810.89819999999997</v>
      </c>
      <c r="H5" s="35">
        <f>G5</f>
        <v>810.89819999999997</v>
      </c>
      <c r="I5" s="35">
        <f>[1]コスト!$G$91</f>
        <v>15397.8984</v>
      </c>
      <c r="J5" s="35">
        <f>I5</f>
        <v>15397.8984</v>
      </c>
      <c r="K5" s="35">
        <f>[1]コスト!$G$41</f>
        <v>132</v>
      </c>
      <c r="L5" s="35">
        <f>K5</f>
        <v>132</v>
      </c>
      <c r="M5" s="35">
        <f>[1]使用量!$G$387</f>
        <v>44</v>
      </c>
      <c r="N5" s="35">
        <f>[1]使用量!$G$388</f>
        <v>82</v>
      </c>
      <c r="O5" s="26"/>
    </row>
    <row r="6" spans="1:15" ht="45" customHeight="1">
      <c r="A6" s="28">
        <v>44594</v>
      </c>
      <c r="B6" s="37"/>
      <c r="C6" s="35">
        <f>[1]コスト!$H$147</f>
        <v>13924</v>
      </c>
      <c r="D6" s="35">
        <f t="shared" ref="D6:F35" si="0">C6</f>
        <v>13924</v>
      </c>
      <c r="E6" s="35">
        <f>[1]コスト!$H$23</f>
        <v>153.1</v>
      </c>
      <c r="F6" s="35">
        <f t="shared" si="0"/>
        <v>153.1</v>
      </c>
      <c r="G6" s="35">
        <f>[1]コスト!$H$115</f>
        <v>812.28719999999998</v>
      </c>
      <c r="H6" s="35">
        <f t="shared" ref="H6" si="1">G6</f>
        <v>812.28719999999998</v>
      </c>
      <c r="I6" s="35">
        <f>[1]コスト!$H$91</f>
        <v>15554.299799999999</v>
      </c>
      <c r="J6" s="35">
        <f t="shared" ref="J6" si="2">I6</f>
        <v>15554.299799999999</v>
      </c>
      <c r="K6" s="35">
        <f>[1]コスト!$H$41</f>
        <v>120</v>
      </c>
      <c r="L6" s="35">
        <f t="shared" ref="L6" si="3">K6</f>
        <v>120</v>
      </c>
      <c r="M6" s="35">
        <f>[1]使用量!$H$387</f>
        <v>58</v>
      </c>
      <c r="N6" s="35">
        <f>[1]使用量!$H$388</f>
        <v>99</v>
      </c>
      <c r="O6" s="26"/>
    </row>
    <row r="7" spans="1:15" ht="45" customHeight="1">
      <c r="A7" s="28">
        <v>44595</v>
      </c>
      <c r="B7" s="37"/>
      <c r="C7" s="35">
        <f>[1]コスト!$I$147</f>
        <v>13902</v>
      </c>
      <c r="D7" s="35">
        <f t="shared" si="0"/>
        <v>13902</v>
      </c>
      <c r="E7" s="35">
        <f>[1]コスト!$I$23</f>
        <v>180.3</v>
      </c>
      <c r="F7" s="35">
        <f t="shared" si="0"/>
        <v>180.3</v>
      </c>
      <c r="G7" s="35">
        <f>[1]コスト!$I$115</f>
        <v>1037.8607999999999</v>
      </c>
      <c r="H7" s="35">
        <f t="shared" ref="H7" si="4">G7</f>
        <v>1037.8607999999999</v>
      </c>
      <c r="I7" s="35">
        <f>[1]コスト!$I$91</f>
        <v>15326.225999999999</v>
      </c>
      <c r="J7" s="35">
        <f t="shared" ref="J7" si="5">I7</f>
        <v>15326.225999999999</v>
      </c>
      <c r="K7" s="35">
        <f>[1]コスト!$I$41</f>
        <v>155</v>
      </c>
      <c r="L7" s="35">
        <f t="shared" ref="L7" si="6">K7</f>
        <v>155</v>
      </c>
      <c r="M7" s="35">
        <f>[1]使用量!$I$387</f>
        <v>62</v>
      </c>
      <c r="N7" s="35">
        <f>[1]使用量!$I$388</f>
        <v>103</v>
      </c>
    </row>
    <row r="8" spans="1:15" ht="45" customHeight="1">
      <c r="A8" s="28">
        <v>44596</v>
      </c>
      <c r="B8" s="37"/>
      <c r="C8" s="35">
        <f>[1]コスト!$J$147</f>
        <v>14645</v>
      </c>
      <c r="D8" s="35">
        <f t="shared" si="0"/>
        <v>14645</v>
      </c>
      <c r="E8" s="35">
        <f>[1]コスト!$J$23</f>
        <v>193</v>
      </c>
      <c r="F8" s="35">
        <f t="shared" si="0"/>
        <v>193</v>
      </c>
      <c r="G8" s="35">
        <f>[1]コスト!$J$115</f>
        <v>588.65819999999997</v>
      </c>
      <c r="H8" s="35">
        <f t="shared" ref="H8" si="7">G8</f>
        <v>588.65819999999997</v>
      </c>
      <c r="I8" s="35">
        <f>[1]コスト!$J$91</f>
        <v>18261.738600000001</v>
      </c>
      <c r="J8" s="35">
        <f t="shared" ref="J8" si="8">I8</f>
        <v>18261.738600000001</v>
      </c>
      <c r="K8" s="35">
        <f>[1]コスト!$J$41</f>
        <v>141</v>
      </c>
      <c r="L8" s="35">
        <f t="shared" ref="L8" si="9">K8</f>
        <v>141</v>
      </c>
      <c r="M8" s="35">
        <f>[1]使用量!$J$387</f>
        <v>70</v>
      </c>
      <c r="N8" s="35">
        <f>[1]使用量!$J$388</f>
        <v>127</v>
      </c>
    </row>
    <row r="9" spans="1:15" ht="45" customHeight="1">
      <c r="A9" s="28">
        <v>44597</v>
      </c>
      <c r="B9" s="37"/>
      <c r="C9" s="35">
        <f>[1]コスト!$K$147</f>
        <v>15264</v>
      </c>
      <c r="D9" s="35">
        <f t="shared" si="0"/>
        <v>15264</v>
      </c>
      <c r="E9" s="35">
        <f>[1]コスト!$K$23</f>
        <v>201.9</v>
      </c>
      <c r="F9" s="35">
        <f t="shared" si="0"/>
        <v>201.9</v>
      </c>
      <c r="G9" s="35">
        <f>[1]コスト!$K$115</f>
        <v>528.09780000000001</v>
      </c>
      <c r="H9" s="35">
        <f t="shared" ref="H9" si="10">G9</f>
        <v>528.09780000000001</v>
      </c>
      <c r="I9" s="35">
        <f>[1]コスト!$K$91</f>
        <v>22651.534199999998</v>
      </c>
      <c r="J9" s="35">
        <f t="shared" ref="J9" si="11">I9</f>
        <v>22651.534199999998</v>
      </c>
      <c r="K9" s="35">
        <f>[1]コスト!$K$41</f>
        <v>193</v>
      </c>
      <c r="L9" s="35">
        <f t="shared" ref="L9" si="12">K9</f>
        <v>193</v>
      </c>
      <c r="M9" s="35">
        <f>[1]使用量!$K$387</f>
        <v>118</v>
      </c>
      <c r="N9" s="35">
        <f>[1]使用量!$K$388</f>
        <v>223</v>
      </c>
    </row>
    <row r="10" spans="1:15" ht="45" customHeight="1">
      <c r="A10" s="28">
        <v>44598</v>
      </c>
      <c r="B10" s="37"/>
      <c r="C10" s="35">
        <f>[1]コスト!$L$147</f>
        <v>15524</v>
      </c>
      <c r="D10" s="35">
        <f t="shared" si="0"/>
        <v>15524</v>
      </c>
      <c r="E10" s="35">
        <f>[1]コスト!$L$23</f>
        <v>189</v>
      </c>
      <c r="F10" s="35">
        <f t="shared" si="0"/>
        <v>189</v>
      </c>
      <c r="G10" s="35">
        <f>[1]コスト!$L$115</f>
        <v>222.23999999999998</v>
      </c>
      <c r="H10" s="35">
        <f t="shared" ref="H10" si="13">G10</f>
        <v>222.23999999999998</v>
      </c>
      <c r="I10" s="35">
        <f>[1]コスト!$L$91</f>
        <v>24159.1548</v>
      </c>
      <c r="J10" s="35">
        <f t="shared" ref="J10" si="14">I10</f>
        <v>24159.1548</v>
      </c>
      <c r="K10" s="35">
        <f>[1]コスト!$L$41</f>
        <v>193</v>
      </c>
      <c r="L10" s="35">
        <f t="shared" ref="L10" si="15">K10</f>
        <v>193</v>
      </c>
      <c r="M10" s="35">
        <f>[1]使用量!$L$387</f>
        <v>66</v>
      </c>
      <c r="N10" s="35">
        <f>[1]使用量!$L$388</f>
        <v>127</v>
      </c>
    </row>
    <row r="11" spans="1:15" ht="45" customHeight="1">
      <c r="A11" s="28">
        <v>44599</v>
      </c>
      <c r="B11" s="37"/>
      <c r="C11" s="35">
        <f>[1]コスト!$M$147</f>
        <v>14413</v>
      </c>
      <c r="D11" s="35">
        <f t="shared" si="0"/>
        <v>14413</v>
      </c>
      <c r="E11" s="35">
        <f>[1]コスト!$M$23</f>
        <v>183</v>
      </c>
      <c r="F11" s="35">
        <f t="shared" si="0"/>
        <v>183</v>
      </c>
      <c r="G11" s="35">
        <f>[1]コスト!$M$115</f>
        <v>751.1712</v>
      </c>
      <c r="H11" s="35">
        <f t="shared" ref="H11" si="16">G11</f>
        <v>751.1712</v>
      </c>
      <c r="I11" s="35">
        <f>[1]コスト!$M$91</f>
        <v>21084.464400000001</v>
      </c>
      <c r="J11" s="35">
        <f t="shared" ref="J11" si="17">I11</f>
        <v>21084.464400000001</v>
      </c>
      <c r="K11" s="35">
        <f>[1]コスト!$M$41</f>
        <v>253</v>
      </c>
      <c r="L11" s="35">
        <f t="shared" ref="L11" si="18">K11</f>
        <v>253</v>
      </c>
      <c r="M11" s="35">
        <f>[1]使用量!$M$387</f>
        <v>45</v>
      </c>
      <c r="N11" s="35">
        <f>[1]使用量!$M$388</f>
        <v>76</v>
      </c>
    </row>
    <row r="12" spans="1:15" ht="45" customHeight="1">
      <c r="A12" s="28">
        <v>44600</v>
      </c>
      <c r="B12" s="37"/>
      <c r="C12" s="35">
        <f>[1]コスト!$N$147</f>
        <v>14292</v>
      </c>
      <c r="D12" s="35">
        <f t="shared" si="0"/>
        <v>14292</v>
      </c>
      <c r="E12" s="35">
        <f>[1]コスト!$N$23</f>
        <v>171</v>
      </c>
      <c r="F12" s="35">
        <f t="shared" si="0"/>
        <v>171</v>
      </c>
      <c r="G12" s="35">
        <f>[1]コスト!$N$115</f>
        <v>313.63619999999997</v>
      </c>
      <c r="H12" s="35">
        <f t="shared" ref="H12" si="19">G12</f>
        <v>313.63619999999997</v>
      </c>
      <c r="I12" s="35">
        <f>[1]コスト!$N$91</f>
        <v>19523.2284</v>
      </c>
      <c r="J12" s="35">
        <f t="shared" ref="J12" si="20">I12</f>
        <v>19523.2284</v>
      </c>
      <c r="K12" s="35">
        <f>[1]コスト!$N$41</f>
        <v>138</v>
      </c>
      <c r="L12" s="35">
        <f t="shared" ref="L12" si="21">K12</f>
        <v>138</v>
      </c>
      <c r="M12" s="35">
        <f>[1]使用量!$N$387</f>
        <v>52</v>
      </c>
      <c r="N12" s="35">
        <f>[1]使用量!$N$388</f>
        <v>91</v>
      </c>
    </row>
    <row r="13" spans="1:15" ht="45" customHeight="1">
      <c r="A13" s="28">
        <v>44601</v>
      </c>
      <c r="B13" s="37"/>
      <c r="C13" s="35">
        <f>[1]コスト!$O$147</f>
        <v>14063</v>
      </c>
      <c r="D13" s="35">
        <f t="shared" si="0"/>
        <v>14063</v>
      </c>
      <c r="E13" s="35">
        <f>[1]コスト!$O$23</f>
        <v>173</v>
      </c>
      <c r="F13" s="35">
        <f t="shared" si="0"/>
        <v>173</v>
      </c>
      <c r="G13" s="35">
        <f>[1]コスト!$O$115</f>
        <v>669.49799999999993</v>
      </c>
      <c r="H13" s="35">
        <f t="shared" ref="H13" si="22">G13</f>
        <v>669.49799999999993</v>
      </c>
      <c r="I13" s="35">
        <f>[1]コスト!$O$91</f>
        <v>18680.9388</v>
      </c>
      <c r="J13" s="35">
        <f t="shared" ref="J13" si="23">I13</f>
        <v>18680.9388</v>
      </c>
      <c r="K13" s="35">
        <f>[1]コスト!$O$41</f>
        <v>147</v>
      </c>
      <c r="L13" s="35">
        <f t="shared" ref="L13" si="24">K13</f>
        <v>147</v>
      </c>
      <c r="M13" s="35">
        <f>[1]使用量!$O$387</f>
        <v>61</v>
      </c>
      <c r="N13" s="35">
        <f>[1]使用量!$O$388</f>
        <v>108</v>
      </c>
    </row>
    <row r="14" spans="1:15" ht="45" customHeight="1">
      <c r="A14" s="28">
        <v>44602</v>
      </c>
      <c r="B14" s="37"/>
      <c r="C14" s="35">
        <f>[1]コスト!$P$147</f>
        <v>15284</v>
      </c>
      <c r="D14" s="35">
        <f t="shared" si="0"/>
        <v>15284</v>
      </c>
      <c r="E14" s="35">
        <f>[1]コスト!$P$23</f>
        <v>183.3</v>
      </c>
      <c r="F14" s="35">
        <f t="shared" si="0"/>
        <v>183.3</v>
      </c>
      <c r="G14" s="35">
        <f>[1]コスト!$P$115</f>
        <v>194.46</v>
      </c>
      <c r="H14" s="35">
        <f t="shared" ref="H14" si="25">G14</f>
        <v>194.46</v>
      </c>
      <c r="I14" s="35">
        <f>[1]コスト!$P$91</f>
        <v>26031.5268</v>
      </c>
      <c r="J14" s="35">
        <f t="shared" ref="J14" si="26">I14</f>
        <v>26031.5268</v>
      </c>
      <c r="K14" s="35">
        <f>[1]コスト!$P$41</f>
        <v>177</v>
      </c>
      <c r="L14" s="35">
        <f t="shared" ref="L14" si="27">K14</f>
        <v>177</v>
      </c>
      <c r="M14" s="35">
        <f>[1]使用量!$P$387</f>
        <v>117</v>
      </c>
      <c r="N14" s="35">
        <f>[1]使用量!$P$388</f>
        <v>217</v>
      </c>
    </row>
    <row r="15" spans="1:15" ht="45" customHeight="1">
      <c r="A15" s="28">
        <v>44603</v>
      </c>
      <c r="B15" s="37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</row>
    <row r="16" spans="1:15" ht="45" customHeight="1">
      <c r="A16" s="28">
        <v>44604</v>
      </c>
      <c r="B16" s="37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</row>
    <row r="17" spans="1:26" ht="45" customHeight="1">
      <c r="A17" s="28">
        <v>44605</v>
      </c>
      <c r="B17" s="37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</row>
    <row r="18" spans="1:26" ht="45" customHeight="1">
      <c r="A18" s="28">
        <v>44606</v>
      </c>
      <c r="B18" s="37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Z18" s="36"/>
    </row>
    <row r="19" spans="1:26" ht="45" customHeight="1">
      <c r="A19" s="28">
        <v>44607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</row>
    <row r="20" spans="1:26" ht="45" customHeight="1">
      <c r="A20" s="28">
        <v>44608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</row>
    <row r="21" spans="1:26" ht="45" customHeight="1">
      <c r="A21" s="28">
        <v>44609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</row>
    <row r="22" spans="1:26" ht="45" customHeight="1">
      <c r="A22" s="28">
        <v>44610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44611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44612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44613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44614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44615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44616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44617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44618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44619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44620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44621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44622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44623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2022-02-11T02:09:28Z</dcterms:modified>
</cp:coreProperties>
</file>