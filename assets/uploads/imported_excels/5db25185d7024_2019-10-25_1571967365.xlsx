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13950" windowHeight="1101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/>
  <c r="K38" i="1"/>
  <c r="N38" i="1" s="1"/>
  <c r="L37" i="1"/>
  <c r="O37" i="1"/>
  <c r="K37" i="1"/>
  <c r="N37" i="1" s="1"/>
  <c r="M36" i="1"/>
  <c r="P36" i="1"/>
  <c r="L36" i="1"/>
  <c r="O36" i="1" s="1"/>
  <c r="L35" i="1"/>
  <c r="O35" i="1"/>
  <c r="K35" i="1"/>
  <c r="N35" i="1" s="1"/>
  <c r="M34" i="1"/>
  <c r="P34" i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<sst xmlns="http://schemas.openxmlformats.org/spreadsheetml/2006/main" count="112" uniqueCount="45">
  <si>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</si>
  <si>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</si>
  <si>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</si>
  <si>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</si>
  <si>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</si>
  <si>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</si>
  <si>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</si>
  <si>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</si>
  <si>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</si>
  <si>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</si>
  <si>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</si>
  <si>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</si>
  <si>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</si>
  <si>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</si>
  <si>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</si>
  <si>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</si>
  <si>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</si>
  <si>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</si>
  <si>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</si>
  <si>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</si>
  <si>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</si>
  <si>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</si>
  <si>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</si>
  <si>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</si>
  <si>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</si>
  <si>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</si>
  <si>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</si>
  <si>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</si>
  <si>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</si>
  <si>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</si>
  <si>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</si>
  <si>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</si>
  <si>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</si>
  <si>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</si>
  <si>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</si>
  <si>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</si>
  <si>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</si>
  <si>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</si>
  <si>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</si>
  <si>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</si>
  <si>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%</t>
  </si>
  <si>
    <t>sunny</t>
  </si>
  <si>
    <t>cloudy</t>
  </si>
  <si>
    <t>rainy</t>
  </si>
  <si>
    <t>26.5.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</si>
</sst>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9540</v>
      </c>
      <c r="F2" s="38">
        <v>11.359820004894488</v>
      </c>
      <c r="G2" s="39">
        <f>'FS Desroches'!G9*0.51</f>
        <v>24.48</v>
      </c>
      <c r="H2" s="38">
        <f>17/0.073</f>
        <v>232.87671232876713</v>
      </c>
      <c r="I2" s="39">
        <f>'FS Desroches'!E9</f>
        <v>82.5</v>
      </c>
      <c r="J2" s="38">
        <v>117.8082191780822</v>
      </c>
      <c r="K2" s="40">
        <f>'FS Desroches'!C9</f>
        <v>18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10230</v>
      </c>
      <c r="F3" s="38">
        <f>F2</f>
        <v>11.359820004894488</v>
      </c>
      <c r="G3" s="39">
        <f>'FS Desroches'!G10*0.51</f>
        <v>24.48</v>
      </c>
      <c r="H3" s="38">
        <f>H2</f>
        <v>232.87671232876713</v>
      </c>
      <c r="I3" s="39">
        <f>'FS Desroches'!E10</f>
        <v>89.8</v>
      </c>
      <c r="J3" s="38">
        <f>J2</f>
        <v>117.8082191780822</v>
      </c>
      <c r="K3" s="40">
        <f>'FS Desroches'!C10</f>
        <v>20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10570</v>
      </c>
      <c r="F4" s="38">
        <f t="shared" ref="F4:F32" si="1">F3</f>
        <v>11.359820004894488</v>
      </c>
      <c r="G4" s="39">
        <f>'FS Desroches'!G11*0.51</f>
        <v>24.48</v>
      </c>
      <c r="H4" s="38">
        <f t="shared" ref="H4:H32" si="2">H3</f>
        <v>232.87671232876713</v>
      </c>
      <c r="I4" s="39">
        <f>'FS Desroches'!E11</f>
        <v>91.3</v>
      </c>
      <c r="J4" s="38">
        <f t="shared" ref="J4:J32" si="3">J3</f>
        <v>117.8082191780822</v>
      </c>
      <c r="K4" s="40">
        <f>'FS Desroches'!C11</f>
        <v>21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10190</v>
      </c>
      <c r="F5" s="38">
        <f t="shared" si="1"/>
        <v>11.359820004894488</v>
      </c>
      <c r="G5" s="39">
        <f>'FS Desroches'!G12*0.51</f>
        <v>26.52</v>
      </c>
      <c r="H5" s="38">
        <f t="shared" si="2"/>
        <v>232.87671232876713</v>
      </c>
      <c r="I5" s="39">
        <f>'FS Desroches'!E12</f>
        <v>62.3</v>
      </c>
      <c r="J5" s="38">
        <f t="shared" si="3"/>
        <v>117.8082191780822</v>
      </c>
      <c r="K5" s="40">
        <f>'FS Desroches'!C12</f>
        <v>21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10190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63.9</v>
      </c>
      <c r="J6" s="38">
        <f t="shared" si="3"/>
        <v>117.8082191780822</v>
      </c>
      <c r="K6" s="40">
        <f>'FS Desroches'!C13</f>
        <v>17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9410</v>
      </c>
      <c r="F7" s="38">
        <f t="shared" si="1"/>
        <v>11.359820004894488</v>
      </c>
      <c r="G7" s="39">
        <f>'FS Desroches'!G14*0.51</f>
        <v>26.52</v>
      </c>
      <c r="H7" s="38">
        <f t="shared" si="2"/>
        <v>232.87671232876713</v>
      </c>
      <c r="I7" s="39">
        <f>'FS Desroches'!E14</f>
        <v>66.8</v>
      </c>
      <c r="J7" s="38">
        <f t="shared" si="3"/>
        <v>117.8082191780822</v>
      </c>
      <c r="K7" s="40">
        <f>'FS Desroches'!C14</f>
        <v>16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9880</v>
      </c>
      <c r="F8" s="38">
        <f t="shared" si="1"/>
        <v>11.359820004894488</v>
      </c>
      <c r="G8" s="39">
        <f>'FS Desroches'!G15*0.51</f>
        <v>24.48</v>
      </c>
      <c r="H8" s="38">
        <f t="shared" si="2"/>
        <v>232.87671232876713</v>
      </c>
      <c r="I8" s="39">
        <f>'FS Desroches'!E15</f>
        <v>64.400000000000006</v>
      </c>
      <c r="J8" s="38">
        <f t="shared" si="3"/>
        <v>117.8082191780822</v>
      </c>
      <c r="K8" s="40">
        <f>'FS Desroches'!C15</f>
        <v>17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9510</v>
      </c>
      <c r="F9" s="38">
        <f t="shared" si="1"/>
        <v>11.359820004894488</v>
      </c>
      <c r="G9" s="39">
        <f>'FS Desroches'!G16*0.51</f>
        <v>24.48</v>
      </c>
      <c r="H9" s="38">
        <f t="shared" si="2"/>
        <v>232.87671232876713</v>
      </c>
      <c r="I9" s="39">
        <f>'FS Desroches'!E16</f>
        <v>72.599999999999994</v>
      </c>
      <c r="J9" s="38">
        <f t="shared" si="3"/>
        <v>117.8082191780822</v>
      </c>
      <c r="K9" s="40">
        <f>'FS Desroches'!C16</f>
        <v>24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10430</v>
      </c>
      <c r="F10" s="38">
        <f t="shared" si="1"/>
        <v>11.359820004894488</v>
      </c>
      <c r="G10" s="39">
        <f>'FS Desroches'!G17*0.51</f>
        <v>24.48</v>
      </c>
      <c r="H10" s="38">
        <f t="shared" si="2"/>
        <v>232.87671232876713</v>
      </c>
      <c r="I10" s="39">
        <f>'FS Desroches'!E17</f>
        <v>72.8</v>
      </c>
      <c r="J10" s="38">
        <f t="shared" si="3"/>
        <v>117.8082191780822</v>
      </c>
      <c r="K10" s="40">
        <f>'FS Desroches'!C17</f>
        <v>23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10540</v>
      </c>
      <c r="F11" s="38">
        <f t="shared" si="1"/>
        <v>11.359820004894488</v>
      </c>
      <c r="G11" s="39">
        <f>'FS Desroches'!G18*0.51</f>
        <v>30.09</v>
      </c>
      <c r="H11" s="38">
        <f t="shared" si="2"/>
        <v>232.87671232876713</v>
      </c>
      <c r="I11" s="39">
        <f>'FS Desroches'!E18</f>
        <v>66</v>
      </c>
      <c r="J11" s="38">
        <f t="shared" si="3"/>
        <v>117.8082191780822</v>
      </c>
      <c r="K11" s="40">
        <f>'FS Desroches'!C18</f>
        <v>24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8880</v>
      </c>
      <c r="F12" s="38">
        <f t="shared" si="1"/>
        <v>11.359820004894488</v>
      </c>
      <c r="G12" s="39">
        <f>'FS Desroches'!G19*0.51</f>
        <v>28.560000000000002</v>
      </c>
      <c r="H12" s="38">
        <f t="shared" si="2"/>
        <v>232.87671232876713</v>
      </c>
      <c r="I12" s="39">
        <f>'FS Desroches'!E19</f>
        <v>66</v>
      </c>
      <c r="J12" s="38">
        <f t="shared" si="3"/>
        <v>117.8082191780822</v>
      </c>
      <c r="K12" s="40">
        <f>'FS Desroches'!C19</f>
        <v>22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9110</v>
      </c>
      <c r="F13" s="38">
        <f t="shared" si="1"/>
        <v>11.359820004894488</v>
      </c>
      <c r="G13" s="39">
        <f>'FS Desroches'!G20*0.51</f>
        <v>24.48</v>
      </c>
      <c r="H13" s="38">
        <f t="shared" si="2"/>
        <v>232.87671232876713</v>
      </c>
      <c r="I13" s="39">
        <f>'FS Desroches'!E20</f>
        <v>75</v>
      </c>
      <c r="J13" s="38">
        <f t="shared" si="3"/>
        <v>117.8082191780822</v>
      </c>
      <c r="K13" s="40">
        <f>'FS Desroches'!C20</f>
        <v>19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8810</v>
      </c>
      <c r="F14" s="38">
        <f t="shared" si="1"/>
        <v>11.359820004894488</v>
      </c>
      <c r="G14" s="39">
        <f>'FS Desroches'!G21*0.51</f>
        <v>24.48</v>
      </c>
      <c r="H14" s="38">
        <f t="shared" si="2"/>
        <v>232.87671232876713</v>
      </c>
      <c r="I14" s="39">
        <f>'FS Desroches'!E21</f>
        <v>69</v>
      </c>
      <c r="J14" s="38">
        <f t="shared" si="3"/>
        <v>117.8082191780822</v>
      </c>
      <c r="K14" s="40">
        <f>'FS Desroches'!C21</f>
        <v>20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9800</v>
      </c>
      <c r="F15" s="38">
        <f t="shared" si="1"/>
        <v>11.359820004894488</v>
      </c>
      <c r="G15" s="39">
        <f>'FS Desroches'!G22*0.51</f>
        <v>26.52</v>
      </c>
      <c r="H15" s="38">
        <f t="shared" si="2"/>
        <v>232.87671232876713</v>
      </c>
      <c r="I15" s="39">
        <f>'FS Desroches'!E22</f>
        <v>67.5</v>
      </c>
      <c r="J15" s="38">
        <f t="shared" si="3"/>
        <v>117.8082191780822</v>
      </c>
      <c r="K15" s="40">
        <f>'FS Desroches'!C22</f>
        <v>25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10700</v>
      </c>
      <c r="F16" s="38">
        <f t="shared" si="1"/>
        <v>11.359820004894488</v>
      </c>
      <c r="G16" s="39">
        <f>'FS Desroches'!G23*0.51</f>
        <v>34.17</v>
      </c>
      <c r="H16" s="38">
        <f t="shared" si="2"/>
        <v>232.87671232876713</v>
      </c>
      <c r="I16" s="39">
        <f>'FS Desroches'!E23</f>
        <v>92.6</v>
      </c>
      <c r="J16" s="38">
        <f t="shared" si="3"/>
        <v>117.8082191780822</v>
      </c>
      <c r="K16" s="40">
        <f>'FS Desroches'!C23</f>
        <v>26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10400</v>
      </c>
      <c r="F17" s="38">
        <f t="shared" si="1"/>
        <v>11.359820004894488</v>
      </c>
      <c r="G17" s="39">
        <f>'FS Desroches'!G24*0.51</f>
        <v>24.48</v>
      </c>
      <c r="H17" s="38">
        <f t="shared" si="2"/>
        <v>232.87671232876713</v>
      </c>
      <c r="I17" s="39">
        <f>'FS Desroches'!E24</f>
        <v>80.7</v>
      </c>
      <c r="J17" s="38">
        <f t="shared" si="3"/>
        <v>117.8082191780822</v>
      </c>
      <c r="K17" s="40">
        <f>'FS Desroches'!C24</f>
        <v>28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10800</v>
      </c>
      <c r="F18" s="38">
        <f t="shared" si="1"/>
        <v>11.359820004894488</v>
      </c>
      <c r="G18" s="39">
        <f>'FS Desroches'!G25*0.51</f>
        <v>26.52</v>
      </c>
      <c r="H18" s="38">
        <f t="shared" si="2"/>
        <v>232.87671232876713</v>
      </c>
      <c r="I18" s="39">
        <f>'FS Desroches'!E25</f>
        <v>86.1</v>
      </c>
      <c r="J18" s="38">
        <f t="shared" si="3"/>
        <v>117.8082191780822</v>
      </c>
      <c r="K18" s="40">
        <f>'FS Desroches'!C25</f>
        <v>32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11610</v>
      </c>
      <c r="F19" s="38">
        <f t="shared" si="1"/>
        <v>11.359820004894488</v>
      </c>
      <c r="G19" s="39">
        <f>'FS Desroches'!G26*0.51</f>
        <v>30.09</v>
      </c>
      <c r="H19" s="38">
        <f t="shared" si="2"/>
        <v>232.87671232876713</v>
      </c>
      <c r="I19" s="39">
        <f>'FS Desroches'!E26</f>
        <v>97.1</v>
      </c>
      <c r="J19" s="38">
        <f t="shared" si="3"/>
        <v>117.8082191780822</v>
      </c>
      <c r="K19" s="40">
        <f>'FS Desroches'!C26</f>
        <v>28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11220</v>
      </c>
      <c r="F20" s="38">
        <f t="shared" si="1"/>
        <v>11.359820004894488</v>
      </c>
      <c r="G20" s="39">
        <f>'FS Desroches'!G27*0.51</f>
        <v>32.130000000000003</v>
      </c>
      <c r="H20" s="38">
        <f t="shared" si="2"/>
        <v>232.87671232876713</v>
      </c>
      <c r="I20" s="39">
        <f>'FS Desroches'!E27</f>
        <v>87</v>
      </c>
      <c r="J20" s="38">
        <f t="shared" si="3"/>
        <v>117.8082191780822</v>
      </c>
      <c r="K20" s="40">
        <f>'FS Desroches'!C27</f>
        <v>38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12190</v>
      </c>
      <c r="F21" s="38">
        <f t="shared" si="1"/>
        <v>11.359820004894488</v>
      </c>
      <c r="G21" s="39">
        <f>'FS Desroches'!G28*0.51</f>
        <v>28.560000000000002</v>
      </c>
      <c r="H21" s="38">
        <f t="shared" si="2"/>
        <v>232.87671232876713</v>
      </c>
      <c r="I21" s="39">
        <f>'FS Desroches'!E28</f>
        <v>92.3</v>
      </c>
      <c r="J21" s="38">
        <f t="shared" si="3"/>
        <v>117.8082191780822</v>
      </c>
      <c r="K21" s="40">
        <f>'FS Desroches'!C28</f>
        <v>43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12550</v>
      </c>
      <c r="F22" s="38">
        <f t="shared" si="1"/>
        <v>11.359820004894488</v>
      </c>
      <c r="G22" s="39">
        <f>'FS Desroches'!G29*0.51</f>
        <v>28.560000000000002</v>
      </c>
      <c r="H22" s="38">
        <f t="shared" si="2"/>
        <v>232.87671232876713</v>
      </c>
      <c r="I22" s="39">
        <f>'FS Desroches'!E29</f>
        <v>89.7</v>
      </c>
      <c r="J22" s="38">
        <f t="shared" si="3"/>
        <v>117.8082191780822</v>
      </c>
      <c r="K22" s="40">
        <f>'FS Desroches'!C29</f>
        <v>47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13430</v>
      </c>
      <c r="F23" s="38">
        <f t="shared" si="1"/>
        <v>11.359820004894488</v>
      </c>
      <c r="G23" s="39">
        <f>'FS Desroches'!G30*0.51</f>
        <v>35.700000000000003</v>
      </c>
      <c r="H23" s="38">
        <f t="shared" si="2"/>
        <v>232.87671232876713</v>
      </c>
      <c r="I23" s="39">
        <f>'FS Desroches'!E30</f>
        <v>107</v>
      </c>
      <c r="J23" s="38">
        <f t="shared" si="3"/>
        <v>117.8082191780822</v>
      </c>
      <c r="K23" s="40">
        <f>'FS Desroches'!C30</f>
        <v>42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14330</v>
      </c>
      <c r="F24" s="38">
        <f t="shared" si="1"/>
        <v>11.359820004894488</v>
      </c>
      <c r="G24" s="39">
        <f>'FS Desroches'!G31*0.51</f>
        <v>30.09</v>
      </c>
      <c r="H24" s="38">
        <f t="shared" si="2"/>
        <v>232.87671232876713</v>
      </c>
      <c r="I24" s="39">
        <f>'FS Desroches'!E31</f>
        <v>111.9</v>
      </c>
      <c r="J24" s="38">
        <f t="shared" si="3"/>
        <v>117.8082191780822</v>
      </c>
      <c r="K24" s="40">
        <f>'FS Desroches'!C31</f>
        <v>41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14030</v>
      </c>
      <c r="F25" s="38">
        <f t="shared" si="1"/>
        <v>11.359820004894488</v>
      </c>
      <c r="G25" s="39">
        <f>'FS Desroches'!G32*0.51</f>
        <v>34.17</v>
      </c>
      <c r="H25" s="38">
        <f t="shared" si="2"/>
        <v>232.87671232876713</v>
      </c>
      <c r="I25" s="39">
        <f>'FS Desroches'!E32</f>
        <v>106.5</v>
      </c>
      <c r="J25" s="38">
        <f t="shared" si="3"/>
        <v>117.8082191780822</v>
      </c>
      <c r="K25" s="40">
        <f>'FS Desroches'!C32</f>
        <v>40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15300</v>
      </c>
      <c r="F26" s="38">
        <f t="shared" si="1"/>
        <v>11.359820004894488</v>
      </c>
      <c r="G26" s="39">
        <f>'FS Desroches'!G33*0.51</f>
        <v>26.52</v>
      </c>
      <c r="H26" s="38">
        <f t="shared" si="2"/>
        <v>232.87671232876713</v>
      </c>
      <c r="I26" s="39">
        <f>'FS Desroches'!E33</f>
        <v>91.6</v>
      </c>
      <c r="J26" s="38">
        <f t="shared" si="3"/>
        <v>117.8082191780822</v>
      </c>
      <c r="K26" s="40">
        <f>'FS Desroches'!C33</f>
        <v>42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A7" zoomScale="102" zoomScaleNormal="102" workbookViewId="0">
      <selection activeCell="R34" sqref="R34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43738</v>
      </c>
      <c r="B9" s="21">
        <v>0.18</v>
      </c>
      <c r="C9" s="22">
        <v>18</v>
      </c>
      <c r="D9" s="22">
        <v>40</v>
      </c>
      <c r="E9" s="23">
        <v>82.5</v>
      </c>
      <c r="F9" s="24">
        <v>9540</v>
      </c>
      <c r="G9" s="25">
        <v>48</v>
      </c>
      <c r="H9" s="26">
        <f>E9/C9</f>
        <v>4.583333333333333</v>
      </c>
      <c r="I9" s="27">
        <f>F9/C9</f>
        <v>530</v>
      </c>
      <c r="J9" s="28">
        <f>G9/C9</f>
        <v>2.6666666666666665</v>
      </c>
      <c r="K9" s="26">
        <f t="shared" ref="K9:K40" si="0">$F$2*E9</f>
        <v>709.5</v>
      </c>
      <c r="L9" s="24">
        <f t="shared" ref="L9:L40" si="1">$H$2*F9</f>
        <v>6201</v>
      </c>
      <c r="M9" s="28">
        <f t="shared" ref="M9:M40" si="2">$J$2*G9*0.51</f>
        <v>367.2</v>
      </c>
      <c r="N9" s="26">
        <f>K9/D9</f>
        <v>17.737500000000001</v>
      </c>
      <c r="O9" s="27">
        <f>L9/D9</f>
        <v>155.02500000000001</v>
      </c>
      <c r="P9" s="28">
        <f>M9/D9</f>
        <v>9.18</v>
      </c>
      <c r="Q9" s="22">
        <v>26.9</v>
      </c>
      <c r="R9" s="22" t="s">
        <v>41</v>
      </c>
      <c r="S9" s="22"/>
    </row>
    <row r="10" spans="1:19" x14ac:dyDescent="0.25">
      <c r="A10" s="20">
        <v>43739</v>
      </c>
      <c r="B10" s="21">
        <v>0.24</v>
      </c>
      <c r="C10" s="22">
        <v>20</v>
      </c>
      <c r="D10" s="22">
        <v>44</v>
      </c>
      <c r="E10" s="23">
        <v>89.8</v>
      </c>
      <c r="F10" s="24">
        <v>10230</v>
      </c>
      <c r="G10" s="25">
        <v>48</v>
      </c>
      <c r="H10" s="26">
        <f t="shared" ref="H10:H40" si="3">E10/C10</f>
        <v>4.49</v>
      </c>
      <c r="I10" s="27">
        <f t="shared" ref="I10:I40" si="4">F10/C10</f>
        <v>511.5</v>
      </c>
      <c r="J10" s="28">
        <f t="shared" ref="J10:J40" si="5">G10/C10</f>
        <v>2.4</v>
      </c>
      <c r="K10" s="26">
        <f t="shared" si="0"/>
        <v>772.28</v>
      </c>
      <c r="L10" s="24">
        <f t="shared" si="1"/>
        <v>6649.5</v>
      </c>
      <c r="M10" s="28">
        <f t="shared" si="2"/>
        <v>367.2</v>
      </c>
      <c r="N10" s="26">
        <f t="shared" ref="N10:N40" si="6">K10/D10</f>
        <v>17.551818181818181</v>
      </c>
      <c r="O10" s="27">
        <f t="shared" ref="O10:O40" si="7">L10/D10</f>
        <v>151.125</v>
      </c>
      <c r="P10" s="28">
        <f t="shared" ref="P10:P40" si="8">M10/D10</f>
        <v>8.3454545454545457</v>
      </c>
      <c r="Q10" s="22">
        <v>26.8</v>
      </c>
      <c r="R10" s="22" t="s">
        <v>41</v>
      </c>
      <c r="S10" s="22"/>
    </row>
    <row r="11" spans="1:19" x14ac:dyDescent="0.25">
      <c r="A11" s="20">
        <v>43740</v>
      </c>
      <c r="B11" s="21">
        <v>0.23</v>
      </c>
      <c r="C11" s="22">
        <v>21</v>
      </c>
      <c r="D11" s="22">
        <v>45</v>
      </c>
      <c r="E11" s="23">
        <v>91.3</v>
      </c>
      <c r="F11" s="24">
        <v>10570</v>
      </c>
      <c r="G11" s="25">
        <v>48</v>
      </c>
      <c r="H11" s="26">
        <f t="shared" si="3"/>
        <v>4.3476190476190473</v>
      </c>
      <c r="I11" s="27">
        <f t="shared" si="4"/>
        <v>503.33333333333331</v>
      </c>
      <c r="J11" s="28">
        <f t="shared" si="5"/>
        <v>2.2857142857142856</v>
      </c>
      <c r="K11" s="26">
        <f t="shared" si="0"/>
        <v>785.18</v>
      </c>
      <c r="L11" s="24">
        <f t="shared" si="1"/>
        <v>6870.5</v>
      </c>
      <c r="M11" s="28">
        <f t="shared" si="2"/>
        <v>367.2</v>
      </c>
      <c r="N11" s="26">
        <f t="shared" si="6"/>
        <v>17.448444444444444</v>
      </c>
      <c r="O11" s="27">
        <f t="shared" si="7"/>
        <v>152.67777777777778</v>
      </c>
      <c r="P11" s="28">
        <f t="shared" si="8"/>
        <v>8.16</v>
      </c>
      <c r="Q11" s="22">
        <v>26.5</v>
      </c>
      <c r="R11" s="22" t="s">
        <v>42</v>
      </c>
      <c r="S11" s="22"/>
    </row>
    <row r="12" spans="1:19" x14ac:dyDescent="0.25">
      <c r="A12" s="20">
        <v>43741</v>
      </c>
      <c r="B12" s="21">
        <v>0.23</v>
      </c>
      <c r="C12" s="22">
        <v>21</v>
      </c>
      <c r="D12" s="22">
        <v>45</v>
      </c>
      <c r="E12" s="23">
        <v>62.3</v>
      </c>
      <c r="F12" s="24">
        <v>10190</v>
      </c>
      <c r="G12" s="25">
        <v>52</v>
      </c>
      <c r="H12" s="26">
        <f t="shared" si="3"/>
        <v>2.9666666666666663</v>
      </c>
      <c r="I12" s="27">
        <f t="shared" si="4"/>
        <v>485.23809523809524</v>
      </c>
      <c r="J12" s="28">
        <f t="shared" si="5"/>
        <v>2.4761904761904763</v>
      </c>
      <c r="K12" s="26">
        <f t="shared" si="0"/>
        <v>535.78</v>
      </c>
      <c r="L12" s="24">
        <f t="shared" si="1"/>
        <v>6623.5</v>
      </c>
      <c r="M12" s="28">
        <f t="shared" si="2"/>
        <v>397.8</v>
      </c>
      <c r="N12" s="26">
        <f t="shared" si="6"/>
        <v>11.906222222222222</v>
      </c>
      <c r="O12" s="27">
        <f t="shared" si="7"/>
        <v>147.1888888888889</v>
      </c>
      <c r="P12" s="28">
        <f t="shared" si="8"/>
        <v>8.84</v>
      </c>
      <c r="Q12" s="22">
        <v>26.8</v>
      </c>
      <c r="R12" s="22" t="s">
        <v>41</v>
      </c>
      <c r="S12" s="22"/>
    </row>
    <row r="13" spans="1:19" x14ac:dyDescent="0.25">
      <c r="A13" s="20">
        <v>43742</v>
      </c>
      <c r="B13" s="21">
        <v>0.2</v>
      </c>
      <c r="C13" s="22">
        <v>17</v>
      </c>
      <c r="D13" s="22">
        <v>40</v>
      </c>
      <c r="E13" s="23">
        <v>63.9</v>
      </c>
      <c r="F13" s="24">
        <v>10190</v>
      </c>
      <c r="G13" s="25">
        <v>52</v>
      </c>
      <c r="H13" s="26">
        <f t="shared" si="3"/>
        <v>3.7588235294117647</v>
      </c>
      <c r="I13" s="27">
        <f t="shared" si="4"/>
        <v>599.41176470588232</v>
      </c>
      <c r="J13" s="28">
        <f t="shared" si="5"/>
        <v>3.0588235294117645</v>
      </c>
      <c r="K13" s="26">
        <f t="shared" si="0"/>
        <v>549.54</v>
      </c>
      <c r="L13" s="24">
        <f t="shared" si="1"/>
        <v>6623.5</v>
      </c>
      <c r="M13" s="28">
        <f t="shared" si="2"/>
        <v>397.8</v>
      </c>
      <c r="N13" s="26">
        <f t="shared" si="6"/>
        <v>13.738499999999998</v>
      </c>
      <c r="O13" s="27">
        <f t="shared" si="7"/>
        <v>165.58750000000001</v>
      </c>
      <c r="P13" s="28">
        <f t="shared" si="8"/>
        <v>9.9450000000000003</v>
      </c>
      <c r="Q13" s="22">
        <v>26.5</v>
      </c>
      <c r="R13" s="22" t="s">
        <v>41</v>
      </c>
      <c r="S13" s="22"/>
    </row>
    <row r="14" spans="1:19" x14ac:dyDescent="0.25">
      <c r="A14" s="20">
        <v>43743</v>
      </c>
      <c r="B14" s="21">
        <v>0.17</v>
      </c>
      <c r="C14" s="22">
        <v>16</v>
      </c>
      <c r="D14" s="22">
        <v>36</v>
      </c>
      <c r="E14" s="23">
        <v>66.8</v>
      </c>
      <c r="F14" s="24">
        <v>9410</v>
      </c>
      <c r="G14" s="25">
        <v>52</v>
      </c>
      <c r="H14" s="26">
        <f t="shared" si="3"/>
        <v>4.1749999999999998</v>
      </c>
      <c r="I14" s="27">
        <f t="shared" si="4"/>
        <v>588.125</v>
      </c>
      <c r="J14" s="28">
        <f t="shared" si="5"/>
        <v>3.25</v>
      </c>
      <c r="K14" s="26">
        <f t="shared" si="0"/>
        <v>574.4799999999999</v>
      </c>
      <c r="L14" s="24">
        <f t="shared" si="1"/>
        <v>6116.5</v>
      </c>
      <c r="M14" s="28">
        <f t="shared" si="2"/>
        <v>397.8</v>
      </c>
      <c r="N14" s="26">
        <f t="shared" si="6"/>
        <v>15.957777777777775</v>
      </c>
      <c r="O14" s="27">
        <f t="shared" si="7"/>
        <v>169.90277777777777</v>
      </c>
      <c r="P14" s="28">
        <f t="shared" si="8"/>
        <v>11.05</v>
      </c>
      <c r="Q14" s="22">
        <v>26.2</v>
      </c>
      <c r="R14" s="22" t="s">
        <v>43</v>
      </c>
      <c r="S14" s="22"/>
    </row>
    <row r="15" spans="1:19" x14ac:dyDescent="0.25">
      <c r="A15" s="20">
        <v>43744</v>
      </c>
      <c r="B15" s="21">
        <v>0.18</v>
      </c>
      <c r="C15" s="22">
        <v>17</v>
      </c>
      <c r="D15" s="22">
        <v>36</v>
      </c>
      <c r="E15" s="23">
        <v>64.400000000000006</v>
      </c>
      <c r="F15" s="24">
        <v>9880</v>
      </c>
      <c r="G15" s="25">
        <v>48</v>
      </c>
      <c r="H15" s="26">
        <f t="shared" si="3"/>
        <v>3.7882352941176474</v>
      </c>
      <c r="I15" s="27">
        <f t="shared" si="4"/>
        <v>581.17647058823525</v>
      </c>
      <c r="J15" s="28">
        <f t="shared" si="5"/>
        <v>2.8235294117647061</v>
      </c>
      <c r="K15" s="26">
        <f t="shared" si="0"/>
        <v>553.84</v>
      </c>
      <c r="L15" s="24">
        <f t="shared" si="1"/>
        <v>6422</v>
      </c>
      <c r="M15" s="28">
        <f t="shared" si="2"/>
        <v>367.2</v>
      </c>
      <c r="N15" s="26">
        <f t="shared" si="6"/>
        <v>15.384444444444446</v>
      </c>
      <c r="O15" s="27">
        <f t="shared" si="7"/>
        <v>178.38888888888889</v>
      </c>
      <c r="P15" s="28">
        <f t="shared" si="8"/>
        <v>10.199999999999999</v>
      </c>
      <c r="Q15" s="22">
        <v>26.8</v>
      </c>
      <c r="R15" s="22" t="s">
        <v>41</v>
      </c>
      <c r="S15" s="22"/>
    </row>
    <row r="16" spans="1:19" x14ac:dyDescent="0.25">
      <c r="A16" s="20">
        <v>43745</v>
      </c>
      <c r="B16" s="21">
        <v>0.23</v>
      </c>
      <c r="C16" s="22">
        <v>24</v>
      </c>
      <c r="D16" s="22">
        <v>50</v>
      </c>
      <c r="E16" s="23">
        <v>72.599999999999994</v>
      </c>
      <c r="F16" s="24">
        <v>9510</v>
      </c>
      <c r="G16" s="25">
        <v>48</v>
      </c>
      <c r="H16" s="26">
        <f t="shared" si="3"/>
        <v>3.0249999999999999</v>
      </c>
      <c r="I16" s="27">
        <f t="shared" si="4"/>
        <v>396.25</v>
      </c>
      <c r="J16" s="28">
        <f t="shared" si="5"/>
        <v>2</v>
      </c>
      <c r="K16" s="26">
        <f t="shared" si="0"/>
        <v>624.3599999999999</v>
      </c>
      <c r="L16" s="24">
        <f t="shared" si="1"/>
        <v>6181.5</v>
      </c>
      <c r="M16" s="28">
        <f t="shared" si="2"/>
        <v>367.2</v>
      </c>
      <c r="N16" s="26">
        <f t="shared" si="6"/>
        <v>12.487199999999998</v>
      </c>
      <c r="O16" s="27">
        <f t="shared" si="7"/>
        <v>123.63</v>
      </c>
      <c r="P16" s="28">
        <f t="shared" si="8"/>
        <v>7.3439999999999994</v>
      </c>
      <c r="Q16" s="22">
        <v>26.8</v>
      </c>
      <c r="R16" s="22" t="s">
        <v>41</v>
      </c>
      <c r="S16" s="22"/>
    </row>
    <row r="17" spans="1:19" x14ac:dyDescent="0.25">
      <c r="A17" s="20">
        <v>43746</v>
      </c>
      <c r="B17" s="21">
        <v>0.25</v>
      </c>
      <c r="C17" s="22">
        <v>23</v>
      </c>
      <c r="D17" s="22">
        <v>51</v>
      </c>
      <c r="E17" s="23">
        <v>72.8</v>
      </c>
      <c r="F17" s="24">
        <v>10430</v>
      </c>
      <c r="G17" s="25">
        <v>48</v>
      </c>
      <c r="H17" s="26">
        <f t="shared" si="3"/>
        <v>3.1652173913043478</v>
      </c>
      <c r="I17" s="27">
        <f t="shared" si="4"/>
        <v>453.47826086956519</v>
      </c>
      <c r="J17" s="28">
        <f t="shared" si="5"/>
        <v>2.0869565217391304</v>
      </c>
      <c r="K17" s="26">
        <f t="shared" si="0"/>
        <v>626.07999999999993</v>
      </c>
      <c r="L17" s="24">
        <f t="shared" si="1"/>
        <v>6779.5</v>
      </c>
      <c r="M17" s="28">
        <f t="shared" si="2"/>
        <v>367.2</v>
      </c>
      <c r="N17" s="26">
        <f t="shared" si="6"/>
        <v>12.276078431372548</v>
      </c>
      <c r="O17" s="27">
        <f t="shared" si="7"/>
        <v>132.93137254901961</v>
      </c>
      <c r="P17" s="28">
        <f t="shared" si="8"/>
        <v>7.2</v>
      </c>
      <c r="Q17" s="22">
        <v>26.4</v>
      </c>
      <c r="R17" s="22" t="s">
        <v>42</v>
      </c>
      <c r="S17" s="22"/>
    </row>
    <row r="18" spans="1:19" x14ac:dyDescent="0.25">
      <c r="A18" s="20">
        <v>43747</v>
      </c>
      <c r="B18" s="21">
        <v>0.27</v>
      </c>
      <c r="C18" s="22">
        <v>24</v>
      </c>
      <c r="D18" s="22">
        <v>55</v>
      </c>
      <c r="E18" s="23">
        <v>66</v>
      </c>
      <c r="F18" s="24">
        <v>10540</v>
      </c>
      <c r="G18" s="25">
        <v>59</v>
      </c>
      <c r="H18" s="26">
        <f t="shared" si="3"/>
        <v>2.75</v>
      </c>
      <c r="I18" s="27">
        <f t="shared" si="4"/>
        <v>439.16666666666669</v>
      </c>
      <c r="J18" s="28">
        <f t="shared" si="5"/>
        <v>2.4583333333333335</v>
      </c>
      <c r="K18" s="26">
        <f t="shared" si="0"/>
        <v>567.6</v>
      </c>
      <c r="L18" s="24">
        <f t="shared" si="1"/>
        <v>6851</v>
      </c>
      <c r="M18" s="28">
        <f t="shared" si="2"/>
        <v>451.35</v>
      </c>
      <c r="N18" s="26">
        <f t="shared" si="6"/>
        <v>10.32</v>
      </c>
      <c r="O18" s="27">
        <f t="shared" si="7"/>
        <v>124.56363636363636</v>
      </c>
      <c r="P18" s="28">
        <f t="shared" si="8"/>
        <v>8.206363636363637</v>
      </c>
      <c r="Q18" s="22">
        <v>26.2</v>
      </c>
      <c r="R18" s="22" t="s">
        <v>41</v>
      </c>
      <c r="S18" s="22"/>
    </row>
    <row r="19" spans="1:19" x14ac:dyDescent="0.25">
      <c r="A19" s="20">
        <v>43748</v>
      </c>
      <c r="B19" s="21">
        <v>0.24</v>
      </c>
      <c r="C19" s="22">
        <v>22</v>
      </c>
      <c r="D19" s="22">
        <v>50</v>
      </c>
      <c r="E19" s="23">
        <v>66</v>
      </c>
      <c r="F19" s="24">
        <v>8880</v>
      </c>
      <c r="G19" s="25">
        <v>56</v>
      </c>
      <c r="H19" s="26">
        <f t="shared" si="3"/>
        <v>3</v>
      </c>
      <c r="I19" s="27">
        <f t="shared" si="4"/>
        <v>403.63636363636363</v>
      </c>
      <c r="J19" s="28">
        <f t="shared" si="5"/>
        <v>2.5454545454545454</v>
      </c>
      <c r="K19" s="26">
        <f t="shared" si="0"/>
        <v>567.6</v>
      </c>
      <c r="L19" s="24">
        <f t="shared" si="1"/>
        <v>5772</v>
      </c>
      <c r="M19" s="28">
        <f t="shared" si="2"/>
        <v>428.40000000000003</v>
      </c>
      <c r="N19" s="26">
        <f t="shared" si="6"/>
        <v>11.352</v>
      </c>
      <c r="O19" s="27">
        <f t="shared" si="7"/>
        <v>115.44</v>
      </c>
      <c r="P19" s="28">
        <f t="shared" si="8"/>
        <v>8.5680000000000014</v>
      </c>
      <c r="Q19" s="22" t="s">
        <v>44</v>
      </c>
      <c r="R19" s="22" t="s">
        <v>41</v>
      </c>
      <c r="S19" s="22"/>
    </row>
    <row r="20" spans="1:19" x14ac:dyDescent="0.25">
      <c r="A20" s="20">
        <v>43749</v>
      </c>
      <c r="B20" s="21">
        <v>0.18</v>
      </c>
      <c r="C20" s="22">
        <v>19</v>
      </c>
      <c r="D20" s="22">
        <v>40</v>
      </c>
      <c r="E20" s="23">
        <v>75</v>
      </c>
      <c r="F20" s="24">
        <v>9110</v>
      </c>
      <c r="G20" s="25">
        <v>48</v>
      </c>
      <c r="H20" s="26">
        <f t="shared" si="3"/>
        <v>3.9473684210526314</v>
      </c>
      <c r="I20" s="27">
        <f t="shared" si="4"/>
        <v>479.4736842105263</v>
      </c>
      <c r="J20" s="28">
        <f t="shared" si="5"/>
        <v>2.5263157894736841</v>
      </c>
      <c r="K20" s="26">
        <f t="shared" si="0"/>
        <v>645</v>
      </c>
      <c r="L20" s="24">
        <f t="shared" si="1"/>
        <v>5921.5</v>
      </c>
      <c r="M20" s="28">
        <f t="shared" si="2"/>
        <v>367.2</v>
      </c>
      <c r="N20" s="26">
        <f t="shared" si="6"/>
        <v>16.125</v>
      </c>
      <c r="O20" s="27">
        <f t="shared" si="7"/>
        <v>148.03749999999999</v>
      </c>
      <c r="P20" s="28">
        <f t="shared" si="8"/>
        <v>9.18</v>
      </c>
      <c r="Q20" s="22">
        <v>26.6</v>
      </c>
      <c r="R20" s="22" t="s">
        <v>41</v>
      </c>
      <c r="S20" s="22"/>
    </row>
    <row r="21" spans="1:19" x14ac:dyDescent="0.25">
      <c r="A21" s="20">
        <v>43750</v>
      </c>
      <c r="B21" s="21">
        <v>0.2</v>
      </c>
      <c r="C21" s="22">
        <v>20</v>
      </c>
      <c r="D21" s="22">
        <v>45</v>
      </c>
      <c r="E21" s="23">
        <v>69</v>
      </c>
      <c r="F21" s="24">
        <v>8810</v>
      </c>
      <c r="G21" s="25">
        <v>48</v>
      </c>
      <c r="H21" s="26">
        <f t="shared" si="3"/>
        <v>3.45</v>
      </c>
      <c r="I21" s="27">
        <f t="shared" si="4"/>
        <v>440.5</v>
      </c>
      <c r="J21" s="28">
        <f t="shared" si="5"/>
        <v>2.4</v>
      </c>
      <c r="K21" s="26">
        <f t="shared" si="0"/>
        <v>593.4</v>
      </c>
      <c r="L21" s="24">
        <f t="shared" si="1"/>
        <v>5726.5</v>
      </c>
      <c r="M21" s="28">
        <f t="shared" si="2"/>
        <v>367.2</v>
      </c>
      <c r="N21" s="26">
        <f t="shared" si="6"/>
        <v>13.186666666666666</v>
      </c>
      <c r="O21" s="27">
        <f t="shared" si="7"/>
        <v>127.25555555555556</v>
      </c>
      <c r="P21" s="28">
        <f t="shared" si="8"/>
        <v>8.16</v>
      </c>
      <c r="Q21" s="22">
        <v>26.3</v>
      </c>
      <c r="R21" s="22" t="s">
        <v>42</v>
      </c>
      <c r="S21" s="22"/>
    </row>
    <row r="22" spans="1:19" x14ac:dyDescent="0.25">
      <c r="A22" s="20">
        <v>43751</v>
      </c>
      <c r="B22" s="21">
        <v>0.3</v>
      </c>
      <c r="C22" s="22">
        <v>25</v>
      </c>
      <c r="D22" s="22">
        <v>57</v>
      </c>
      <c r="E22" s="23">
        <v>67.5</v>
      </c>
      <c r="F22" s="24">
        <v>9800</v>
      </c>
      <c r="G22" s="25">
        <v>52</v>
      </c>
      <c r="H22" s="26">
        <f t="shared" si="3"/>
        <v>2.7</v>
      </c>
      <c r="I22" s="27">
        <f t="shared" si="4"/>
        <v>392</v>
      </c>
      <c r="J22" s="28">
        <f t="shared" si="5"/>
        <v>2.08</v>
      </c>
      <c r="K22" s="26">
        <f t="shared" si="0"/>
        <v>580.5</v>
      </c>
      <c r="L22" s="24">
        <f t="shared" si="1"/>
        <v>6370</v>
      </c>
      <c r="M22" s="28">
        <f t="shared" si="2"/>
        <v>397.8</v>
      </c>
      <c r="N22" s="26">
        <f t="shared" si="6"/>
        <v>10.184210526315789</v>
      </c>
      <c r="O22" s="27">
        <f t="shared" si="7"/>
        <v>111.75438596491227</v>
      </c>
      <c r="P22" s="28">
        <f t="shared" si="8"/>
        <v>6.9789473684210526</v>
      </c>
      <c r="Q22" s="22">
        <v>26.8</v>
      </c>
      <c r="R22" s="22" t="s">
        <v>42</v>
      </c>
      <c r="S22" s="22"/>
    </row>
    <row r="23" spans="1:19" x14ac:dyDescent="0.25">
      <c r="A23" s="20">
        <v>43752</v>
      </c>
      <c r="B23" s="21">
        <v>0.3</v>
      </c>
      <c r="C23" s="22">
        <v>26</v>
      </c>
      <c r="D23" s="22">
        <v>61</v>
      </c>
      <c r="E23" s="23">
        <v>92.6</v>
      </c>
      <c r="F23" s="24">
        <v>10700</v>
      </c>
      <c r="G23" s="25">
        <v>67</v>
      </c>
      <c r="H23" s="26">
        <f t="shared" si="3"/>
        <v>3.5615384615384613</v>
      </c>
      <c r="I23" s="27">
        <f t="shared" si="4"/>
        <v>411.53846153846155</v>
      </c>
      <c r="J23" s="28">
        <f t="shared" si="5"/>
        <v>2.5769230769230771</v>
      </c>
      <c r="K23" s="26">
        <f t="shared" si="0"/>
        <v>796.3599999999999</v>
      </c>
      <c r="L23" s="24">
        <f t="shared" si="1"/>
        <v>6955</v>
      </c>
      <c r="M23" s="28">
        <f t="shared" si="2"/>
        <v>512.54999999999995</v>
      </c>
      <c r="N23" s="26">
        <f t="shared" si="6"/>
        <v>13.055081967213113</v>
      </c>
      <c r="O23" s="27">
        <f t="shared" si="7"/>
        <v>114.01639344262296</v>
      </c>
      <c r="P23" s="28">
        <f t="shared" si="8"/>
        <v>8.4024590163934416</v>
      </c>
      <c r="Q23" s="22">
        <v>25.8</v>
      </c>
      <c r="R23" s="22" t="s">
        <v>42</v>
      </c>
      <c r="S23" s="22"/>
    </row>
    <row r="24" spans="1:19" x14ac:dyDescent="0.25">
      <c r="A24" s="20">
        <v>43753</v>
      </c>
      <c r="B24" s="21">
        <v>0.32</v>
      </c>
      <c r="C24" s="22">
        <v>28</v>
      </c>
      <c r="D24" s="22">
        <v>66</v>
      </c>
      <c r="E24" s="23">
        <v>80.7</v>
      </c>
      <c r="F24" s="24">
        <v>10400</v>
      </c>
      <c r="G24" s="25">
        <v>48</v>
      </c>
      <c r="H24" s="26">
        <f t="shared" si="3"/>
        <v>2.8821428571428571</v>
      </c>
      <c r="I24" s="27">
        <f t="shared" si="4"/>
        <v>371.42857142857144</v>
      </c>
      <c r="J24" s="28">
        <f t="shared" si="5"/>
        <v>1.7142857142857142</v>
      </c>
      <c r="K24" s="26">
        <f t="shared" si="0"/>
        <v>694.02</v>
      </c>
      <c r="L24" s="24">
        <f t="shared" si="1"/>
        <v>6760</v>
      </c>
      <c r="M24" s="28">
        <f t="shared" si="2"/>
        <v>367.2</v>
      </c>
      <c r="N24" s="26">
        <f t="shared" si="6"/>
        <v>10.515454545454546</v>
      </c>
      <c r="O24" s="27">
        <f t="shared" si="7"/>
        <v>102.42424242424242</v>
      </c>
      <c r="P24" s="28">
        <f t="shared" si="8"/>
        <v>5.5636363636363635</v>
      </c>
      <c r="Q24" s="22">
        <v>26.7</v>
      </c>
      <c r="R24" s="22" t="s">
        <v>42</v>
      </c>
      <c r="S24" s="22"/>
    </row>
    <row r="25" spans="1:19" x14ac:dyDescent="0.25">
      <c r="A25" s="20">
        <v>43754</v>
      </c>
      <c r="B25" s="21">
        <v>0.37</v>
      </c>
      <c r="C25" s="22">
        <v>32</v>
      </c>
      <c r="D25" s="22">
        <v>74</v>
      </c>
      <c r="E25" s="23">
        <v>86.1</v>
      </c>
      <c r="F25" s="24">
        <v>10800</v>
      </c>
      <c r="G25" s="25">
        <v>52</v>
      </c>
      <c r="H25" s="26">
        <f t="shared" si="3"/>
        <v>2.6906249999999998</v>
      </c>
      <c r="I25" s="27">
        <f t="shared" si="4"/>
        <v>337.5</v>
      </c>
      <c r="J25" s="28">
        <f t="shared" si="5"/>
        <v>1.625</v>
      </c>
      <c r="K25" s="26">
        <f t="shared" si="0"/>
        <v>740.45999999999992</v>
      </c>
      <c r="L25" s="24">
        <f t="shared" si="1"/>
        <v>7020</v>
      </c>
      <c r="M25" s="28">
        <f t="shared" si="2"/>
        <v>397.8</v>
      </c>
      <c r="N25" s="26">
        <f t="shared" si="6"/>
        <v>10.006216216216215</v>
      </c>
      <c r="O25" s="27">
        <f t="shared" si="7"/>
        <v>94.86486486486487</v>
      </c>
      <c r="P25" s="28">
        <f t="shared" si="8"/>
        <v>5.3756756756756756</v>
      </c>
      <c r="Q25" s="22">
        <v>26.8</v>
      </c>
      <c r="R25" s="22" t="s">
        <v>42</v>
      </c>
      <c r="S25" s="22"/>
    </row>
    <row r="26" spans="1:19" x14ac:dyDescent="0.25">
      <c r="A26" s="20">
        <v>43755</v>
      </c>
      <c r="B26" s="21">
        <v>0.32</v>
      </c>
      <c r="C26" s="22">
        <v>28</v>
      </c>
      <c r="D26" s="22">
        <v>70</v>
      </c>
      <c r="E26" s="23">
        <v>97.1</v>
      </c>
      <c r="F26" s="24">
        <v>11610</v>
      </c>
      <c r="G26" s="25">
        <v>59</v>
      </c>
      <c r="H26" s="26">
        <f t="shared" si="3"/>
        <v>3.4678571428571425</v>
      </c>
      <c r="I26" s="27">
        <f t="shared" si="4"/>
        <v>414.64285714285717</v>
      </c>
      <c r="J26" s="28">
        <f t="shared" si="5"/>
        <v>2.1071428571428572</v>
      </c>
      <c r="K26" s="26">
        <f t="shared" si="0"/>
        <v>835.06</v>
      </c>
      <c r="L26" s="24">
        <f t="shared" si="1"/>
        <v>7546.5</v>
      </c>
      <c r="M26" s="28">
        <f t="shared" si="2"/>
        <v>451.35</v>
      </c>
      <c r="N26" s="26">
        <f t="shared" si="6"/>
        <v>11.92942857142857</v>
      </c>
      <c r="O26" s="27">
        <f t="shared" si="7"/>
        <v>107.80714285714286</v>
      </c>
      <c r="P26" s="28">
        <f t="shared" si="8"/>
        <v>6.447857142857143</v>
      </c>
      <c r="Q26" s="22">
        <v>26.8</v>
      </c>
      <c r="R26" s="22" t="s">
        <v>41</v>
      </c>
      <c r="S26" s="22"/>
    </row>
    <row r="27" spans="1:19" x14ac:dyDescent="0.25">
      <c r="A27" s="20">
        <v>43756</v>
      </c>
      <c r="B27" s="21">
        <v>0.41</v>
      </c>
      <c r="C27" s="22">
        <v>38</v>
      </c>
      <c r="D27" s="22">
        <v>97</v>
      </c>
      <c r="E27" s="23">
        <v>87</v>
      </c>
      <c r="F27" s="24">
        <v>11220</v>
      </c>
      <c r="G27" s="25">
        <v>63</v>
      </c>
      <c r="H27" s="26">
        <f t="shared" si="3"/>
        <v>2.2894736842105261</v>
      </c>
      <c r="I27" s="27">
        <f t="shared" si="4"/>
        <v>295.26315789473682</v>
      </c>
      <c r="J27" s="28">
        <f t="shared" si="5"/>
        <v>1.6578947368421053</v>
      </c>
      <c r="K27" s="26">
        <f t="shared" si="0"/>
        <v>748.19999999999993</v>
      </c>
      <c r="L27" s="24">
        <f t="shared" si="1"/>
        <v>7293</v>
      </c>
      <c r="M27" s="28">
        <f t="shared" si="2"/>
        <v>481.95</v>
      </c>
      <c r="N27" s="26">
        <f t="shared" si="6"/>
        <v>7.7134020618556693</v>
      </c>
      <c r="O27" s="27">
        <f t="shared" si="7"/>
        <v>75.185567010309285</v>
      </c>
      <c r="P27" s="28">
        <f t="shared" si="8"/>
        <v>4.9685567010309279</v>
      </c>
      <c r="Q27" s="22">
        <v>26.3</v>
      </c>
      <c r="R27" s="22" t="s">
        <v>41</v>
      </c>
      <c r="S27" s="22"/>
    </row>
    <row r="28" spans="1:19" x14ac:dyDescent="0.25">
      <c r="A28" s="20">
        <v>43757</v>
      </c>
      <c r="B28" s="21">
        <v>0.51</v>
      </c>
      <c r="C28" s="22">
        <v>43</v>
      </c>
      <c r="D28" s="22">
        <v>113</v>
      </c>
      <c r="E28" s="23">
        <v>92.3</v>
      </c>
      <c r="F28" s="24">
        <v>12190</v>
      </c>
      <c r="G28" s="25">
        <v>56</v>
      </c>
      <c r="H28" s="26">
        <f t="shared" si="3"/>
        <v>2.1465116279069765</v>
      </c>
      <c r="I28" s="27">
        <f t="shared" si="4"/>
        <v>283.48837209302326</v>
      </c>
      <c r="J28" s="28">
        <f t="shared" si="5"/>
        <v>1.3023255813953489</v>
      </c>
      <c r="K28" s="26">
        <f t="shared" si="0"/>
        <v>793.78</v>
      </c>
      <c r="L28" s="24">
        <f t="shared" si="1"/>
        <v>7923.5</v>
      </c>
      <c r="M28" s="28">
        <f t="shared" si="2"/>
        <v>428.40000000000003</v>
      </c>
      <c r="N28" s="26">
        <f t="shared" si="6"/>
        <v>7.024601769911504</v>
      </c>
      <c r="O28" s="27">
        <f t="shared" si="7"/>
        <v>70.119469026548671</v>
      </c>
      <c r="P28" s="28">
        <f t="shared" si="8"/>
        <v>3.7911504424778766</v>
      </c>
      <c r="Q28" s="22">
        <v>26.5</v>
      </c>
      <c r="R28" s="22" t="s">
        <v>42</v>
      </c>
      <c r="S28" s="22"/>
    </row>
    <row r="29" spans="1:19" x14ac:dyDescent="0.25">
      <c r="A29" s="20">
        <v>43758</v>
      </c>
      <c r="B29" s="21">
        <v>0.46</v>
      </c>
      <c r="C29" s="22">
        <v>47</v>
      </c>
      <c r="D29" s="22">
        <v>114</v>
      </c>
      <c r="E29" s="23">
        <v>89.7</v>
      </c>
      <c r="F29" s="24">
        <v>12550</v>
      </c>
      <c r="G29" s="25">
        <v>56</v>
      </c>
      <c r="H29" s="26">
        <f t="shared" si="3"/>
        <v>1.9085106382978725</v>
      </c>
      <c r="I29" s="27">
        <f t="shared" si="4"/>
        <v>267.02127659574467</v>
      </c>
      <c r="J29" s="28">
        <f t="shared" si="5"/>
        <v>1.1914893617021276</v>
      </c>
      <c r="K29" s="26">
        <f t="shared" si="0"/>
        <v>771.42</v>
      </c>
      <c r="L29" s="24">
        <f t="shared" si="1"/>
        <v>8157.5</v>
      </c>
      <c r="M29" s="28">
        <f t="shared" si="2"/>
        <v>428.40000000000003</v>
      </c>
      <c r="N29" s="26">
        <f t="shared" si="6"/>
        <v>6.7668421052631578</v>
      </c>
      <c r="O29" s="27">
        <f t="shared" si="7"/>
        <v>71.557017543859644</v>
      </c>
      <c r="P29" s="28">
        <f t="shared" si="8"/>
        <v>3.7578947368421054</v>
      </c>
      <c r="Q29" s="22">
        <v>26.7</v>
      </c>
      <c r="R29" s="22" t="s">
        <v>42</v>
      </c>
      <c r="S29" s="22"/>
    </row>
    <row r="30" spans="1:19" x14ac:dyDescent="0.25">
      <c r="A30" s="20">
        <v>43759</v>
      </c>
      <c r="B30" s="21">
        <v>0.49</v>
      </c>
      <c r="C30" s="22">
        <v>42</v>
      </c>
      <c r="D30" s="22">
        <v>107</v>
      </c>
      <c r="E30" s="23">
        <v>107</v>
      </c>
      <c r="F30" s="24">
        <v>13430</v>
      </c>
      <c r="G30" s="25">
        <v>70</v>
      </c>
      <c r="H30" s="26">
        <f t="shared" si="3"/>
        <v>2.5476190476190474</v>
      </c>
      <c r="I30" s="27">
        <v>297.10000000000002</v>
      </c>
      <c r="J30" s="28">
        <f t="shared" si="5"/>
        <v>1.6666666666666667</v>
      </c>
      <c r="K30" s="26">
        <f t="shared" si="0"/>
        <v>920.19999999999993</v>
      </c>
      <c r="L30" s="24">
        <f t="shared" si="1"/>
        <v>8729.5</v>
      </c>
      <c r="M30" s="28">
        <f t="shared" si="2"/>
        <v>535.5</v>
      </c>
      <c r="N30" s="26">
        <f t="shared" si="6"/>
        <v>8.6</v>
      </c>
      <c r="O30" s="27">
        <f t="shared" si="7"/>
        <v>81.584112149532714</v>
      </c>
      <c r="P30" s="28">
        <f t="shared" si="8"/>
        <v>5.0046728971962615</v>
      </c>
      <c r="Q30" s="22">
        <v>26.9</v>
      </c>
      <c r="R30" s="22" t="s">
        <v>42</v>
      </c>
      <c r="S30" s="22"/>
    </row>
    <row r="31" spans="1:19" x14ac:dyDescent="0.25">
      <c r="A31" s="20">
        <v>43760</v>
      </c>
      <c r="B31" s="21">
        <v>0.42</v>
      </c>
      <c r="C31" s="22">
        <v>41</v>
      </c>
      <c r="D31" s="22">
        <v>99</v>
      </c>
      <c r="E31" s="23">
        <v>111.9</v>
      </c>
      <c r="F31" s="24">
        <v>14330</v>
      </c>
      <c r="G31" s="25">
        <v>59</v>
      </c>
      <c r="H31" s="26">
        <f t="shared" si="3"/>
        <v>2.729268292682927</v>
      </c>
      <c r="I31" s="27">
        <v>424.07</v>
      </c>
      <c r="J31" s="28">
        <f t="shared" si="5"/>
        <v>1.4390243902439024</v>
      </c>
      <c r="K31" s="26">
        <f t="shared" si="0"/>
        <v>962.34</v>
      </c>
      <c r="L31" s="24">
        <f t="shared" si="1"/>
        <v>9314.5</v>
      </c>
      <c r="M31" s="28">
        <f t="shared" si="2"/>
        <v>451.35</v>
      </c>
      <c r="N31" s="26">
        <f t="shared" si="6"/>
        <v>9.7206060606060607</v>
      </c>
      <c r="O31" s="27">
        <f t="shared" si="7"/>
        <v>94.085858585858588</v>
      </c>
      <c r="P31" s="28">
        <f t="shared" si="8"/>
        <v>4.5590909090909095</v>
      </c>
      <c r="Q31" s="22">
        <v>26.5</v>
      </c>
      <c r="R31" s="22" t="s">
        <v>42</v>
      </c>
      <c r="S31" s="22"/>
    </row>
    <row r="32" spans="1:19" x14ac:dyDescent="0.25">
      <c r="A32" s="20">
        <v>43761</v>
      </c>
      <c r="B32" s="21">
        <v>0.42</v>
      </c>
      <c r="C32" s="22">
        <v>40</v>
      </c>
      <c r="D32" s="22">
        <v>100</v>
      </c>
      <c r="E32" s="23">
        <v>106.5</v>
      </c>
      <c r="F32" s="24">
        <v>14030</v>
      </c>
      <c r="G32" s="25">
        <v>67</v>
      </c>
      <c r="H32" s="26">
        <f t="shared" si="3"/>
        <v>2.6625000000000001</v>
      </c>
      <c r="I32" s="27">
        <f t="shared" si="4"/>
        <v>350.75</v>
      </c>
      <c r="J32" s="28">
        <f t="shared" si="5"/>
        <v>1.675</v>
      </c>
      <c r="K32" s="26">
        <f t="shared" si="0"/>
        <v>915.9</v>
      </c>
      <c r="L32" s="24">
        <f t="shared" si="1"/>
        <v>9119.5</v>
      </c>
      <c r="M32" s="28">
        <f t="shared" si="2"/>
        <v>512.54999999999995</v>
      </c>
      <c r="N32" s="26">
        <f t="shared" si="6"/>
        <v>9.1589999999999989</v>
      </c>
      <c r="O32" s="27">
        <f t="shared" si="7"/>
        <v>91.194999999999993</v>
      </c>
      <c r="P32" s="28">
        <f t="shared" si="8"/>
        <v>5.1254999999999997</v>
      </c>
      <c r="Q32" s="22">
        <v>26.5</v>
      </c>
      <c r="R32" s="22" t="s">
        <v>41</v>
      </c>
      <c r="S32" s="22"/>
    </row>
    <row r="33" spans="1:19" x14ac:dyDescent="0.25">
      <c r="A33" s="20">
        <v>43762</v>
      </c>
      <c r="B33" s="21">
        <v>0.51</v>
      </c>
      <c r="C33" s="22">
        <v>42</v>
      </c>
      <c r="D33" s="22">
        <v>114</v>
      </c>
      <c r="E33" s="23">
        <v>91.6</v>
      </c>
      <c r="F33" s="24">
        <v>15300</v>
      </c>
      <c r="G33" s="25">
        <v>52</v>
      </c>
      <c r="H33" s="26">
        <f t="shared" si="3"/>
        <v>2.1809523809523808</v>
      </c>
      <c r="I33" s="27">
        <f t="shared" si="4"/>
        <v>364.28571428571428</v>
      </c>
      <c r="J33" s="28">
        <f t="shared" si="5"/>
        <v>1.2380952380952381</v>
      </c>
      <c r="K33" s="26">
        <f t="shared" si="0"/>
        <v>787.75999999999988</v>
      </c>
      <c r="L33" s="24">
        <f t="shared" si="1"/>
        <v>9945</v>
      </c>
      <c r="M33" s="28">
        <f t="shared" si="2"/>
        <v>397.8</v>
      </c>
      <c r="N33" s="26">
        <f t="shared" si="6"/>
        <v>6.9101754385964904</v>
      </c>
      <c r="O33" s="27">
        <f t="shared" si="7"/>
        <v>87.236842105263165</v>
      </c>
      <c r="P33" s="28">
        <f t="shared" si="8"/>
        <v>3.4894736842105263</v>
      </c>
      <c r="Q33" s="22">
        <v>26.5</v>
      </c>
      <c r="R33" s="22" t="s">
        <v>41</v>
      </c>
      <c r="S33" s="22"/>
    </row>
    <row r="34" spans="1:19" x14ac:dyDescent="0.25">
      <c r="A34" s="20">
        <v>43763</v>
      </c>
      <c r="B34" s="21" t="s">
        <v>40</v>
      </c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43764</v>
      </c>
      <c r="B35" s="21" t="s">
        <v>40</v>
      </c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43765</v>
      </c>
      <c r="B36" s="21" t="s">
        <v>40</v>
      </c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43766</v>
      </c>
      <c r="B37" s="21" t="s">
        <v>40</v>
      </c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43767</v>
      </c>
      <c r="B38" s="21" t="s">
        <v>40</v>
      </c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>
        <v>43768</v>
      </c>
      <c r="B39" s="21" t="s">
        <v>40</v>
      </c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>
        <v>43769</v>
      </c>
      <c r="B40" s="21" t="s">
        <v>40</v>
      </c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2019-10-25T01:34:39Z</dcterms:modified>
</cp:coreProperties>
</file>