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30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D5DA4D47-0190-49F1-ABCE-1EF67640F9F4}" xr6:coauthVersionLast="47" xr6:coauthVersionMax="47" xr10:uidLastSave="{00000000-0000-0000-0000-000000000000}"/>
  <bookViews>
    <workbookView xWindow="-120" yWindow="-120" windowWidth="20730" windowHeight="11160" tabRatio="598" firstSheet="4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33" i="5" l="1"/>
  <c r="AH34" i="5"/>
  <c r="AG34" i="5"/>
  <c r="AG33" i="5"/>
  <c r="AA32" i="8"/>
  <c r="AA31" i="8"/>
  <c r="AG32" i="5"/>
  <c r="AA30" i="8" s="1"/>
  <c r="AG31" i="5"/>
  <c r="AA29" i="8" s="1"/>
  <c r="AG30" i="5"/>
  <c r="AA28" i="8" s="1"/>
  <c r="AG29" i="5"/>
  <c r="AA27" i="8" s="1"/>
  <c r="AG28" i="5"/>
  <c r="AA26" i="8" s="1"/>
  <c r="AG27" i="5"/>
  <c r="AA25" i="8" s="1"/>
  <c r="AG26" i="5"/>
  <c r="AA24" i="8" s="1"/>
  <c r="AG25" i="5"/>
  <c r="AA23" i="8" s="1"/>
  <c r="AG24" i="5"/>
  <c r="AA22" i="8" s="1"/>
  <c r="AG23" i="5"/>
  <c r="AA21" i="8" s="1"/>
  <c r="AG22" i="5"/>
  <c r="AA20" i="8" s="1"/>
  <c r="AG21" i="5"/>
  <c r="AA19" i="8" s="1"/>
  <c r="AG20" i="5"/>
  <c r="AA18" i="8" s="1"/>
  <c r="AG19" i="5"/>
  <c r="AA17" i="8" s="1"/>
  <c r="AG18" i="5"/>
  <c r="AA16" i="8" s="1"/>
  <c r="AG17" i="5"/>
  <c r="AA15" i="8" s="1"/>
  <c r="AG16" i="5"/>
  <c r="AA14" i="8" s="1"/>
  <c r="AG15" i="5"/>
  <c r="AA13" i="8" s="1"/>
  <c r="AG14" i="5"/>
  <c r="AA12" i="8" s="1"/>
  <c r="AG13" i="5"/>
  <c r="AA11" i="8" s="1"/>
  <c r="AG12" i="5"/>
  <c r="AA10" i="8" s="1"/>
  <c r="AG11" i="5"/>
  <c r="AA9" i="8" s="1"/>
  <c r="AG10" i="5"/>
  <c r="AA8" i="8" s="1"/>
  <c r="AG9" i="5"/>
  <c r="AA7" i="8" s="1"/>
  <c r="AG8" i="5"/>
  <c r="AA6" i="8" s="1"/>
  <c r="AG7" i="5"/>
  <c r="AA5" i="8" s="1"/>
  <c r="AG6" i="5"/>
  <c r="AA4" i="8" s="1"/>
  <c r="AG5" i="5"/>
  <c r="AA3" i="8" s="1"/>
  <c r="AG4" i="5"/>
  <c r="AA2" i="8" s="1"/>
  <c r="AE34" i="5"/>
  <c r="Z32" i="8" s="1"/>
  <c r="AE33" i="5"/>
  <c r="Z31" i="8" s="1"/>
  <c r="AE32" i="5"/>
  <c r="Z30" i="8" s="1"/>
  <c r="AE31" i="5"/>
  <c r="Z29" i="8" s="1"/>
  <c r="AE30" i="5"/>
  <c r="Z28" i="8" s="1"/>
  <c r="AE29" i="5"/>
  <c r="Z27" i="8" s="1"/>
  <c r="AE28" i="5"/>
  <c r="Z26" i="8" s="1"/>
  <c r="AE27" i="5"/>
  <c r="Z25" i="8" s="1"/>
  <c r="AE26" i="5"/>
  <c r="Z24" i="8" s="1"/>
  <c r="AE25" i="5"/>
  <c r="Z23" i="8" s="1"/>
  <c r="AE24" i="5"/>
  <c r="Z22" i="8" s="1"/>
  <c r="AE23" i="5"/>
  <c r="Z21" i="8" s="1"/>
  <c r="AE22" i="5"/>
  <c r="Z20" i="8" s="1"/>
  <c r="AE21" i="5"/>
  <c r="Z19" i="8" s="1"/>
  <c r="AE20" i="5"/>
  <c r="Z18" i="8" s="1"/>
  <c r="AE19" i="5"/>
  <c r="Z17" i="8" s="1"/>
  <c r="AE18" i="5"/>
  <c r="Z16" i="8" s="1"/>
  <c r="AE17" i="5"/>
  <c r="Z15" i="8" s="1"/>
  <c r="AE16" i="5"/>
  <c r="Z14" i="8" s="1"/>
  <c r="AE15" i="5"/>
  <c r="Z13" i="8" s="1"/>
  <c r="AE14" i="5"/>
  <c r="Z12" i="8" s="1"/>
  <c r="AE13" i="5"/>
  <c r="Z11" i="8" s="1"/>
  <c r="AE12" i="5"/>
  <c r="Z10" i="8" s="1"/>
  <c r="AE11" i="5"/>
  <c r="Z9" i="8" s="1"/>
  <c r="AE10" i="5"/>
  <c r="Z8" i="8" s="1"/>
  <c r="AE9" i="5"/>
  <c r="Z7" i="8" s="1"/>
  <c r="AE8" i="5"/>
  <c r="Z6" i="8" s="1"/>
  <c r="AE7" i="5"/>
  <c r="Z5" i="8" s="1"/>
  <c r="AE6" i="5"/>
  <c r="Z4" i="8" s="1"/>
  <c r="AE5" i="5"/>
  <c r="Z3" i="8" s="1"/>
  <c r="AE4" i="5"/>
  <c r="Z2" i="8" s="1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G6" i="5"/>
  <c r="G7" i="5"/>
  <c r="G8" i="5"/>
  <c r="N6" i="8" s="1"/>
  <c r="G9" i="5"/>
  <c r="N7" i="8" s="1"/>
  <c r="G10" i="5"/>
  <c r="G11" i="5"/>
  <c r="G12" i="5"/>
  <c r="G13" i="5"/>
  <c r="G14" i="5"/>
  <c r="G15" i="5"/>
  <c r="G16" i="5"/>
  <c r="N14" i="8" s="1"/>
  <c r="G17" i="5"/>
  <c r="N15" i="8" s="1"/>
  <c r="G18" i="5"/>
  <c r="G19" i="5"/>
  <c r="G20" i="5"/>
  <c r="G21" i="5"/>
  <c r="G22" i="5"/>
  <c r="G23" i="5"/>
  <c r="N21" i="8" s="1"/>
  <c r="G24" i="5"/>
  <c r="N22" i="8" s="1"/>
  <c r="G25" i="5"/>
  <c r="N23" i="8" s="1"/>
  <c r="G26" i="5"/>
  <c r="G27" i="5"/>
  <c r="G28" i="5"/>
  <c r="G29" i="5"/>
  <c r="G30" i="5"/>
  <c r="G31" i="5"/>
  <c r="N29" i="8" s="1"/>
  <c r="G32" i="5"/>
  <c r="N30" i="8" s="1"/>
  <c r="G33" i="5"/>
  <c r="N31" i="8" s="1"/>
  <c r="G34" i="5"/>
  <c r="N32" i="8" s="1"/>
  <c r="M36" i="4"/>
  <c r="K32" i="8" s="1"/>
  <c r="K36" i="4"/>
  <c r="J32" i="8" s="1"/>
  <c r="H36" i="4"/>
  <c r="I32" i="8" s="1"/>
  <c r="F36" i="4"/>
  <c r="H32" i="8" s="1"/>
  <c r="D36" i="4"/>
  <c r="M35" i="4"/>
  <c r="K31" i="8" s="1"/>
  <c r="K35" i="4"/>
  <c r="J31" i="8" s="1"/>
  <c r="M34" i="4"/>
  <c r="K30" i="8" s="1"/>
  <c r="K34" i="4"/>
  <c r="J30" i="8" s="1"/>
  <c r="M33" i="4"/>
  <c r="K29" i="8" s="1"/>
  <c r="K33" i="4"/>
  <c r="J29" i="8" s="1"/>
  <c r="M32" i="4"/>
  <c r="K28" i="8" s="1"/>
  <c r="K32" i="4"/>
  <c r="J28" i="8" s="1"/>
  <c r="M31" i="4"/>
  <c r="K27" i="8" s="1"/>
  <c r="K31" i="4"/>
  <c r="J27" i="8" s="1"/>
  <c r="M30" i="4"/>
  <c r="K26" i="8" s="1"/>
  <c r="K30" i="4"/>
  <c r="J26" i="8" s="1"/>
  <c r="M29" i="4"/>
  <c r="K25" i="8" s="1"/>
  <c r="K29" i="4"/>
  <c r="J25" i="8" s="1"/>
  <c r="M28" i="4"/>
  <c r="K24" i="8" s="1"/>
  <c r="K28" i="4"/>
  <c r="J24" i="8" s="1"/>
  <c r="M27" i="4"/>
  <c r="K23" i="8" s="1"/>
  <c r="K27" i="4"/>
  <c r="J23" i="8" s="1"/>
  <c r="M26" i="4"/>
  <c r="K22" i="8" s="1"/>
  <c r="K26" i="4"/>
  <c r="J22" i="8" s="1"/>
  <c r="M25" i="4"/>
  <c r="K21" i="8" s="1"/>
  <c r="K25" i="4"/>
  <c r="J21" i="8" s="1"/>
  <c r="M24" i="4"/>
  <c r="K20" i="8" s="1"/>
  <c r="K24" i="4"/>
  <c r="J20" i="8" s="1"/>
  <c r="M23" i="4"/>
  <c r="K19" i="8" s="1"/>
  <c r="K23" i="4"/>
  <c r="J19" i="8" s="1"/>
  <c r="M22" i="4"/>
  <c r="K18" i="8" s="1"/>
  <c r="K22" i="4"/>
  <c r="J18" i="8" s="1"/>
  <c r="M21" i="4"/>
  <c r="K17" i="8" s="1"/>
  <c r="K21" i="4"/>
  <c r="J17" i="8" s="1"/>
  <c r="M20" i="4"/>
  <c r="K16" i="8" s="1"/>
  <c r="K20" i="4"/>
  <c r="J16" i="8" s="1"/>
  <c r="M19" i="4"/>
  <c r="K15" i="8" s="1"/>
  <c r="K19" i="4"/>
  <c r="J15" i="8" s="1"/>
  <c r="M18" i="4"/>
  <c r="K14" i="8" s="1"/>
  <c r="K18" i="4"/>
  <c r="J14" i="8" s="1"/>
  <c r="M17" i="4"/>
  <c r="K13" i="8" s="1"/>
  <c r="K17" i="4"/>
  <c r="J13" i="8" s="1"/>
  <c r="M16" i="4"/>
  <c r="K12" i="8" s="1"/>
  <c r="K16" i="4"/>
  <c r="J12" i="8" s="1"/>
  <c r="M15" i="4"/>
  <c r="K11" i="8" s="1"/>
  <c r="K15" i="4"/>
  <c r="J11" i="8" s="1"/>
  <c r="M14" i="4"/>
  <c r="K10" i="8" s="1"/>
  <c r="K14" i="4"/>
  <c r="J10" i="8" s="1"/>
  <c r="M13" i="4"/>
  <c r="K9" i="8" s="1"/>
  <c r="K13" i="4"/>
  <c r="J9" i="8" s="1"/>
  <c r="M12" i="4"/>
  <c r="K8" i="8" s="1"/>
  <c r="K12" i="4"/>
  <c r="J8" i="8" s="1"/>
  <c r="M11" i="4"/>
  <c r="K7" i="8" s="1"/>
  <c r="K11" i="4"/>
  <c r="J7" i="8" s="1"/>
  <c r="M10" i="4"/>
  <c r="K6" i="8" s="1"/>
  <c r="K10" i="4"/>
  <c r="J6" i="8" s="1"/>
  <c r="M9" i="4"/>
  <c r="K5" i="8" s="1"/>
  <c r="K9" i="4"/>
  <c r="J5" i="8" s="1"/>
  <c r="M8" i="4"/>
  <c r="K4" i="8" s="1"/>
  <c r="K8" i="4"/>
  <c r="J4" i="8" s="1"/>
  <c r="M7" i="4"/>
  <c r="K7" i="4"/>
  <c r="J3" i="8" s="1"/>
  <c r="M6" i="4"/>
  <c r="K2" i="8" s="1"/>
  <c r="K6" i="4"/>
  <c r="J2" i="8" s="1"/>
  <c r="AJ34" i="5"/>
  <c r="AC34" i="5"/>
  <c r="Y32" i="8" s="1"/>
  <c r="AA34" i="5"/>
  <c r="X32" i="8" s="1"/>
  <c r="Y34" i="5"/>
  <c r="W32" i="8" s="1"/>
  <c r="W34" i="5"/>
  <c r="V32" i="8"/>
  <c r="U34" i="5"/>
  <c r="U32" i="8"/>
  <c r="S34" i="5"/>
  <c r="T32" i="8" s="1"/>
  <c r="Q34" i="5"/>
  <c r="S32" i="8" s="1"/>
  <c r="O34" i="5"/>
  <c r="R32" i="8" s="1"/>
  <c r="M34" i="5"/>
  <c r="Q32" i="8" s="1"/>
  <c r="K34" i="5"/>
  <c r="P32" i="8" s="1"/>
  <c r="I34" i="5"/>
  <c r="O32" i="8" s="1"/>
  <c r="E34" i="5"/>
  <c r="M32" i="8" s="1"/>
  <c r="C34" i="5"/>
  <c r="E35" i="3"/>
  <c r="F32" i="8"/>
  <c r="C35" i="3"/>
  <c r="E32" i="8"/>
  <c r="C23" i="5"/>
  <c r="L21" i="8" s="1"/>
  <c r="E23" i="5"/>
  <c r="M21" i="8" s="1"/>
  <c r="I23" i="5"/>
  <c r="K23" i="5"/>
  <c r="M23" i="5"/>
  <c r="Q21" i="8" s="1"/>
  <c r="O23" i="5"/>
  <c r="R21" i="8" s="1"/>
  <c r="Q23" i="5"/>
  <c r="S23" i="5"/>
  <c r="T21" i="8" s="1"/>
  <c r="U23" i="5"/>
  <c r="U21" i="8" s="1"/>
  <c r="W23" i="5"/>
  <c r="V21" i="8" s="1"/>
  <c r="Y23" i="5"/>
  <c r="W21" i="8" s="1"/>
  <c r="AA23" i="5"/>
  <c r="AC23" i="5"/>
  <c r="AJ23" i="5"/>
  <c r="C24" i="5"/>
  <c r="L22" i="8" s="1"/>
  <c r="E24" i="5"/>
  <c r="M22" i="8" s="1"/>
  <c r="I24" i="5"/>
  <c r="O22" i="8" s="1"/>
  <c r="K24" i="5"/>
  <c r="P22" i="8" s="1"/>
  <c r="M24" i="5"/>
  <c r="Q22" i="8" s="1"/>
  <c r="O24" i="5"/>
  <c r="R22" i="8" s="1"/>
  <c r="Q24" i="5"/>
  <c r="S22" i="8" s="1"/>
  <c r="S24" i="5"/>
  <c r="T22" i="8" s="1"/>
  <c r="U24" i="5"/>
  <c r="U22" i="8" s="1"/>
  <c r="W24" i="5"/>
  <c r="V22" i="8" s="1"/>
  <c r="Y24" i="5"/>
  <c r="W22" i="8" s="1"/>
  <c r="AA24" i="5"/>
  <c r="X22" i="8" s="1"/>
  <c r="AC24" i="5"/>
  <c r="AJ24" i="5"/>
  <c r="C25" i="5"/>
  <c r="L23" i="8" s="1"/>
  <c r="E25" i="5"/>
  <c r="M23" i="8" s="1"/>
  <c r="I25" i="5"/>
  <c r="O23" i="8" s="1"/>
  <c r="K25" i="5"/>
  <c r="P23" i="8" s="1"/>
  <c r="M25" i="5"/>
  <c r="Q23" i="8" s="1"/>
  <c r="O25" i="5"/>
  <c r="Q25" i="5"/>
  <c r="S23" i="8" s="1"/>
  <c r="S25" i="5"/>
  <c r="U25" i="5"/>
  <c r="U23" i="8" s="1"/>
  <c r="W25" i="5"/>
  <c r="V23" i="8" s="1"/>
  <c r="Y25" i="5"/>
  <c r="W23" i="8" s="1"/>
  <c r="AA25" i="5"/>
  <c r="X23" i="8" s="1"/>
  <c r="AC25" i="5"/>
  <c r="Y23" i="8" s="1"/>
  <c r="AJ25" i="5"/>
  <c r="C26" i="5"/>
  <c r="L24" i="8" s="1"/>
  <c r="E26" i="5"/>
  <c r="M24" i="8" s="1"/>
  <c r="N24" i="8"/>
  <c r="I26" i="5"/>
  <c r="O24" i="8" s="1"/>
  <c r="K26" i="5"/>
  <c r="P24" i="8" s="1"/>
  <c r="M26" i="5"/>
  <c r="Q24" i="8" s="1"/>
  <c r="O26" i="5"/>
  <c r="R24" i="8" s="1"/>
  <c r="Q26" i="5"/>
  <c r="S24" i="8" s="1"/>
  <c r="S26" i="5"/>
  <c r="T24" i="8" s="1"/>
  <c r="U26" i="5"/>
  <c r="W26" i="5"/>
  <c r="V24" i="8"/>
  <c r="Y26" i="5"/>
  <c r="W24" i="8" s="1"/>
  <c r="AA26" i="5"/>
  <c r="X24" i="8" s="1"/>
  <c r="AC26" i="5"/>
  <c r="Y24" i="8" s="1"/>
  <c r="AJ26" i="5"/>
  <c r="C27" i="5"/>
  <c r="E27" i="5"/>
  <c r="M25" i="8" s="1"/>
  <c r="N25" i="8"/>
  <c r="I27" i="5"/>
  <c r="O25" i="8" s="1"/>
  <c r="K27" i="5"/>
  <c r="P25" i="8" s="1"/>
  <c r="M27" i="5"/>
  <c r="O27" i="5"/>
  <c r="Q27" i="5"/>
  <c r="S25" i="8" s="1"/>
  <c r="S27" i="5"/>
  <c r="T25" i="8" s="1"/>
  <c r="U27" i="5"/>
  <c r="U25" i="8" s="1"/>
  <c r="W27" i="5"/>
  <c r="Y27" i="5"/>
  <c r="W25" i="8" s="1"/>
  <c r="AA27" i="5"/>
  <c r="X25" i="8" s="1"/>
  <c r="AC27" i="5"/>
  <c r="Y25" i="8" s="1"/>
  <c r="AJ27" i="5"/>
  <c r="C28" i="5"/>
  <c r="E28" i="5"/>
  <c r="M26" i="8" s="1"/>
  <c r="N26" i="8"/>
  <c r="I28" i="5"/>
  <c r="O26" i="8" s="1"/>
  <c r="K28" i="5"/>
  <c r="P26" i="8" s="1"/>
  <c r="M28" i="5"/>
  <c r="Q26" i="8" s="1"/>
  <c r="O28" i="5"/>
  <c r="R26" i="8" s="1"/>
  <c r="Q28" i="5"/>
  <c r="S28" i="5"/>
  <c r="U28" i="5"/>
  <c r="U26" i="8" s="1"/>
  <c r="W28" i="5"/>
  <c r="V26" i="8" s="1"/>
  <c r="Y28" i="5"/>
  <c r="W26" i="8" s="1"/>
  <c r="AA28" i="5"/>
  <c r="X26" i="8" s="1"/>
  <c r="AC28" i="5"/>
  <c r="Y26" i="8" s="1"/>
  <c r="AJ28" i="5"/>
  <c r="C29" i="5"/>
  <c r="E29" i="5"/>
  <c r="M27" i="8" s="1"/>
  <c r="N27" i="8"/>
  <c r="I29" i="5"/>
  <c r="O27" i="8" s="1"/>
  <c r="K29" i="5"/>
  <c r="P27" i="8" s="1"/>
  <c r="M29" i="5"/>
  <c r="Q27" i="8" s="1"/>
  <c r="O29" i="5"/>
  <c r="Q29" i="5"/>
  <c r="S27" i="8" s="1"/>
  <c r="S29" i="5"/>
  <c r="U29" i="5"/>
  <c r="W29" i="5"/>
  <c r="V27" i="8" s="1"/>
  <c r="Y29" i="5"/>
  <c r="W27" i="8" s="1"/>
  <c r="AA29" i="5"/>
  <c r="X27" i="8" s="1"/>
  <c r="AC29" i="5"/>
  <c r="Y27" i="8" s="1"/>
  <c r="AJ29" i="5"/>
  <c r="C30" i="5"/>
  <c r="L28" i="8" s="1"/>
  <c r="E30" i="5"/>
  <c r="M28" i="8" s="1"/>
  <c r="N28" i="8"/>
  <c r="I30" i="5"/>
  <c r="K30" i="5"/>
  <c r="P28" i="8" s="1"/>
  <c r="M30" i="5"/>
  <c r="Q28" i="8" s="1"/>
  <c r="O30" i="5"/>
  <c r="R28" i="8" s="1"/>
  <c r="Q30" i="5"/>
  <c r="S28" i="8" s="1"/>
  <c r="S30" i="5"/>
  <c r="T28" i="8" s="1"/>
  <c r="U30" i="5"/>
  <c r="U28" i="8" s="1"/>
  <c r="W30" i="5"/>
  <c r="V28" i="8" s="1"/>
  <c r="Y30" i="5"/>
  <c r="W28" i="8" s="1"/>
  <c r="AA30" i="5"/>
  <c r="X28" i="8" s="1"/>
  <c r="AC30" i="5"/>
  <c r="Y28" i="8" s="1"/>
  <c r="AJ30" i="5"/>
  <c r="C31" i="5"/>
  <c r="L29" i="8" s="1"/>
  <c r="E31" i="5"/>
  <c r="M29" i="8" s="1"/>
  <c r="I31" i="5"/>
  <c r="K31" i="5"/>
  <c r="M31" i="5"/>
  <c r="Q29" i="8" s="1"/>
  <c r="O31" i="5"/>
  <c r="R29" i="8" s="1"/>
  <c r="Q31" i="5"/>
  <c r="S29" i="8" s="1"/>
  <c r="S31" i="5"/>
  <c r="T29" i="8" s="1"/>
  <c r="U31" i="5"/>
  <c r="U29" i="8" s="1"/>
  <c r="W31" i="5"/>
  <c r="V29" i="8" s="1"/>
  <c r="Y31" i="5"/>
  <c r="AA31" i="5"/>
  <c r="X29" i="8" s="1"/>
  <c r="AC31" i="5"/>
  <c r="Y29" i="8" s="1"/>
  <c r="AJ31" i="5"/>
  <c r="C32" i="5"/>
  <c r="L30" i="8" s="1"/>
  <c r="E32" i="5"/>
  <c r="M30" i="8" s="1"/>
  <c r="I32" i="5"/>
  <c r="O30" i="8" s="1"/>
  <c r="K32" i="5"/>
  <c r="P30" i="8" s="1"/>
  <c r="M32" i="5"/>
  <c r="Q30" i="8" s="1"/>
  <c r="O32" i="5"/>
  <c r="R30" i="8" s="1"/>
  <c r="Q32" i="5"/>
  <c r="S30" i="8" s="1"/>
  <c r="S32" i="5"/>
  <c r="T30" i="8" s="1"/>
  <c r="U32" i="5"/>
  <c r="U30" i="8" s="1"/>
  <c r="W32" i="5"/>
  <c r="Y32" i="5"/>
  <c r="W30" i="8" s="1"/>
  <c r="AA32" i="5"/>
  <c r="X30" i="8" s="1"/>
  <c r="AC32" i="5"/>
  <c r="Y30" i="8" s="1"/>
  <c r="AJ32" i="5"/>
  <c r="C33" i="5"/>
  <c r="L31" i="8" s="1"/>
  <c r="E33" i="5"/>
  <c r="M31" i="8" s="1"/>
  <c r="I33" i="5"/>
  <c r="O31" i="8" s="1"/>
  <c r="K33" i="5"/>
  <c r="P31" i="8" s="1"/>
  <c r="M33" i="5"/>
  <c r="Q31" i="8" s="1"/>
  <c r="O33" i="5"/>
  <c r="R31" i="8" s="1"/>
  <c r="Q33" i="5"/>
  <c r="S33" i="5"/>
  <c r="T31" i="8" s="1"/>
  <c r="U33" i="5"/>
  <c r="U31" i="8" s="1"/>
  <c r="W33" i="5"/>
  <c r="V31" i="8" s="1"/>
  <c r="Y33" i="5"/>
  <c r="W31" i="8" s="1"/>
  <c r="AA33" i="5"/>
  <c r="X31" i="8" s="1"/>
  <c r="AC33" i="5"/>
  <c r="Y31" i="8" s="1"/>
  <c r="AJ33" i="5"/>
  <c r="H35" i="4"/>
  <c r="I31" i="8" s="1"/>
  <c r="H34" i="4"/>
  <c r="I30" i="8" s="1"/>
  <c r="H33" i="4"/>
  <c r="I29" i="8" s="1"/>
  <c r="D35" i="4"/>
  <c r="D34" i="4"/>
  <c r="D33" i="4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O10" i="8" s="1"/>
  <c r="G4" i="5"/>
  <c r="N2" i="8" s="1"/>
  <c r="W29" i="8"/>
  <c r="P29" i="8"/>
  <c r="O29" i="8"/>
  <c r="C33" i="3"/>
  <c r="E30" i="8"/>
  <c r="I30" i="9" s="1"/>
  <c r="C34" i="3"/>
  <c r="E31" i="8"/>
  <c r="I31" i="9" s="1"/>
  <c r="D6" i="4"/>
  <c r="F35" i="4"/>
  <c r="H31" i="8" s="1"/>
  <c r="F33" i="4"/>
  <c r="H29" i="8" s="1"/>
  <c r="K2" i="9"/>
  <c r="AB2" i="8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Y22" i="8"/>
  <c r="Y21" i="8"/>
  <c r="AC22" i="5"/>
  <c r="Y20" i="8" s="1"/>
  <c r="AC21" i="5"/>
  <c r="Y19" i="8" s="1"/>
  <c r="AC20" i="5"/>
  <c r="Y18" i="8" s="1"/>
  <c r="AC19" i="5"/>
  <c r="Y17" i="8" s="1"/>
  <c r="AC18" i="5"/>
  <c r="Y16" i="8" s="1"/>
  <c r="AC17" i="5"/>
  <c r="Y15" i="8" s="1"/>
  <c r="AC16" i="5"/>
  <c r="Y14" i="8" s="1"/>
  <c r="AC15" i="5"/>
  <c r="Y13" i="8" s="1"/>
  <c r="AC14" i="5"/>
  <c r="Y12" i="8" s="1"/>
  <c r="AC13" i="5"/>
  <c r="Y11" i="8" s="1"/>
  <c r="AC12" i="5"/>
  <c r="Y10" i="8" s="1"/>
  <c r="AC11" i="5"/>
  <c r="Y9" i="8" s="1"/>
  <c r="AC10" i="5"/>
  <c r="Y8" i="8" s="1"/>
  <c r="AC9" i="5"/>
  <c r="Y7" i="8" s="1"/>
  <c r="AC8" i="5"/>
  <c r="Y6" i="8" s="1"/>
  <c r="AC7" i="5"/>
  <c r="Y5" i="8" s="1"/>
  <c r="AC6" i="5"/>
  <c r="Y4" i="8" s="1"/>
  <c r="AC5" i="5"/>
  <c r="Y3" i="8" s="1"/>
  <c r="AC4" i="5"/>
  <c r="Y2" i="8" s="1"/>
  <c r="X21" i="8"/>
  <c r="AA22" i="5"/>
  <c r="X20" i="8" s="1"/>
  <c r="AA21" i="5"/>
  <c r="X19" i="8" s="1"/>
  <c r="AA20" i="5"/>
  <c r="X18" i="8" s="1"/>
  <c r="AA19" i="5"/>
  <c r="X17" i="8" s="1"/>
  <c r="AA18" i="5"/>
  <c r="X16" i="8" s="1"/>
  <c r="AA17" i="5"/>
  <c r="X15" i="8" s="1"/>
  <c r="AA16" i="5"/>
  <c r="X14" i="8" s="1"/>
  <c r="AA15" i="5"/>
  <c r="X13" i="8" s="1"/>
  <c r="AA14" i="5"/>
  <c r="X12" i="8" s="1"/>
  <c r="AA13" i="5"/>
  <c r="X11" i="8" s="1"/>
  <c r="AA12" i="5"/>
  <c r="X10" i="8" s="1"/>
  <c r="AA11" i="5"/>
  <c r="X9" i="8" s="1"/>
  <c r="AA10" i="5"/>
  <c r="X8" i="8" s="1"/>
  <c r="AA9" i="5"/>
  <c r="X7" i="8" s="1"/>
  <c r="AA8" i="5"/>
  <c r="X6" i="8" s="1"/>
  <c r="AA7" i="5"/>
  <c r="X5" i="8" s="1"/>
  <c r="AA6" i="5"/>
  <c r="X4" i="8" s="1"/>
  <c r="AA5" i="5"/>
  <c r="X3" i="8" s="1"/>
  <c r="AA4" i="5"/>
  <c r="X2" i="8" s="1"/>
  <c r="Y22" i="5"/>
  <c r="W20" i="8" s="1"/>
  <c r="Y21" i="5"/>
  <c r="W19" i="8" s="1"/>
  <c r="Y20" i="5"/>
  <c r="W18" i="8" s="1"/>
  <c r="Y19" i="5"/>
  <c r="W17" i="8" s="1"/>
  <c r="Y18" i="5"/>
  <c r="W16" i="8" s="1"/>
  <c r="Y17" i="5"/>
  <c r="W15" i="8" s="1"/>
  <c r="Y16" i="5"/>
  <c r="W14" i="8" s="1"/>
  <c r="Y15" i="5"/>
  <c r="W13" i="8" s="1"/>
  <c r="Y14" i="5"/>
  <c r="W12" i="8" s="1"/>
  <c r="Y13" i="5"/>
  <c r="W11" i="8" s="1"/>
  <c r="Y12" i="5"/>
  <c r="W10" i="8" s="1"/>
  <c r="Y11" i="5"/>
  <c r="W9" i="8" s="1"/>
  <c r="Y10" i="5"/>
  <c r="W8" i="8" s="1"/>
  <c r="Y9" i="5"/>
  <c r="W7" i="8" s="1"/>
  <c r="Y8" i="5"/>
  <c r="W6" i="8" s="1"/>
  <c r="Y7" i="5"/>
  <c r="W5" i="8" s="1"/>
  <c r="Y6" i="5"/>
  <c r="W4" i="8" s="1"/>
  <c r="Y5" i="5"/>
  <c r="W3" i="8"/>
  <c r="Y4" i="5"/>
  <c r="W2" i="8"/>
  <c r="V25" i="8"/>
  <c r="W22" i="5"/>
  <c r="V20" i="8" s="1"/>
  <c r="W21" i="5"/>
  <c r="W20" i="5"/>
  <c r="V18" i="8" s="1"/>
  <c r="W19" i="5"/>
  <c r="V17" i="8" s="1"/>
  <c r="W18" i="5"/>
  <c r="V16" i="8" s="1"/>
  <c r="W17" i="5"/>
  <c r="V15" i="8" s="1"/>
  <c r="W16" i="5"/>
  <c r="V14" i="8" s="1"/>
  <c r="W15" i="5"/>
  <c r="V13" i="8" s="1"/>
  <c r="W14" i="5"/>
  <c r="V12" i="8" s="1"/>
  <c r="W13" i="5"/>
  <c r="V11" i="8" s="1"/>
  <c r="W12" i="5"/>
  <c r="V10" i="8" s="1"/>
  <c r="W11" i="5"/>
  <c r="V9" i="8" s="1"/>
  <c r="W10" i="5"/>
  <c r="V8" i="8" s="1"/>
  <c r="W9" i="5"/>
  <c r="V7" i="8" s="1"/>
  <c r="W8" i="5"/>
  <c r="V6" i="8" s="1"/>
  <c r="W7" i="5"/>
  <c r="V5" i="8" s="1"/>
  <c r="W6" i="5"/>
  <c r="V4" i="8" s="1"/>
  <c r="W5" i="5"/>
  <c r="V3" i="8" s="1"/>
  <c r="W4" i="5"/>
  <c r="V2" i="8" s="1"/>
  <c r="U27" i="8"/>
  <c r="U24" i="8"/>
  <c r="U22" i="5"/>
  <c r="U20" i="8" s="1"/>
  <c r="U21" i="5"/>
  <c r="U19" i="8" s="1"/>
  <c r="U20" i="5"/>
  <c r="U18" i="8" s="1"/>
  <c r="U19" i="5"/>
  <c r="U17" i="8" s="1"/>
  <c r="U18" i="5"/>
  <c r="U16" i="8" s="1"/>
  <c r="U17" i="5"/>
  <c r="U15" i="8" s="1"/>
  <c r="U16" i="5"/>
  <c r="U14" i="8" s="1"/>
  <c r="U15" i="5"/>
  <c r="U13" i="8" s="1"/>
  <c r="U14" i="5"/>
  <c r="U12" i="8" s="1"/>
  <c r="U13" i="5"/>
  <c r="U11" i="8" s="1"/>
  <c r="U12" i="5"/>
  <c r="U10" i="8" s="1"/>
  <c r="U11" i="5"/>
  <c r="U9" i="8"/>
  <c r="U10" i="5"/>
  <c r="U8" i="8" s="1"/>
  <c r="U9" i="5"/>
  <c r="U7" i="8" s="1"/>
  <c r="U8" i="5"/>
  <c r="U6" i="8" s="1"/>
  <c r="U7" i="5"/>
  <c r="U5" i="8" s="1"/>
  <c r="U6" i="5"/>
  <c r="U4" i="8" s="1"/>
  <c r="U5" i="5"/>
  <c r="U3" i="8"/>
  <c r="U4" i="5"/>
  <c r="U2" i="8" s="1"/>
  <c r="T26" i="8"/>
  <c r="S22" i="5"/>
  <c r="T20" i="8" s="1"/>
  <c r="S21" i="5"/>
  <c r="T19" i="8" s="1"/>
  <c r="S20" i="5"/>
  <c r="T18" i="8" s="1"/>
  <c r="S19" i="5"/>
  <c r="T17" i="8" s="1"/>
  <c r="S18" i="5"/>
  <c r="T16" i="8" s="1"/>
  <c r="S17" i="5"/>
  <c r="T15" i="8" s="1"/>
  <c r="S16" i="5"/>
  <c r="T14" i="8" s="1"/>
  <c r="S15" i="5"/>
  <c r="T13" i="8" s="1"/>
  <c r="S14" i="5"/>
  <c r="T12" i="8" s="1"/>
  <c r="S13" i="5"/>
  <c r="T11" i="8" s="1"/>
  <c r="S12" i="5"/>
  <c r="T10" i="8" s="1"/>
  <c r="S11" i="5"/>
  <c r="T9" i="8" s="1"/>
  <c r="S10" i="5"/>
  <c r="T8" i="8" s="1"/>
  <c r="S9" i="5"/>
  <c r="T7" i="8" s="1"/>
  <c r="S8" i="5"/>
  <c r="T6" i="8"/>
  <c r="S7" i="5"/>
  <c r="T5" i="8" s="1"/>
  <c r="S6" i="5"/>
  <c r="T4" i="8" s="1"/>
  <c r="S5" i="5"/>
  <c r="T3" i="8" s="1"/>
  <c r="S4" i="5"/>
  <c r="T2" i="8" s="1"/>
  <c r="S26" i="8"/>
  <c r="S21" i="8"/>
  <c r="Q22" i="5"/>
  <c r="S20" i="8" s="1"/>
  <c r="Q21" i="5"/>
  <c r="S19" i="8" s="1"/>
  <c r="Q20" i="5"/>
  <c r="S18" i="8" s="1"/>
  <c r="Q19" i="5"/>
  <c r="S17" i="8" s="1"/>
  <c r="Q18" i="5"/>
  <c r="S16" i="8" s="1"/>
  <c r="Q17" i="5"/>
  <c r="S15" i="8" s="1"/>
  <c r="Q16" i="5"/>
  <c r="S14" i="8" s="1"/>
  <c r="Q15" i="5"/>
  <c r="S13" i="8" s="1"/>
  <c r="Q14" i="5"/>
  <c r="S12" i="8" s="1"/>
  <c r="Q13" i="5"/>
  <c r="S11" i="8" s="1"/>
  <c r="Q12" i="5"/>
  <c r="S10" i="8" s="1"/>
  <c r="Q11" i="5"/>
  <c r="S9" i="8" s="1"/>
  <c r="Q10" i="5"/>
  <c r="S8" i="8" s="1"/>
  <c r="Q9" i="5"/>
  <c r="S7" i="8" s="1"/>
  <c r="Q8" i="5"/>
  <c r="S6" i="8" s="1"/>
  <c r="Q7" i="5"/>
  <c r="S5" i="8" s="1"/>
  <c r="Q6" i="5"/>
  <c r="S4" i="8" s="1"/>
  <c r="Q5" i="5"/>
  <c r="S3" i="8" s="1"/>
  <c r="Q4" i="5"/>
  <c r="S2" i="8" s="1"/>
  <c r="R27" i="8"/>
  <c r="R25" i="8"/>
  <c r="R23" i="8"/>
  <c r="O22" i="5"/>
  <c r="R20" i="8" s="1"/>
  <c r="O21" i="5"/>
  <c r="R19" i="8" s="1"/>
  <c r="O20" i="5"/>
  <c r="R18" i="8" s="1"/>
  <c r="O19" i="5"/>
  <c r="R17" i="8" s="1"/>
  <c r="O18" i="5"/>
  <c r="R16" i="8" s="1"/>
  <c r="O17" i="5"/>
  <c r="R15" i="8" s="1"/>
  <c r="O16" i="5"/>
  <c r="R14" i="8" s="1"/>
  <c r="O15" i="5"/>
  <c r="R13" i="8" s="1"/>
  <c r="O14" i="5"/>
  <c r="R12" i="8" s="1"/>
  <c r="O13" i="5"/>
  <c r="R11" i="8" s="1"/>
  <c r="O12" i="5"/>
  <c r="R10" i="8" s="1"/>
  <c r="O11" i="5"/>
  <c r="R9" i="8" s="1"/>
  <c r="O10" i="5"/>
  <c r="R8" i="8" s="1"/>
  <c r="O9" i="5"/>
  <c r="R7" i="8" s="1"/>
  <c r="O8" i="5"/>
  <c r="R6" i="8" s="1"/>
  <c r="O7" i="5"/>
  <c r="R5" i="8" s="1"/>
  <c r="O6" i="5"/>
  <c r="R4" i="8" s="1"/>
  <c r="O5" i="5"/>
  <c r="R3" i="8" s="1"/>
  <c r="O4" i="5"/>
  <c r="R2" i="8" s="1"/>
  <c r="M22" i="5"/>
  <c r="Q20" i="8" s="1"/>
  <c r="M21" i="5"/>
  <c r="Q19" i="8" s="1"/>
  <c r="M20" i="5"/>
  <c r="Q18" i="8" s="1"/>
  <c r="M19" i="5"/>
  <c r="Q17" i="8" s="1"/>
  <c r="M18" i="5"/>
  <c r="Q16" i="8" s="1"/>
  <c r="M17" i="5"/>
  <c r="Q15" i="8" s="1"/>
  <c r="M16" i="5"/>
  <c r="Q14" i="8" s="1"/>
  <c r="M15" i="5"/>
  <c r="Q13" i="8" s="1"/>
  <c r="M14" i="5"/>
  <c r="Q12" i="8" s="1"/>
  <c r="M13" i="5"/>
  <c r="Q11" i="8"/>
  <c r="M12" i="5"/>
  <c r="Q10" i="8" s="1"/>
  <c r="M11" i="5"/>
  <c r="Q9" i="8" s="1"/>
  <c r="M10" i="5"/>
  <c r="Q8" i="8" s="1"/>
  <c r="M9" i="5"/>
  <c r="Q7" i="8" s="1"/>
  <c r="M8" i="5"/>
  <c r="Q6" i="8" s="1"/>
  <c r="M7" i="5"/>
  <c r="Q5" i="8" s="1"/>
  <c r="M6" i="5"/>
  <c r="Q4" i="8" s="1"/>
  <c r="M5" i="5"/>
  <c r="Q3" i="8"/>
  <c r="M4" i="5"/>
  <c r="Q2" i="8"/>
  <c r="P21" i="8"/>
  <c r="K22" i="5"/>
  <c r="P20" i="8" s="1"/>
  <c r="K21" i="5"/>
  <c r="P19" i="8" s="1"/>
  <c r="K20" i="5"/>
  <c r="P18" i="8" s="1"/>
  <c r="K19" i="5"/>
  <c r="P17" i="8" s="1"/>
  <c r="K18" i="5"/>
  <c r="P16" i="8" s="1"/>
  <c r="K17" i="5"/>
  <c r="P15" i="8" s="1"/>
  <c r="K16" i="5"/>
  <c r="P14" i="8" s="1"/>
  <c r="K15" i="5"/>
  <c r="P13" i="8" s="1"/>
  <c r="K14" i="5"/>
  <c r="P12" i="8" s="1"/>
  <c r="K13" i="5"/>
  <c r="P11" i="8" s="1"/>
  <c r="K12" i="5"/>
  <c r="P10" i="8" s="1"/>
  <c r="K11" i="5"/>
  <c r="P9" i="8" s="1"/>
  <c r="K10" i="5"/>
  <c r="P8" i="8"/>
  <c r="K9" i="5"/>
  <c r="P7" i="8" s="1"/>
  <c r="K8" i="5"/>
  <c r="P6" i="8" s="1"/>
  <c r="K7" i="5"/>
  <c r="P5" i="8" s="1"/>
  <c r="K6" i="5"/>
  <c r="P4" i="8" s="1"/>
  <c r="K5" i="5"/>
  <c r="P3" i="8" s="1"/>
  <c r="K4" i="5"/>
  <c r="P2" i="8" s="1"/>
  <c r="O28" i="8"/>
  <c r="G28" i="9" s="1"/>
  <c r="I22" i="5"/>
  <c r="O20" i="8" s="1"/>
  <c r="I21" i="5"/>
  <c r="O19" i="8" s="1"/>
  <c r="I20" i="5"/>
  <c r="O18" i="8" s="1"/>
  <c r="I19" i="5"/>
  <c r="O17" i="8" s="1"/>
  <c r="I18" i="5"/>
  <c r="O16" i="8" s="1"/>
  <c r="I17" i="5"/>
  <c r="I16" i="5"/>
  <c r="I15" i="5"/>
  <c r="O13" i="8" s="1"/>
  <c r="I14" i="5"/>
  <c r="O12" i="8" s="1"/>
  <c r="I13" i="5"/>
  <c r="O11" i="8" s="1"/>
  <c r="I11" i="5"/>
  <c r="O9" i="8" s="1"/>
  <c r="I10" i="5"/>
  <c r="O8" i="8" s="1"/>
  <c r="I9" i="5"/>
  <c r="O7" i="8" s="1"/>
  <c r="I8" i="5"/>
  <c r="O6" i="8" s="1"/>
  <c r="I7" i="5"/>
  <c r="O5" i="8" s="1"/>
  <c r="I6" i="5"/>
  <c r="O4" i="8" s="1"/>
  <c r="I5" i="5"/>
  <c r="O3" i="8" s="1"/>
  <c r="I4" i="5"/>
  <c r="O2" i="8" s="1"/>
  <c r="N20" i="8"/>
  <c r="N19" i="8"/>
  <c r="N18" i="8"/>
  <c r="N17" i="8"/>
  <c r="N16" i="8"/>
  <c r="N13" i="8"/>
  <c r="N12" i="8"/>
  <c r="N11" i="8"/>
  <c r="N10" i="8"/>
  <c r="N9" i="8"/>
  <c r="N8" i="8"/>
  <c r="N5" i="8"/>
  <c r="N4" i="8"/>
  <c r="G5" i="5"/>
  <c r="N3" i="8" s="1"/>
  <c r="E22" i="5"/>
  <c r="M20" i="8" s="1"/>
  <c r="E21" i="5"/>
  <c r="M19" i="8" s="1"/>
  <c r="E20" i="5"/>
  <c r="M18" i="8" s="1"/>
  <c r="E19" i="5"/>
  <c r="M17" i="8" s="1"/>
  <c r="E18" i="5"/>
  <c r="M16" i="8" s="1"/>
  <c r="E17" i="5"/>
  <c r="M15" i="8" s="1"/>
  <c r="E16" i="5"/>
  <c r="M14" i="8" s="1"/>
  <c r="E15" i="5"/>
  <c r="M13" i="8" s="1"/>
  <c r="E14" i="5"/>
  <c r="M12" i="8" s="1"/>
  <c r="E13" i="5"/>
  <c r="M11" i="8" s="1"/>
  <c r="E12" i="5"/>
  <c r="M10" i="8" s="1"/>
  <c r="E11" i="5"/>
  <c r="M9" i="8" s="1"/>
  <c r="E10" i="5"/>
  <c r="M8" i="8" s="1"/>
  <c r="E9" i="5"/>
  <c r="M7" i="8" s="1"/>
  <c r="E8" i="5"/>
  <c r="M6" i="8" s="1"/>
  <c r="E7" i="5"/>
  <c r="M5" i="8" s="1"/>
  <c r="E6" i="5"/>
  <c r="M4" i="8" s="1"/>
  <c r="E5" i="5"/>
  <c r="M3" i="8" s="1"/>
  <c r="E4" i="5"/>
  <c r="M2" i="8" s="1"/>
  <c r="L26" i="8"/>
  <c r="C22" i="5"/>
  <c r="L20" i="8" s="1"/>
  <c r="C21" i="5"/>
  <c r="L19" i="8" s="1"/>
  <c r="C20" i="5"/>
  <c r="L18" i="8" s="1"/>
  <c r="C19" i="5"/>
  <c r="L17" i="8" s="1"/>
  <c r="G17" i="9" s="1"/>
  <c r="C18" i="5"/>
  <c r="L16" i="8" s="1"/>
  <c r="C17" i="5"/>
  <c r="L15" i="8" s="1"/>
  <c r="C16" i="5"/>
  <c r="L14" i="8" s="1"/>
  <c r="C15" i="5"/>
  <c r="L13" i="8" s="1"/>
  <c r="C14" i="5"/>
  <c r="L12" i="8" s="1"/>
  <c r="C13" i="5"/>
  <c r="L11" i="8" s="1"/>
  <c r="C12" i="5"/>
  <c r="L10" i="8" s="1"/>
  <c r="C11" i="5"/>
  <c r="L9" i="8" s="1"/>
  <c r="G9" i="9" s="1"/>
  <c r="C10" i="5"/>
  <c r="L8" i="8" s="1"/>
  <c r="C9" i="5"/>
  <c r="L7" i="8" s="1"/>
  <c r="C8" i="5"/>
  <c r="L6" i="8" s="1"/>
  <c r="C7" i="5"/>
  <c r="L5" i="8" s="1"/>
  <c r="C6" i="5"/>
  <c r="L4" i="8" s="1"/>
  <c r="C5" i="5"/>
  <c r="L3" i="8" s="1"/>
  <c r="C4" i="5"/>
  <c r="L2" i="8"/>
  <c r="G2" i="9" s="1"/>
  <c r="F6" i="4"/>
  <c r="H2" i="8" s="1"/>
  <c r="H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F34" i="4"/>
  <c r="H30" i="8" s="1"/>
  <c r="C5" i="3"/>
  <c r="C6" i="3"/>
  <c r="E3" i="8"/>
  <c r="C7" i="3"/>
  <c r="E4" i="8"/>
  <c r="I4" i="9"/>
  <c r="C8" i="3"/>
  <c r="E5" i="8"/>
  <c r="I5" i="9" s="1"/>
  <c r="C9" i="3"/>
  <c r="E6" i="8"/>
  <c r="I6" i="9" s="1"/>
  <c r="C10" i="3"/>
  <c r="C11" i="3"/>
  <c r="E8" i="8"/>
  <c r="I8" i="9" s="1"/>
  <c r="C12" i="3"/>
  <c r="E9" i="8"/>
  <c r="I9" i="9" s="1"/>
  <c r="C13" i="3"/>
  <c r="E10" i="8"/>
  <c r="I10" i="9" s="1"/>
  <c r="C14" i="3"/>
  <c r="E11" i="8"/>
  <c r="I11" i="9" s="1"/>
  <c r="C15" i="3"/>
  <c r="E12" i="8"/>
  <c r="I12" i="9" s="1"/>
  <c r="C16" i="3"/>
  <c r="E13" i="8"/>
  <c r="I13" i="9" s="1"/>
  <c r="C17" i="3"/>
  <c r="E14" i="8"/>
  <c r="I14" i="9" s="1"/>
  <c r="C18" i="3"/>
  <c r="E15" i="8"/>
  <c r="I15" i="9" s="1"/>
  <c r="C19" i="3"/>
  <c r="E16" i="8"/>
  <c r="C20" i="3"/>
  <c r="E17" i="8"/>
  <c r="I17" i="9" s="1"/>
  <c r="C21" i="3"/>
  <c r="E18" i="8"/>
  <c r="I18" i="9" s="1"/>
  <c r="C22" i="3"/>
  <c r="E19" i="8"/>
  <c r="C23" i="3"/>
  <c r="E20" i="8"/>
  <c r="I20" i="9" s="1"/>
  <c r="C24" i="3"/>
  <c r="E21" i="8"/>
  <c r="I21" i="9" s="1"/>
  <c r="C25" i="3"/>
  <c r="E22" i="8"/>
  <c r="I22" i="9" s="1"/>
  <c r="C26" i="3"/>
  <c r="E23" i="8"/>
  <c r="I23" i="9" s="1"/>
  <c r="C27" i="3"/>
  <c r="E24" i="8"/>
  <c r="I24" i="9" s="1"/>
  <c r="C28" i="3"/>
  <c r="E25" i="8"/>
  <c r="I25" i="9" s="1"/>
  <c r="C29" i="3"/>
  <c r="E26" i="8"/>
  <c r="I26" i="9" s="1"/>
  <c r="C30" i="3"/>
  <c r="E27" i="8"/>
  <c r="I27" i="9" s="1"/>
  <c r="C31" i="3"/>
  <c r="E28" i="8"/>
  <c r="I28" i="9" s="1"/>
  <c r="C32" i="3"/>
  <c r="E29" i="8"/>
  <c r="I29" i="9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Q25" i="8"/>
  <c r="O15" i="8"/>
  <c r="E2" i="8"/>
  <c r="I2" i="9" s="1"/>
  <c r="F22" i="8"/>
  <c r="F18" i="8"/>
  <c r="F5" i="8"/>
  <c r="E7" i="8"/>
  <c r="I7" i="9" s="1"/>
  <c r="T27" i="8"/>
  <c r="V19" i="8"/>
  <c r="V30" i="8"/>
  <c r="I11" i="4"/>
  <c r="F14" i="8"/>
  <c r="L25" i="8"/>
  <c r="K37" i="4"/>
  <c r="I27" i="4"/>
  <c r="F2" i="8"/>
  <c r="I32" i="4"/>
  <c r="S31" i="8"/>
  <c r="L32" i="8"/>
  <c r="F4" i="8"/>
  <c r="C36" i="3"/>
  <c r="I2" i="8"/>
  <c r="I19" i="4"/>
  <c r="I8" i="4"/>
  <c r="E36" i="3"/>
  <c r="I16" i="9"/>
  <c r="I19" i="9"/>
  <c r="I3" i="9"/>
  <c r="I32" i="9"/>
  <c r="T23" i="8"/>
  <c r="O21" i="8"/>
  <c r="I36" i="4"/>
  <c r="I24" i="4"/>
  <c r="I13" i="4"/>
  <c r="I14" i="4"/>
  <c r="I35" i="4"/>
  <c r="H37" i="4"/>
  <c r="M37" i="4" l="1"/>
  <c r="K3" i="8"/>
  <c r="G31" i="9"/>
  <c r="AH28" i="5"/>
  <c r="G24" i="9"/>
  <c r="G25" i="9"/>
  <c r="L27" i="8"/>
  <c r="AH29" i="5"/>
  <c r="AH4" i="5"/>
  <c r="AH6" i="5"/>
  <c r="AH7" i="5"/>
  <c r="AH8" i="5"/>
  <c r="AH11" i="5"/>
  <c r="AH14" i="5"/>
  <c r="AH15" i="5"/>
  <c r="AH16" i="5"/>
  <c r="AH19" i="5"/>
  <c r="AH22" i="5"/>
  <c r="AH23" i="5"/>
  <c r="AH24" i="5"/>
  <c r="AH27" i="5"/>
  <c r="AH30" i="5"/>
  <c r="AH31" i="5"/>
  <c r="AH32" i="5"/>
  <c r="AH5" i="5"/>
  <c r="AH12" i="5"/>
  <c r="AH13" i="5"/>
  <c r="AH20" i="5"/>
  <c r="AH21" i="5"/>
  <c r="I29" i="4"/>
  <c r="I26" i="4"/>
  <c r="I25" i="4"/>
  <c r="I18" i="4"/>
  <c r="I10" i="4"/>
  <c r="E2" i="9"/>
  <c r="I34" i="4"/>
  <c r="G3" i="9"/>
  <c r="G11" i="9"/>
  <c r="G19" i="9"/>
  <c r="G27" i="9"/>
  <c r="G21" i="9"/>
  <c r="G18" i="9"/>
  <c r="G32" i="9"/>
  <c r="G4" i="9"/>
  <c r="G12" i="9"/>
  <c r="G20" i="9"/>
  <c r="G5" i="9"/>
  <c r="G13" i="9"/>
  <c r="G26" i="9"/>
  <c r="G29" i="9"/>
  <c r="G22" i="9"/>
  <c r="G10" i="9"/>
  <c r="G6" i="9"/>
  <c r="G7" i="9"/>
  <c r="G15" i="9"/>
  <c r="G30" i="9"/>
  <c r="G23" i="9"/>
  <c r="G8" i="9"/>
  <c r="G16" i="9"/>
  <c r="AH10" i="5"/>
  <c r="AH18" i="5"/>
  <c r="AH26" i="5"/>
  <c r="AH9" i="5"/>
  <c r="AH25" i="5"/>
  <c r="AH17" i="5"/>
  <c r="O14" i="8"/>
  <c r="G14" i="9" s="1"/>
  <c r="I20" i="4"/>
  <c r="I31" i="4"/>
  <c r="I23" i="4"/>
  <c r="I7" i="4"/>
  <c r="I12" i="4"/>
  <c r="I15" i="4"/>
  <c r="I30" i="4"/>
  <c r="I16" i="4"/>
  <c r="D37" i="4"/>
  <c r="G2" i="8"/>
  <c r="I6" i="4"/>
  <c r="I22" i="4"/>
  <c r="F37" i="4"/>
  <c r="I9" i="4"/>
  <c r="I17" i="4"/>
  <c r="I21" i="4"/>
  <c r="E28" i="9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E32" i="9"/>
  <c r="G32" i="8"/>
  <c r="I28" i="4"/>
  <c r="I33" i="4"/>
  <c r="I37" i="4" l="1"/>
</calcChain>
</file>

<file path=xl/sharedStrings.xml><?xml version="1.0" encoding="utf-8"?>
<sst xmlns="http://schemas.openxmlformats.org/spreadsheetml/2006/main" count="176" uniqueCount="73">
  <si>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</si>
  <si>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</si>
  <si>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</si>
  <si>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</si>
  <si>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</si>
  <si>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</si>
  <si>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</si>
  <si>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</si>
  <si>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</si>
  <si>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</si>
  <si>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</si>
  <si>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</si>
  <si>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</si>
  <si>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</si>
  <si>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</si>
  <si>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</si>
  <si>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</si>
  <si>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Marina 1 - KWh</t>
  </si>
  <si>
    <t>Marina 2 - KWh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</si>
  <si>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</si>
  <si>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</si>
  <si>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</si>
  <si>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</si>
  <si>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</si>
  <si>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</si>
  <si>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</si>
  <si>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</si>
  <si>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</si>
  <si>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</si>
  <si>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</si>
  <si>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</si>
  <si>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</si>
  <si>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</si>
  <si>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Beach Kitchen - m3</t>
  </si>
  <si>
    <t>Beach Laundry - m3</t>
  </si>
  <si>
    <t>Room Night</t>
  </si>
  <si>
    <t>Hotel AUGUST 2022</t>
  </si>
  <si>
    <t>Main Reading</t>
  </si>
  <si>
    <t>Cons.</t>
  </si>
  <si>
    <t>Beach Water</t>
  </si>
  <si>
    <t>Last</t>
  </si>
  <si>
    <t>Total</t>
  </si>
  <si>
    <t>Feeders and transformers Electrity cons.  AUGUST 22</t>
  </si>
  <si>
    <t>Hotel</t>
  </si>
  <si>
    <t>Room Sold</t>
  </si>
  <si>
    <t>Trans-1</t>
  </si>
  <si>
    <t>Trans-2</t>
  </si>
  <si>
    <t>Trans-3</t>
  </si>
  <si>
    <t>Marina 1</t>
  </si>
  <si>
    <t>Marina 2</t>
  </si>
  <si>
    <t>Readings</t>
  </si>
  <si>
    <t>Reading</t>
  </si>
  <si>
    <t>Cons</t>
  </si>
  <si>
    <t>Gas Con. AUGUST 2022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</si>
  <si>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</si>
  <si>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</si>
  <si>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</si>
  <si>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</si>
  <si>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</si>
  <si>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</si>
  <si>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</si>
  <si>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</si>
  <si>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</si>
  <si>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</si>
  <si>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</si>
  <si>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</si>
  <si>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</si>
  <si>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</si>
  <si>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Beach Kitchen</t>
  </si>
  <si>
    <t>Beach Laundry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</si>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</sst>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CCFFFF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3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4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31" fillId="10" borderId="55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2" xfId="2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6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32" fillId="11" borderId="39" xfId="2" applyFont="1" applyFill="1" applyBorder="1" applyAlignment="1">
      <alignment horizontal="center" vertical="center"/>
    </xf>
    <xf numFmtId="0" fontId="32" fillId="11" borderId="40" xfId="2" applyFont="1" applyFill="1" applyBorder="1" applyAlignment="1">
      <alignment horizontal="center" vertical="center"/>
    </xf>
    <xf numFmtId="0" fontId="32" fillId="11" borderId="41" xfId="2" applyFont="1" applyFill="1" applyBorder="1" applyAlignment="1">
      <alignment horizontal="center" vertical="center"/>
    </xf>
    <xf numFmtId="0" fontId="33" fillId="11" borderId="37" xfId="2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8" fillId="11" borderId="45" xfId="2" applyFont="1" applyFill="1" applyBorder="1" applyAlignment="1">
      <alignment horizontal="center" vertical="center"/>
    </xf>
    <xf numFmtId="0" fontId="8" fillId="11" borderId="46" xfId="2" applyFont="1" applyFill="1" applyBorder="1" applyAlignment="1">
      <alignment horizontal="center" vertical="center"/>
    </xf>
    <xf numFmtId="0" fontId="8" fillId="11" borderId="47" xfId="2" applyFont="1" applyFill="1" applyBorder="1" applyAlignment="1">
      <alignment horizontal="center" vertical="center"/>
    </xf>
    <xf numFmtId="1" fontId="8" fillId="3" borderId="48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4" fillId="12" borderId="53" xfId="0" applyFont="1" applyFill="1" applyBorder="1"/>
    <xf numFmtId="0" fontId="36" fillId="0" borderId="53" xfId="0" applyFont="1" applyBorder="1"/>
    <xf numFmtId="0" fontId="37" fillId="0" borderId="21" xfId="0" applyFont="1" applyBorder="1"/>
    <xf numFmtId="0" fontId="37" fillId="13" borderId="56" xfId="0" applyFont="1" applyFill="1" applyBorder="1"/>
    <xf numFmtId="0" fontId="10" fillId="0" borderId="2" xfId="0" applyFont="1" applyBorder="1"/>
    <xf numFmtId="0" fontId="35" fillId="13" borderId="56" xfId="0" applyFont="1" applyFill="1" applyBorder="1"/>
    <xf numFmtId="0" fontId="35" fillId="0" borderId="2" xfId="0" applyFont="1" applyBorder="1"/>
    <xf numFmtId="0" fontId="35" fillId="0" borderId="57" xfId="0" applyFont="1" applyBorder="1"/>
    <xf numFmtId="0" fontId="35" fillId="13" borderId="57" xfId="0" applyFont="1" applyFill="1" applyBorder="1"/>
    <xf numFmtId="0" fontId="38" fillId="0" borderId="0" xfId="0" applyFont="1"/>
    <xf numFmtId="0" fontId="35" fillId="0" borderId="53" xfId="0" applyFont="1" applyBorder="1"/>
    <xf numFmtId="0" fontId="19" fillId="0" borderId="53" xfId="0" applyFont="1" applyBorder="1"/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164" fontId="5" fillId="0" borderId="49" xfId="0" applyNumberFormat="1" applyFont="1" applyBorder="1" applyAlignment="1">
      <alignment horizontal="center" vertical="center"/>
    </xf>
    <xf numFmtId="164" fontId="5" fillId="0" borderId="50" xfId="0" applyNumberFormat="1" applyFont="1" applyBorder="1" applyAlignment="1">
      <alignment horizontal="center" vertical="center"/>
    </xf>
    <xf numFmtId="164" fontId="5" fillId="0" borderId="51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2"/>
  <sheetViews>
    <sheetView topLeftCell="A15" zoomScale="85" zoomScaleNormal="85" workbookViewId="0">
      <selection activeCell="C2" sqref="C2:C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8</v>
      </c>
      <c r="D2" s="14">
        <v>2022</v>
      </c>
      <c r="E2" s="7">
        <f>ELECT.!D6+ELECT.!F6+ELECT.!H6</f>
        <v>20278</v>
      </c>
      <c r="F2" s="19">
        <v>1.56</v>
      </c>
      <c r="G2" s="7">
        <f>Submetering!L2+Submetering!M2+Submetering!N2+Submetering!O2+Submetering!P2+Submetering!Q2+Submetering!R2+Submetering!S2+Submetering!T2+Submetering!U2+Submetering!V2+Submetering!W2+Submetering!X2+Submetering!Y2+Submetering!Z2+Submetering!AA2</f>
        <v>1645</v>
      </c>
      <c r="H2" s="20">
        <v>3.6</v>
      </c>
      <c r="I2" s="7">
        <f>Submetering!E2+Water!E5</f>
        <v>698</v>
      </c>
      <c r="J2" s="20">
        <v>9.1</v>
      </c>
      <c r="K2" s="7">
        <f>ELECT.!B6</f>
        <v>134</v>
      </c>
    </row>
    <row r="3" spans="1:11">
      <c r="A3" s="11" t="s">
        <v>11</v>
      </c>
      <c r="B3" s="14">
        <f>B2+1</f>
        <v>2</v>
      </c>
      <c r="C3" s="14">
        <v>8</v>
      </c>
      <c r="D3" s="14">
        <v>2022</v>
      </c>
      <c r="E3" s="7">
        <f>ELECT.!D7+ELECT.!F7+ELECT.!H7</f>
        <v>22643</v>
      </c>
      <c r="F3" s="19">
        <v>1.56</v>
      </c>
      <c r="G3" s="7">
        <f>Submetering!L3+Submetering!M3+Submetering!N3+Submetering!O3+Submetering!P3+Submetering!Q3+Submetering!R3+Submetering!S3+Submetering!T3+Submetering!U3+Submetering!V3+Submetering!W3+Submetering!X3+Submetering!Y3+Submetering!Z3+Submetering!AA3</f>
        <v>1920</v>
      </c>
      <c r="H3" s="20">
        <v>3.6</v>
      </c>
      <c r="I3" s="7">
        <f>Submetering!E3+Water!E6</f>
        <v>761</v>
      </c>
      <c r="J3" s="20">
        <v>9.1</v>
      </c>
      <c r="K3" s="7">
        <f>ELECT.!B7</f>
        <v>134</v>
      </c>
    </row>
    <row r="4" spans="1:11">
      <c r="A4" s="11" t="s">
        <v>11</v>
      </c>
      <c r="B4" s="14">
        <f t="shared" ref="B4:B32" si="0">B3+1</f>
        <v>3</v>
      </c>
      <c r="C4" s="14">
        <v>8</v>
      </c>
      <c r="D4" s="14">
        <v>2022</v>
      </c>
      <c r="E4" s="7">
        <f>ELECT.!D8+ELECT.!F8+ELECT.!H8</f>
        <v>20916</v>
      </c>
      <c r="F4" s="19">
        <v>1.56</v>
      </c>
      <c r="G4" s="7">
        <f>Submetering!L4+Submetering!M4+Submetering!N4+Submetering!O4+Submetering!P4+Submetering!Q4+Submetering!R4+Submetering!S4+Submetering!T4+Submetering!U4+Submetering!V4+Submetering!W4+Submetering!X4+Submetering!Y4+Submetering!Z4+Submetering!AA4</f>
        <v>1713</v>
      </c>
      <c r="H4" s="20">
        <v>3.6</v>
      </c>
      <c r="I4" s="7">
        <f>Submetering!E4+Water!E7</f>
        <v>711</v>
      </c>
      <c r="J4" s="20">
        <v>9.1</v>
      </c>
      <c r="K4" s="7">
        <f>ELECT.!B8</f>
        <v>128</v>
      </c>
    </row>
    <row r="5" spans="1:11">
      <c r="A5" s="11" t="s">
        <v>11</v>
      </c>
      <c r="B5" s="14">
        <f t="shared" si="0"/>
        <v>4</v>
      </c>
      <c r="C5" s="14">
        <v>8</v>
      </c>
      <c r="D5" s="14">
        <v>2022</v>
      </c>
      <c r="E5" s="7">
        <f>ELECT.!D9+ELECT.!F9+ELECT.!H9</f>
        <v>21233</v>
      </c>
      <c r="F5" s="19">
        <v>1.56</v>
      </c>
      <c r="G5" s="7">
        <f>Submetering!L5+Submetering!M5+Submetering!N5+Submetering!O5+Submetering!P5+Submetering!Q5+Submetering!R5+Submetering!S5+Submetering!T5+Submetering!U5+Submetering!V5+Submetering!W5+Submetering!X5+Submetering!Y5+Submetering!Z5+Submetering!AA5</f>
        <v>1840</v>
      </c>
      <c r="H5" s="20">
        <v>3.6</v>
      </c>
      <c r="I5" s="7">
        <f>Submetering!E5+Water!E8</f>
        <v>658</v>
      </c>
      <c r="J5" s="20">
        <v>9.1</v>
      </c>
      <c r="K5" s="7">
        <f>ELECT.!B9</f>
        <v>130</v>
      </c>
    </row>
    <row r="6" spans="1:11">
      <c r="A6" s="11" t="s">
        <v>11</v>
      </c>
      <c r="B6" s="14">
        <f t="shared" si="0"/>
        <v>5</v>
      </c>
      <c r="C6" s="14">
        <v>8</v>
      </c>
      <c r="D6" s="14">
        <v>2022</v>
      </c>
      <c r="E6" s="7">
        <f>ELECT.!D10+ELECT.!F10+ELECT.!H10</f>
        <v>24037</v>
      </c>
      <c r="F6" s="19">
        <v>1.56</v>
      </c>
      <c r="G6" s="7">
        <f>Submetering!L6+Submetering!M6+Submetering!N6+Submetering!O6+Submetering!P6+Submetering!Q6+Submetering!R6+Submetering!S6+Submetering!T6+Submetering!U6+Submetering!V6+Submetering!W6+Submetering!X6+Submetering!Y6+Submetering!Z6+Submetering!AA6</f>
        <v>1891</v>
      </c>
      <c r="H6" s="20">
        <v>3.6</v>
      </c>
      <c r="I6" s="7">
        <f>Submetering!E6+Water!E9</f>
        <v>443</v>
      </c>
      <c r="J6" s="20">
        <v>9.1</v>
      </c>
      <c r="K6" s="7">
        <f>ELECT.!B10</f>
        <v>136</v>
      </c>
    </row>
    <row r="7" spans="1:11">
      <c r="A7" s="11" t="s">
        <v>11</v>
      </c>
      <c r="B7" s="14">
        <f t="shared" si="0"/>
        <v>6</v>
      </c>
      <c r="C7" s="14">
        <v>8</v>
      </c>
      <c r="D7" s="14">
        <v>2022</v>
      </c>
      <c r="E7" s="7">
        <f>ELECT.!D11+ELECT.!F11+ELECT.!H11</f>
        <v>17432</v>
      </c>
      <c r="F7" s="19">
        <v>1.56</v>
      </c>
      <c r="G7" s="7">
        <f>Submetering!L7+Submetering!M7+Submetering!N7+Submetering!O7+Submetering!P7+Submetering!Q7+Submetering!R7+Submetering!S7+Submetering!T7+Submetering!U7+Submetering!V7+Submetering!W7+Submetering!X7+Submetering!Y7+Submetering!Z7+Submetering!AA7</f>
        <v>1919</v>
      </c>
      <c r="H7" s="20">
        <v>3.6</v>
      </c>
      <c r="I7" s="7">
        <f>Submetering!E7+Water!E10</f>
        <v>995</v>
      </c>
      <c r="J7" s="20">
        <v>9.1</v>
      </c>
      <c r="K7" s="7">
        <f>ELECT.!B11</f>
        <v>127</v>
      </c>
    </row>
    <row r="8" spans="1:11">
      <c r="A8" s="11" t="s">
        <v>11</v>
      </c>
      <c r="B8" s="14">
        <f t="shared" si="0"/>
        <v>7</v>
      </c>
      <c r="C8" s="14">
        <v>8</v>
      </c>
      <c r="D8" s="14">
        <v>2022</v>
      </c>
      <c r="E8" s="7">
        <f>ELECT.!D12+ELECT.!F12+ELECT.!H12</f>
        <v>21832</v>
      </c>
      <c r="F8" s="19">
        <v>1.56</v>
      </c>
      <c r="G8" s="7">
        <f>Submetering!L8+Submetering!M8+Submetering!N8+Submetering!O8+Submetering!P8+Submetering!Q8+Submetering!R8+Submetering!S8+Submetering!T8+Submetering!U8+Submetering!V8+Submetering!W8+Submetering!X8+Submetering!Y8+Submetering!Z8+Submetering!AA8</f>
        <v>1777</v>
      </c>
      <c r="H8" s="20">
        <v>3.6</v>
      </c>
      <c r="I8" s="7">
        <f>Submetering!E8+Water!E11</f>
        <v>693</v>
      </c>
      <c r="J8" s="20">
        <v>9.1</v>
      </c>
      <c r="K8" s="7">
        <f>ELECT.!B12</f>
        <v>113</v>
      </c>
    </row>
    <row r="9" spans="1:11">
      <c r="A9" s="11" t="s">
        <v>11</v>
      </c>
      <c r="B9" s="14">
        <f t="shared" si="0"/>
        <v>8</v>
      </c>
      <c r="C9" s="14">
        <v>8</v>
      </c>
      <c r="D9" s="14">
        <v>2022</v>
      </c>
      <c r="E9" s="7">
        <f>ELECT.!D13+ELECT.!F13+ELECT.!H13</f>
        <v>21317</v>
      </c>
      <c r="F9" s="19">
        <v>1.56</v>
      </c>
      <c r="G9" s="7">
        <f>Submetering!L9+Submetering!M9+Submetering!N9+Submetering!O9+Submetering!P9+Submetering!Q9+Submetering!R9+Submetering!S9+Submetering!T9+Submetering!U9+Submetering!V9+Submetering!W9+Submetering!X9+Submetering!Y9+Submetering!Z9+Submetering!AA9</f>
        <v>2076</v>
      </c>
      <c r="H9" s="20">
        <v>3.6</v>
      </c>
      <c r="I9" s="7">
        <f>Submetering!E9+Water!E12</f>
        <v>754</v>
      </c>
      <c r="J9" s="20">
        <v>9.1</v>
      </c>
      <c r="K9" s="7">
        <f>ELECT.!B13</f>
        <v>122</v>
      </c>
    </row>
    <row r="10" spans="1:11">
      <c r="A10" s="11" t="s">
        <v>11</v>
      </c>
      <c r="B10" s="14">
        <f t="shared" si="0"/>
        <v>9</v>
      </c>
      <c r="C10" s="14">
        <v>8</v>
      </c>
      <c r="D10" s="14">
        <v>2022</v>
      </c>
      <c r="E10" s="7">
        <f>ELECT.!D14+ELECT.!F14+ELECT.!H14</f>
        <v>19777</v>
      </c>
      <c r="F10" s="19">
        <v>1.56</v>
      </c>
      <c r="G10" s="7">
        <f>Submetering!L10+Submetering!M10+Submetering!N10+Submetering!O10+Submetering!P10+Submetering!Q10+Submetering!R10+Submetering!S10+Submetering!T10+Submetering!U10+Submetering!V10+Submetering!W10+Submetering!X10+Submetering!Y10+Submetering!Z10+Submetering!AA10</f>
        <v>1843</v>
      </c>
      <c r="H10" s="20">
        <v>3.6</v>
      </c>
      <c r="I10" s="7">
        <f>Submetering!E10+Water!E13</f>
        <v>652</v>
      </c>
      <c r="J10" s="20">
        <v>9.1</v>
      </c>
      <c r="K10" s="7">
        <f>ELECT.!B14</f>
        <v>117</v>
      </c>
    </row>
    <row r="11" spans="1:11">
      <c r="A11" s="11" t="s">
        <v>11</v>
      </c>
      <c r="B11" s="14">
        <f t="shared" si="0"/>
        <v>10</v>
      </c>
      <c r="C11" s="14">
        <v>8</v>
      </c>
      <c r="D11" s="14">
        <v>2022</v>
      </c>
      <c r="E11" s="7">
        <f>ELECT.!D15+ELECT.!F15+ELECT.!H15</f>
        <v>19841</v>
      </c>
      <c r="F11" s="19">
        <v>1.56</v>
      </c>
      <c r="G11" s="7">
        <f>Submetering!L11+Submetering!M11+Submetering!N11+Submetering!O11+Submetering!P11+Submetering!Q11+Submetering!R11+Submetering!S11+Submetering!T11+Submetering!U11+Submetering!V11+Submetering!W11+Submetering!X11+Submetering!Y11+Submetering!Z11+Submetering!AA11</f>
        <v>1893</v>
      </c>
      <c r="H11" s="20">
        <v>3.6</v>
      </c>
      <c r="I11" s="7">
        <f>Submetering!E11+Water!E14</f>
        <v>685</v>
      </c>
      <c r="J11" s="20">
        <v>9.1</v>
      </c>
      <c r="K11" s="7">
        <f>ELECT.!B15</f>
        <v>107</v>
      </c>
    </row>
    <row r="12" spans="1:11">
      <c r="A12" s="11" t="s">
        <v>11</v>
      </c>
      <c r="B12" s="14">
        <f t="shared" si="0"/>
        <v>11</v>
      </c>
      <c r="C12" s="14">
        <v>8</v>
      </c>
      <c r="D12" s="14">
        <v>2022</v>
      </c>
      <c r="E12" s="7">
        <f>ELECT.!D16+ELECT.!F16+ELECT.!H16</f>
        <v>21161</v>
      </c>
      <c r="F12" s="19">
        <v>1.56</v>
      </c>
      <c r="G12" s="7">
        <f>Submetering!L12+Submetering!M12+Submetering!N12+Submetering!O12+Submetering!P12+Submetering!Q12+Submetering!R12+Submetering!S12+Submetering!T12+Submetering!U12+Submetering!V12+Submetering!W12+Submetering!X12+Submetering!Y12+Submetering!Z12+Submetering!AA12</f>
        <v>1474</v>
      </c>
      <c r="H12" s="20">
        <v>3.6</v>
      </c>
      <c r="I12" s="7">
        <f>Submetering!E12+Water!E15</f>
        <v>669</v>
      </c>
      <c r="J12" s="20">
        <v>9.1</v>
      </c>
      <c r="K12" s="7">
        <f>ELECT.!B16</f>
        <v>108</v>
      </c>
    </row>
    <row r="13" spans="1:11">
      <c r="A13" s="11" t="s">
        <v>11</v>
      </c>
      <c r="B13" s="14">
        <f t="shared" si="0"/>
        <v>12</v>
      </c>
      <c r="C13" s="14">
        <v>8</v>
      </c>
      <c r="D13" s="14">
        <v>2022</v>
      </c>
      <c r="E13" s="7">
        <f>ELECT.!D17+ELECT.!F17+ELECT.!H17</f>
        <v>19283</v>
      </c>
      <c r="F13" s="19">
        <v>1.56</v>
      </c>
      <c r="G13" s="7">
        <f>Submetering!L13+Submetering!M13+Submetering!N13+Submetering!O13+Submetering!P13+Submetering!Q13+Submetering!R13+Submetering!S13+Submetering!T13+Submetering!U13+Submetering!V13+Submetering!W13+Submetering!X13+Submetering!Y13+Submetering!Z13+Submetering!AA13</f>
        <v>1986</v>
      </c>
      <c r="H13" s="20">
        <v>3.6</v>
      </c>
      <c r="I13" s="7">
        <f>Submetering!E13+Water!E16</f>
        <v>708</v>
      </c>
      <c r="J13" s="20">
        <v>9.1</v>
      </c>
      <c r="K13" s="7">
        <f>ELECT.!B17</f>
        <v>126</v>
      </c>
    </row>
    <row r="14" spans="1:11">
      <c r="A14" s="11" t="s">
        <v>11</v>
      </c>
      <c r="B14" s="14">
        <f t="shared" si="0"/>
        <v>13</v>
      </c>
      <c r="C14" s="14">
        <v>8</v>
      </c>
      <c r="D14" s="14">
        <v>2022</v>
      </c>
      <c r="E14" s="7">
        <f>ELECT.!D18+ELECT.!F18+ELECT.!H18</f>
        <v>23504</v>
      </c>
      <c r="F14" s="19">
        <v>1.56</v>
      </c>
      <c r="G14" s="7">
        <f>Submetering!L14+Submetering!M14+Submetering!N14+Submetering!O14+Submetering!P14+Submetering!Q14+Submetering!R14+Submetering!S14+Submetering!T14+Submetering!U14+Submetering!V14+Submetering!W14+Submetering!X14+Submetering!Y14+Submetering!Z14+Submetering!AA14</f>
        <v>1741</v>
      </c>
      <c r="H14" s="20">
        <v>3.6</v>
      </c>
      <c r="I14" s="7">
        <f>Submetering!E14+Water!E17</f>
        <v>614</v>
      </c>
      <c r="J14" s="20">
        <v>9.1</v>
      </c>
      <c r="K14" s="7">
        <f>ELECT.!B18</f>
        <v>100</v>
      </c>
    </row>
    <row r="15" spans="1:11">
      <c r="A15" s="11" t="s">
        <v>11</v>
      </c>
      <c r="B15" s="14">
        <f t="shared" si="0"/>
        <v>14</v>
      </c>
      <c r="C15" s="14">
        <v>8</v>
      </c>
      <c r="D15" s="14">
        <v>2022</v>
      </c>
      <c r="E15" s="7">
        <f>ELECT.!D19+ELECT.!F19+ELECT.!H19</f>
        <v>16871</v>
      </c>
      <c r="F15" s="19">
        <v>1.56</v>
      </c>
      <c r="G15" s="7">
        <f>Submetering!L15+Submetering!M15+Submetering!N15+Submetering!O15+Submetering!P15+Submetering!Q15+Submetering!R15+Submetering!S15+Submetering!T15+Submetering!U15+Submetering!V15+Submetering!W15+Submetering!X15+Submetering!Y15+Submetering!Z15+Submetering!AA15</f>
        <v>1986</v>
      </c>
      <c r="H15" s="20">
        <v>3.6</v>
      </c>
      <c r="I15" s="7">
        <f>Submetering!E15+Water!E18</f>
        <v>690</v>
      </c>
      <c r="J15" s="20">
        <v>9.1</v>
      </c>
      <c r="K15" s="7">
        <f>ELECT.!B19</f>
        <v>117</v>
      </c>
    </row>
    <row r="16" spans="1:11">
      <c r="A16" s="11" t="s">
        <v>11</v>
      </c>
      <c r="B16" s="14">
        <f t="shared" si="0"/>
        <v>15</v>
      </c>
      <c r="C16" s="14">
        <v>8</v>
      </c>
      <c r="D16" s="14">
        <v>2022</v>
      </c>
      <c r="E16" s="7">
        <f>ELECT.!D20+ELECT.!F20+ELECT.!H20</f>
        <v>21626</v>
      </c>
      <c r="F16" s="19">
        <v>1.56</v>
      </c>
      <c r="G16" s="7">
        <f>Submetering!L16+Submetering!M16+Submetering!N16+Submetering!O16+Submetering!P16+Submetering!Q16+Submetering!R16+Submetering!S16+Submetering!T16+Submetering!U16+Submetering!V16+Submetering!W16+Submetering!X16+Submetering!Y16+Submetering!Z16+Submetering!AA16</f>
        <v>1966</v>
      </c>
      <c r="H16" s="20">
        <v>3.6</v>
      </c>
      <c r="I16" s="7">
        <f>Submetering!E16+Water!E19</f>
        <v>677</v>
      </c>
      <c r="J16" s="20">
        <v>9.1</v>
      </c>
      <c r="K16" s="7">
        <f>ELECT.!B20</f>
        <v>127</v>
      </c>
    </row>
    <row r="17" spans="1:11">
      <c r="A17" s="11" t="s">
        <v>11</v>
      </c>
      <c r="B17" s="14">
        <f t="shared" si="0"/>
        <v>16</v>
      </c>
      <c r="C17" s="14">
        <v>8</v>
      </c>
      <c r="D17" s="14">
        <v>2022</v>
      </c>
      <c r="E17" s="7">
        <f>ELECT.!D21+ELECT.!F21+ELECT.!H21</f>
        <v>18724</v>
      </c>
      <c r="F17" s="19">
        <v>1.56</v>
      </c>
      <c r="G17" s="7">
        <f>Submetering!L17+Submetering!M17+Submetering!N17+Submetering!O17+Submetering!P17+Submetering!Q17+Submetering!R17+Submetering!S17+Submetering!T17+Submetering!U17+Submetering!V17+Submetering!W17+Submetering!X17+Submetering!Y17+Submetering!Z17+Submetering!AA17</f>
        <v>1953</v>
      </c>
      <c r="H17" s="20">
        <v>3.6</v>
      </c>
      <c r="I17" s="7">
        <f>Submetering!E17+Water!E20</f>
        <v>696</v>
      </c>
      <c r="J17" s="20">
        <v>9.1</v>
      </c>
      <c r="K17" s="7">
        <f>ELECT.!B21</f>
        <v>125</v>
      </c>
    </row>
    <row r="18" spans="1:11">
      <c r="A18" s="11" t="s">
        <v>11</v>
      </c>
      <c r="B18" s="14">
        <f t="shared" si="0"/>
        <v>17</v>
      </c>
      <c r="C18" s="14">
        <v>8</v>
      </c>
      <c r="D18" s="14">
        <v>2022</v>
      </c>
      <c r="E18" s="7">
        <f>ELECT.!D22+ELECT.!F22+ELECT.!H22</f>
        <v>18873</v>
      </c>
      <c r="F18" s="19">
        <v>1.56</v>
      </c>
      <c r="G18" s="7">
        <f>Submetering!L18+Submetering!M18+Submetering!N18+Submetering!O18+Submetering!P18+Submetering!Q18+Submetering!R18+Submetering!S18+Submetering!T18+Submetering!U18+Submetering!V18+Submetering!W18+Submetering!X18+Submetering!Y18+Submetering!Z18+Submetering!AA18</f>
        <v>1865</v>
      </c>
      <c r="H18" s="20">
        <v>3.6</v>
      </c>
      <c r="I18" s="7">
        <f>Submetering!E18+Water!E21</f>
        <v>738</v>
      </c>
      <c r="J18" s="20">
        <v>9.1</v>
      </c>
      <c r="K18" s="7">
        <f>ELECT.!B22</f>
        <v>133</v>
      </c>
    </row>
    <row r="19" spans="1:11">
      <c r="A19" s="11" t="s">
        <v>11</v>
      </c>
      <c r="B19" s="14">
        <f t="shared" si="0"/>
        <v>18</v>
      </c>
      <c r="C19" s="14">
        <v>8</v>
      </c>
      <c r="D19" s="14">
        <v>2022</v>
      </c>
      <c r="E19" s="7">
        <f>ELECT.!D23+ELECT.!F23+ELECT.!H23</f>
        <v>21464</v>
      </c>
      <c r="F19" s="19">
        <v>1.56</v>
      </c>
      <c r="G19" s="7">
        <f>Submetering!L19+Submetering!M19+Submetering!N19+Submetering!O19+Submetering!P19+Submetering!Q19+Submetering!R19+Submetering!S19+Submetering!T19+Submetering!U19+Submetering!V19+Submetering!W19+Submetering!X19+Submetering!Y19+Submetering!Z19+Submetering!AA19</f>
        <v>1985</v>
      </c>
      <c r="H19" s="20">
        <v>3.6</v>
      </c>
      <c r="I19" s="7">
        <f>Submetering!E19+Water!E22</f>
        <v>829</v>
      </c>
      <c r="J19" s="20">
        <v>9.1</v>
      </c>
      <c r="K19" s="7">
        <f>ELECT.!B23</f>
        <v>140</v>
      </c>
    </row>
    <row r="20" spans="1:11">
      <c r="A20" s="11" t="s">
        <v>11</v>
      </c>
      <c r="B20" s="14">
        <f t="shared" si="0"/>
        <v>19</v>
      </c>
      <c r="C20" s="14">
        <v>8</v>
      </c>
      <c r="D20" s="14">
        <v>2022</v>
      </c>
      <c r="E20" s="7">
        <f>ELECT.!D24+ELECT.!F24+ELECT.!H24</f>
        <v>20059</v>
      </c>
      <c r="F20" s="19">
        <v>1.56</v>
      </c>
      <c r="G20" s="7">
        <f>Submetering!L20+Submetering!M20+Submetering!N20+Submetering!O20+Submetering!P20+Submetering!Q20+Submetering!R20+Submetering!S20+Submetering!T20+Submetering!U20+Submetering!V20+Submetering!W20+Submetering!X20+Submetering!Y20+Submetering!Z20+Submetering!AA20</f>
        <v>1965</v>
      </c>
      <c r="H20" s="20">
        <v>3.6</v>
      </c>
      <c r="I20" s="7">
        <f>Submetering!E20+Water!E23</f>
        <v>797</v>
      </c>
      <c r="J20" s="20">
        <v>9.1</v>
      </c>
      <c r="K20" s="7">
        <f>ELECT.!B24</f>
        <v>134</v>
      </c>
    </row>
    <row r="21" spans="1:11">
      <c r="A21" s="11" t="s">
        <v>11</v>
      </c>
      <c r="B21" s="14">
        <f t="shared" si="0"/>
        <v>20</v>
      </c>
      <c r="C21" s="14">
        <v>8</v>
      </c>
      <c r="D21" s="14">
        <v>2022</v>
      </c>
      <c r="E21" s="7">
        <f>ELECT.!D25+ELECT.!F25+ELECT.!H25</f>
        <v>20017</v>
      </c>
      <c r="F21" s="19">
        <v>1.56</v>
      </c>
      <c r="G21" s="7">
        <f>Submetering!L21+Submetering!M21+Submetering!N21+Submetering!O21+Submetering!P21+Submetering!Q21+Submetering!R21+Submetering!S21+Submetering!T21+Submetering!U21+Submetering!V21+Submetering!W21+Submetering!X21+Submetering!Y21+Submetering!Z21+Submetering!AA21</f>
        <v>1852</v>
      </c>
      <c r="H21" s="20">
        <v>3.6</v>
      </c>
      <c r="I21" s="7">
        <f>Submetering!E21+Water!E24</f>
        <v>734</v>
      </c>
      <c r="J21" s="20">
        <v>9.1</v>
      </c>
      <c r="K21" s="7">
        <f>ELECT.!B25</f>
        <v>106</v>
      </c>
    </row>
    <row r="22" spans="1:11">
      <c r="A22" s="11" t="s">
        <v>11</v>
      </c>
      <c r="B22" s="14">
        <f t="shared" si="0"/>
        <v>21</v>
      </c>
      <c r="C22" s="14">
        <v>8</v>
      </c>
      <c r="D22" s="14">
        <v>2022</v>
      </c>
      <c r="E22" s="7">
        <f>ELECT.!D26+ELECT.!F26+ELECT.!H26</f>
        <v>20512</v>
      </c>
      <c r="F22" s="19">
        <v>1.56</v>
      </c>
      <c r="G22" s="7">
        <f>Submetering!L22+Submetering!M22+Submetering!N22+Submetering!O22+Submetering!P22+Submetering!Q22+Submetering!R22+Submetering!S22+Submetering!T22+Submetering!U22+Submetering!V22+Submetering!W22+Submetering!X22+Submetering!Y22+Submetering!Z22+Submetering!AA22</f>
        <v>2137</v>
      </c>
      <c r="H22" s="20">
        <v>3.6</v>
      </c>
      <c r="I22" s="7">
        <f>Submetering!E22+Water!E25</f>
        <v>726</v>
      </c>
      <c r="J22" s="20">
        <v>9.1</v>
      </c>
      <c r="K22" s="7">
        <f>ELECT.!B26</f>
        <v>106</v>
      </c>
    </row>
    <row r="23" spans="1:11">
      <c r="A23" s="11" t="s">
        <v>11</v>
      </c>
      <c r="B23" s="14">
        <f t="shared" si="0"/>
        <v>22</v>
      </c>
      <c r="C23" s="14">
        <v>8</v>
      </c>
      <c r="D23" s="14">
        <v>2022</v>
      </c>
      <c r="E23" s="7">
        <f>ELECT.!D27+ELECT.!F27+ELECT.!H27</f>
        <v>19941</v>
      </c>
      <c r="F23" s="19">
        <v>1.56</v>
      </c>
      <c r="G23" s="7">
        <f>Submetering!L23+Submetering!M23+Submetering!N23+Submetering!O23+Submetering!P23+Submetering!Q23+Submetering!R23+Submetering!S23+Submetering!T23+Submetering!U23+Submetering!V23+Submetering!W23+Submetering!X23+Submetering!Y23+Submetering!Z23+Submetering!AA23</f>
        <v>1947</v>
      </c>
      <c r="H23" s="20">
        <v>3.6</v>
      </c>
      <c r="I23" s="7">
        <f>Submetering!E23+Water!E26</f>
        <v>737</v>
      </c>
      <c r="J23" s="20">
        <v>9.1</v>
      </c>
      <c r="K23" s="7">
        <f>ELECT.!B27</f>
        <v>127</v>
      </c>
    </row>
    <row r="24" spans="1:11">
      <c r="A24" s="11" t="s">
        <v>11</v>
      </c>
      <c r="B24" s="14">
        <f t="shared" si="0"/>
        <v>23</v>
      </c>
      <c r="C24" s="14">
        <v>8</v>
      </c>
      <c r="D24" s="14">
        <v>2022</v>
      </c>
      <c r="E24" s="7">
        <f>ELECT.!D28+ELECT.!F28+ELECT.!H28</f>
        <v>19554</v>
      </c>
      <c r="F24" s="19">
        <v>1.56</v>
      </c>
      <c r="G24" s="7">
        <f>Submetering!L24+Submetering!M24+Submetering!N24+Submetering!O24+Submetering!P24+Submetering!Q24+Submetering!R24+Submetering!S24+Submetering!T24+Submetering!U24+Submetering!V24+Submetering!W24+Submetering!X24+Submetering!Y24+Submetering!Z24+Submetering!AA24</f>
        <v>1788</v>
      </c>
      <c r="H24" s="20">
        <v>3.6</v>
      </c>
      <c r="I24" s="7">
        <f>Submetering!E24+Water!E27</f>
        <v>489</v>
      </c>
      <c r="J24" s="20">
        <v>9.1</v>
      </c>
      <c r="K24" s="7">
        <f>ELECT.!B28</f>
        <v>121</v>
      </c>
    </row>
    <row r="25" spans="1:11">
      <c r="A25" s="11" t="s">
        <v>11</v>
      </c>
      <c r="B25" s="14">
        <f t="shared" si="0"/>
        <v>24</v>
      </c>
      <c r="C25" s="14">
        <v>8</v>
      </c>
      <c r="D25" s="14">
        <v>2022</v>
      </c>
      <c r="E25" s="7">
        <f>ELECT.!D29+ELECT.!F29+ELECT.!H29</f>
        <v>20001</v>
      </c>
      <c r="F25" s="19">
        <v>1.56</v>
      </c>
      <c r="G25" s="7">
        <f>Submetering!L25+Submetering!M25+Submetering!N25+Submetering!O25+Submetering!P25+Submetering!Q25+Submetering!R25+Submetering!S25+Submetering!T25+Submetering!U25+Submetering!V25+Submetering!W25+Submetering!X25+Submetering!Y25+Submetering!Z25+Submetering!AA25</f>
        <v>1942</v>
      </c>
      <c r="H25" s="20">
        <v>3.6</v>
      </c>
      <c r="I25" s="7">
        <f>Submetering!E25+Water!E28</f>
        <v>270</v>
      </c>
      <c r="J25" s="20">
        <v>9.1</v>
      </c>
      <c r="K25" s="7">
        <f>ELECT.!B29</f>
        <v>115</v>
      </c>
    </row>
    <row r="26" spans="1:11">
      <c r="A26" s="11" t="s">
        <v>11</v>
      </c>
      <c r="B26" s="14">
        <f>B25+1</f>
        <v>25</v>
      </c>
      <c r="C26" s="14">
        <v>8</v>
      </c>
      <c r="D26" s="14">
        <v>2022</v>
      </c>
      <c r="E26" s="7">
        <f>ELECT.!D30+ELECT.!F30+ELECT.!H30</f>
        <v>19847</v>
      </c>
      <c r="F26" s="19">
        <v>1.56</v>
      </c>
      <c r="G26" s="7">
        <f>Submetering!L26+Submetering!M26+Submetering!N26+Submetering!O26+Submetering!P26+Submetering!Q26+Submetering!R26+Submetering!S26+Submetering!T26+Submetering!U26+Submetering!V26+Submetering!W26+Submetering!X26+Submetering!Y26+Submetering!Z26+Submetering!AA26</f>
        <v>2010</v>
      </c>
      <c r="H26" s="20">
        <v>3.6</v>
      </c>
      <c r="I26" s="7">
        <f>Submetering!E26+Water!E29</f>
        <v>280</v>
      </c>
      <c r="J26" s="20">
        <v>9.1</v>
      </c>
      <c r="K26" s="7">
        <f>ELECT.!B30</f>
        <v>117</v>
      </c>
    </row>
    <row r="27" spans="1:11">
      <c r="A27" s="11" t="s">
        <v>11</v>
      </c>
      <c r="B27" s="14">
        <f t="shared" si="0"/>
        <v>26</v>
      </c>
      <c r="C27" s="14">
        <v>8</v>
      </c>
      <c r="D27" s="14">
        <v>2022</v>
      </c>
      <c r="E27" s="7">
        <f>ELECT.!D31+ELECT.!F31+ELECT.!H31</f>
        <v>19110</v>
      </c>
      <c r="F27" s="19">
        <v>1.56</v>
      </c>
      <c r="G27" s="7">
        <f>Submetering!L27+Submetering!M27+Submetering!N27+Submetering!O27+Submetering!P27+Submetering!Q27+Submetering!R27+Submetering!S27+Submetering!T27+Submetering!U27+Submetering!V27+Submetering!W27+Submetering!X27+Submetering!Y27+Submetering!Z27+Submetering!AA27</f>
        <v>2069</v>
      </c>
      <c r="H27" s="20">
        <v>3.6</v>
      </c>
      <c r="I27" s="7">
        <f>Submetering!E27+Water!E30</f>
        <v>270</v>
      </c>
      <c r="J27" s="20">
        <v>9.1</v>
      </c>
      <c r="K27" s="7">
        <f>ELECT.!B31</f>
        <v>126</v>
      </c>
    </row>
    <row r="28" spans="1:11">
      <c r="A28" s="11" t="s">
        <v>11</v>
      </c>
      <c r="B28" s="14">
        <f t="shared" si="0"/>
        <v>27</v>
      </c>
      <c r="C28" s="14">
        <v>8</v>
      </c>
      <c r="D28" s="14">
        <v>2022</v>
      </c>
      <c r="E28" s="7">
        <f>ELECT.!D32+ELECT.!F32+ELECT.!H32</f>
        <v>20474</v>
      </c>
      <c r="F28" s="19">
        <v>1.56</v>
      </c>
      <c r="G28" s="7">
        <f>Submetering!L28+Submetering!M28+Submetering!N28+Submetering!O28+Submetering!P28+Submetering!Q28+Submetering!R28+Submetering!S28+Submetering!T28+Submetering!U28+Submetering!V28+Submetering!W28+Submetering!X28+Submetering!Y28+Submetering!Z28+Submetering!AA28</f>
        <v>1880</v>
      </c>
      <c r="H28" s="20">
        <v>3.6</v>
      </c>
      <c r="I28" s="7">
        <f>Submetering!E28+Water!E31</f>
        <v>280</v>
      </c>
      <c r="J28" s="20">
        <v>9.1</v>
      </c>
      <c r="K28" s="7">
        <f>ELECT.!B32</f>
        <v>101</v>
      </c>
    </row>
    <row r="29" spans="1:11">
      <c r="A29" s="11" t="s">
        <v>11</v>
      </c>
      <c r="B29" s="14">
        <f t="shared" si="0"/>
        <v>28</v>
      </c>
      <c r="C29" s="14">
        <v>8</v>
      </c>
      <c r="D29" s="14">
        <v>2022</v>
      </c>
      <c r="E29" s="7">
        <f>ELECT.!D33+ELECT.!F33+ELECT.!H33</f>
        <v>29855</v>
      </c>
      <c r="F29" s="19">
        <v>1.56</v>
      </c>
      <c r="G29" s="7">
        <f>Submetering!L29+Submetering!M29+Submetering!N29+Submetering!O29+Submetering!P29+Submetering!Q29+Submetering!R29+Submetering!S29+Submetering!T29+Submetering!U29+Submetering!V29+Submetering!W29+Submetering!X29+Submetering!Y29+Submetering!Z29+Submetering!AA29</f>
        <v>1931</v>
      </c>
      <c r="H29" s="20">
        <v>3.6</v>
      </c>
      <c r="I29" s="7">
        <f>Submetering!E29+Water!E32</f>
        <v>220</v>
      </c>
      <c r="J29" s="20">
        <v>9.1</v>
      </c>
      <c r="K29" s="7">
        <f>ELECT.!B33</f>
        <v>108</v>
      </c>
    </row>
    <row r="30" spans="1:11">
      <c r="A30" s="11" t="s">
        <v>11</v>
      </c>
      <c r="B30" s="14">
        <f t="shared" si="0"/>
        <v>29</v>
      </c>
      <c r="C30" s="14">
        <v>8</v>
      </c>
      <c r="D30" s="14">
        <v>2022</v>
      </c>
      <c r="E30" s="7">
        <f>ELECT.!D34+ELECT.!F34+ELECT.!H34</f>
        <v>30734</v>
      </c>
      <c r="F30" s="19">
        <v>1.56</v>
      </c>
      <c r="G30" s="7">
        <f>Submetering!L30+Submetering!M30+Submetering!N30+Submetering!O30+Submetering!P30+Submetering!Q30+Submetering!R30+Submetering!S30+Submetering!T30+Submetering!U30+Submetering!V30+Submetering!W30+Submetering!X30+Submetering!Y30+Submetering!Z30+Submetering!AA30</f>
        <v>1786</v>
      </c>
      <c r="H30" s="20">
        <v>3.6</v>
      </c>
      <c r="I30" s="7">
        <f>Submetering!E30+Water!E33</f>
        <v>252</v>
      </c>
      <c r="J30" s="20">
        <v>9.1</v>
      </c>
      <c r="K30" s="7">
        <f>ELECT.!B34</f>
        <v>111</v>
      </c>
    </row>
    <row r="31" spans="1:11">
      <c r="A31" s="11" t="s">
        <v>11</v>
      </c>
      <c r="B31" s="14">
        <f t="shared" si="0"/>
        <v>30</v>
      </c>
      <c r="C31" s="14">
        <v>8</v>
      </c>
      <c r="D31" s="14">
        <v>2022</v>
      </c>
      <c r="E31" s="7">
        <f>ELECT.!D35+ELECT.!F35+ELECT.!H35</f>
        <v>30275</v>
      </c>
      <c r="F31" s="19">
        <v>1.56</v>
      </c>
      <c r="G31" s="7">
        <f>Submetering!L31+Submetering!M31+Submetering!N31+Submetering!O31+Submetering!P31+Submetering!Q31+Submetering!R31+Submetering!S31+Submetering!T31+Submetering!U31+Submetering!V31+Submetering!W31+Submetering!X31+Submetering!Y31+Submetering!Z31+Submetering!AA31</f>
        <v>1696</v>
      </c>
      <c r="H31" s="20">
        <v>3.6</v>
      </c>
      <c r="I31" s="7">
        <f>Submetering!E31+Water!E34</f>
        <v>540</v>
      </c>
      <c r="J31" s="20">
        <v>9.1</v>
      </c>
      <c r="K31" s="7">
        <f>ELECT.!B35</f>
        <v>106</v>
      </c>
    </row>
    <row r="32" spans="1:11">
      <c r="A32" s="11" t="s">
        <v>11</v>
      </c>
      <c r="B32" s="14">
        <f t="shared" si="0"/>
        <v>31</v>
      </c>
      <c r="C32" s="14">
        <v>8</v>
      </c>
      <c r="D32" s="14">
        <v>2022</v>
      </c>
      <c r="E32" s="7">
        <f>ELECT.!D36+ELECT.!F36+ELECT.!H36</f>
        <v>21944</v>
      </c>
      <c r="F32" s="19">
        <v>1.56</v>
      </c>
      <c r="G32" s="7">
        <f>Submetering!L32+Submetering!M32+Submetering!N32+Submetering!O32+Submetering!P32+Submetering!Q32+Submetering!R32+Submetering!S32+Submetering!T32+Submetering!U32+Submetering!V32+Submetering!W32+Submetering!X32+Submetering!Y32+Submetering!Z32+Submetering!AA32</f>
        <v>1819</v>
      </c>
      <c r="H32" s="20">
        <v>3.6</v>
      </c>
      <c r="I32" s="7">
        <f>Submetering!E32+Water!E35</f>
        <v>740</v>
      </c>
      <c r="J32" s="20">
        <v>9.1</v>
      </c>
      <c r="K32" s="7">
        <f>ELECT.!B36</f>
        <v>132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B32"/>
  <sheetViews>
    <sheetView zoomScale="85" zoomScaleNormal="85" workbookViewId="0">
      <selection activeCell="C2" sqref="C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11" width="12.5703125" style="7" customWidth="1"/>
    <col min="12" max="12" width="11.42578125" style="8" customWidth="1"/>
    <col min="13" max="14" width="12.5703125" style="8" customWidth="1"/>
    <col min="15" max="15" width="11.5703125" style="6"/>
  </cols>
  <sheetData>
    <row r="1" spans="1:28" s="5" customFormat="1" ht="45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</row>
    <row r="2" spans="1:28">
      <c r="A2" s="11" t="s">
        <v>11</v>
      </c>
      <c r="B2" s="14">
        <v>1</v>
      </c>
      <c r="C2" s="14">
        <v>8</v>
      </c>
      <c r="D2" s="14">
        <v>2022</v>
      </c>
      <c r="E2" s="7">
        <f>Water!C5</f>
        <v>290</v>
      </c>
      <c r="F2" s="7">
        <f>Water!E5</f>
        <v>408</v>
      </c>
      <c r="G2" s="7">
        <f>ELECT.!D6</f>
        <v>4694</v>
      </c>
      <c r="H2" s="7">
        <f>ELECT.!F6</f>
        <v>9676</v>
      </c>
      <c r="I2" s="7">
        <f>ELECT.!H6</f>
        <v>5908</v>
      </c>
      <c r="J2" s="7">
        <f>ELECT.!K6</f>
        <v>740</v>
      </c>
      <c r="K2" s="7">
        <f>ELECT.!M6</f>
        <v>162</v>
      </c>
      <c r="L2" s="8">
        <f>Gas!C4</f>
        <v>176</v>
      </c>
      <c r="M2" s="8">
        <f>Gas!E4</f>
        <v>731</v>
      </c>
      <c r="N2" s="8">
        <f>Gas!G4</f>
        <v>118</v>
      </c>
      <c r="O2" s="16">
        <f>Gas!I4</f>
        <v>15</v>
      </c>
      <c r="P2" s="16">
        <f>Gas!K4</f>
        <v>1</v>
      </c>
      <c r="Q2" s="8">
        <f>Gas!M4</f>
        <v>53</v>
      </c>
      <c r="R2" s="8">
        <f>Gas!O4</f>
        <v>76</v>
      </c>
      <c r="S2" s="8">
        <f>Gas!Q4</f>
        <v>0</v>
      </c>
      <c r="T2" s="8">
        <f>Gas!S4</f>
        <v>168</v>
      </c>
      <c r="U2" s="8">
        <f>Gas!U4</f>
        <v>23</v>
      </c>
      <c r="V2" s="8">
        <f>Gas!W4</f>
        <v>0</v>
      </c>
      <c r="W2" s="8">
        <f>Gas!Y4</f>
        <v>32</v>
      </c>
      <c r="X2" s="8">
        <f>Gas!AA4</f>
        <v>85</v>
      </c>
      <c r="Y2" s="8">
        <f>Gas!AC4</f>
        <v>0</v>
      </c>
      <c r="Z2" s="8">
        <f>Gas!AE4</f>
        <v>151</v>
      </c>
      <c r="AA2" s="8">
        <f>Gas!AG4</f>
        <v>16</v>
      </c>
      <c r="AB2" s="7">
        <f>ELECT.!B6</f>
        <v>134</v>
      </c>
    </row>
    <row r="3" spans="1:28">
      <c r="A3" s="11" t="s">
        <v>11</v>
      </c>
      <c r="B3" s="14">
        <f>B2+1</f>
        <v>2</v>
      </c>
      <c r="C3" s="14">
        <v>8</v>
      </c>
      <c r="D3" s="14">
        <v>2022</v>
      </c>
      <c r="E3" s="7">
        <f>Water!C6</f>
        <v>310</v>
      </c>
      <c r="F3" s="7">
        <f>Water!E6</f>
        <v>451</v>
      </c>
      <c r="G3" s="7">
        <f>ELECT.!D7</f>
        <v>4909</v>
      </c>
      <c r="H3" s="7">
        <f>ELECT.!F7</f>
        <v>10290</v>
      </c>
      <c r="I3" s="7">
        <f>ELECT.!H7</f>
        <v>7444</v>
      </c>
      <c r="J3" s="7">
        <f>ELECT.!K7</f>
        <v>770</v>
      </c>
      <c r="K3" s="7">
        <f>ELECT.!M7</f>
        <v>185</v>
      </c>
      <c r="L3" s="8">
        <f>Gas!C5</f>
        <v>210</v>
      </c>
      <c r="M3" s="8">
        <f>Gas!E5</f>
        <v>594</v>
      </c>
      <c r="N3" s="8">
        <f>Gas!G5</f>
        <v>134</v>
      </c>
      <c r="O3" s="16">
        <f>Gas!I5</f>
        <v>18</v>
      </c>
      <c r="P3" s="16">
        <f>Gas!K5</f>
        <v>1</v>
      </c>
      <c r="Q3" s="8">
        <f>Gas!M5</f>
        <v>50</v>
      </c>
      <c r="R3" s="8">
        <f>Gas!O5</f>
        <v>78</v>
      </c>
      <c r="S3" s="8">
        <f>Gas!Q5</f>
        <v>0</v>
      </c>
      <c r="T3" s="8">
        <f>Gas!S5</f>
        <v>410</v>
      </c>
      <c r="U3" s="8">
        <f>Gas!U5</f>
        <v>37</v>
      </c>
      <c r="V3" s="8">
        <f>Gas!W5</f>
        <v>0</v>
      </c>
      <c r="W3" s="8">
        <f>Gas!Y5</f>
        <v>25</v>
      </c>
      <c r="X3" s="8">
        <f>Gas!AA5</f>
        <v>51</v>
      </c>
      <c r="Y3" s="8">
        <f>Gas!AC5</f>
        <v>0</v>
      </c>
      <c r="Z3" s="8">
        <f>Gas!AE5</f>
        <v>292</v>
      </c>
      <c r="AA3" s="8">
        <f>Gas!AG5</f>
        <v>20</v>
      </c>
      <c r="AB3" s="7">
        <f>ELECT.!B7</f>
        <v>134</v>
      </c>
    </row>
    <row r="4" spans="1:28">
      <c r="A4" s="11" t="s">
        <v>11</v>
      </c>
      <c r="B4" s="14">
        <f t="shared" ref="B4:B32" si="0">B3+1</f>
        <v>3</v>
      </c>
      <c r="C4" s="14">
        <v>8</v>
      </c>
      <c r="D4" s="14">
        <v>2022</v>
      </c>
      <c r="E4" s="7">
        <f>Water!C7</f>
        <v>260</v>
      </c>
      <c r="F4" s="7">
        <f>Water!E7</f>
        <v>451</v>
      </c>
      <c r="G4" s="7">
        <f>ELECT.!D8</f>
        <v>5129</v>
      </c>
      <c r="H4" s="7">
        <f>ELECT.!F8</f>
        <v>9643</v>
      </c>
      <c r="I4" s="7">
        <f>ELECT.!H8</f>
        <v>6144</v>
      </c>
      <c r="J4" s="7">
        <f>ELECT.!K8</f>
        <v>740</v>
      </c>
      <c r="K4" s="7">
        <f>ELECT.!M8</f>
        <v>171</v>
      </c>
      <c r="L4" s="8">
        <f>Gas!C6</f>
        <v>165</v>
      </c>
      <c r="M4" s="8">
        <f>Gas!E6</f>
        <v>699</v>
      </c>
      <c r="N4" s="8">
        <f>Gas!G6</f>
        <v>142</v>
      </c>
      <c r="O4" s="16">
        <f>Gas!I6</f>
        <v>24</v>
      </c>
      <c r="P4" s="16">
        <f>Gas!K6</f>
        <v>1</v>
      </c>
      <c r="Q4" s="8">
        <f>Gas!M6</f>
        <v>72</v>
      </c>
      <c r="R4" s="8">
        <f>Gas!O6</f>
        <v>86</v>
      </c>
      <c r="S4" s="8">
        <f>Gas!Q6</f>
        <v>0</v>
      </c>
      <c r="T4" s="8">
        <f>Gas!S6</f>
        <v>266</v>
      </c>
      <c r="U4" s="8">
        <f>Gas!U6</f>
        <v>27</v>
      </c>
      <c r="V4" s="8">
        <f>Gas!W6</f>
        <v>0</v>
      </c>
      <c r="W4" s="8">
        <f>Gas!Y6</f>
        <v>34</v>
      </c>
      <c r="X4" s="8">
        <f>Gas!AA6</f>
        <v>77</v>
      </c>
      <c r="Y4" s="8">
        <f>Gas!AC6</f>
        <v>0</v>
      </c>
      <c r="Z4" s="8">
        <f>Gas!AE6</f>
        <v>100</v>
      </c>
      <c r="AA4" s="8">
        <f>Gas!AG6</f>
        <v>20</v>
      </c>
      <c r="AB4" s="7">
        <f>ELECT.!B8</f>
        <v>128</v>
      </c>
    </row>
    <row r="5" spans="1:28">
      <c r="A5" s="11" t="s">
        <v>11</v>
      </c>
      <c r="B5" s="14">
        <f t="shared" si="0"/>
        <v>4</v>
      </c>
      <c r="C5" s="14">
        <v>8</v>
      </c>
      <c r="D5" s="14">
        <v>2022</v>
      </c>
      <c r="E5" s="7">
        <f>Water!C8</f>
        <v>250</v>
      </c>
      <c r="F5" s="7">
        <f>Water!E8</f>
        <v>408</v>
      </c>
      <c r="G5" s="7">
        <f>ELECT.!D9</f>
        <v>5246</v>
      </c>
      <c r="H5" s="7">
        <f>ELECT.!F9</f>
        <v>9758</v>
      </c>
      <c r="I5" s="7">
        <f>ELECT.!H9</f>
        <v>6229</v>
      </c>
      <c r="J5" s="7">
        <f>ELECT.!K9</f>
        <v>740</v>
      </c>
      <c r="K5" s="7">
        <f>ELECT.!M9</f>
        <v>168</v>
      </c>
      <c r="L5" s="8">
        <f>Gas!C7</f>
        <v>215</v>
      </c>
      <c r="M5" s="8">
        <f>Gas!E7</f>
        <v>663</v>
      </c>
      <c r="N5" s="8">
        <f>Gas!G7</f>
        <v>132</v>
      </c>
      <c r="O5" s="16">
        <f>Gas!I7</f>
        <v>22</v>
      </c>
      <c r="P5" s="16">
        <f>Gas!K7</f>
        <v>0</v>
      </c>
      <c r="Q5" s="8">
        <f>Gas!M7</f>
        <v>55</v>
      </c>
      <c r="R5" s="8">
        <f>Gas!O7</f>
        <v>135</v>
      </c>
      <c r="S5" s="8">
        <f>Gas!Q7</f>
        <v>0</v>
      </c>
      <c r="T5" s="8">
        <f>Gas!S7</f>
        <v>273</v>
      </c>
      <c r="U5" s="8">
        <f>Gas!U7</f>
        <v>23</v>
      </c>
      <c r="V5" s="8">
        <f>Gas!W7</f>
        <v>0</v>
      </c>
      <c r="W5" s="8">
        <f>Gas!Y7</f>
        <v>32</v>
      </c>
      <c r="X5" s="8">
        <f>Gas!AA7</f>
        <v>55</v>
      </c>
      <c r="Y5" s="8">
        <f>Gas!AC7</f>
        <v>0</v>
      </c>
      <c r="Z5" s="8">
        <f>Gas!AE7</f>
        <v>220</v>
      </c>
      <c r="AA5" s="8">
        <f>Gas!AG7</f>
        <v>15</v>
      </c>
      <c r="AB5" s="7">
        <f>ELECT.!B9</f>
        <v>130</v>
      </c>
    </row>
    <row r="6" spans="1:28">
      <c r="A6" s="11" t="s">
        <v>11</v>
      </c>
      <c r="B6" s="14">
        <f t="shared" si="0"/>
        <v>5</v>
      </c>
      <c r="C6" s="14">
        <v>8</v>
      </c>
      <c r="D6" s="14">
        <v>2022</v>
      </c>
      <c r="E6" s="7">
        <f>Water!C9</f>
        <v>260</v>
      </c>
      <c r="F6" s="7">
        <f>Water!E9</f>
        <v>183</v>
      </c>
      <c r="G6" s="7">
        <f>ELECT.!D10</f>
        <v>6130</v>
      </c>
      <c r="H6" s="7">
        <f>ELECT.!F10</f>
        <v>10978</v>
      </c>
      <c r="I6" s="7">
        <f>ELECT.!H10</f>
        <v>6929</v>
      </c>
      <c r="J6" s="7">
        <f>ELECT.!K10</f>
        <v>720</v>
      </c>
      <c r="K6" s="7">
        <f>ELECT.!M10</f>
        <v>165</v>
      </c>
      <c r="L6" s="8">
        <f>Gas!C8</f>
        <v>200</v>
      </c>
      <c r="M6" s="8">
        <f>Gas!E8</f>
        <v>760</v>
      </c>
      <c r="N6" s="8">
        <f>Gas!G8</f>
        <v>131</v>
      </c>
      <c r="O6" s="16">
        <f>Gas!I8</f>
        <v>28</v>
      </c>
      <c r="P6" s="16">
        <f>Gas!K8</f>
        <v>2</v>
      </c>
      <c r="Q6" s="8">
        <f>Gas!M8</f>
        <v>56</v>
      </c>
      <c r="R6" s="8">
        <f>Gas!O8</f>
        <v>85</v>
      </c>
      <c r="S6" s="8">
        <f>Gas!Q8</f>
        <v>0</v>
      </c>
      <c r="T6" s="8">
        <f>Gas!S8</f>
        <v>256</v>
      </c>
      <c r="U6" s="8">
        <f>Gas!U8</f>
        <v>24</v>
      </c>
      <c r="V6" s="8">
        <f>Gas!W8</f>
        <v>0</v>
      </c>
      <c r="W6" s="8">
        <f>Gas!Y8</f>
        <v>28</v>
      </c>
      <c r="X6" s="8">
        <f>Gas!AA8</f>
        <v>79</v>
      </c>
      <c r="Y6" s="8">
        <f>Gas!AC8</f>
        <v>0</v>
      </c>
      <c r="Z6" s="8">
        <f>Gas!AE8</f>
        <v>224</v>
      </c>
      <c r="AA6" s="8">
        <f>Gas!AG8</f>
        <v>18</v>
      </c>
      <c r="AB6" s="7">
        <f>ELECT.!B10</f>
        <v>136</v>
      </c>
    </row>
    <row r="7" spans="1:28">
      <c r="A7" s="11" t="s">
        <v>11</v>
      </c>
      <c r="B7" s="14">
        <f t="shared" si="0"/>
        <v>6</v>
      </c>
      <c r="C7" s="14">
        <v>8</v>
      </c>
      <c r="D7" s="14">
        <v>2022</v>
      </c>
      <c r="E7" s="7">
        <f>Water!C10</f>
        <v>250</v>
      </c>
      <c r="F7" s="7">
        <f>Water!E10</f>
        <v>745</v>
      </c>
      <c r="G7" s="7">
        <f>ELECT.!D11</f>
        <v>4458</v>
      </c>
      <c r="H7" s="7">
        <f>ELECT.!F11</f>
        <v>7867</v>
      </c>
      <c r="I7" s="7">
        <f>ELECT.!H11</f>
        <v>5107</v>
      </c>
      <c r="J7" s="7">
        <f>ELECT.!K11</f>
        <v>740</v>
      </c>
      <c r="K7" s="7">
        <f>ELECT.!M11</f>
        <v>178</v>
      </c>
      <c r="L7" s="8">
        <f>Gas!C9</f>
        <v>217</v>
      </c>
      <c r="M7" s="8">
        <f>Gas!E9</f>
        <v>715</v>
      </c>
      <c r="N7" s="8">
        <f>Gas!G9</f>
        <v>149</v>
      </c>
      <c r="O7" s="16">
        <f>Gas!I9</f>
        <v>27</v>
      </c>
      <c r="P7" s="16">
        <f>Gas!K9</f>
        <v>1</v>
      </c>
      <c r="Q7" s="8">
        <f>Gas!M9</f>
        <v>46</v>
      </c>
      <c r="R7" s="8">
        <f>Gas!O9</f>
        <v>55</v>
      </c>
      <c r="S7" s="8">
        <f>Gas!Q9</f>
        <v>0</v>
      </c>
      <c r="T7" s="8">
        <f>Gas!S9</f>
        <v>327</v>
      </c>
      <c r="U7" s="8">
        <f>Gas!U9</f>
        <v>25</v>
      </c>
      <c r="V7" s="8">
        <f>Gas!W9</f>
        <v>0</v>
      </c>
      <c r="W7" s="8">
        <f>Gas!Y9</f>
        <v>29</v>
      </c>
      <c r="X7" s="8">
        <f>Gas!AA9</f>
        <v>93</v>
      </c>
      <c r="Y7" s="8">
        <f>Gas!AC9</f>
        <v>0</v>
      </c>
      <c r="Z7" s="8">
        <f>Gas!AE9</f>
        <v>206</v>
      </c>
      <c r="AA7" s="8">
        <f>Gas!AG9</f>
        <v>29</v>
      </c>
      <c r="AB7" s="7">
        <f>ELECT.!B11</f>
        <v>127</v>
      </c>
    </row>
    <row r="8" spans="1:28">
      <c r="A8" s="11" t="s">
        <v>11</v>
      </c>
      <c r="B8" s="14">
        <f t="shared" si="0"/>
        <v>7</v>
      </c>
      <c r="C8" s="14">
        <v>8</v>
      </c>
      <c r="D8" s="14">
        <v>2022</v>
      </c>
      <c r="E8" s="7">
        <f>Water!C11</f>
        <v>250</v>
      </c>
      <c r="F8" s="7">
        <f>Water!E11</f>
        <v>443</v>
      </c>
      <c r="G8" s="7">
        <f>ELECT.!D12</f>
        <v>5344</v>
      </c>
      <c r="H8" s="7">
        <f>ELECT.!F12</f>
        <v>10235</v>
      </c>
      <c r="I8" s="7">
        <f>ELECT.!H12</f>
        <v>6253</v>
      </c>
      <c r="J8" s="7">
        <f>ELECT.!K12</f>
        <v>630</v>
      </c>
      <c r="K8" s="7">
        <f>ELECT.!M12</f>
        <v>149</v>
      </c>
      <c r="L8" s="8">
        <f>Gas!C10</f>
        <v>196</v>
      </c>
      <c r="M8" s="8">
        <f>Gas!E10</f>
        <v>732</v>
      </c>
      <c r="N8" s="8">
        <f>Gas!G10</f>
        <v>139</v>
      </c>
      <c r="O8" s="16">
        <f>Gas!I10</f>
        <v>30</v>
      </c>
      <c r="P8" s="16">
        <f>Gas!K10</f>
        <v>1</v>
      </c>
      <c r="Q8" s="8">
        <f>Gas!M10</f>
        <v>51</v>
      </c>
      <c r="R8" s="8">
        <f>Gas!O10</f>
        <v>49</v>
      </c>
      <c r="S8" s="8">
        <f>Gas!Q10</f>
        <v>0</v>
      </c>
      <c r="T8" s="8">
        <f>Gas!S10</f>
        <v>275</v>
      </c>
      <c r="U8" s="8">
        <f>Gas!U10</f>
        <v>26</v>
      </c>
      <c r="V8" s="8">
        <f>Gas!W10</f>
        <v>0</v>
      </c>
      <c r="W8" s="8">
        <f>Gas!Y10</f>
        <v>17</v>
      </c>
      <c r="X8" s="8">
        <f>Gas!AA10</f>
        <v>57</v>
      </c>
      <c r="Y8" s="8">
        <f>Gas!AC10</f>
        <v>0</v>
      </c>
      <c r="Z8" s="8">
        <f>Gas!AE10</f>
        <v>180</v>
      </c>
      <c r="AA8" s="8">
        <f>Gas!AG10</f>
        <v>24</v>
      </c>
      <c r="AB8" s="7">
        <f>ELECT.!B12</f>
        <v>113</v>
      </c>
    </row>
    <row r="9" spans="1:28">
      <c r="A9" s="11" t="s">
        <v>11</v>
      </c>
      <c r="B9" s="14">
        <f t="shared" si="0"/>
        <v>8</v>
      </c>
      <c r="C9" s="14">
        <v>8</v>
      </c>
      <c r="D9" s="14">
        <v>2022</v>
      </c>
      <c r="E9" s="7">
        <f>Water!C12</f>
        <v>290</v>
      </c>
      <c r="F9" s="7">
        <f>Water!E12</f>
        <v>464</v>
      </c>
      <c r="G9" s="7">
        <f>ELECT.!D13</f>
        <v>4968</v>
      </c>
      <c r="H9" s="7">
        <f>ELECT.!F13</f>
        <v>9847</v>
      </c>
      <c r="I9" s="7">
        <f>ELECT.!H13</f>
        <v>6502</v>
      </c>
      <c r="J9" s="7">
        <f>ELECT.!K13</f>
        <v>760</v>
      </c>
      <c r="K9" s="7">
        <f>ELECT.!M13</f>
        <v>160</v>
      </c>
      <c r="L9" s="8">
        <f>Gas!C11</f>
        <v>184</v>
      </c>
      <c r="M9" s="8">
        <f>Gas!E11</f>
        <v>883</v>
      </c>
      <c r="N9" s="8">
        <f>Gas!G11</f>
        <v>133</v>
      </c>
      <c r="O9" s="16">
        <f>Gas!I11</f>
        <v>28</v>
      </c>
      <c r="P9" s="16">
        <f>Gas!K11</f>
        <v>0</v>
      </c>
      <c r="Q9" s="8">
        <f>Gas!M11</f>
        <v>57</v>
      </c>
      <c r="R9" s="8">
        <f>Gas!O11</f>
        <v>98</v>
      </c>
      <c r="S9" s="8">
        <f>Gas!Q11</f>
        <v>0</v>
      </c>
      <c r="T9" s="8">
        <f>Gas!S11</f>
        <v>325</v>
      </c>
      <c r="U9" s="8">
        <f>Gas!U11</f>
        <v>24</v>
      </c>
      <c r="V9" s="8">
        <f>Gas!W11</f>
        <v>0</v>
      </c>
      <c r="W9" s="8">
        <f>Gas!Y11</f>
        <v>37</v>
      </c>
      <c r="X9" s="8">
        <f>Gas!AA11</f>
        <v>87</v>
      </c>
      <c r="Y9" s="8">
        <f>Gas!AC11</f>
        <v>0</v>
      </c>
      <c r="Z9" s="8">
        <f>Gas!AE11</f>
        <v>199</v>
      </c>
      <c r="AA9" s="8">
        <f>Gas!AG11</f>
        <v>21</v>
      </c>
      <c r="AB9" s="7">
        <f>ELECT.!B13</f>
        <v>122</v>
      </c>
    </row>
    <row r="10" spans="1:28">
      <c r="A10" s="11" t="s">
        <v>11</v>
      </c>
      <c r="B10" s="14">
        <f t="shared" si="0"/>
        <v>9</v>
      </c>
      <c r="C10" s="14">
        <v>8</v>
      </c>
      <c r="D10" s="14">
        <v>2022</v>
      </c>
      <c r="E10" s="7">
        <f>Water!C13</f>
        <v>240</v>
      </c>
      <c r="F10" s="7">
        <f>Water!E13</f>
        <v>412</v>
      </c>
      <c r="G10" s="7">
        <f>ELECT.!D14</f>
        <v>4647</v>
      </c>
      <c r="H10" s="7">
        <f>ELECT.!F14</f>
        <v>9212</v>
      </c>
      <c r="I10" s="7">
        <f>ELECT.!H14</f>
        <v>5918</v>
      </c>
      <c r="J10" s="7">
        <f>ELECT.!K14</f>
        <v>730</v>
      </c>
      <c r="K10" s="7">
        <f>ELECT.!M14</f>
        <v>164</v>
      </c>
      <c r="L10" s="8">
        <f>Gas!C12</f>
        <v>194</v>
      </c>
      <c r="M10" s="8">
        <f>Gas!E12</f>
        <v>701</v>
      </c>
      <c r="N10" s="8">
        <f>Gas!G12</f>
        <v>129</v>
      </c>
      <c r="O10" s="16">
        <f>Gas!I12</f>
        <v>23</v>
      </c>
      <c r="P10" s="16">
        <f>Gas!K12</f>
        <v>0</v>
      </c>
      <c r="Q10" s="8">
        <f>Gas!M12</f>
        <v>67</v>
      </c>
      <c r="R10" s="8">
        <f>Gas!O12</f>
        <v>94</v>
      </c>
      <c r="S10" s="8">
        <f>Gas!Q12</f>
        <v>0</v>
      </c>
      <c r="T10" s="8">
        <f>Gas!S12</f>
        <v>280</v>
      </c>
      <c r="U10" s="8">
        <f>Gas!U12</f>
        <v>31</v>
      </c>
      <c r="V10" s="8">
        <f>Gas!W12</f>
        <v>0</v>
      </c>
      <c r="W10" s="8">
        <f>Gas!Y12</f>
        <v>20</v>
      </c>
      <c r="X10" s="8">
        <f>Gas!AA12</f>
        <v>72</v>
      </c>
      <c r="Y10" s="8">
        <f>Gas!AC12</f>
        <v>0</v>
      </c>
      <c r="Z10" s="8">
        <f>Gas!AE12</f>
        <v>209</v>
      </c>
      <c r="AA10" s="8">
        <f>Gas!AG12</f>
        <v>23</v>
      </c>
      <c r="AB10" s="7">
        <f>ELECT.!B14</f>
        <v>117</v>
      </c>
    </row>
    <row r="11" spans="1:28">
      <c r="A11" s="11" t="s">
        <v>11</v>
      </c>
      <c r="B11" s="14">
        <f t="shared" si="0"/>
        <v>10</v>
      </c>
      <c r="C11" s="14">
        <v>8</v>
      </c>
      <c r="D11" s="14">
        <v>2022</v>
      </c>
      <c r="E11" s="7">
        <f>Water!C14</f>
        <v>220</v>
      </c>
      <c r="F11" s="7">
        <f>Water!E14</f>
        <v>465</v>
      </c>
      <c r="G11" s="7">
        <f>ELECT.!D15</f>
        <v>4740</v>
      </c>
      <c r="H11" s="7">
        <f>ELECT.!F15</f>
        <v>9231</v>
      </c>
      <c r="I11" s="7">
        <f>ELECT.!H15</f>
        <v>5870</v>
      </c>
      <c r="J11" s="7">
        <f>ELECT.!K15</f>
        <v>730</v>
      </c>
      <c r="K11" s="7">
        <f>ELECT.!M15</f>
        <v>163</v>
      </c>
      <c r="L11" s="8">
        <f>Gas!C13</f>
        <v>247</v>
      </c>
      <c r="M11" s="8">
        <f>Gas!E13</f>
        <v>676</v>
      </c>
      <c r="N11" s="8">
        <f>Gas!G13</f>
        <v>151</v>
      </c>
      <c r="O11" s="16">
        <f>Gas!I13</f>
        <v>30</v>
      </c>
      <c r="P11" s="16">
        <f>Gas!K13</f>
        <v>0</v>
      </c>
      <c r="Q11" s="8">
        <f>Gas!M13</f>
        <v>55</v>
      </c>
      <c r="R11" s="8">
        <f>Gas!O13</f>
        <v>93</v>
      </c>
      <c r="S11" s="8">
        <f>Gas!Q13</f>
        <v>0</v>
      </c>
      <c r="T11" s="8">
        <f>Gas!S13</f>
        <v>299</v>
      </c>
      <c r="U11" s="8">
        <f>Gas!U13</f>
        <v>33</v>
      </c>
      <c r="V11" s="8">
        <f>Gas!W13</f>
        <v>0</v>
      </c>
      <c r="W11" s="8">
        <f>Gas!Y13</f>
        <v>21</v>
      </c>
      <c r="X11" s="8">
        <f>Gas!AA13</f>
        <v>77</v>
      </c>
      <c r="Y11" s="8">
        <f>Gas!AC13</f>
        <v>0</v>
      </c>
      <c r="Z11" s="8">
        <f>Gas!AE13</f>
        <v>193</v>
      </c>
      <c r="AA11" s="8">
        <f>Gas!AG13</f>
        <v>18</v>
      </c>
      <c r="AB11" s="7">
        <f>ELECT.!B15</f>
        <v>107</v>
      </c>
    </row>
    <row r="12" spans="1:28">
      <c r="A12" s="11" t="s">
        <v>11</v>
      </c>
      <c r="B12" s="14">
        <f t="shared" si="0"/>
        <v>11</v>
      </c>
      <c r="C12" s="14">
        <v>8</v>
      </c>
      <c r="D12" s="14">
        <v>2022</v>
      </c>
      <c r="E12" s="7">
        <f>Water!C15</f>
        <v>230</v>
      </c>
      <c r="F12" s="7">
        <f>Water!E15</f>
        <v>439</v>
      </c>
      <c r="G12" s="7">
        <f>ELECT.!D16</f>
        <v>5030</v>
      </c>
      <c r="H12" s="7">
        <f>ELECT.!F16</f>
        <v>9320</v>
      </c>
      <c r="I12" s="7">
        <f>ELECT.!H16</f>
        <v>6811</v>
      </c>
      <c r="J12" s="7">
        <f>ELECT.!K16</f>
        <v>810</v>
      </c>
      <c r="K12" s="7">
        <f>ELECT.!M16</f>
        <v>137</v>
      </c>
      <c r="L12" s="8">
        <f>Gas!C14</f>
        <v>149</v>
      </c>
      <c r="M12" s="8">
        <f>Gas!E14</f>
        <v>503</v>
      </c>
      <c r="N12" s="8">
        <f>Gas!G14</f>
        <v>95</v>
      </c>
      <c r="O12" s="16">
        <f>Gas!I14</f>
        <v>19</v>
      </c>
      <c r="P12" s="16">
        <f>Gas!K14</f>
        <v>0</v>
      </c>
      <c r="Q12" s="8">
        <f>Gas!M14</f>
        <v>54</v>
      </c>
      <c r="R12" s="8">
        <f>Gas!O14</f>
        <v>52</v>
      </c>
      <c r="S12" s="8">
        <f>Gas!Q14</f>
        <v>0</v>
      </c>
      <c r="T12" s="8">
        <f>Gas!S14</f>
        <v>268</v>
      </c>
      <c r="U12" s="8">
        <f>Gas!U14</f>
        <v>18</v>
      </c>
      <c r="V12" s="8">
        <f>Gas!W14</f>
        <v>0</v>
      </c>
      <c r="W12" s="8">
        <f>Gas!Y14</f>
        <v>30</v>
      </c>
      <c r="X12" s="8">
        <f>Gas!AA14</f>
        <v>76</v>
      </c>
      <c r="Y12" s="8">
        <f>Gas!AC14</f>
        <v>0</v>
      </c>
      <c r="Z12" s="8">
        <f>Gas!AE14</f>
        <v>193</v>
      </c>
      <c r="AA12" s="8">
        <f>Gas!AG14</f>
        <v>17</v>
      </c>
      <c r="AB12" s="7">
        <f>ELECT.!B16</f>
        <v>108</v>
      </c>
    </row>
    <row r="13" spans="1:28">
      <c r="A13" s="11" t="s">
        <v>11</v>
      </c>
      <c r="B13" s="14">
        <f t="shared" si="0"/>
        <v>12</v>
      </c>
      <c r="C13" s="14">
        <v>8</v>
      </c>
      <c r="D13" s="14">
        <v>2022</v>
      </c>
      <c r="E13" s="7">
        <f>Water!C16</f>
        <v>260</v>
      </c>
      <c r="F13" s="7">
        <f>Water!E16</f>
        <v>448</v>
      </c>
      <c r="G13" s="7">
        <f>ELECT.!D17</f>
        <v>5030</v>
      </c>
      <c r="H13" s="7">
        <f>ELECT.!F17</f>
        <v>8606</v>
      </c>
      <c r="I13" s="7">
        <f>ELECT.!H17</f>
        <v>5647</v>
      </c>
      <c r="J13" s="7">
        <f>ELECT.!K17</f>
        <v>640</v>
      </c>
      <c r="K13" s="7">
        <f>ELECT.!M17</f>
        <v>160</v>
      </c>
      <c r="L13" s="8">
        <f>Gas!C15</f>
        <v>191</v>
      </c>
      <c r="M13" s="8">
        <f>Gas!E15</f>
        <v>851</v>
      </c>
      <c r="N13" s="8">
        <f>Gas!G15</f>
        <v>139</v>
      </c>
      <c r="O13" s="16">
        <f>Gas!I15</f>
        <v>26</v>
      </c>
      <c r="P13" s="16">
        <f>Gas!K15</f>
        <v>0</v>
      </c>
      <c r="Q13" s="8">
        <f>Gas!M15</f>
        <v>58</v>
      </c>
      <c r="R13" s="8">
        <f>Gas!O15</f>
        <v>60</v>
      </c>
      <c r="S13" s="8">
        <f>Gas!Q15</f>
        <v>0</v>
      </c>
      <c r="T13" s="8">
        <f>Gas!S15</f>
        <v>315</v>
      </c>
      <c r="U13" s="8">
        <f>Gas!U15</f>
        <v>23</v>
      </c>
      <c r="V13" s="8">
        <f>Gas!W15</f>
        <v>0</v>
      </c>
      <c r="W13" s="8">
        <f>Gas!Y15</f>
        <v>26</v>
      </c>
      <c r="X13" s="8">
        <f>Gas!AA15</f>
        <v>64</v>
      </c>
      <c r="Y13" s="8">
        <f>Gas!AC15</f>
        <v>0</v>
      </c>
      <c r="Z13" s="8">
        <f>Gas!AE15</f>
        <v>219</v>
      </c>
      <c r="AA13" s="8">
        <f>Gas!AG15</f>
        <v>14</v>
      </c>
      <c r="AB13" s="7">
        <f>ELECT.!B17</f>
        <v>126</v>
      </c>
    </row>
    <row r="14" spans="1:28">
      <c r="A14" s="11" t="s">
        <v>11</v>
      </c>
      <c r="B14" s="14">
        <f t="shared" si="0"/>
        <v>13</v>
      </c>
      <c r="C14" s="14">
        <v>8</v>
      </c>
      <c r="D14" s="14">
        <v>2022</v>
      </c>
      <c r="E14" s="7">
        <f>Water!C17</f>
        <v>220</v>
      </c>
      <c r="F14" s="7">
        <f>Water!E17</f>
        <v>394</v>
      </c>
      <c r="G14" s="7">
        <f>ELECT.!D18</f>
        <v>5935</v>
      </c>
      <c r="H14" s="7">
        <f>ELECT.!F18</f>
        <v>10460</v>
      </c>
      <c r="I14" s="7">
        <f>ELECT.!H18</f>
        <v>7109</v>
      </c>
      <c r="J14" s="7">
        <f>ELECT.!K18</f>
        <v>760</v>
      </c>
      <c r="K14" s="7">
        <f>ELECT.!M18</f>
        <v>171</v>
      </c>
      <c r="L14" s="8">
        <f>Gas!C16</f>
        <v>230</v>
      </c>
      <c r="M14" s="8">
        <f>Gas!E16</f>
        <v>754</v>
      </c>
      <c r="N14" s="8">
        <f>Gas!G16</f>
        <v>151</v>
      </c>
      <c r="O14" s="16">
        <f>Gas!I16</f>
        <v>24</v>
      </c>
      <c r="P14" s="16">
        <f>Gas!K16</f>
        <v>0</v>
      </c>
      <c r="Q14" s="8">
        <f>Gas!M16</f>
        <v>44</v>
      </c>
      <c r="R14" s="8">
        <f>Gas!O16</f>
        <v>91</v>
      </c>
      <c r="S14" s="8">
        <f>Gas!Q16</f>
        <v>0</v>
      </c>
      <c r="T14" s="8">
        <f>Gas!S16</f>
        <v>303</v>
      </c>
      <c r="U14" s="8">
        <f>Gas!U16</f>
        <v>17</v>
      </c>
      <c r="V14" s="8">
        <f>Gas!W16</f>
        <v>0</v>
      </c>
      <c r="W14" s="8">
        <f>Gas!Y16</f>
        <v>27</v>
      </c>
      <c r="X14" s="8">
        <f>Gas!AA16</f>
        <v>71</v>
      </c>
      <c r="Y14" s="8">
        <f>Gas!AC16</f>
        <v>0</v>
      </c>
      <c r="Z14" s="8">
        <f>Gas!AE16</f>
        <v>0</v>
      </c>
      <c r="AA14" s="8">
        <f>Gas!AG16</f>
        <v>29</v>
      </c>
      <c r="AB14" s="7">
        <f>ELECT.!B18</f>
        <v>100</v>
      </c>
    </row>
    <row r="15" spans="1:28">
      <c r="A15" s="11" t="s">
        <v>11</v>
      </c>
      <c r="B15" s="14">
        <f t="shared" si="0"/>
        <v>14</v>
      </c>
      <c r="C15" s="14">
        <v>8</v>
      </c>
      <c r="D15" s="14">
        <v>2022</v>
      </c>
      <c r="E15" s="7">
        <f>Water!C18</f>
        <v>230</v>
      </c>
      <c r="F15" s="7">
        <f>Water!E18</f>
        <v>460</v>
      </c>
      <c r="G15" s="7">
        <f>ELECT.!D19</f>
        <v>4286</v>
      </c>
      <c r="H15" s="7">
        <f>ELECT.!F19</f>
        <v>7572</v>
      </c>
      <c r="I15" s="7">
        <f>ELECT.!H19</f>
        <v>5013</v>
      </c>
      <c r="J15" s="7">
        <f>ELECT.!K19</f>
        <v>680</v>
      </c>
      <c r="K15" s="7">
        <f>ELECT.!M19</f>
        <v>147</v>
      </c>
      <c r="L15" s="8">
        <f>Gas!C17</f>
        <v>214</v>
      </c>
      <c r="M15" s="8">
        <f>Gas!E17</f>
        <v>736</v>
      </c>
      <c r="N15" s="8">
        <f>Gas!G17</f>
        <v>134</v>
      </c>
      <c r="O15" s="16">
        <f>Gas!I17</f>
        <v>25</v>
      </c>
      <c r="P15" s="16">
        <f>Gas!K17</f>
        <v>0</v>
      </c>
      <c r="Q15" s="8">
        <f>Gas!M17</f>
        <v>50</v>
      </c>
      <c r="R15" s="8">
        <f>Gas!O17</f>
        <v>32</v>
      </c>
      <c r="S15" s="8">
        <f>Gas!Q17</f>
        <v>0</v>
      </c>
      <c r="T15" s="8">
        <f>Gas!S17</f>
        <v>269</v>
      </c>
      <c r="U15" s="8">
        <f>Gas!U17</f>
        <v>35</v>
      </c>
      <c r="V15" s="8">
        <f>Gas!W17</f>
        <v>0</v>
      </c>
      <c r="W15" s="8">
        <f>Gas!Y17</f>
        <v>32</v>
      </c>
      <c r="X15" s="8">
        <f>Gas!AA17</f>
        <v>65</v>
      </c>
      <c r="Y15" s="8">
        <f>Gas!AC17</f>
        <v>0</v>
      </c>
      <c r="Z15" s="8">
        <f>Gas!AE17</f>
        <v>377</v>
      </c>
      <c r="AA15" s="8">
        <f>Gas!AG17</f>
        <v>17</v>
      </c>
      <c r="AB15" s="7">
        <f>ELECT.!B19</f>
        <v>117</v>
      </c>
    </row>
    <row r="16" spans="1:28">
      <c r="A16" s="11" t="s">
        <v>11</v>
      </c>
      <c r="B16" s="14">
        <f t="shared" si="0"/>
        <v>15</v>
      </c>
      <c r="C16" s="14">
        <v>8</v>
      </c>
      <c r="D16" s="14">
        <v>2022</v>
      </c>
      <c r="E16" s="7">
        <f>Water!C19</f>
        <v>250</v>
      </c>
      <c r="F16" s="7">
        <f>Water!E19</f>
        <v>427</v>
      </c>
      <c r="G16" s="7">
        <f>ELECT.!D20</f>
        <v>5418</v>
      </c>
      <c r="H16" s="7">
        <f>ELECT.!F20</f>
        <v>9829</v>
      </c>
      <c r="I16" s="7">
        <f>ELECT.!H20</f>
        <v>6379</v>
      </c>
      <c r="J16" s="7">
        <f>ELECT.!K20</f>
        <v>820</v>
      </c>
      <c r="K16" s="7">
        <f>ELECT.!M20</f>
        <v>166</v>
      </c>
      <c r="L16" s="8">
        <f>Gas!C18</f>
        <v>239</v>
      </c>
      <c r="M16" s="8">
        <f>Gas!E18</f>
        <v>710</v>
      </c>
      <c r="N16" s="8">
        <f>Gas!G18</f>
        <v>118</v>
      </c>
      <c r="O16" s="16">
        <f>Gas!I18</f>
        <v>27</v>
      </c>
      <c r="P16" s="16">
        <f>Gas!K18</f>
        <v>0</v>
      </c>
      <c r="Q16" s="8">
        <f>Gas!M18</f>
        <v>46</v>
      </c>
      <c r="R16" s="8">
        <f>Gas!O18</f>
        <v>90</v>
      </c>
      <c r="S16" s="8">
        <f>Gas!Q18</f>
        <v>0</v>
      </c>
      <c r="T16" s="8">
        <f>Gas!S18</f>
        <v>360</v>
      </c>
      <c r="U16" s="8">
        <f>Gas!U18</f>
        <v>29</v>
      </c>
      <c r="V16" s="8">
        <f>Gas!W18</f>
        <v>0</v>
      </c>
      <c r="W16" s="8">
        <f>Gas!Y18</f>
        <v>31</v>
      </c>
      <c r="X16" s="8">
        <f>Gas!AA18</f>
        <v>75</v>
      </c>
      <c r="Y16" s="8">
        <f>Gas!AC18</f>
        <v>0</v>
      </c>
      <c r="Z16" s="8">
        <f>Gas!AE18</f>
        <v>216</v>
      </c>
      <c r="AA16" s="8">
        <f>Gas!AG18</f>
        <v>25</v>
      </c>
      <c r="AB16" s="7">
        <f>ELECT.!B20</f>
        <v>127</v>
      </c>
    </row>
    <row r="17" spans="1:28">
      <c r="A17" s="11" t="s">
        <v>11</v>
      </c>
      <c r="B17" s="14">
        <f t="shared" si="0"/>
        <v>16</v>
      </c>
      <c r="C17" s="14">
        <v>8</v>
      </c>
      <c r="D17" s="14">
        <v>2022</v>
      </c>
      <c r="E17" s="7">
        <f>Water!C20</f>
        <v>230</v>
      </c>
      <c r="F17" s="7">
        <f>Water!E20</f>
        <v>466</v>
      </c>
      <c r="G17" s="7">
        <f>ELECT.!D21</f>
        <v>4463</v>
      </c>
      <c r="H17" s="7">
        <f>ELECT.!F21</f>
        <v>8391</v>
      </c>
      <c r="I17" s="7">
        <f>ELECT.!H21</f>
        <v>5870</v>
      </c>
      <c r="J17" s="7">
        <f>ELECT.!K21</f>
        <v>670</v>
      </c>
      <c r="K17" s="7">
        <f>ELECT.!M21</f>
        <v>144</v>
      </c>
      <c r="L17" s="8">
        <f>Gas!C19</f>
        <v>224</v>
      </c>
      <c r="M17" s="8">
        <f>Gas!E19</f>
        <v>770</v>
      </c>
      <c r="N17" s="8">
        <f>Gas!G19</f>
        <v>151</v>
      </c>
      <c r="O17" s="16">
        <f>Gas!I19</f>
        <v>21</v>
      </c>
      <c r="P17" s="16">
        <f>Gas!K19</f>
        <v>0</v>
      </c>
      <c r="Q17" s="8">
        <f>Gas!M19</f>
        <v>53</v>
      </c>
      <c r="R17" s="8">
        <f>Gas!O19</f>
        <v>106</v>
      </c>
      <c r="S17" s="8">
        <f>Gas!Q19</f>
        <v>0</v>
      </c>
      <c r="T17" s="8">
        <f>Gas!S19</f>
        <v>296</v>
      </c>
      <c r="U17" s="8">
        <f>Gas!U19</f>
        <v>37</v>
      </c>
      <c r="V17" s="8">
        <f>Gas!W19</f>
        <v>0</v>
      </c>
      <c r="W17" s="8">
        <f>Gas!Y19</f>
        <v>36</v>
      </c>
      <c r="X17" s="8">
        <f>Gas!AA19</f>
        <v>139</v>
      </c>
      <c r="Y17" s="8">
        <f>Gas!AC19</f>
        <v>0</v>
      </c>
      <c r="Z17" s="8">
        <f>Gas!AE19</f>
        <v>91</v>
      </c>
      <c r="AA17" s="8">
        <f>Gas!AG19</f>
        <v>29</v>
      </c>
      <c r="AB17" s="7">
        <f>ELECT.!B21</f>
        <v>125</v>
      </c>
    </row>
    <row r="18" spans="1:28">
      <c r="A18" s="11" t="s">
        <v>11</v>
      </c>
      <c r="B18" s="14">
        <f t="shared" si="0"/>
        <v>17</v>
      </c>
      <c r="C18" s="14">
        <v>8</v>
      </c>
      <c r="D18" s="14">
        <v>2022</v>
      </c>
      <c r="E18" s="7">
        <f>Water!C21</f>
        <v>230</v>
      </c>
      <c r="F18" s="7">
        <f>Water!E21</f>
        <v>508</v>
      </c>
      <c r="G18" s="7">
        <f>ELECT.!D22</f>
        <v>4685</v>
      </c>
      <c r="H18" s="7">
        <f>ELECT.!F22</f>
        <v>8538</v>
      </c>
      <c r="I18" s="7">
        <f>ELECT.!H22</f>
        <v>5650</v>
      </c>
      <c r="J18" s="7">
        <f>ELECT.!K22</f>
        <v>720</v>
      </c>
      <c r="K18" s="7">
        <f>ELECT.!M22</f>
        <v>177</v>
      </c>
      <c r="L18" s="8">
        <f>Gas!C20</f>
        <v>194</v>
      </c>
      <c r="M18" s="8">
        <f>Gas!E20</f>
        <v>742</v>
      </c>
      <c r="N18" s="8">
        <f>Gas!G20</f>
        <v>137</v>
      </c>
      <c r="O18" s="16">
        <f>Gas!I20</f>
        <v>31</v>
      </c>
      <c r="P18" s="16">
        <f>Gas!K20</f>
        <v>0</v>
      </c>
      <c r="Q18" s="8">
        <f>Gas!M20</f>
        <v>53</v>
      </c>
      <c r="R18" s="8">
        <f>Gas!O20</f>
        <v>95</v>
      </c>
      <c r="S18" s="8">
        <f>Gas!Q20</f>
        <v>0</v>
      </c>
      <c r="T18" s="8">
        <f>Gas!S20</f>
        <v>204</v>
      </c>
      <c r="U18" s="8">
        <f>Gas!U20</f>
        <v>34</v>
      </c>
      <c r="V18" s="8">
        <f>Gas!W20</f>
        <v>0</v>
      </c>
      <c r="W18" s="8">
        <f>Gas!Y20</f>
        <v>33</v>
      </c>
      <c r="X18" s="8">
        <f>Gas!AA20</f>
        <v>37</v>
      </c>
      <c r="Y18" s="8">
        <f>Gas!AC20</f>
        <v>0</v>
      </c>
      <c r="Z18" s="8">
        <f>Gas!AE20</f>
        <v>285</v>
      </c>
      <c r="AA18" s="8">
        <f>Gas!AG20</f>
        <v>20</v>
      </c>
      <c r="AB18" s="7">
        <f>ELECT.!B22</f>
        <v>133</v>
      </c>
    </row>
    <row r="19" spans="1:28">
      <c r="A19" s="11" t="s">
        <v>11</v>
      </c>
      <c r="B19" s="14">
        <f t="shared" si="0"/>
        <v>18</v>
      </c>
      <c r="C19" s="14">
        <v>8</v>
      </c>
      <c r="D19" s="14">
        <v>2022</v>
      </c>
      <c r="E19" s="7">
        <f>Water!C22</f>
        <v>250</v>
      </c>
      <c r="F19" s="7">
        <f>Water!E22</f>
        <v>579</v>
      </c>
      <c r="G19" s="7">
        <f>ELECT.!D23</f>
        <v>5356</v>
      </c>
      <c r="H19" s="7">
        <f>ELECT.!F23</f>
        <v>9619</v>
      </c>
      <c r="I19" s="7">
        <f>ELECT.!H23</f>
        <v>6489</v>
      </c>
      <c r="J19" s="7">
        <f>ELECT.!K23</f>
        <v>740</v>
      </c>
      <c r="K19" s="7">
        <f>ELECT.!M23</f>
        <v>94</v>
      </c>
      <c r="L19" s="8">
        <f>Gas!C21</f>
        <v>219</v>
      </c>
      <c r="M19" s="8">
        <f>Gas!E21</f>
        <v>734</v>
      </c>
      <c r="N19" s="8">
        <f>Gas!G21</f>
        <v>156</v>
      </c>
      <c r="O19" s="16">
        <f>Gas!I21</f>
        <v>29</v>
      </c>
      <c r="P19" s="16">
        <f>Gas!K21</f>
        <v>0</v>
      </c>
      <c r="Q19" s="8">
        <f>Gas!M21</f>
        <v>56</v>
      </c>
      <c r="R19" s="8">
        <f>Gas!O21</f>
        <v>133</v>
      </c>
      <c r="S19" s="8">
        <f>Gas!Q21</f>
        <v>0</v>
      </c>
      <c r="T19" s="8">
        <f>Gas!S21</f>
        <v>316</v>
      </c>
      <c r="U19" s="8">
        <f>Gas!U21</f>
        <v>20</v>
      </c>
      <c r="V19" s="8">
        <f>Gas!W21</f>
        <v>0</v>
      </c>
      <c r="W19" s="8">
        <f>Gas!Y21</f>
        <v>36</v>
      </c>
      <c r="X19" s="8">
        <f>Gas!AA21</f>
        <v>15</v>
      </c>
      <c r="Y19" s="8">
        <f>Gas!AC21</f>
        <v>0</v>
      </c>
      <c r="Z19" s="8">
        <f>Gas!AE21</f>
        <v>257</v>
      </c>
      <c r="AA19" s="8">
        <f>Gas!AG21</f>
        <v>14</v>
      </c>
      <c r="AB19" s="7">
        <f>ELECT.!B23</f>
        <v>140</v>
      </c>
    </row>
    <row r="20" spans="1:28">
      <c r="A20" s="11" t="s">
        <v>11</v>
      </c>
      <c r="B20" s="14">
        <f t="shared" si="0"/>
        <v>19</v>
      </c>
      <c r="C20" s="14">
        <v>8</v>
      </c>
      <c r="D20" s="14">
        <v>2022</v>
      </c>
      <c r="E20" s="7">
        <f>Water!C23</f>
        <v>270</v>
      </c>
      <c r="F20" s="7">
        <f>Water!E23</f>
        <v>527</v>
      </c>
      <c r="G20" s="7">
        <f>ELECT.!D24</f>
        <v>4993</v>
      </c>
      <c r="H20" s="7">
        <f>ELECT.!F24</f>
        <v>9012</v>
      </c>
      <c r="I20" s="7">
        <f>ELECT.!H24</f>
        <v>6054</v>
      </c>
      <c r="J20" s="7">
        <f>ELECT.!K24</f>
        <v>790</v>
      </c>
      <c r="K20" s="7">
        <f>ELECT.!M24</f>
        <v>252</v>
      </c>
      <c r="L20" s="8">
        <f>Gas!C22</f>
        <v>264</v>
      </c>
      <c r="M20" s="8">
        <f>Gas!E22</f>
        <v>711</v>
      </c>
      <c r="N20" s="8">
        <f>Gas!G22</f>
        <v>137</v>
      </c>
      <c r="O20" s="16">
        <f>Gas!I22</f>
        <v>31</v>
      </c>
      <c r="P20" s="16">
        <f>Gas!K22</f>
        <v>0</v>
      </c>
      <c r="Q20" s="8">
        <f>Gas!M22</f>
        <v>41</v>
      </c>
      <c r="R20" s="8">
        <f>Gas!O22</f>
        <v>144</v>
      </c>
      <c r="S20" s="8">
        <f>Gas!Q22</f>
        <v>0</v>
      </c>
      <c r="T20" s="8">
        <f>Gas!S22</f>
        <v>325</v>
      </c>
      <c r="U20" s="8">
        <f>Gas!U22</f>
        <v>35</v>
      </c>
      <c r="V20" s="8">
        <f>Gas!W22</f>
        <v>0</v>
      </c>
      <c r="W20" s="8">
        <f>Gas!Y22</f>
        <v>35</v>
      </c>
      <c r="X20" s="8">
        <f>Gas!AA22</f>
        <v>15</v>
      </c>
      <c r="Y20" s="8">
        <f>Gas!AC22</f>
        <v>0</v>
      </c>
      <c r="Z20" s="8">
        <f>Gas!AE22</f>
        <v>214</v>
      </c>
      <c r="AA20" s="8">
        <f>Gas!AG22</f>
        <v>13</v>
      </c>
      <c r="AB20" s="7">
        <f>ELECT.!B24</f>
        <v>134</v>
      </c>
    </row>
    <row r="21" spans="1:28">
      <c r="A21" s="11" t="s">
        <v>11</v>
      </c>
      <c r="B21" s="14">
        <f t="shared" si="0"/>
        <v>20</v>
      </c>
      <c r="C21" s="14">
        <v>8</v>
      </c>
      <c r="D21" s="14">
        <v>2022</v>
      </c>
      <c r="E21" s="7">
        <f>Water!C24</f>
        <v>260</v>
      </c>
      <c r="F21" s="7">
        <f>Water!E24</f>
        <v>474</v>
      </c>
      <c r="G21" s="7">
        <f>ELECT.!D25</f>
        <v>5007</v>
      </c>
      <c r="H21" s="7">
        <f>ELECT.!F25</f>
        <v>8976</v>
      </c>
      <c r="I21" s="7">
        <f>ELECT.!H25</f>
        <v>6034</v>
      </c>
      <c r="J21" s="7">
        <f>ELECT.!K25</f>
        <v>770</v>
      </c>
      <c r="K21" s="7">
        <f>ELECT.!M25</f>
        <v>171</v>
      </c>
      <c r="L21" s="8">
        <f>Gas!C23</f>
        <v>203</v>
      </c>
      <c r="M21" s="8">
        <f>Gas!E23</f>
        <v>653</v>
      </c>
      <c r="N21" s="8">
        <f>Gas!G23</f>
        <v>145</v>
      </c>
      <c r="O21" s="16">
        <f>Gas!I23</f>
        <v>31</v>
      </c>
      <c r="P21" s="16">
        <f>Gas!K23</f>
        <v>15</v>
      </c>
      <c r="Q21" s="8">
        <f>Gas!M23</f>
        <v>54</v>
      </c>
      <c r="R21" s="8">
        <f>Gas!O23</f>
        <v>74</v>
      </c>
      <c r="S21" s="8">
        <f>Gas!Q23</f>
        <v>0</v>
      </c>
      <c r="T21" s="8">
        <f>Gas!S23</f>
        <v>303</v>
      </c>
      <c r="U21" s="8">
        <f>Gas!U23</f>
        <v>35</v>
      </c>
      <c r="V21" s="8">
        <f>Gas!W23</f>
        <v>0</v>
      </c>
      <c r="W21" s="8">
        <f>Gas!Y23</f>
        <v>15</v>
      </c>
      <c r="X21" s="8">
        <f>Gas!AA23</f>
        <v>107</v>
      </c>
      <c r="Y21" s="8">
        <f>Gas!AC23</f>
        <v>0</v>
      </c>
      <c r="Z21" s="8">
        <f>Gas!AE23</f>
        <v>208</v>
      </c>
      <c r="AA21" s="8">
        <f>Gas!AG23</f>
        <v>9</v>
      </c>
      <c r="AB21" s="7">
        <f>ELECT.!B25</f>
        <v>106</v>
      </c>
    </row>
    <row r="22" spans="1:28">
      <c r="A22" s="11" t="s">
        <v>11</v>
      </c>
      <c r="B22" s="14">
        <f t="shared" si="0"/>
        <v>21</v>
      </c>
      <c r="C22" s="14">
        <v>8</v>
      </c>
      <c r="D22" s="14">
        <v>2022</v>
      </c>
      <c r="E22" s="7">
        <f>Water!C25</f>
        <v>260</v>
      </c>
      <c r="F22" s="7">
        <f>Water!E25</f>
        <v>466</v>
      </c>
      <c r="G22" s="7">
        <f>ELECT.!D26</f>
        <v>4942</v>
      </c>
      <c r="H22" s="7">
        <f>ELECT.!F26</f>
        <v>9253</v>
      </c>
      <c r="I22" s="7">
        <f>ELECT.!H26</f>
        <v>6317</v>
      </c>
      <c r="J22" s="7">
        <f>ELECT.!K26</f>
        <v>740</v>
      </c>
      <c r="K22" s="7">
        <f>ELECT.!M26</f>
        <v>170</v>
      </c>
      <c r="L22" s="8">
        <f>Gas!C24</f>
        <v>280</v>
      </c>
      <c r="M22" s="8">
        <f>Gas!E24</f>
        <v>738</v>
      </c>
      <c r="N22" s="8">
        <f>Gas!G24</f>
        <v>187</v>
      </c>
      <c r="O22" s="16">
        <f>Gas!I24</f>
        <v>31</v>
      </c>
      <c r="P22" s="16">
        <f>Gas!K24</f>
        <v>1</v>
      </c>
      <c r="Q22" s="8">
        <f>Gas!M24</f>
        <v>56</v>
      </c>
      <c r="R22" s="8">
        <f>Gas!O24</f>
        <v>140</v>
      </c>
      <c r="S22" s="8">
        <f>Gas!Q24</f>
        <v>0</v>
      </c>
      <c r="T22" s="8">
        <f>Gas!S24</f>
        <v>266</v>
      </c>
      <c r="U22" s="8">
        <f>Gas!U24</f>
        <v>23</v>
      </c>
      <c r="V22" s="8">
        <f>Gas!W24</f>
        <v>0</v>
      </c>
      <c r="W22" s="8">
        <f>Gas!Y24</f>
        <v>31</v>
      </c>
      <c r="X22" s="8">
        <f>Gas!AA24</f>
        <v>175</v>
      </c>
      <c r="Y22" s="8">
        <f>Gas!AC24</f>
        <v>0</v>
      </c>
      <c r="Z22" s="8">
        <f>Gas!AE24</f>
        <v>209</v>
      </c>
      <c r="AA22" s="8">
        <f>Gas!AG24</f>
        <v>0</v>
      </c>
      <c r="AB22" s="7">
        <f>ELECT.!B26</f>
        <v>106</v>
      </c>
    </row>
    <row r="23" spans="1:28">
      <c r="A23" s="11" t="s">
        <v>11</v>
      </c>
      <c r="B23" s="14">
        <f t="shared" si="0"/>
        <v>22</v>
      </c>
      <c r="C23" s="14">
        <v>8</v>
      </c>
      <c r="D23" s="14">
        <v>2022</v>
      </c>
      <c r="E23" s="7">
        <f>Water!C26</f>
        <v>230</v>
      </c>
      <c r="F23" s="7">
        <f>Water!E26</f>
        <v>507</v>
      </c>
      <c r="G23" s="7">
        <f>ELECT.!D27</f>
        <v>4925</v>
      </c>
      <c r="H23" s="7">
        <f>ELECT.!F27</f>
        <v>9040</v>
      </c>
      <c r="I23" s="7">
        <f>ELECT.!H27</f>
        <v>5976</v>
      </c>
      <c r="J23" s="7">
        <f>ELECT.!K27</f>
        <v>756</v>
      </c>
      <c r="K23" s="7">
        <f>ELECT.!M27</f>
        <v>173</v>
      </c>
      <c r="L23" s="8">
        <f>Gas!C25</f>
        <v>242</v>
      </c>
      <c r="M23" s="8">
        <f>Gas!E25</f>
        <v>664</v>
      </c>
      <c r="N23" s="8">
        <f>Gas!G25</f>
        <v>88</v>
      </c>
      <c r="O23" s="16">
        <f>Gas!I25</f>
        <v>25</v>
      </c>
      <c r="P23" s="16">
        <f>Gas!K25</f>
        <v>2</v>
      </c>
      <c r="Q23" s="8">
        <f>Gas!M25</f>
        <v>53</v>
      </c>
      <c r="R23" s="8">
        <f>Gas!O25</f>
        <v>55</v>
      </c>
      <c r="S23" s="8">
        <f>Gas!Q25</f>
        <v>0</v>
      </c>
      <c r="T23" s="8">
        <f>Gas!S25</f>
        <v>397</v>
      </c>
      <c r="U23" s="8">
        <f>Gas!U25</f>
        <v>33</v>
      </c>
      <c r="V23" s="8">
        <f>Gas!W25</f>
        <v>0</v>
      </c>
      <c r="W23" s="8">
        <f>Gas!Y25</f>
        <v>30</v>
      </c>
      <c r="X23" s="8">
        <f>Gas!AA25</f>
        <v>176</v>
      </c>
      <c r="Y23" s="8">
        <f>Gas!AC25</f>
        <v>0</v>
      </c>
      <c r="Z23" s="8">
        <f>Gas!AE25</f>
        <v>182</v>
      </c>
      <c r="AA23" s="8">
        <f>Gas!AG25</f>
        <v>0</v>
      </c>
      <c r="AB23" s="7">
        <f>ELECT.!B27</f>
        <v>127</v>
      </c>
    </row>
    <row r="24" spans="1:28">
      <c r="A24" s="11" t="s">
        <v>11</v>
      </c>
      <c r="B24" s="14">
        <f t="shared" si="0"/>
        <v>23</v>
      </c>
      <c r="C24" s="14">
        <v>8</v>
      </c>
      <c r="D24" s="14">
        <v>2022</v>
      </c>
      <c r="E24" s="7">
        <f>Water!C27</f>
        <v>210</v>
      </c>
      <c r="F24" s="7">
        <f>Water!E27</f>
        <v>279</v>
      </c>
      <c r="G24" s="7">
        <f>ELECT.!D28</f>
        <v>5033</v>
      </c>
      <c r="H24" s="7">
        <f>ELECT.!F28</f>
        <v>8643</v>
      </c>
      <c r="I24" s="7">
        <f>ELECT.!H28</f>
        <v>5878</v>
      </c>
      <c r="J24" s="7">
        <f>ELECT.!K28</f>
        <v>704</v>
      </c>
      <c r="K24" s="7">
        <f>ELECT.!M28</f>
        <v>182</v>
      </c>
      <c r="L24" s="8">
        <f>Gas!C26</f>
        <v>187</v>
      </c>
      <c r="M24" s="8">
        <f>Gas!E26</f>
        <v>669</v>
      </c>
      <c r="N24" s="8">
        <f>Gas!G26</f>
        <v>125</v>
      </c>
      <c r="O24" s="16">
        <f>Gas!I26</f>
        <v>26</v>
      </c>
      <c r="P24" s="16">
        <f>Gas!K26</f>
        <v>1</v>
      </c>
      <c r="Q24" s="8">
        <f>Gas!M26</f>
        <v>42</v>
      </c>
      <c r="R24" s="8">
        <f>Gas!O26</f>
        <v>88</v>
      </c>
      <c r="S24" s="8">
        <f>Gas!Q26</f>
        <v>0</v>
      </c>
      <c r="T24" s="8">
        <f>Gas!S26</f>
        <v>198</v>
      </c>
      <c r="U24" s="8">
        <f>Gas!U26</f>
        <v>36</v>
      </c>
      <c r="V24" s="8">
        <f>Gas!W26</f>
        <v>0</v>
      </c>
      <c r="W24" s="8">
        <f>Gas!Y26</f>
        <v>26</v>
      </c>
      <c r="X24" s="8">
        <f>Gas!AA26</f>
        <v>131</v>
      </c>
      <c r="Y24" s="8">
        <f>Gas!AC26</f>
        <v>0</v>
      </c>
      <c r="Z24" s="8">
        <f>Gas!AE26</f>
        <v>259</v>
      </c>
      <c r="AA24" s="8">
        <f>Gas!AG26</f>
        <v>0</v>
      </c>
      <c r="AB24" s="7">
        <f>ELECT.!B28</f>
        <v>121</v>
      </c>
    </row>
    <row r="25" spans="1:28">
      <c r="A25" s="11" t="s">
        <v>11</v>
      </c>
      <c r="B25" s="14">
        <f t="shared" si="0"/>
        <v>24</v>
      </c>
      <c r="C25" s="14">
        <v>8</v>
      </c>
      <c r="D25" s="14">
        <v>2022</v>
      </c>
      <c r="E25" s="7">
        <f>Water!C28</f>
        <v>270</v>
      </c>
      <c r="F25" s="7">
        <f>Water!E28</f>
        <v>0</v>
      </c>
      <c r="G25" s="7">
        <f>ELECT.!D29</f>
        <v>4853</v>
      </c>
      <c r="H25" s="7">
        <f>ELECT.!F29</f>
        <v>9040</v>
      </c>
      <c r="I25" s="7">
        <f>ELECT.!H29</f>
        <v>6108</v>
      </c>
      <c r="J25" s="7">
        <f>ELECT.!K29</f>
        <v>740</v>
      </c>
      <c r="K25" s="7">
        <f>ELECT.!M29</f>
        <v>177</v>
      </c>
      <c r="L25" s="8">
        <f>Gas!C27</f>
        <v>253</v>
      </c>
      <c r="M25" s="8">
        <f>Gas!E27</f>
        <v>599</v>
      </c>
      <c r="N25" s="8">
        <f>Gas!G27</f>
        <v>158</v>
      </c>
      <c r="O25" s="16">
        <f>Gas!I27</f>
        <v>36</v>
      </c>
      <c r="P25" s="16">
        <f>Gas!K27</f>
        <v>0</v>
      </c>
      <c r="Q25" s="8">
        <f>Gas!M27</f>
        <v>52</v>
      </c>
      <c r="R25" s="8">
        <f>Gas!O27</f>
        <v>146</v>
      </c>
      <c r="S25" s="8">
        <f>Gas!Q27</f>
        <v>0</v>
      </c>
      <c r="T25" s="8">
        <f>Gas!S27</f>
        <v>305</v>
      </c>
      <c r="U25" s="8">
        <f>Gas!U27</f>
        <v>31</v>
      </c>
      <c r="V25" s="8">
        <f>Gas!W27</f>
        <v>0</v>
      </c>
      <c r="W25" s="8">
        <f>Gas!Y27</f>
        <v>26</v>
      </c>
      <c r="X25" s="8">
        <f>Gas!AA27</f>
        <v>120</v>
      </c>
      <c r="Y25" s="8">
        <f>Gas!AC27</f>
        <v>0</v>
      </c>
      <c r="Z25" s="8">
        <f>Gas!AE27</f>
        <v>216</v>
      </c>
      <c r="AA25" s="8">
        <f>Gas!AG27</f>
        <v>0</v>
      </c>
      <c r="AB25" s="7">
        <f>ELECT.!B29</f>
        <v>115</v>
      </c>
    </row>
    <row r="26" spans="1:28">
      <c r="A26" s="11" t="s">
        <v>11</v>
      </c>
      <c r="B26" s="14">
        <f>B25+1</f>
        <v>25</v>
      </c>
      <c r="C26" s="14">
        <v>8</v>
      </c>
      <c r="D26" s="14">
        <v>2022</v>
      </c>
      <c r="E26" s="7">
        <f>Water!C29</f>
        <v>280</v>
      </c>
      <c r="F26" s="7">
        <f>Water!E29</f>
        <v>0</v>
      </c>
      <c r="G26" s="7">
        <f>ELECT.!D30</f>
        <v>5023</v>
      </c>
      <c r="H26" s="7">
        <f>ELECT.!F30</f>
        <v>8891</v>
      </c>
      <c r="I26" s="7">
        <f>ELECT.!H30</f>
        <v>5933</v>
      </c>
      <c r="J26" s="7">
        <f>ELECT.!K30</f>
        <v>790</v>
      </c>
      <c r="K26" s="7">
        <f>ELECT.!M30</f>
        <v>185</v>
      </c>
      <c r="L26" s="8">
        <f>Gas!C28</f>
        <v>240</v>
      </c>
      <c r="M26" s="8">
        <f>Gas!E28</f>
        <v>734</v>
      </c>
      <c r="N26" s="8">
        <f>Gas!G28</f>
        <v>148</v>
      </c>
      <c r="O26" s="16">
        <f>Gas!I28</f>
        <v>24</v>
      </c>
      <c r="P26" s="16">
        <f>Gas!K28</f>
        <v>0</v>
      </c>
      <c r="Q26" s="8">
        <f>Gas!M28</f>
        <v>56</v>
      </c>
      <c r="R26" s="8">
        <f>Gas!O28</f>
        <v>94</v>
      </c>
      <c r="S26" s="8">
        <f>Gas!Q28</f>
        <v>1</v>
      </c>
      <c r="T26" s="8">
        <f>Gas!S28</f>
        <v>330</v>
      </c>
      <c r="U26" s="8">
        <f>Gas!U28</f>
        <v>26</v>
      </c>
      <c r="V26" s="8">
        <f>Gas!W28</f>
        <v>0</v>
      </c>
      <c r="W26" s="8">
        <f>Gas!Y28</f>
        <v>30</v>
      </c>
      <c r="X26" s="8">
        <f>Gas!AA28</f>
        <v>115</v>
      </c>
      <c r="Y26" s="8">
        <f>Gas!AC28</f>
        <v>0</v>
      </c>
      <c r="Z26" s="8">
        <f>Gas!AE28</f>
        <v>212</v>
      </c>
      <c r="AA26" s="8">
        <f>Gas!AG28</f>
        <v>0</v>
      </c>
      <c r="AB26" s="7">
        <f>ELECT.!B30</f>
        <v>117</v>
      </c>
    </row>
    <row r="27" spans="1:28">
      <c r="A27" s="11" t="s">
        <v>11</v>
      </c>
      <c r="B27" s="14">
        <f t="shared" si="0"/>
        <v>26</v>
      </c>
      <c r="C27" s="14">
        <v>8</v>
      </c>
      <c r="D27" s="14">
        <v>2022</v>
      </c>
      <c r="E27" s="7">
        <f>Water!C30</f>
        <v>270</v>
      </c>
      <c r="F27" s="7">
        <f>Water!E30</f>
        <v>0</v>
      </c>
      <c r="G27" s="7">
        <f>ELECT.!D31</f>
        <v>4771</v>
      </c>
      <c r="H27" s="7">
        <f>ELECT.!F31</f>
        <v>8677</v>
      </c>
      <c r="I27" s="7">
        <f>ELECT.!H31</f>
        <v>5662</v>
      </c>
      <c r="J27" s="7">
        <f>ELECT.!K31</f>
        <v>800</v>
      </c>
      <c r="K27" s="7">
        <f>ELECT.!M31</f>
        <v>184</v>
      </c>
      <c r="L27" s="8">
        <f>Gas!C29</f>
        <v>275</v>
      </c>
      <c r="M27" s="8">
        <f>Gas!E29</f>
        <v>758</v>
      </c>
      <c r="N27" s="8">
        <f>Gas!G29</f>
        <v>128</v>
      </c>
      <c r="O27" s="16">
        <f>Gas!I29</f>
        <v>22</v>
      </c>
      <c r="P27" s="16">
        <f>Gas!K29</f>
        <v>0</v>
      </c>
      <c r="Q27" s="8">
        <f>Gas!M29</f>
        <v>57</v>
      </c>
      <c r="R27" s="8">
        <f>Gas!O29</f>
        <v>75</v>
      </c>
      <c r="S27" s="8">
        <f>Gas!Q29</f>
        <v>0</v>
      </c>
      <c r="T27" s="8">
        <f>Gas!S29</f>
        <v>341</v>
      </c>
      <c r="U27" s="8">
        <f>Gas!U29</f>
        <v>30</v>
      </c>
      <c r="V27" s="8">
        <f>Gas!W29</f>
        <v>0</v>
      </c>
      <c r="W27" s="8">
        <f>Gas!Y29</f>
        <v>31</v>
      </c>
      <c r="X27" s="8">
        <f>Gas!AA29</f>
        <v>161</v>
      </c>
      <c r="Y27" s="8">
        <f>Gas!AC29</f>
        <v>0</v>
      </c>
      <c r="Z27" s="8">
        <f>Gas!AE29</f>
        <v>191</v>
      </c>
      <c r="AA27" s="8">
        <f>Gas!AG29</f>
        <v>0</v>
      </c>
      <c r="AB27" s="7">
        <f>ELECT.!B31</f>
        <v>126</v>
      </c>
    </row>
    <row r="28" spans="1:28">
      <c r="A28" s="11" t="s">
        <v>11</v>
      </c>
      <c r="B28" s="14">
        <f t="shared" si="0"/>
        <v>27</v>
      </c>
      <c r="C28" s="14">
        <v>8</v>
      </c>
      <c r="D28" s="14">
        <v>2022</v>
      </c>
      <c r="E28" s="7">
        <f>Water!C31</f>
        <v>280</v>
      </c>
      <c r="F28" s="7">
        <f>Water!E31</f>
        <v>0</v>
      </c>
      <c r="G28" s="7">
        <f>ELECT.!D32</f>
        <v>5115</v>
      </c>
      <c r="H28" s="7">
        <f>ELECT.!F32</f>
        <v>9185</v>
      </c>
      <c r="I28" s="7">
        <f>ELECT.!H32</f>
        <v>6174</v>
      </c>
      <c r="J28" s="7">
        <f>ELECT.!K32</f>
        <v>720</v>
      </c>
      <c r="K28" s="7">
        <f>ELECT.!M32</f>
        <v>170</v>
      </c>
      <c r="L28" s="8">
        <f>Gas!C30</f>
        <v>203</v>
      </c>
      <c r="M28" s="8">
        <f>Gas!E30</f>
        <v>682</v>
      </c>
      <c r="N28" s="8">
        <f>Gas!G30</f>
        <v>138</v>
      </c>
      <c r="O28" s="16">
        <f>Gas!I30</f>
        <v>25</v>
      </c>
      <c r="P28" s="16">
        <f>Gas!K30</f>
        <v>0</v>
      </c>
      <c r="Q28" s="8">
        <f>Gas!M30</f>
        <v>44</v>
      </c>
      <c r="R28" s="8">
        <f>Gas!O30</f>
        <v>129</v>
      </c>
      <c r="S28" s="8">
        <f>Gas!Q30</f>
        <v>0</v>
      </c>
      <c r="T28" s="8">
        <f>Gas!S30</f>
        <v>260</v>
      </c>
      <c r="U28" s="8">
        <f>Gas!U30</f>
        <v>20</v>
      </c>
      <c r="V28" s="8">
        <f>Gas!W30</f>
        <v>0</v>
      </c>
      <c r="W28" s="8">
        <f>Gas!Y30</f>
        <v>27</v>
      </c>
      <c r="X28" s="8">
        <f>Gas!AA30</f>
        <v>162</v>
      </c>
      <c r="Y28" s="8">
        <f>Gas!AC30</f>
        <v>0</v>
      </c>
      <c r="Z28" s="8">
        <f>Gas!AE30</f>
        <v>190</v>
      </c>
      <c r="AA28" s="8">
        <f>Gas!AG30</f>
        <v>0</v>
      </c>
      <c r="AB28" s="7">
        <f>ELECT.!B32</f>
        <v>101</v>
      </c>
    </row>
    <row r="29" spans="1:28">
      <c r="A29" s="11" t="s">
        <v>11</v>
      </c>
      <c r="B29" s="14">
        <f t="shared" si="0"/>
        <v>28</v>
      </c>
      <c r="C29" s="14">
        <v>8</v>
      </c>
      <c r="D29" s="14">
        <v>2022</v>
      </c>
      <c r="E29" s="7">
        <f>Water!C32</f>
        <v>220</v>
      </c>
      <c r="F29" s="7">
        <f>Water!E32</f>
        <v>0</v>
      </c>
      <c r="G29" s="7">
        <f>ELECT.!D33</f>
        <v>4798</v>
      </c>
      <c r="H29" s="7">
        <f>ELECT.!F33</f>
        <v>18648</v>
      </c>
      <c r="I29" s="7">
        <f>ELECT.!H33</f>
        <v>6409</v>
      </c>
      <c r="J29" s="7">
        <f>ELECT.!K33</f>
        <v>720</v>
      </c>
      <c r="K29" s="7">
        <f>ELECT.!M33</f>
        <v>169</v>
      </c>
      <c r="L29" s="8">
        <f>Gas!C31</f>
        <v>248</v>
      </c>
      <c r="M29" s="8">
        <f>Gas!E31</f>
        <v>648</v>
      </c>
      <c r="N29" s="8">
        <f>Gas!G31</f>
        <v>121</v>
      </c>
      <c r="O29" s="16">
        <f>Gas!I31</f>
        <v>17</v>
      </c>
      <c r="P29" s="16">
        <f>Gas!K31</f>
        <v>0</v>
      </c>
      <c r="Q29" s="8">
        <f>Gas!M31</f>
        <v>51</v>
      </c>
      <c r="R29" s="8">
        <f>Gas!O31</f>
        <v>116</v>
      </c>
      <c r="S29" s="8">
        <f>Gas!Q31</f>
        <v>0</v>
      </c>
      <c r="T29" s="8">
        <f>Gas!S31</f>
        <v>288</v>
      </c>
      <c r="U29" s="8">
        <f>Gas!U31</f>
        <v>36</v>
      </c>
      <c r="V29" s="8">
        <f>Gas!W31</f>
        <v>0</v>
      </c>
      <c r="W29" s="8">
        <f>Gas!Y31</f>
        <v>40</v>
      </c>
      <c r="X29" s="8">
        <f>Gas!AA31</f>
        <v>193</v>
      </c>
      <c r="Y29" s="8">
        <f>Gas!AC31</f>
        <v>0</v>
      </c>
      <c r="Z29" s="8">
        <f>Gas!AE31</f>
        <v>173</v>
      </c>
      <c r="AA29" s="8">
        <f>Gas!AG31</f>
        <v>0</v>
      </c>
      <c r="AB29" s="7">
        <f>ELECT.!B33</f>
        <v>108</v>
      </c>
    </row>
    <row r="30" spans="1:28">
      <c r="A30" s="11" t="s">
        <v>11</v>
      </c>
      <c r="B30" s="14">
        <f t="shared" si="0"/>
        <v>29</v>
      </c>
      <c r="C30" s="14">
        <v>8</v>
      </c>
      <c r="D30" s="14">
        <v>2022</v>
      </c>
      <c r="E30" s="7">
        <f>Water!C33</f>
        <v>250</v>
      </c>
      <c r="F30" s="7">
        <f>Water!E33</f>
        <v>2</v>
      </c>
      <c r="G30" s="7">
        <f>ELECT.!D34</f>
        <v>4987</v>
      </c>
      <c r="H30" s="7">
        <f>ELECT.!F34</f>
        <v>19288</v>
      </c>
      <c r="I30" s="7">
        <f>ELECT.!H34</f>
        <v>6459</v>
      </c>
      <c r="J30" s="7">
        <f>ELECT.!K34</f>
        <v>860</v>
      </c>
      <c r="K30" s="7">
        <f>ELECT.!M34</f>
        <v>179</v>
      </c>
      <c r="L30" s="8">
        <f>Gas!C32</f>
        <v>230</v>
      </c>
      <c r="M30" s="8">
        <f>Gas!E32</f>
        <v>598</v>
      </c>
      <c r="N30" s="8">
        <f>Gas!G32</f>
        <v>129</v>
      </c>
      <c r="O30" s="16">
        <f>Gas!I32</f>
        <v>18</v>
      </c>
      <c r="P30" s="16">
        <f>Gas!K32</f>
        <v>9</v>
      </c>
      <c r="Q30" s="8">
        <f>Gas!M32</f>
        <v>46</v>
      </c>
      <c r="R30" s="8">
        <f>Gas!O32</f>
        <v>47</v>
      </c>
      <c r="S30" s="8">
        <f>Gas!Q32</f>
        <v>0</v>
      </c>
      <c r="T30" s="8">
        <f>Gas!S32</f>
        <v>273</v>
      </c>
      <c r="U30" s="8">
        <f>Gas!U32</f>
        <v>29</v>
      </c>
      <c r="V30" s="8">
        <f>Gas!W32</f>
        <v>0</v>
      </c>
      <c r="W30" s="8">
        <f>Gas!Y32</f>
        <v>32</v>
      </c>
      <c r="X30" s="8">
        <f>Gas!AA32</f>
        <v>203</v>
      </c>
      <c r="Y30" s="8">
        <f>Gas!AC32</f>
        <v>0</v>
      </c>
      <c r="Z30" s="8">
        <f>Gas!AE32</f>
        <v>172</v>
      </c>
      <c r="AA30" s="8">
        <f>Gas!AG32</f>
        <v>0</v>
      </c>
      <c r="AB30" s="7">
        <f>ELECT.!B34</f>
        <v>111</v>
      </c>
    </row>
    <row r="31" spans="1:28">
      <c r="A31" s="11" t="s">
        <v>11</v>
      </c>
      <c r="B31" s="14">
        <f t="shared" si="0"/>
        <v>30</v>
      </c>
      <c r="C31" s="14">
        <v>8</v>
      </c>
      <c r="D31" s="14">
        <v>2022</v>
      </c>
      <c r="E31" s="7">
        <f>Water!C34</f>
        <v>240</v>
      </c>
      <c r="F31" s="7">
        <f>Water!E34</f>
        <v>300</v>
      </c>
      <c r="G31" s="7">
        <f>ELECT.!D35</f>
        <v>5035</v>
      </c>
      <c r="H31" s="7">
        <f>ELECT.!F35</f>
        <v>19236</v>
      </c>
      <c r="I31" s="7">
        <f>ELECT.!H35</f>
        <v>6004</v>
      </c>
      <c r="J31" s="7">
        <f>ELECT.!K35</f>
        <v>620</v>
      </c>
      <c r="K31" s="7">
        <f>ELECT.!M35</f>
        <v>159</v>
      </c>
      <c r="L31" s="8">
        <f>Gas!C33</f>
        <v>199</v>
      </c>
      <c r="M31" s="8">
        <f>Gas!E33</f>
        <v>632</v>
      </c>
      <c r="N31" s="8">
        <f>Gas!G33</f>
        <v>129</v>
      </c>
      <c r="O31" s="16">
        <f>Gas!I33</f>
        <v>23</v>
      </c>
      <c r="P31" s="16">
        <f>Gas!K33</f>
        <v>1</v>
      </c>
      <c r="Q31" s="8">
        <f>Gas!M33</f>
        <v>49</v>
      </c>
      <c r="R31" s="8">
        <f>Gas!O33</f>
        <v>65</v>
      </c>
      <c r="S31" s="8">
        <f>Gas!Q33</f>
        <v>0</v>
      </c>
      <c r="T31" s="8">
        <f>Gas!S33</f>
        <v>232</v>
      </c>
      <c r="U31" s="8">
        <f>Gas!U33</f>
        <v>35</v>
      </c>
      <c r="V31" s="8">
        <f>Gas!W33</f>
        <v>0</v>
      </c>
      <c r="W31" s="8">
        <f>Gas!Y33</f>
        <v>35</v>
      </c>
      <c r="X31" s="8">
        <f>Gas!AA33</f>
        <v>129</v>
      </c>
      <c r="Y31" s="8">
        <f>Gas!AC33</f>
        <v>0</v>
      </c>
      <c r="Z31" s="8">
        <f>Gas!AE33</f>
        <v>167</v>
      </c>
      <c r="AA31" s="8">
        <f>Gas!AG33</f>
        <v>0</v>
      </c>
      <c r="AB31" s="7">
        <f>ELECT.!B35</f>
        <v>106</v>
      </c>
    </row>
    <row r="32" spans="1:28">
      <c r="A32" s="11" t="s">
        <v>11</v>
      </c>
      <c r="B32" s="14">
        <f t="shared" si="0"/>
        <v>31</v>
      </c>
      <c r="C32" s="14">
        <v>8</v>
      </c>
      <c r="D32" s="14">
        <v>2022</v>
      </c>
      <c r="E32" s="7">
        <f>Water!C35</f>
        <v>270</v>
      </c>
      <c r="F32" s="7">
        <f>Water!E35</f>
        <v>470</v>
      </c>
      <c r="G32" s="7">
        <f>ELECT.!D36</f>
        <v>5236</v>
      </c>
      <c r="H32" s="7">
        <f>ELECT.!F36</f>
        <v>9974</v>
      </c>
      <c r="I32" s="7">
        <f>ELECT.!H36</f>
        <v>6734</v>
      </c>
      <c r="J32" s="7">
        <f>ELECT.!K36</f>
        <v>740</v>
      </c>
      <c r="K32" s="7">
        <f>ELECT.!M36</f>
        <v>155</v>
      </c>
      <c r="L32" s="8">
        <f>Gas!C34</f>
        <v>162</v>
      </c>
      <c r="M32" s="8">
        <f>Gas!E34</f>
        <v>657</v>
      </c>
      <c r="N32" s="8">
        <f>Gas!G34</f>
        <v>125</v>
      </c>
      <c r="O32" s="16">
        <f>Gas!I34</f>
        <v>30</v>
      </c>
      <c r="P32" s="16">
        <f>Gas!K34</f>
        <v>3</v>
      </c>
      <c r="Q32" s="8">
        <f>Gas!M34</f>
        <v>52</v>
      </c>
      <c r="R32" s="8">
        <f>Gas!O34</f>
        <v>142</v>
      </c>
      <c r="S32" s="8">
        <f>Gas!Q34</f>
        <v>0</v>
      </c>
      <c r="T32" s="8">
        <f>Gas!S34</f>
        <v>255</v>
      </c>
      <c r="U32" s="8">
        <f>Gas!U34</f>
        <v>28</v>
      </c>
      <c r="V32" s="8">
        <f>Gas!W34</f>
        <v>0</v>
      </c>
      <c r="W32" s="8">
        <f>Gas!Y34</f>
        <v>30</v>
      </c>
      <c r="X32" s="8">
        <f>Gas!AA34</f>
        <v>126</v>
      </c>
      <c r="Y32" s="8">
        <f>Gas!AC34</f>
        <v>0</v>
      </c>
      <c r="Z32" s="8">
        <f>Gas!AE34</f>
        <v>209</v>
      </c>
      <c r="AA32" s="8">
        <f>Gas!AG34</f>
        <v>0</v>
      </c>
      <c r="AB32" s="7">
        <f>ELECT.!B36</f>
        <v>132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6"/>
  <sheetViews>
    <sheetView zoomScale="70" zoomScaleNormal="70" workbookViewId="0">
      <selection activeCell="D4" sqref="D4:D35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20" t="s">
        <v>36</v>
      </c>
      <c r="B1" s="121"/>
      <c r="C1" s="121"/>
      <c r="D1" s="121"/>
      <c r="E1" s="122"/>
    </row>
    <row r="2" spans="1:5" ht="19.5" thickBot="1">
      <c r="A2" s="27" t="s">
        <v>1</v>
      </c>
      <c r="B2" s="123"/>
      <c r="C2" s="124"/>
      <c r="D2" s="124"/>
      <c r="E2" s="125"/>
    </row>
    <row r="3" spans="1:5" ht="18.75">
      <c r="A3" s="28"/>
      <c r="B3" s="29" t="s">
        <v>37</v>
      </c>
      <c r="C3" s="29" t="s">
        <v>38</v>
      </c>
      <c r="D3" s="89" t="s">
        <v>39</v>
      </c>
      <c r="E3" s="30" t="s">
        <v>38</v>
      </c>
    </row>
    <row r="4" spans="1:5" ht="20.25">
      <c r="A4" s="46" t="s">
        <v>40</v>
      </c>
      <c r="B4" s="110">
        <v>69485</v>
      </c>
      <c r="C4" s="80">
        <v>0</v>
      </c>
      <c r="D4" s="112">
        <v>691714</v>
      </c>
      <c r="E4" s="85">
        <v>0</v>
      </c>
    </row>
    <row r="5" spans="1:5" ht="20.25">
      <c r="A5" s="46">
        <v>44774</v>
      </c>
      <c r="B5" s="111">
        <v>69514</v>
      </c>
      <c r="C5" s="81">
        <f>(IF((B5-B4)&lt;0,"0",(B5-B4)))*10</f>
        <v>290</v>
      </c>
      <c r="D5" s="113">
        <v>692183</v>
      </c>
      <c r="E5" s="85">
        <f>E8</f>
        <v>408</v>
      </c>
    </row>
    <row r="6" spans="1:5" ht="20.25">
      <c r="A6" s="46">
        <v>44775</v>
      </c>
      <c r="B6" s="111">
        <v>69545</v>
      </c>
      <c r="C6" s="81">
        <f t="shared" ref="C6:C34" si="0">(IF((B6-B5)&lt;0,"0",(B6-B5)))*10</f>
        <v>310</v>
      </c>
      <c r="D6" s="113">
        <v>692656</v>
      </c>
      <c r="E6" s="85">
        <f>E7</f>
        <v>451</v>
      </c>
    </row>
    <row r="7" spans="1:5" ht="20.25">
      <c r="A7" s="46">
        <v>44776</v>
      </c>
      <c r="B7" s="111">
        <v>69571</v>
      </c>
      <c r="C7" s="81">
        <f t="shared" si="0"/>
        <v>260</v>
      </c>
      <c r="D7" s="113">
        <v>693107</v>
      </c>
      <c r="E7" s="85">
        <f t="shared" ref="E7:E34" si="1">(IF((D7-D6)&lt;0,"0",(D7-D6)))</f>
        <v>451</v>
      </c>
    </row>
    <row r="8" spans="1:5" ht="20.25">
      <c r="A8" s="46">
        <v>44777</v>
      </c>
      <c r="B8" s="111">
        <v>69596</v>
      </c>
      <c r="C8" s="81">
        <f t="shared" si="0"/>
        <v>250</v>
      </c>
      <c r="D8" s="113">
        <v>693515</v>
      </c>
      <c r="E8" s="85">
        <f t="shared" si="1"/>
        <v>408</v>
      </c>
    </row>
    <row r="9" spans="1:5" ht="20.25">
      <c r="A9" s="46">
        <v>44778</v>
      </c>
      <c r="B9" s="111">
        <v>69622</v>
      </c>
      <c r="C9" s="81">
        <f t="shared" si="0"/>
        <v>260</v>
      </c>
      <c r="D9" s="113">
        <v>693698</v>
      </c>
      <c r="E9" s="85">
        <f t="shared" si="1"/>
        <v>183</v>
      </c>
    </row>
    <row r="10" spans="1:5" ht="20.25">
      <c r="A10" s="46">
        <v>44779</v>
      </c>
      <c r="B10" s="111">
        <v>69647</v>
      </c>
      <c r="C10" s="81">
        <f t="shared" si="0"/>
        <v>250</v>
      </c>
      <c r="D10" s="113">
        <v>694443</v>
      </c>
      <c r="E10" s="85">
        <f t="shared" si="1"/>
        <v>745</v>
      </c>
    </row>
    <row r="11" spans="1:5" ht="20.25">
      <c r="A11" s="46">
        <v>44780</v>
      </c>
      <c r="B11" s="111">
        <v>69672</v>
      </c>
      <c r="C11" s="81">
        <f t="shared" si="0"/>
        <v>250</v>
      </c>
      <c r="D11" s="113">
        <v>694886</v>
      </c>
      <c r="E11" s="85">
        <f t="shared" si="1"/>
        <v>443</v>
      </c>
    </row>
    <row r="12" spans="1:5" ht="20.25">
      <c r="A12" s="46">
        <v>44781</v>
      </c>
      <c r="B12" s="111">
        <v>69701</v>
      </c>
      <c r="C12" s="81">
        <f t="shared" si="0"/>
        <v>290</v>
      </c>
      <c r="D12" s="113">
        <v>695350</v>
      </c>
      <c r="E12" s="85">
        <f t="shared" si="1"/>
        <v>464</v>
      </c>
    </row>
    <row r="13" spans="1:5" ht="20.25">
      <c r="A13" s="46">
        <v>44782</v>
      </c>
      <c r="B13" s="111">
        <v>69725</v>
      </c>
      <c r="C13" s="81">
        <f t="shared" si="0"/>
        <v>240</v>
      </c>
      <c r="D13" s="113">
        <v>695762</v>
      </c>
      <c r="E13" s="85">
        <f t="shared" si="1"/>
        <v>412</v>
      </c>
    </row>
    <row r="14" spans="1:5" ht="20.25">
      <c r="A14" s="46">
        <v>44783</v>
      </c>
      <c r="B14" s="111">
        <v>69747</v>
      </c>
      <c r="C14" s="81">
        <f t="shared" si="0"/>
        <v>220</v>
      </c>
      <c r="D14" s="113">
        <v>696227</v>
      </c>
      <c r="E14" s="85">
        <f t="shared" si="1"/>
        <v>465</v>
      </c>
    </row>
    <row r="15" spans="1:5" ht="20.25">
      <c r="A15" s="46">
        <v>44784</v>
      </c>
      <c r="B15" s="111">
        <v>69770</v>
      </c>
      <c r="C15" s="81">
        <f t="shared" si="0"/>
        <v>230</v>
      </c>
      <c r="D15" s="113">
        <v>696666</v>
      </c>
      <c r="E15" s="85">
        <f t="shared" si="1"/>
        <v>439</v>
      </c>
    </row>
    <row r="16" spans="1:5" ht="20.25">
      <c r="A16" s="46">
        <v>44785</v>
      </c>
      <c r="B16" s="111">
        <v>69796</v>
      </c>
      <c r="C16" s="81">
        <f t="shared" si="0"/>
        <v>260</v>
      </c>
      <c r="D16" s="113">
        <v>697114</v>
      </c>
      <c r="E16" s="86">
        <f t="shared" si="1"/>
        <v>448</v>
      </c>
    </row>
    <row r="17" spans="1:11" ht="20.25">
      <c r="A17" s="46">
        <v>44786</v>
      </c>
      <c r="B17" s="111">
        <v>69818</v>
      </c>
      <c r="C17" s="81">
        <f t="shared" si="0"/>
        <v>220</v>
      </c>
      <c r="D17" s="113">
        <v>697508</v>
      </c>
      <c r="E17" s="88">
        <f t="shared" si="1"/>
        <v>394</v>
      </c>
    </row>
    <row r="18" spans="1:11" ht="20.25">
      <c r="A18" s="46">
        <v>44787</v>
      </c>
      <c r="B18" s="111">
        <v>69841</v>
      </c>
      <c r="C18" s="81">
        <f t="shared" si="0"/>
        <v>230</v>
      </c>
      <c r="D18" s="113">
        <v>697968</v>
      </c>
      <c r="E18" s="85">
        <f t="shared" si="1"/>
        <v>460</v>
      </c>
    </row>
    <row r="19" spans="1:11" ht="20.25">
      <c r="A19" s="46">
        <v>44788</v>
      </c>
      <c r="B19" s="111">
        <v>69866</v>
      </c>
      <c r="C19" s="81">
        <f t="shared" si="0"/>
        <v>250</v>
      </c>
      <c r="D19" s="113">
        <v>698395</v>
      </c>
      <c r="E19" s="85">
        <f t="shared" si="1"/>
        <v>427</v>
      </c>
    </row>
    <row r="20" spans="1:11" ht="20.25">
      <c r="A20" s="46">
        <v>44789</v>
      </c>
      <c r="B20" s="111">
        <v>69889</v>
      </c>
      <c r="C20" s="81">
        <f t="shared" si="0"/>
        <v>230</v>
      </c>
      <c r="D20" s="113">
        <v>698861</v>
      </c>
      <c r="E20" s="85">
        <f t="shared" si="1"/>
        <v>466</v>
      </c>
    </row>
    <row r="21" spans="1:11" ht="20.25">
      <c r="A21" s="46">
        <v>44790</v>
      </c>
      <c r="B21" s="111">
        <v>69912</v>
      </c>
      <c r="C21" s="81">
        <f t="shared" si="0"/>
        <v>230</v>
      </c>
      <c r="D21" s="113">
        <v>699369</v>
      </c>
      <c r="E21" s="85">
        <f t="shared" si="1"/>
        <v>508</v>
      </c>
    </row>
    <row r="22" spans="1:11" ht="20.25">
      <c r="A22" s="46">
        <v>44791</v>
      </c>
      <c r="B22" s="111">
        <v>69937</v>
      </c>
      <c r="C22" s="81">
        <f t="shared" si="0"/>
        <v>250</v>
      </c>
      <c r="D22" s="113">
        <v>699948</v>
      </c>
      <c r="E22" s="85">
        <f t="shared" si="1"/>
        <v>579</v>
      </c>
    </row>
    <row r="23" spans="1:11" ht="20.25">
      <c r="A23" s="46">
        <v>44792</v>
      </c>
      <c r="B23" s="111">
        <v>69964</v>
      </c>
      <c r="C23" s="81">
        <f t="shared" si="0"/>
        <v>270</v>
      </c>
      <c r="D23" s="113">
        <v>700475</v>
      </c>
      <c r="E23" s="85">
        <f t="shared" si="1"/>
        <v>527</v>
      </c>
    </row>
    <row r="24" spans="1:11" ht="20.25">
      <c r="A24" s="46">
        <v>44793</v>
      </c>
      <c r="B24" s="111">
        <v>69990</v>
      </c>
      <c r="C24" s="81">
        <f t="shared" si="0"/>
        <v>260</v>
      </c>
      <c r="D24" s="113">
        <v>700949</v>
      </c>
      <c r="E24" s="85">
        <f t="shared" si="1"/>
        <v>474</v>
      </c>
    </row>
    <row r="25" spans="1:11" ht="20.25">
      <c r="A25" s="46">
        <v>44794</v>
      </c>
      <c r="B25" s="111">
        <v>70016</v>
      </c>
      <c r="C25" s="81">
        <f t="shared" si="0"/>
        <v>260</v>
      </c>
      <c r="D25" s="113">
        <v>701415</v>
      </c>
      <c r="E25" s="85">
        <f t="shared" si="1"/>
        <v>466</v>
      </c>
    </row>
    <row r="26" spans="1:11" ht="20.25">
      <c r="A26" s="46">
        <v>44795</v>
      </c>
      <c r="B26" s="111">
        <v>70039</v>
      </c>
      <c r="C26" s="81">
        <f t="shared" si="0"/>
        <v>230</v>
      </c>
      <c r="D26" s="113">
        <v>701922</v>
      </c>
      <c r="E26" s="85">
        <f t="shared" si="1"/>
        <v>507</v>
      </c>
    </row>
    <row r="27" spans="1:11" ht="20.25">
      <c r="A27" s="46">
        <v>44796</v>
      </c>
      <c r="B27" s="111">
        <v>70060</v>
      </c>
      <c r="C27" s="81">
        <f t="shared" si="0"/>
        <v>210</v>
      </c>
      <c r="D27" s="113">
        <v>702201</v>
      </c>
      <c r="E27" s="85">
        <f t="shared" si="1"/>
        <v>279</v>
      </c>
      <c r="K27" s="23"/>
    </row>
    <row r="28" spans="1:11" ht="20.25">
      <c r="A28" s="46">
        <v>44797</v>
      </c>
      <c r="B28" s="111">
        <v>70087</v>
      </c>
      <c r="C28" s="81">
        <f t="shared" si="0"/>
        <v>270</v>
      </c>
      <c r="D28" s="113">
        <v>702201</v>
      </c>
      <c r="E28" s="85">
        <f t="shared" si="1"/>
        <v>0</v>
      </c>
    </row>
    <row r="29" spans="1:11" ht="20.25">
      <c r="A29" s="46">
        <v>44798</v>
      </c>
      <c r="B29" s="111">
        <v>70115</v>
      </c>
      <c r="C29" s="81">
        <f t="shared" si="0"/>
        <v>280</v>
      </c>
      <c r="D29" s="113">
        <v>702201</v>
      </c>
      <c r="E29" s="85">
        <f t="shared" si="1"/>
        <v>0</v>
      </c>
    </row>
    <row r="30" spans="1:11" ht="20.25">
      <c r="A30" s="46">
        <v>44799</v>
      </c>
      <c r="B30" s="111">
        <v>70142</v>
      </c>
      <c r="C30" s="81">
        <f t="shared" si="0"/>
        <v>270</v>
      </c>
      <c r="D30" s="113">
        <v>702201</v>
      </c>
      <c r="E30" s="85">
        <f t="shared" si="1"/>
        <v>0</v>
      </c>
    </row>
    <row r="31" spans="1:11" ht="20.25">
      <c r="A31" s="46">
        <v>44800</v>
      </c>
      <c r="B31" s="111">
        <v>70170</v>
      </c>
      <c r="C31" s="81">
        <f t="shared" si="0"/>
        <v>280</v>
      </c>
      <c r="D31" s="113">
        <v>702201</v>
      </c>
      <c r="E31" s="85">
        <f t="shared" si="1"/>
        <v>0</v>
      </c>
    </row>
    <row r="32" spans="1:11" ht="20.25">
      <c r="A32" s="46">
        <v>44801</v>
      </c>
      <c r="B32" s="111">
        <v>70192</v>
      </c>
      <c r="C32" s="81">
        <f t="shared" si="0"/>
        <v>220</v>
      </c>
      <c r="D32" s="113">
        <v>702201</v>
      </c>
      <c r="E32" s="85">
        <f t="shared" si="1"/>
        <v>0</v>
      </c>
    </row>
    <row r="33" spans="1:5" ht="20.25">
      <c r="A33" s="46">
        <v>44802</v>
      </c>
      <c r="B33" s="111">
        <v>70217</v>
      </c>
      <c r="C33" s="81">
        <f t="shared" si="0"/>
        <v>250</v>
      </c>
      <c r="D33" s="113">
        <v>702203</v>
      </c>
      <c r="E33" s="85">
        <f t="shared" si="1"/>
        <v>2</v>
      </c>
    </row>
    <row r="34" spans="1:5" ht="20.25">
      <c r="A34" s="46">
        <v>44803</v>
      </c>
      <c r="B34" s="111">
        <v>70241</v>
      </c>
      <c r="C34" s="81">
        <f t="shared" si="0"/>
        <v>240</v>
      </c>
      <c r="D34" s="113">
        <v>702503</v>
      </c>
      <c r="E34" s="86">
        <f t="shared" si="1"/>
        <v>300</v>
      </c>
    </row>
    <row r="35" spans="1:5" ht="20.25">
      <c r="A35" s="46">
        <v>44804</v>
      </c>
      <c r="B35" s="111">
        <v>70268</v>
      </c>
      <c r="C35" s="81">
        <f>(IF((B35-B34)&lt;0,"0",(B35-B34)))*10</f>
        <v>270</v>
      </c>
      <c r="D35" s="113">
        <v>702973</v>
      </c>
      <c r="E35" s="86">
        <f>(IF((D35-D34)&lt;0,"0",(D35-D34)))</f>
        <v>470</v>
      </c>
    </row>
    <row r="36" spans="1:5" ht="27">
      <c r="A36" s="82" t="s">
        <v>41</v>
      </c>
      <c r="B36" s="83"/>
      <c r="C36" s="47">
        <f>SUM(C5:C34)</f>
        <v>7560</v>
      </c>
      <c r="D36" s="84"/>
      <c r="E36" s="87">
        <f>SUM(E5:E34)</f>
        <v>10706</v>
      </c>
    </row>
  </sheetData>
  <mergeCells count="2">
    <mergeCell ref="A1:E1"/>
    <mergeCell ref="B2:E2"/>
  </mergeCells>
  <phoneticPr fontId="0" type="noConversion"/>
  <conditionalFormatting sqref="B36 C4:C35 D36 E4:E35">
    <cfRule type="cellIs" dxfId="3" priority="110" stopIfTrue="1" operator="lessThan">
      <formula>0</formula>
    </cfRule>
  </conditionalFormatting>
  <conditionalFormatting sqref="D36">
    <cfRule type="cellIs" dxfId="2" priority="108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54"/>
  <sheetViews>
    <sheetView tabSelected="1" topLeftCell="A2" zoomScale="60" zoomScaleNormal="60" workbookViewId="0">
      <selection activeCell="D7" sqref="D7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21.5703125" style="3" customWidth="1"/>
    <col min="14" max="16384" width="41.85546875" style="3"/>
  </cols>
  <sheetData>
    <row r="1" spans="1:13" ht="16.5" thickBot="1">
      <c r="A1" s="126" t="s">
        <v>42</v>
      </c>
      <c r="B1" s="127"/>
      <c r="C1" s="127"/>
      <c r="D1" s="127"/>
      <c r="E1" s="127"/>
      <c r="F1" s="127"/>
      <c r="G1" s="127"/>
      <c r="H1" s="127"/>
      <c r="I1" s="128"/>
    </row>
    <row r="2" spans="1:13" ht="15.75" customHeight="1" thickTop="1" thickBot="1">
      <c r="A2" s="129" t="s">
        <v>43</v>
      </c>
      <c r="B2" s="130"/>
      <c r="C2" s="130"/>
      <c r="D2" s="130"/>
      <c r="E2" s="130"/>
      <c r="F2" s="130"/>
      <c r="G2" s="130"/>
      <c r="H2" s="130"/>
      <c r="I2" s="131"/>
      <c r="J2" s="98"/>
      <c r="K2" s="99"/>
      <c r="L2" s="98"/>
      <c r="M2" s="99"/>
    </row>
    <row r="3" spans="1:13" ht="16.5" thickBot="1">
      <c r="A3" s="44" t="s">
        <v>1</v>
      </c>
      <c r="B3" s="45" t="s">
        <v>44</v>
      </c>
      <c r="C3" s="106" t="s">
        <v>45</v>
      </c>
      <c r="D3" s="38" t="s">
        <v>38</v>
      </c>
      <c r="E3" s="38" t="s">
        <v>46</v>
      </c>
      <c r="F3" s="107" t="s">
        <v>38</v>
      </c>
      <c r="G3" s="38" t="s">
        <v>47</v>
      </c>
      <c r="H3" s="31" t="s">
        <v>38</v>
      </c>
      <c r="I3" s="92" t="s">
        <v>41</v>
      </c>
      <c r="J3" s="100" t="s">
        <v>48</v>
      </c>
      <c r="K3" s="38"/>
      <c r="L3" s="100" t="s">
        <v>49</v>
      </c>
      <c r="M3" s="38"/>
    </row>
    <row r="4" spans="1:13" ht="16.5" thickBot="1">
      <c r="A4" s="43"/>
      <c r="B4" s="36"/>
      <c r="C4" s="40" t="s">
        <v>50</v>
      </c>
      <c r="D4" s="39" t="s">
        <v>38</v>
      </c>
      <c r="E4" s="39" t="s">
        <v>50</v>
      </c>
      <c r="F4" s="40" t="s">
        <v>38</v>
      </c>
      <c r="G4" s="39" t="s">
        <v>50</v>
      </c>
      <c r="H4" s="37" t="s">
        <v>38</v>
      </c>
      <c r="I4" s="93" t="s">
        <v>50</v>
      </c>
      <c r="J4" s="101" t="s">
        <v>51</v>
      </c>
      <c r="K4" s="39" t="s">
        <v>52</v>
      </c>
      <c r="L4" s="101" t="s">
        <v>51</v>
      </c>
      <c r="M4" s="39" t="s">
        <v>52</v>
      </c>
    </row>
    <row r="5" spans="1:13" ht="26.25">
      <c r="A5" s="35" t="s">
        <v>40</v>
      </c>
      <c r="B5" s="33">
        <v>115</v>
      </c>
      <c r="C5" s="108">
        <v>50427920</v>
      </c>
      <c r="D5" s="41">
        <v>0</v>
      </c>
      <c r="E5" s="108">
        <v>50637739</v>
      </c>
      <c r="F5" s="75">
        <v>0</v>
      </c>
      <c r="G5" s="108">
        <v>38203994</v>
      </c>
      <c r="H5" s="75">
        <v>0</v>
      </c>
      <c r="I5" s="94"/>
      <c r="J5" s="109">
        <v>243800</v>
      </c>
      <c r="K5" s="102"/>
      <c r="L5" s="109">
        <v>74058</v>
      </c>
      <c r="M5" s="102"/>
    </row>
    <row r="6" spans="1:13" ht="26.25">
      <c r="A6" s="32">
        <v>44774</v>
      </c>
      <c r="B6" s="34">
        <v>134</v>
      </c>
      <c r="C6" s="108">
        <v>50432614</v>
      </c>
      <c r="D6" s="42">
        <f>IF((C6-C5)&lt;0,"0",(C6-C5))</f>
        <v>4694</v>
      </c>
      <c r="E6" s="108">
        <v>50647415</v>
      </c>
      <c r="F6" s="42">
        <f>IF((E6-E5)&lt;0,"0",(E6-E5))</f>
        <v>9676</v>
      </c>
      <c r="G6" s="108">
        <v>38209902</v>
      </c>
      <c r="H6" s="42">
        <f>IF((G6-G5)&lt;0,"0",(G6-G5))</f>
        <v>5908</v>
      </c>
      <c r="I6" s="95">
        <f>D6+F6+H6</f>
        <v>20278</v>
      </c>
      <c r="J6" s="109">
        <v>244540</v>
      </c>
      <c r="K6" s="102">
        <f t="shared" ref="K6:K34" si="0">IF(J6-J5&lt;0,0,J6-J5)</f>
        <v>740</v>
      </c>
      <c r="L6" s="109">
        <v>74220</v>
      </c>
      <c r="M6" s="102">
        <f t="shared" ref="M6:M21" si="1">IF(L6-L5&lt;0,0,L6-L5)</f>
        <v>162</v>
      </c>
    </row>
    <row r="7" spans="1:13" ht="26.25">
      <c r="A7" s="32">
        <v>44775</v>
      </c>
      <c r="B7" s="34">
        <v>134</v>
      </c>
      <c r="C7" s="108">
        <v>50437523</v>
      </c>
      <c r="D7" s="42">
        <f t="shared" ref="D7:D32" si="2">IF((C7-C6)&lt;0,"0",(C7-C6))</f>
        <v>4909</v>
      </c>
      <c r="E7" s="108">
        <v>50657705</v>
      </c>
      <c r="F7" s="42">
        <f t="shared" ref="F7:F32" si="3">IF((E7-E6)&lt;0,"0",(E7-E6))</f>
        <v>10290</v>
      </c>
      <c r="G7" s="108">
        <v>38217346</v>
      </c>
      <c r="H7" s="42">
        <f t="shared" ref="H7:H32" si="4">IF((G7-G6)&lt;0,"0",(G7-G6))</f>
        <v>7444</v>
      </c>
      <c r="I7" s="95">
        <f t="shared" ref="I7:I37" si="5">D7+F7+H7</f>
        <v>22643</v>
      </c>
      <c r="J7" s="109">
        <v>245310</v>
      </c>
      <c r="K7" s="102">
        <f t="shared" si="0"/>
        <v>770</v>
      </c>
      <c r="L7" s="109">
        <v>74405</v>
      </c>
      <c r="M7" s="102">
        <f t="shared" si="1"/>
        <v>185</v>
      </c>
    </row>
    <row r="8" spans="1:13" ht="26.25">
      <c r="A8" s="32">
        <v>44776</v>
      </c>
      <c r="B8" s="34">
        <v>128</v>
      </c>
      <c r="C8" s="108">
        <v>50442652</v>
      </c>
      <c r="D8" s="42">
        <f t="shared" si="2"/>
        <v>5129</v>
      </c>
      <c r="E8" s="108">
        <v>50667348</v>
      </c>
      <c r="F8" s="42">
        <f t="shared" si="3"/>
        <v>9643</v>
      </c>
      <c r="G8" s="108">
        <v>38223490</v>
      </c>
      <c r="H8" s="42">
        <f t="shared" si="4"/>
        <v>6144</v>
      </c>
      <c r="I8" s="95">
        <f t="shared" si="5"/>
        <v>20916</v>
      </c>
      <c r="J8" s="109">
        <v>246050</v>
      </c>
      <c r="K8" s="102">
        <f t="shared" si="0"/>
        <v>740</v>
      </c>
      <c r="L8" s="109">
        <v>74576</v>
      </c>
      <c r="M8" s="102">
        <f t="shared" si="1"/>
        <v>171</v>
      </c>
    </row>
    <row r="9" spans="1:13" ht="26.25">
      <c r="A9" s="32">
        <v>44777</v>
      </c>
      <c r="B9" s="34">
        <v>130</v>
      </c>
      <c r="C9" s="108">
        <v>50447898</v>
      </c>
      <c r="D9" s="42">
        <f t="shared" si="2"/>
        <v>5246</v>
      </c>
      <c r="E9" s="108">
        <v>50677106</v>
      </c>
      <c r="F9" s="42">
        <f t="shared" si="3"/>
        <v>9758</v>
      </c>
      <c r="G9" s="108">
        <v>38229719</v>
      </c>
      <c r="H9" s="42">
        <f t="shared" si="4"/>
        <v>6229</v>
      </c>
      <c r="I9" s="95">
        <f t="shared" si="5"/>
        <v>21233</v>
      </c>
      <c r="J9" s="109">
        <v>246790</v>
      </c>
      <c r="K9" s="102">
        <f t="shared" si="0"/>
        <v>740</v>
      </c>
      <c r="L9" s="109">
        <v>74744</v>
      </c>
      <c r="M9" s="102">
        <f t="shared" si="1"/>
        <v>168</v>
      </c>
    </row>
    <row r="10" spans="1:13" ht="26.25">
      <c r="A10" s="32">
        <v>44778</v>
      </c>
      <c r="B10" s="34">
        <v>136</v>
      </c>
      <c r="C10" s="108">
        <v>50454028</v>
      </c>
      <c r="D10" s="42">
        <f t="shared" si="2"/>
        <v>6130</v>
      </c>
      <c r="E10" s="108">
        <v>50688084</v>
      </c>
      <c r="F10" s="42">
        <f t="shared" si="3"/>
        <v>10978</v>
      </c>
      <c r="G10" s="108">
        <v>38236648</v>
      </c>
      <c r="H10" s="42">
        <f t="shared" si="4"/>
        <v>6929</v>
      </c>
      <c r="I10" s="95">
        <f t="shared" si="5"/>
        <v>24037</v>
      </c>
      <c r="J10" s="109">
        <v>247510</v>
      </c>
      <c r="K10" s="102">
        <f t="shared" si="0"/>
        <v>720</v>
      </c>
      <c r="L10" s="109">
        <v>74909</v>
      </c>
      <c r="M10" s="102">
        <f t="shared" si="1"/>
        <v>165</v>
      </c>
    </row>
    <row r="11" spans="1:13" ht="26.25">
      <c r="A11" s="32">
        <v>44779</v>
      </c>
      <c r="B11" s="34">
        <v>127</v>
      </c>
      <c r="C11" s="108">
        <v>50458486</v>
      </c>
      <c r="D11" s="42">
        <f t="shared" si="2"/>
        <v>4458</v>
      </c>
      <c r="E11" s="108">
        <v>50695951</v>
      </c>
      <c r="F11" s="42">
        <f t="shared" si="3"/>
        <v>7867</v>
      </c>
      <c r="G11" s="108">
        <v>38241755</v>
      </c>
      <c r="H11" s="42">
        <f t="shared" si="4"/>
        <v>5107</v>
      </c>
      <c r="I11" s="95">
        <f t="shared" si="5"/>
        <v>17432</v>
      </c>
      <c r="J11" s="109">
        <v>248250</v>
      </c>
      <c r="K11" s="102">
        <f t="shared" si="0"/>
        <v>740</v>
      </c>
      <c r="L11" s="109">
        <v>75087</v>
      </c>
      <c r="M11" s="102">
        <f t="shared" si="1"/>
        <v>178</v>
      </c>
    </row>
    <row r="12" spans="1:13" ht="26.25">
      <c r="A12" s="32">
        <v>44780</v>
      </c>
      <c r="B12" s="34">
        <v>113</v>
      </c>
      <c r="C12" s="108">
        <v>50463830</v>
      </c>
      <c r="D12" s="42">
        <f t="shared" si="2"/>
        <v>5344</v>
      </c>
      <c r="E12" s="108">
        <v>50706186</v>
      </c>
      <c r="F12" s="42">
        <f t="shared" si="3"/>
        <v>10235</v>
      </c>
      <c r="G12" s="108">
        <v>38248008</v>
      </c>
      <c r="H12" s="42">
        <f t="shared" si="4"/>
        <v>6253</v>
      </c>
      <c r="I12" s="95">
        <f t="shared" si="5"/>
        <v>21832</v>
      </c>
      <c r="J12" s="109">
        <v>248880</v>
      </c>
      <c r="K12" s="102">
        <f t="shared" si="0"/>
        <v>630</v>
      </c>
      <c r="L12" s="109">
        <v>75236</v>
      </c>
      <c r="M12" s="102">
        <f t="shared" si="1"/>
        <v>149</v>
      </c>
    </row>
    <row r="13" spans="1:13" ht="26.25">
      <c r="A13" s="32">
        <v>44781</v>
      </c>
      <c r="B13" s="34">
        <v>122</v>
      </c>
      <c r="C13" s="108">
        <v>50468798</v>
      </c>
      <c r="D13" s="42">
        <f t="shared" si="2"/>
        <v>4968</v>
      </c>
      <c r="E13" s="108">
        <v>50716033</v>
      </c>
      <c r="F13" s="42">
        <f t="shared" si="3"/>
        <v>9847</v>
      </c>
      <c r="G13" s="108">
        <v>38254510</v>
      </c>
      <c r="H13" s="42">
        <f t="shared" si="4"/>
        <v>6502</v>
      </c>
      <c r="I13" s="95">
        <f t="shared" si="5"/>
        <v>21317</v>
      </c>
      <c r="J13" s="109">
        <v>249640</v>
      </c>
      <c r="K13" s="102">
        <f t="shared" si="0"/>
        <v>760</v>
      </c>
      <c r="L13" s="109">
        <v>75396</v>
      </c>
      <c r="M13" s="102">
        <f t="shared" si="1"/>
        <v>160</v>
      </c>
    </row>
    <row r="14" spans="1:13" ht="26.25">
      <c r="A14" s="32">
        <v>44782</v>
      </c>
      <c r="B14" s="34">
        <v>117</v>
      </c>
      <c r="C14" s="108">
        <v>50473445</v>
      </c>
      <c r="D14" s="42">
        <f t="shared" si="2"/>
        <v>4647</v>
      </c>
      <c r="E14" s="108">
        <v>50725245</v>
      </c>
      <c r="F14" s="42">
        <f t="shared" si="3"/>
        <v>9212</v>
      </c>
      <c r="G14" s="108">
        <v>38260428</v>
      </c>
      <c r="H14" s="42">
        <f t="shared" si="4"/>
        <v>5918</v>
      </c>
      <c r="I14" s="95">
        <f t="shared" si="5"/>
        <v>19777</v>
      </c>
      <c r="J14" s="109">
        <v>250370</v>
      </c>
      <c r="K14" s="102">
        <f t="shared" si="0"/>
        <v>730</v>
      </c>
      <c r="L14" s="109">
        <v>75560</v>
      </c>
      <c r="M14" s="102">
        <f t="shared" si="1"/>
        <v>164</v>
      </c>
    </row>
    <row r="15" spans="1:13" ht="26.25">
      <c r="A15" s="32">
        <v>44783</v>
      </c>
      <c r="B15" s="34">
        <v>107</v>
      </c>
      <c r="C15" s="108">
        <v>50478185</v>
      </c>
      <c r="D15" s="42">
        <f t="shared" ref="D15:D27" si="6">IF((C15-C14)&lt;0,"0",(C15-C14))</f>
        <v>4740</v>
      </c>
      <c r="E15" s="108">
        <v>50734476</v>
      </c>
      <c r="F15" s="42">
        <f t="shared" si="3"/>
        <v>9231</v>
      </c>
      <c r="G15" s="108">
        <v>38266298</v>
      </c>
      <c r="H15" s="42">
        <f t="shared" si="4"/>
        <v>5870</v>
      </c>
      <c r="I15" s="95">
        <f t="shared" si="5"/>
        <v>19841</v>
      </c>
      <c r="J15" s="109">
        <v>251100</v>
      </c>
      <c r="K15" s="102">
        <f t="shared" si="0"/>
        <v>730</v>
      </c>
      <c r="L15" s="109">
        <v>75723</v>
      </c>
      <c r="M15" s="102">
        <f t="shared" si="1"/>
        <v>163</v>
      </c>
    </row>
    <row r="16" spans="1:13" ht="26.25">
      <c r="A16" s="32">
        <v>44784</v>
      </c>
      <c r="B16" s="34">
        <v>108</v>
      </c>
      <c r="C16" s="108">
        <v>50483215</v>
      </c>
      <c r="D16" s="42">
        <f t="shared" si="6"/>
        <v>5030</v>
      </c>
      <c r="E16" s="108">
        <v>50743796</v>
      </c>
      <c r="F16" s="42">
        <f t="shared" si="3"/>
        <v>9320</v>
      </c>
      <c r="G16" s="108">
        <v>38273109</v>
      </c>
      <c r="H16" s="42">
        <f t="shared" si="4"/>
        <v>6811</v>
      </c>
      <c r="I16" s="95">
        <f t="shared" si="5"/>
        <v>21161</v>
      </c>
      <c r="J16" s="109">
        <v>251910</v>
      </c>
      <c r="K16" s="102">
        <f t="shared" si="0"/>
        <v>810</v>
      </c>
      <c r="L16" s="109">
        <v>75860</v>
      </c>
      <c r="M16" s="102">
        <f t="shared" si="1"/>
        <v>137</v>
      </c>
    </row>
    <row r="17" spans="1:13" ht="26.25">
      <c r="A17" s="32">
        <v>44785</v>
      </c>
      <c r="B17" s="34">
        <v>126</v>
      </c>
      <c r="C17" s="108">
        <v>50488245</v>
      </c>
      <c r="D17" s="42">
        <f t="shared" si="6"/>
        <v>5030</v>
      </c>
      <c r="E17" s="108">
        <v>50752402</v>
      </c>
      <c r="F17" s="42">
        <f t="shared" si="3"/>
        <v>8606</v>
      </c>
      <c r="G17" s="108">
        <v>38278756</v>
      </c>
      <c r="H17" s="42">
        <f t="shared" si="4"/>
        <v>5647</v>
      </c>
      <c r="I17" s="95">
        <f t="shared" si="5"/>
        <v>19283</v>
      </c>
      <c r="J17" s="109">
        <v>252550</v>
      </c>
      <c r="K17" s="102">
        <f t="shared" si="0"/>
        <v>640</v>
      </c>
      <c r="L17" s="109">
        <v>76020</v>
      </c>
      <c r="M17" s="102">
        <f t="shared" si="1"/>
        <v>160</v>
      </c>
    </row>
    <row r="18" spans="1:13" ht="26.25">
      <c r="A18" s="32">
        <v>44786</v>
      </c>
      <c r="B18" s="34">
        <v>100</v>
      </c>
      <c r="C18" s="108">
        <v>50494180</v>
      </c>
      <c r="D18" s="42">
        <f t="shared" si="6"/>
        <v>5935</v>
      </c>
      <c r="E18" s="108">
        <v>50762862</v>
      </c>
      <c r="F18" s="42">
        <f t="shared" si="3"/>
        <v>10460</v>
      </c>
      <c r="G18" s="108">
        <v>38285865</v>
      </c>
      <c r="H18" s="42">
        <f t="shared" si="4"/>
        <v>7109</v>
      </c>
      <c r="I18" s="95">
        <f t="shared" si="5"/>
        <v>23504</v>
      </c>
      <c r="J18" s="109">
        <v>253310</v>
      </c>
      <c r="K18" s="102">
        <f t="shared" si="0"/>
        <v>760</v>
      </c>
      <c r="L18" s="109">
        <v>76191</v>
      </c>
      <c r="M18" s="102">
        <f t="shared" si="1"/>
        <v>171</v>
      </c>
    </row>
    <row r="19" spans="1:13" ht="26.25">
      <c r="A19" s="32">
        <v>44787</v>
      </c>
      <c r="B19" s="34">
        <v>117</v>
      </c>
      <c r="C19" s="108">
        <v>50498466</v>
      </c>
      <c r="D19" s="42">
        <f t="shared" si="6"/>
        <v>4286</v>
      </c>
      <c r="E19" s="108">
        <v>50770434</v>
      </c>
      <c r="F19" s="42">
        <f t="shared" si="3"/>
        <v>7572</v>
      </c>
      <c r="G19" s="108">
        <v>38290878</v>
      </c>
      <c r="H19" s="42">
        <f t="shared" si="4"/>
        <v>5013</v>
      </c>
      <c r="I19" s="95">
        <f t="shared" si="5"/>
        <v>16871</v>
      </c>
      <c r="J19" s="109">
        <v>253990</v>
      </c>
      <c r="K19" s="102">
        <f t="shared" si="0"/>
        <v>680</v>
      </c>
      <c r="L19" s="109">
        <v>76338</v>
      </c>
      <c r="M19" s="102">
        <f t="shared" si="1"/>
        <v>147</v>
      </c>
    </row>
    <row r="20" spans="1:13" ht="26.25">
      <c r="A20" s="32">
        <v>44788</v>
      </c>
      <c r="B20" s="34">
        <v>127</v>
      </c>
      <c r="C20" s="108">
        <v>50503884</v>
      </c>
      <c r="D20" s="42">
        <f t="shared" si="6"/>
        <v>5418</v>
      </c>
      <c r="E20" s="108">
        <v>50780263</v>
      </c>
      <c r="F20" s="42">
        <f t="shared" si="3"/>
        <v>9829</v>
      </c>
      <c r="G20" s="108">
        <v>38297257</v>
      </c>
      <c r="H20" s="42">
        <f t="shared" si="4"/>
        <v>6379</v>
      </c>
      <c r="I20" s="95">
        <f t="shared" si="5"/>
        <v>21626</v>
      </c>
      <c r="J20" s="109">
        <v>254810</v>
      </c>
      <c r="K20" s="102">
        <f t="shared" si="0"/>
        <v>820</v>
      </c>
      <c r="L20" s="109">
        <v>76504</v>
      </c>
      <c r="M20" s="102">
        <f t="shared" si="1"/>
        <v>166</v>
      </c>
    </row>
    <row r="21" spans="1:13" ht="26.25">
      <c r="A21" s="32">
        <v>44789</v>
      </c>
      <c r="B21" s="34">
        <v>125</v>
      </c>
      <c r="C21" s="108">
        <v>50508347</v>
      </c>
      <c r="D21" s="42">
        <f t="shared" si="6"/>
        <v>4463</v>
      </c>
      <c r="E21" s="108">
        <v>50788654</v>
      </c>
      <c r="F21" s="42">
        <f t="shared" si="3"/>
        <v>8391</v>
      </c>
      <c r="G21" s="108">
        <v>38303127</v>
      </c>
      <c r="H21" s="42">
        <f t="shared" si="4"/>
        <v>5870</v>
      </c>
      <c r="I21" s="95">
        <f t="shared" si="5"/>
        <v>18724</v>
      </c>
      <c r="J21" s="109">
        <v>255480</v>
      </c>
      <c r="K21" s="102">
        <f t="shared" si="0"/>
        <v>670</v>
      </c>
      <c r="L21" s="109">
        <v>76648</v>
      </c>
      <c r="M21" s="102">
        <f t="shared" si="1"/>
        <v>144</v>
      </c>
    </row>
    <row r="22" spans="1:13" ht="26.25">
      <c r="A22" s="32">
        <v>44790</v>
      </c>
      <c r="B22" s="34">
        <v>133</v>
      </c>
      <c r="C22" s="108">
        <v>50513032</v>
      </c>
      <c r="D22" s="42">
        <f t="shared" si="6"/>
        <v>4685</v>
      </c>
      <c r="E22" s="108">
        <v>50797192</v>
      </c>
      <c r="F22" s="42">
        <f t="shared" si="3"/>
        <v>8538</v>
      </c>
      <c r="G22" s="108">
        <v>38308777</v>
      </c>
      <c r="H22" s="42">
        <f t="shared" si="4"/>
        <v>5650</v>
      </c>
      <c r="I22" s="95">
        <f t="shared" si="5"/>
        <v>18873</v>
      </c>
      <c r="J22" s="109">
        <v>256200</v>
      </c>
      <c r="K22" s="102">
        <f t="shared" si="0"/>
        <v>720</v>
      </c>
      <c r="L22" s="109">
        <v>76825</v>
      </c>
      <c r="M22" s="102">
        <f t="shared" ref="M22:M27" si="7">IF(L22-L21&lt;0,0,L22-L21)</f>
        <v>177</v>
      </c>
    </row>
    <row r="23" spans="1:13" ht="26.25">
      <c r="A23" s="32">
        <v>44791</v>
      </c>
      <c r="B23" s="34">
        <v>140</v>
      </c>
      <c r="C23" s="108">
        <v>50518388</v>
      </c>
      <c r="D23" s="42">
        <f t="shared" si="6"/>
        <v>5356</v>
      </c>
      <c r="E23" s="108">
        <v>50806811</v>
      </c>
      <c r="F23" s="42">
        <f t="shared" si="3"/>
        <v>9619</v>
      </c>
      <c r="G23" s="108">
        <v>38315266</v>
      </c>
      <c r="H23" s="42">
        <f t="shared" si="4"/>
        <v>6489</v>
      </c>
      <c r="I23" s="95">
        <f t="shared" si="5"/>
        <v>21464</v>
      </c>
      <c r="J23" s="109">
        <v>256940</v>
      </c>
      <c r="K23" s="102">
        <f t="shared" si="0"/>
        <v>740</v>
      </c>
      <c r="L23" s="109">
        <v>76919</v>
      </c>
      <c r="M23" s="102">
        <f t="shared" si="7"/>
        <v>94</v>
      </c>
    </row>
    <row r="24" spans="1:13" ht="26.25">
      <c r="A24" s="32">
        <v>44792</v>
      </c>
      <c r="B24" s="34">
        <v>134</v>
      </c>
      <c r="C24" s="108">
        <v>50523381</v>
      </c>
      <c r="D24" s="42">
        <f t="shared" si="6"/>
        <v>4993</v>
      </c>
      <c r="E24" s="108">
        <v>50815823</v>
      </c>
      <c r="F24" s="42">
        <f t="shared" si="3"/>
        <v>9012</v>
      </c>
      <c r="G24" s="108">
        <v>38321320</v>
      </c>
      <c r="H24" s="42">
        <f t="shared" si="4"/>
        <v>6054</v>
      </c>
      <c r="I24" s="95">
        <f t="shared" si="5"/>
        <v>20059</v>
      </c>
      <c r="J24" s="109">
        <v>257730</v>
      </c>
      <c r="K24" s="102">
        <f t="shared" si="0"/>
        <v>790</v>
      </c>
      <c r="L24" s="109">
        <v>77171</v>
      </c>
      <c r="M24" s="102">
        <f t="shared" si="7"/>
        <v>252</v>
      </c>
    </row>
    <row r="25" spans="1:13" ht="26.25">
      <c r="A25" s="32">
        <v>44793</v>
      </c>
      <c r="B25" s="34">
        <v>106</v>
      </c>
      <c r="C25" s="108">
        <v>50528388</v>
      </c>
      <c r="D25" s="42">
        <f t="shared" si="6"/>
        <v>5007</v>
      </c>
      <c r="E25" s="108">
        <v>50824799</v>
      </c>
      <c r="F25" s="42">
        <f t="shared" si="3"/>
        <v>8976</v>
      </c>
      <c r="G25" s="108">
        <v>38327354</v>
      </c>
      <c r="H25" s="42">
        <f t="shared" si="4"/>
        <v>6034</v>
      </c>
      <c r="I25" s="95">
        <f t="shared" si="5"/>
        <v>20017</v>
      </c>
      <c r="J25" s="109">
        <v>258500</v>
      </c>
      <c r="K25" s="102">
        <f t="shared" si="0"/>
        <v>770</v>
      </c>
      <c r="L25" s="109">
        <v>77342</v>
      </c>
      <c r="M25" s="102">
        <f t="shared" si="7"/>
        <v>171</v>
      </c>
    </row>
    <row r="26" spans="1:13" ht="26.25">
      <c r="A26" s="32">
        <v>44794</v>
      </c>
      <c r="B26" s="34">
        <v>106</v>
      </c>
      <c r="C26" s="108">
        <v>50533330</v>
      </c>
      <c r="D26" s="42">
        <f t="shared" si="6"/>
        <v>4942</v>
      </c>
      <c r="E26" s="108">
        <v>50834052</v>
      </c>
      <c r="F26" s="42">
        <f t="shared" si="3"/>
        <v>9253</v>
      </c>
      <c r="G26" s="108">
        <v>38333671</v>
      </c>
      <c r="H26" s="42">
        <f t="shared" si="4"/>
        <v>6317</v>
      </c>
      <c r="I26" s="95">
        <f t="shared" si="5"/>
        <v>20512</v>
      </c>
      <c r="J26" s="109">
        <v>259240</v>
      </c>
      <c r="K26" s="102">
        <f t="shared" si="0"/>
        <v>740</v>
      </c>
      <c r="L26" s="109">
        <v>77512</v>
      </c>
      <c r="M26" s="102">
        <f t="shared" si="7"/>
        <v>170</v>
      </c>
    </row>
    <row r="27" spans="1:13" ht="26.25">
      <c r="A27" s="32">
        <v>44795</v>
      </c>
      <c r="B27" s="34">
        <v>127</v>
      </c>
      <c r="C27" s="108">
        <v>50538255</v>
      </c>
      <c r="D27" s="42">
        <f t="shared" si="6"/>
        <v>4925</v>
      </c>
      <c r="E27" s="108">
        <v>50843092</v>
      </c>
      <c r="F27" s="42">
        <f t="shared" si="3"/>
        <v>9040</v>
      </c>
      <c r="G27" s="108">
        <v>38339647</v>
      </c>
      <c r="H27" s="42">
        <f t="shared" si="4"/>
        <v>5976</v>
      </c>
      <c r="I27" s="95">
        <f t="shared" si="5"/>
        <v>19941</v>
      </c>
      <c r="J27" s="109">
        <v>259996</v>
      </c>
      <c r="K27" s="102">
        <f t="shared" si="0"/>
        <v>756</v>
      </c>
      <c r="L27" s="109">
        <v>77685</v>
      </c>
      <c r="M27" s="102">
        <f t="shared" si="7"/>
        <v>173</v>
      </c>
    </row>
    <row r="28" spans="1:13" ht="26.25">
      <c r="A28" s="32">
        <v>44796</v>
      </c>
      <c r="B28" s="34">
        <v>121</v>
      </c>
      <c r="C28" s="108">
        <v>50543288</v>
      </c>
      <c r="D28" s="42">
        <f t="shared" si="2"/>
        <v>5033</v>
      </c>
      <c r="E28" s="108">
        <v>50851735</v>
      </c>
      <c r="F28" s="42">
        <f t="shared" si="3"/>
        <v>8643</v>
      </c>
      <c r="G28" s="108">
        <v>38345525</v>
      </c>
      <c r="H28" s="42">
        <f t="shared" si="4"/>
        <v>5878</v>
      </c>
      <c r="I28" s="95">
        <f t="shared" si="5"/>
        <v>19554</v>
      </c>
      <c r="J28" s="109">
        <v>260700</v>
      </c>
      <c r="K28" s="102">
        <f t="shared" si="0"/>
        <v>704</v>
      </c>
      <c r="L28" s="109">
        <v>77867</v>
      </c>
      <c r="M28" s="102">
        <f>IF(L28-L27&lt;0,0,L28-L27)</f>
        <v>182</v>
      </c>
    </row>
    <row r="29" spans="1:13" ht="26.25">
      <c r="A29" s="32">
        <v>44797</v>
      </c>
      <c r="B29" s="34">
        <v>115</v>
      </c>
      <c r="C29" s="108">
        <v>50548141</v>
      </c>
      <c r="D29" s="42">
        <f t="shared" si="2"/>
        <v>4853</v>
      </c>
      <c r="E29" s="108">
        <v>50860775</v>
      </c>
      <c r="F29" s="42">
        <f t="shared" si="3"/>
        <v>9040</v>
      </c>
      <c r="G29" s="108">
        <v>38351633</v>
      </c>
      <c r="H29" s="42">
        <f t="shared" si="4"/>
        <v>6108</v>
      </c>
      <c r="I29" s="95">
        <f t="shared" si="5"/>
        <v>20001</v>
      </c>
      <c r="J29" s="109">
        <v>261440</v>
      </c>
      <c r="K29" s="102">
        <f t="shared" si="0"/>
        <v>740</v>
      </c>
      <c r="L29" s="109">
        <v>78044</v>
      </c>
      <c r="M29" s="102">
        <f>IF(L29-L28&lt;0,0,L29-L28)</f>
        <v>177</v>
      </c>
    </row>
    <row r="30" spans="1:13" ht="26.25">
      <c r="A30" s="32">
        <v>44798</v>
      </c>
      <c r="B30" s="34">
        <v>117</v>
      </c>
      <c r="C30" s="108">
        <v>50553164</v>
      </c>
      <c r="D30" s="42">
        <f t="shared" si="2"/>
        <v>5023</v>
      </c>
      <c r="E30" s="108">
        <v>50869666</v>
      </c>
      <c r="F30" s="42">
        <f t="shared" si="3"/>
        <v>8891</v>
      </c>
      <c r="G30" s="108">
        <v>38357566</v>
      </c>
      <c r="H30" s="42">
        <f t="shared" si="4"/>
        <v>5933</v>
      </c>
      <c r="I30" s="95">
        <f t="shared" si="5"/>
        <v>19847</v>
      </c>
      <c r="J30" s="109">
        <v>262230</v>
      </c>
      <c r="K30" s="102">
        <f t="shared" si="0"/>
        <v>790</v>
      </c>
      <c r="L30" s="109">
        <v>78229</v>
      </c>
      <c r="M30" s="102">
        <f>IF(L30-L29&lt;0,0,L30-L29)</f>
        <v>185</v>
      </c>
    </row>
    <row r="31" spans="1:13" ht="26.25">
      <c r="A31" s="32">
        <v>44799</v>
      </c>
      <c r="B31" s="34">
        <v>126</v>
      </c>
      <c r="C31" s="108">
        <v>50557935</v>
      </c>
      <c r="D31" s="42">
        <f t="shared" si="2"/>
        <v>4771</v>
      </c>
      <c r="E31" s="108">
        <v>50878343</v>
      </c>
      <c r="F31" s="42">
        <f t="shared" si="3"/>
        <v>8677</v>
      </c>
      <c r="G31" s="108">
        <v>38363228</v>
      </c>
      <c r="H31" s="42">
        <f t="shared" si="4"/>
        <v>5662</v>
      </c>
      <c r="I31" s="95">
        <f t="shared" si="5"/>
        <v>19110</v>
      </c>
      <c r="J31" s="109">
        <v>263030</v>
      </c>
      <c r="K31" s="102">
        <f t="shared" si="0"/>
        <v>800</v>
      </c>
      <c r="L31" s="109">
        <v>78413</v>
      </c>
      <c r="M31" s="102">
        <f t="shared" ref="M31" si="8">IF(L31-L30&lt;0,0,L31-L30)</f>
        <v>184</v>
      </c>
    </row>
    <row r="32" spans="1:13" ht="26.25">
      <c r="A32" s="32">
        <v>44800</v>
      </c>
      <c r="B32" s="34">
        <v>101</v>
      </c>
      <c r="C32" s="108">
        <v>50563050</v>
      </c>
      <c r="D32" s="42">
        <f t="shared" si="2"/>
        <v>5115</v>
      </c>
      <c r="E32" s="108">
        <v>50887528</v>
      </c>
      <c r="F32" s="42">
        <f t="shared" si="3"/>
        <v>9185</v>
      </c>
      <c r="G32" s="108">
        <v>38369402</v>
      </c>
      <c r="H32" s="42">
        <f t="shared" si="4"/>
        <v>6174</v>
      </c>
      <c r="I32" s="95">
        <f t="shared" si="5"/>
        <v>20474</v>
      </c>
      <c r="J32" s="109">
        <v>263750</v>
      </c>
      <c r="K32" s="102">
        <f>IF(J32-J31&lt;0,0,J32-J31)</f>
        <v>720</v>
      </c>
      <c r="L32" s="109">
        <v>78583</v>
      </c>
      <c r="M32" s="102">
        <f>IF(L32-L31&lt;0,0,L32-L31)</f>
        <v>170</v>
      </c>
    </row>
    <row r="33" spans="1:13" ht="26.25">
      <c r="A33" s="32">
        <v>44801</v>
      </c>
      <c r="B33" s="34">
        <v>108</v>
      </c>
      <c r="C33" s="108">
        <v>50567848</v>
      </c>
      <c r="D33" s="42">
        <f>C33-C32</f>
        <v>4798</v>
      </c>
      <c r="E33" s="108">
        <v>50896991</v>
      </c>
      <c r="F33" s="42">
        <f>IF((E33-E31)&lt;0,"0",(E33-E31))</f>
        <v>18648</v>
      </c>
      <c r="G33" s="108">
        <v>38375811</v>
      </c>
      <c r="H33" s="42">
        <f>G33-G32</f>
        <v>6409</v>
      </c>
      <c r="I33" s="95">
        <f>D33+F33+H33</f>
        <v>29855</v>
      </c>
      <c r="J33" s="109">
        <v>264470</v>
      </c>
      <c r="K33" s="102">
        <f t="shared" si="0"/>
        <v>720</v>
      </c>
      <c r="L33" s="109">
        <v>78752</v>
      </c>
      <c r="M33" s="102">
        <f>IF(L33-L32&lt;0,0,L33-L32)</f>
        <v>169</v>
      </c>
    </row>
    <row r="34" spans="1:13" ht="26.25">
      <c r="A34" s="32">
        <v>44802</v>
      </c>
      <c r="B34" s="34">
        <v>111</v>
      </c>
      <c r="C34" s="108">
        <v>50572835</v>
      </c>
      <c r="D34" s="42">
        <f>C34-C33</f>
        <v>4987</v>
      </c>
      <c r="E34" s="108">
        <v>50906816</v>
      </c>
      <c r="F34" s="42">
        <f>IF((E34-E32)&lt;0,"0",(E34-E32))</f>
        <v>19288</v>
      </c>
      <c r="G34" s="108">
        <v>38382270</v>
      </c>
      <c r="H34" s="42">
        <f>G34-G33</f>
        <v>6459</v>
      </c>
      <c r="I34" s="95">
        <f t="shared" si="5"/>
        <v>30734</v>
      </c>
      <c r="J34" s="109">
        <v>265330</v>
      </c>
      <c r="K34" s="102">
        <f t="shared" si="0"/>
        <v>860</v>
      </c>
      <c r="L34" s="109">
        <v>78931</v>
      </c>
      <c r="M34" s="102">
        <f>IF(L34-L33&lt;0,0,L34-L33)</f>
        <v>179</v>
      </c>
    </row>
    <row r="35" spans="1:13" ht="26.25">
      <c r="A35" s="32">
        <v>44803</v>
      </c>
      <c r="B35" s="34">
        <v>106</v>
      </c>
      <c r="C35" s="108">
        <v>50577870</v>
      </c>
      <c r="D35" s="72">
        <f>C35-C34</f>
        <v>5035</v>
      </c>
      <c r="E35" s="108">
        <v>50916227</v>
      </c>
      <c r="F35" s="76">
        <f>IF((E35-E33)&lt;0,"0",(E35-E33))</f>
        <v>19236</v>
      </c>
      <c r="G35" s="108">
        <v>38388274</v>
      </c>
      <c r="H35" s="72">
        <f>G35-G34</f>
        <v>6004</v>
      </c>
      <c r="I35" s="96">
        <f t="shared" si="5"/>
        <v>30275</v>
      </c>
      <c r="J35" s="109">
        <v>265950</v>
      </c>
      <c r="K35" s="102">
        <f>IF(J35-J34&lt;0,0,J35-J34)</f>
        <v>620</v>
      </c>
      <c r="L35" s="109">
        <v>79090</v>
      </c>
      <c r="M35" s="102">
        <f>IF(L35-L34&lt;0,0,L35-L34)</f>
        <v>159</v>
      </c>
    </row>
    <row r="36" spans="1:13" ht="26.25">
      <c r="A36" s="32">
        <v>44804</v>
      </c>
      <c r="B36" s="105">
        <v>132</v>
      </c>
      <c r="C36" s="108">
        <v>50583106</v>
      </c>
      <c r="D36" s="42">
        <f>IF(C36-C35&lt;0,0,C36-C35)</f>
        <v>5236</v>
      </c>
      <c r="E36" s="108">
        <v>50926201</v>
      </c>
      <c r="F36" s="42">
        <f>IF(E36-E35&lt;0,0,E36-E35)</f>
        <v>9974</v>
      </c>
      <c r="G36" s="108">
        <v>38395008</v>
      </c>
      <c r="H36" s="72">
        <f>IF(G36-G35&lt;0,0,G36-G35)</f>
        <v>6734</v>
      </c>
      <c r="I36" s="96">
        <f t="shared" si="5"/>
        <v>21944</v>
      </c>
      <c r="J36" s="109">
        <v>266690</v>
      </c>
      <c r="K36" s="102">
        <f>IF(J36-J35&lt;0,0,J36-J35)</f>
        <v>740</v>
      </c>
      <c r="L36" s="109">
        <v>79245</v>
      </c>
      <c r="M36" s="102">
        <f t="shared" ref="M36" si="9">IF(L36-L35&lt;0,0,L36-L35)</f>
        <v>155</v>
      </c>
    </row>
    <row r="37" spans="1:13" s="21" customFormat="1" ht="27.75" thickBot="1">
      <c r="A37" s="44" t="s">
        <v>41</v>
      </c>
      <c r="B37" s="45"/>
      <c r="C37" s="78"/>
      <c r="D37" s="73">
        <f>SUM(D5:D35)</f>
        <v>149950</v>
      </c>
      <c r="E37" s="79"/>
      <c r="F37" s="73">
        <f>SUM(F5:F34)</f>
        <v>287725</v>
      </c>
      <c r="G37" s="77"/>
      <c r="H37" s="73">
        <f>SUM(H5:H35)</f>
        <v>184280</v>
      </c>
      <c r="I37" s="97">
        <f t="shared" si="5"/>
        <v>621955</v>
      </c>
      <c r="J37" s="103"/>
      <c r="K37" s="104">
        <f>SUM(K5:K34)</f>
        <v>21530</v>
      </c>
      <c r="L37" s="103"/>
      <c r="M37" s="104">
        <f>SUM(M5:M34)</f>
        <v>4873</v>
      </c>
    </row>
    <row r="38" spans="1:13" ht="37.5">
      <c r="J38" s="90"/>
      <c r="K38" s="90"/>
      <c r="L38" s="90"/>
      <c r="M38" s="90"/>
    </row>
    <row r="39" spans="1:13" ht="26.25">
      <c r="A39" s="3"/>
      <c r="B39" s="25"/>
      <c r="J39"/>
      <c r="K39" s="91"/>
      <c r="L39"/>
      <c r="M39" s="91"/>
    </row>
    <row r="54" spans="1:2" ht="15">
      <c r="A54" s="3"/>
      <c r="B54" s="25"/>
    </row>
  </sheetData>
  <mergeCells count="2">
    <mergeCell ref="A1:I1"/>
    <mergeCell ref="A2:I2"/>
  </mergeCells>
  <phoneticPr fontId="0" type="noConversion"/>
  <conditionalFormatting sqref="D5:D36 F5:F36 D37:M37 A3:B37 H5:I36 K5:K36 M5:M36">
    <cfRule type="cellIs" dxfId="1" priority="21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P35"/>
  <sheetViews>
    <sheetView view="pageBreakPreview" topLeftCell="A4" zoomScale="50" zoomScaleNormal="55" zoomScaleSheetLayoutView="50" workbookViewId="0">
      <selection activeCell="AH32" sqref="AH32:AH34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26.140625" style="9" bestFit="1" customWidth="1"/>
    <col min="31" max="31" width="11.140625" style="9" customWidth="1"/>
    <col min="32" max="32" width="27" style="9" bestFit="1" customWidth="1"/>
    <col min="33" max="33" width="11.140625" style="9" customWidth="1"/>
    <col min="34" max="34" width="37.140625" style="9" customWidth="1"/>
    <col min="35" max="35" width="32.7109375" bestFit="1" customWidth="1"/>
    <col min="36" max="36" width="11.140625" style="9" bestFit="1" customWidth="1"/>
    <col min="37" max="38" width="8.5703125" bestFit="1" customWidth="1"/>
    <col min="40" max="40" width="8.5703125" bestFit="1" customWidth="1"/>
  </cols>
  <sheetData>
    <row r="1" spans="1:42" ht="33" customHeight="1" thickBot="1">
      <c r="A1" s="132" t="s">
        <v>53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</row>
    <row r="2" spans="1:42">
      <c r="A2" s="56" t="s">
        <v>1</v>
      </c>
      <c r="B2" s="58" t="s">
        <v>54</v>
      </c>
      <c r="C2" s="57" t="s">
        <v>38</v>
      </c>
      <c r="D2" s="57" t="s">
        <v>55</v>
      </c>
      <c r="E2" s="57" t="s">
        <v>38</v>
      </c>
      <c r="F2" s="57" t="s">
        <v>56</v>
      </c>
      <c r="G2" s="57" t="s">
        <v>38</v>
      </c>
      <c r="H2" s="57" t="s">
        <v>57</v>
      </c>
      <c r="I2" s="57" t="s">
        <v>38</v>
      </c>
      <c r="J2" s="57" t="s">
        <v>58</v>
      </c>
      <c r="K2" s="57" t="s">
        <v>38</v>
      </c>
      <c r="L2" s="57" t="s">
        <v>59</v>
      </c>
      <c r="M2" s="57" t="s">
        <v>38</v>
      </c>
      <c r="N2" s="57" t="s">
        <v>60</v>
      </c>
      <c r="O2" s="57" t="s">
        <v>38</v>
      </c>
      <c r="P2" s="57" t="s">
        <v>61</v>
      </c>
      <c r="Q2" s="57" t="s">
        <v>38</v>
      </c>
      <c r="R2" s="57" t="s">
        <v>62</v>
      </c>
      <c r="S2" s="57" t="s">
        <v>38</v>
      </c>
      <c r="T2" s="57" t="s">
        <v>63</v>
      </c>
      <c r="U2" s="57" t="s">
        <v>38</v>
      </c>
      <c r="V2" s="57" t="s">
        <v>64</v>
      </c>
      <c r="W2" s="57" t="s">
        <v>38</v>
      </c>
      <c r="X2" s="57" t="s">
        <v>65</v>
      </c>
      <c r="Y2" s="57" t="s">
        <v>38</v>
      </c>
      <c r="Z2" s="57" t="s">
        <v>66</v>
      </c>
      <c r="AA2" s="57" t="s">
        <v>38</v>
      </c>
      <c r="AB2" s="57" t="s">
        <v>67</v>
      </c>
      <c r="AC2" s="57" t="s">
        <v>38</v>
      </c>
      <c r="AD2" s="57" t="s">
        <v>68</v>
      </c>
      <c r="AE2" s="57" t="s">
        <v>38</v>
      </c>
      <c r="AF2" s="57" t="s">
        <v>69</v>
      </c>
      <c r="AG2" s="57"/>
      <c r="AH2" s="69" t="s">
        <v>70</v>
      </c>
      <c r="AI2" s="70" t="s">
        <v>71</v>
      </c>
      <c r="AJ2" s="55" t="s">
        <v>38</v>
      </c>
    </row>
    <row r="3" spans="1:42" ht="27">
      <c r="A3" s="54" t="s">
        <v>40</v>
      </c>
      <c r="B3" s="114">
        <v>1586451</v>
      </c>
      <c r="C3" s="62"/>
      <c r="D3" s="114">
        <v>33642742</v>
      </c>
      <c r="E3" s="60"/>
      <c r="F3" s="115">
        <v>72454</v>
      </c>
      <c r="G3" s="60"/>
      <c r="H3" s="115">
        <v>98475</v>
      </c>
      <c r="I3" s="59"/>
      <c r="J3" s="116">
        <v>184129</v>
      </c>
      <c r="K3" s="62"/>
      <c r="L3" s="115">
        <v>112855</v>
      </c>
      <c r="M3" s="60"/>
      <c r="N3" s="115">
        <v>649116</v>
      </c>
      <c r="O3" s="62"/>
      <c r="P3" s="115">
        <v>167763</v>
      </c>
      <c r="Q3" s="60"/>
      <c r="R3" s="115">
        <v>983125</v>
      </c>
      <c r="S3" s="62"/>
      <c r="T3" s="115">
        <v>81369</v>
      </c>
      <c r="U3" s="60"/>
      <c r="V3" s="115">
        <v>305810</v>
      </c>
      <c r="W3" s="62"/>
      <c r="X3" s="116">
        <v>31269</v>
      </c>
      <c r="Y3" s="60"/>
      <c r="Z3" s="116">
        <v>728050</v>
      </c>
      <c r="AA3" s="62"/>
      <c r="AB3" s="74">
        <v>1410</v>
      </c>
      <c r="AC3" s="60"/>
      <c r="AD3" s="118">
        <v>107186</v>
      </c>
      <c r="AE3" s="60"/>
      <c r="AF3" s="119">
        <v>1591</v>
      </c>
      <c r="AG3" s="60"/>
      <c r="AH3" s="67"/>
      <c r="AI3" s="71"/>
      <c r="AJ3" s="53"/>
    </row>
    <row r="4" spans="1:42">
      <c r="A4" s="52">
        <v>44774</v>
      </c>
      <c r="B4" s="114">
        <v>1586627</v>
      </c>
      <c r="C4" s="63">
        <f>IF((B4-B3)&lt;0,"0",(B4-B3))</f>
        <v>176</v>
      </c>
      <c r="D4" s="114">
        <v>33643473</v>
      </c>
      <c r="E4" s="60">
        <f>IF((D4-D3)&lt;0,"0",(D4-D3))</f>
        <v>731</v>
      </c>
      <c r="F4" s="115">
        <v>72572</v>
      </c>
      <c r="G4" s="60">
        <f>IF((F4-F3)&lt;0,"0",(F4-F3))</f>
        <v>118</v>
      </c>
      <c r="H4" s="115">
        <v>98490</v>
      </c>
      <c r="I4" s="60">
        <f>IF((H4-H3)&lt;0,"0",(H4-H3))</f>
        <v>15</v>
      </c>
      <c r="J4" s="116">
        <v>184130</v>
      </c>
      <c r="K4" s="63">
        <f>IF((J4-J3)&lt;0,"0",(J4-J3))</f>
        <v>1</v>
      </c>
      <c r="L4" s="115">
        <v>112908</v>
      </c>
      <c r="M4" s="60">
        <f>IF((L4-L3)&lt;0,"0",(L4-L3))</f>
        <v>53</v>
      </c>
      <c r="N4" s="115">
        <v>649192</v>
      </c>
      <c r="O4" s="63">
        <f>IF((N4-N3)&lt;0,"0",(N4-N3))</f>
        <v>76</v>
      </c>
      <c r="P4" s="115">
        <v>167763</v>
      </c>
      <c r="Q4" s="60">
        <f>IF((P4-P3)&lt;0,"0",(P4-P3))</f>
        <v>0</v>
      </c>
      <c r="R4" s="115">
        <v>983293</v>
      </c>
      <c r="S4" s="63">
        <f>IF((R4-R3)&lt;0,"0",(R4-R3))</f>
        <v>168</v>
      </c>
      <c r="T4" s="115">
        <v>81392</v>
      </c>
      <c r="U4" s="60">
        <f>IF((T4-T3)&lt;0,"0",(T4-T3))</f>
        <v>23</v>
      </c>
      <c r="V4" s="115">
        <v>305810</v>
      </c>
      <c r="W4" s="63">
        <f>IF((V4-V3)&lt;0,"0",(V4-V3))</f>
        <v>0</v>
      </c>
      <c r="X4" s="116">
        <v>31301</v>
      </c>
      <c r="Y4" s="60">
        <f>IF((X4-X3)&lt;0,"0",(X4-X3))</f>
        <v>32</v>
      </c>
      <c r="Z4" s="116">
        <v>728135</v>
      </c>
      <c r="AA4" s="63">
        <f>IF((Z4-Z3)&lt;0,"0",(Z4-Z3))</f>
        <v>85</v>
      </c>
      <c r="AB4" s="74">
        <v>1410</v>
      </c>
      <c r="AC4" s="60">
        <f>IF((AB4-AB3)&lt;0,"0",(AB4-AB3))</f>
        <v>0</v>
      </c>
      <c r="AD4" s="118">
        <v>107337</v>
      </c>
      <c r="AE4" s="60">
        <f>IF((AD4-AD3)&lt;0,"0",(AD4-AD3))</f>
        <v>151</v>
      </c>
      <c r="AF4" s="118">
        <v>1607</v>
      </c>
      <c r="AG4" s="60">
        <f t="shared" ref="AC4:AG33" si="0">IF((AF4-AF3)&lt;0,"0",(AF4-AF3))</f>
        <v>16</v>
      </c>
      <c r="AH4" s="68">
        <f>C4+E4+G4+I4+K4+M4+O4+Q4+S4+U4+W4+Y4+AA4+AC4+AE4+AG4</f>
        <v>1645</v>
      </c>
      <c r="AI4" s="18">
        <v>0</v>
      </c>
      <c r="AJ4" s="53">
        <f>IF((AI4-AI3)&lt;0,"0",(AI4-AI3))</f>
        <v>0</v>
      </c>
    </row>
    <row r="5" spans="1:42">
      <c r="A5" s="52">
        <v>44775</v>
      </c>
      <c r="B5" s="114">
        <v>1586837</v>
      </c>
      <c r="C5" s="63">
        <f t="shared" ref="C5:C33" si="1">IF((B5-B4)&lt;0,"0",(B5-B4))</f>
        <v>210</v>
      </c>
      <c r="D5" s="114">
        <v>33644067</v>
      </c>
      <c r="E5" s="60">
        <f t="shared" ref="E5:E33" si="2">IF((D5-D4)&lt;0,"0",(D5-D4))</f>
        <v>594</v>
      </c>
      <c r="F5" s="115">
        <v>72706</v>
      </c>
      <c r="G5" s="60">
        <f t="shared" ref="G5:G34" si="3">IF((F5-F4)&lt;0,"0",(F5-F4))</f>
        <v>134</v>
      </c>
      <c r="H5" s="115">
        <v>98508</v>
      </c>
      <c r="I5" s="60">
        <f t="shared" ref="I5:I33" si="4">IF((H5-H4)&lt;0,"0",(H5-H4))</f>
        <v>18</v>
      </c>
      <c r="J5" s="116">
        <v>184131</v>
      </c>
      <c r="K5" s="63">
        <f t="shared" ref="K5:K33" si="5">IF((J5-J4)&lt;0,"0",(J5-J4))</f>
        <v>1</v>
      </c>
      <c r="L5" s="115">
        <v>112958</v>
      </c>
      <c r="M5" s="60">
        <f t="shared" ref="M5:M33" si="6">IF((L5-L4)&lt;0,"0",(L5-L4))</f>
        <v>50</v>
      </c>
      <c r="N5" s="115">
        <v>649270</v>
      </c>
      <c r="O5" s="63">
        <f t="shared" ref="O5:O33" si="7">IF((N5-N4)&lt;0,"0",(N5-N4))</f>
        <v>78</v>
      </c>
      <c r="P5" s="115">
        <v>167763</v>
      </c>
      <c r="Q5" s="60">
        <f t="shared" ref="Q5:Q33" si="8">IF((P5-P4)&lt;0,"0",(P5-P4))</f>
        <v>0</v>
      </c>
      <c r="R5" s="115">
        <v>983703</v>
      </c>
      <c r="S5" s="63">
        <f t="shared" ref="S5:S33" si="9">IF((R5-R4)&lt;0,"0",(R5-R4))</f>
        <v>410</v>
      </c>
      <c r="T5" s="115">
        <v>81429</v>
      </c>
      <c r="U5" s="60">
        <f t="shared" ref="U5:U33" si="10">IF((T5-T4)&lt;0,"0",(T5-T4))</f>
        <v>37</v>
      </c>
      <c r="V5" s="115">
        <v>305810</v>
      </c>
      <c r="W5" s="63">
        <f t="shared" ref="W5:W33" si="11">IF((V5-V4)&lt;0,"0",(V5-V4))</f>
        <v>0</v>
      </c>
      <c r="X5" s="116">
        <v>31326</v>
      </c>
      <c r="Y5" s="60">
        <f t="shared" ref="Y5:Y33" si="12">IF((X5-X4)&lt;0,"0",(X5-X4))</f>
        <v>25</v>
      </c>
      <c r="Z5" s="116">
        <v>728186</v>
      </c>
      <c r="AA5" s="63">
        <f t="shared" ref="AA5:AA33" si="13">IF((Z5-Z4)&lt;0,"0",(Z5-Z4))</f>
        <v>51</v>
      </c>
      <c r="AB5" s="74">
        <v>1410</v>
      </c>
      <c r="AC5" s="60">
        <f t="shared" si="0"/>
        <v>0</v>
      </c>
      <c r="AD5" s="118">
        <v>107629</v>
      </c>
      <c r="AE5" s="60">
        <f t="shared" si="0"/>
        <v>292</v>
      </c>
      <c r="AF5" s="118">
        <v>1627</v>
      </c>
      <c r="AG5" s="60">
        <f t="shared" si="0"/>
        <v>20</v>
      </c>
      <c r="AH5" s="68">
        <f t="shared" ref="AH5:AH35" si="14">C5+E5+G5+I5+K5+M5+O5+Q5+S5+U5+W5+Y5+AA5+AC5+AE5+AG5</f>
        <v>1920</v>
      </c>
      <c r="AI5" s="18">
        <v>0</v>
      </c>
      <c r="AJ5" s="53">
        <f t="shared" ref="AJ5:AJ33" si="15">IF((AI5-AI4)&lt;0,"0",(AI5-AI4))</f>
        <v>0</v>
      </c>
    </row>
    <row r="6" spans="1:42">
      <c r="A6" s="52">
        <v>44776</v>
      </c>
      <c r="B6" s="114">
        <v>1587002</v>
      </c>
      <c r="C6" s="63">
        <f t="shared" si="1"/>
        <v>165</v>
      </c>
      <c r="D6" s="114">
        <v>33644766</v>
      </c>
      <c r="E6" s="60">
        <f t="shared" si="2"/>
        <v>699</v>
      </c>
      <c r="F6" s="115">
        <v>72848</v>
      </c>
      <c r="G6" s="60">
        <f t="shared" si="3"/>
        <v>142</v>
      </c>
      <c r="H6" s="115">
        <v>98532</v>
      </c>
      <c r="I6" s="60">
        <f t="shared" si="4"/>
        <v>24</v>
      </c>
      <c r="J6" s="116">
        <v>184132</v>
      </c>
      <c r="K6" s="63">
        <f t="shared" si="5"/>
        <v>1</v>
      </c>
      <c r="L6" s="115">
        <v>113030</v>
      </c>
      <c r="M6" s="60">
        <f t="shared" si="6"/>
        <v>72</v>
      </c>
      <c r="N6" s="115">
        <v>649356</v>
      </c>
      <c r="O6" s="63">
        <f t="shared" si="7"/>
        <v>86</v>
      </c>
      <c r="P6" s="115">
        <v>167763</v>
      </c>
      <c r="Q6" s="60">
        <f t="shared" si="8"/>
        <v>0</v>
      </c>
      <c r="R6" s="115">
        <v>983969</v>
      </c>
      <c r="S6" s="63">
        <f t="shared" si="9"/>
        <v>266</v>
      </c>
      <c r="T6" s="115">
        <v>81456</v>
      </c>
      <c r="U6" s="60">
        <f t="shared" si="10"/>
        <v>27</v>
      </c>
      <c r="V6" s="115">
        <v>305810</v>
      </c>
      <c r="W6" s="63">
        <f t="shared" si="11"/>
        <v>0</v>
      </c>
      <c r="X6" s="116">
        <v>31360</v>
      </c>
      <c r="Y6" s="60">
        <f t="shared" si="12"/>
        <v>34</v>
      </c>
      <c r="Z6" s="116">
        <v>728263</v>
      </c>
      <c r="AA6" s="63">
        <f t="shared" si="13"/>
        <v>77</v>
      </c>
      <c r="AB6" s="74">
        <v>1410</v>
      </c>
      <c r="AC6" s="60">
        <f t="shared" si="0"/>
        <v>0</v>
      </c>
      <c r="AD6" s="118">
        <v>107729</v>
      </c>
      <c r="AE6" s="60">
        <f t="shared" si="0"/>
        <v>100</v>
      </c>
      <c r="AF6" s="118">
        <v>1647</v>
      </c>
      <c r="AG6" s="60">
        <f t="shared" si="0"/>
        <v>20</v>
      </c>
      <c r="AH6" s="68">
        <f t="shared" si="14"/>
        <v>1713</v>
      </c>
      <c r="AI6" s="18">
        <v>0</v>
      </c>
      <c r="AJ6" s="53">
        <f t="shared" si="15"/>
        <v>0</v>
      </c>
    </row>
    <row r="7" spans="1:42">
      <c r="A7" s="52">
        <v>44777</v>
      </c>
      <c r="B7" s="114">
        <v>1587217</v>
      </c>
      <c r="C7" s="63">
        <f t="shared" si="1"/>
        <v>215</v>
      </c>
      <c r="D7" s="114">
        <v>33645429</v>
      </c>
      <c r="E7" s="60">
        <f t="shared" si="2"/>
        <v>663</v>
      </c>
      <c r="F7" s="115">
        <v>72980</v>
      </c>
      <c r="G7" s="60">
        <f t="shared" si="3"/>
        <v>132</v>
      </c>
      <c r="H7" s="115">
        <v>98554</v>
      </c>
      <c r="I7" s="60">
        <f t="shared" si="4"/>
        <v>22</v>
      </c>
      <c r="J7" s="116">
        <v>184132</v>
      </c>
      <c r="K7" s="63">
        <f t="shared" si="5"/>
        <v>0</v>
      </c>
      <c r="L7" s="115">
        <v>113085</v>
      </c>
      <c r="M7" s="60">
        <f t="shared" si="6"/>
        <v>55</v>
      </c>
      <c r="N7" s="115">
        <v>649491</v>
      </c>
      <c r="O7" s="63">
        <f t="shared" si="7"/>
        <v>135</v>
      </c>
      <c r="P7" s="115">
        <v>167763</v>
      </c>
      <c r="Q7" s="60">
        <f t="shared" si="8"/>
        <v>0</v>
      </c>
      <c r="R7" s="115">
        <v>984242</v>
      </c>
      <c r="S7" s="63">
        <f t="shared" si="9"/>
        <v>273</v>
      </c>
      <c r="T7" s="115">
        <v>81479</v>
      </c>
      <c r="U7" s="60">
        <f t="shared" si="10"/>
        <v>23</v>
      </c>
      <c r="V7" s="115">
        <v>305810</v>
      </c>
      <c r="W7" s="63">
        <f t="shared" si="11"/>
        <v>0</v>
      </c>
      <c r="X7" s="116">
        <v>31392</v>
      </c>
      <c r="Y7" s="60">
        <f t="shared" si="12"/>
        <v>32</v>
      </c>
      <c r="Z7" s="116">
        <v>728318</v>
      </c>
      <c r="AA7" s="63">
        <f t="shared" si="13"/>
        <v>55</v>
      </c>
      <c r="AB7" s="74">
        <v>1410</v>
      </c>
      <c r="AC7" s="60">
        <f t="shared" si="0"/>
        <v>0</v>
      </c>
      <c r="AD7" s="118">
        <v>107949</v>
      </c>
      <c r="AE7" s="60">
        <f t="shared" si="0"/>
        <v>220</v>
      </c>
      <c r="AF7" s="118">
        <v>1662</v>
      </c>
      <c r="AG7" s="60">
        <f t="shared" si="0"/>
        <v>15</v>
      </c>
      <c r="AH7" s="68">
        <f t="shared" si="14"/>
        <v>1840</v>
      </c>
      <c r="AI7" s="18">
        <v>0</v>
      </c>
      <c r="AJ7" s="53">
        <f t="shared" si="15"/>
        <v>0</v>
      </c>
    </row>
    <row r="8" spans="1:42">
      <c r="A8" s="52">
        <v>44778</v>
      </c>
      <c r="B8" s="114">
        <v>1587417</v>
      </c>
      <c r="C8" s="63">
        <f t="shared" si="1"/>
        <v>200</v>
      </c>
      <c r="D8" s="114">
        <v>33646189</v>
      </c>
      <c r="E8" s="60">
        <f t="shared" si="2"/>
        <v>760</v>
      </c>
      <c r="F8" s="115">
        <v>73111</v>
      </c>
      <c r="G8" s="60">
        <f t="shared" si="3"/>
        <v>131</v>
      </c>
      <c r="H8" s="115">
        <v>98582</v>
      </c>
      <c r="I8" s="60">
        <f t="shared" si="4"/>
        <v>28</v>
      </c>
      <c r="J8" s="116">
        <v>184134</v>
      </c>
      <c r="K8" s="63">
        <f t="shared" si="5"/>
        <v>2</v>
      </c>
      <c r="L8" s="115">
        <v>113141</v>
      </c>
      <c r="M8" s="60">
        <f t="shared" si="6"/>
        <v>56</v>
      </c>
      <c r="N8" s="115">
        <v>649576</v>
      </c>
      <c r="O8" s="63">
        <f t="shared" si="7"/>
        <v>85</v>
      </c>
      <c r="P8" s="115">
        <v>167763</v>
      </c>
      <c r="Q8" s="60">
        <f t="shared" si="8"/>
        <v>0</v>
      </c>
      <c r="R8" s="115">
        <v>984498</v>
      </c>
      <c r="S8" s="63">
        <f t="shared" si="9"/>
        <v>256</v>
      </c>
      <c r="T8" s="115">
        <v>81503</v>
      </c>
      <c r="U8" s="60">
        <f t="shared" si="10"/>
        <v>24</v>
      </c>
      <c r="V8" s="115">
        <v>305810</v>
      </c>
      <c r="W8" s="63">
        <f t="shared" si="11"/>
        <v>0</v>
      </c>
      <c r="X8" s="116">
        <v>31420</v>
      </c>
      <c r="Y8" s="60">
        <f t="shared" si="12"/>
        <v>28</v>
      </c>
      <c r="Z8" s="116">
        <v>728397</v>
      </c>
      <c r="AA8" s="63">
        <f t="shared" si="13"/>
        <v>79</v>
      </c>
      <c r="AB8" s="74">
        <v>1410</v>
      </c>
      <c r="AC8" s="60">
        <f t="shared" si="0"/>
        <v>0</v>
      </c>
      <c r="AD8" s="118">
        <v>108173</v>
      </c>
      <c r="AE8" s="60">
        <f t="shared" si="0"/>
        <v>224</v>
      </c>
      <c r="AF8" s="118">
        <v>1680</v>
      </c>
      <c r="AG8" s="60">
        <f t="shared" si="0"/>
        <v>18</v>
      </c>
      <c r="AH8" s="68">
        <f t="shared" si="14"/>
        <v>1891</v>
      </c>
      <c r="AI8" s="18">
        <v>0</v>
      </c>
      <c r="AJ8" s="53">
        <f t="shared" si="15"/>
        <v>0</v>
      </c>
    </row>
    <row r="9" spans="1:42">
      <c r="A9" s="52">
        <v>44779</v>
      </c>
      <c r="B9" s="114">
        <v>1587634</v>
      </c>
      <c r="C9" s="63">
        <f t="shared" si="1"/>
        <v>217</v>
      </c>
      <c r="D9" s="114">
        <v>33646904</v>
      </c>
      <c r="E9" s="60">
        <f t="shared" si="2"/>
        <v>715</v>
      </c>
      <c r="F9" s="115">
        <v>73260</v>
      </c>
      <c r="G9" s="60">
        <f t="shared" si="3"/>
        <v>149</v>
      </c>
      <c r="H9" s="115">
        <v>98609</v>
      </c>
      <c r="I9" s="60">
        <f t="shared" si="4"/>
        <v>27</v>
      </c>
      <c r="J9" s="116">
        <v>184135</v>
      </c>
      <c r="K9" s="63">
        <f t="shared" si="5"/>
        <v>1</v>
      </c>
      <c r="L9" s="115">
        <v>113187</v>
      </c>
      <c r="M9" s="60">
        <f t="shared" si="6"/>
        <v>46</v>
      </c>
      <c r="N9" s="115">
        <v>649631</v>
      </c>
      <c r="O9" s="63">
        <f t="shared" si="7"/>
        <v>55</v>
      </c>
      <c r="P9" s="115">
        <v>167763</v>
      </c>
      <c r="Q9" s="60">
        <f t="shared" si="8"/>
        <v>0</v>
      </c>
      <c r="R9" s="115">
        <v>984825</v>
      </c>
      <c r="S9" s="63">
        <f t="shared" si="9"/>
        <v>327</v>
      </c>
      <c r="T9" s="115">
        <v>81528</v>
      </c>
      <c r="U9" s="60">
        <f t="shared" si="10"/>
        <v>25</v>
      </c>
      <c r="V9" s="115">
        <v>305810</v>
      </c>
      <c r="W9" s="63">
        <f t="shared" si="11"/>
        <v>0</v>
      </c>
      <c r="X9" s="116">
        <v>31449</v>
      </c>
      <c r="Y9" s="60">
        <f t="shared" si="12"/>
        <v>29</v>
      </c>
      <c r="Z9" s="116">
        <v>728490</v>
      </c>
      <c r="AA9" s="63">
        <f t="shared" si="13"/>
        <v>93</v>
      </c>
      <c r="AB9" s="74">
        <v>1410</v>
      </c>
      <c r="AC9" s="60">
        <f t="shared" si="0"/>
        <v>0</v>
      </c>
      <c r="AD9" s="118">
        <v>108379</v>
      </c>
      <c r="AE9" s="60">
        <f t="shared" si="0"/>
        <v>206</v>
      </c>
      <c r="AF9" s="118">
        <v>1709</v>
      </c>
      <c r="AG9" s="60">
        <f t="shared" si="0"/>
        <v>29</v>
      </c>
      <c r="AH9" s="68">
        <f t="shared" si="14"/>
        <v>1919</v>
      </c>
      <c r="AI9" s="18">
        <v>0</v>
      </c>
      <c r="AJ9" s="53">
        <f t="shared" si="15"/>
        <v>0</v>
      </c>
    </row>
    <row r="10" spans="1:42">
      <c r="A10" s="52">
        <v>44780</v>
      </c>
      <c r="B10" s="114">
        <v>1587830</v>
      </c>
      <c r="C10" s="63">
        <f t="shared" si="1"/>
        <v>196</v>
      </c>
      <c r="D10" s="114">
        <v>33647636</v>
      </c>
      <c r="E10" s="60">
        <f t="shared" si="2"/>
        <v>732</v>
      </c>
      <c r="F10" s="115">
        <v>73399</v>
      </c>
      <c r="G10" s="60">
        <f t="shared" si="3"/>
        <v>139</v>
      </c>
      <c r="H10" s="115">
        <v>98639</v>
      </c>
      <c r="I10" s="60">
        <f t="shared" si="4"/>
        <v>30</v>
      </c>
      <c r="J10" s="116">
        <v>184136</v>
      </c>
      <c r="K10" s="63">
        <f t="shared" si="5"/>
        <v>1</v>
      </c>
      <c r="L10" s="115">
        <v>113238</v>
      </c>
      <c r="M10" s="60">
        <f t="shared" si="6"/>
        <v>51</v>
      </c>
      <c r="N10" s="115">
        <v>649680</v>
      </c>
      <c r="O10" s="63">
        <f t="shared" si="7"/>
        <v>49</v>
      </c>
      <c r="P10" s="115">
        <v>167763</v>
      </c>
      <c r="Q10" s="60">
        <f t="shared" si="8"/>
        <v>0</v>
      </c>
      <c r="R10" s="115">
        <v>985100</v>
      </c>
      <c r="S10" s="63">
        <f t="shared" si="9"/>
        <v>275</v>
      </c>
      <c r="T10" s="115">
        <v>81554</v>
      </c>
      <c r="U10" s="60">
        <f t="shared" si="10"/>
        <v>26</v>
      </c>
      <c r="V10" s="115">
        <v>305810</v>
      </c>
      <c r="W10" s="63">
        <f t="shared" si="11"/>
        <v>0</v>
      </c>
      <c r="X10" s="116">
        <v>31466</v>
      </c>
      <c r="Y10" s="60">
        <f t="shared" si="12"/>
        <v>17</v>
      </c>
      <c r="Z10" s="116">
        <v>728547</v>
      </c>
      <c r="AA10" s="63">
        <f t="shared" si="13"/>
        <v>57</v>
      </c>
      <c r="AB10" s="74">
        <v>1410</v>
      </c>
      <c r="AC10" s="60">
        <f t="shared" si="0"/>
        <v>0</v>
      </c>
      <c r="AD10" s="118">
        <v>108559</v>
      </c>
      <c r="AE10" s="60">
        <f t="shared" si="0"/>
        <v>180</v>
      </c>
      <c r="AF10" s="118">
        <v>1733</v>
      </c>
      <c r="AG10" s="60">
        <f t="shared" si="0"/>
        <v>24</v>
      </c>
      <c r="AH10" s="68">
        <f t="shared" si="14"/>
        <v>1777</v>
      </c>
      <c r="AI10" s="18">
        <v>0</v>
      </c>
      <c r="AJ10" s="53">
        <f t="shared" si="15"/>
        <v>0</v>
      </c>
    </row>
    <row r="11" spans="1:42">
      <c r="A11" s="52">
        <v>44781</v>
      </c>
      <c r="B11" s="114">
        <v>1588014</v>
      </c>
      <c r="C11" s="63">
        <f t="shared" si="1"/>
        <v>184</v>
      </c>
      <c r="D11" s="114">
        <v>33648519</v>
      </c>
      <c r="E11" s="60">
        <f>IF((D11-D10)&lt;0,"0",(D11-D10))</f>
        <v>883</v>
      </c>
      <c r="F11" s="115">
        <v>73532</v>
      </c>
      <c r="G11" s="60">
        <f t="shared" si="3"/>
        <v>133</v>
      </c>
      <c r="H11" s="115">
        <v>98667</v>
      </c>
      <c r="I11" s="60">
        <f t="shared" si="4"/>
        <v>28</v>
      </c>
      <c r="J11" s="116">
        <v>184136</v>
      </c>
      <c r="K11" s="63">
        <f t="shared" si="5"/>
        <v>0</v>
      </c>
      <c r="L11" s="115">
        <v>113295</v>
      </c>
      <c r="M11" s="60">
        <f t="shared" si="6"/>
        <v>57</v>
      </c>
      <c r="N11" s="115">
        <v>649778</v>
      </c>
      <c r="O11" s="63">
        <f t="shared" si="7"/>
        <v>98</v>
      </c>
      <c r="P11" s="115">
        <v>167763</v>
      </c>
      <c r="Q11" s="60">
        <f t="shared" si="8"/>
        <v>0</v>
      </c>
      <c r="R11" s="115">
        <v>985425</v>
      </c>
      <c r="S11" s="63">
        <f t="shared" si="9"/>
        <v>325</v>
      </c>
      <c r="T11" s="115">
        <v>81578</v>
      </c>
      <c r="U11" s="60">
        <f t="shared" si="10"/>
        <v>24</v>
      </c>
      <c r="V11" s="115">
        <v>305810</v>
      </c>
      <c r="W11" s="63">
        <f t="shared" si="11"/>
        <v>0</v>
      </c>
      <c r="X11" s="116">
        <v>31503</v>
      </c>
      <c r="Y11" s="60">
        <f t="shared" si="12"/>
        <v>37</v>
      </c>
      <c r="Z11" s="116">
        <v>728634</v>
      </c>
      <c r="AA11" s="63">
        <f t="shared" si="13"/>
        <v>87</v>
      </c>
      <c r="AB11" s="74">
        <v>1410</v>
      </c>
      <c r="AC11" s="60">
        <f t="shared" si="0"/>
        <v>0</v>
      </c>
      <c r="AD11" s="118">
        <v>108758</v>
      </c>
      <c r="AE11" s="60">
        <f t="shared" si="0"/>
        <v>199</v>
      </c>
      <c r="AF11" s="118">
        <v>1754</v>
      </c>
      <c r="AG11" s="60">
        <f t="shared" si="0"/>
        <v>21</v>
      </c>
      <c r="AH11" s="68">
        <f t="shared" si="14"/>
        <v>2076</v>
      </c>
      <c r="AI11" s="18">
        <v>0</v>
      </c>
      <c r="AJ11" s="53">
        <f t="shared" si="15"/>
        <v>0</v>
      </c>
    </row>
    <row r="12" spans="1:42">
      <c r="A12" s="52">
        <v>44782</v>
      </c>
      <c r="B12" s="114">
        <v>1588208</v>
      </c>
      <c r="C12" s="63">
        <f t="shared" si="1"/>
        <v>194</v>
      </c>
      <c r="D12" s="114">
        <v>33649220</v>
      </c>
      <c r="E12" s="60">
        <f>IF((D12-D11)&lt;0,"0",(D12-D11))</f>
        <v>701</v>
      </c>
      <c r="F12" s="115">
        <v>73661</v>
      </c>
      <c r="G12" s="60">
        <f t="shared" si="3"/>
        <v>129</v>
      </c>
      <c r="H12" s="115">
        <v>98690</v>
      </c>
      <c r="I12" s="60">
        <f t="shared" si="4"/>
        <v>23</v>
      </c>
      <c r="J12" s="116">
        <v>184136</v>
      </c>
      <c r="K12" s="63">
        <f t="shared" si="5"/>
        <v>0</v>
      </c>
      <c r="L12" s="115">
        <v>113362</v>
      </c>
      <c r="M12" s="60">
        <f t="shared" si="6"/>
        <v>67</v>
      </c>
      <c r="N12" s="115">
        <v>649872</v>
      </c>
      <c r="O12" s="63">
        <f t="shared" si="7"/>
        <v>94</v>
      </c>
      <c r="P12" s="115">
        <v>167763</v>
      </c>
      <c r="Q12" s="60">
        <f t="shared" si="8"/>
        <v>0</v>
      </c>
      <c r="R12" s="115">
        <v>985705</v>
      </c>
      <c r="S12" s="63">
        <f t="shared" si="9"/>
        <v>280</v>
      </c>
      <c r="T12" s="115">
        <v>81609</v>
      </c>
      <c r="U12" s="60">
        <f t="shared" si="10"/>
        <v>31</v>
      </c>
      <c r="V12" s="115">
        <v>305810</v>
      </c>
      <c r="W12" s="63">
        <f t="shared" si="11"/>
        <v>0</v>
      </c>
      <c r="X12" s="116">
        <v>31523</v>
      </c>
      <c r="Y12" s="60">
        <f t="shared" si="12"/>
        <v>20</v>
      </c>
      <c r="Z12" s="116">
        <v>728706</v>
      </c>
      <c r="AA12" s="63">
        <f t="shared" si="13"/>
        <v>72</v>
      </c>
      <c r="AB12" s="74">
        <v>1410</v>
      </c>
      <c r="AC12" s="60">
        <f t="shared" si="0"/>
        <v>0</v>
      </c>
      <c r="AD12" s="118">
        <v>108967</v>
      </c>
      <c r="AE12" s="60">
        <f t="shared" si="0"/>
        <v>209</v>
      </c>
      <c r="AF12" s="118">
        <v>1777</v>
      </c>
      <c r="AG12" s="60">
        <f t="shared" si="0"/>
        <v>23</v>
      </c>
      <c r="AH12" s="68">
        <f t="shared" si="14"/>
        <v>1843</v>
      </c>
      <c r="AI12" s="18">
        <v>0</v>
      </c>
      <c r="AJ12" s="53">
        <f t="shared" si="15"/>
        <v>0</v>
      </c>
    </row>
    <row r="13" spans="1:42">
      <c r="A13" s="52">
        <v>44783</v>
      </c>
      <c r="B13" s="114">
        <v>1588455</v>
      </c>
      <c r="C13" s="63">
        <f t="shared" si="1"/>
        <v>247</v>
      </c>
      <c r="D13" s="114">
        <v>33649896</v>
      </c>
      <c r="E13" s="60">
        <f>IF((D13-D12)&lt;0,"0",(D13-D12))</f>
        <v>676</v>
      </c>
      <c r="F13" s="115">
        <v>73812</v>
      </c>
      <c r="G13" s="60">
        <f t="shared" si="3"/>
        <v>151</v>
      </c>
      <c r="H13" s="115">
        <v>98720</v>
      </c>
      <c r="I13" s="60">
        <f t="shared" si="4"/>
        <v>30</v>
      </c>
      <c r="J13" s="116">
        <v>184136</v>
      </c>
      <c r="K13" s="63">
        <f t="shared" si="5"/>
        <v>0</v>
      </c>
      <c r="L13" s="115">
        <v>113417</v>
      </c>
      <c r="M13" s="60">
        <f t="shared" si="6"/>
        <v>55</v>
      </c>
      <c r="N13" s="115">
        <v>649965</v>
      </c>
      <c r="O13" s="63">
        <f t="shared" si="7"/>
        <v>93</v>
      </c>
      <c r="P13" s="115">
        <v>167763</v>
      </c>
      <c r="Q13" s="60">
        <f t="shared" si="8"/>
        <v>0</v>
      </c>
      <c r="R13" s="115">
        <v>986004</v>
      </c>
      <c r="S13" s="63">
        <f t="shared" si="9"/>
        <v>299</v>
      </c>
      <c r="T13" s="115">
        <v>81642</v>
      </c>
      <c r="U13" s="60">
        <f t="shared" si="10"/>
        <v>33</v>
      </c>
      <c r="V13" s="115">
        <v>305810</v>
      </c>
      <c r="W13" s="63">
        <f t="shared" si="11"/>
        <v>0</v>
      </c>
      <c r="X13" s="116">
        <v>31544</v>
      </c>
      <c r="Y13" s="60">
        <f t="shared" si="12"/>
        <v>21</v>
      </c>
      <c r="Z13" s="116">
        <v>728783</v>
      </c>
      <c r="AA13" s="63">
        <f t="shared" si="13"/>
        <v>77</v>
      </c>
      <c r="AB13" s="74">
        <v>1410</v>
      </c>
      <c r="AC13" s="60">
        <f t="shared" si="0"/>
        <v>0</v>
      </c>
      <c r="AD13" s="118">
        <v>109160</v>
      </c>
      <c r="AE13" s="60">
        <f t="shared" si="0"/>
        <v>193</v>
      </c>
      <c r="AF13" s="118">
        <v>1795</v>
      </c>
      <c r="AG13" s="60">
        <f t="shared" si="0"/>
        <v>18</v>
      </c>
      <c r="AH13" s="68">
        <f t="shared" si="14"/>
        <v>1893</v>
      </c>
      <c r="AI13" s="18">
        <v>0</v>
      </c>
      <c r="AJ13" s="53">
        <f t="shared" si="15"/>
        <v>0</v>
      </c>
    </row>
    <row r="14" spans="1:42">
      <c r="A14" s="52">
        <v>44784</v>
      </c>
      <c r="B14" s="114">
        <v>1588604</v>
      </c>
      <c r="C14" s="63">
        <f t="shared" si="1"/>
        <v>149</v>
      </c>
      <c r="D14" s="114">
        <v>33650399</v>
      </c>
      <c r="E14" s="60">
        <f t="shared" si="2"/>
        <v>503</v>
      </c>
      <c r="F14" s="115">
        <v>73907</v>
      </c>
      <c r="G14" s="60">
        <f t="shared" si="3"/>
        <v>95</v>
      </c>
      <c r="H14" s="115">
        <v>98739</v>
      </c>
      <c r="I14" s="60">
        <f t="shared" si="4"/>
        <v>19</v>
      </c>
      <c r="J14" s="116">
        <v>184136</v>
      </c>
      <c r="K14" s="63">
        <f t="shared" si="5"/>
        <v>0</v>
      </c>
      <c r="L14" s="115">
        <v>113471</v>
      </c>
      <c r="M14" s="60">
        <f t="shared" si="6"/>
        <v>54</v>
      </c>
      <c r="N14" s="115">
        <v>650017</v>
      </c>
      <c r="O14" s="63">
        <f t="shared" si="7"/>
        <v>52</v>
      </c>
      <c r="P14" s="115">
        <v>167763</v>
      </c>
      <c r="Q14" s="60">
        <f t="shared" si="8"/>
        <v>0</v>
      </c>
      <c r="R14" s="115">
        <v>986272</v>
      </c>
      <c r="S14" s="63">
        <f t="shared" si="9"/>
        <v>268</v>
      </c>
      <c r="T14" s="115">
        <v>81660</v>
      </c>
      <c r="U14" s="60">
        <f t="shared" si="10"/>
        <v>18</v>
      </c>
      <c r="V14" s="115">
        <v>305810</v>
      </c>
      <c r="W14" s="63">
        <f t="shared" si="11"/>
        <v>0</v>
      </c>
      <c r="X14" s="116">
        <v>31574</v>
      </c>
      <c r="Y14" s="60">
        <f t="shared" si="12"/>
        <v>30</v>
      </c>
      <c r="Z14" s="116">
        <v>728859</v>
      </c>
      <c r="AA14" s="63">
        <f t="shared" si="13"/>
        <v>76</v>
      </c>
      <c r="AB14" s="74">
        <v>1410</v>
      </c>
      <c r="AC14" s="60">
        <f t="shared" si="0"/>
        <v>0</v>
      </c>
      <c r="AD14" s="118">
        <v>109353</v>
      </c>
      <c r="AE14" s="60">
        <f t="shared" si="0"/>
        <v>193</v>
      </c>
      <c r="AF14" s="118">
        <v>1812</v>
      </c>
      <c r="AG14" s="60">
        <f t="shared" si="0"/>
        <v>17</v>
      </c>
      <c r="AH14" s="68">
        <f t="shared" si="14"/>
        <v>1474</v>
      </c>
      <c r="AI14" s="18">
        <v>0</v>
      </c>
      <c r="AJ14" s="53">
        <f t="shared" si="15"/>
        <v>0</v>
      </c>
    </row>
    <row r="15" spans="1:42">
      <c r="A15" s="52">
        <v>44785</v>
      </c>
      <c r="B15" s="114">
        <v>1588795</v>
      </c>
      <c r="C15" s="63">
        <f t="shared" si="1"/>
        <v>191</v>
      </c>
      <c r="D15" s="114">
        <v>33651250</v>
      </c>
      <c r="E15" s="60">
        <f t="shared" si="2"/>
        <v>851</v>
      </c>
      <c r="F15" s="115">
        <v>74046</v>
      </c>
      <c r="G15" s="60">
        <f t="shared" si="3"/>
        <v>139</v>
      </c>
      <c r="H15" s="115">
        <v>98765</v>
      </c>
      <c r="I15" s="60">
        <f t="shared" si="4"/>
        <v>26</v>
      </c>
      <c r="J15" s="116">
        <v>184136</v>
      </c>
      <c r="K15" s="63">
        <f t="shared" si="5"/>
        <v>0</v>
      </c>
      <c r="L15" s="115">
        <v>113529</v>
      </c>
      <c r="M15" s="60">
        <f t="shared" si="6"/>
        <v>58</v>
      </c>
      <c r="N15" s="115">
        <v>650077</v>
      </c>
      <c r="O15" s="63">
        <f t="shared" si="7"/>
        <v>60</v>
      </c>
      <c r="P15" s="115">
        <v>167763</v>
      </c>
      <c r="Q15" s="60">
        <f t="shared" si="8"/>
        <v>0</v>
      </c>
      <c r="R15" s="115">
        <v>986587</v>
      </c>
      <c r="S15" s="63">
        <f t="shared" si="9"/>
        <v>315</v>
      </c>
      <c r="T15" s="115">
        <v>81683</v>
      </c>
      <c r="U15" s="60">
        <f t="shared" si="10"/>
        <v>23</v>
      </c>
      <c r="V15" s="115">
        <v>305810</v>
      </c>
      <c r="W15" s="63">
        <f t="shared" si="11"/>
        <v>0</v>
      </c>
      <c r="X15" s="116">
        <v>31600</v>
      </c>
      <c r="Y15" s="60">
        <f t="shared" si="12"/>
        <v>26</v>
      </c>
      <c r="Z15" s="116">
        <v>728923</v>
      </c>
      <c r="AA15" s="63">
        <f t="shared" si="13"/>
        <v>64</v>
      </c>
      <c r="AB15" s="74">
        <v>1410</v>
      </c>
      <c r="AC15" s="60">
        <f t="shared" si="0"/>
        <v>0</v>
      </c>
      <c r="AD15" s="118">
        <v>109572</v>
      </c>
      <c r="AE15" s="60">
        <f t="shared" si="0"/>
        <v>219</v>
      </c>
      <c r="AF15" s="118">
        <v>1826</v>
      </c>
      <c r="AG15" s="60">
        <f t="shared" si="0"/>
        <v>14</v>
      </c>
      <c r="AH15" s="68">
        <f t="shared" si="14"/>
        <v>1986</v>
      </c>
      <c r="AI15" s="18">
        <v>0</v>
      </c>
      <c r="AJ15" s="53">
        <f t="shared" si="15"/>
        <v>0</v>
      </c>
    </row>
    <row r="16" spans="1:42">
      <c r="A16" s="52">
        <v>44786</v>
      </c>
      <c r="B16" s="114">
        <v>1589025</v>
      </c>
      <c r="C16" s="63">
        <f t="shared" si="1"/>
        <v>230</v>
      </c>
      <c r="D16" s="114">
        <v>33652004</v>
      </c>
      <c r="E16" s="60">
        <f t="shared" si="2"/>
        <v>754</v>
      </c>
      <c r="F16" s="115">
        <v>74197</v>
      </c>
      <c r="G16" s="60">
        <f t="shared" si="3"/>
        <v>151</v>
      </c>
      <c r="H16" s="115">
        <v>98789</v>
      </c>
      <c r="I16" s="60">
        <f t="shared" si="4"/>
        <v>24</v>
      </c>
      <c r="J16" s="116">
        <v>184136</v>
      </c>
      <c r="K16" s="63">
        <f t="shared" si="5"/>
        <v>0</v>
      </c>
      <c r="L16" s="115">
        <v>113573</v>
      </c>
      <c r="M16" s="60">
        <f t="shared" si="6"/>
        <v>44</v>
      </c>
      <c r="N16" s="115">
        <v>650168</v>
      </c>
      <c r="O16" s="63">
        <f t="shared" si="7"/>
        <v>91</v>
      </c>
      <c r="P16" s="115">
        <v>167763</v>
      </c>
      <c r="Q16" s="60">
        <f t="shared" si="8"/>
        <v>0</v>
      </c>
      <c r="R16" s="115">
        <v>986890</v>
      </c>
      <c r="S16" s="63">
        <f t="shared" si="9"/>
        <v>303</v>
      </c>
      <c r="T16" s="115">
        <v>81700</v>
      </c>
      <c r="U16" s="60">
        <f t="shared" si="10"/>
        <v>17</v>
      </c>
      <c r="V16" s="115">
        <v>305810</v>
      </c>
      <c r="W16" s="63">
        <f t="shared" si="11"/>
        <v>0</v>
      </c>
      <c r="X16" s="116">
        <v>31627</v>
      </c>
      <c r="Y16" s="60">
        <f t="shared" si="12"/>
        <v>27</v>
      </c>
      <c r="Z16" s="116">
        <v>728994</v>
      </c>
      <c r="AA16" s="63">
        <f t="shared" si="13"/>
        <v>71</v>
      </c>
      <c r="AB16" s="74">
        <v>1410</v>
      </c>
      <c r="AC16" s="60">
        <f t="shared" si="0"/>
        <v>0</v>
      </c>
      <c r="AD16" s="118">
        <v>109572</v>
      </c>
      <c r="AE16" s="60">
        <f t="shared" si="0"/>
        <v>0</v>
      </c>
      <c r="AF16" s="118">
        <v>1855</v>
      </c>
      <c r="AG16" s="60">
        <f t="shared" si="0"/>
        <v>29</v>
      </c>
      <c r="AH16" s="68">
        <f t="shared" si="14"/>
        <v>1741</v>
      </c>
      <c r="AI16" s="18">
        <v>0</v>
      </c>
      <c r="AJ16" s="53">
        <f t="shared" si="15"/>
        <v>0</v>
      </c>
      <c r="AP16" t="s">
        <v>72</v>
      </c>
    </row>
    <row r="17" spans="1:42">
      <c r="A17" s="52">
        <v>44787</v>
      </c>
      <c r="B17" s="114">
        <v>1589239</v>
      </c>
      <c r="C17" s="63">
        <f t="shared" si="1"/>
        <v>214</v>
      </c>
      <c r="D17" s="114">
        <v>33652740</v>
      </c>
      <c r="E17" s="60">
        <f t="shared" si="2"/>
        <v>736</v>
      </c>
      <c r="F17" s="115">
        <v>74331</v>
      </c>
      <c r="G17" s="60">
        <f t="shared" si="3"/>
        <v>134</v>
      </c>
      <c r="H17" s="115">
        <v>98814</v>
      </c>
      <c r="I17" s="60">
        <f t="shared" si="4"/>
        <v>25</v>
      </c>
      <c r="J17" s="116">
        <v>184136</v>
      </c>
      <c r="K17" s="63">
        <f t="shared" si="5"/>
        <v>0</v>
      </c>
      <c r="L17" s="115">
        <v>113623</v>
      </c>
      <c r="M17" s="60">
        <f t="shared" si="6"/>
        <v>50</v>
      </c>
      <c r="N17" s="115">
        <v>650200</v>
      </c>
      <c r="O17" s="63">
        <f t="shared" si="7"/>
        <v>32</v>
      </c>
      <c r="P17" s="115">
        <v>167763</v>
      </c>
      <c r="Q17" s="60">
        <f t="shared" si="8"/>
        <v>0</v>
      </c>
      <c r="R17" s="115">
        <v>987159</v>
      </c>
      <c r="S17" s="63">
        <f t="shared" si="9"/>
        <v>269</v>
      </c>
      <c r="T17" s="115">
        <v>81735</v>
      </c>
      <c r="U17" s="60">
        <f t="shared" si="10"/>
        <v>35</v>
      </c>
      <c r="V17" s="115">
        <v>305810</v>
      </c>
      <c r="W17" s="63">
        <f t="shared" si="11"/>
        <v>0</v>
      </c>
      <c r="X17" s="116">
        <v>31659</v>
      </c>
      <c r="Y17" s="60">
        <f t="shared" si="12"/>
        <v>32</v>
      </c>
      <c r="Z17" s="116">
        <v>729059</v>
      </c>
      <c r="AA17" s="63">
        <f t="shared" si="13"/>
        <v>65</v>
      </c>
      <c r="AB17" s="74">
        <v>1410</v>
      </c>
      <c r="AC17" s="60">
        <f t="shared" si="0"/>
        <v>0</v>
      </c>
      <c r="AD17" s="118">
        <v>109949</v>
      </c>
      <c r="AE17" s="60">
        <f t="shared" si="0"/>
        <v>377</v>
      </c>
      <c r="AF17" s="118">
        <v>1872</v>
      </c>
      <c r="AG17" s="60">
        <f t="shared" si="0"/>
        <v>17</v>
      </c>
      <c r="AH17" s="68">
        <f t="shared" si="14"/>
        <v>1986</v>
      </c>
      <c r="AI17" s="18">
        <v>0</v>
      </c>
      <c r="AJ17" s="53">
        <f t="shared" si="15"/>
        <v>0</v>
      </c>
    </row>
    <row r="18" spans="1:42">
      <c r="A18" s="52">
        <v>44788</v>
      </c>
      <c r="B18" s="114">
        <v>1589478</v>
      </c>
      <c r="C18" s="63">
        <f t="shared" si="1"/>
        <v>239</v>
      </c>
      <c r="D18" s="114">
        <v>33653450</v>
      </c>
      <c r="E18" s="60">
        <f t="shared" si="2"/>
        <v>710</v>
      </c>
      <c r="F18" s="115">
        <v>74449</v>
      </c>
      <c r="G18" s="60">
        <f t="shared" si="3"/>
        <v>118</v>
      </c>
      <c r="H18" s="115">
        <v>98841</v>
      </c>
      <c r="I18" s="60">
        <f t="shared" si="4"/>
        <v>27</v>
      </c>
      <c r="J18" s="116">
        <v>184136</v>
      </c>
      <c r="K18" s="63">
        <f t="shared" si="5"/>
        <v>0</v>
      </c>
      <c r="L18" s="117">
        <v>113669</v>
      </c>
      <c r="M18" s="60">
        <f t="shared" si="6"/>
        <v>46</v>
      </c>
      <c r="N18" s="115">
        <v>650290</v>
      </c>
      <c r="O18" s="63">
        <f t="shared" si="7"/>
        <v>90</v>
      </c>
      <c r="P18" s="115">
        <v>167763</v>
      </c>
      <c r="Q18" s="60">
        <f t="shared" si="8"/>
        <v>0</v>
      </c>
      <c r="R18" s="115">
        <v>987519</v>
      </c>
      <c r="S18" s="63">
        <f t="shared" si="9"/>
        <v>360</v>
      </c>
      <c r="T18" s="115">
        <v>81764</v>
      </c>
      <c r="U18" s="60">
        <f t="shared" si="10"/>
        <v>29</v>
      </c>
      <c r="V18" s="115">
        <v>305810</v>
      </c>
      <c r="W18" s="63">
        <f t="shared" si="11"/>
        <v>0</v>
      </c>
      <c r="X18" s="116">
        <v>31690</v>
      </c>
      <c r="Y18" s="60">
        <f t="shared" si="12"/>
        <v>31</v>
      </c>
      <c r="Z18" s="116">
        <v>729134</v>
      </c>
      <c r="AA18" s="63">
        <f t="shared" si="13"/>
        <v>75</v>
      </c>
      <c r="AB18" s="74">
        <v>1410</v>
      </c>
      <c r="AC18" s="60">
        <f t="shared" si="0"/>
        <v>0</v>
      </c>
      <c r="AD18" s="118">
        <v>110165</v>
      </c>
      <c r="AE18" s="60">
        <f t="shared" si="0"/>
        <v>216</v>
      </c>
      <c r="AF18" s="118">
        <v>1897</v>
      </c>
      <c r="AG18" s="60">
        <f t="shared" si="0"/>
        <v>25</v>
      </c>
      <c r="AH18" s="68">
        <f t="shared" si="14"/>
        <v>1966</v>
      </c>
      <c r="AI18" s="18">
        <v>0</v>
      </c>
      <c r="AJ18" s="53">
        <f t="shared" si="15"/>
        <v>0</v>
      </c>
    </row>
    <row r="19" spans="1:42">
      <c r="A19" s="52">
        <v>44789</v>
      </c>
      <c r="B19" s="114">
        <v>1589702</v>
      </c>
      <c r="C19" s="63">
        <f t="shared" si="1"/>
        <v>224</v>
      </c>
      <c r="D19" s="114">
        <v>33654220</v>
      </c>
      <c r="E19" s="60">
        <f t="shared" si="2"/>
        <v>770</v>
      </c>
      <c r="F19" s="115">
        <v>74600</v>
      </c>
      <c r="G19" s="60">
        <f t="shared" si="3"/>
        <v>151</v>
      </c>
      <c r="H19" s="115">
        <v>98862</v>
      </c>
      <c r="I19" s="60">
        <f t="shared" si="4"/>
        <v>21</v>
      </c>
      <c r="J19" s="116">
        <v>184136</v>
      </c>
      <c r="K19" s="63">
        <f t="shared" si="5"/>
        <v>0</v>
      </c>
      <c r="L19" s="115">
        <v>113722</v>
      </c>
      <c r="M19" s="60">
        <f t="shared" si="6"/>
        <v>53</v>
      </c>
      <c r="N19" s="115">
        <v>650396</v>
      </c>
      <c r="O19" s="63">
        <f t="shared" si="7"/>
        <v>106</v>
      </c>
      <c r="P19" s="115">
        <v>167763</v>
      </c>
      <c r="Q19" s="60">
        <f t="shared" si="8"/>
        <v>0</v>
      </c>
      <c r="R19" s="115">
        <v>987815</v>
      </c>
      <c r="S19" s="63">
        <f t="shared" si="9"/>
        <v>296</v>
      </c>
      <c r="T19" s="115">
        <v>81801</v>
      </c>
      <c r="U19" s="60">
        <f t="shared" si="10"/>
        <v>37</v>
      </c>
      <c r="V19" s="115">
        <v>305810</v>
      </c>
      <c r="W19" s="63">
        <f t="shared" si="11"/>
        <v>0</v>
      </c>
      <c r="X19" s="116">
        <v>31726</v>
      </c>
      <c r="Y19" s="60">
        <f t="shared" si="12"/>
        <v>36</v>
      </c>
      <c r="Z19" s="116">
        <v>729273</v>
      </c>
      <c r="AA19" s="63">
        <f t="shared" si="13"/>
        <v>139</v>
      </c>
      <c r="AB19" s="74">
        <v>1410</v>
      </c>
      <c r="AC19" s="60">
        <f t="shared" si="0"/>
        <v>0</v>
      </c>
      <c r="AD19" s="118">
        <v>110256</v>
      </c>
      <c r="AE19" s="60">
        <f t="shared" si="0"/>
        <v>91</v>
      </c>
      <c r="AF19" s="118">
        <v>1926</v>
      </c>
      <c r="AG19" s="60">
        <f t="shared" si="0"/>
        <v>29</v>
      </c>
      <c r="AH19" s="68">
        <f t="shared" si="14"/>
        <v>1953</v>
      </c>
      <c r="AI19" s="18">
        <v>0</v>
      </c>
      <c r="AJ19" s="53">
        <f t="shared" si="15"/>
        <v>0</v>
      </c>
    </row>
    <row r="20" spans="1:42">
      <c r="A20" s="52">
        <v>44790</v>
      </c>
      <c r="B20" s="114">
        <v>1589896</v>
      </c>
      <c r="C20" s="63">
        <f t="shared" si="1"/>
        <v>194</v>
      </c>
      <c r="D20" s="114">
        <v>33654962</v>
      </c>
      <c r="E20" s="60">
        <f t="shared" si="2"/>
        <v>742</v>
      </c>
      <c r="F20" s="115">
        <v>74737</v>
      </c>
      <c r="G20" s="60">
        <f t="shared" si="3"/>
        <v>137</v>
      </c>
      <c r="H20" s="115">
        <v>98893</v>
      </c>
      <c r="I20" s="60">
        <f t="shared" si="4"/>
        <v>31</v>
      </c>
      <c r="J20" s="116">
        <v>184136</v>
      </c>
      <c r="K20" s="63">
        <f t="shared" si="5"/>
        <v>0</v>
      </c>
      <c r="L20" s="115">
        <v>113775</v>
      </c>
      <c r="M20" s="60">
        <f t="shared" si="6"/>
        <v>53</v>
      </c>
      <c r="N20" s="115">
        <v>650491</v>
      </c>
      <c r="O20" s="63">
        <f t="shared" si="7"/>
        <v>95</v>
      </c>
      <c r="P20" s="115">
        <v>167763</v>
      </c>
      <c r="Q20" s="60">
        <f t="shared" si="8"/>
        <v>0</v>
      </c>
      <c r="R20" s="115">
        <v>988019</v>
      </c>
      <c r="S20" s="63">
        <f t="shared" si="9"/>
        <v>204</v>
      </c>
      <c r="T20" s="115">
        <v>81835</v>
      </c>
      <c r="U20" s="60">
        <f t="shared" si="10"/>
        <v>34</v>
      </c>
      <c r="V20" s="115">
        <v>305810</v>
      </c>
      <c r="W20" s="63">
        <f t="shared" si="11"/>
        <v>0</v>
      </c>
      <c r="X20" s="116">
        <v>31759</v>
      </c>
      <c r="Y20" s="60">
        <f t="shared" si="12"/>
        <v>33</v>
      </c>
      <c r="Z20" s="116">
        <v>729310</v>
      </c>
      <c r="AA20" s="63">
        <f t="shared" si="13"/>
        <v>37</v>
      </c>
      <c r="AB20" s="74">
        <v>1410</v>
      </c>
      <c r="AC20" s="60">
        <f t="shared" si="0"/>
        <v>0</v>
      </c>
      <c r="AD20" s="118">
        <v>110541</v>
      </c>
      <c r="AE20" s="60">
        <f t="shared" si="0"/>
        <v>285</v>
      </c>
      <c r="AF20" s="118">
        <v>1946</v>
      </c>
      <c r="AG20" s="60">
        <f t="shared" si="0"/>
        <v>20</v>
      </c>
      <c r="AH20" s="68">
        <f t="shared" si="14"/>
        <v>1865</v>
      </c>
      <c r="AI20" s="18">
        <v>0</v>
      </c>
      <c r="AJ20" s="53">
        <f t="shared" si="15"/>
        <v>0</v>
      </c>
    </row>
    <row r="21" spans="1:42">
      <c r="A21" s="52">
        <v>44791</v>
      </c>
      <c r="B21" s="114">
        <v>1590115</v>
      </c>
      <c r="C21" s="63">
        <f t="shared" si="1"/>
        <v>219</v>
      </c>
      <c r="D21" s="114">
        <v>33655696</v>
      </c>
      <c r="E21" s="60">
        <f t="shared" si="2"/>
        <v>734</v>
      </c>
      <c r="F21" s="115">
        <v>74893</v>
      </c>
      <c r="G21" s="60">
        <f t="shared" si="3"/>
        <v>156</v>
      </c>
      <c r="H21" s="115">
        <v>98922</v>
      </c>
      <c r="I21" s="60">
        <f t="shared" si="4"/>
        <v>29</v>
      </c>
      <c r="J21" s="116">
        <v>184136</v>
      </c>
      <c r="K21" s="63">
        <f t="shared" si="5"/>
        <v>0</v>
      </c>
      <c r="L21" s="115">
        <v>113831</v>
      </c>
      <c r="M21" s="60">
        <f t="shared" si="6"/>
        <v>56</v>
      </c>
      <c r="N21" s="115">
        <v>650624</v>
      </c>
      <c r="O21" s="63">
        <f t="shared" si="7"/>
        <v>133</v>
      </c>
      <c r="P21" s="115">
        <v>167763</v>
      </c>
      <c r="Q21" s="60">
        <f t="shared" si="8"/>
        <v>0</v>
      </c>
      <c r="R21" s="115">
        <v>988335</v>
      </c>
      <c r="S21" s="63">
        <f t="shared" si="9"/>
        <v>316</v>
      </c>
      <c r="T21" s="115">
        <v>81855</v>
      </c>
      <c r="U21" s="60">
        <f t="shared" si="10"/>
        <v>20</v>
      </c>
      <c r="V21" s="115">
        <v>305810</v>
      </c>
      <c r="W21" s="63">
        <f t="shared" si="11"/>
        <v>0</v>
      </c>
      <c r="X21" s="116">
        <v>31795</v>
      </c>
      <c r="Y21" s="60">
        <f t="shared" si="12"/>
        <v>36</v>
      </c>
      <c r="Z21" s="116">
        <v>729325</v>
      </c>
      <c r="AA21" s="63">
        <f t="shared" si="13"/>
        <v>15</v>
      </c>
      <c r="AB21" s="74">
        <v>1410</v>
      </c>
      <c r="AC21" s="60">
        <f t="shared" si="0"/>
        <v>0</v>
      </c>
      <c r="AD21" s="118">
        <v>110798</v>
      </c>
      <c r="AE21" s="60">
        <f t="shared" si="0"/>
        <v>257</v>
      </c>
      <c r="AF21" s="118">
        <v>1960</v>
      </c>
      <c r="AG21" s="60">
        <f t="shared" si="0"/>
        <v>14</v>
      </c>
      <c r="AH21" s="68">
        <f t="shared" si="14"/>
        <v>1985</v>
      </c>
      <c r="AI21" s="18">
        <v>0</v>
      </c>
      <c r="AJ21" s="53">
        <f t="shared" si="15"/>
        <v>0</v>
      </c>
    </row>
    <row r="22" spans="1:42">
      <c r="A22" s="52">
        <v>44792</v>
      </c>
      <c r="B22" s="114">
        <v>1590379</v>
      </c>
      <c r="C22" s="63">
        <f t="shared" si="1"/>
        <v>264</v>
      </c>
      <c r="D22" s="114">
        <v>33656407</v>
      </c>
      <c r="E22" s="60">
        <f t="shared" si="2"/>
        <v>711</v>
      </c>
      <c r="F22" s="115">
        <v>75030</v>
      </c>
      <c r="G22" s="60">
        <f t="shared" si="3"/>
        <v>137</v>
      </c>
      <c r="H22" s="115">
        <v>98953</v>
      </c>
      <c r="I22" s="60">
        <f t="shared" si="4"/>
        <v>31</v>
      </c>
      <c r="J22" s="116">
        <v>184136</v>
      </c>
      <c r="K22" s="63">
        <f t="shared" si="5"/>
        <v>0</v>
      </c>
      <c r="L22" s="115">
        <v>113872</v>
      </c>
      <c r="M22" s="60">
        <f t="shared" si="6"/>
        <v>41</v>
      </c>
      <c r="N22" s="115">
        <v>650768</v>
      </c>
      <c r="O22" s="63">
        <f t="shared" si="7"/>
        <v>144</v>
      </c>
      <c r="P22" s="115">
        <v>167763</v>
      </c>
      <c r="Q22" s="60">
        <f t="shared" si="8"/>
        <v>0</v>
      </c>
      <c r="R22" s="115">
        <v>988660</v>
      </c>
      <c r="S22" s="63">
        <f t="shared" si="9"/>
        <v>325</v>
      </c>
      <c r="T22" s="115">
        <v>81890</v>
      </c>
      <c r="U22" s="60">
        <f t="shared" si="10"/>
        <v>35</v>
      </c>
      <c r="V22" s="115">
        <v>305810</v>
      </c>
      <c r="W22" s="63">
        <f t="shared" si="11"/>
        <v>0</v>
      </c>
      <c r="X22" s="116">
        <v>31830</v>
      </c>
      <c r="Y22" s="60">
        <f t="shared" si="12"/>
        <v>35</v>
      </c>
      <c r="Z22" s="116">
        <v>729340</v>
      </c>
      <c r="AA22" s="63">
        <f t="shared" si="13"/>
        <v>15</v>
      </c>
      <c r="AB22" s="74">
        <v>1410</v>
      </c>
      <c r="AC22" s="60">
        <f t="shared" si="0"/>
        <v>0</v>
      </c>
      <c r="AD22" s="118">
        <v>111012</v>
      </c>
      <c r="AE22" s="60">
        <f t="shared" si="0"/>
        <v>214</v>
      </c>
      <c r="AF22" s="118">
        <v>1973</v>
      </c>
      <c r="AG22" s="60">
        <f t="shared" si="0"/>
        <v>13</v>
      </c>
      <c r="AH22" s="68">
        <f t="shared" si="14"/>
        <v>1965</v>
      </c>
      <c r="AI22" s="18">
        <v>0</v>
      </c>
      <c r="AJ22" s="53">
        <f t="shared" si="15"/>
        <v>0</v>
      </c>
    </row>
    <row r="23" spans="1:42">
      <c r="A23" s="52">
        <v>44793</v>
      </c>
      <c r="B23" s="114">
        <v>1590582</v>
      </c>
      <c r="C23" s="63">
        <f t="shared" si="1"/>
        <v>203</v>
      </c>
      <c r="D23" s="114">
        <v>33657060</v>
      </c>
      <c r="E23" s="60">
        <f t="shared" si="2"/>
        <v>653</v>
      </c>
      <c r="F23" s="115">
        <v>75175</v>
      </c>
      <c r="G23" s="60">
        <f t="shared" si="3"/>
        <v>145</v>
      </c>
      <c r="H23" s="115">
        <v>98984</v>
      </c>
      <c r="I23" s="60">
        <f t="shared" si="4"/>
        <v>31</v>
      </c>
      <c r="J23" s="116">
        <v>184151</v>
      </c>
      <c r="K23" s="63">
        <f t="shared" si="5"/>
        <v>15</v>
      </c>
      <c r="L23" s="115">
        <v>113926</v>
      </c>
      <c r="M23" s="60">
        <f t="shared" si="6"/>
        <v>54</v>
      </c>
      <c r="N23" s="115">
        <v>650842</v>
      </c>
      <c r="O23" s="63">
        <f t="shared" si="7"/>
        <v>74</v>
      </c>
      <c r="P23" s="115">
        <v>167763</v>
      </c>
      <c r="Q23" s="60">
        <f t="shared" si="8"/>
        <v>0</v>
      </c>
      <c r="R23" s="115">
        <v>988963</v>
      </c>
      <c r="S23" s="63">
        <f t="shared" si="9"/>
        <v>303</v>
      </c>
      <c r="T23" s="115">
        <v>81925</v>
      </c>
      <c r="U23" s="60">
        <f t="shared" si="10"/>
        <v>35</v>
      </c>
      <c r="V23" s="115">
        <v>305810</v>
      </c>
      <c r="W23" s="63">
        <f t="shared" si="11"/>
        <v>0</v>
      </c>
      <c r="X23" s="116">
        <v>31845</v>
      </c>
      <c r="Y23" s="60">
        <f t="shared" si="12"/>
        <v>15</v>
      </c>
      <c r="Z23" s="116">
        <v>729447</v>
      </c>
      <c r="AA23" s="63">
        <f t="shared" si="13"/>
        <v>107</v>
      </c>
      <c r="AB23" s="74">
        <v>1410</v>
      </c>
      <c r="AC23" s="60">
        <f t="shared" si="0"/>
        <v>0</v>
      </c>
      <c r="AD23" s="118">
        <v>111220</v>
      </c>
      <c r="AE23" s="60">
        <f t="shared" si="0"/>
        <v>208</v>
      </c>
      <c r="AF23" s="118">
        <v>1982</v>
      </c>
      <c r="AG23" s="60">
        <f t="shared" si="0"/>
        <v>9</v>
      </c>
      <c r="AH23" s="68">
        <f t="shared" si="14"/>
        <v>1852</v>
      </c>
      <c r="AI23" s="18">
        <v>0</v>
      </c>
      <c r="AJ23" s="53">
        <f t="shared" si="15"/>
        <v>0</v>
      </c>
    </row>
    <row r="24" spans="1:42">
      <c r="A24" s="52">
        <v>44794</v>
      </c>
      <c r="B24" s="114">
        <v>1590862</v>
      </c>
      <c r="C24" s="63">
        <f t="shared" si="1"/>
        <v>280</v>
      </c>
      <c r="D24" s="114">
        <v>33657798</v>
      </c>
      <c r="E24" s="60">
        <f t="shared" si="2"/>
        <v>738</v>
      </c>
      <c r="F24" s="115">
        <v>75362</v>
      </c>
      <c r="G24" s="60">
        <f t="shared" si="3"/>
        <v>187</v>
      </c>
      <c r="H24" s="115">
        <v>99015</v>
      </c>
      <c r="I24" s="60">
        <f t="shared" si="4"/>
        <v>31</v>
      </c>
      <c r="J24" s="116">
        <v>184152</v>
      </c>
      <c r="K24" s="63">
        <f t="shared" si="5"/>
        <v>1</v>
      </c>
      <c r="L24" s="115">
        <v>113982</v>
      </c>
      <c r="M24" s="60">
        <f t="shared" si="6"/>
        <v>56</v>
      </c>
      <c r="N24" s="115">
        <v>650982</v>
      </c>
      <c r="O24" s="63">
        <f t="shared" si="7"/>
        <v>140</v>
      </c>
      <c r="P24" s="115">
        <v>167763</v>
      </c>
      <c r="Q24" s="60">
        <f t="shared" si="8"/>
        <v>0</v>
      </c>
      <c r="R24" s="115">
        <v>989229</v>
      </c>
      <c r="S24" s="63">
        <f t="shared" si="9"/>
        <v>266</v>
      </c>
      <c r="T24" s="115">
        <v>81948</v>
      </c>
      <c r="U24" s="60">
        <f t="shared" si="10"/>
        <v>23</v>
      </c>
      <c r="V24" s="115">
        <v>305810</v>
      </c>
      <c r="W24" s="63">
        <f t="shared" si="11"/>
        <v>0</v>
      </c>
      <c r="X24" s="116">
        <v>31876</v>
      </c>
      <c r="Y24" s="60">
        <f t="shared" si="12"/>
        <v>31</v>
      </c>
      <c r="Z24" s="116">
        <v>729622</v>
      </c>
      <c r="AA24" s="63">
        <f t="shared" si="13"/>
        <v>175</v>
      </c>
      <c r="AB24" s="74">
        <v>1410</v>
      </c>
      <c r="AC24" s="60">
        <f t="shared" si="0"/>
        <v>0</v>
      </c>
      <c r="AD24" s="118">
        <v>111429</v>
      </c>
      <c r="AE24" s="60">
        <f t="shared" si="0"/>
        <v>209</v>
      </c>
      <c r="AF24" s="118">
        <v>1982</v>
      </c>
      <c r="AG24" s="60">
        <f t="shared" si="0"/>
        <v>0</v>
      </c>
      <c r="AH24" s="68">
        <f t="shared" si="14"/>
        <v>2137</v>
      </c>
      <c r="AI24" s="18">
        <v>0</v>
      </c>
      <c r="AJ24" s="53">
        <f t="shared" si="15"/>
        <v>0</v>
      </c>
      <c r="AM24" t="s">
        <v>72</v>
      </c>
    </row>
    <row r="25" spans="1:42">
      <c r="A25" s="52">
        <v>44795</v>
      </c>
      <c r="B25" s="114">
        <v>1591104</v>
      </c>
      <c r="C25" s="63">
        <f t="shared" si="1"/>
        <v>242</v>
      </c>
      <c r="D25" s="114">
        <v>33658462</v>
      </c>
      <c r="E25" s="60">
        <f t="shared" si="2"/>
        <v>664</v>
      </c>
      <c r="F25" s="115">
        <v>75450</v>
      </c>
      <c r="G25" s="60">
        <f t="shared" si="3"/>
        <v>88</v>
      </c>
      <c r="H25" s="115">
        <v>99040</v>
      </c>
      <c r="I25" s="60">
        <f t="shared" si="4"/>
        <v>25</v>
      </c>
      <c r="J25" s="116">
        <v>184154</v>
      </c>
      <c r="K25" s="63">
        <f t="shared" si="5"/>
        <v>2</v>
      </c>
      <c r="L25" s="115">
        <v>114035</v>
      </c>
      <c r="M25" s="60">
        <f t="shared" si="6"/>
        <v>53</v>
      </c>
      <c r="N25" s="115">
        <v>651037</v>
      </c>
      <c r="O25" s="63">
        <f t="shared" si="7"/>
        <v>55</v>
      </c>
      <c r="P25" s="115">
        <v>167763</v>
      </c>
      <c r="Q25" s="60">
        <f t="shared" si="8"/>
        <v>0</v>
      </c>
      <c r="R25" s="115">
        <v>989626</v>
      </c>
      <c r="S25" s="63">
        <f t="shared" si="9"/>
        <v>397</v>
      </c>
      <c r="T25" s="115">
        <v>81981</v>
      </c>
      <c r="U25" s="60">
        <f t="shared" si="10"/>
        <v>33</v>
      </c>
      <c r="V25" s="115">
        <v>305810</v>
      </c>
      <c r="W25" s="63">
        <f t="shared" si="11"/>
        <v>0</v>
      </c>
      <c r="X25" s="116">
        <v>31906</v>
      </c>
      <c r="Y25" s="60">
        <f t="shared" si="12"/>
        <v>30</v>
      </c>
      <c r="Z25" s="116">
        <v>729798</v>
      </c>
      <c r="AA25" s="63">
        <f t="shared" si="13"/>
        <v>176</v>
      </c>
      <c r="AB25" s="74">
        <v>1410</v>
      </c>
      <c r="AC25" s="60">
        <f t="shared" si="0"/>
        <v>0</v>
      </c>
      <c r="AD25" s="118">
        <v>111611</v>
      </c>
      <c r="AE25" s="60">
        <f t="shared" si="0"/>
        <v>182</v>
      </c>
      <c r="AF25" s="118">
        <v>1982</v>
      </c>
      <c r="AG25" s="60">
        <f t="shared" si="0"/>
        <v>0</v>
      </c>
      <c r="AH25" s="68">
        <f t="shared" si="14"/>
        <v>1947</v>
      </c>
      <c r="AI25" s="18">
        <v>0</v>
      </c>
      <c r="AJ25" s="53">
        <f t="shared" si="15"/>
        <v>0</v>
      </c>
      <c r="AL25" t="s">
        <v>72</v>
      </c>
    </row>
    <row r="26" spans="1:42">
      <c r="A26" s="52">
        <v>44796</v>
      </c>
      <c r="B26" s="114">
        <v>1591291</v>
      </c>
      <c r="C26" s="63">
        <f t="shared" si="1"/>
        <v>187</v>
      </c>
      <c r="D26" s="114">
        <v>33659131</v>
      </c>
      <c r="E26" s="60">
        <f t="shared" si="2"/>
        <v>669</v>
      </c>
      <c r="F26" s="115">
        <v>75575</v>
      </c>
      <c r="G26" s="60">
        <f t="shared" si="3"/>
        <v>125</v>
      </c>
      <c r="H26" s="115">
        <v>99066</v>
      </c>
      <c r="I26" s="60">
        <f t="shared" si="4"/>
        <v>26</v>
      </c>
      <c r="J26" s="116">
        <v>184155</v>
      </c>
      <c r="K26" s="63">
        <f t="shared" si="5"/>
        <v>1</v>
      </c>
      <c r="L26" s="115">
        <v>114077</v>
      </c>
      <c r="M26" s="60">
        <f t="shared" si="6"/>
        <v>42</v>
      </c>
      <c r="N26" s="115">
        <v>651125</v>
      </c>
      <c r="O26" s="63">
        <f t="shared" si="7"/>
        <v>88</v>
      </c>
      <c r="P26" s="115">
        <v>167763</v>
      </c>
      <c r="Q26" s="60">
        <f t="shared" si="8"/>
        <v>0</v>
      </c>
      <c r="R26" s="115">
        <v>989824</v>
      </c>
      <c r="S26" s="63">
        <f t="shared" si="9"/>
        <v>198</v>
      </c>
      <c r="T26" s="115">
        <v>82017</v>
      </c>
      <c r="U26" s="60">
        <f t="shared" si="10"/>
        <v>36</v>
      </c>
      <c r="V26" s="115">
        <v>305810</v>
      </c>
      <c r="W26" s="63">
        <f t="shared" si="11"/>
        <v>0</v>
      </c>
      <c r="X26" s="116">
        <v>31932</v>
      </c>
      <c r="Y26" s="60">
        <f t="shared" si="12"/>
        <v>26</v>
      </c>
      <c r="Z26" s="116">
        <v>729929</v>
      </c>
      <c r="AA26" s="63">
        <f t="shared" si="13"/>
        <v>131</v>
      </c>
      <c r="AB26" s="74">
        <v>1410</v>
      </c>
      <c r="AC26" s="60">
        <f t="shared" si="0"/>
        <v>0</v>
      </c>
      <c r="AD26" s="118">
        <v>111870</v>
      </c>
      <c r="AE26" s="60">
        <f t="shared" si="0"/>
        <v>259</v>
      </c>
      <c r="AF26" s="118">
        <v>1982</v>
      </c>
      <c r="AG26" s="60">
        <f t="shared" si="0"/>
        <v>0</v>
      </c>
      <c r="AH26" s="68">
        <f t="shared" si="14"/>
        <v>1788</v>
      </c>
      <c r="AI26" s="18">
        <v>0</v>
      </c>
      <c r="AJ26" s="53">
        <f t="shared" si="15"/>
        <v>0</v>
      </c>
    </row>
    <row r="27" spans="1:42">
      <c r="A27" s="52">
        <v>44797</v>
      </c>
      <c r="B27" s="114">
        <v>1591544</v>
      </c>
      <c r="C27" s="63">
        <f t="shared" si="1"/>
        <v>253</v>
      </c>
      <c r="D27" s="114">
        <v>33659730</v>
      </c>
      <c r="E27" s="60">
        <f t="shared" si="2"/>
        <v>599</v>
      </c>
      <c r="F27" s="115">
        <v>75733</v>
      </c>
      <c r="G27" s="60">
        <f t="shared" si="3"/>
        <v>158</v>
      </c>
      <c r="H27" s="115">
        <v>99102</v>
      </c>
      <c r="I27" s="60">
        <f t="shared" si="4"/>
        <v>36</v>
      </c>
      <c r="J27" s="116">
        <v>184155</v>
      </c>
      <c r="K27" s="63">
        <f t="shared" si="5"/>
        <v>0</v>
      </c>
      <c r="L27" s="115">
        <v>114129</v>
      </c>
      <c r="M27" s="60">
        <f t="shared" si="6"/>
        <v>52</v>
      </c>
      <c r="N27" s="115">
        <v>651271</v>
      </c>
      <c r="O27" s="63">
        <f t="shared" si="7"/>
        <v>146</v>
      </c>
      <c r="P27" s="115">
        <v>167763</v>
      </c>
      <c r="Q27" s="60">
        <f t="shared" si="8"/>
        <v>0</v>
      </c>
      <c r="R27" s="115">
        <v>990129</v>
      </c>
      <c r="S27" s="63">
        <f t="shared" si="9"/>
        <v>305</v>
      </c>
      <c r="T27" s="115">
        <v>82048</v>
      </c>
      <c r="U27" s="60">
        <f t="shared" si="10"/>
        <v>31</v>
      </c>
      <c r="V27" s="115">
        <v>305810</v>
      </c>
      <c r="W27" s="63">
        <f t="shared" si="11"/>
        <v>0</v>
      </c>
      <c r="X27" s="116">
        <v>31958</v>
      </c>
      <c r="Y27" s="60">
        <f t="shared" si="12"/>
        <v>26</v>
      </c>
      <c r="Z27" s="116">
        <v>730049</v>
      </c>
      <c r="AA27" s="63">
        <f t="shared" si="13"/>
        <v>120</v>
      </c>
      <c r="AB27" s="74">
        <v>1410</v>
      </c>
      <c r="AC27" s="60">
        <f t="shared" si="0"/>
        <v>0</v>
      </c>
      <c r="AD27" s="118">
        <v>112086</v>
      </c>
      <c r="AE27" s="60">
        <f t="shared" si="0"/>
        <v>216</v>
      </c>
      <c r="AF27" s="118">
        <v>1982</v>
      </c>
      <c r="AG27" s="60">
        <f t="shared" si="0"/>
        <v>0</v>
      </c>
      <c r="AH27" s="68">
        <f t="shared" si="14"/>
        <v>1942</v>
      </c>
      <c r="AI27" s="18">
        <v>0</v>
      </c>
      <c r="AJ27" s="53">
        <f t="shared" si="15"/>
        <v>0</v>
      </c>
    </row>
    <row r="28" spans="1:42">
      <c r="A28" s="52">
        <v>44798</v>
      </c>
      <c r="B28" s="114">
        <v>1591784</v>
      </c>
      <c r="C28" s="63">
        <f t="shared" si="1"/>
        <v>240</v>
      </c>
      <c r="D28" s="114">
        <v>33660464</v>
      </c>
      <c r="E28" s="60">
        <f t="shared" si="2"/>
        <v>734</v>
      </c>
      <c r="F28" s="115">
        <v>75881</v>
      </c>
      <c r="G28" s="60">
        <f t="shared" si="3"/>
        <v>148</v>
      </c>
      <c r="H28" s="115">
        <v>99126</v>
      </c>
      <c r="I28" s="60">
        <f t="shared" si="4"/>
        <v>24</v>
      </c>
      <c r="J28" s="116">
        <v>184155</v>
      </c>
      <c r="K28" s="63">
        <f t="shared" si="5"/>
        <v>0</v>
      </c>
      <c r="L28" s="115">
        <v>114185</v>
      </c>
      <c r="M28" s="60">
        <f t="shared" si="6"/>
        <v>56</v>
      </c>
      <c r="N28" s="115">
        <v>651365</v>
      </c>
      <c r="O28" s="63">
        <f t="shared" si="7"/>
        <v>94</v>
      </c>
      <c r="P28" s="115">
        <v>167764</v>
      </c>
      <c r="Q28" s="60">
        <f t="shared" si="8"/>
        <v>1</v>
      </c>
      <c r="R28" s="115">
        <v>990459</v>
      </c>
      <c r="S28" s="63">
        <f t="shared" si="9"/>
        <v>330</v>
      </c>
      <c r="T28" s="115">
        <v>82074</v>
      </c>
      <c r="U28" s="60">
        <f t="shared" si="10"/>
        <v>26</v>
      </c>
      <c r="V28" s="115">
        <v>305810</v>
      </c>
      <c r="W28" s="63">
        <f t="shared" si="11"/>
        <v>0</v>
      </c>
      <c r="X28" s="116">
        <v>31988</v>
      </c>
      <c r="Y28" s="60">
        <f t="shared" si="12"/>
        <v>30</v>
      </c>
      <c r="Z28" s="116">
        <v>730164</v>
      </c>
      <c r="AA28" s="63">
        <f t="shared" si="13"/>
        <v>115</v>
      </c>
      <c r="AB28" s="74">
        <v>1410</v>
      </c>
      <c r="AC28" s="60">
        <f t="shared" si="0"/>
        <v>0</v>
      </c>
      <c r="AD28" s="118">
        <v>112298</v>
      </c>
      <c r="AE28" s="60">
        <f t="shared" si="0"/>
        <v>212</v>
      </c>
      <c r="AF28" s="118">
        <v>1982</v>
      </c>
      <c r="AG28" s="60">
        <f t="shared" si="0"/>
        <v>0</v>
      </c>
      <c r="AH28" s="68">
        <f t="shared" si="14"/>
        <v>2010</v>
      </c>
      <c r="AI28" s="18">
        <v>0</v>
      </c>
      <c r="AJ28" s="53">
        <f t="shared" si="15"/>
        <v>0</v>
      </c>
    </row>
    <row r="29" spans="1:42">
      <c r="A29" s="52">
        <v>44799</v>
      </c>
      <c r="B29" s="114">
        <v>1592059</v>
      </c>
      <c r="C29" s="63">
        <f t="shared" si="1"/>
        <v>275</v>
      </c>
      <c r="D29" s="114">
        <v>33661222</v>
      </c>
      <c r="E29" s="60">
        <f t="shared" si="2"/>
        <v>758</v>
      </c>
      <c r="F29" s="115">
        <v>76009</v>
      </c>
      <c r="G29" s="60">
        <f t="shared" si="3"/>
        <v>128</v>
      </c>
      <c r="H29" s="115">
        <v>99148</v>
      </c>
      <c r="I29" s="60">
        <f t="shared" si="4"/>
        <v>22</v>
      </c>
      <c r="J29" s="116">
        <v>184155</v>
      </c>
      <c r="K29" s="63">
        <f t="shared" si="5"/>
        <v>0</v>
      </c>
      <c r="L29" s="115">
        <v>114242</v>
      </c>
      <c r="M29" s="60">
        <f t="shared" si="6"/>
        <v>57</v>
      </c>
      <c r="N29" s="115">
        <v>651440</v>
      </c>
      <c r="O29" s="63">
        <f t="shared" si="7"/>
        <v>75</v>
      </c>
      <c r="P29" s="115">
        <v>167764</v>
      </c>
      <c r="Q29" s="60">
        <f t="shared" si="8"/>
        <v>0</v>
      </c>
      <c r="R29" s="115">
        <v>990800</v>
      </c>
      <c r="S29" s="63">
        <f t="shared" si="9"/>
        <v>341</v>
      </c>
      <c r="T29" s="115">
        <v>82104</v>
      </c>
      <c r="U29" s="60">
        <f t="shared" si="10"/>
        <v>30</v>
      </c>
      <c r="V29" s="115">
        <v>305810</v>
      </c>
      <c r="W29" s="63">
        <f t="shared" si="11"/>
        <v>0</v>
      </c>
      <c r="X29" s="116">
        <v>32019</v>
      </c>
      <c r="Y29" s="60">
        <f t="shared" si="12"/>
        <v>31</v>
      </c>
      <c r="Z29" s="116">
        <v>730325</v>
      </c>
      <c r="AA29" s="63">
        <f t="shared" si="13"/>
        <v>161</v>
      </c>
      <c r="AB29" s="74">
        <v>1410</v>
      </c>
      <c r="AC29" s="60">
        <f t="shared" si="0"/>
        <v>0</v>
      </c>
      <c r="AD29" s="118">
        <v>112489</v>
      </c>
      <c r="AE29" s="60">
        <f t="shared" si="0"/>
        <v>191</v>
      </c>
      <c r="AF29" s="118">
        <v>1982</v>
      </c>
      <c r="AG29" s="60">
        <f t="shared" si="0"/>
        <v>0</v>
      </c>
      <c r="AH29" s="68">
        <f t="shared" si="14"/>
        <v>2069</v>
      </c>
      <c r="AI29" s="18">
        <v>0</v>
      </c>
      <c r="AJ29" s="53">
        <f t="shared" si="15"/>
        <v>0</v>
      </c>
      <c r="AP29" t="s">
        <v>72</v>
      </c>
    </row>
    <row r="30" spans="1:42">
      <c r="A30" s="52">
        <v>44800</v>
      </c>
      <c r="B30" s="114">
        <v>1592262</v>
      </c>
      <c r="C30" s="63">
        <f t="shared" si="1"/>
        <v>203</v>
      </c>
      <c r="D30" s="114">
        <v>33661904</v>
      </c>
      <c r="E30" s="60">
        <f t="shared" si="2"/>
        <v>682</v>
      </c>
      <c r="F30" s="115">
        <v>76147</v>
      </c>
      <c r="G30" s="60">
        <f t="shared" si="3"/>
        <v>138</v>
      </c>
      <c r="H30" s="115">
        <v>99173</v>
      </c>
      <c r="I30" s="60">
        <f t="shared" si="4"/>
        <v>25</v>
      </c>
      <c r="J30" s="116">
        <v>184155</v>
      </c>
      <c r="K30" s="63">
        <f t="shared" si="5"/>
        <v>0</v>
      </c>
      <c r="L30" s="115">
        <v>114286</v>
      </c>
      <c r="M30" s="60">
        <f t="shared" si="6"/>
        <v>44</v>
      </c>
      <c r="N30" s="115">
        <v>651569</v>
      </c>
      <c r="O30" s="63">
        <f t="shared" si="7"/>
        <v>129</v>
      </c>
      <c r="P30" s="115">
        <v>167764</v>
      </c>
      <c r="Q30" s="60">
        <f t="shared" si="8"/>
        <v>0</v>
      </c>
      <c r="R30" s="115">
        <v>991060</v>
      </c>
      <c r="S30" s="63">
        <f t="shared" si="9"/>
        <v>260</v>
      </c>
      <c r="T30" s="115">
        <v>82124</v>
      </c>
      <c r="U30" s="60">
        <f t="shared" si="10"/>
        <v>20</v>
      </c>
      <c r="V30" s="115">
        <v>305810</v>
      </c>
      <c r="W30" s="63">
        <f t="shared" si="11"/>
        <v>0</v>
      </c>
      <c r="X30" s="116">
        <v>32046</v>
      </c>
      <c r="Y30" s="60">
        <f t="shared" si="12"/>
        <v>27</v>
      </c>
      <c r="Z30" s="116">
        <v>730487</v>
      </c>
      <c r="AA30" s="63">
        <f t="shared" si="13"/>
        <v>162</v>
      </c>
      <c r="AB30" s="74">
        <v>1410</v>
      </c>
      <c r="AC30" s="60">
        <f t="shared" si="0"/>
        <v>0</v>
      </c>
      <c r="AD30" s="118">
        <v>112679</v>
      </c>
      <c r="AE30" s="60">
        <f t="shared" si="0"/>
        <v>190</v>
      </c>
      <c r="AF30" s="118">
        <v>1982</v>
      </c>
      <c r="AG30" s="60">
        <f t="shared" si="0"/>
        <v>0</v>
      </c>
      <c r="AH30" s="68">
        <f t="shared" si="14"/>
        <v>1880</v>
      </c>
      <c r="AI30" s="18">
        <v>0</v>
      </c>
      <c r="AJ30" s="53">
        <f t="shared" si="15"/>
        <v>0</v>
      </c>
    </row>
    <row r="31" spans="1:42">
      <c r="A31" s="52">
        <v>44801</v>
      </c>
      <c r="B31" s="114">
        <v>1592510</v>
      </c>
      <c r="C31" s="63">
        <f t="shared" si="1"/>
        <v>248</v>
      </c>
      <c r="D31" s="114">
        <v>33662552</v>
      </c>
      <c r="E31" s="60">
        <f t="shared" si="2"/>
        <v>648</v>
      </c>
      <c r="F31" s="115">
        <v>76268</v>
      </c>
      <c r="G31" s="60">
        <f t="shared" si="3"/>
        <v>121</v>
      </c>
      <c r="H31" s="115">
        <v>99190</v>
      </c>
      <c r="I31" s="60">
        <f t="shared" si="4"/>
        <v>17</v>
      </c>
      <c r="J31" s="116">
        <v>184155</v>
      </c>
      <c r="K31" s="63">
        <f t="shared" si="5"/>
        <v>0</v>
      </c>
      <c r="L31" s="115">
        <v>114337</v>
      </c>
      <c r="M31" s="60">
        <f t="shared" si="6"/>
        <v>51</v>
      </c>
      <c r="N31" s="115">
        <v>651685</v>
      </c>
      <c r="O31" s="63">
        <f t="shared" si="7"/>
        <v>116</v>
      </c>
      <c r="P31" s="115">
        <v>167764</v>
      </c>
      <c r="Q31" s="60">
        <f t="shared" si="8"/>
        <v>0</v>
      </c>
      <c r="R31" s="115">
        <v>991348</v>
      </c>
      <c r="S31" s="63">
        <f t="shared" si="9"/>
        <v>288</v>
      </c>
      <c r="T31" s="115">
        <v>82160</v>
      </c>
      <c r="U31" s="60">
        <f t="shared" si="10"/>
        <v>36</v>
      </c>
      <c r="V31" s="115">
        <v>305810</v>
      </c>
      <c r="W31" s="63">
        <f t="shared" si="11"/>
        <v>0</v>
      </c>
      <c r="X31" s="116">
        <v>32086</v>
      </c>
      <c r="Y31" s="60">
        <f t="shared" si="12"/>
        <v>40</v>
      </c>
      <c r="Z31" s="116">
        <v>730680</v>
      </c>
      <c r="AA31" s="63">
        <f t="shared" si="13"/>
        <v>193</v>
      </c>
      <c r="AB31" s="74">
        <v>1410</v>
      </c>
      <c r="AC31" s="60">
        <f t="shared" si="0"/>
        <v>0</v>
      </c>
      <c r="AD31" s="118">
        <v>112852</v>
      </c>
      <c r="AE31" s="60">
        <f t="shared" si="0"/>
        <v>173</v>
      </c>
      <c r="AF31" s="118">
        <v>1982</v>
      </c>
      <c r="AG31" s="60">
        <f t="shared" si="0"/>
        <v>0</v>
      </c>
      <c r="AH31" s="68">
        <f t="shared" si="14"/>
        <v>1931</v>
      </c>
      <c r="AI31" s="18">
        <v>0</v>
      </c>
      <c r="AJ31" s="53">
        <f t="shared" si="15"/>
        <v>0</v>
      </c>
    </row>
    <row r="32" spans="1:42">
      <c r="A32" s="52">
        <v>44802</v>
      </c>
      <c r="B32" s="114">
        <v>1592740</v>
      </c>
      <c r="C32" s="64">
        <f t="shared" si="1"/>
        <v>230</v>
      </c>
      <c r="D32" s="114">
        <v>33663150</v>
      </c>
      <c r="E32" s="60">
        <f t="shared" si="2"/>
        <v>598</v>
      </c>
      <c r="F32" s="115">
        <v>76397</v>
      </c>
      <c r="G32" s="60">
        <f t="shared" si="3"/>
        <v>129</v>
      </c>
      <c r="H32" s="115">
        <v>99208</v>
      </c>
      <c r="I32" s="60">
        <f t="shared" si="4"/>
        <v>18</v>
      </c>
      <c r="J32" s="116">
        <v>184164</v>
      </c>
      <c r="K32" s="63">
        <f t="shared" si="5"/>
        <v>9</v>
      </c>
      <c r="L32" s="115">
        <v>114383</v>
      </c>
      <c r="M32" s="60">
        <f t="shared" si="6"/>
        <v>46</v>
      </c>
      <c r="N32" s="115">
        <v>651732</v>
      </c>
      <c r="O32" s="63">
        <f t="shared" si="7"/>
        <v>47</v>
      </c>
      <c r="P32" s="115">
        <v>167764</v>
      </c>
      <c r="Q32" s="60">
        <f t="shared" si="8"/>
        <v>0</v>
      </c>
      <c r="R32" s="115">
        <v>991621</v>
      </c>
      <c r="S32" s="63">
        <f t="shared" si="9"/>
        <v>273</v>
      </c>
      <c r="T32" s="115">
        <v>82189</v>
      </c>
      <c r="U32" s="60">
        <f t="shared" si="10"/>
        <v>29</v>
      </c>
      <c r="V32" s="115">
        <v>305810</v>
      </c>
      <c r="W32" s="63">
        <f t="shared" si="11"/>
        <v>0</v>
      </c>
      <c r="X32" s="116">
        <v>32118</v>
      </c>
      <c r="Y32" s="60">
        <f t="shared" si="12"/>
        <v>32</v>
      </c>
      <c r="Z32" s="116">
        <v>730883</v>
      </c>
      <c r="AA32" s="63">
        <f t="shared" si="13"/>
        <v>203</v>
      </c>
      <c r="AB32" s="74">
        <v>1410</v>
      </c>
      <c r="AC32" s="60">
        <f t="shared" si="0"/>
        <v>0</v>
      </c>
      <c r="AD32" s="118">
        <v>113024</v>
      </c>
      <c r="AE32" s="60">
        <f t="shared" si="0"/>
        <v>172</v>
      </c>
      <c r="AF32" s="118">
        <v>1982</v>
      </c>
      <c r="AG32" s="60">
        <f t="shared" si="0"/>
        <v>0</v>
      </c>
      <c r="AH32" s="68">
        <f t="shared" si="14"/>
        <v>1786</v>
      </c>
      <c r="AI32" s="18">
        <v>0</v>
      </c>
      <c r="AJ32" s="53">
        <f t="shared" si="15"/>
        <v>0</v>
      </c>
    </row>
    <row r="33" spans="1:36">
      <c r="A33" s="52">
        <v>44803</v>
      </c>
      <c r="B33" s="114">
        <v>1592939</v>
      </c>
      <c r="C33" s="65">
        <f t="shared" si="1"/>
        <v>199</v>
      </c>
      <c r="D33" s="114">
        <v>33663782</v>
      </c>
      <c r="E33" s="61">
        <f t="shared" si="2"/>
        <v>632</v>
      </c>
      <c r="F33" s="115">
        <v>76526</v>
      </c>
      <c r="G33" s="60">
        <f t="shared" si="3"/>
        <v>129</v>
      </c>
      <c r="H33" s="115">
        <v>99231</v>
      </c>
      <c r="I33" s="61">
        <f t="shared" si="4"/>
        <v>23</v>
      </c>
      <c r="J33" s="116">
        <v>184165</v>
      </c>
      <c r="K33" s="64">
        <f t="shared" si="5"/>
        <v>1</v>
      </c>
      <c r="L33" s="115">
        <v>114432</v>
      </c>
      <c r="M33" s="61">
        <f t="shared" si="6"/>
        <v>49</v>
      </c>
      <c r="N33" s="115">
        <v>651797</v>
      </c>
      <c r="O33" s="64">
        <f t="shared" si="7"/>
        <v>65</v>
      </c>
      <c r="P33" s="115">
        <v>167764</v>
      </c>
      <c r="Q33" s="61">
        <f t="shared" si="8"/>
        <v>0</v>
      </c>
      <c r="R33" s="115">
        <v>991853</v>
      </c>
      <c r="S33" s="63">
        <f t="shared" si="9"/>
        <v>232</v>
      </c>
      <c r="T33" s="115">
        <v>82224</v>
      </c>
      <c r="U33" s="60">
        <f t="shared" si="10"/>
        <v>35</v>
      </c>
      <c r="V33" s="115">
        <v>305810</v>
      </c>
      <c r="W33" s="63">
        <f t="shared" si="11"/>
        <v>0</v>
      </c>
      <c r="X33" s="116">
        <v>32153</v>
      </c>
      <c r="Y33" s="60">
        <f t="shared" si="12"/>
        <v>35</v>
      </c>
      <c r="Z33" s="116">
        <v>731012</v>
      </c>
      <c r="AA33" s="63">
        <f t="shared" si="13"/>
        <v>129</v>
      </c>
      <c r="AB33" s="74">
        <v>1410</v>
      </c>
      <c r="AC33" s="60">
        <f t="shared" si="0"/>
        <v>0</v>
      </c>
      <c r="AD33" s="118">
        <v>113191</v>
      </c>
      <c r="AE33" s="60">
        <f t="shared" si="0"/>
        <v>167</v>
      </c>
      <c r="AF33" s="118">
        <v>1982</v>
      </c>
      <c r="AG33" s="60">
        <f>IF((AF33-AF32)&lt;0,"0",(AF33-AF32))</f>
        <v>0</v>
      </c>
      <c r="AH33" s="68">
        <f t="shared" si="14"/>
        <v>1696</v>
      </c>
      <c r="AI33" s="66">
        <v>0</v>
      </c>
      <c r="AJ33" s="53">
        <f t="shared" si="15"/>
        <v>0</v>
      </c>
    </row>
    <row r="34" spans="1:36" ht="27">
      <c r="A34" s="52">
        <v>44804</v>
      </c>
      <c r="B34" s="114">
        <v>1593101</v>
      </c>
      <c r="C34" s="65">
        <f>IF((B34-B33)&lt;0,"0",(B34-B33))</f>
        <v>162</v>
      </c>
      <c r="D34" s="114">
        <v>33664439</v>
      </c>
      <c r="E34" s="61">
        <f>IF((D34-D33)&lt;0,"0",(D34-D33))</f>
        <v>657</v>
      </c>
      <c r="F34" s="115">
        <v>76651</v>
      </c>
      <c r="G34" s="60">
        <f t="shared" si="3"/>
        <v>125</v>
      </c>
      <c r="H34" s="115">
        <v>99261</v>
      </c>
      <c r="I34" s="61">
        <f>IF((H34-H33)&lt;0,"0",(H34-H33))</f>
        <v>30</v>
      </c>
      <c r="J34" s="116">
        <v>184168</v>
      </c>
      <c r="K34" s="64">
        <f>IF((J34-J33)&lt;0,"0",(J34-J33))</f>
        <v>3</v>
      </c>
      <c r="L34" s="115">
        <v>114484</v>
      </c>
      <c r="M34" s="61">
        <f>IF((L34-L33)&lt;0,"0",(L34-L33))</f>
        <v>52</v>
      </c>
      <c r="N34" s="115">
        <v>651939</v>
      </c>
      <c r="O34" s="64">
        <f>IF((N34-N33)&lt;0,"0",(N34-N33))</f>
        <v>142</v>
      </c>
      <c r="P34" s="115">
        <v>167764</v>
      </c>
      <c r="Q34" s="61">
        <f>IF((P34-P33)&lt;0,"0",(P34-P33))</f>
        <v>0</v>
      </c>
      <c r="R34" s="115">
        <v>992108</v>
      </c>
      <c r="S34" s="63">
        <f>IF((R34-R33)&lt;0,"0",(R34-R33))</f>
        <v>255</v>
      </c>
      <c r="T34" s="115">
        <v>82252</v>
      </c>
      <c r="U34" s="60">
        <f>IF((T34-T33)&lt;0,"0",(T34-T33))</f>
        <v>28</v>
      </c>
      <c r="V34" s="115">
        <v>305810</v>
      </c>
      <c r="W34" s="63">
        <f>IF((V34-V33)&lt;0,"0",(V34-V33))</f>
        <v>0</v>
      </c>
      <c r="X34" s="116">
        <v>32183</v>
      </c>
      <c r="Y34" s="60">
        <f>IF((X34-X33)&lt;0,"0",(X34-X33))</f>
        <v>30</v>
      </c>
      <c r="Z34" s="116">
        <v>731138</v>
      </c>
      <c r="AA34" s="63">
        <f>IF((Z34-Z33)&lt;0,"0",(Z34-Z33))</f>
        <v>126</v>
      </c>
      <c r="AB34" s="74">
        <v>1410</v>
      </c>
      <c r="AC34" s="60">
        <f>IF((AB34-AB33)&lt;0,"0",(AB34-AB33))</f>
        <v>0</v>
      </c>
      <c r="AD34" s="118">
        <v>113400</v>
      </c>
      <c r="AE34" s="60">
        <f>IF((AD34-AD33)&lt;0,"0",(AD34-AD33))</f>
        <v>209</v>
      </c>
      <c r="AF34" s="119">
        <v>1982</v>
      </c>
      <c r="AG34" s="60">
        <f>IF((AF34-AF33)&lt;0,"0",(AF34-AF33))</f>
        <v>0</v>
      </c>
      <c r="AH34" s="68">
        <f t="shared" si="14"/>
        <v>1819</v>
      </c>
      <c r="AI34" s="66">
        <v>0</v>
      </c>
      <c r="AJ34" s="53">
        <f>IF((AI34-AI33)&lt;0,"0",(AI34-AI33))</f>
        <v>0</v>
      </c>
    </row>
    <row r="35" spans="1:36">
      <c r="C35" s="17"/>
      <c r="E35" s="17"/>
      <c r="G35" s="17"/>
      <c r="I35" s="17"/>
      <c r="K35" s="17"/>
      <c r="M35" s="17"/>
      <c r="O35" s="17"/>
      <c r="Q35" s="17"/>
      <c r="S35" s="17"/>
      <c r="U35" s="17"/>
      <c r="W35" s="17"/>
      <c r="Y35" s="17"/>
      <c r="AA35" s="17"/>
      <c r="AC35" s="17"/>
      <c r="AD35" s="17"/>
      <c r="AE35" s="17"/>
      <c r="AF35" s="17"/>
      <c r="AG35" s="17"/>
      <c r="AJ35" s="17"/>
    </row>
  </sheetData>
  <mergeCells count="1">
    <mergeCell ref="A1:AJ1"/>
  </mergeCells>
  <phoneticPr fontId="0" type="noConversion"/>
  <conditionalFormatting sqref="AH3 C3:C34 I3:I34 K3:K34 M3:M34 O3:O34 Q3:Q34 S3:S34 U3:U34 W3:W34 G3:G34 E3:E34 Y3:Y34 AH4:AI34 AA3:AC34 A2:A34 AE3:AE34 AG3:AG34">
    <cfRule type="cellIs" dxfId="0" priority="340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5" ma:contentTypeDescription="Create a new document." ma:contentTypeScope="" ma:versionID="3ef84a2ea14c76d28649e2f379f65ab4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4f8fd83ac234093313865e3b5cd9b979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79af1a0-7e35-4d9c-ae9b-a76c9248c791}" ma:internalName="TaxCatchAll" ma:showField="CatchAllData" ma:web="2d8748ec-992c-4be6-818f-09daf1d5c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44b4a5-31e9-439c-ad4b-ef06b9d19991">
      <Terms xmlns="http://schemas.microsoft.com/office/infopath/2007/PartnerControls"/>
    </lcf76f155ced4ddcb4097134ff3c332f>
    <TaxCatchAll xmlns="2d8748ec-992c-4be6-818f-09daf1d5c9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BF515C-4528-4ED8-AEAC-76A2769501A2}"/>
</file>

<file path=customXml/itemProps2.xml><?xml version="1.0" encoding="utf-8"?>
<ds:datastoreItem xmlns:ds="http://schemas.openxmlformats.org/officeDocument/2006/customXml" ds:itemID="{7E82F225-777A-4888-9A31-0A32E87666FF}"/>
</file>

<file path=customXml/itemProps3.xml><?xml version="1.0" encoding="utf-8"?>
<ds:datastoreItem xmlns:ds="http://schemas.openxmlformats.org/officeDocument/2006/customXml" ds:itemID="{32E01D12-ED81-4A01-B5B8-2A82682A7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2022-09-04T06:38:27Z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0x0101009B6F3ED90E2271449ABAC186C6BA6802</vt:lpwstr>
  </property>
  <property fmtid="{D5CDD505-2E9C-101B-9397-08002B2CF9AE}" pid="3" name="MediaServiceImageTags">
    <vt:lpwstr/>
  </property>
</Properties>
</file>