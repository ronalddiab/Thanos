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039" documentId="13_ncr:1_{A150F12E-A5F3-4ABD-A7D4-FF6BD82385D6}" xr6:coauthVersionLast="47" xr6:coauthVersionMax="47" xr10:uidLastSave="{8A54DE2B-6BF5-46CD-AE48-39345D94F416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2" l="1"/>
  <c r="M32" i="2"/>
  <c r="K32" i="2"/>
  <c r="I32" i="2"/>
  <c r="G32" i="2"/>
  <c r="E32" i="2"/>
  <c r="F32" i="2" s="1"/>
  <c r="P16" i="1"/>
  <c r="P17" i="1" s="1"/>
  <c r="N16" i="1"/>
  <c r="N17" i="1" s="1"/>
  <c r="L16" i="1"/>
  <c r="L17" i="1"/>
  <c r="L18" i="1"/>
  <c r="L19" i="1" s="1"/>
  <c r="AD15" i="1"/>
  <c r="AD16" i="1"/>
  <c r="AD17" i="1"/>
  <c r="AD18" i="1"/>
  <c r="AD19" i="1"/>
  <c r="AD20" i="1"/>
  <c r="AD21" i="1"/>
  <c r="AB15" i="1"/>
  <c r="AB16" i="1"/>
  <c r="AB17" i="1"/>
  <c r="AB18" i="1"/>
  <c r="AB19" i="1"/>
  <c r="AB20" i="1"/>
  <c r="AB21" i="1"/>
  <c r="U15" i="1"/>
  <c r="U16" i="1"/>
  <c r="U17" i="1"/>
  <c r="U18" i="1"/>
  <c r="U19" i="1"/>
  <c r="U20" i="1"/>
  <c r="U21" i="1"/>
  <c r="Q15" i="1"/>
  <c r="O15" i="1"/>
  <c r="M15" i="1"/>
  <c r="M16" i="1"/>
  <c r="M17" i="1"/>
  <c r="K15" i="1"/>
  <c r="K16" i="1"/>
  <c r="K17" i="1"/>
  <c r="K18" i="1"/>
  <c r="K19" i="1"/>
  <c r="K20" i="1"/>
  <c r="K21" i="1"/>
  <c r="G15" i="1"/>
  <c r="G16" i="1"/>
  <c r="G17" i="1"/>
  <c r="G18" i="1"/>
  <c r="G19" i="1"/>
  <c r="G20" i="1"/>
  <c r="G21" i="1"/>
  <c r="E15" i="1"/>
  <c r="E16" i="1"/>
  <c r="E17" i="1"/>
  <c r="E18" i="1"/>
  <c r="E19" i="1"/>
  <c r="E20" i="1"/>
  <c r="E21" i="1"/>
  <c r="C15" i="1"/>
  <c r="C16" i="1"/>
  <c r="C17" i="1"/>
  <c r="C18" i="1"/>
  <c r="C19" i="1"/>
  <c r="C20" i="1"/>
  <c r="C21" i="1"/>
  <c r="P9" i="1"/>
  <c r="P10" i="1" s="1"/>
  <c r="N9" i="1"/>
  <c r="N10" i="1" s="1"/>
  <c r="L9" i="1"/>
  <c r="L10" i="1" s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O8" i="1"/>
  <c r="M8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P4" i="1"/>
  <c r="P5" i="1" s="1"/>
  <c r="P6" i="1" s="1"/>
  <c r="P7" i="1" s="1"/>
  <c r="P8" i="1" s="1"/>
  <c r="P3" i="1"/>
  <c r="N4" i="1"/>
  <c r="N5" i="1" s="1"/>
  <c r="N6" i="1" s="1"/>
  <c r="N7" i="1" s="1"/>
  <c r="N8" i="1" s="1"/>
  <c r="N3" i="1"/>
  <c r="L5" i="1"/>
  <c r="L6" i="1" s="1"/>
  <c r="L7" i="1" s="1"/>
  <c r="L8" i="1" s="1"/>
  <c r="L4" i="1"/>
  <c r="L3" i="1"/>
  <c r="Q16" i="1" l="1"/>
  <c r="P18" i="1"/>
  <c r="N18" i="1"/>
  <c r="O16" i="1"/>
  <c r="L20" i="1"/>
  <c r="M18" i="1"/>
  <c r="P11" i="1"/>
  <c r="Q9" i="1"/>
  <c r="O9" i="1"/>
  <c r="N11" i="1"/>
  <c r="L11" i="1"/>
  <c r="M9" i="1"/>
  <c r="AD6" i="1"/>
  <c r="AD7" i="1"/>
  <c r="AB6" i="1"/>
  <c r="AB7" i="1"/>
  <c r="U6" i="1"/>
  <c r="U7" i="1"/>
  <c r="Q6" i="1"/>
  <c r="Q7" i="1"/>
  <c r="O6" i="1"/>
  <c r="O7" i="1"/>
  <c r="M6" i="1"/>
  <c r="M7" i="1"/>
  <c r="K6" i="1"/>
  <c r="K7" i="1"/>
  <c r="G6" i="1"/>
  <c r="G7" i="1"/>
  <c r="E6" i="1"/>
  <c r="E7" i="1"/>
  <c r="C6" i="1"/>
  <c r="C7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21" i="1" l="1"/>
  <c r="Z20" i="1"/>
  <c r="Z19" i="1"/>
  <c r="Z18" i="1"/>
  <c r="Z17" i="1"/>
  <c r="Z16" i="1"/>
  <c r="Z15" i="1"/>
  <c r="Q17" i="1"/>
  <c r="P19" i="1"/>
  <c r="O17" i="1"/>
  <c r="N19" i="1"/>
  <c r="L21" i="1"/>
  <c r="M19" i="1"/>
  <c r="Z14" i="1"/>
  <c r="Z13" i="1"/>
  <c r="Z12" i="1"/>
  <c r="Z11" i="1"/>
  <c r="Z10" i="1"/>
  <c r="Z9" i="1"/>
  <c r="Z8" i="1"/>
  <c r="Q10" i="1"/>
  <c r="P12" i="1"/>
  <c r="O10" i="1"/>
  <c r="N12" i="1"/>
  <c r="L12" i="1"/>
  <c r="M10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P20" i="1" l="1"/>
  <c r="Q18" i="1"/>
  <c r="N20" i="1"/>
  <c r="O18" i="1"/>
  <c r="L22" i="1"/>
  <c r="M21" i="1" s="1"/>
  <c r="M20" i="1"/>
  <c r="P13" i="1"/>
  <c r="Q11" i="1"/>
  <c r="N13" i="1"/>
  <c r="O11" i="1"/>
  <c r="L13" i="1"/>
  <c r="M11" i="1"/>
  <c r="G31" i="2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P21" i="1" l="1"/>
  <c r="Q19" i="1"/>
  <c r="N21" i="1"/>
  <c r="O19" i="1"/>
  <c r="P14" i="1"/>
  <c r="Q12" i="1"/>
  <c r="O12" i="1"/>
  <c r="N14" i="1"/>
  <c r="L14" i="1"/>
  <c r="M12" i="1"/>
  <c r="M2" i="1"/>
  <c r="Q20" i="1" l="1"/>
  <c r="P22" i="1"/>
  <c r="Q21" i="1" s="1"/>
  <c r="N22" i="1"/>
  <c r="O21" i="1" s="1"/>
  <c r="O20" i="1"/>
  <c r="P15" i="1"/>
  <c r="Q14" i="1" s="1"/>
  <c r="Q13" i="1"/>
  <c r="O13" i="1"/>
  <c r="N15" i="1"/>
  <c r="O14" i="1" s="1"/>
  <c r="L15" i="1"/>
  <c r="M14" i="1" s="1"/>
  <c r="M13" i="1"/>
  <c r="C2" i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<sst xmlns="http://schemas.openxmlformats.org/spreadsheetml/2006/main" count="82" uniqueCount="41">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</sst>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3" sqref="C3:C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7</v>
      </c>
      <c r="D2" s="70">
        <v>2025</v>
      </c>
      <c r="E2" s="49">
        <f>IF(ALMYRA!H2&lt;0,"0",ALMYRA!H2)</f>
        <v>7362</v>
      </c>
      <c r="F2" s="50">
        <f>(ALMYRA!C2*0.24)/E2</f>
        <v>0.15093724531377345</v>
      </c>
      <c r="G2" s="54">
        <f>ALMYRA!Z2</f>
        <v>200</v>
      </c>
      <c r="H2" s="55">
        <v>0.65800000000000003</v>
      </c>
      <c r="I2" s="58">
        <f>IF(ALMYRA!AB2&lt;0,"0",ALMYRA!AB2)</f>
        <v>93</v>
      </c>
      <c r="J2" s="59">
        <v>2.4</v>
      </c>
      <c r="K2" s="62">
        <f>ALMYRA!U2</f>
        <v>50</v>
      </c>
      <c r="L2" s="63">
        <v>0.88</v>
      </c>
      <c r="M2" s="66">
        <f>ALMYRA!AJ2</f>
        <v>96</v>
      </c>
      <c r="N2" s="66">
        <f>ALMYRA!AK2</f>
        <v>182</v>
      </c>
    </row>
    <row r="3" spans="1:14" ht="15" x14ac:dyDescent="0.25">
      <c r="A3" s="45" t="s">
        <v>13</v>
      </c>
      <c r="B3" s="5">
        <f>B2+1</f>
        <v>2</v>
      </c>
      <c r="C3" s="69">
        <v>7</v>
      </c>
      <c r="D3" s="70">
        <v>2025</v>
      </c>
      <c r="E3" s="49">
        <f>IF(ALMYRA!H3&lt;0,"0",ALMYRA!H3)</f>
        <v>7483</v>
      </c>
      <c r="F3" s="50">
        <f>(ALMYRA!C3*0.24)/E3</f>
        <v>0.15378858746492047</v>
      </c>
      <c r="G3" s="54">
        <f>ALMYRA!Z3</f>
        <v>125</v>
      </c>
      <c r="H3" s="55">
        <v>0.65800000000000003</v>
      </c>
      <c r="I3" s="58">
        <f>IF(ALMYRA!AB3&lt;0,"0",ALMYRA!AB3)</f>
        <v>113</v>
      </c>
      <c r="J3" s="59">
        <v>2.4</v>
      </c>
      <c r="K3" s="62">
        <f>ALMYRA!U3</f>
        <v>50</v>
      </c>
      <c r="L3" s="63">
        <v>0.88</v>
      </c>
      <c r="M3" s="66">
        <f>ALMYRA!AJ3</f>
        <v>105</v>
      </c>
      <c r="N3" s="66">
        <f>ALMYRA!AK3</f>
        <v>203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7</v>
      </c>
      <c r="D4" s="70">
        <v>2025</v>
      </c>
      <c r="E4" s="49">
        <f>IF(ALMYRA!H4&lt;0,"0",ALMYRA!H4)</f>
        <v>7590</v>
      </c>
      <c r="F4" s="50">
        <f>(ALMYRA!C4*0.24)/E4</f>
        <v>0.15718577075098814</v>
      </c>
      <c r="G4" s="54">
        <f>ALMYRA!Z4</f>
        <v>100</v>
      </c>
      <c r="H4" s="55">
        <v>0.65800000000000003</v>
      </c>
      <c r="I4" s="58">
        <f>IF(ALMYRA!AB4&lt;0,"0",ALMYRA!AB4)</f>
        <v>101</v>
      </c>
      <c r="J4" s="59">
        <v>2.4</v>
      </c>
      <c r="K4" s="62">
        <f>ALMYRA!U4</f>
        <v>101</v>
      </c>
      <c r="L4" s="63">
        <v>0.88</v>
      </c>
      <c r="M4" s="66">
        <f>ALMYRA!AJ4</f>
        <v>117</v>
      </c>
      <c r="N4" s="66">
        <f>ALMYRA!AK4</f>
        <v>231</v>
      </c>
    </row>
    <row r="5" spans="1:14" ht="15" x14ac:dyDescent="0.25">
      <c r="A5" s="45" t="s">
        <v>13</v>
      </c>
      <c r="B5" s="5">
        <f t="shared" si="0"/>
        <v>4</v>
      </c>
      <c r="C5" s="69">
        <v>7</v>
      </c>
      <c r="D5" s="70">
        <v>2025</v>
      </c>
      <c r="E5" s="49">
        <f>IF(ALMYRA!H5&lt;0,"0",ALMYRA!H5)</f>
        <v>7430</v>
      </c>
      <c r="F5" s="50">
        <f>(ALMYRA!C5*0.24)/E5</f>
        <v>0.15259219380888289</v>
      </c>
      <c r="G5" s="54">
        <f>ALMYRA!Z5</f>
        <v>150</v>
      </c>
      <c r="H5" s="55">
        <v>0.65800000000000003</v>
      </c>
      <c r="I5" s="58">
        <f>IF(ALMYRA!AB5&lt;0,"0",ALMYRA!AB5)</f>
        <v>121</v>
      </c>
      <c r="J5" s="59">
        <v>2.4</v>
      </c>
      <c r="K5" s="62">
        <f>ALMYRA!U5</f>
        <v>100</v>
      </c>
      <c r="L5" s="63">
        <v>0.88</v>
      </c>
      <c r="M5" s="66">
        <f>ALMYRA!AJ5</f>
        <v>124</v>
      </c>
      <c r="N5" s="66">
        <f>ALMYRA!AK5</f>
        <v>249</v>
      </c>
    </row>
    <row r="6" spans="1:14" ht="15" x14ac:dyDescent="0.25">
      <c r="A6" s="45" t="s">
        <v>13</v>
      </c>
      <c r="B6" s="5">
        <f t="shared" si="0"/>
        <v>5</v>
      </c>
      <c r="C6" s="69">
        <v>7</v>
      </c>
      <c r="D6" s="70">
        <v>2025</v>
      </c>
      <c r="E6" s="49">
        <f>IF(ALMYRA!H6&lt;0,"0",ALMYRA!H6)</f>
        <v>7711</v>
      </c>
      <c r="F6" s="50">
        <f>(ALMYRA!C6*0.24)/E6</f>
        <v>0.15587083387368691</v>
      </c>
      <c r="G6" s="54">
        <f>ALMYRA!Z6</f>
        <v>150</v>
      </c>
      <c r="H6" s="55">
        <v>0.65800000000000003</v>
      </c>
      <c r="I6" s="58">
        <f>IF(ALMYRA!AB6&lt;0,"0",ALMYRA!AB6)</f>
        <v>71</v>
      </c>
      <c r="J6" s="59">
        <v>2.4</v>
      </c>
      <c r="K6" s="62">
        <f>ALMYRA!U6</f>
        <v>50</v>
      </c>
      <c r="L6" s="63">
        <v>0.88</v>
      </c>
      <c r="M6" s="66">
        <f>ALMYRA!AJ6</f>
        <v>148</v>
      </c>
      <c r="N6" s="66">
        <f>ALMYRA!AK6</f>
        <v>303</v>
      </c>
    </row>
    <row r="7" spans="1:14" ht="15" x14ac:dyDescent="0.25">
      <c r="A7" s="45" t="s">
        <v>13</v>
      </c>
      <c r="B7" s="5">
        <f t="shared" si="0"/>
        <v>6</v>
      </c>
      <c r="C7" s="69">
        <v>7</v>
      </c>
      <c r="D7" s="70">
        <v>2025</v>
      </c>
      <c r="E7" s="49">
        <f>IF(ALMYRA!H7&lt;0,"0",ALMYRA!H7)</f>
        <v>7650</v>
      </c>
      <c r="F7" s="50">
        <f>(ALMYRA!C7*0.24)/E7</f>
        <v>0.15554509803921568</v>
      </c>
      <c r="G7" s="54">
        <f>ALMYRA!Z7</f>
        <v>200</v>
      </c>
      <c r="H7" s="55">
        <v>0.65800000000000003</v>
      </c>
      <c r="I7" s="58">
        <f>IF(ALMYRA!AB7&lt;0,"0",ALMYRA!AB7)</f>
        <v>72</v>
      </c>
      <c r="J7" s="59">
        <v>2.4</v>
      </c>
      <c r="K7" s="62">
        <f>ALMYRA!U7</f>
        <v>30</v>
      </c>
      <c r="L7" s="63">
        <v>0.88</v>
      </c>
      <c r="M7" s="66">
        <f>ALMYRA!AJ7</f>
        <v>121</v>
      </c>
      <c r="N7" s="66">
        <f>ALMYRA!AK7</f>
        <v>249</v>
      </c>
    </row>
    <row r="8" spans="1:14" ht="15" x14ac:dyDescent="0.25">
      <c r="A8" s="45" t="s">
        <v>13</v>
      </c>
      <c r="B8" s="5">
        <f t="shared" si="0"/>
        <v>7</v>
      </c>
      <c r="C8" s="69">
        <v>7</v>
      </c>
      <c r="D8" s="70">
        <v>2025</v>
      </c>
      <c r="E8" s="49">
        <f>IF(ALMYRA!H8&lt;0,"0",ALMYRA!H8)</f>
        <v>7793</v>
      </c>
      <c r="F8" s="50">
        <f>(ALMYRA!C8*0.24)/E8</f>
        <v>0.15669446939561144</v>
      </c>
      <c r="G8" s="54">
        <f>ALMYRA!Z8</f>
        <v>144.92000000000007</v>
      </c>
      <c r="H8" s="55">
        <v>0.65800000000000003</v>
      </c>
      <c r="I8" s="58">
        <f>IF(ALMYRA!AB8&lt;0,"0",ALMYRA!AB8)</f>
        <v>123</v>
      </c>
      <c r="J8" s="59">
        <v>2.4</v>
      </c>
      <c r="K8" s="62">
        <f>ALMYRA!U8</f>
        <v>21</v>
      </c>
      <c r="L8" s="63">
        <v>0.88</v>
      </c>
      <c r="M8" s="66">
        <f>ALMYRA!AJ8</f>
        <v>113</v>
      </c>
      <c r="N8" s="66">
        <f>ALMYRA!AK8</f>
        <v>229</v>
      </c>
    </row>
    <row r="9" spans="1:14" ht="15" x14ac:dyDescent="0.25">
      <c r="A9" s="45" t="s">
        <v>13</v>
      </c>
      <c r="B9" s="5">
        <f t="shared" si="0"/>
        <v>8</v>
      </c>
      <c r="C9" s="69">
        <v>7</v>
      </c>
      <c r="D9" s="70">
        <v>2025</v>
      </c>
      <c r="E9" s="49">
        <f>IF(ALMYRA!H9&lt;0,"0",ALMYRA!H9)</f>
        <v>7294</v>
      </c>
      <c r="F9" s="50">
        <f>(ALMYRA!C9*0.24)/E9</f>
        <v>0.14944886207842062</v>
      </c>
      <c r="G9" s="54">
        <f>ALMYRA!Z9</f>
        <v>125</v>
      </c>
      <c r="H9" s="55">
        <v>0.65800000000000003</v>
      </c>
      <c r="I9" s="58">
        <f>IF(ALMYRA!AB9&lt;0,"0",ALMYRA!AB9)</f>
        <v>111</v>
      </c>
      <c r="J9" s="59">
        <v>2.4</v>
      </c>
      <c r="K9" s="62">
        <f>ALMYRA!U9</f>
        <v>100</v>
      </c>
      <c r="L9" s="63">
        <v>0.88</v>
      </c>
      <c r="M9" s="66">
        <f>ALMYRA!AJ9</f>
        <v>112</v>
      </c>
      <c r="N9" s="66">
        <f>ALMYRA!AK9</f>
        <v>229</v>
      </c>
    </row>
    <row r="10" spans="1:14" ht="15" x14ac:dyDescent="0.25">
      <c r="A10" s="45" t="s">
        <v>13</v>
      </c>
      <c r="B10" s="5">
        <f t="shared" si="0"/>
        <v>9</v>
      </c>
      <c r="C10" s="69">
        <v>7</v>
      </c>
      <c r="D10" s="70">
        <v>2025</v>
      </c>
      <c r="E10" s="49">
        <f>IF(ALMYRA!H10&lt;0,"0",ALMYRA!H10)</f>
        <v>7780</v>
      </c>
      <c r="F10" s="50">
        <f>(ALMYRA!C10*0.24)/E10</f>
        <v>0.15982519280205656</v>
      </c>
      <c r="G10" s="54">
        <f>ALMYRA!Z10</f>
        <v>175</v>
      </c>
      <c r="H10" s="55">
        <v>0.65800000000000003</v>
      </c>
      <c r="I10" s="58">
        <f>IF(ALMYRA!AB10&lt;0,"0",ALMYRA!AB10)</f>
        <v>86</v>
      </c>
      <c r="J10" s="59">
        <v>2.4</v>
      </c>
      <c r="K10" s="62">
        <f>ALMYRA!U10</f>
        <v>40</v>
      </c>
      <c r="L10" s="63">
        <v>0.88</v>
      </c>
      <c r="M10" s="66">
        <f>ALMYRA!AJ10</f>
        <v>134</v>
      </c>
      <c r="N10" s="66">
        <f>ALMYRA!AK10</f>
        <v>266</v>
      </c>
    </row>
    <row r="11" spans="1:14" ht="15" x14ac:dyDescent="0.25">
      <c r="A11" s="45" t="s">
        <v>13</v>
      </c>
      <c r="B11" s="5">
        <f t="shared" si="0"/>
        <v>10</v>
      </c>
      <c r="C11" s="69">
        <v>7</v>
      </c>
      <c r="D11" s="70">
        <v>2025</v>
      </c>
      <c r="E11" s="49">
        <f>IF(ALMYRA!H11&lt;0,"0",ALMYRA!H11)</f>
        <v>7711</v>
      </c>
      <c r="F11" s="50">
        <f>(ALMYRA!C11*0.24)/E11</f>
        <v>0.15836078329658929</v>
      </c>
      <c r="G11" s="54">
        <f>ALMYRA!Z11</f>
        <v>200</v>
      </c>
      <c r="H11" s="55">
        <v>0.65800000000000003</v>
      </c>
      <c r="I11" s="58">
        <f>IF(ALMYRA!AB11&lt;0,"0",ALMYRA!AB11)</f>
        <v>92</v>
      </c>
      <c r="J11" s="59">
        <v>2.4</v>
      </c>
      <c r="K11" s="62">
        <f>ALMYRA!U11</f>
        <v>30</v>
      </c>
      <c r="L11" s="63">
        <v>0.88</v>
      </c>
      <c r="M11" s="66">
        <f>ALMYRA!AJ11</f>
        <v>116</v>
      </c>
      <c r="N11" s="66">
        <f>ALMYRA!AK11</f>
        <v>230</v>
      </c>
    </row>
    <row r="12" spans="1:14" ht="15" x14ac:dyDescent="0.25">
      <c r="A12" s="45" t="s">
        <v>13</v>
      </c>
      <c r="B12" s="5">
        <f t="shared" si="0"/>
        <v>11</v>
      </c>
      <c r="C12" s="69">
        <v>7</v>
      </c>
      <c r="D12" s="70">
        <v>2025</v>
      </c>
      <c r="E12" s="49">
        <f>IF(ALMYRA!H12&lt;0,"0",ALMYRA!H12)</f>
        <v>8035</v>
      </c>
      <c r="F12" s="50">
        <f>(ALMYRA!C12*0.24)/E12</f>
        <v>0.16111512134411948</v>
      </c>
      <c r="G12" s="54">
        <f>ALMYRA!Z12</f>
        <v>175</v>
      </c>
      <c r="H12" s="55">
        <v>0.65800000000000003</v>
      </c>
      <c r="I12" s="58">
        <f>IF(ALMYRA!AB12&lt;0,"0",ALMYRA!AB12)</f>
        <v>131</v>
      </c>
      <c r="J12" s="59">
        <v>2.4</v>
      </c>
      <c r="K12" s="62">
        <f>ALMYRA!U12</f>
        <v>30</v>
      </c>
      <c r="L12" s="63">
        <v>0.88</v>
      </c>
      <c r="M12" s="66">
        <f>ALMYRA!AJ12</f>
        <v>131</v>
      </c>
      <c r="N12" s="66">
        <f>ALMYRA!AK12</f>
        <v>269</v>
      </c>
    </row>
    <row r="13" spans="1:14" ht="15" x14ac:dyDescent="0.25">
      <c r="A13" s="45" t="s">
        <v>13</v>
      </c>
      <c r="B13" s="5">
        <f t="shared" si="0"/>
        <v>12</v>
      </c>
      <c r="C13" s="69">
        <v>7</v>
      </c>
      <c r="D13" s="70">
        <v>2025</v>
      </c>
      <c r="E13" s="49">
        <f>IF(ALMYRA!H13&lt;0,"0",ALMYRA!H13)</f>
        <v>8092</v>
      </c>
      <c r="F13" s="50">
        <f>(ALMYRA!C13*0.24)/E13</f>
        <v>0.15959466139396936</v>
      </c>
      <c r="G13" s="54">
        <f>ALMYRA!Z13</f>
        <v>175</v>
      </c>
      <c r="H13" s="55">
        <v>0.65800000000000003</v>
      </c>
      <c r="I13" s="58">
        <f>IF(ALMYRA!AB13&lt;0,"0",ALMYRA!AB13)</f>
        <v>83</v>
      </c>
      <c r="J13" s="59">
        <v>2.4</v>
      </c>
      <c r="K13" s="62">
        <f>ALMYRA!U13</f>
        <v>30</v>
      </c>
      <c r="L13" s="63">
        <v>0.88</v>
      </c>
      <c r="M13" s="66">
        <f>ALMYRA!AJ13</f>
        <v>145</v>
      </c>
      <c r="N13" s="66">
        <f>ALMYRA!AK13</f>
        <v>296</v>
      </c>
    </row>
    <row r="14" spans="1:14" ht="15" x14ac:dyDescent="0.25">
      <c r="A14" s="45" t="s">
        <v>13</v>
      </c>
      <c r="B14" s="5">
        <f t="shared" si="0"/>
        <v>13</v>
      </c>
      <c r="C14" s="69">
        <v>7</v>
      </c>
      <c r="D14" s="70">
        <v>2025</v>
      </c>
      <c r="E14" s="49">
        <f>IF(ALMYRA!H14&lt;0,"0",ALMYRA!H14)</f>
        <v>7710</v>
      </c>
      <c r="F14" s="50">
        <f>(ALMYRA!C14*0.24)/E14</f>
        <v>0.15645136186770428</v>
      </c>
      <c r="G14" s="54">
        <f>ALMYRA!Z14</f>
        <v>125</v>
      </c>
      <c r="H14" s="55">
        <v>0.65800000000000003</v>
      </c>
      <c r="I14" s="58">
        <f>IF(ALMYRA!AB14&lt;0,"0",ALMYRA!AB14)</f>
        <v>73</v>
      </c>
      <c r="J14" s="59">
        <v>2.4</v>
      </c>
      <c r="K14" s="62">
        <f>ALMYRA!U14</f>
        <v>19</v>
      </c>
      <c r="L14" s="63">
        <v>0.88</v>
      </c>
      <c r="M14" s="66">
        <f>ALMYRA!AJ14</f>
        <v>135</v>
      </c>
      <c r="N14" s="66">
        <f>ALMYRA!AK14</f>
        <v>278</v>
      </c>
    </row>
    <row r="15" spans="1:14" ht="15" x14ac:dyDescent="0.25">
      <c r="A15" s="45" t="s">
        <v>13</v>
      </c>
      <c r="B15" s="5">
        <f t="shared" si="0"/>
        <v>14</v>
      </c>
      <c r="C15" s="69">
        <v>7</v>
      </c>
      <c r="D15" s="70">
        <v>2025</v>
      </c>
      <c r="E15" s="49">
        <f>IF(ALMYRA!H15&lt;0,"0",ALMYRA!H15)</f>
        <v>8005</v>
      </c>
      <c r="F15" s="50">
        <f>(ALMYRA!C15*0.24)/E15</f>
        <v>0.16216864459712677</v>
      </c>
      <c r="G15" s="54">
        <f>ALMYRA!Z15</f>
        <v>216.36999999999989</v>
      </c>
      <c r="H15" s="55">
        <v>0.65800000000000003</v>
      </c>
      <c r="I15" s="58">
        <f>IF(ALMYRA!AB15&lt;0,"0",ALMYRA!AB15)</f>
        <v>133</v>
      </c>
      <c r="J15" s="59">
        <v>2.4</v>
      </c>
      <c r="K15" s="62">
        <f>ALMYRA!U15</f>
        <v>50</v>
      </c>
      <c r="L15" s="63">
        <v>0.88</v>
      </c>
      <c r="M15" s="66">
        <f>ALMYRA!AJ15</f>
        <v>139</v>
      </c>
      <c r="N15" s="66">
        <f>ALMYRA!AK15</f>
        <v>288</v>
      </c>
    </row>
    <row r="16" spans="1:14" ht="15" x14ac:dyDescent="0.25">
      <c r="A16" s="45" t="s">
        <v>13</v>
      </c>
      <c r="B16" s="5">
        <f t="shared" si="0"/>
        <v>15</v>
      </c>
      <c r="C16" s="69">
        <v>7</v>
      </c>
      <c r="D16" s="70">
        <v>2025</v>
      </c>
      <c r="E16" s="49">
        <f>IF(ALMYRA!H16&lt;0,"0",ALMYRA!H16)</f>
        <v>8120</v>
      </c>
      <c r="F16" s="50">
        <f>(ALMYRA!C16*0.24)/E16</f>
        <v>0.17284729064039409</v>
      </c>
      <c r="G16" s="54">
        <f>ALMYRA!Z16</f>
        <v>250</v>
      </c>
      <c r="H16" s="55">
        <v>0.65800000000000003</v>
      </c>
      <c r="I16" s="58">
        <f>IF(ALMYRA!AB16&lt;0,"0",ALMYRA!AB16)</f>
        <v>90</v>
      </c>
      <c r="J16" s="59">
        <v>2.4</v>
      </c>
      <c r="K16" s="62">
        <f>ALMYRA!U16</f>
        <v>150</v>
      </c>
      <c r="L16" s="63">
        <v>0.88</v>
      </c>
      <c r="M16" s="66">
        <f>ALMYRA!AJ16</f>
        <v>152</v>
      </c>
      <c r="N16" s="66">
        <f>ALMYRA!AK16</f>
        <v>322</v>
      </c>
    </row>
    <row r="17" spans="1:14" ht="15" x14ac:dyDescent="0.25">
      <c r="A17" s="45" t="s">
        <v>13</v>
      </c>
      <c r="B17" s="5">
        <f t="shared" si="0"/>
        <v>16</v>
      </c>
      <c r="C17" s="69">
        <v>7</v>
      </c>
      <c r="D17" s="70">
        <v>2025</v>
      </c>
      <c r="E17" s="49">
        <f>IF(ALMYRA!H17&lt;0,"0",ALMYRA!H17)</f>
        <v>8189</v>
      </c>
      <c r="F17" s="50">
        <f>(ALMYRA!C17*0.24)/E17</f>
        <v>0.17288557821467823</v>
      </c>
      <c r="G17" s="54">
        <f>ALMYRA!Z17</f>
        <v>125</v>
      </c>
      <c r="H17" s="55">
        <v>0.65800000000000003</v>
      </c>
      <c r="I17" s="58">
        <f>IF(ALMYRA!AB17&lt;0,"0",ALMYRA!AB17)</f>
        <v>123</v>
      </c>
      <c r="J17" s="59">
        <v>2.4</v>
      </c>
      <c r="K17" s="62">
        <f>ALMYRA!U17</f>
        <v>50</v>
      </c>
      <c r="L17" s="63">
        <v>0.88</v>
      </c>
      <c r="M17" s="66">
        <f>ALMYRA!AJ17</f>
        <v>148</v>
      </c>
      <c r="N17" s="66">
        <f>ALMYRA!AK17</f>
        <v>310</v>
      </c>
    </row>
    <row r="18" spans="1:14" ht="15" x14ac:dyDescent="0.25">
      <c r="A18" s="45" t="s">
        <v>13</v>
      </c>
      <c r="B18" s="5">
        <f t="shared" si="0"/>
        <v>17</v>
      </c>
      <c r="C18" s="69">
        <v>7</v>
      </c>
      <c r="D18" s="70">
        <v>2025</v>
      </c>
      <c r="E18" s="49">
        <f>IF(ALMYRA!H18&lt;0,"0",ALMYRA!H18)</f>
        <v>8906</v>
      </c>
      <c r="F18" s="50">
        <f>(ALMYRA!C18*0.24)/E18</f>
        <v>0.17341118347181675</v>
      </c>
      <c r="G18" s="54">
        <f>ALMYRA!Z18</f>
        <v>200</v>
      </c>
      <c r="H18" s="55">
        <v>0.65800000000000003</v>
      </c>
      <c r="I18" s="58">
        <f>IF(ALMYRA!AB18&lt;0,"0",ALMYRA!AB18)</f>
        <v>123</v>
      </c>
      <c r="J18" s="59">
        <v>2.4</v>
      </c>
      <c r="K18" s="62">
        <f>ALMYRA!U18</f>
        <v>50</v>
      </c>
      <c r="L18" s="63">
        <v>0.88</v>
      </c>
      <c r="M18" s="66">
        <f>ALMYRA!AJ18</f>
        <v>155</v>
      </c>
      <c r="N18" s="66">
        <f>ALMYRA!AK18</f>
        <v>327</v>
      </c>
    </row>
    <row r="19" spans="1:14" ht="15" x14ac:dyDescent="0.25">
      <c r="A19" s="45" t="s">
        <v>13</v>
      </c>
      <c r="B19" s="5">
        <f t="shared" si="0"/>
        <v>18</v>
      </c>
      <c r="C19" s="69">
        <v>7</v>
      </c>
      <c r="D19" s="70">
        <v>2025</v>
      </c>
      <c r="E19" s="49">
        <f>IF(ALMYRA!H19&lt;0,"0",ALMYRA!H19)</f>
        <v>8467</v>
      </c>
      <c r="F19" s="50">
        <f>(ALMYRA!C19*0.24)/E19</f>
        <v>0.17012873508916973</v>
      </c>
      <c r="G19" s="54">
        <f>ALMYRA!Z19</f>
        <v>125</v>
      </c>
      <c r="H19" s="55">
        <v>0.65800000000000003</v>
      </c>
      <c r="I19" s="58">
        <f>IF(ALMYRA!AB19&lt;0,"0",ALMYRA!AB19)</f>
        <v>128</v>
      </c>
      <c r="J19" s="59">
        <v>2.4</v>
      </c>
      <c r="K19" s="62">
        <f>ALMYRA!U19</f>
        <v>49</v>
      </c>
      <c r="L19" s="63">
        <v>0.88</v>
      </c>
      <c r="M19" s="66">
        <f>ALMYRA!AJ19</f>
        <v>167</v>
      </c>
      <c r="N19" s="66">
        <f>ALMYRA!AK19</f>
        <v>345</v>
      </c>
    </row>
    <row r="20" spans="1:14" ht="15" x14ac:dyDescent="0.25">
      <c r="A20" s="45" t="s">
        <v>13</v>
      </c>
      <c r="B20" s="5">
        <f t="shared" si="0"/>
        <v>19</v>
      </c>
      <c r="C20" s="69">
        <v>7</v>
      </c>
      <c r="D20" s="70">
        <v>2025</v>
      </c>
      <c r="E20" s="49">
        <f>IF(ALMYRA!H20&lt;0,"0",ALMYRA!H20)</f>
        <v>8284</v>
      </c>
      <c r="F20" s="50">
        <f>(ALMYRA!C20*0.24)/E20</f>
        <v>0.17211974891356832</v>
      </c>
      <c r="G20" s="54">
        <f>ALMYRA!Z20</f>
        <v>75</v>
      </c>
      <c r="H20" s="55">
        <v>0.65800000000000003</v>
      </c>
      <c r="I20" s="58">
        <f>IF(ALMYRA!AB20&lt;0,"0",ALMYRA!AB20)</f>
        <v>91</v>
      </c>
      <c r="J20" s="59">
        <v>2.4</v>
      </c>
      <c r="K20" s="62">
        <f>ALMYRA!U20</f>
        <v>0</v>
      </c>
      <c r="L20" s="63">
        <v>0.88</v>
      </c>
      <c r="M20" s="66">
        <f>ALMYRA!AJ20</f>
        <v>159</v>
      </c>
      <c r="N20" s="66">
        <f>ALMYRA!AK20</f>
        <v>332</v>
      </c>
    </row>
    <row r="21" spans="1:14" ht="15" x14ac:dyDescent="0.25">
      <c r="A21" s="45" t="s">
        <v>13</v>
      </c>
      <c r="B21" s="5">
        <f t="shared" si="0"/>
        <v>20</v>
      </c>
      <c r="C21" s="69">
        <v>7</v>
      </c>
      <c r="D21" s="70">
        <v>2025</v>
      </c>
      <c r="E21" s="49">
        <f>IF(ALMYRA!H21&lt;0,"0",ALMYRA!H21)</f>
        <v>8207</v>
      </c>
      <c r="F21" s="50">
        <f>(ALMYRA!C21*0.24)/E21</f>
        <v>0.16773973437309611</v>
      </c>
      <c r="G21" s="54">
        <f>ALMYRA!Z21</f>
        <v>150</v>
      </c>
      <c r="H21" s="55">
        <v>0.65800000000000003</v>
      </c>
      <c r="I21" s="58">
        <f>IF(ALMYRA!AB21&lt;0,"0",ALMYRA!AB21)</f>
        <v>87</v>
      </c>
      <c r="J21" s="59">
        <v>2.4</v>
      </c>
      <c r="K21" s="62">
        <f>ALMYRA!U21</f>
        <v>19</v>
      </c>
      <c r="L21" s="63">
        <v>0.88</v>
      </c>
      <c r="M21" s="66">
        <f>ALMYRA!AJ21</f>
        <v>132</v>
      </c>
      <c r="N21" s="66">
        <f>ALMYRA!AK21</f>
        <v>274</v>
      </c>
    </row>
    <row r="22" spans="1:14" ht="15" x14ac:dyDescent="0.25">
      <c r="A22" s="45" t="s">
        <v>13</v>
      </c>
      <c r="B22" s="5">
        <f t="shared" si="0"/>
        <v>21</v>
      </c>
      <c r="C22" s="69">
        <v>7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7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7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7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7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7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7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7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7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7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ht="15" x14ac:dyDescent="0.25">
      <c r="A32" s="45" t="s">
        <v>13</v>
      </c>
      <c r="B32" s="5">
        <f t="shared" si="0"/>
        <v>31</v>
      </c>
      <c r="C32" s="69">
        <v>7</v>
      </c>
      <c r="D32" s="70">
        <v>2025</v>
      </c>
      <c r="E32" s="49">
        <f>IF(ALMYRA!H31&lt;0,"0",ALMYRA!H31)</f>
        <v>0</v>
      </c>
      <c r="F32" s="50" t="e">
        <f>(ALMYRA!C31*0.24)/E32</f>
        <v>#DIV/0!</v>
      </c>
      <c r="G32" s="54">
        <f>ALMYRA!Z31</f>
        <v>0</v>
      </c>
      <c r="H32" s="55">
        <v>0.65800000000000003</v>
      </c>
      <c r="I32" s="58">
        <f>IF(ALMYRA!AB31&lt;0,"0",ALMYRA!AB31)</f>
        <v>0</v>
      </c>
      <c r="J32" s="59">
        <v>2.4</v>
      </c>
      <c r="K32" s="62">
        <f>ALMYRA!U31</f>
        <v>0</v>
      </c>
      <c r="L32" s="63">
        <v>0.88</v>
      </c>
      <c r="M32" s="66">
        <f>ALMYRA!AJ31</f>
        <v>0</v>
      </c>
      <c r="N32" s="66">
        <f>ALMYRA!AK31</f>
        <v>0</v>
      </c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Y22" sqref="Y22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45839</v>
      </c>
      <c r="B2" s="8">
        <v>32904485</v>
      </c>
      <c r="C2" s="84">
        <f>B3-B2</f>
        <v>4630</v>
      </c>
      <c r="D2" s="24">
        <v>1378589</v>
      </c>
      <c r="E2" s="84">
        <f>D3-D2</f>
        <v>2732</v>
      </c>
      <c r="F2" s="102">
        <v>193671</v>
      </c>
      <c r="G2" s="86">
        <f>F3-F2</f>
        <v>0</v>
      </c>
      <c r="H2" s="93">
        <f>C2+E2-G2</f>
        <v>7362</v>
      </c>
      <c r="I2" s="95">
        <f>H2-K2-M2-O2-Q2</f>
        <v>6166.2000000001863</v>
      </c>
      <c r="J2" s="103">
        <v>4865326.4000000004</v>
      </c>
      <c r="K2" s="89">
        <f>J3-J2</f>
        <v>974.79999999981374</v>
      </c>
      <c r="L2" s="11">
        <v>472421</v>
      </c>
      <c r="M2" s="89">
        <f>L3-L2</f>
        <v>40</v>
      </c>
      <c r="N2" s="11">
        <v>142746.5</v>
      </c>
      <c r="O2" s="89">
        <f>N3-N2</f>
        <v>72</v>
      </c>
      <c r="P2" s="40">
        <v>15959.6</v>
      </c>
      <c r="Q2" s="90">
        <f>P3-P2</f>
        <v>109</v>
      </c>
      <c r="R2" s="16">
        <f>A2</f>
        <v>45839</v>
      </c>
      <c r="S2" s="104">
        <v>6670</v>
      </c>
      <c r="T2" s="105"/>
      <c r="U2" s="88">
        <f>S2+T2-S3</f>
        <v>50</v>
      </c>
      <c r="V2" s="13">
        <v>0.77</v>
      </c>
      <c r="W2" s="30">
        <v>0.79</v>
      </c>
      <c r="X2" s="29">
        <f t="shared" ref="X2:X33" si="0">(V2*2500)+(W2*2500)</f>
        <v>3900</v>
      </c>
      <c r="Y2" s="101"/>
      <c r="Z2" s="88">
        <f>X2+Y2-X3</f>
        <v>200</v>
      </c>
      <c r="AA2" s="32">
        <v>121515</v>
      </c>
      <c r="AB2" s="88">
        <f>AA3-AA2</f>
        <v>93</v>
      </c>
      <c r="AC2" s="32">
        <v>2636.9</v>
      </c>
      <c r="AD2" s="88">
        <f>AC3-AC2</f>
        <v>21.599999999999909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96</v>
      </c>
      <c r="AK2" s="14">
        <v>182</v>
      </c>
    </row>
    <row r="3" spans="1:37" x14ac:dyDescent="0.2">
      <c r="A3" s="17">
        <f t="shared" ref="A3:A33" si="1">A2+1</f>
        <v>45840</v>
      </c>
      <c r="B3" s="8">
        <v>32909115</v>
      </c>
      <c r="C3" s="85">
        <f>B4-B3</f>
        <v>4795</v>
      </c>
      <c r="D3" s="24">
        <v>1381321</v>
      </c>
      <c r="E3" s="85">
        <f>D4-D3</f>
        <v>2688</v>
      </c>
      <c r="F3" s="24">
        <v>193671</v>
      </c>
      <c r="G3" s="106">
        <f>F4-F3</f>
        <v>0</v>
      </c>
      <c r="H3" s="94">
        <f t="shared" ref="H3:H32" si="2">C3+E3-G3</f>
        <v>7483</v>
      </c>
      <c r="I3" s="96">
        <f t="shared" ref="I3:I32" si="3">H3-K3-M3-O3-Q3</f>
        <v>6286.7999999998137</v>
      </c>
      <c r="J3" s="40">
        <v>4866301.2</v>
      </c>
      <c r="K3" s="107">
        <f>J4-J3</f>
        <v>975.20000000018626</v>
      </c>
      <c r="L3" s="11">
        <f>L2+40</f>
        <v>472461</v>
      </c>
      <c r="M3" s="107">
        <f>L4-L3</f>
        <v>40</v>
      </c>
      <c r="N3" s="11">
        <f>N2+72</f>
        <v>142818.5</v>
      </c>
      <c r="O3" s="107">
        <f>N4-N3</f>
        <v>72</v>
      </c>
      <c r="P3" s="40">
        <f>P2+109</f>
        <v>16068.6</v>
      </c>
      <c r="Q3" s="108">
        <f>P4-P3</f>
        <v>109</v>
      </c>
      <c r="R3" s="17">
        <f>A3</f>
        <v>45840</v>
      </c>
      <c r="S3" s="104">
        <v>6620</v>
      </c>
      <c r="T3" s="109"/>
      <c r="U3" s="110">
        <f>S3+T3-S4</f>
        <v>50</v>
      </c>
      <c r="V3" s="13">
        <v>0.73</v>
      </c>
      <c r="W3" s="30">
        <v>0.75</v>
      </c>
      <c r="X3" s="128">
        <f t="shared" si="0"/>
        <v>3700</v>
      </c>
      <c r="Y3" s="101"/>
      <c r="Z3" s="100">
        <f t="shared" ref="Z3:Z21" si="4">X3+Y3-X4</f>
        <v>125</v>
      </c>
      <c r="AA3" s="32">
        <v>121608</v>
      </c>
      <c r="AB3" s="110">
        <f>AA4-AA3</f>
        <v>113</v>
      </c>
      <c r="AC3" s="32">
        <v>2658.5</v>
      </c>
      <c r="AD3" s="110">
        <f>AC4-AC3</f>
        <v>9.5999999999999091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105</v>
      </c>
      <c r="AK3" s="15">
        <v>203</v>
      </c>
    </row>
    <row r="4" spans="1:37" x14ac:dyDescent="0.2">
      <c r="A4" s="17">
        <f t="shared" si="1"/>
        <v>45841</v>
      </c>
      <c r="B4" s="8">
        <v>32913910</v>
      </c>
      <c r="C4" s="85">
        <f t="shared" ref="C4:C21" si="6">B5-B4</f>
        <v>4971</v>
      </c>
      <c r="D4" s="24">
        <v>1384009</v>
      </c>
      <c r="E4" s="85">
        <f t="shared" ref="E4" si="7">D5-D4</f>
        <v>2619</v>
      </c>
      <c r="F4" s="24">
        <v>193671</v>
      </c>
      <c r="G4" s="106">
        <f t="shared" ref="G4:G21" si="8">F5-F4</f>
        <v>0</v>
      </c>
      <c r="H4" s="94">
        <f t="shared" si="2"/>
        <v>7590</v>
      </c>
      <c r="I4" s="96">
        <f t="shared" si="3"/>
        <v>6394</v>
      </c>
      <c r="J4" s="40">
        <v>4867276.4000000004</v>
      </c>
      <c r="K4" s="107">
        <f t="shared" ref="K4:K21" si="9">J5-J4</f>
        <v>975</v>
      </c>
      <c r="L4" s="11">
        <f>L3+40</f>
        <v>472501</v>
      </c>
      <c r="M4" s="107">
        <f t="shared" ref="M4:M21" si="10">L5-L4</f>
        <v>40</v>
      </c>
      <c r="N4" s="11">
        <f t="shared" ref="N4:N22" si="11">N3+72</f>
        <v>142890.5</v>
      </c>
      <c r="O4" s="107">
        <f t="shared" ref="O4:O21" si="12">N5-N4</f>
        <v>72</v>
      </c>
      <c r="P4" s="40">
        <f t="shared" ref="P4:P22" si="13">P3+109</f>
        <v>16177.6</v>
      </c>
      <c r="Q4" s="108">
        <f t="shared" ref="Q4:Q21" si="14">P5-P4</f>
        <v>109</v>
      </c>
      <c r="R4" s="17">
        <f t="shared" ref="R4:R32" si="15">A4</f>
        <v>45841</v>
      </c>
      <c r="S4" s="104">
        <v>6570</v>
      </c>
      <c r="T4" s="109"/>
      <c r="U4" s="110">
        <f t="shared" ref="U4:U21" si="16">S4+T4-S5</f>
        <v>101</v>
      </c>
      <c r="V4" s="13">
        <v>0.7</v>
      </c>
      <c r="W4" s="30">
        <v>0.73</v>
      </c>
      <c r="X4" s="128">
        <f t="shared" si="0"/>
        <v>3575</v>
      </c>
      <c r="Y4" s="101"/>
      <c r="Z4" s="100">
        <f t="shared" si="4"/>
        <v>100</v>
      </c>
      <c r="AA4" s="32">
        <v>121721</v>
      </c>
      <c r="AB4" s="110">
        <f t="shared" ref="AB4:AB21" si="17">AA5-AA4</f>
        <v>101</v>
      </c>
      <c r="AC4" s="32">
        <v>2668.1</v>
      </c>
      <c r="AD4" s="110">
        <f t="shared" ref="AD4:AD21" si="18">AC5-AC4</f>
        <v>9.0999999999999091</v>
      </c>
      <c r="AE4" s="34">
        <v>73027</v>
      </c>
      <c r="AF4" s="110">
        <f t="shared" ref="AF4:AF32" si="19">AE5-AE4</f>
        <v>0</v>
      </c>
      <c r="AG4" s="37">
        <v>3100</v>
      </c>
      <c r="AH4" s="80">
        <v>0</v>
      </c>
      <c r="AI4" s="100">
        <f t="shared" si="5"/>
        <v>0</v>
      </c>
      <c r="AJ4" s="10">
        <v>117</v>
      </c>
      <c r="AK4" s="15">
        <v>231</v>
      </c>
    </row>
    <row r="5" spans="1:37" x14ac:dyDescent="0.2">
      <c r="A5" s="17">
        <f t="shared" si="1"/>
        <v>45842</v>
      </c>
      <c r="B5" s="8">
        <v>32918881</v>
      </c>
      <c r="C5" s="85">
        <f t="shared" si="6"/>
        <v>4724</v>
      </c>
      <c r="D5" s="24">
        <v>1386628</v>
      </c>
      <c r="E5" s="85">
        <f>D6-D5</f>
        <v>2706</v>
      </c>
      <c r="F5" s="24">
        <v>193671</v>
      </c>
      <c r="G5" s="106">
        <f t="shared" si="8"/>
        <v>0</v>
      </c>
      <c r="H5" s="94">
        <f>C5+E5-G5</f>
        <v>7430</v>
      </c>
      <c r="I5" s="96">
        <f t="shared" si="3"/>
        <v>6302.1000000005606</v>
      </c>
      <c r="J5" s="40">
        <v>4868251.4000000004</v>
      </c>
      <c r="K5" s="107">
        <f t="shared" si="9"/>
        <v>906.89999999944121</v>
      </c>
      <c r="L5" s="11">
        <f t="shared" ref="L5:L22" si="20">L4+40</f>
        <v>472541</v>
      </c>
      <c r="M5" s="107">
        <f t="shared" si="10"/>
        <v>40</v>
      </c>
      <c r="N5" s="11">
        <f t="shared" si="11"/>
        <v>142962.5</v>
      </c>
      <c r="O5" s="107">
        <f t="shared" si="12"/>
        <v>72</v>
      </c>
      <c r="P5" s="40">
        <f t="shared" si="13"/>
        <v>16286.6</v>
      </c>
      <c r="Q5" s="108">
        <f t="shared" si="14"/>
        <v>108.99999999999818</v>
      </c>
      <c r="R5" s="17">
        <f t="shared" si="15"/>
        <v>45842</v>
      </c>
      <c r="S5" s="104">
        <v>6469</v>
      </c>
      <c r="T5" s="109"/>
      <c r="U5" s="110">
        <f t="shared" si="16"/>
        <v>100</v>
      </c>
      <c r="V5" s="13">
        <v>0.69</v>
      </c>
      <c r="W5" s="30">
        <v>0.7</v>
      </c>
      <c r="X5" s="128">
        <f t="shared" si="0"/>
        <v>3475</v>
      </c>
      <c r="Y5" s="101"/>
      <c r="Z5" s="100">
        <f t="shared" si="4"/>
        <v>150</v>
      </c>
      <c r="AA5" s="32">
        <v>121822</v>
      </c>
      <c r="AB5" s="110">
        <f t="shared" si="17"/>
        <v>121</v>
      </c>
      <c r="AC5" s="32">
        <v>2677.2</v>
      </c>
      <c r="AD5" s="110">
        <f t="shared" si="18"/>
        <v>4.9000000000000909</v>
      </c>
      <c r="AE5" s="34">
        <v>73027</v>
      </c>
      <c r="AF5" s="110">
        <f t="shared" si="19"/>
        <v>0</v>
      </c>
      <c r="AG5" s="37">
        <v>3100</v>
      </c>
      <c r="AH5" s="80">
        <v>0</v>
      </c>
      <c r="AI5" s="100">
        <f t="shared" si="5"/>
        <v>0</v>
      </c>
      <c r="AJ5" s="10">
        <v>124</v>
      </c>
      <c r="AK5" s="15">
        <v>249</v>
      </c>
    </row>
    <row r="6" spans="1:37" x14ac:dyDescent="0.2">
      <c r="A6" s="17">
        <f t="shared" si="1"/>
        <v>45843</v>
      </c>
      <c r="B6" s="8">
        <v>32923605</v>
      </c>
      <c r="C6" s="85">
        <f t="shared" si="6"/>
        <v>5008</v>
      </c>
      <c r="D6" s="24">
        <v>1389334</v>
      </c>
      <c r="E6" s="85">
        <f t="shared" ref="E6:E21" si="21">D7-D6</f>
        <v>2703</v>
      </c>
      <c r="F6" s="24">
        <v>193671</v>
      </c>
      <c r="G6" s="106">
        <f t="shared" si="8"/>
        <v>0</v>
      </c>
      <c r="H6" s="94">
        <f t="shared" si="2"/>
        <v>7711</v>
      </c>
      <c r="I6" s="96">
        <f t="shared" si="3"/>
        <v>6495.8999999994412</v>
      </c>
      <c r="J6" s="40">
        <v>4869158.3</v>
      </c>
      <c r="K6" s="107">
        <f t="shared" si="9"/>
        <v>994.10000000055879</v>
      </c>
      <c r="L6" s="11">
        <f t="shared" si="20"/>
        <v>472581</v>
      </c>
      <c r="M6" s="107">
        <f t="shared" si="10"/>
        <v>40</v>
      </c>
      <c r="N6" s="11">
        <f t="shared" si="11"/>
        <v>143034.5</v>
      </c>
      <c r="O6" s="107">
        <f t="shared" si="12"/>
        <v>72</v>
      </c>
      <c r="P6" s="40">
        <f t="shared" si="13"/>
        <v>16395.599999999999</v>
      </c>
      <c r="Q6" s="108">
        <f t="shared" si="14"/>
        <v>109</v>
      </c>
      <c r="R6" s="17">
        <f t="shared" si="15"/>
        <v>45843</v>
      </c>
      <c r="S6" s="104">
        <v>6369</v>
      </c>
      <c r="T6" s="109"/>
      <c r="U6" s="110">
        <f t="shared" si="16"/>
        <v>50</v>
      </c>
      <c r="V6" s="13">
        <v>0.67</v>
      </c>
      <c r="W6" s="30">
        <v>0.66</v>
      </c>
      <c r="X6" s="128">
        <f t="shared" si="0"/>
        <v>3325</v>
      </c>
      <c r="Y6" s="101"/>
      <c r="Z6" s="100">
        <f t="shared" si="4"/>
        <v>150</v>
      </c>
      <c r="AA6" s="32">
        <v>121943</v>
      </c>
      <c r="AB6" s="110">
        <f t="shared" si="17"/>
        <v>71</v>
      </c>
      <c r="AC6" s="32">
        <v>2682.1</v>
      </c>
      <c r="AD6" s="110">
        <f t="shared" si="18"/>
        <v>7.5999999999999091</v>
      </c>
      <c r="AE6" s="34">
        <v>73027</v>
      </c>
      <c r="AF6" s="110">
        <f t="shared" si="19"/>
        <v>0</v>
      </c>
      <c r="AG6" s="37">
        <v>3100</v>
      </c>
      <c r="AH6" s="80">
        <v>0</v>
      </c>
      <c r="AI6" s="100">
        <f t="shared" si="5"/>
        <v>0</v>
      </c>
      <c r="AJ6" s="10">
        <v>148</v>
      </c>
      <c r="AK6" s="15">
        <v>303</v>
      </c>
    </row>
    <row r="7" spans="1:37" x14ac:dyDescent="0.2">
      <c r="A7" s="17">
        <f t="shared" si="1"/>
        <v>45844</v>
      </c>
      <c r="B7" s="8">
        <v>32928613</v>
      </c>
      <c r="C7" s="85">
        <f t="shared" si="6"/>
        <v>4958</v>
      </c>
      <c r="D7" s="24">
        <v>1392037</v>
      </c>
      <c r="E7" s="85">
        <f t="shared" si="21"/>
        <v>2692</v>
      </c>
      <c r="F7" s="24">
        <v>193671</v>
      </c>
      <c r="G7" s="106">
        <f t="shared" si="8"/>
        <v>0</v>
      </c>
      <c r="H7" s="94">
        <f t="shared" si="2"/>
        <v>7650</v>
      </c>
      <c r="I7" s="96">
        <f t="shared" si="3"/>
        <v>6583</v>
      </c>
      <c r="J7" s="40">
        <v>4870152.4000000004</v>
      </c>
      <c r="K7" s="107">
        <f t="shared" si="9"/>
        <v>846</v>
      </c>
      <c r="L7" s="11">
        <f t="shared" si="20"/>
        <v>472621</v>
      </c>
      <c r="M7" s="107">
        <f t="shared" si="10"/>
        <v>40</v>
      </c>
      <c r="N7" s="11">
        <f t="shared" si="11"/>
        <v>143106.5</v>
      </c>
      <c r="O7" s="107">
        <f t="shared" si="12"/>
        <v>72</v>
      </c>
      <c r="P7" s="40">
        <f t="shared" si="13"/>
        <v>16504.599999999999</v>
      </c>
      <c r="Q7" s="108">
        <f t="shared" si="14"/>
        <v>109</v>
      </c>
      <c r="R7" s="17">
        <f t="shared" si="15"/>
        <v>45844</v>
      </c>
      <c r="S7" s="104">
        <v>6319</v>
      </c>
      <c r="T7" s="109"/>
      <c r="U7" s="110">
        <f t="shared" si="16"/>
        <v>30</v>
      </c>
      <c r="V7" s="13">
        <v>0.64</v>
      </c>
      <c r="W7" s="30">
        <v>0.63</v>
      </c>
      <c r="X7" s="128">
        <f t="shared" si="0"/>
        <v>3175</v>
      </c>
      <c r="Y7" s="101"/>
      <c r="Z7" s="100">
        <f t="shared" si="4"/>
        <v>200</v>
      </c>
      <c r="AA7" s="32">
        <v>122014</v>
      </c>
      <c r="AB7" s="110">
        <f t="shared" si="17"/>
        <v>72</v>
      </c>
      <c r="AC7" s="32">
        <v>2689.7</v>
      </c>
      <c r="AD7" s="110">
        <f t="shared" si="18"/>
        <v>11</v>
      </c>
      <c r="AE7" s="34">
        <v>73027</v>
      </c>
      <c r="AF7" s="110">
        <f t="shared" si="19"/>
        <v>0</v>
      </c>
      <c r="AG7" s="37">
        <v>3100</v>
      </c>
      <c r="AH7" s="80">
        <v>0</v>
      </c>
      <c r="AI7" s="100">
        <f t="shared" si="5"/>
        <v>0</v>
      </c>
      <c r="AJ7" s="10">
        <v>121</v>
      </c>
      <c r="AK7" s="15">
        <v>249</v>
      </c>
    </row>
    <row r="8" spans="1:37" x14ac:dyDescent="0.2">
      <c r="A8" s="17">
        <f t="shared" si="1"/>
        <v>45845</v>
      </c>
      <c r="B8" s="8">
        <v>32933571</v>
      </c>
      <c r="C8" s="85">
        <f t="shared" si="6"/>
        <v>5088</v>
      </c>
      <c r="D8" s="24">
        <v>1394729</v>
      </c>
      <c r="E8" s="85">
        <f t="shared" si="21"/>
        <v>2705</v>
      </c>
      <c r="F8" s="24">
        <v>193671</v>
      </c>
      <c r="G8" s="106">
        <f t="shared" si="8"/>
        <v>0</v>
      </c>
      <c r="H8" s="94">
        <f t="shared" si="2"/>
        <v>7793</v>
      </c>
      <c r="I8" s="96">
        <f t="shared" si="3"/>
        <v>6540.8000000007451</v>
      </c>
      <c r="J8" s="40">
        <v>4870998.4000000004</v>
      </c>
      <c r="K8" s="107">
        <f t="shared" si="9"/>
        <v>1031.1999999992549</v>
      </c>
      <c r="L8" s="11">
        <f t="shared" si="20"/>
        <v>472661</v>
      </c>
      <c r="M8" s="107">
        <f t="shared" si="10"/>
        <v>40</v>
      </c>
      <c r="N8" s="11">
        <f t="shared" si="11"/>
        <v>143178.5</v>
      </c>
      <c r="O8" s="107">
        <f t="shared" si="12"/>
        <v>72</v>
      </c>
      <c r="P8" s="40">
        <f t="shared" si="13"/>
        <v>16613.599999999999</v>
      </c>
      <c r="Q8" s="108">
        <f t="shared" si="14"/>
        <v>109</v>
      </c>
      <c r="R8" s="17">
        <f t="shared" si="15"/>
        <v>45845</v>
      </c>
      <c r="S8" s="104">
        <v>6289</v>
      </c>
      <c r="T8" s="109"/>
      <c r="U8" s="110">
        <f t="shared" si="16"/>
        <v>21</v>
      </c>
      <c r="V8" s="13">
        <v>0.61</v>
      </c>
      <c r="W8" s="30">
        <v>0.57999999999999996</v>
      </c>
      <c r="X8" s="128">
        <f t="shared" si="0"/>
        <v>2975</v>
      </c>
      <c r="Y8" s="101">
        <v>1144.92</v>
      </c>
      <c r="Z8" s="100">
        <f t="shared" si="4"/>
        <v>144.92000000000007</v>
      </c>
      <c r="AA8" s="32">
        <v>122086</v>
      </c>
      <c r="AB8" s="110">
        <f t="shared" si="17"/>
        <v>123</v>
      </c>
      <c r="AC8" s="32">
        <v>2700.7</v>
      </c>
      <c r="AD8" s="110">
        <f t="shared" si="18"/>
        <v>15.200000000000273</v>
      </c>
      <c r="AE8" s="34">
        <v>73027</v>
      </c>
      <c r="AF8" s="110">
        <f t="shared" si="19"/>
        <v>0</v>
      </c>
      <c r="AG8" s="37">
        <v>3100</v>
      </c>
      <c r="AH8" s="80">
        <v>0</v>
      </c>
      <c r="AI8" s="100">
        <f t="shared" si="5"/>
        <v>0</v>
      </c>
      <c r="AJ8" s="10">
        <v>113</v>
      </c>
      <c r="AK8" s="15">
        <v>229</v>
      </c>
    </row>
    <row r="9" spans="1:37" x14ac:dyDescent="0.2">
      <c r="A9" s="17">
        <f t="shared" si="1"/>
        <v>45846</v>
      </c>
      <c r="B9" s="8">
        <v>32938659</v>
      </c>
      <c r="C9" s="85">
        <f t="shared" si="6"/>
        <v>4542</v>
      </c>
      <c r="D9" s="24">
        <v>1397434</v>
      </c>
      <c r="E9" s="85">
        <f t="shared" si="21"/>
        <v>2752</v>
      </c>
      <c r="F9" s="24">
        <v>193671</v>
      </c>
      <c r="G9" s="106">
        <f t="shared" si="8"/>
        <v>0</v>
      </c>
      <c r="H9" s="94">
        <f t="shared" si="2"/>
        <v>7294</v>
      </c>
      <c r="I9" s="96">
        <f t="shared" si="3"/>
        <v>6201.3999999994412</v>
      </c>
      <c r="J9" s="40">
        <v>4872029.5999999996</v>
      </c>
      <c r="K9" s="107">
        <f t="shared" si="9"/>
        <v>871.60000000055879</v>
      </c>
      <c r="L9" s="11">
        <f t="shared" si="20"/>
        <v>472701</v>
      </c>
      <c r="M9" s="107">
        <f t="shared" si="10"/>
        <v>40</v>
      </c>
      <c r="N9" s="11">
        <f t="shared" si="11"/>
        <v>143250.5</v>
      </c>
      <c r="O9" s="107">
        <f t="shared" si="12"/>
        <v>72</v>
      </c>
      <c r="P9" s="40">
        <f t="shared" si="13"/>
        <v>16722.599999999999</v>
      </c>
      <c r="Q9" s="108">
        <f t="shared" si="14"/>
        <v>109</v>
      </c>
      <c r="R9" s="17">
        <f t="shared" si="15"/>
        <v>45846</v>
      </c>
      <c r="S9" s="104">
        <v>6268</v>
      </c>
      <c r="T9" s="109"/>
      <c r="U9" s="110">
        <f t="shared" si="16"/>
        <v>100</v>
      </c>
      <c r="V9" s="13">
        <v>0.8</v>
      </c>
      <c r="W9" s="30">
        <v>0.79</v>
      </c>
      <c r="X9" s="128">
        <f t="shared" si="0"/>
        <v>3975</v>
      </c>
      <c r="Y9" s="101"/>
      <c r="Z9" s="100">
        <f t="shared" si="4"/>
        <v>125</v>
      </c>
      <c r="AA9" s="32">
        <v>122209</v>
      </c>
      <c r="AB9" s="110">
        <f t="shared" si="17"/>
        <v>111</v>
      </c>
      <c r="AC9" s="32">
        <v>2715.9</v>
      </c>
      <c r="AD9" s="110">
        <f t="shared" si="18"/>
        <v>9.0999999999999091</v>
      </c>
      <c r="AE9" s="34">
        <v>73027</v>
      </c>
      <c r="AF9" s="110">
        <f t="shared" si="19"/>
        <v>0</v>
      </c>
      <c r="AG9" s="37">
        <v>3100</v>
      </c>
      <c r="AH9" s="80">
        <v>0</v>
      </c>
      <c r="AI9" s="100">
        <f t="shared" si="5"/>
        <v>0</v>
      </c>
      <c r="AJ9" s="10">
        <v>112</v>
      </c>
      <c r="AK9" s="15">
        <v>229</v>
      </c>
    </row>
    <row r="10" spans="1:37" x14ac:dyDescent="0.2">
      <c r="A10" s="17">
        <f t="shared" si="1"/>
        <v>45847</v>
      </c>
      <c r="B10" s="8">
        <v>32943201</v>
      </c>
      <c r="C10" s="85">
        <f t="shared" si="6"/>
        <v>5181</v>
      </c>
      <c r="D10" s="24">
        <v>1400186</v>
      </c>
      <c r="E10" s="85">
        <f t="shared" si="21"/>
        <v>2599</v>
      </c>
      <c r="F10" s="24">
        <v>193671</v>
      </c>
      <c r="G10" s="106">
        <f t="shared" si="8"/>
        <v>0</v>
      </c>
      <c r="H10" s="94">
        <f t="shared" si="2"/>
        <v>7780</v>
      </c>
      <c r="I10" s="96">
        <f t="shared" si="3"/>
        <v>6603</v>
      </c>
      <c r="J10" s="40">
        <v>4872901.2</v>
      </c>
      <c r="K10" s="107">
        <f t="shared" si="9"/>
        <v>956</v>
      </c>
      <c r="L10" s="11">
        <f t="shared" si="20"/>
        <v>472741</v>
      </c>
      <c r="M10" s="107">
        <f t="shared" si="10"/>
        <v>40</v>
      </c>
      <c r="N10" s="11">
        <f t="shared" si="11"/>
        <v>143322.5</v>
      </c>
      <c r="O10" s="107">
        <f t="shared" si="12"/>
        <v>72</v>
      </c>
      <c r="P10" s="40">
        <f t="shared" si="13"/>
        <v>16831.599999999999</v>
      </c>
      <c r="Q10" s="108">
        <f t="shared" si="14"/>
        <v>109</v>
      </c>
      <c r="R10" s="17">
        <f t="shared" si="15"/>
        <v>45847</v>
      </c>
      <c r="S10" s="104">
        <v>6168</v>
      </c>
      <c r="T10" s="109"/>
      <c r="U10" s="110">
        <f t="shared" si="16"/>
        <v>40</v>
      </c>
      <c r="V10" s="13">
        <v>0.78</v>
      </c>
      <c r="W10" s="30">
        <v>0.76</v>
      </c>
      <c r="X10" s="128">
        <f t="shared" si="0"/>
        <v>3850</v>
      </c>
      <c r="Y10" s="101"/>
      <c r="Z10" s="100">
        <f t="shared" si="4"/>
        <v>175</v>
      </c>
      <c r="AA10" s="32">
        <v>122320</v>
      </c>
      <c r="AB10" s="110">
        <f t="shared" si="17"/>
        <v>86</v>
      </c>
      <c r="AC10" s="32">
        <v>2725</v>
      </c>
      <c r="AD10" s="110">
        <f t="shared" si="18"/>
        <v>12.599999999999909</v>
      </c>
      <c r="AE10" s="34">
        <v>73027</v>
      </c>
      <c r="AF10" s="110">
        <f t="shared" si="19"/>
        <v>0</v>
      </c>
      <c r="AG10" s="37">
        <v>3100</v>
      </c>
      <c r="AH10" s="80">
        <v>0</v>
      </c>
      <c r="AI10" s="100">
        <f t="shared" si="5"/>
        <v>0</v>
      </c>
      <c r="AJ10" s="10">
        <v>134</v>
      </c>
      <c r="AK10" s="15">
        <v>266</v>
      </c>
    </row>
    <row r="11" spans="1:37" x14ac:dyDescent="0.2">
      <c r="A11" s="17">
        <f t="shared" si="1"/>
        <v>45848</v>
      </c>
      <c r="B11" s="8">
        <v>32948382</v>
      </c>
      <c r="C11" s="85">
        <f t="shared" si="6"/>
        <v>5088</v>
      </c>
      <c r="D11" s="24">
        <v>1402785</v>
      </c>
      <c r="E11" s="85">
        <f t="shared" si="21"/>
        <v>2623</v>
      </c>
      <c r="F11" s="24">
        <v>193671</v>
      </c>
      <c r="G11" s="106">
        <f t="shared" si="8"/>
        <v>0</v>
      </c>
      <c r="H11" s="94">
        <f t="shared" si="2"/>
        <v>7711</v>
      </c>
      <c r="I11" s="96">
        <f t="shared" si="3"/>
        <v>6517.2000000001863</v>
      </c>
      <c r="J11" s="40">
        <v>4873857.2</v>
      </c>
      <c r="K11" s="107">
        <f t="shared" si="9"/>
        <v>972.79999999981374</v>
      </c>
      <c r="L11" s="11">
        <f t="shared" si="20"/>
        <v>472781</v>
      </c>
      <c r="M11" s="107">
        <f t="shared" si="10"/>
        <v>40</v>
      </c>
      <c r="N11" s="11">
        <f t="shared" si="11"/>
        <v>143394.5</v>
      </c>
      <c r="O11" s="107">
        <f t="shared" si="12"/>
        <v>72</v>
      </c>
      <c r="P11" s="40">
        <f t="shared" si="13"/>
        <v>16940.599999999999</v>
      </c>
      <c r="Q11" s="108">
        <f t="shared" si="14"/>
        <v>109</v>
      </c>
      <c r="R11" s="17">
        <f t="shared" si="15"/>
        <v>45848</v>
      </c>
      <c r="S11" s="104">
        <v>6128</v>
      </c>
      <c r="T11" s="109"/>
      <c r="U11" s="110">
        <f t="shared" si="16"/>
        <v>30</v>
      </c>
      <c r="V11" s="13">
        <v>0.74</v>
      </c>
      <c r="W11" s="30">
        <v>0.73</v>
      </c>
      <c r="X11" s="128">
        <f t="shared" si="0"/>
        <v>3675</v>
      </c>
      <c r="Y11" s="101"/>
      <c r="Z11" s="100">
        <f t="shared" si="4"/>
        <v>200</v>
      </c>
      <c r="AA11" s="32">
        <v>122406</v>
      </c>
      <c r="AB11" s="110">
        <f t="shared" si="17"/>
        <v>92</v>
      </c>
      <c r="AC11" s="32">
        <v>2737.6</v>
      </c>
      <c r="AD11" s="110">
        <f t="shared" si="18"/>
        <v>10.5</v>
      </c>
      <c r="AE11" s="34">
        <v>73027</v>
      </c>
      <c r="AF11" s="110">
        <f t="shared" si="19"/>
        <v>0</v>
      </c>
      <c r="AG11" s="37">
        <v>3100</v>
      </c>
      <c r="AH11" s="80">
        <v>0</v>
      </c>
      <c r="AI11" s="100">
        <f t="shared" si="5"/>
        <v>0</v>
      </c>
      <c r="AJ11" s="10">
        <v>116</v>
      </c>
      <c r="AK11" s="15">
        <v>230</v>
      </c>
    </row>
    <row r="12" spans="1:37" x14ac:dyDescent="0.2">
      <c r="A12" s="17">
        <f t="shared" si="1"/>
        <v>45849</v>
      </c>
      <c r="B12" s="8">
        <v>32953470</v>
      </c>
      <c r="C12" s="85">
        <f t="shared" si="6"/>
        <v>5394</v>
      </c>
      <c r="D12" s="24">
        <v>1405408</v>
      </c>
      <c r="E12" s="85">
        <f t="shared" si="21"/>
        <v>2641</v>
      </c>
      <c r="F12" s="24">
        <v>193671</v>
      </c>
      <c r="G12" s="106">
        <f t="shared" si="8"/>
        <v>0</v>
      </c>
      <c r="H12" s="94">
        <f t="shared" si="2"/>
        <v>8035</v>
      </c>
      <c r="I12" s="96">
        <f t="shared" si="3"/>
        <v>6882.7999999998137</v>
      </c>
      <c r="J12" s="40">
        <v>4874830</v>
      </c>
      <c r="K12" s="107">
        <f t="shared" si="9"/>
        <v>931.20000000018626</v>
      </c>
      <c r="L12" s="11">
        <f t="shared" si="20"/>
        <v>472821</v>
      </c>
      <c r="M12" s="107">
        <f t="shared" si="10"/>
        <v>40</v>
      </c>
      <c r="N12" s="11">
        <f t="shared" si="11"/>
        <v>143466.5</v>
      </c>
      <c r="O12" s="107">
        <f t="shared" si="12"/>
        <v>72</v>
      </c>
      <c r="P12" s="40">
        <f t="shared" si="13"/>
        <v>17049.599999999999</v>
      </c>
      <c r="Q12" s="108">
        <f t="shared" si="14"/>
        <v>109</v>
      </c>
      <c r="R12" s="17">
        <f t="shared" si="15"/>
        <v>45849</v>
      </c>
      <c r="S12" s="104">
        <v>6098</v>
      </c>
      <c r="T12" s="109"/>
      <c r="U12" s="110">
        <f t="shared" si="16"/>
        <v>30</v>
      </c>
      <c r="V12" s="13">
        <v>0.7</v>
      </c>
      <c r="W12" s="30">
        <v>0.69</v>
      </c>
      <c r="X12" s="128">
        <f t="shared" si="0"/>
        <v>3475</v>
      </c>
      <c r="Y12" s="101"/>
      <c r="Z12" s="100">
        <f t="shared" si="4"/>
        <v>175</v>
      </c>
      <c r="AA12" s="32">
        <v>122498</v>
      </c>
      <c r="AB12" s="110">
        <f t="shared" si="17"/>
        <v>131</v>
      </c>
      <c r="AC12" s="32">
        <v>2748.1</v>
      </c>
      <c r="AD12" s="110">
        <f t="shared" si="18"/>
        <v>2.5999999999999091</v>
      </c>
      <c r="AE12" s="34">
        <v>73027</v>
      </c>
      <c r="AF12" s="110">
        <f t="shared" si="19"/>
        <v>0</v>
      </c>
      <c r="AG12" s="37">
        <v>3100</v>
      </c>
      <c r="AH12" s="80">
        <v>0</v>
      </c>
      <c r="AI12" s="100">
        <f t="shared" si="5"/>
        <v>0</v>
      </c>
      <c r="AJ12" s="10">
        <v>131</v>
      </c>
      <c r="AK12" s="15">
        <v>269</v>
      </c>
    </row>
    <row r="13" spans="1:37" x14ac:dyDescent="0.2">
      <c r="A13" s="17">
        <f t="shared" si="1"/>
        <v>45850</v>
      </c>
      <c r="B13" s="8">
        <v>32958864</v>
      </c>
      <c r="C13" s="85">
        <f t="shared" si="6"/>
        <v>5381</v>
      </c>
      <c r="D13" s="24">
        <v>1408049</v>
      </c>
      <c r="E13" s="85">
        <f t="shared" si="21"/>
        <v>2711</v>
      </c>
      <c r="F13" s="24">
        <v>193671</v>
      </c>
      <c r="G13" s="106">
        <f t="shared" si="8"/>
        <v>0</v>
      </c>
      <c r="H13" s="94">
        <f t="shared" si="2"/>
        <v>8092</v>
      </c>
      <c r="I13" s="96">
        <f t="shared" si="3"/>
        <v>6837.7999999998137</v>
      </c>
      <c r="J13" s="40">
        <v>4875761.2</v>
      </c>
      <c r="K13" s="107">
        <f t="shared" si="9"/>
        <v>1033.2000000001863</v>
      </c>
      <c r="L13" s="11">
        <f t="shared" si="20"/>
        <v>472861</v>
      </c>
      <c r="M13" s="107">
        <f t="shared" si="10"/>
        <v>40</v>
      </c>
      <c r="N13" s="11">
        <f t="shared" si="11"/>
        <v>143538.5</v>
      </c>
      <c r="O13" s="107">
        <f t="shared" si="12"/>
        <v>72</v>
      </c>
      <c r="P13" s="40">
        <f t="shared" si="13"/>
        <v>17158.599999999999</v>
      </c>
      <c r="Q13" s="108">
        <f t="shared" si="14"/>
        <v>109</v>
      </c>
      <c r="R13" s="17">
        <f t="shared" si="15"/>
        <v>45850</v>
      </c>
      <c r="S13" s="104">
        <v>6068</v>
      </c>
      <c r="T13" s="109"/>
      <c r="U13" s="110">
        <f t="shared" si="16"/>
        <v>30</v>
      </c>
      <c r="V13" s="13">
        <v>0.67</v>
      </c>
      <c r="W13" s="30">
        <v>0.65</v>
      </c>
      <c r="X13" s="128">
        <f t="shared" si="0"/>
        <v>3300</v>
      </c>
      <c r="Y13" s="101"/>
      <c r="Z13" s="100">
        <f t="shared" si="4"/>
        <v>175</v>
      </c>
      <c r="AA13" s="32">
        <v>122629</v>
      </c>
      <c r="AB13" s="110">
        <f t="shared" si="17"/>
        <v>83</v>
      </c>
      <c r="AC13" s="32">
        <v>2750.7</v>
      </c>
      <c r="AD13" s="110">
        <f t="shared" si="18"/>
        <v>11.600000000000364</v>
      </c>
      <c r="AE13" s="34">
        <v>73027</v>
      </c>
      <c r="AF13" s="110">
        <f t="shared" si="19"/>
        <v>0</v>
      </c>
      <c r="AG13" s="37">
        <v>3100</v>
      </c>
      <c r="AH13" s="80">
        <v>0</v>
      </c>
      <c r="AI13" s="100">
        <f t="shared" si="5"/>
        <v>0</v>
      </c>
      <c r="AJ13" s="10">
        <v>145</v>
      </c>
      <c r="AK13" s="15">
        <v>296</v>
      </c>
    </row>
    <row r="14" spans="1:37" x14ac:dyDescent="0.2">
      <c r="A14" s="17">
        <f t="shared" si="1"/>
        <v>45851</v>
      </c>
      <c r="B14" s="8">
        <v>32964245</v>
      </c>
      <c r="C14" s="85">
        <f t="shared" si="6"/>
        <v>5026</v>
      </c>
      <c r="D14" s="24">
        <v>1410760</v>
      </c>
      <c r="E14" s="85">
        <f t="shared" si="21"/>
        <v>2684</v>
      </c>
      <c r="F14" s="24">
        <v>193671</v>
      </c>
      <c r="G14" s="106">
        <f t="shared" si="8"/>
        <v>0</v>
      </c>
      <c r="H14" s="94">
        <f t="shared" si="2"/>
        <v>7710</v>
      </c>
      <c r="I14" s="96">
        <f t="shared" si="3"/>
        <v>6619.8000000007451</v>
      </c>
      <c r="J14" s="40">
        <v>4876794.4000000004</v>
      </c>
      <c r="K14" s="107">
        <f t="shared" si="9"/>
        <v>869.19999999925494</v>
      </c>
      <c r="L14" s="11">
        <f t="shared" si="20"/>
        <v>472901</v>
      </c>
      <c r="M14" s="107">
        <f t="shared" si="10"/>
        <v>40</v>
      </c>
      <c r="N14" s="11">
        <f t="shared" si="11"/>
        <v>143610.5</v>
      </c>
      <c r="O14" s="107">
        <f t="shared" si="12"/>
        <v>72</v>
      </c>
      <c r="P14" s="40">
        <f t="shared" si="13"/>
        <v>17267.599999999999</v>
      </c>
      <c r="Q14" s="108">
        <f t="shared" si="14"/>
        <v>109</v>
      </c>
      <c r="R14" s="17">
        <f t="shared" si="15"/>
        <v>45851</v>
      </c>
      <c r="S14" s="104">
        <v>6038</v>
      </c>
      <c r="T14" s="109"/>
      <c r="U14" s="110">
        <f t="shared" si="16"/>
        <v>19</v>
      </c>
      <c r="V14" s="13">
        <v>0.64</v>
      </c>
      <c r="W14" s="30">
        <v>0.61</v>
      </c>
      <c r="X14" s="128">
        <f t="shared" si="0"/>
        <v>3125</v>
      </c>
      <c r="Y14" s="101"/>
      <c r="Z14" s="100">
        <f t="shared" si="4"/>
        <v>125</v>
      </c>
      <c r="AA14" s="32">
        <v>122712</v>
      </c>
      <c r="AB14" s="110">
        <f t="shared" si="17"/>
        <v>73</v>
      </c>
      <c r="AC14" s="32">
        <v>2762.3</v>
      </c>
      <c r="AD14" s="110">
        <f t="shared" si="18"/>
        <v>8.5999999999999091</v>
      </c>
      <c r="AE14" s="34">
        <v>73027</v>
      </c>
      <c r="AF14" s="110">
        <f t="shared" si="19"/>
        <v>0</v>
      </c>
      <c r="AG14" s="37">
        <v>3100</v>
      </c>
      <c r="AH14" s="80">
        <v>0</v>
      </c>
      <c r="AI14" s="100">
        <f t="shared" si="5"/>
        <v>0</v>
      </c>
      <c r="AJ14" s="10">
        <v>135</v>
      </c>
      <c r="AK14" s="15">
        <v>278</v>
      </c>
    </row>
    <row r="15" spans="1:37" x14ac:dyDescent="0.2">
      <c r="A15" s="17">
        <f t="shared" si="1"/>
        <v>45852</v>
      </c>
      <c r="B15" s="8">
        <v>32969271</v>
      </c>
      <c r="C15" s="85">
        <f t="shared" si="6"/>
        <v>5409</v>
      </c>
      <c r="D15" s="24">
        <v>1413444</v>
      </c>
      <c r="E15" s="85">
        <f t="shared" si="21"/>
        <v>2596</v>
      </c>
      <c r="F15" s="24">
        <v>193671</v>
      </c>
      <c r="G15" s="106">
        <f t="shared" si="8"/>
        <v>0</v>
      </c>
      <c r="H15" s="94">
        <f t="shared" si="2"/>
        <v>8005</v>
      </c>
      <c r="I15" s="96">
        <f t="shared" si="3"/>
        <v>6834.3999999994412</v>
      </c>
      <c r="J15" s="40">
        <v>4877663.5999999996</v>
      </c>
      <c r="K15" s="107">
        <f t="shared" si="9"/>
        <v>949.60000000055879</v>
      </c>
      <c r="L15" s="11">
        <f t="shared" si="20"/>
        <v>472941</v>
      </c>
      <c r="M15" s="107">
        <f t="shared" si="10"/>
        <v>40</v>
      </c>
      <c r="N15" s="11">
        <f t="shared" si="11"/>
        <v>143682.5</v>
      </c>
      <c r="O15" s="107">
        <f t="shared" si="12"/>
        <v>72</v>
      </c>
      <c r="P15" s="40">
        <f t="shared" si="13"/>
        <v>17376.599999999999</v>
      </c>
      <c r="Q15" s="108">
        <f t="shared" si="14"/>
        <v>109</v>
      </c>
      <c r="R15" s="17">
        <f t="shared" si="15"/>
        <v>45852</v>
      </c>
      <c r="S15" s="104">
        <v>6019</v>
      </c>
      <c r="T15" s="109"/>
      <c r="U15" s="110">
        <f t="shared" si="16"/>
        <v>50</v>
      </c>
      <c r="V15" s="13">
        <v>0.6</v>
      </c>
      <c r="W15" s="30">
        <v>0.6</v>
      </c>
      <c r="X15" s="128">
        <f t="shared" si="0"/>
        <v>3000</v>
      </c>
      <c r="Y15" s="101">
        <v>1141.3699999999999</v>
      </c>
      <c r="Z15" s="100">
        <f t="shared" si="4"/>
        <v>216.36999999999989</v>
      </c>
      <c r="AA15" s="32">
        <v>122785</v>
      </c>
      <c r="AB15" s="110">
        <f t="shared" si="17"/>
        <v>133</v>
      </c>
      <c r="AC15" s="32">
        <v>2770.9</v>
      </c>
      <c r="AD15" s="110">
        <f t="shared" si="18"/>
        <v>17.699999999999818</v>
      </c>
      <c r="AE15" s="34">
        <v>73027</v>
      </c>
      <c r="AF15" s="110">
        <f t="shared" si="19"/>
        <v>0</v>
      </c>
      <c r="AG15" s="37">
        <v>3100</v>
      </c>
      <c r="AH15" s="80">
        <v>0</v>
      </c>
      <c r="AI15" s="100">
        <f t="shared" si="5"/>
        <v>0</v>
      </c>
      <c r="AJ15" s="10">
        <v>139</v>
      </c>
      <c r="AK15" s="15">
        <v>288</v>
      </c>
    </row>
    <row r="16" spans="1:37" x14ac:dyDescent="0.2">
      <c r="A16" s="17">
        <f t="shared" si="1"/>
        <v>45853</v>
      </c>
      <c r="B16" s="8">
        <v>32974680</v>
      </c>
      <c r="C16" s="85">
        <f t="shared" si="6"/>
        <v>5848</v>
      </c>
      <c r="D16" s="24">
        <v>1416040</v>
      </c>
      <c r="E16" s="85">
        <f t="shared" si="21"/>
        <v>2272</v>
      </c>
      <c r="F16" s="24">
        <v>193671</v>
      </c>
      <c r="G16" s="106">
        <f t="shared" si="8"/>
        <v>0</v>
      </c>
      <c r="H16" s="94">
        <f t="shared" si="2"/>
        <v>8120</v>
      </c>
      <c r="I16" s="96">
        <f t="shared" si="3"/>
        <v>7077.4000000003725</v>
      </c>
      <c r="J16" s="40">
        <v>4878613.2</v>
      </c>
      <c r="K16" s="107">
        <f t="shared" si="9"/>
        <v>821.59999999962747</v>
      </c>
      <c r="L16" s="11">
        <f t="shared" si="20"/>
        <v>472981</v>
      </c>
      <c r="M16" s="107">
        <f t="shared" si="10"/>
        <v>40</v>
      </c>
      <c r="N16" s="11">
        <f t="shared" si="11"/>
        <v>143754.5</v>
      </c>
      <c r="O16" s="107">
        <f t="shared" si="12"/>
        <v>72</v>
      </c>
      <c r="P16" s="40">
        <f t="shared" si="13"/>
        <v>17485.599999999999</v>
      </c>
      <c r="Q16" s="108">
        <f t="shared" si="14"/>
        <v>109</v>
      </c>
      <c r="R16" s="17">
        <f t="shared" si="15"/>
        <v>45853</v>
      </c>
      <c r="S16" s="104">
        <v>5969</v>
      </c>
      <c r="T16" s="109"/>
      <c r="U16" s="110">
        <f t="shared" si="16"/>
        <v>150</v>
      </c>
      <c r="V16" s="13">
        <v>0.79</v>
      </c>
      <c r="W16" s="30">
        <v>0.78</v>
      </c>
      <c r="X16" s="128">
        <f t="shared" si="0"/>
        <v>3925</v>
      </c>
      <c r="Y16" s="101"/>
      <c r="Z16" s="100">
        <f t="shared" si="4"/>
        <v>250</v>
      </c>
      <c r="AA16" s="32">
        <v>122918</v>
      </c>
      <c r="AB16" s="110">
        <f t="shared" si="17"/>
        <v>90</v>
      </c>
      <c r="AC16" s="32">
        <v>2788.6</v>
      </c>
      <c r="AD16" s="110">
        <f t="shared" si="18"/>
        <v>7.2000000000002728</v>
      </c>
      <c r="AE16" s="34">
        <v>73027</v>
      </c>
      <c r="AF16" s="110">
        <f t="shared" si="19"/>
        <v>0</v>
      </c>
      <c r="AG16" s="37">
        <v>3100</v>
      </c>
      <c r="AH16" s="80">
        <v>0</v>
      </c>
      <c r="AI16" s="100">
        <f t="shared" si="5"/>
        <v>0</v>
      </c>
      <c r="AJ16" s="10">
        <v>152</v>
      </c>
      <c r="AK16" s="15">
        <v>322</v>
      </c>
    </row>
    <row r="17" spans="1:37" x14ac:dyDescent="0.2">
      <c r="A17" s="17">
        <f t="shared" si="1"/>
        <v>45854</v>
      </c>
      <c r="B17" s="8">
        <v>32980528</v>
      </c>
      <c r="C17" s="85">
        <f t="shared" si="6"/>
        <v>5899</v>
      </c>
      <c r="D17" s="24">
        <v>1418312</v>
      </c>
      <c r="E17" s="85">
        <f t="shared" si="21"/>
        <v>2290</v>
      </c>
      <c r="F17" s="24">
        <v>193671</v>
      </c>
      <c r="G17" s="106">
        <f t="shared" si="8"/>
        <v>0</v>
      </c>
      <c r="H17" s="94">
        <f t="shared" si="2"/>
        <v>8189</v>
      </c>
      <c r="I17" s="96">
        <f t="shared" si="3"/>
        <v>6946.3999999994412</v>
      </c>
      <c r="J17" s="40">
        <v>4879434.8</v>
      </c>
      <c r="K17" s="107">
        <f t="shared" si="9"/>
        <v>1021.6000000005588</v>
      </c>
      <c r="L17" s="11">
        <f t="shared" si="20"/>
        <v>473021</v>
      </c>
      <c r="M17" s="107">
        <f t="shared" si="10"/>
        <v>40</v>
      </c>
      <c r="N17" s="11">
        <f t="shared" si="11"/>
        <v>143826.5</v>
      </c>
      <c r="O17" s="107">
        <f t="shared" si="12"/>
        <v>72</v>
      </c>
      <c r="P17" s="40">
        <f t="shared" si="13"/>
        <v>17594.599999999999</v>
      </c>
      <c r="Q17" s="108">
        <f t="shared" si="14"/>
        <v>109</v>
      </c>
      <c r="R17" s="17">
        <f t="shared" si="15"/>
        <v>45854</v>
      </c>
      <c r="S17" s="104">
        <v>5819</v>
      </c>
      <c r="T17" s="109"/>
      <c r="U17" s="110">
        <f t="shared" si="16"/>
        <v>50</v>
      </c>
      <c r="V17" s="13">
        <v>0.74</v>
      </c>
      <c r="W17" s="30">
        <v>0.73</v>
      </c>
      <c r="X17" s="128">
        <f t="shared" si="0"/>
        <v>3675</v>
      </c>
      <c r="Y17" s="101"/>
      <c r="Z17" s="100">
        <f t="shared" si="4"/>
        <v>125</v>
      </c>
      <c r="AA17" s="32">
        <v>123008</v>
      </c>
      <c r="AB17" s="110">
        <f t="shared" si="17"/>
        <v>123</v>
      </c>
      <c r="AC17" s="32">
        <v>2795.8</v>
      </c>
      <c r="AD17" s="110">
        <f t="shared" si="18"/>
        <v>6.7999999999997272</v>
      </c>
      <c r="AE17" s="34">
        <v>73027</v>
      </c>
      <c r="AF17" s="110">
        <f t="shared" si="19"/>
        <v>0</v>
      </c>
      <c r="AG17" s="37">
        <v>3100</v>
      </c>
      <c r="AH17" s="80">
        <v>0</v>
      </c>
      <c r="AI17" s="100">
        <f t="shared" si="5"/>
        <v>0</v>
      </c>
      <c r="AJ17" s="10">
        <v>148</v>
      </c>
      <c r="AK17" s="15">
        <v>310</v>
      </c>
    </row>
    <row r="18" spans="1:37" x14ac:dyDescent="0.2">
      <c r="A18" s="17">
        <f t="shared" si="1"/>
        <v>45855</v>
      </c>
      <c r="B18" s="8">
        <v>32986427</v>
      </c>
      <c r="C18" s="85">
        <f t="shared" si="6"/>
        <v>6435</v>
      </c>
      <c r="D18" s="24">
        <v>1420602</v>
      </c>
      <c r="E18" s="85">
        <f t="shared" si="21"/>
        <v>2471</v>
      </c>
      <c r="F18" s="24">
        <v>193671</v>
      </c>
      <c r="G18" s="106">
        <f t="shared" si="8"/>
        <v>0</v>
      </c>
      <c r="H18" s="94">
        <f t="shared" si="2"/>
        <v>8906</v>
      </c>
      <c r="I18" s="96">
        <f t="shared" si="3"/>
        <v>7443</v>
      </c>
      <c r="J18" s="40">
        <v>4880456.4000000004</v>
      </c>
      <c r="K18" s="107">
        <f t="shared" si="9"/>
        <v>1242</v>
      </c>
      <c r="L18" s="11">
        <f t="shared" si="20"/>
        <v>473061</v>
      </c>
      <c r="M18" s="107">
        <f t="shared" si="10"/>
        <v>40</v>
      </c>
      <c r="N18" s="11">
        <f t="shared" si="11"/>
        <v>143898.5</v>
      </c>
      <c r="O18" s="107">
        <f t="shared" si="12"/>
        <v>72</v>
      </c>
      <c r="P18" s="40">
        <f t="shared" si="13"/>
        <v>17703.599999999999</v>
      </c>
      <c r="Q18" s="108">
        <f t="shared" si="14"/>
        <v>109</v>
      </c>
      <c r="R18" s="17">
        <f t="shared" si="15"/>
        <v>45855</v>
      </c>
      <c r="S18" s="104">
        <v>5769</v>
      </c>
      <c r="T18" s="109"/>
      <c r="U18" s="110">
        <f t="shared" si="16"/>
        <v>50</v>
      </c>
      <c r="V18" s="13">
        <v>0.71</v>
      </c>
      <c r="W18" s="30">
        <v>0.71</v>
      </c>
      <c r="X18" s="128">
        <f t="shared" si="0"/>
        <v>3550</v>
      </c>
      <c r="Y18" s="101"/>
      <c r="Z18" s="100">
        <f t="shared" si="4"/>
        <v>200</v>
      </c>
      <c r="AA18" s="32">
        <v>123131</v>
      </c>
      <c r="AB18" s="110">
        <f t="shared" si="17"/>
        <v>123</v>
      </c>
      <c r="AC18" s="32">
        <v>2802.6</v>
      </c>
      <c r="AD18" s="110">
        <f t="shared" si="18"/>
        <v>16.700000000000273</v>
      </c>
      <c r="AE18" s="34">
        <v>73027</v>
      </c>
      <c r="AF18" s="110">
        <f t="shared" si="19"/>
        <v>0</v>
      </c>
      <c r="AG18" s="37">
        <v>3100</v>
      </c>
      <c r="AH18" s="80">
        <v>0</v>
      </c>
      <c r="AI18" s="100">
        <f t="shared" si="5"/>
        <v>0</v>
      </c>
      <c r="AJ18" s="10">
        <v>155</v>
      </c>
      <c r="AK18" s="15">
        <v>327</v>
      </c>
    </row>
    <row r="19" spans="1:37" x14ac:dyDescent="0.2">
      <c r="A19" s="17">
        <f t="shared" si="1"/>
        <v>45856</v>
      </c>
      <c r="B19" s="8">
        <v>32992862</v>
      </c>
      <c r="C19" s="85">
        <f t="shared" si="6"/>
        <v>6002</v>
      </c>
      <c r="D19" s="24">
        <v>1423073</v>
      </c>
      <c r="E19" s="85">
        <f t="shared" si="21"/>
        <v>2465</v>
      </c>
      <c r="F19" s="24">
        <v>193671</v>
      </c>
      <c r="G19" s="106">
        <f t="shared" si="8"/>
        <v>0</v>
      </c>
      <c r="H19" s="94">
        <f t="shared" si="2"/>
        <v>8467</v>
      </c>
      <c r="I19" s="96">
        <f t="shared" si="3"/>
        <v>7314.2000000001863</v>
      </c>
      <c r="J19" s="40">
        <v>4881698.4000000004</v>
      </c>
      <c r="K19" s="107">
        <f t="shared" si="9"/>
        <v>931.79999999981374</v>
      </c>
      <c r="L19" s="11">
        <f t="shared" si="20"/>
        <v>473101</v>
      </c>
      <c r="M19" s="107">
        <f t="shared" si="10"/>
        <v>40</v>
      </c>
      <c r="N19" s="11">
        <f t="shared" si="11"/>
        <v>143970.5</v>
      </c>
      <c r="O19" s="107">
        <f t="shared" si="12"/>
        <v>72</v>
      </c>
      <c r="P19" s="40">
        <f t="shared" si="13"/>
        <v>17812.599999999999</v>
      </c>
      <c r="Q19" s="108">
        <f t="shared" si="14"/>
        <v>109</v>
      </c>
      <c r="R19" s="17">
        <f t="shared" si="15"/>
        <v>45856</v>
      </c>
      <c r="S19" s="104">
        <v>5719</v>
      </c>
      <c r="T19" s="109"/>
      <c r="U19" s="110">
        <f t="shared" si="16"/>
        <v>49</v>
      </c>
      <c r="V19" s="13">
        <v>0.68</v>
      </c>
      <c r="W19" s="30">
        <v>0.66</v>
      </c>
      <c r="X19" s="128">
        <f t="shared" si="0"/>
        <v>3350</v>
      </c>
      <c r="Y19" s="101"/>
      <c r="Z19" s="100">
        <f t="shared" si="4"/>
        <v>125</v>
      </c>
      <c r="AA19" s="32">
        <v>123254</v>
      </c>
      <c r="AB19" s="110">
        <f t="shared" si="17"/>
        <v>128</v>
      </c>
      <c r="AC19" s="32">
        <v>2819.3</v>
      </c>
      <c r="AD19" s="110">
        <f t="shared" si="18"/>
        <v>3.6999999999998181</v>
      </c>
      <c r="AE19" s="34">
        <v>73027</v>
      </c>
      <c r="AF19" s="110">
        <f t="shared" si="19"/>
        <v>0</v>
      </c>
      <c r="AG19" s="37">
        <v>3100</v>
      </c>
      <c r="AH19" s="80">
        <v>0</v>
      </c>
      <c r="AI19" s="100">
        <f t="shared" si="5"/>
        <v>0</v>
      </c>
      <c r="AJ19" s="10">
        <v>167</v>
      </c>
      <c r="AK19" s="15">
        <v>345</v>
      </c>
    </row>
    <row r="20" spans="1:37" x14ac:dyDescent="0.2">
      <c r="A20" s="17">
        <f t="shared" si="1"/>
        <v>45857</v>
      </c>
      <c r="B20" s="8">
        <v>32998864</v>
      </c>
      <c r="C20" s="85">
        <f t="shared" si="6"/>
        <v>5941</v>
      </c>
      <c r="D20" s="24">
        <v>1425538</v>
      </c>
      <c r="E20" s="85">
        <f t="shared" si="21"/>
        <v>2343</v>
      </c>
      <c r="F20" s="24">
        <v>193671</v>
      </c>
      <c r="G20" s="106">
        <f t="shared" si="8"/>
        <v>0</v>
      </c>
      <c r="H20" s="94">
        <f t="shared" si="2"/>
        <v>8284</v>
      </c>
      <c r="I20" s="96">
        <f t="shared" si="3"/>
        <v>7100</v>
      </c>
      <c r="J20" s="40">
        <v>4882630.2</v>
      </c>
      <c r="K20" s="107">
        <f t="shared" si="9"/>
        <v>963</v>
      </c>
      <c r="L20" s="11">
        <f t="shared" si="20"/>
        <v>473141</v>
      </c>
      <c r="M20" s="107">
        <f t="shared" si="10"/>
        <v>40</v>
      </c>
      <c r="N20" s="11">
        <f t="shared" si="11"/>
        <v>144042.5</v>
      </c>
      <c r="O20" s="107">
        <f t="shared" si="12"/>
        <v>72</v>
      </c>
      <c r="P20" s="40">
        <f t="shared" si="13"/>
        <v>17921.599999999999</v>
      </c>
      <c r="Q20" s="108">
        <f t="shared" si="14"/>
        <v>109</v>
      </c>
      <c r="R20" s="17">
        <f t="shared" si="15"/>
        <v>45857</v>
      </c>
      <c r="S20" s="104">
        <v>5670</v>
      </c>
      <c r="T20" s="109"/>
      <c r="U20" s="110">
        <f t="shared" si="16"/>
        <v>0</v>
      </c>
      <c r="V20" s="13">
        <v>0.65</v>
      </c>
      <c r="W20" s="30">
        <v>0.64</v>
      </c>
      <c r="X20" s="128">
        <f t="shared" si="0"/>
        <v>3225</v>
      </c>
      <c r="Y20" s="101"/>
      <c r="Z20" s="100">
        <f t="shared" si="4"/>
        <v>75</v>
      </c>
      <c r="AA20" s="32">
        <v>123382</v>
      </c>
      <c r="AB20" s="110">
        <f t="shared" si="17"/>
        <v>91</v>
      </c>
      <c r="AC20" s="32">
        <v>2823</v>
      </c>
      <c r="AD20" s="110">
        <f t="shared" si="18"/>
        <v>7.0999999999999091</v>
      </c>
      <c r="AE20" s="34">
        <v>73027</v>
      </c>
      <c r="AF20" s="110">
        <f t="shared" si="19"/>
        <v>0</v>
      </c>
      <c r="AG20" s="37">
        <v>3100</v>
      </c>
      <c r="AH20" s="80">
        <v>0</v>
      </c>
      <c r="AI20" s="100">
        <f t="shared" si="5"/>
        <v>0</v>
      </c>
      <c r="AJ20" s="10">
        <v>159</v>
      </c>
      <c r="AK20" s="15">
        <v>332</v>
      </c>
    </row>
    <row r="21" spans="1:37" x14ac:dyDescent="0.2">
      <c r="A21" s="17">
        <f t="shared" si="1"/>
        <v>45858</v>
      </c>
      <c r="B21" s="8">
        <v>33004805</v>
      </c>
      <c r="C21" s="85">
        <f t="shared" si="6"/>
        <v>5736</v>
      </c>
      <c r="D21" s="24">
        <v>1427881</v>
      </c>
      <c r="E21" s="85">
        <f t="shared" si="21"/>
        <v>2471</v>
      </c>
      <c r="F21" s="24">
        <v>193671</v>
      </c>
      <c r="G21" s="106">
        <f t="shared" si="8"/>
        <v>0</v>
      </c>
      <c r="H21" s="94">
        <f t="shared" si="2"/>
        <v>8207</v>
      </c>
      <c r="I21" s="96">
        <f t="shared" si="3"/>
        <v>6982.7999999998137</v>
      </c>
      <c r="J21" s="40">
        <v>4883593.2</v>
      </c>
      <c r="K21" s="107">
        <f t="shared" si="9"/>
        <v>1003.2000000001863</v>
      </c>
      <c r="L21" s="11">
        <f t="shared" si="20"/>
        <v>473181</v>
      </c>
      <c r="M21" s="107">
        <f t="shared" si="10"/>
        <v>40</v>
      </c>
      <c r="N21" s="11">
        <f t="shared" si="11"/>
        <v>144114.5</v>
      </c>
      <c r="O21" s="107">
        <f t="shared" si="12"/>
        <v>72</v>
      </c>
      <c r="P21" s="40">
        <f t="shared" si="13"/>
        <v>18030.599999999999</v>
      </c>
      <c r="Q21" s="108">
        <f t="shared" si="14"/>
        <v>109</v>
      </c>
      <c r="R21" s="17">
        <f t="shared" si="15"/>
        <v>45858</v>
      </c>
      <c r="S21" s="104">
        <v>5670</v>
      </c>
      <c r="T21" s="109"/>
      <c r="U21" s="110">
        <f t="shared" si="16"/>
        <v>19</v>
      </c>
      <c r="V21" s="13">
        <v>0.63</v>
      </c>
      <c r="W21" s="30">
        <v>0.63</v>
      </c>
      <c r="X21" s="128">
        <f t="shared" si="0"/>
        <v>3150</v>
      </c>
      <c r="Y21" s="101"/>
      <c r="Z21" s="100">
        <f t="shared" si="4"/>
        <v>150</v>
      </c>
      <c r="AA21" s="32">
        <v>123473</v>
      </c>
      <c r="AB21" s="110">
        <f t="shared" si="17"/>
        <v>87</v>
      </c>
      <c r="AC21" s="32">
        <v>2830.1</v>
      </c>
      <c r="AD21" s="110">
        <f t="shared" si="18"/>
        <v>23.599999999999909</v>
      </c>
      <c r="AE21" s="34">
        <v>73027</v>
      </c>
      <c r="AF21" s="110">
        <f t="shared" si="19"/>
        <v>0</v>
      </c>
      <c r="AG21" s="37">
        <v>3100</v>
      </c>
      <c r="AH21" s="80">
        <v>0</v>
      </c>
      <c r="AI21" s="100">
        <f t="shared" si="5"/>
        <v>0</v>
      </c>
      <c r="AJ21" s="10">
        <v>132</v>
      </c>
      <c r="AK21" s="15">
        <v>274</v>
      </c>
    </row>
    <row r="22" spans="1:37" x14ac:dyDescent="0.2">
      <c r="A22" s="17">
        <f t="shared" si="1"/>
        <v>45859</v>
      </c>
      <c r="B22" s="8">
        <v>33010541</v>
      </c>
      <c r="C22" s="85"/>
      <c r="D22" s="24">
        <v>1430352</v>
      </c>
      <c r="E22" s="85"/>
      <c r="F22" s="24">
        <v>193671</v>
      </c>
      <c r="G22" s="106"/>
      <c r="H22" s="94">
        <f t="shared" si="2"/>
        <v>0</v>
      </c>
      <c r="I22" s="96">
        <f t="shared" si="3"/>
        <v>0</v>
      </c>
      <c r="J22" s="40">
        <v>4884596.4000000004</v>
      </c>
      <c r="K22" s="107"/>
      <c r="L22" s="11">
        <f t="shared" si="20"/>
        <v>473221</v>
      </c>
      <c r="M22" s="107"/>
      <c r="N22" s="11">
        <f t="shared" si="11"/>
        <v>144186.5</v>
      </c>
      <c r="O22" s="107"/>
      <c r="P22" s="40">
        <f t="shared" si="13"/>
        <v>18139.599999999999</v>
      </c>
      <c r="Q22" s="108"/>
      <c r="R22" s="17">
        <f t="shared" si="15"/>
        <v>45859</v>
      </c>
      <c r="S22" s="104">
        <v>5651</v>
      </c>
      <c r="T22" s="109"/>
      <c r="U22" s="110"/>
      <c r="V22" s="13">
        <v>0.61</v>
      </c>
      <c r="W22" s="30">
        <v>0.59</v>
      </c>
      <c r="X22" s="128">
        <f t="shared" si="0"/>
        <v>3000</v>
      </c>
      <c r="Y22" s="101">
        <v>1237.8800000000001</v>
      </c>
      <c r="Z22" s="100"/>
      <c r="AA22" s="32">
        <v>123560</v>
      </c>
      <c r="AB22" s="110"/>
      <c r="AC22" s="32">
        <v>2853.7</v>
      </c>
      <c r="AD22" s="110"/>
      <c r="AE22" s="34">
        <v>73027</v>
      </c>
      <c r="AF22" s="110">
        <f t="shared" si="19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45860</v>
      </c>
      <c r="B23" s="8"/>
      <c r="C23" s="85"/>
      <c r="D23" s="24"/>
      <c r="E23" s="85"/>
      <c r="F23" s="24"/>
      <c r="G23" s="106"/>
      <c r="H23" s="94">
        <f t="shared" si="2"/>
        <v>0</v>
      </c>
      <c r="I23" s="96">
        <f t="shared" si="3"/>
        <v>0</v>
      </c>
      <c r="J23" s="40"/>
      <c r="K23" s="107"/>
      <c r="L23" s="11"/>
      <c r="M23" s="107"/>
      <c r="N23" s="11"/>
      <c r="O23" s="107"/>
      <c r="P23" s="40"/>
      <c r="Q23" s="108"/>
      <c r="R23" s="17">
        <f t="shared" si="15"/>
        <v>45860</v>
      </c>
      <c r="S23" s="104"/>
      <c r="T23" s="109"/>
      <c r="U23" s="110"/>
      <c r="V23" s="13"/>
      <c r="W23" s="30"/>
      <c r="X23" s="128">
        <f t="shared" si="0"/>
        <v>0</v>
      </c>
      <c r="Y23" s="101"/>
      <c r="Z23" s="100"/>
      <c r="AA23" s="32"/>
      <c r="AB23" s="110"/>
      <c r="AC23" s="32"/>
      <c r="AD23" s="110"/>
      <c r="AE23" s="34">
        <v>73027</v>
      </c>
      <c r="AF23" s="110">
        <f t="shared" si="19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45861</v>
      </c>
      <c r="B24" s="8"/>
      <c r="C24" s="85"/>
      <c r="D24" s="24"/>
      <c r="E24" s="85"/>
      <c r="F24" s="24"/>
      <c r="G24" s="106"/>
      <c r="H24" s="94">
        <f t="shared" si="2"/>
        <v>0</v>
      </c>
      <c r="I24" s="96">
        <f t="shared" si="3"/>
        <v>0</v>
      </c>
      <c r="J24" s="40"/>
      <c r="K24" s="107"/>
      <c r="L24" s="11"/>
      <c r="M24" s="107"/>
      <c r="N24" s="11"/>
      <c r="O24" s="107"/>
      <c r="P24" s="40"/>
      <c r="Q24" s="108"/>
      <c r="R24" s="17">
        <f t="shared" si="15"/>
        <v>45861</v>
      </c>
      <c r="S24" s="104"/>
      <c r="T24" s="109"/>
      <c r="U24" s="110"/>
      <c r="V24" s="13"/>
      <c r="W24" s="30"/>
      <c r="X24" s="128">
        <f t="shared" si="0"/>
        <v>0</v>
      </c>
      <c r="Y24" s="101"/>
      <c r="Z24" s="100"/>
      <c r="AA24" s="32"/>
      <c r="AB24" s="110"/>
      <c r="AC24" s="32"/>
      <c r="AD24" s="110"/>
      <c r="AE24" s="34">
        <v>73027</v>
      </c>
      <c r="AF24" s="110">
        <f t="shared" si="19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45862</v>
      </c>
      <c r="B25" s="8"/>
      <c r="C25" s="85"/>
      <c r="D25" s="24"/>
      <c r="E25" s="85"/>
      <c r="F25" s="24"/>
      <c r="G25" s="106"/>
      <c r="H25" s="94">
        <f t="shared" si="2"/>
        <v>0</v>
      </c>
      <c r="I25" s="96">
        <f t="shared" si="3"/>
        <v>0</v>
      </c>
      <c r="J25" s="40"/>
      <c r="K25" s="107"/>
      <c r="L25" s="11"/>
      <c r="M25" s="107"/>
      <c r="N25" s="11"/>
      <c r="O25" s="107"/>
      <c r="P25" s="40"/>
      <c r="Q25" s="108"/>
      <c r="R25" s="17">
        <f t="shared" si="15"/>
        <v>45862</v>
      </c>
      <c r="S25" s="104"/>
      <c r="T25" s="109"/>
      <c r="U25" s="110"/>
      <c r="V25" s="13"/>
      <c r="W25" s="30"/>
      <c r="X25" s="128">
        <f t="shared" si="0"/>
        <v>0</v>
      </c>
      <c r="Y25" s="101"/>
      <c r="Z25" s="100"/>
      <c r="AA25" s="32"/>
      <c r="AB25" s="110"/>
      <c r="AC25" s="32"/>
      <c r="AD25" s="110"/>
      <c r="AE25" s="34">
        <v>73027</v>
      </c>
      <c r="AF25" s="110">
        <f t="shared" si="19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45863</v>
      </c>
      <c r="B26" s="8"/>
      <c r="C26" s="85"/>
      <c r="D26" s="24"/>
      <c r="E26" s="85"/>
      <c r="F26" s="24"/>
      <c r="G26" s="106"/>
      <c r="H26" s="94">
        <f t="shared" si="2"/>
        <v>0</v>
      </c>
      <c r="I26" s="96">
        <f t="shared" si="3"/>
        <v>0</v>
      </c>
      <c r="J26" s="40"/>
      <c r="K26" s="107"/>
      <c r="L26" s="11"/>
      <c r="M26" s="107"/>
      <c r="N26" s="11"/>
      <c r="O26" s="107"/>
      <c r="P26" s="40"/>
      <c r="Q26" s="108"/>
      <c r="R26" s="17">
        <f t="shared" si="15"/>
        <v>45863</v>
      </c>
      <c r="S26" s="104"/>
      <c r="T26" s="109"/>
      <c r="U26" s="110"/>
      <c r="V26" s="13"/>
      <c r="W26" s="30"/>
      <c r="X26" s="128">
        <f t="shared" si="0"/>
        <v>0</v>
      </c>
      <c r="Y26" s="101"/>
      <c r="Z26" s="100"/>
      <c r="AA26" s="32"/>
      <c r="AB26" s="110"/>
      <c r="AC26" s="32"/>
      <c r="AD26" s="110"/>
      <c r="AE26" s="34">
        <v>73027</v>
      </c>
      <c r="AF26" s="110">
        <f t="shared" si="19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45864</v>
      </c>
      <c r="B27" s="8"/>
      <c r="C27" s="85"/>
      <c r="D27" s="24"/>
      <c r="E27" s="85"/>
      <c r="F27" s="24"/>
      <c r="G27" s="106"/>
      <c r="H27" s="94">
        <f t="shared" si="2"/>
        <v>0</v>
      </c>
      <c r="I27" s="96">
        <f t="shared" si="3"/>
        <v>0</v>
      </c>
      <c r="J27" s="40"/>
      <c r="K27" s="107"/>
      <c r="L27" s="11"/>
      <c r="M27" s="107"/>
      <c r="N27" s="11"/>
      <c r="O27" s="107"/>
      <c r="P27" s="40"/>
      <c r="Q27" s="108"/>
      <c r="R27" s="17">
        <f t="shared" si="15"/>
        <v>45864</v>
      </c>
      <c r="S27" s="104"/>
      <c r="T27" s="109"/>
      <c r="U27" s="110"/>
      <c r="V27" s="13"/>
      <c r="W27" s="30"/>
      <c r="X27" s="128">
        <f t="shared" si="0"/>
        <v>0</v>
      </c>
      <c r="Y27" s="101"/>
      <c r="Z27" s="100"/>
      <c r="AA27" s="32"/>
      <c r="AB27" s="110"/>
      <c r="AC27" s="32"/>
      <c r="AD27" s="110"/>
      <c r="AE27" s="34">
        <v>73027</v>
      </c>
      <c r="AF27" s="110">
        <f t="shared" si="19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45865</v>
      </c>
      <c r="B28" s="8"/>
      <c r="C28" s="85"/>
      <c r="D28" s="24"/>
      <c r="E28" s="85"/>
      <c r="F28" s="24"/>
      <c r="G28" s="106"/>
      <c r="H28" s="94">
        <f t="shared" si="2"/>
        <v>0</v>
      </c>
      <c r="I28" s="96">
        <f t="shared" si="3"/>
        <v>0</v>
      </c>
      <c r="J28" s="40"/>
      <c r="K28" s="107"/>
      <c r="L28" s="11"/>
      <c r="M28" s="107"/>
      <c r="N28" s="11"/>
      <c r="O28" s="107"/>
      <c r="P28" s="40"/>
      <c r="Q28" s="108"/>
      <c r="R28" s="17">
        <f t="shared" si="15"/>
        <v>45865</v>
      </c>
      <c r="S28" s="104"/>
      <c r="T28" s="109"/>
      <c r="U28" s="110"/>
      <c r="V28" s="13"/>
      <c r="W28" s="30"/>
      <c r="X28" s="128">
        <f t="shared" si="0"/>
        <v>0</v>
      </c>
      <c r="Y28" s="101"/>
      <c r="Z28" s="100"/>
      <c r="AA28" s="32"/>
      <c r="AB28" s="110"/>
      <c r="AC28" s="32"/>
      <c r="AD28" s="110"/>
      <c r="AE28" s="34">
        <v>73027</v>
      </c>
      <c r="AF28" s="110">
        <f t="shared" si="19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45866</v>
      </c>
      <c r="B29" s="8"/>
      <c r="C29" s="85"/>
      <c r="D29" s="24"/>
      <c r="E29" s="85"/>
      <c r="F29" s="24"/>
      <c r="G29" s="106"/>
      <c r="H29" s="94">
        <f t="shared" si="2"/>
        <v>0</v>
      </c>
      <c r="I29" s="96">
        <f t="shared" si="3"/>
        <v>0</v>
      </c>
      <c r="J29" s="40"/>
      <c r="K29" s="107"/>
      <c r="L29" s="11"/>
      <c r="M29" s="107"/>
      <c r="N29" s="11"/>
      <c r="O29" s="107"/>
      <c r="P29" s="40"/>
      <c r="Q29" s="108"/>
      <c r="R29" s="17">
        <f t="shared" si="15"/>
        <v>45866</v>
      </c>
      <c r="S29" s="104"/>
      <c r="T29" s="109"/>
      <c r="U29" s="110"/>
      <c r="V29" s="13"/>
      <c r="W29" s="30"/>
      <c r="X29" s="128">
        <f t="shared" si="0"/>
        <v>0</v>
      </c>
      <c r="Y29" s="101"/>
      <c r="Z29" s="100"/>
      <c r="AA29" s="32"/>
      <c r="AB29" s="110"/>
      <c r="AC29" s="32"/>
      <c r="AD29" s="110"/>
      <c r="AE29" s="34">
        <v>73027</v>
      </c>
      <c r="AF29" s="110">
        <f t="shared" si="19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45867</v>
      </c>
      <c r="B30" s="8"/>
      <c r="C30" s="85"/>
      <c r="D30" s="24"/>
      <c r="E30" s="85"/>
      <c r="F30" s="24"/>
      <c r="G30" s="106"/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5"/>
        <v>45867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9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45868</v>
      </c>
      <c r="B31" s="8"/>
      <c r="C31" s="85"/>
      <c r="D31" s="24"/>
      <c r="E31" s="85"/>
      <c r="F31" s="102"/>
      <c r="G31" s="106"/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5"/>
        <v>45868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9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45869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5"/>
        <v>45869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9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45870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45870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106056</v>
      </c>
      <c r="D34" s="77"/>
      <c r="E34" s="112">
        <f>SUM(E2:E33)</f>
        <v>51763</v>
      </c>
      <c r="F34" s="113"/>
      <c r="G34" s="114">
        <f>SUM(G2:G33)</f>
        <v>0</v>
      </c>
      <c r="H34" s="115">
        <f>SUM(H2:H33)</f>
        <v>157819</v>
      </c>
      <c r="I34" s="116">
        <f>SUM(I2:I32)</f>
        <v>134129</v>
      </c>
      <c r="J34" s="113"/>
      <c r="K34" s="117">
        <f>SUM(K2:K33)</f>
        <v>19270</v>
      </c>
      <c r="L34" s="113"/>
      <c r="M34" s="117">
        <f>SUM(M2:M33)</f>
        <v>800</v>
      </c>
      <c r="N34" s="113"/>
      <c r="O34" s="117">
        <f>SUM(O2:O33)</f>
        <v>1440</v>
      </c>
      <c r="P34" s="113"/>
      <c r="Q34" s="118">
        <f>SUM(Q2:Q33)</f>
        <v>2179.9999999999982</v>
      </c>
      <c r="R34" s="77"/>
      <c r="S34" s="77"/>
      <c r="T34" s="77"/>
      <c r="U34" s="119">
        <f>SUM(U2:U33)</f>
        <v>1019</v>
      </c>
      <c r="V34" s="77"/>
      <c r="W34" s="77"/>
      <c r="X34" s="77"/>
      <c r="Y34" s="120">
        <f>SUM(Y2:Y33)</f>
        <v>3524.17</v>
      </c>
      <c r="Z34" s="121">
        <f>SUM(Z2:Z33)</f>
        <v>3186.29</v>
      </c>
      <c r="AA34" s="77"/>
      <c r="AB34" s="122">
        <f>SUM(AB2:AB33)</f>
        <v>2045</v>
      </c>
      <c r="AC34" s="113"/>
      <c r="AD34" s="122">
        <f>SUM(AD2:AD33)</f>
        <v>216.79999999999973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2649</v>
      </c>
      <c r="AK34" s="127">
        <f>SUM(AK2:AK32)</f>
        <v>5412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2025-07-22T09:11:30Z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