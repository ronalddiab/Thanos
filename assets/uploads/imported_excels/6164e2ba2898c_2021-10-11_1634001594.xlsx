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8" activeTab="1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C11" i="5" l="1"/>
  <c r="C9" i="5" l="1"/>
  <c r="O10" i="1"/>
  <c r="AC10" i="1" l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9" i="1"/>
  <c r="Z3" i="1"/>
  <c r="AA3" i="1" s="1"/>
  <c r="X3" i="1"/>
  <c r="Y4" i="1" s="1"/>
  <c r="AA6" i="1"/>
  <c r="Y3" i="1" l="1"/>
  <c r="AA4" i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T11" i="2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D14" i="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8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4" i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N15" i="1" l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14" i="1"/>
  <c r="G15" i="3"/>
  <c r="G14" i="3"/>
  <c r="I15" i="2"/>
  <c r="I14" i="2"/>
  <c r="U14" i="2"/>
  <c r="O15" i="2"/>
  <c r="O14" i="2"/>
  <c r="O13" i="2"/>
  <c r="M14" i="2"/>
  <c r="M15" i="2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D15" i="2"/>
  <c r="E14" i="2"/>
  <c r="C15" i="2"/>
  <c r="C14" i="2"/>
  <c r="Y2" i="4"/>
  <c r="D2" i="1"/>
  <c r="G25" i="3"/>
  <c r="G26" i="3"/>
  <c r="G27" i="3"/>
  <c r="D16" i="2" l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<sst xmlns="http://schemas.openxmlformats.org/spreadsheetml/2006/main" count="442" uniqueCount="147">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</sst>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69513.935811999996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53082.627635999997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183528.44603200001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61235.925311999999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abSelected="1" zoomScale="85" zoomScaleNormal="85" workbookViewId="0">
      <selection activeCell="I21" sqref="I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2240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-320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-125934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-126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J23" sqref="J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303519</v>
      </c>
      <c r="K8" s="16">
        <f t="shared" si="5"/>
        <v>320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-320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</v>
      </c>
      <c r="Q11" s="16">
        <f t="shared" si="8"/>
        <v>-125934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/>
      <c r="Q12" s="16">
        <f t="shared" si="8"/>
        <v>-126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f t="shared" ref="P13:P33" si="12">P12</f>
        <v>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f t="shared" ref="B13:B33" si="13">B13</f>
        <v>46025</v>
      </c>
      <c r="C14" s="16">
        <f t="shared" si="1"/>
        <v>0</v>
      </c>
      <c r="D14" s="37">
        <f t="shared" ref="D13:D33" si="14">D13</f>
        <v>39929</v>
      </c>
      <c r="E14" s="16">
        <f t="shared" si="2"/>
        <v>0</v>
      </c>
      <c r="F14" s="37">
        <f t="shared" ref="F13:F33" si="15">F13</f>
        <v>20883</v>
      </c>
      <c r="G14" s="16">
        <f t="shared" si="3"/>
        <v>0</v>
      </c>
      <c r="H14" s="37">
        <f t="shared" ref="H13:H33" si="16">H13</f>
        <v>249750</v>
      </c>
      <c r="I14" s="16">
        <f t="shared" si="4"/>
        <v>0</v>
      </c>
      <c r="J14" s="37">
        <f t="shared" ref="J13:J33" si="17">J13</f>
        <v>303517</v>
      </c>
      <c r="K14" s="16">
        <v>0</v>
      </c>
      <c r="L14" s="37">
        <f t="shared" ref="L13:L33" si="18">L13</f>
        <v>25469</v>
      </c>
      <c r="M14" s="16">
        <f t="shared" si="6"/>
        <v>0</v>
      </c>
      <c r="N14" s="37">
        <f t="shared" ref="N13:N33" si="19">N13</f>
        <v>215967</v>
      </c>
      <c r="O14" s="16">
        <f t="shared" si="7"/>
        <v>0</v>
      </c>
      <c r="P14" s="37">
        <f t="shared" si="12"/>
        <v>0</v>
      </c>
      <c r="Q14" s="16">
        <f t="shared" si="8"/>
        <v>0</v>
      </c>
      <c r="R14" s="1">
        <f t="shared" ref="R14:R33" si="20">R13</f>
        <v>55047</v>
      </c>
      <c r="S14" s="16">
        <v>0</v>
      </c>
      <c r="T14" s="37">
        <f t="shared" si="11"/>
        <v>3800</v>
      </c>
      <c r="U14" s="16">
        <f t="shared" si="10"/>
        <v>0</v>
      </c>
    </row>
    <row r="15" spans="1:24" ht="13.5" thickBot="1" x14ac:dyDescent="0.25">
      <c r="A15" s="10">
        <v>44482</v>
      </c>
      <c r="B15" s="37">
        <f t="shared" si="13"/>
        <v>46025</v>
      </c>
      <c r="C15" s="16">
        <f t="shared" si="1"/>
        <v>0</v>
      </c>
      <c r="D15" s="37">
        <f t="shared" si="14"/>
        <v>39929</v>
      </c>
      <c r="E15" s="16">
        <f t="shared" si="2"/>
        <v>0</v>
      </c>
      <c r="F15" s="37">
        <f t="shared" si="15"/>
        <v>20883</v>
      </c>
      <c r="G15" s="16">
        <f t="shared" si="3"/>
        <v>0</v>
      </c>
      <c r="H15" s="37">
        <f t="shared" si="16"/>
        <v>249750</v>
      </c>
      <c r="I15" s="16">
        <f t="shared" si="4"/>
        <v>0</v>
      </c>
      <c r="J15" s="37">
        <f t="shared" si="17"/>
        <v>303517</v>
      </c>
      <c r="K15" s="16">
        <f t="shared" si="5"/>
        <v>0</v>
      </c>
      <c r="L15" s="37">
        <f t="shared" si="18"/>
        <v>25469</v>
      </c>
      <c r="M15" s="16">
        <f t="shared" si="6"/>
        <v>0</v>
      </c>
      <c r="N15" s="37">
        <f t="shared" si="19"/>
        <v>215967</v>
      </c>
      <c r="O15" s="16">
        <f t="shared" si="7"/>
        <v>0</v>
      </c>
      <c r="P15" s="37">
        <f t="shared" si="12"/>
        <v>0</v>
      </c>
      <c r="Q15" s="16">
        <f t="shared" si="8"/>
        <v>0</v>
      </c>
      <c r="R15" s="1">
        <f t="shared" si="20"/>
        <v>55047</v>
      </c>
      <c r="S15" s="16">
        <f t="shared" si="9"/>
        <v>0</v>
      </c>
      <c r="T15" s="37">
        <f t="shared" si="11"/>
        <v>3800</v>
      </c>
      <c r="U15" s="16">
        <f>(T15-T14)*800/5</f>
        <v>0</v>
      </c>
      <c r="X15" t="s">
        <v>12</v>
      </c>
    </row>
    <row r="16" spans="1:24" ht="13.5" thickBot="1" x14ac:dyDescent="0.25">
      <c r="A16" s="10">
        <v>44483</v>
      </c>
      <c r="B16" s="37">
        <f t="shared" si="13"/>
        <v>46025</v>
      </c>
      <c r="C16" s="16">
        <f t="shared" si="1"/>
        <v>0</v>
      </c>
      <c r="D16" s="37">
        <f t="shared" si="14"/>
        <v>39929</v>
      </c>
      <c r="E16" s="16">
        <f t="shared" si="2"/>
        <v>0</v>
      </c>
      <c r="F16" s="37">
        <f t="shared" si="15"/>
        <v>20883</v>
      </c>
      <c r="G16" s="16">
        <f t="shared" si="3"/>
        <v>0</v>
      </c>
      <c r="H16" s="37">
        <f t="shared" si="16"/>
        <v>249750</v>
      </c>
      <c r="I16" s="16">
        <f t="shared" si="4"/>
        <v>0</v>
      </c>
      <c r="J16" s="37">
        <f t="shared" si="17"/>
        <v>303517</v>
      </c>
      <c r="K16" s="16">
        <f t="shared" si="5"/>
        <v>0</v>
      </c>
      <c r="L16" s="37">
        <f t="shared" si="18"/>
        <v>25469</v>
      </c>
      <c r="M16" s="16">
        <f t="shared" si="6"/>
        <v>0</v>
      </c>
      <c r="N16" s="37">
        <f t="shared" si="19"/>
        <v>215967</v>
      </c>
      <c r="O16" s="16">
        <f t="shared" si="7"/>
        <v>0</v>
      </c>
      <c r="P16" s="37">
        <f t="shared" si="12"/>
        <v>0</v>
      </c>
      <c r="Q16" s="16">
        <f t="shared" si="8"/>
        <v>0</v>
      </c>
      <c r="R16" s="1">
        <f t="shared" si="20"/>
        <v>55047</v>
      </c>
      <c r="S16" s="16">
        <f t="shared" si="9"/>
        <v>0</v>
      </c>
      <c r="T16" s="37">
        <f t="shared" si="11"/>
        <v>3800</v>
      </c>
      <c r="U16" s="16">
        <f t="shared" si="10"/>
        <v>0</v>
      </c>
      <c r="W16" t="s">
        <v>12</v>
      </c>
    </row>
    <row r="17" spans="1:23" ht="13.5" thickBot="1" x14ac:dyDescent="0.25">
      <c r="A17" s="10">
        <v>44484</v>
      </c>
      <c r="B17" s="37">
        <f t="shared" si="13"/>
        <v>46025</v>
      </c>
      <c r="C17" s="16">
        <f t="shared" si="1"/>
        <v>0</v>
      </c>
      <c r="D17" s="37">
        <f t="shared" si="14"/>
        <v>39929</v>
      </c>
      <c r="E17" s="16">
        <f t="shared" si="2"/>
        <v>0</v>
      </c>
      <c r="F17" s="37">
        <f t="shared" si="15"/>
        <v>20883</v>
      </c>
      <c r="G17" s="16">
        <f t="shared" si="3"/>
        <v>0</v>
      </c>
      <c r="H17" s="37">
        <f t="shared" si="16"/>
        <v>249750</v>
      </c>
      <c r="I17" s="16">
        <f t="shared" si="4"/>
        <v>0</v>
      </c>
      <c r="J17" s="37">
        <f t="shared" si="17"/>
        <v>303517</v>
      </c>
      <c r="K17" s="16">
        <f t="shared" si="5"/>
        <v>0</v>
      </c>
      <c r="L17" s="37">
        <f t="shared" si="18"/>
        <v>25469</v>
      </c>
      <c r="M17" s="16">
        <f t="shared" si="6"/>
        <v>0</v>
      </c>
      <c r="N17" s="37">
        <f t="shared" si="19"/>
        <v>215967</v>
      </c>
      <c r="O17" s="16">
        <f t="shared" si="7"/>
        <v>0</v>
      </c>
      <c r="P17" s="37">
        <f t="shared" si="12"/>
        <v>0</v>
      </c>
      <c r="Q17" s="16">
        <f t="shared" si="8"/>
        <v>0</v>
      </c>
      <c r="R17" s="1">
        <f t="shared" si="20"/>
        <v>55047</v>
      </c>
      <c r="S17" s="16">
        <f>S16</f>
        <v>0</v>
      </c>
      <c r="T17" s="37">
        <f t="shared" si="11"/>
        <v>3800</v>
      </c>
      <c r="U17" s="16">
        <f t="shared" si="10"/>
        <v>0</v>
      </c>
    </row>
    <row r="18" spans="1:23" ht="13.5" thickBot="1" x14ac:dyDescent="0.25">
      <c r="A18" s="10">
        <v>44485</v>
      </c>
      <c r="B18" s="37">
        <f t="shared" si="13"/>
        <v>46025</v>
      </c>
      <c r="C18" s="16">
        <f t="shared" si="1"/>
        <v>0</v>
      </c>
      <c r="D18" s="37">
        <f t="shared" si="14"/>
        <v>39929</v>
      </c>
      <c r="E18" s="16">
        <f t="shared" si="2"/>
        <v>0</v>
      </c>
      <c r="F18" s="37">
        <f t="shared" si="15"/>
        <v>20883</v>
      </c>
      <c r="G18" s="16">
        <f t="shared" si="3"/>
        <v>0</v>
      </c>
      <c r="H18" s="37">
        <f t="shared" si="16"/>
        <v>249750</v>
      </c>
      <c r="I18" s="16">
        <f t="shared" si="4"/>
        <v>0</v>
      </c>
      <c r="J18" s="37">
        <f t="shared" si="17"/>
        <v>303517</v>
      </c>
      <c r="K18" s="16">
        <f t="shared" si="5"/>
        <v>0</v>
      </c>
      <c r="L18" s="37">
        <f t="shared" si="18"/>
        <v>25469</v>
      </c>
      <c r="M18" s="16">
        <f t="shared" si="6"/>
        <v>0</v>
      </c>
      <c r="N18" s="37">
        <f t="shared" si="19"/>
        <v>215967</v>
      </c>
      <c r="O18" s="16">
        <f t="shared" si="7"/>
        <v>0</v>
      </c>
      <c r="P18" s="37">
        <f t="shared" si="12"/>
        <v>0</v>
      </c>
      <c r="Q18" s="16">
        <f t="shared" si="8"/>
        <v>0</v>
      </c>
      <c r="R18" s="1">
        <f t="shared" si="20"/>
        <v>55047</v>
      </c>
      <c r="S18" s="16">
        <f t="shared" si="9"/>
        <v>0</v>
      </c>
      <c r="T18" s="37">
        <f t="shared" si="11"/>
        <v>3800</v>
      </c>
      <c r="U18" s="16">
        <f t="shared" si="10"/>
        <v>0</v>
      </c>
    </row>
    <row r="19" spans="1:23" ht="13.5" thickBot="1" x14ac:dyDescent="0.25">
      <c r="A19" s="10">
        <v>44486</v>
      </c>
      <c r="B19" s="37">
        <f t="shared" si="13"/>
        <v>46025</v>
      </c>
      <c r="C19" s="16">
        <f t="shared" si="1"/>
        <v>0</v>
      </c>
      <c r="D19" s="37">
        <f t="shared" si="14"/>
        <v>39929</v>
      </c>
      <c r="E19" s="16">
        <f t="shared" si="2"/>
        <v>0</v>
      </c>
      <c r="F19" s="37">
        <f t="shared" si="15"/>
        <v>20883</v>
      </c>
      <c r="G19" s="16">
        <f t="shared" si="3"/>
        <v>0</v>
      </c>
      <c r="H19" s="37">
        <f t="shared" si="16"/>
        <v>249750</v>
      </c>
      <c r="I19" s="16">
        <f t="shared" si="4"/>
        <v>0</v>
      </c>
      <c r="J19" s="37">
        <f t="shared" si="17"/>
        <v>303517</v>
      </c>
      <c r="K19" s="16">
        <f t="shared" si="5"/>
        <v>0</v>
      </c>
      <c r="L19" s="37">
        <f t="shared" si="18"/>
        <v>25469</v>
      </c>
      <c r="M19" s="16">
        <f t="shared" si="6"/>
        <v>0</v>
      </c>
      <c r="N19" s="37">
        <f t="shared" si="19"/>
        <v>215967</v>
      </c>
      <c r="O19" s="16">
        <f t="shared" si="7"/>
        <v>0</v>
      </c>
      <c r="P19" s="37">
        <f t="shared" si="12"/>
        <v>0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1"/>
        <v>3800</v>
      </c>
      <c r="U19" s="16">
        <f t="shared" si="10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3"/>
        <v>46025</v>
      </c>
      <c r="C20" s="16">
        <f t="shared" si="1"/>
        <v>0</v>
      </c>
      <c r="D20" s="37">
        <f t="shared" si="14"/>
        <v>39929</v>
      </c>
      <c r="E20" s="16">
        <f t="shared" si="2"/>
        <v>0</v>
      </c>
      <c r="F20" s="37">
        <f t="shared" si="15"/>
        <v>20883</v>
      </c>
      <c r="G20" s="16">
        <f t="shared" si="3"/>
        <v>0</v>
      </c>
      <c r="H20" s="37">
        <f t="shared" si="16"/>
        <v>249750</v>
      </c>
      <c r="I20" s="16">
        <f t="shared" si="4"/>
        <v>0</v>
      </c>
      <c r="J20" s="37">
        <f t="shared" si="17"/>
        <v>303517</v>
      </c>
      <c r="K20" s="16">
        <v>0</v>
      </c>
      <c r="L20" s="37">
        <f t="shared" si="18"/>
        <v>25469</v>
      </c>
      <c r="M20" s="16">
        <f t="shared" si="6"/>
        <v>0</v>
      </c>
      <c r="N20" s="37">
        <f t="shared" si="19"/>
        <v>215967</v>
      </c>
      <c r="O20" s="16">
        <f t="shared" si="7"/>
        <v>0</v>
      </c>
      <c r="P20" s="37">
        <f t="shared" si="12"/>
        <v>0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1"/>
        <v>3800</v>
      </c>
      <c r="U20" s="16">
        <f t="shared" si="10"/>
        <v>0</v>
      </c>
    </row>
    <row r="21" spans="1:23" ht="13.5" thickBot="1" x14ac:dyDescent="0.25">
      <c r="A21" s="10">
        <v>44488</v>
      </c>
      <c r="B21" s="37">
        <f t="shared" si="13"/>
        <v>46025</v>
      </c>
      <c r="C21" s="16">
        <f t="shared" si="1"/>
        <v>0</v>
      </c>
      <c r="D21" s="37">
        <f t="shared" si="14"/>
        <v>39929</v>
      </c>
      <c r="E21" s="16">
        <f t="shared" si="2"/>
        <v>0</v>
      </c>
      <c r="F21" s="37">
        <f t="shared" si="15"/>
        <v>20883</v>
      </c>
      <c r="G21" s="16">
        <f t="shared" si="3"/>
        <v>0</v>
      </c>
      <c r="H21" s="37">
        <f t="shared" si="16"/>
        <v>249750</v>
      </c>
      <c r="I21" s="16">
        <f t="shared" si="4"/>
        <v>0</v>
      </c>
      <c r="J21" s="37">
        <f t="shared" si="17"/>
        <v>303517</v>
      </c>
      <c r="K21" s="16">
        <f t="shared" si="5"/>
        <v>0</v>
      </c>
      <c r="L21" s="37">
        <f t="shared" si="18"/>
        <v>25469</v>
      </c>
      <c r="M21" s="16">
        <f t="shared" si="6"/>
        <v>0</v>
      </c>
      <c r="N21" s="37">
        <f t="shared" si="19"/>
        <v>215967</v>
      </c>
      <c r="O21" s="16">
        <f t="shared" si="7"/>
        <v>0</v>
      </c>
      <c r="P21" s="37">
        <f t="shared" si="12"/>
        <v>0</v>
      </c>
      <c r="Q21" s="16">
        <f t="shared" si="8"/>
        <v>0</v>
      </c>
      <c r="R21" s="1">
        <f t="shared" si="20"/>
        <v>55047</v>
      </c>
      <c r="S21" s="16">
        <f t="shared" si="9"/>
        <v>0</v>
      </c>
      <c r="T21" s="37">
        <f t="shared" si="11"/>
        <v>3800</v>
      </c>
      <c r="U21" s="16">
        <f t="shared" si="10"/>
        <v>0</v>
      </c>
    </row>
    <row r="22" spans="1:23" ht="13.5" thickBot="1" x14ac:dyDescent="0.25">
      <c r="A22" s="10">
        <v>44489</v>
      </c>
      <c r="B22" s="37">
        <f t="shared" si="13"/>
        <v>46025</v>
      </c>
      <c r="C22" s="16">
        <f t="shared" si="1"/>
        <v>0</v>
      </c>
      <c r="D22" s="37">
        <f t="shared" si="14"/>
        <v>39929</v>
      </c>
      <c r="E22" s="16">
        <f t="shared" si="2"/>
        <v>0</v>
      </c>
      <c r="F22" s="37">
        <f t="shared" si="15"/>
        <v>20883</v>
      </c>
      <c r="G22" s="16">
        <f t="shared" si="3"/>
        <v>0</v>
      </c>
      <c r="H22" s="37">
        <f t="shared" si="16"/>
        <v>249750</v>
      </c>
      <c r="I22" s="16">
        <f t="shared" si="4"/>
        <v>0</v>
      </c>
      <c r="J22" s="37">
        <f t="shared" si="17"/>
        <v>303517</v>
      </c>
      <c r="K22" s="16">
        <f t="shared" si="5"/>
        <v>0</v>
      </c>
      <c r="L22" s="37">
        <f t="shared" si="18"/>
        <v>25469</v>
      </c>
      <c r="M22" s="16">
        <f t="shared" si="6"/>
        <v>0</v>
      </c>
      <c r="N22" s="37">
        <f t="shared" si="19"/>
        <v>215967</v>
      </c>
      <c r="O22" s="16">
        <f t="shared" si="7"/>
        <v>0</v>
      </c>
      <c r="P22" s="37">
        <f t="shared" si="12"/>
        <v>0</v>
      </c>
      <c r="Q22" s="16">
        <f>P22-P21</f>
        <v>0</v>
      </c>
      <c r="R22" s="1">
        <f t="shared" si="20"/>
        <v>55047</v>
      </c>
      <c r="S22" s="16">
        <f t="shared" si="9"/>
        <v>0</v>
      </c>
      <c r="T22" s="37">
        <f t="shared" si="11"/>
        <v>3800</v>
      </c>
      <c r="U22" s="16">
        <f t="shared" si="10"/>
        <v>0</v>
      </c>
    </row>
    <row r="23" spans="1:23" ht="13.5" thickBot="1" x14ac:dyDescent="0.25">
      <c r="A23" s="10">
        <v>44490</v>
      </c>
      <c r="B23" s="37">
        <f t="shared" si="13"/>
        <v>46025</v>
      </c>
      <c r="C23" s="16">
        <f t="shared" si="1"/>
        <v>0</v>
      </c>
      <c r="D23" s="37">
        <f t="shared" si="14"/>
        <v>39929</v>
      </c>
      <c r="E23" s="16">
        <f t="shared" si="2"/>
        <v>0</v>
      </c>
      <c r="F23" s="37">
        <f t="shared" si="15"/>
        <v>20883</v>
      </c>
      <c r="G23" s="16">
        <f t="shared" si="3"/>
        <v>0</v>
      </c>
      <c r="H23" s="37">
        <f t="shared" si="16"/>
        <v>249750</v>
      </c>
      <c r="I23" s="16">
        <f t="shared" si="4"/>
        <v>0</v>
      </c>
      <c r="J23" s="37">
        <f t="shared" si="17"/>
        <v>303517</v>
      </c>
      <c r="K23" s="16">
        <f t="shared" si="5"/>
        <v>0</v>
      </c>
      <c r="L23" s="37">
        <f t="shared" si="18"/>
        <v>25469</v>
      </c>
      <c r="M23" s="16">
        <f t="shared" si="6"/>
        <v>0</v>
      </c>
      <c r="N23" s="37">
        <f t="shared" si="19"/>
        <v>215967</v>
      </c>
      <c r="O23" s="16">
        <f t="shared" si="7"/>
        <v>0</v>
      </c>
      <c r="P23" s="37">
        <f t="shared" si="12"/>
        <v>0</v>
      </c>
      <c r="Q23" s="16">
        <f t="shared" si="8"/>
        <v>0</v>
      </c>
      <c r="R23" s="1">
        <f t="shared" si="20"/>
        <v>55047</v>
      </c>
      <c r="S23" s="16">
        <f t="shared" si="9"/>
        <v>0</v>
      </c>
      <c r="T23" s="37">
        <f t="shared" si="11"/>
        <v>3800</v>
      </c>
      <c r="U23" s="16">
        <f t="shared" si="10"/>
        <v>0</v>
      </c>
    </row>
    <row r="24" spans="1:23" s="138" customFormat="1" ht="13.5" thickBot="1" x14ac:dyDescent="0.25">
      <c r="A24" s="10">
        <v>44491</v>
      </c>
      <c r="B24" s="37">
        <f t="shared" si="13"/>
        <v>46025</v>
      </c>
      <c r="C24" s="16">
        <f t="shared" si="1"/>
        <v>0</v>
      </c>
      <c r="D24" s="37">
        <f t="shared" si="14"/>
        <v>39929</v>
      </c>
      <c r="E24" s="16">
        <f t="shared" si="2"/>
        <v>0</v>
      </c>
      <c r="F24" s="37">
        <f t="shared" si="15"/>
        <v>20883</v>
      </c>
      <c r="G24" s="16">
        <f t="shared" si="3"/>
        <v>0</v>
      </c>
      <c r="H24" s="37">
        <f t="shared" si="16"/>
        <v>249750</v>
      </c>
      <c r="I24" s="16">
        <f t="shared" si="4"/>
        <v>0</v>
      </c>
      <c r="J24" s="37">
        <f t="shared" si="17"/>
        <v>303517</v>
      </c>
      <c r="K24" s="16">
        <f t="shared" si="5"/>
        <v>0</v>
      </c>
      <c r="L24" s="37">
        <f t="shared" si="18"/>
        <v>25469</v>
      </c>
      <c r="M24" s="16">
        <f t="shared" si="6"/>
        <v>0</v>
      </c>
      <c r="N24" s="37">
        <f t="shared" si="19"/>
        <v>215967</v>
      </c>
      <c r="O24" s="16">
        <f t="shared" si="7"/>
        <v>0</v>
      </c>
      <c r="P24" s="37">
        <f t="shared" si="12"/>
        <v>0</v>
      </c>
      <c r="Q24" s="16">
        <f t="shared" si="8"/>
        <v>0</v>
      </c>
      <c r="R24" s="1">
        <f t="shared" si="20"/>
        <v>55047</v>
      </c>
      <c r="S24" s="16">
        <f t="shared" si="9"/>
        <v>0</v>
      </c>
      <c r="T24" s="37">
        <f t="shared" si="11"/>
        <v>3800</v>
      </c>
      <c r="U24" s="16">
        <f t="shared" si="10"/>
        <v>0</v>
      </c>
    </row>
    <row r="25" spans="1:23" ht="13.5" thickBot="1" x14ac:dyDescent="0.25">
      <c r="A25" s="10">
        <v>44492</v>
      </c>
      <c r="B25" s="37">
        <f t="shared" si="13"/>
        <v>46025</v>
      </c>
      <c r="C25" s="16">
        <f t="shared" si="1"/>
        <v>0</v>
      </c>
      <c r="D25" s="37">
        <f t="shared" si="14"/>
        <v>39929</v>
      </c>
      <c r="E25" s="16">
        <f t="shared" si="2"/>
        <v>0</v>
      </c>
      <c r="F25" s="37">
        <f t="shared" si="15"/>
        <v>20883</v>
      </c>
      <c r="G25" s="16">
        <f t="shared" si="3"/>
        <v>0</v>
      </c>
      <c r="H25" s="37">
        <f t="shared" si="16"/>
        <v>249750</v>
      </c>
      <c r="I25" s="16">
        <f t="shared" si="4"/>
        <v>0</v>
      </c>
      <c r="J25" s="37">
        <f t="shared" si="17"/>
        <v>303517</v>
      </c>
      <c r="K25" s="16">
        <f t="shared" si="5"/>
        <v>0</v>
      </c>
      <c r="L25" s="37">
        <f t="shared" si="18"/>
        <v>25469</v>
      </c>
      <c r="M25" s="16">
        <f t="shared" si="6"/>
        <v>0</v>
      </c>
      <c r="N25" s="37">
        <f t="shared" si="19"/>
        <v>215967</v>
      </c>
      <c r="O25" s="16">
        <f t="shared" si="7"/>
        <v>0</v>
      </c>
      <c r="P25" s="37">
        <f t="shared" si="12"/>
        <v>0</v>
      </c>
      <c r="Q25" s="16">
        <f t="shared" si="8"/>
        <v>0</v>
      </c>
      <c r="R25" s="1">
        <f t="shared" si="20"/>
        <v>55047</v>
      </c>
      <c r="S25" s="16">
        <f t="shared" si="9"/>
        <v>0</v>
      </c>
      <c r="T25" s="37">
        <f t="shared" si="11"/>
        <v>3800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3"/>
        <v>46025</v>
      </c>
      <c r="C26" s="16">
        <f t="shared" si="1"/>
        <v>0</v>
      </c>
      <c r="D26" s="37">
        <f t="shared" si="14"/>
        <v>39929</v>
      </c>
      <c r="E26" s="16">
        <f t="shared" si="2"/>
        <v>0</v>
      </c>
      <c r="F26" s="37">
        <f t="shared" si="15"/>
        <v>20883</v>
      </c>
      <c r="G26" s="16">
        <f t="shared" si="3"/>
        <v>0</v>
      </c>
      <c r="H26" s="37">
        <f t="shared" si="16"/>
        <v>249750</v>
      </c>
      <c r="I26" s="16">
        <f t="shared" si="4"/>
        <v>0</v>
      </c>
      <c r="J26" s="37">
        <f t="shared" si="17"/>
        <v>303517</v>
      </c>
      <c r="K26" s="16">
        <f t="shared" si="5"/>
        <v>0</v>
      </c>
      <c r="L26" s="37">
        <f t="shared" si="18"/>
        <v>25469</v>
      </c>
      <c r="M26" s="16">
        <f t="shared" si="6"/>
        <v>0</v>
      </c>
      <c r="N26" s="37">
        <f t="shared" si="19"/>
        <v>215967</v>
      </c>
      <c r="O26" s="16">
        <f t="shared" si="7"/>
        <v>0</v>
      </c>
      <c r="P26" s="37">
        <f t="shared" si="12"/>
        <v>0</v>
      </c>
      <c r="Q26" s="16">
        <f t="shared" si="8"/>
        <v>0</v>
      </c>
      <c r="R26" s="1">
        <f t="shared" si="20"/>
        <v>55047</v>
      </c>
      <c r="S26" s="16">
        <f t="shared" si="9"/>
        <v>0</v>
      </c>
      <c r="T26" s="37">
        <f t="shared" si="11"/>
        <v>3800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3"/>
        <v>46025</v>
      </c>
      <c r="C27" s="16">
        <f t="shared" si="1"/>
        <v>0</v>
      </c>
      <c r="D27" s="37">
        <f t="shared" si="14"/>
        <v>39929</v>
      </c>
      <c r="E27" s="16">
        <f t="shared" si="2"/>
        <v>0</v>
      </c>
      <c r="F27" s="37">
        <f t="shared" si="15"/>
        <v>20883</v>
      </c>
      <c r="G27" s="16">
        <f t="shared" si="3"/>
        <v>0</v>
      </c>
      <c r="H27" s="37">
        <f t="shared" si="16"/>
        <v>249750</v>
      </c>
      <c r="I27" s="16">
        <f t="shared" si="4"/>
        <v>0</v>
      </c>
      <c r="J27" s="37">
        <f t="shared" si="17"/>
        <v>303517</v>
      </c>
      <c r="K27" s="16">
        <f t="shared" si="5"/>
        <v>0</v>
      </c>
      <c r="L27" s="37">
        <f t="shared" si="18"/>
        <v>25469</v>
      </c>
      <c r="M27" s="16">
        <f t="shared" si="6"/>
        <v>0</v>
      </c>
      <c r="N27" s="37">
        <f t="shared" si="19"/>
        <v>215967</v>
      </c>
      <c r="O27" s="16">
        <f t="shared" si="7"/>
        <v>0</v>
      </c>
      <c r="P27" s="37">
        <f t="shared" si="12"/>
        <v>0</v>
      </c>
      <c r="Q27" s="16">
        <f t="shared" si="8"/>
        <v>0</v>
      </c>
      <c r="R27" s="1">
        <f t="shared" si="20"/>
        <v>55047</v>
      </c>
      <c r="S27" s="16">
        <f t="shared" si="9"/>
        <v>0</v>
      </c>
      <c r="T27" s="37">
        <f t="shared" si="11"/>
        <v>3800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3"/>
        <v>46025</v>
      </c>
      <c r="C28" s="16">
        <f t="shared" si="1"/>
        <v>0</v>
      </c>
      <c r="D28" s="37">
        <f t="shared" si="14"/>
        <v>39929</v>
      </c>
      <c r="E28" s="16">
        <f t="shared" si="2"/>
        <v>0</v>
      </c>
      <c r="F28" s="37">
        <f t="shared" si="15"/>
        <v>20883</v>
      </c>
      <c r="G28" s="16">
        <f t="shared" si="3"/>
        <v>0</v>
      </c>
      <c r="H28" s="37">
        <f t="shared" si="16"/>
        <v>249750</v>
      </c>
      <c r="I28" s="16">
        <f t="shared" si="4"/>
        <v>0</v>
      </c>
      <c r="J28" s="37">
        <f t="shared" si="17"/>
        <v>303517</v>
      </c>
      <c r="K28" s="16">
        <f t="shared" si="5"/>
        <v>0</v>
      </c>
      <c r="L28" s="37">
        <f t="shared" si="18"/>
        <v>25469</v>
      </c>
      <c r="M28" s="16">
        <f t="shared" si="6"/>
        <v>0</v>
      </c>
      <c r="N28" s="37">
        <f t="shared" si="19"/>
        <v>215967</v>
      </c>
      <c r="O28" s="16">
        <f t="shared" si="7"/>
        <v>0</v>
      </c>
      <c r="P28" s="37">
        <f t="shared" si="12"/>
        <v>0</v>
      </c>
      <c r="Q28" s="17">
        <f t="shared" si="8"/>
        <v>0</v>
      </c>
      <c r="R28" s="1">
        <f t="shared" si="20"/>
        <v>55047</v>
      </c>
      <c r="S28" s="17">
        <f t="shared" si="9"/>
        <v>0</v>
      </c>
      <c r="T28" s="37">
        <f t="shared" si="11"/>
        <v>3800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3"/>
        <v>46025</v>
      </c>
      <c r="C29" s="16">
        <f t="shared" si="1"/>
        <v>0</v>
      </c>
      <c r="D29" s="37">
        <f t="shared" si="14"/>
        <v>39929</v>
      </c>
      <c r="E29" s="16">
        <f t="shared" si="2"/>
        <v>0</v>
      </c>
      <c r="F29" s="37">
        <f t="shared" si="15"/>
        <v>20883</v>
      </c>
      <c r="G29" s="16">
        <f t="shared" si="3"/>
        <v>0</v>
      </c>
      <c r="H29" s="37">
        <f t="shared" si="16"/>
        <v>249750</v>
      </c>
      <c r="I29" s="16">
        <f t="shared" si="4"/>
        <v>0</v>
      </c>
      <c r="J29" s="37">
        <f t="shared" si="17"/>
        <v>303517</v>
      </c>
      <c r="K29" s="16">
        <f t="shared" si="5"/>
        <v>0</v>
      </c>
      <c r="L29" s="37">
        <f t="shared" si="18"/>
        <v>25469</v>
      </c>
      <c r="M29" s="16">
        <f t="shared" si="6"/>
        <v>0</v>
      </c>
      <c r="N29" s="37">
        <f t="shared" si="19"/>
        <v>215967</v>
      </c>
      <c r="O29" s="16">
        <f t="shared" si="7"/>
        <v>0</v>
      </c>
      <c r="P29" s="37">
        <f t="shared" si="12"/>
        <v>0</v>
      </c>
      <c r="Q29" s="16">
        <f t="shared" si="8"/>
        <v>0</v>
      </c>
      <c r="R29" s="1">
        <f t="shared" si="20"/>
        <v>55047</v>
      </c>
      <c r="S29" s="16">
        <f t="shared" si="9"/>
        <v>0</v>
      </c>
      <c r="T29" s="37">
        <f t="shared" si="11"/>
        <v>3800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3"/>
        <v>46025</v>
      </c>
      <c r="C30" s="16">
        <f t="shared" si="1"/>
        <v>0</v>
      </c>
      <c r="D30" s="37">
        <f t="shared" si="14"/>
        <v>39929</v>
      </c>
      <c r="E30" s="16">
        <f t="shared" si="2"/>
        <v>0</v>
      </c>
      <c r="F30" s="37">
        <f t="shared" si="15"/>
        <v>20883</v>
      </c>
      <c r="G30" s="16">
        <f t="shared" si="3"/>
        <v>0</v>
      </c>
      <c r="H30" s="37">
        <f t="shared" si="16"/>
        <v>249750</v>
      </c>
      <c r="I30" s="16">
        <f t="shared" si="4"/>
        <v>0</v>
      </c>
      <c r="J30" s="37">
        <f t="shared" si="17"/>
        <v>303517</v>
      </c>
      <c r="K30" s="16">
        <f t="shared" si="5"/>
        <v>0</v>
      </c>
      <c r="L30" s="37">
        <f t="shared" si="18"/>
        <v>25469</v>
      </c>
      <c r="M30" s="16">
        <f t="shared" si="6"/>
        <v>0</v>
      </c>
      <c r="N30" s="37">
        <f t="shared" si="19"/>
        <v>215967</v>
      </c>
      <c r="O30" s="16">
        <f t="shared" si="7"/>
        <v>0</v>
      </c>
      <c r="P30" s="37">
        <f t="shared" si="12"/>
        <v>0</v>
      </c>
      <c r="Q30" s="16">
        <f t="shared" si="8"/>
        <v>0</v>
      </c>
      <c r="R30" s="1">
        <f t="shared" si="20"/>
        <v>55047</v>
      </c>
      <c r="S30" s="16">
        <f t="shared" si="9"/>
        <v>0</v>
      </c>
      <c r="T30" s="37">
        <f t="shared" si="11"/>
        <v>3800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3"/>
        <v>46025</v>
      </c>
      <c r="C31" s="16">
        <f t="shared" si="1"/>
        <v>0</v>
      </c>
      <c r="D31" s="37">
        <f t="shared" si="14"/>
        <v>39929</v>
      </c>
      <c r="E31" s="16">
        <f t="shared" si="2"/>
        <v>0</v>
      </c>
      <c r="F31" s="37">
        <f t="shared" si="15"/>
        <v>20883</v>
      </c>
      <c r="G31" s="16">
        <f t="shared" si="3"/>
        <v>0</v>
      </c>
      <c r="H31" s="37">
        <f t="shared" si="16"/>
        <v>249750</v>
      </c>
      <c r="I31" s="16">
        <f t="shared" si="4"/>
        <v>0</v>
      </c>
      <c r="J31" s="37">
        <f t="shared" si="17"/>
        <v>303517</v>
      </c>
      <c r="K31" s="16">
        <f t="shared" si="5"/>
        <v>0</v>
      </c>
      <c r="L31" s="37">
        <f t="shared" si="18"/>
        <v>25469</v>
      </c>
      <c r="M31" s="16">
        <f t="shared" si="6"/>
        <v>0</v>
      </c>
      <c r="N31" s="37">
        <f t="shared" si="19"/>
        <v>215967</v>
      </c>
      <c r="O31" s="16">
        <f t="shared" si="7"/>
        <v>0</v>
      </c>
      <c r="P31" s="37">
        <f t="shared" si="12"/>
        <v>0</v>
      </c>
      <c r="Q31" s="16">
        <f t="shared" si="8"/>
        <v>0</v>
      </c>
      <c r="R31" s="1">
        <f t="shared" si="20"/>
        <v>55047</v>
      </c>
      <c r="S31" s="16">
        <f t="shared" si="9"/>
        <v>0</v>
      </c>
      <c r="T31" s="37">
        <f t="shared" si="11"/>
        <v>3800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3"/>
        <v>46025</v>
      </c>
      <c r="C32" s="16">
        <f t="shared" si="1"/>
        <v>0</v>
      </c>
      <c r="D32" s="37">
        <f t="shared" si="14"/>
        <v>39929</v>
      </c>
      <c r="E32" s="16">
        <f t="shared" si="2"/>
        <v>0</v>
      </c>
      <c r="F32" s="37">
        <f t="shared" si="15"/>
        <v>20883</v>
      </c>
      <c r="G32" s="16">
        <f t="shared" si="3"/>
        <v>0</v>
      </c>
      <c r="H32" s="37">
        <f t="shared" si="16"/>
        <v>249750</v>
      </c>
      <c r="I32" s="16">
        <f t="shared" si="4"/>
        <v>0</v>
      </c>
      <c r="J32" s="37">
        <f t="shared" si="17"/>
        <v>303517</v>
      </c>
      <c r="K32" s="16">
        <f t="shared" si="5"/>
        <v>0</v>
      </c>
      <c r="L32" s="37">
        <f t="shared" si="18"/>
        <v>25469</v>
      </c>
      <c r="M32" s="16">
        <f t="shared" si="6"/>
        <v>0</v>
      </c>
      <c r="N32" s="37">
        <f t="shared" si="19"/>
        <v>215967</v>
      </c>
      <c r="O32" s="16">
        <f t="shared" si="7"/>
        <v>0</v>
      </c>
      <c r="P32" s="37">
        <f t="shared" si="12"/>
        <v>0</v>
      </c>
      <c r="Q32" s="16">
        <f t="shared" si="8"/>
        <v>0</v>
      </c>
      <c r="R32" s="1">
        <f t="shared" si="20"/>
        <v>55047</v>
      </c>
      <c r="S32" s="16">
        <v>0</v>
      </c>
      <c r="T32" s="37">
        <f t="shared" si="11"/>
        <v>3800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3"/>
        <v>46025</v>
      </c>
      <c r="C33" s="16">
        <f t="shared" si="1"/>
        <v>0</v>
      </c>
      <c r="D33" s="37">
        <f t="shared" si="14"/>
        <v>39929</v>
      </c>
      <c r="E33" s="16">
        <f t="shared" si="2"/>
        <v>0</v>
      </c>
      <c r="F33" s="37">
        <f t="shared" si="15"/>
        <v>20883</v>
      </c>
      <c r="G33" s="16">
        <f t="shared" si="3"/>
        <v>0</v>
      </c>
      <c r="H33" s="37">
        <f t="shared" si="16"/>
        <v>249750</v>
      </c>
      <c r="I33" s="16">
        <f t="shared" si="4"/>
        <v>0</v>
      </c>
      <c r="J33" s="37">
        <f t="shared" si="17"/>
        <v>303517</v>
      </c>
      <c r="K33" s="16">
        <f t="shared" si="5"/>
        <v>0</v>
      </c>
      <c r="L33" s="37">
        <f t="shared" si="18"/>
        <v>25469</v>
      </c>
      <c r="M33" s="16">
        <f t="shared" si="6"/>
        <v>0</v>
      </c>
      <c r="N33" s="37">
        <f t="shared" si="19"/>
        <v>215967</v>
      </c>
      <c r="O33" s="16">
        <f t="shared" si="7"/>
        <v>0</v>
      </c>
      <c r="P33" s="37">
        <f t="shared" si="12"/>
        <v>0</v>
      </c>
      <c r="Q33" s="16">
        <f t="shared" si="8"/>
        <v>0</v>
      </c>
      <c r="R33" s="1">
        <f t="shared" si="20"/>
        <v>55047</v>
      </c>
      <c r="S33" s="16">
        <v>0</v>
      </c>
      <c r="T33" s="37">
        <f t="shared" si="11"/>
        <v>3800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6880</v>
      </c>
      <c r="D34" s="13"/>
      <c r="E34" s="11">
        <f>SUM(E3:E33)</f>
        <v>5920</v>
      </c>
      <c r="F34" s="13"/>
      <c r="G34" s="11">
        <f>SUM(G3:G33)</f>
        <v>860</v>
      </c>
      <c r="H34" s="13"/>
      <c r="I34" s="11">
        <f>SUM(I3:I33)</f>
        <v>688</v>
      </c>
      <c r="J34" s="13"/>
      <c r="K34" s="11">
        <f>SUM(K3:K33)</f>
        <v>0</v>
      </c>
      <c r="L34" s="13"/>
      <c r="M34" s="11">
        <f>SUM(M3:M33)</f>
        <v>6080</v>
      </c>
      <c r="N34" s="38"/>
      <c r="O34" s="11">
        <f>SUM(O3:O33)</f>
        <v>36</v>
      </c>
      <c r="P34" s="13"/>
      <c r="Q34" s="11">
        <f>SUM(Q3:Q33)</f>
        <v>-125367</v>
      </c>
      <c r="R34" s="1"/>
      <c r="S34" s="11">
        <f>SUM(S3:S33)</f>
        <v>0</v>
      </c>
      <c r="T34" s="1"/>
      <c r="U34" s="11">
        <f>SUM(U3:U33)</f>
        <v>1920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Y13" sqref="Y13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0</v>
      </c>
      <c r="C14" s="152">
        <f t="shared" si="18"/>
        <v>18979</v>
      </c>
      <c r="D14" s="44">
        <f t="shared" si="4"/>
        <v>0</v>
      </c>
      <c r="E14" s="153">
        <f t="shared" ref="E13:E33" si="19">E13</f>
        <v>28319531</v>
      </c>
      <c r="F14" s="44">
        <f t="shared" si="5"/>
        <v>0</v>
      </c>
      <c r="G14" s="154">
        <f t="shared" ref="G13:G33" si="20">G13</f>
        <v>89814400</v>
      </c>
      <c r="H14" s="44">
        <f t="shared" si="6"/>
        <v>0</v>
      </c>
      <c r="I14" s="155">
        <f t="shared" si="7"/>
        <v>0</v>
      </c>
      <c r="J14" s="153">
        <f t="shared" ref="J13:J33" si="21">J13</f>
        <v>8839980</v>
      </c>
      <c r="K14" s="44">
        <f t="shared" si="8"/>
        <v>0</v>
      </c>
      <c r="L14" s="156">
        <f t="shared" ref="L13:L33" si="22">L13</f>
        <v>8780161</v>
      </c>
      <c r="M14" s="44">
        <f t="shared" si="9"/>
        <v>0</v>
      </c>
      <c r="N14" s="153">
        <f t="shared" ref="N13:N33" si="23">N13</f>
        <v>5932016</v>
      </c>
      <c r="O14" s="44">
        <f t="shared" si="16"/>
        <v>0</v>
      </c>
      <c r="P14" s="156">
        <f t="shared" ref="P13:P33" si="24">P13</f>
        <v>5203923</v>
      </c>
      <c r="Q14" s="44">
        <f t="shared" si="10"/>
        <v>0</v>
      </c>
      <c r="R14" s="153">
        <f t="shared" ref="R13:R33" si="25">R13</f>
        <v>18946538</v>
      </c>
      <c r="S14" s="44">
        <f>IF((R14-R13)&lt;0,"0",(R14-R13))</f>
        <v>0</v>
      </c>
      <c r="T14" s="153">
        <v>0</v>
      </c>
      <c r="U14" s="157"/>
      <c r="V14" s="153">
        <f t="shared" ref="V13:V33" si="26">V13</f>
        <v>6760841</v>
      </c>
      <c r="W14" s="44">
        <f t="shared" si="12"/>
        <v>0</v>
      </c>
      <c r="X14" s="22">
        <f t="shared" si="13"/>
        <v>0</v>
      </c>
      <c r="Y14" s="158">
        <f t="shared" si="14"/>
        <v>0</v>
      </c>
      <c r="Z14" s="3">
        <f t="shared" si="15"/>
        <v>0</v>
      </c>
      <c r="AA14" s="3">
        <f t="shared" si="17"/>
        <v>25451.4251472</v>
      </c>
    </row>
    <row r="15" spans="1:27" ht="16.5" thickBot="1" x14ac:dyDescent="0.3">
      <c r="A15" s="10">
        <v>44482</v>
      </c>
      <c r="B15" s="44">
        <v>0</v>
      </c>
      <c r="C15" s="152">
        <f t="shared" si="18"/>
        <v>18979</v>
      </c>
      <c r="D15" s="44">
        <f t="shared" si="4"/>
        <v>0</v>
      </c>
      <c r="E15" s="153">
        <f t="shared" si="19"/>
        <v>28319531</v>
      </c>
      <c r="F15" s="44">
        <f t="shared" si="5"/>
        <v>0</v>
      </c>
      <c r="G15" s="154">
        <f t="shared" si="20"/>
        <v>89814400</v>
      </c>
      <c r="H15" s="44">
        <f t="shared" si="6"/>
        <v>0</v>
      </c>
      <c r="I15" s="155">
        <f t="shared" si="7"/>
        <v>0</v>
      </c>
      <c r="J15" s="153">
        <f t="shared" si="21"/>
        <v>8839980</v>
      </c>
      <c r="K15" s="44">
        <f t="shared" si="8"/>
        <v>0</v>
      </c>
      <c r="L15" s="156">
        <f t="shared" si="22"/>
        <v>8780161</v>
      </c>
      <c r="M15" s="44">
        <f t="shared" si="9"/>
        <v>0</v>
      </c>
      <c r="N15" s="153">
        <f t="shared" si="23"/>
        <v>5932016</v>
      </c>
      <c r="O15" s="44">
        <f t="shared" si="16"/>
        <v>0</v>
      </c>
      <c r="P15" s="156">
        <f t="shared" si="24"/>
        <v>5203923</v>
      </c>
      <c r="Q15" s="44">
        <f t="shared" si="10"/>
        <v>0</v>
      </c>
      <c r="R15" s="153">
        <f t="shared" si="25"/>
        <v>18946538</v>
      </c>
      <c r="S15" s="44">
        <f>IF((R15-R14)&lt;0,"0",(R15-R14))</f>
        <v>0</v>
      </c>
      <c r="T15" s="153">
        <v>0</v>
      </c>
      <c r="U15" s="157"/>
      <c r="V15" s="153">
        <f t="shared" si="26"/>
        <v>6760841</v>
      </c>
      <c r="W15" s="44">
        <f t="shared" si="12"/>
        <v>0</v>
      </c>
      <c r="X15" s="22">
        <f t="shared" si="13"/>
        <v>0</v>
      </c>
      <c r="Y15" s="158">
        <f t="shared" si="14"/>
        <v>0</v>
      </c>
      <c r="Z15" s="3">
        <f t="shared" si="15"/>
        <v>0</v>
      </c>
      <c r="AA15" s="3">
        <f t="shared" si="17"/>
        <v>18011.802556800001</v>
      </c>
    </row>
    <row r="16" spans="1:27" ht="16.5" thickBot="1" x14ac:dyDescent="0.3">
      <c r="A16" s="10">
        <v>44483</v>
      </c>
      <c r="B16" s="44">
        <v>0</v>
      </c>
      <c r="C16" s="152">
        <f t="shared" si="18"/>
        <v>18979</v>
      </c>
      <c r="D16" s="44">
        <f t="shared" si="4"/>
        <v>0</v>
      </c>
      <c r="E16" s="153">
        <f t="shared" si="19"/>
        <v>28319531</v>
      </c>
      <c r="F16" s="44">
        <f t="shared" si="5"/>
        <v>0</v>
      </c>
      <c r="G16" s="154">
        <f t="shared" si="20"/>
        <v>89814400</v>
      </c>
      <c r="H16" s="44">
        <f t="shared" si="6"/>
        <v>0</v>
      </c>
      <c r="I16" s="155">
        <f t="shared" si="7"/>
        <v>0</v>
      </c>
      <c r="J16" s="153">
        <f t="shared" si="21"/>
        <v>8839980</v>
      </c>
      <c r="K16" s="44">
        <f t="shared" si="8"/>
        <v>0</v>
      </c>
      <c r="L16" s="156">
        <f t="shared" si="22"/>
        <v>8780161</v>
      </c>
      <c r="M16" s="44">
        <f t="shared" si="9"/>
        <v>0</v>
      </c>
      <c r="N16" s="153">
        <f t="shared" si="23"/>
        <v>5932016</v>
      </c>
      <c r="O16" s="44">
        <f t="shared" si="16"/>
        <v>0</v>
      </c>
      <c r="P16" s="156">
        <f t="shared" si="24"/>
        <v>5203923</v>
      </c>
      <c r="Q16" s="44">
        <f t="shared" si="10"/>
        <v>0</v>
      </c>
      <c r="R16" s="153">
        <f t="shared" si="25"/>
        <v>18946538</v>
      </c>
      <c r="S16" s="44">
        <f t="shared" si="11"/>
        <v>0</v>
      </c>
      <c r="T16" s="153">
        <v>0</v>
      </c>
      <c r="U16" s="157"/>
      <c r="V16" s="153">
        <f t="shared" si="26"/>
        <v>6760841</v>
      </c>
      <c r="W16" s="44">
        <f t="shared" si="12"/>
        <v>0</v>
      </c>
      <c r="X16" s="22">
        <f t="shared" si="13"/>
        <v>0</v>
      </c>
      <c r="Y16" s="158">
        <f t="shared" si="14"/>
        <v>0</v>
      </c>
      <c r="Z16" s="3">
        <f t="shared" si="15"/>
        <v>0</v>
      </c>
      <c r="AA16" s="3">
        <f t="shared" si="17"/>
        <v>10290.6545664</v>
      </c>
    </row>
    <row r="17" spans="1:27" s="136" customFormat="1" ht="16.5" thickBot="1" x14ac:dyDescent="0.3">
      <c r="A17" s="10">
        <v>44484</v>
      </c>
      <c r="B17" s="44">
        <v>0</v>
      </c>
      <c r="C17" s="152">
        <f t="shared" si="18"/>
        <v>18979</v>
      </c>
      <c r="D17" s="44">
        <f t="shared" si="4"/>
        <v>0</v>
      </c>
      <c r="E17" s="153">
        <f t="shared" si="19"/>
        <v>28319531</v>
      </c>
      <c r="F17" s="44">
        <f t="shared" si="5"/>
        <v>0</v>
      </c>
      <c r="G17" s="154">
        <f t="shared" si="20"/>
        <v>89814400</v>
      </c>
      <c r="H17" s="44">
        <f t="shared" si="6"/>
        <v>0</v>
      </c>
      <c r="I17" s="159">
        <f t="shared" si="7"/>
        <v>0</v>
      </c>
      <c r="J17" s="153">
        <f t="shared" si="21"/>
        <v>8839980</v>
      </c>
      <c r="K17" s="44">
        <f t="shared" si="8"/>
        <v>0</v>
      </c>
      <c r="L17" s="156">
        <f t="shared" si="22"/>
        <v>8780161</v>
      </c>
      <c r="M17" s="135">
        <f t="shared" si="9"/>
        <v>0</v>
      </c>
      <c r="N17" s="153">
        <f t="shared" si="23"/>
        <v>5932016</v>
      </c>
      <c r="O17" s="135">
        <f t="shared" si="16"/>
        <v>0</v>
      </c>
      <c r="P17" s="156">
        <f t="shared" si="24"/>
        <v>5203923</v>
      </c>
      <c r="Q17" s="135">
        <f t="shared" si="10"/>
        <v>0</v>
      </c>
      <c r="R17" s="153">
        <f t="shared" si="25"/>
        <v>18946538</v>
      </c>
      <c r="S17" s="135">
        <f t="shared" si="11"/>
        <v>0</v>
      </c>
      <c r="T17" s="160">
        <v>0</v>
      </c>
      <c r="U17" s="157"/>
      <c r="V17" s="153">
        <f t="shared" si="26"/>
        <v>6760841</v>
      </c>
      <c r="W17" s="135">
        <f t="shared" si="12"/>
        <v>0</v>
      </c>
      <c r="X17" s="22">
        <f t="shared" si="13"/>
        <v>0</v>
      </c>
      <c r="Y17" s="161">
        <f t="shared" si="14"/>
        <v>0</v>
      </c>
      <c r="Z17" s="162">
        <f t="shared" si="15"/>
        <v>0</v>
      </c>
      <c r="AA17" s="162">
        <f t="shared" si="17"/>
        <v>0</v>
      </c>
    </row>
    <row r="18" spans="1:27" s="136" customFormat="1" ht="16.5" thickBot="1" x14ac:dyDescent="0.3">
      <c r="A18" s="10">
        <v>44485</v>
      </c>
      <c r="B18" s="44">
        <v>0</v>
      </c>
      <c r="C18" s="152">
        <f t="shared" si="18"/>
        <v>18979</v>
      </c>
      <c r="D18" s="44">
        <f t="shared" si="4"/>
        <v>0</v>
      </c>
      <c r="E18" s="153">
        <f t="shared" si="19"/>
        <v>28319531</v>
      </c>
      <c r="F18" s="44">
        <f t="shared" si="5"/>
        <v>0</v>
      </c>
      <c r="G18" s="154">
        <f t="shared" si="20"/>
        <v>89814400</v>
      </c>
      <c r="H18" s="44">
        <f t="shared" si="6"/>
        <v>0</v>
      </c>
      <c r="I18" s="159">
        <f t="shared" si="7"/>
        <v>0</v>
      </c>
      <c r="J18" s="153">
        <f t="shared" si="21"/>
        <v>8839980</v>
      </c>
      <c r="K18" s="44">
        <f t="shared" si="8"/>
        <v>0</v>
      </c>
      <c r="L18" s="156">
        <f t="shared" si="22"/>
        <v>8780161</v>
      </c>
      <c r="M18" s="135">
        <f t="shared" si="9"/>
        <v>0</v>
      </c>
      <c r="N18" s="153">
        <f t="shared" si="23"/>
        <v>5932016</v>
      </c>
      <c r="O18" s="135">
        <f t="shared" si="16"/>
        <v>0</v>
      </c>
      <c r="P18" s="156">
        <f t="shared" si="24"/>
        <v>5203923</v>
      </c>
      <c r="Q18" s="135">
        <f t="shared" si="10"/>
        <v>0</v>
      </c>
      <c r="R18" s="153">
        <f t="shared" si="25"/>
        <v>18946538</v>
      </c>
      <c r="S18" s="135">
        <f t="shared" si="11"/>
        <v>0</v>
      </c>
      <c r="T18" s="160">
        <v>0</v>
      </c>
      <c r="U18" s="157"/>
      <c r="V18" s="153">
        <f t="shared" si="26"/>
        <v>6760841</v>
      </c>
      <c r="W18" s="135">
        <f t="shared" si="12"/>
        <v>0</v>
      </c>
      <c r="X18" s="22">
        <f t="shared" si="13"/>
        <v>0</v>
      </c>
      <c r="Y18" s="161">
        <f t="shared" si="14"/>
        <v>0</v>
      </c>
      <c r="Z18" s="162">
        <f t="shared" si="15"/>
        <v>0</v>
      </c>
      <c r="AA18" s="162">
        <f t="shared" si="17"/>
        <v>0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18"/>
        <v>18979</v>
      </c>
      <c r="D19" s="44">
        <f t="shared" si="4"/>
        <v>0</v>
      </c>
      <c r="E19" s="153">
        <f t="shared" si="19"/>
        <v>28319531</v>
      </c>
      <c r="F19" s="44">
        <f t="shared" si="5"/>
        <v>0</v>
      </c>
      <c r="G19" s="154">
        <f t="shared" si="20"/>
        <v>89814400</v>
      </c>
      <c r="H19" s="44">
        <f t="shared" si="6"/>
        <v>0</v>
      </c>
      <c r="I19" s="159">
        <f t="shared" si="7"/>
        <v>0</v>
      </c>
      <c r="J19" s="153">
        <f t="shared" si="21"/>
        <v>8839980</v>
      </c>
      <c r="K19" s="44">
        <f t="shared" si="8"/>
        <v>0</v>
      </c>
      <c r="L19" s="156">
        <f t="shared" si="22"/>
        <v>8780161</v>
      </c>
      <c r="M19" s="135">
        <f t="shared" si="9"/>
        <v>0</v>
      </c>
      <c r="N19" s="153">
        <f t="shared" si="23"/>
        <v>5932016</v>
      </c>
      <c r="O19" s="135">
        <f t="shared" si="16"/>
        <v>0</v>
      </c>
      <c r="P19" s="156">
        <f t="shared" si="24"/>
        <v>5203923</v>
      </c>
      <c r="Q19" s="135">
        <f t="shared" si="10"/>
        <v>0</v>
      </c>
      <c r="R19" s="153">
        <f t="shared" si="25"/>
        <v>18946538</v>
      </c>
      <c r="S19" s="135">
        <f t="shared" si="11"/>
        <v>0</v>
      </c>
      <c r="T19" s="160">
        <v>0</v>
      </c>
      <c r="U19" s="157"/>
      <c r="V19" s="153">
        <f t="shared" si="26"/>
        <v>6760841</v>
      </c>
      <c r="W19" s="135">
        <f t="shared" si="12"/>
        <v>0</v>
      </c>
      <c r="X19" s="22">
        <f t="shared" si="13"/>
        <v>0</v>
      </c>
      <c r="Y19" s="161">
        <f t="shared" si="14"/>
        <v>0</v>
      </c>
      <c r="Z19" s="162">
        <f t="shared" si="15"/>
        <v>0</v>
      </c>
      <c r="AA19" s="162">
        <f t="shared" si="17"/>
        <v>0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18"/>
        <v>18979</v>
      </c>
      <c r="D20" s="44">
        <f t="shared" si="4"/>
        <v>0</v>
      </c>
      <c r="E20" s="153">
        <f t="shared" si="19"/>
        <v>28319531</v>
      </c>
      <c r="F20" s="44">
        <f t="shared" si="5"/>
        <v>0</v>
      </c>
      <c r="G20" s="154">
        <f t="shared" si="20"/>
        <v>89814400</v>
      </c>
      <c r="H20" s="44">
        <f t="shared" si="6"/>
        <v>0</v>
      </c>
      <c r="I20" s="159">
        <f t="shared" si="7"/>
        <v>0</v>
      </c>
      <c r="J20" s="153">
        <f t="shared" si="21"/>
        <v>8839980</v>
      </c>
      <c r="K20" s="44">
        <f t="shared" si="8"/>
        <v>0</v>
      </c>
      <c r="L20" s="156">
        <f t="shared" si="22"/>
        <v>8780161</v>
      </c>
      <c r="M20" s="135">
        <f t="shared" si="9"/>
        <v>0</v>
      </c>
      <c r="N20" s="153">
        <f t="shared" si="23"/>
        <v>5932016</v>
      </c>
      <c r="O20" s="135">
        <f t="shared" si="16"/>
        <v>0</v>
      </c>
      <c r="P20" s="156">
        <f t="shared" si="24"/>
        <v>5203923</v>
      </c>
      <c r="Q20" s="135">
        <f t="shared" si="10"/>
        <v>0</v>
      </c>
      <c r="R20" s="153">
        <f t="shared" si="25"/>
        <v>18946538</v>
      </c>
      <c r="S20" s="135">
        <f t="shared" si="11"/>
        <v>0</v>
      </c>
      <c r="T20" s="160">
        <v>0</v>
      </c>
      <c r="U20" s="157"/>
      <c r="V20" s="153">
        <f t="shared" si="26"/>
        <v>6760841</v>
      </c>
      <c r="W20" s="135">
        <f t="shared" si="12"/>
        <v>0</v>
      </c>
      <c r="X20" s="22">
        <f t="shared" si="13"/>
        <v>0</v>
      </c>
      <c r="Y20" s="161">
        <f t="shared" si="14"/>
        <v>0</v>
      </c>
      <c r="Z20" s="162">
        <f t="shared" si="15"/>
        <v>0</v>
      </c>
      <c r="AA20" s="162">
        <f t="shared" si="17"/>
        <v>0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18"/>
        <v>18979</v>
      </c>
      <c r="D21" s="44">
        <f t="shared" si="4"/>
        <v>0</v>
      </c>
      <c r="E21" s="153">
        <f t="shared" si="19"/>
        <v>28319531</v>
      </c>
      <c r="F21" s="44">
        <f t="shared" si="5"/>
        <v>0</v>
      </c>
      <c r="G21" s="154">
        <f t="shared" si="20"/>
        <v>89814400</v>
      </c>
      <c r="H21" s="44">
        <f t="shared" si="6"/>
        <v>0</v>
      </c>
      <c r="I21" s="159">
        <f t="shared" si="7"/>
        <v>0</v>
      </c>
      <c r="J21" s="153">
        <f t="shared" si="21"/>
        <v>8839980</v>
      </c>
      <c r="K21" s="44">
        <f t="shared" si="8"/>
        <v>0</v>
      </c>
      <c r="L21" s="156">
        <f t="shared" si="22"/>
        <v>8780161</v>
      </c>
      <c r="M21" s="135">
        <f t="shared" si="9"/>
        <v>0</v>
      </c>
      <c r="N21" s="153">
        <f t="shared" si="23"/>
        <v>5932016</v>
      </c>
      <c r="O21" s="135">
        <f t="shared" si="16"/>
        <v>0</v>
      </c>
      <c r="P21" s="156">
        <f t="shared" si="24"/>
        <v>5203923</v>
      </c>
      <c r="Q21" s="135">
        <f t="shared" si="10"/>
        <v>0</v>
      </c>
      <c r="R21" s="153">
        <f t="shared" si="25"/>
        <v>18946538</v>
      </c>
      <c r="S21" s="135">
        <f t="shared" si="11"/>
        <v>0</v>
      </c>
      <c r="T21" s="160">
        <v>0</v>
      </c>
      <c r="U21" s="157"/>
      <c r="V21" s="153">
        <f t="shared" si="26"/>
        <v>6760841</v>
      </c>
      <c r="W21" s="135">
        <f t="shared" si="12"/>
        <v>0</v>
      </c>
      <c r="X21" s="22">
        <f t="shared" si="13"/>
        <v>0</v>
      </c>
      <c r="Y21" s="161">
        <f t="shared" si="14"/>
        <v>0</v>
      </c>
      <c r="Z21" s="162">
        <f t="shared" si="15"/>
        <v>0</v>
      </c>
      <c r="AA21" s="162">
        <f t="shared" si="17"/>
        <v>0</v>
      </c>
    </row>
    <row r="22" spans="1:27" ht="16.5" thickBot="1" x14ac:dyDescent="0.3">
      <c r="A22" s="10">
        <v>44489</v>
      </c>
      <c r="B22" s="44">
        <v>0</v>
      </c>
      <c r="C22" s="152">
        <f t="shared" si="18"/>
        <v>18979</v>
      </c>
      <c r="D22" s="44">
        <f t="shared" si="4"/>
        <v>0</v>
      </c>
      <c r="E22" s="153">
        <f t="shared" si="19"/>
        <v>28319531</v>
      </c>
      <c r="F22" s="44">
        <f t="shared" si="5"/>
        <v>0</v>
      </c>
      <c r="G22" s="154">
        <f t="shared" si="20"/>
        <v>89814400</v>
      </c>
      <c r="H22" s="44">
        <f t="shared" si="6"/>
        <v>0</v>
      </c>
      <c r="I22" s="155">
        <f t="shared" si="7"/>
        <v>0</v>
      </c>
      <c r="J22" s="153">
        <f t="shared" si="21"/>
        <v>8839980</v>
      </c>
      <c r="K22" s="44">
        <f t="shared" si="8"/>
        <v>0</v>
      </c>
      <c r="L22" s="156">
        <f t="shared" si="22"/>
        <v>8780161</v>
      </c>
      <c r="M22" s="44">
        <f t="shared" si="9"/>
        <v>0</v>
      </c>
      <c r="N22" s="153">
        <f t="shared" si="23"/>
        <v>5932016</v>
      </c>
      <c r="O22" s="44">
        <f t="shared" si="16"/>
        <v>0</v>
      </c>
      <c r="P22" s="156">
        <f t="shared" si="24"/>
        <v>5203923</v>
      </c>
      <c r="Q22" s="44">
        <f t="shared" si="10"/>
        <v>0</v>
      </c>
      <c r="R22" s="153">
        <f t="shared" si="25"/>
        <v>18946538</v>
      </c>
      <c r="S22" s="44">
        <f t="shared" si="11"/>
        <v>0</v>
      </c>
      <c r="T22" s="153">
        <v>0</v>
      </c>
      <c r="U22" s="157"/>
      <c r="V22" s="153">
        <f t="shared" si="26"/>
        <v>6760841</v>
      </c>
      <c r="W22" s="44">
        <f t="shared" si="12"/>
        <v>0</v>
      </c>
      <c r="X22" s="22">
        <f t="shared" si="13"/>
        <v>0</v>
      </c>
      <c r="Y22" s="158">
        <f t="shared" si="14"/>
        <v>0</v>
      </c>
      <c r="Z22" s="3">
        <f t="shared" si="15"/>
        <v>0</v>
      </c>
      <c r="AA22" s="3">
        <f t="shared" si="17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18"/>
        <v>18979</v>
      </c>
      <c r="D23" s="44">
        <f t="shared" si="4"/>
        <v>0</v>
      </c>
      <c r="E23" s="153">
        <f t="shared" si="19"/>
        <v>28319531</v>
      </c>
      <c r="F23" s="44">
        <f t="shared" si="5"/>
        <v>0</v>
      </c>
      <c r="G23" s="154">
        <f t="shared" si="20"/>
        <v>89814400</v>
      </c>
      <c r="H23" s="44">
        <f t="shared" si="6"/>
        <v>0</v>
      </c>
      <c r="I23" s="155">
        <f t="shared" si="7"/>
        <v>0</v>
      </c>
      <c r="J23" s="153">
        <f t="shared" si="21"/>
        <v>8839980</v>
      </c>
      <c r="K23" s="44">
        <f t="shared" si="8"/>
        <v>0</v>
      </c>
      <c r="L23" s="156">
        <f t="shared" si="22"/>
        <v>8780161</v>
      </c>
      <c r="M23" s="44">
        <f t="shared" si="9"/>
        <v>0</v>
      </c>
      <c r="N23" s="153">
        <f t="shared" si="23"/>
        <v>5932016</v>
      </c>
      <c r="O23" s="44">
        <f t="shared" si="16"/>
        <v>0</v>
      </c>
      <c r="P23" s="156">
        <f t="shared" si="24"/>
        <v>5203923</v>
      </c>
      <c r="Q23" s="44">
        <f t="shared" si="10"/>
        <v>0</v>
      </c>
      <c r="R23" s="153">
        <f t="shared" si="25"/>
        <v>18946538</v>
      </c>
      <c r="S23" s="44">
        <f t="shared" si="11"/>
        <v>0</v>
      </c>
      <c r="T23" s="153">
        <v>0</v>
      </c>
      <c r="U23" s="157"/>
      <c r="V23" s="153">
        <f t="shared" si="26"/>
        <v>6760841</v>
      </c>
      <c r="W23" s="44">
        <f t="shared" si="12"/>
        <v>0</v>
      </c>
      <c r="X23" s="22">
        <f t="shared" si="13"/>
        <v>0</v>
      </c>
      <c r="Y23" s="158">
        <f t="shared" si="14"/>
        <v>0</v>
      </c>
      <c r="Z23" s="3">
        <f t="shared" si="15"/>
        <v>0</v>
      </c>
      <c r="AA23" s="3">
        <f t="shared" si="17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18"/>
        <v>18979</v>
      </c>
      <c r="D24" s="44">
        <f t="shared" si="4"/>
        <v>0</v>
      </c>
      <c r="E24" s="153">
        <f t="shared" si="19"/>
        <v>28319531</v>
      </c>
      <c r="F24" s="44">
        <f t="shared" si="5"/>
        <v>0</v>
      </c>
      <c r="G24" s="154">
        <f t="shared" si="20"/>
        <v>89814400</v>
      </c>
      <c r="H24" s="44">
        <f t="shared" si="6"/>
        <v>0</v>
      </c>
      <c r="I24" s="155">
        <f t="shared" si="7"/>
        <v>0</v>
      </c>
      <c r="J24" s="153">
        <f t="shared" si="21"/>
        <v>8839980</v>
      </c>
      <c r="K24" s="44">
        <f t="shared" si="8"/>
        <v>0</v>
      </c>
      <c r="L24" s="156">
        <f t="shared" si="22"/>
        <v>8780161</v>
      </c>
      <c r="M24" s="44">
        <f t="shared" si="9"/>
        <v>0</v>
      </c>
      <c r="N24" s="153">
        <f t="shared" si="23"/>
        <v>5932016</v>
      </c>
      <c r="O24" s="44">
        <f t="shared" si="16"/>
        <v>0</v>
      </c>
      <c r="P24" s="156">
        <f t="shared" si="24"/>
        <v>5203923</v>
      </c>
      <c r="Q24" s="44">
        <f t="shared" si="10"/>
        <v>0</v>
      </c>
      <c r="R24" s="153">
        <f t="shared" si="25"/>
        <v>18946538</v>
      </c>
      <c r="S24" s="44">
        <f t="shared" si="11"/>
        <v>0</v>
      </c>
      <c r="T24" s="153">
        <v>0</v>
      </c>
      <c r="U24" s="157"/>
      <c r="V24" s="153">
        <f t="shared" si="26"/>
        <v>6760841</v>
      </c>
      <c r="W24" s="44">
        <f t="shared" si="12"/>
        <v>0</v>
      </c>
      <c r="X24" s="22">
        <f t="shared" si="13"/>
        <v>0</v>
      </c>
      <c r="Y24" s="158">
        <f t="shared" si="14"/>
        <v>0</v>
      </c>
      <c r="Z24" s="3">
        <f t="shared" si="15"/>
        <v>0</v>
      </c>
      <c r="AA24" s="3">
        <f t="shared" si="17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18"/>
        <v>18979</v>
      </c>
      <c r="D25" s="44">
        <f t="shared" si="4"/>
        <v>0</v>
      </c>
      <c r="E25" s="153">
        <f t="shared" si="19"/>
        <v>28319531</v>
      </c>
      <c r="F25" s="44">
        <f t="shared" si="5"/>
        <v>0</v>
      </c>
      <c r="G25" s="154">
        <f t="shared" si="20"/>
        <v>89814400</v>
      </c>
      <c r="H25" s="44">
        <f t="shared" si="6"/>
        <v>0</v>
      </c>
      <c r="I25" s="155">
        <f t="shared" si="7"/>
        <v>0</v>
      </c>
      <c r="J25" s="153">
        <f t="shared" si="21"/>
        <v>8839980</v>
      </c>
      <c r="K25" s="44">
        <f t="shared" si="8"/>
        <v>0</v>
      </c>
      <c r="L25" s="156">
        <f t="shared" si="22"/>
        <v>8780161</v>
      </c>
      <c r="M25" s="44">
        <f t="shared" si="9"/>
        <v>0</v>
      </c>
      <c r="N25" s="153">
        <f t="shared" si="23"/>
        <v>5932016</v>
      </c>
      <c r="O25" s="44">
        <f t="shared" si="16"/>
        <v>0</v>
      </c>
      <c r="P25" s="156">
        <f t="shared" si="24"/>
        <v>5203923</v>
      </c>
      <c r="Q25" s="44">
        <f t="shared" si="10"/>
        <v>0</v>
      </c>
      <c r="R25" s="153">
        <f t="shared" si="25"/>
        <v>18946538</v>
      </c>
      <c r="S25" s="44">
        <f t="shared" si="11"/>
        <v>0</v>
      </c>
      <c r="T25" s="153">
        <v>0</v>
      </c>
      <c r="U25" s="157"/>
      <c r="V25" s="153">
        <f t="shared" si="26"/>
        <v>6760841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17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18"/>
        <v>18979</v>
      </c>
      <c r="D26" s="44">
        <f t="shared" si="4"/>
        <v>0</v>
      </c>
      <c r="E26" s="153">
        <f t="shared" si="19"/>
        <v>28319531</v>
      </c>
      <c r="F26" s="44">
        <f t="shared" si="5"/>
        <v>0</v>
      </c>
      <c r="G26" s="154">
        <f t="shared" si="20"/>
        <v>89814400</v>
      </c>
      <c r="H26" s="44">
        <f t="shared" si="6"/>
        <v>0</v>
      </c>
      <c r="I26" s="155">
        <f t="shared" si="7"/>
        <v>0</v>
      </c>
      <c r="J26" s="153">
        <f t="shared" si="21"/>
        <v>8839980</v>
      </c>
      <c r="K26" s="44">
        <f t="shared" si="8"/>
        <v>0</v>
      </c>
      <c r="L26" s="156">
        <f t="shared" si="22"/>
        <v>8780161</v>
      </c>
      <c r="M26" s="44">
        <f t="shared" si="9"/>
        <v>0</v>
      </c>
      <c r="N26" s="153">
        <f t="shared" si="23"/>
        <v>5932016</v>
      </c>
      <c r="O26" s="44">
        <f t="shared" si="16"/>
        <v>0</v>
      </c>
      <c r="P26" s="156">
        <f t="shared" si="24"/>
        <v>5203923</v>
      </c>
      <c r="Q26" s="44">
        <f t="shared" si="10"/>
        <v>0</v>
      </c>
      <c r="R26" s="153">
        <f t="shared" si="25"/>
        <v>18946538</v>
      </c>
      <c r="S26" s="44">
        <f t="shared" si="11"/>
        <v>0</v>
      </c>
      <c r="T26" s="153">
        <v>0</v>
      </c>
      <c r="U26" s="157"/>
      <c r="V26" s="153">
        <f t="shared" si="26"/>
        <v>6760841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17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18"/>
        <v>18979</v>
      </c>
      <c r="D27" s="44">
        <f t="shared" si="4"/>
        <v>0</v>
      </c>
      <c r="E27" s="153">
        <f t="shared" si="19"/>
        <v>28319531</v>
      </c>
      <c r="F27" s="44">
        <f t="shared" si="5"/>
        <v>0</v>
      </c>
      <c r="G27" s="154">
        <f t="shared" si="20"/>
        <v>89814400</v>
      </c>
      <c r="H27" s="44">
        <f t="shared" si="6"/>
        <v>0</v>
      </c>
      <c r="I27" s="155">
        <f t="shared" si="7"/>
        <v>0</v>
      </c>
      <c r="J27" s="153">
        <f t="shared" si="21"/>
        <v>8839980</v>
      </c>
      <c r="K27" s="44">
        <f t="shared" si="8"/>
        <v>0</v>
      </c>
      <c r="L27" s="156">
        <f t="shared" si="22"/>
        <v>8780161</v>
      </c>
      <c r="M27" s="44">
        <f t="shared" si="9"/>
        <v>0</v>
      </c>
      <c r="N27" s="153">
        <f t="shared" si="23"/>
        <v>5932016</v>
      </c>
      <c r="O27" s="44">
        <f t="shared" si="16"/>
        <v>0</v>
      </c>
      <c r="P27" s="156">
        <f t="shared" si="24"/>
        <v>5203923</v>
      </c>
      <c r="Q27" s="44">
        <f t="shared" si="10"/>
        <v>0</v>
      </c>
      <c r="R27" s="153">
        <f t="shared" si="25"/>
        <v>18946538</v>
      </c>
      <c r="S27" s="44">
        <f t="shared" si="11"/>
        <v>0</v>
      </c>
      <c r="T27" s="153">
        <v>0</v>
      </c>
      <c r="U27" s="157"/>
      <c r="V27" s="153">
        <f t="shared" si="26"/>
        <v>6760841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17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18"/>
        <v>18979</v>
      </c>
      <c r="D28" s="44">
        <f t="shared" si="4"/>
        <v>0</v>
      </c>
      <c r="E28" s="153">
        <f t="shared" si="19"/>
        <v>28319531</v>
      </c>
      <c r="F28" s="44">
        <f t="shared" si="5"/>
        <v>0</v>
      </c>
      <c r="G28" s="154">
        <f t="shared" si="20"/>
        <v>89814400</v>
      </c>
      <c r="H28" s="44">
        <f t="shared" si="6"/>
        <v>0</v>
      </c>
      <c r="I28" s="155">
        <f t="shared" si="7"/>
        <v>0</v>
      </c>
      <c r="J28" s="153">
        <f t="shared" si="21"/>
        <v>8839980</v>
      </c>
      <c r="K28" s="44">
        <f t="shared" si="8"/>
        <v>0</v>
      </c>
      <c r="L28" s="156">
        <f t="shared" si="22"/>
        <v>8780161</v>
      </c>
      <c r="M28" s="44">
        <f t="shared" si="9"/>
        <v>0</v>
      </c>
      <c r="N28" s="153">
        <f t="shared" si="23"/>
        <v>5932016</v>
      </c>
      <c r="O28" s="44">
        <f t="shared" si="16"/>
        <v>0</v>
      </c>
      <c r="P28" s="156">
        <f t="shared" si="24"/>
        <v>5203923</v>
      </c>
      <c r="Q28" s="44">
        <f t="shared" si="10"/>
        <v>0</v>
      </c>
      <c r="R28" s="153">
        <f t="shared" si="25"/>
        <v>18946538</v>
      </c>
      <c r="S28" s="44">
        <f t="shared" si="11"/>
        <v>0</v>
      </c>
      <c r="T28" s="153">
        <v>0</v>
      </c>
      <c r="U28" s="157"/>
      <c r="V28" s="153">
        <f t="shared" si="26"/>
        <v>6760841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17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18"/>
        <v>18979</v>
      </c>
      <c r="D29" s="44">
        <f t="shared" si="4"/>
        <v>0</v>
      </c>
      <c r="E29" s="153">
        <f t="shared" si="19"/>
        <v>28319531</v>
      </c>
      <c r="F29" s="44">
        <f t="shared" si="5"/>
        <v>0</v>
      </c>
      <c r="G29" s="154">
        <f t="shared" si="20"/>
        <v>89814400</v>
      </c>
      <c r="H29" s="44">
        <f t="shared" si="6"/>
        <v>0</v>
      </c>
      <c r="I29" s="155">
        <f t="shared" si="7"/>
        <v>0</v>
      </c>
      <c r="J29" s="153">
        <f t="shared" si="21"/>
        <v>8839980</v>
      </c>
      <c r="K29" s="44">
        <f t="shared" si="8"/>
        <v>0</v>
      </c>
      <c r="L29" s="156">
        <f t="shared" si="22"/>
        <v>8780161</v>
      </c>
      <c r="M29" s="44">
        <f t="shared" si="9"/>
        <v>0</v>
      </c>
      <c r="N29" s="153">
        <f t="shared" si="23"/>
        <v>5932016</v>
      </c>
      <c r="O29" s="44">
        <f t="shared" si="16"/>
        <v>0</v>
      </c>
      <c r="P29" s="156">
        <f t="shared" si="24"/>
        <v>5203923</v>
      </c>
      <c r="Q29" s="44">
        <f t="shared" si="10"/>
        <v>0</v>
      </c>
      <c r="R29" s="153">
        <f t="shared" si="25"/>
        <v>18946538</v>
      </c>
      <c r="S29" s="44">
        <f t="shared" si="11"/>
        <v>0</v>
      </c>
      <c r="T29" s="153">
        <v>0</v>
      </c>
      <c r="U29" s="157"/>
      <c r="V29" s="153">
        <f t="shared" si="26"/>
        <v>6760841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17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18"/>
        <v>18979</v>
      </c>
      <c r="D30" s="44">
        <f t="shared" si="4"/>
        <v>0</v>
      </c>
      <c r="E30" s="153">
        <f t="shared" si="19"/>
        <v>28319531</v>
      </c>
      <c r="F30" s="44">
        <f t="shared" si="5"/>
        <v>0</v>
      </c>
      <c r="G30" s="154">
        <f t="shared" si="20"/>
        <v>89814400</v>
      </c>
      <c r="H30" s="44">
        <f t="shared" si="6"/>
        <v>0</v>
      </c>
      <c r="I30" s="155">
        <f t="shared" si="7"/>
        <v>0</v>
      </c>
      <c r="J30" s="153">
        <f t="shared" si="21"/>
        <v>8839980</v>
      </c>
      <c r="K30" s="44">
        <f t="shared" si="8"/>
        <v>0</v>
      </c>
      <c r="L30" s="156">
        <f t="shared" si="22"/>
        <v>8780161</v>
      </c>
      <c r="M30" s="44">
        <f t="shared" si="9"/>
        <v>0</v>
      </c>
      <c r="N30" s="153">
        <f t="shared" si="23"/>
        <v>5932016</v>
      </c>
      <c r="O30" s="44">
        <f t="shared" si="16"/>
        <v>0</v>
      </c>
      <c r="P30" s="156">
        <f t="shared" si="24"/>
        <v>5203923</v>
      </c>
      <c r="Q30" s="44">
        <f t="shared" si="10"/>
        <v>0</v>
      </c>
      <c r="R30" s="153">
        <f t="shared" si="25"/>
        <v>18946538</v>
      </c>
      <c r="S30" s="44">
        <f t="shared" si="11"/>
        <v>0</v>
      </c>
      <c r="T30" s="153">
        <v>0</v>
      </c>
      <c r="U30" s="157"/>
      <c r="V30" s="153">
        <f t="shared" si="26"/>
        <v>6760841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17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18"/>
        <v>18979</v>
      </c>
      <c r="D31" s="44">
        <f t="shared" si="4"/>
        <v>0</v>
      </c>
      <c r="E31" s="153">
        <f t="shared" si="19"/>
        <v>28319531</v>
      </c>
      <c r="F31" s="44">
        <f t="shared" si="5"/>
        <v>0</v>
      </c>
      <c r="G31" s="154">
        <f t="shared" si="20"/>
        <v>89814400</v>
      </c>
      <c r="H31" s="44">
        <f t="shared" si="6"/>
        <v>0</v>
      </c>
      <c r="I31" s="155">
        <f t="shared" si="7"/>
        <v>0</v>
      </c>
      <c r="J31" s="153">
        <f t="shared" si="21"/>
        <v>8839980</v>
      </c>
      <c r="K31" s="44">
        <f t="shared" si="8"/>
        <v>0</v>
      </c>
      <c r="L31" s="156">
        <f t="shared" si="22"/>
        <v>8780161</v>
      </c>
      <c r="M31" s="44">
        <f t="shared" si="9"/>
        <v>0</v>
      </c>
      <c r="N31" s="153">
        <f t="shared" si="23"/>
        <v>5932016</v>
      </c>
      <c r="O31" s="44">
        <f t="shared" si="16"/>
        <v>0</v>
      </c>
      <c r="P31" s="156">
        <f t="shared" si="24"/>
        <v>5203923</v>
      </c>
      <c r="Q31" s="44">
        <f t="shared" si="10"/>
        <v>0</v>
      </c>
      <c r="R31" s="153">
        <f t="shared" si="25"/>
        <v>18946538</v>
      </c>
      <c r="S31" s="44">
        <f t="shared" si="11"/>
        <v>0</v>
      </c>
      <c r="T31" s="153">
        <v>0</v>
      </c>
      <c r="U31" s="11"/>
      <c r="V31" s="153">
        <f t="shared" si="26"/>
        <v>6760841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17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18"/>
        <v>18979</v>
      </c>
      <c r="D32" s="44">
        <f t="shared" si="4"/>
        <v>0</v>
      </c>
      <c r="E32" s="153">
        <f t="shared" si="19"/>
        <v>28319531</v>
      </c>
      <c r="F32" s="44">
        <f t="shared" si="5"/>
        <v>0</v>
      </c>
      <c r="G32" s="154">
        <f t="shared" si="20"/>
        <v>89814400</v>
      </c>
      <c r="H32" s="44">
        <f t="shared" si="6"/>
        <v>0</v>
      </c>
      <c r="I32" s="22">
        <f>F32+H32</f>
        <v>0</v>
      </c>
      <c r="J32" s="153">
        <f t="shared" si="21"/>
        <v>8839980</v>
      </c>
      <c r="K32" s="44">
        <f t="shared" si="8"/>
        <v>0</v>
      </c>
      <c r="L32" s="156">
        <f t="shared" si="22"/>
        <v>8780161</v>
      </c>
      <c r="M32" s="44">
        <f t="shared" si="9"/>
        <v>0</v>
      </c>
      <c r="N32" s="153">
        <f t="shared" si="23"/>
        <v>5932016</v>
      </c>
      <c r="O32" s="44">
        <f t="shared" si="16"/>
        <v>0</v>
      </c>
      <c r="P32" s="156">
        <f t="shared" si="24"/>
        <v>5203923</v>
      </c>
      <c r="Q32" s="44">
        <f t="shared" si="10"/>
        <v>0</v>
      </c>
      <c r="R32" s="153">
        <f t="shared" si="25"/>
        <v>18946538</v>
      </c>
      <c r="S32" s="44">
        <f t="shared" si="11"/>
        <v>0</v>
      </c>
      <c r="T32" s="153">
        <v>0</v>
      </c>
      <c r="U32" s="11"/>
      <c r="V32" s="153">
        <f t="shared" si="26"/>
        <v>6760841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17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18"/>
        <v>18979</v>
      </c>
      <c r="D33" s="44">
        <f t="shared" si="4"/>
        <v>0</v>
      </c>
      <c r="E33" s="153">
        <f t="shared" si="19"/>
        <v>28319531</v>
      </c>
      <c r="F33" s="44">
        <f t="shared" si="5"/>
        <v>0</v>
      </c>
      <c r="G33" s="154">
        <f t="shared" si="20"/>
        <v>89814400</v>
      </c>
      <c r="H33" s="44">
        <f t="shared" si="6"/>
        <v>0</v>
      </c>
      <c r="I33" s="22">
        <f>F33+H33</f>
        <v>0</v>
      </c>
      <c r="J33" s="153">
        <f t="shared" si="21"/>
        <v>8839980</v>
      </c>
      <c r="K33" s="44">
        <f t="shared" si="8"/>
        <v>0</v>
      </c>
      <c r="L33" s="156">
        <f t="shared" si="22"/>
        <v>8780161</v>
      </c>
      <c r="M33" s="44">
        <f t="shared" si="9"/>
        <v>0</v>
      </c>
      <c r="N33" s="153">
        <f t="shared" si="23"/>
        <v>5932016</v>
      </c>
      <c r="O33" s="44">
        <f t="shared" si="16"/>
        <v>0</v>
      </c>
      <c r="P33" s="156">
        <f t="shared" si="24"/>
        <v>5203923</v>
      </c>
      <c r="Q33" s="44">
        <f t="shared" si="10"/>
        <v>0</v>
      </c>
      <c r="R33" s="153">
        <f t="shared" si="25"/>
        <v>18946538</v>
      </c>
      <c r="S33" s="44">
        <f t="shared" si="11"/>
        <v>0</v>
      </c>
      <c r="T33" s="153">
        <v>0</v>
      </c>
      <c r="U33" s="11"/>
      <c r="V33" s="153">
        <f t="shared" si="26"/>
        <v>6760841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17"/>
        <v>0</v>
      </c>
    </row>
    <row r="34" spans="1:27" ht="16.5" thickBot="1" x14ac:dyDescent="0.3">
      <c r="A34" s="6" t="s">
        <v>23</v>
      </c>
      <c r="B34" s="144">
        <f>SUM(B2:B33)</f>
        <v>2721</v>
      </c>
      <c r="C34" s="144"/>
      <c r="D34" s="144">
        <f>SUM(D2:D33)</f>
        <v>9280</v>
      </c>
      <c r="E34" s="61">
        <v>0</v>
      </c>
      <c r="F34" s="61">
        <f>SUM(F2:F33)</f>
        <v>149776</v>
      </c>
      <c r="G34" s="61">
        <v>0</v>
      </c>
      <c r="H34" s="61">
        <f>SUM(H2:H33)</f>
        <v>562678</v>
      </c>
      <c r="I34" s="61">
        <f>SUM(I5:I33)</f>
        <v>597989</v>
      </c>
      <c r="J34" s="61">
        <v>0</v>
      </c>
      <c r="K34" s="61">
        <f>SUM(K2:K33)</f>
        <v>61092</v>
      </c>
      <c r="L34" s="61">
        <v>0</v>
      </c>
      <c r="M34" s="61">
        <f>SUM(M2:M33)</f>
        <v>76764</v>
      </c>
      <c r="N34" s="61">
        <v>0</v>
      </c>
      <c r="O34" s="61">
        <f>SUM(O2:O33)</f>
        <v>96356</v>
      </c>
      <c r="P34" s="61">
        <v>0</v>
      </c>
      <c r="Q34" s="61">
        <f>SUM(Q2:Q33)</f>
        <v>120148</v>
      </c>
      <c r="R34" s="61">
        <v>0</v>
      </c>
      <c r="S34" s="61">
        <f>SUM(S2:S33)</f>
        <v>115245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124913</v>
      </c>
      <c r="X34" s="61">
        <f>SUM(X5:X33)</f>
        <v>503119</v>
      </c>
      <c r="Y34" s="61">
        <f>SUM(Y2:Y33)</f>
        <v>117936</v>
      </c>
      <c r="Z34" s="61">
        <f>SUM(Z2:Z33)</f>
        <v>89632.848073599991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B13" sqref="B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f t="shared" ref="B13:B33" si="9">B13</f>
        <v>427835</v>
      </c>
      <c r="C14" s="44">
        <f t="shared" si="8"/>
        <v>0</v>
      </c>
      <c r="D14" s="3">
        <v>4377000</v>
      </c>
      <c r="E14" s="44">
        <f t="shared" si="3"/>
        <v>0</v>
      </c>
      <c r="F14" s="3">
        <f t="shared" ref="F13:F33" si="10">F13</f>
        <v>6010800</v>
      </c>
      <c r="G14" s="44">
        <f t="shared" si="6"/>
        <v>0</v>
      </c>
      <c r="H14" s="3">
        <f t="shared" ref="H13:H33" si="11">H13</f>
        <v>752200</v>
      </c>
      <c r="I14" s="49">
        <f t="shared" si="7"/>
        <v>0</v>
      </c>
      <c r="J14" s="22">
        <f t="shared" si="4"/>
        <v>0</v>
      </c>
      <c r="K14" s="23">
        <f t="shared" si="5"/>
        <v>0</v>
      </c>
    </row>
    <row r="15" spans="1:14" ht="16.5" thickBot="1" x14ac:dyDescent="0.3">
      <c r="A15" s="10">
        <v>44482</v>
      </c>
      <c r="B15" s="3">
        <f t="shared" si="9"/>
        <v>427835</v>
      </c>
      <c r="C15" s="44">
        <f t="shared" si="8"/>
        <v>0</v>
      </c>
      <c r="D15" s="3">
        <v>4377000</v>
      </c>
      <c r="E15" s="44">
        <f t="shared" si="3"/>
        <v>0</v>
      </c>
      <c r="F15" s="3">
        <f t="shared" si="10"/>
        <v>6010800</v>
      </c>
      <c r="G15" s="44">
        <f t="shared" si="6"/>
        <v>0</v>
      </c>
      <c r="H15" s="3">
        <f t="shared" si="11"/>
        <v>752200</v>
      </c>
      <c r="I15" s="49">
        <f t="shared" si="7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44483</v>
      </c>
      <c r="B16" s="3">
        <f t="shared" si="9"/>
        <v>427835</v>
      </c>
      <c r="C16" s="44">
        <f t="shared" si="8"/>
        <v>0</v>
      </c>
      <c r="D16" s="3">
        <v>4377000</v>
      </c>
      <c r="E16" s="44">
        <f t="shared" si="3"/>
        <v>0</v>
      </c>
      <c r="F16" s="3">
        <f t="shared" si="10"/>
        <v>6010800</v>
      </c>
      <c r="G16" s="44">
        <f t="shared" si="6"/>
        <v>0</v>
      </c>
      <c r="H16" s="3">
        <f t="shared" si="11"/>
        <v>752200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44484</v>
      </c>
      <c r="B17" s="3">
        <f t="shared" si="9"/>
        <v>427835</v>
      </c>
      <c r="C17" s="44">
        <f t="shared" si="8"/>
        <v>0</v>
      </c>
      <c r="D17" s="3">
        <v>4377000</v>
      </c>
      <c r="E17" s="44">
        <f t="shared" si="3"/>
        <v>0</v>
      </c>
      <c r="F17" s="3">
        <f t="shared" si="10"/>
        <v>6010800</v>
      </c>
      <c r="G17" s="44">
        <f t="shared" si="6"/>
        <v>0</v>
      </c>
      <c r="H17" s="3">
        <f t="shared" si="11"/>
        <v>752200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f t="shared" si="9"/>
        <v>427835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si="10"/>
        <v>6010800</v>
      </c>
      <c r="G18" s="44">
        <f t="shared" si="6"/>
        <v>0</v>
      </c>
      <c r="H18" s="3">
        <f t="shared" si="11"/>
        <v>752200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44486</v>
      </c>
      <c r="B19" s="3">
        <f t="shared" si="9"/>
        <v>427835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0"/>
        <v>6010800</v>
      </c>
      <c r="G19" s="44">
        <f t="shared" si="6"/>
        <v>0</v>
      </c>
      <c r="H19" s="3">
        <f t="shared" si="11"/>
        <v>752200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44487</v>
      </c>
      <c r="B20" s="3">
        <f t="shared" si="9"/>
        <v>427835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0"/>
        <v>6010800</v>
      </c>
      <c r="G20" s="44">
        <f t="shared" si="6"/>
        <v>0</v>
      </c>
      <c r="H20" s="3">
        <f t="shared" si="11"/>
        <v>752200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44488</v>
      </c>
      <c r="B21" s="3">
        <f t="shared" si="9"/>
        <v>427835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0"/>
        <v>6010800</v>
      </c>
      <c r="G21" s="44">
        <f t="shared" si="6"/>
        <v>0</v>
      </c>
      <c r="H21" s="3">
        <f t="shared" si="11"/>
        <v>752200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44489</v>
      </c>
      <c r="B22" s="3">
        <f t="shared" si="9"/>
        <v>427835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0"/>
        <v>6010800</v>
      </c>
      <c r="G22" s="44">
        <f t="shared" si="6"/>
        <v>0</v>
      </c>
      <c r="H22" s="3">
        <f t="shared" si="11"/>
        <v>752200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9"/>
        <v>427835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0"/>
        <v>6010800</v>
      </c>
      <c r="G23" s="44">
        <f t="shared" si="6"/>
        <v>0</v>
      </c>
      <c r="H23" s="3">
        <f t="shared" si="11"/>
        <v>752200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44491</v>
      </c>
      <c r="B24" s="3">
        <f t="shared" si="9"/>
        <v>427835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0"/>
        <v>6010800</v>
      </c>
      <c r="G24" s="44">
        <f t="shared" si="6"/>
        <v>0</v>
      </c>
      <c r="H24" s="3">
        <f t="shared" si="11"/>
        <v>752200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44492</v>
      </c>
      <c r="B25" s="3">
        <f t="shared" si="9"/>
        <v>427835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0"/>
        <v>6010800</v>
      </c>
      <c r="G25" s="44">
        <f t="shared" si="6"/>
        <v>0</v>
      </c>
      <c r="H25" s="3">
        <f t="shared" si="11"/>
        <v>752200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9"/>
        <v>427835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0"/>
        <v>6010800</v>
      </c>
      <c r="G26" s="44">
        <f t="shared" si="6"/>
        <v>0</v>
      </c>
      <c r="H26" s="3">
        <f t="shared" si="11"/>
        <v>752200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9"/>
        <v>427835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0"/>
        <v>6010800</v>
      </c>
      <c r="G27" s="44">
        <f t="shared" si="6"/>
        <v>0</v>
      </c>
      <c r="H27" s="3">
        <f t="shared" si="11"/>
        <v>752200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9"/>
        <v>427835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0"/>
        <v>6010800</v>
      </c>
      <c r="G28" s="44">
        <f t="shared" si="6"/>
        <v>0</v>
      </c>
      <c r="H28" s="3">
        <f t="shared" si="11"/>
        <v>752200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9"/>
        <v>427835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0"/>
        <v>6010800</v>
      </c>
      <c r="G29" s="44">
        <f t="shared" si="6"/>
        <v>0</v>
      </c>
      <c r="H29" s="3">
        <f t="shared" si="11"/>
        <v>752200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9"/>
        <v>427835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0"/>
        <v>6010800</v>
      </c>
      <c r="G30" s="44">
        <f t="shared" si="6"/>
        <v>0</v>
      </c>
      <c r="H30" s="3">
        <f t="shared" si="11"/>
        <v>752200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9"/>
        <v>427835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0"/>
        <v>6010800</v>
      </c>
      <c r="G31" s="44">
        <f t="shared" si="6"/>
        <v>0</v>
      </c>
      <c r="H31" s="3">
        <f t="shared" si="11"/>
        <v>752200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9"/>
        <v>427835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0"/>
        <v>6010800</v>
      </c>
      <c r="G32" s="44">
        <f t="shared" si="6"/>
        <v>0</v>
      </c>
      <c r="H32" s="3">
        <f t="shared" si="11"/>
        <v>752200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9"/>
        <v>427835</v>
      </c>
      <c r="C33" s="44">
        <f t="shared" si="8"/>
        <v>0</v>
      </c>
      <c r="D33" s="3">
        <v>4377000</v>
      </c>
      <c r="E33" s="44">
        <f t="shared" si="3"/>
        <v>0</v>
      </c>
      <c r="F33" s="3">
        <f t="shared" si="10"/>
        <v>6010800</v>
      </c>
      <c r="G33" s="44">
        <f t="shared" si="6"/>
        <v>0</v>
      </c>
      <c r="H33" s="3">
        <f t="shared" si="11"/>
        <v>752200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11920</v>
      </c>
      <c r="D34" s="3"/>
      <c r="E34" s="61">
        <f>SUM(E3:E33)</f>
        <v>8.1</v>
      </c>
      <c r="F34" s="3"/>
      <c r="G34" s="61">
        <f>SUM(G3:G33)</f>
        <v>5729.4000000000005</v>
      </c>
      <c r="H34" s="3"/>
      <c r="I34" s="61">
        <f>SUM(I3:I33)</f>
        <v>55.350000000000009</v>
      </c>
      <c r="J34" s="61">
        <f>SUM(J3:J33)</f>
        <v>17712.849999999999</v>
      </c>
      <c r="K34" s="61">
        <f>SUM(K3:K33)</f>
        <v>103797.30099999999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3" sqref="B1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f t="shared" ref="B13:B33" si="1">B13</f>
        <v>17663042</v>
      </c>
      <c r="C14" s="50">
        <f t="shared" si="0"/>
        <v>0</v>
      </c>
    </row>
    <row r="15" spans="1:9" ht="24" thickBot="1" x14ac:dyDescent="0.4">
      <c r="A15" s="10">
        <v>44482</v>
      </c>
      <c r="B15" s="139">
        <f t="shared" si="1"/>
        <v>17663042</v>
      </c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44483</v>
      </c>
      <c r="B16" s="139">
        <f t="shared" si="1"/>
        <v>17663042</v>
      </c>
      <c r="C16" s="50">
        <f t="shared" si="0"/>
        <v>0</v>
      </c>
    </row>
    <row r="17" spans="1:9" ht="25.5" customHeight="1" thickBot="1" x14ac:dyDescent="0.4">
      <c r="A17" s="10">
        <v>44484</v>
      </c>
      <c r="B17" s="139">
        <f t="shared" si="1"/>
        <v>17663042</v>
      </c>
      <c r="C17" s="50">
        <f t="shared" si="0"/>
        <v>0</v>
      </c>
      <c r="F17" s="137"/>
    </row>
    <row r="18" spans="1:9" ht="24" thickBot="1" x14ac:dyDescent="0.4">
      <c r="A18" s="10">
        <v>44485</v>
      </c>
      <c r="B18" s="139">
        <f t="shared" si="1"/>
        <v>17663042</v>
      </c>
      <c r="C18" s="50">
        <f t="shared" si="0"/>
        <v>0</v>
      </c>
    </row>
    <row r="19" spans="1:9" ht="24" thickBot="1" x14ac:dyDescent="0.4">
      <c r="A19" s="10">
        <v>44486</v>
      </c>
      <c r="B19" s="139">
        <f t="shared" si="1"/>
        <v>17663042</v>
      </c>
      <c r="C19" s="50">
        <f t="shared" si="0"/>
        <v>0</v>
      </c>
    </row>
    <row r="20" spans="1:9" ht="24" thickBot="1" x14ac:dyDescent="0.4">
      <c r="A20" s="10">
        <v>44487</v>
      </c>
      <c r="B20" s="139">
        <f t="shared" si="1"/>
        <v>17663042</v>
      </c>
      <c r="C20" s="50">
        <f t="shared" si="0"/>
        <v>0</v>
      </c>
    </row>
    <row r="21" spans="1:9" ht="24" thickBot="1" x14ac:dyDescent="0.4">
      <c r="A21" s="10">
        <v>44488</v>
      </c>
      <c r="B21" s="139">
        <f t="shared" si="1"/>
        <v>17663042</v>
      </c>
      <c r="C21" s="50">
        <f t="shared" si="0"/>
        <v>0</v>
      </c>
    </row>
    <row r="22" spans="1:9" ht="24" thickBot="1" x14ac:dyDescent="0.4">
      <c r="A22" s="10">
        <v>44489</v>
      </c>
      <c r="B22" s="139">
        <f t="shared" si="1"/>
        <v>17663042</v>
      </c>
      <c r="C22" s="50">
        <f t="shared" si="0"/>
        <v>0</v>
      </c>
    </row>
    <row r="23" spans="1:9" ht="24" thickBot="1" x14ac:dyDescent="0.4">
      <c r="A23" s="10">
        <v>44490</v>
      </c>
      <c r="B23" s="139">
        <f t="shared" si="1"/>
        <v>17663042</v>
      </c>
      <c r="C23" s="50">
        <f t="shared" si="0"/>
        <v>0</v>
      </c>
      <c r="F23" t="s">
        <v>12</v>
      </c>
    </row>
    <row r="24" spans="1:9" ht="24" thickBot="1" x14ac:dyDescent="0.4">
      <c r="A24" s="10">
        <v>44491</v>
      </c>
      <c r="B24" s="139">
        <f t="shared" si="1"/>
        <v>17663042</v>
      </c>
      <c r="C24" s="50">
        <f t="shared" si="0"/>
        <v>0</v>
      </c>
      <c r="E24" t="s">
        <v>12</v>
      </c>
    </row>
    <row r="25" spans="1:9" ht="24" thickBot="1" x14ac:dyDescent="0.4">
      <c r="A25" s="10">
        <v>44492</v>
      </c>
      <c r="B25" s="139">
        <f t="shared" si="1"/>
        <v>17663042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17663042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17663042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17663042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17663042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17663042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17663042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17663042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17663042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25461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I1" zoomScale="87" zoomScaleNormal="87" workbookViewId="0">
      <pane ySplit="1" topLeftCell="A2" activePane="bottomLeft" state="frozen"/>
      <selection pane="bottomLeft" activeCell="Z19" sqref="Z19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  <c r="AB1" s="176" t="s">
        <v>146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2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3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f t="shared" ref="B13:B33" si="27">B13</f>
        <v>22426</v>
      </c>
      <c r="C14" s="49">
        <f t="shared" si="21"/>
        <v>0</v>
      </c>
      <c r="D14" s="33">
        <f t="shared" si="9"/>
        <v>0</v>
      </c>
      <c r="E14" s="1">
        <f t="shared" ref="E13:E33" si="28">E13</f>
        <v>3974.1869999999999</v>
      </c>
      <c r="F14" s="49">
        <f t="shared" si="10"/>
        <v>0</v>
      </c>
      <c r="G14" s="33">
        <f t="shared" si="11"/>
        <v>0</v>
      </c>
      <c r="H14" s="1">
        <f t="shared" ref="H13:H33" si="29">H13</f>
        <v>4189</v>
      </c>
      <c r="I14" s="49">
        <f t="shared" si="12"/>
        <v>0</v>
      </c>
      <c r="J14" s="33">
        <f t="shared" si="13"/>
        <v>0</v>
      </c>
      <c r="K14" s="7">
        <f t="shared" ref="K13:K33" si="30">K13</f>
        <v>13760.97</v>
      </c>
      <c r="L14" s="49">
        <f t="shared" si="14"/>
        <v>0</v>
      </c>
      <c r="M14" s="33">
        <f t="shared" si="15"/>
        <v>0</v>
      </c>
      <c r="N14" s="7">
        <f t="shared" ref="N13:N33" si="31">N13</f>
        <v>3259.3879999999999</v>
      </c>
      <c r="O14" s="49">
        <f>IF((N14-N13)&lt;0,"0",(N14-N13))</f>
        <v>0</v>
      </c>
      <c r="P14" s="33">
        <f t="shared" si="17"/>
        <v>0</v>
      </c>
      <c r="Q14" s="7">
        <f t="shared" ref="Q13:Q33" si="32">Q13</f>
        <v>5191.78</v>
      </c>
      <c r="R14" s="49">
        <f t="shared" si="18"/>
        <v>0</v>
      </c>
      <c r="S14" s="33">
        <f t="shared" si="19"/>
        <v>0</v>
      </c>
      <c r="T14" s="8">
        <f t="shared" si="25"/>
        <v>0</v>
      </c>
      <c r="U14" s="35">
        <f t="shared" si="22"/>
        <v>0</v>
      </c>
      <c r="W14" s="165">
        <v>44481</v>
      </c>
      <c r="X14" s="166"/>
      <c r="Y14" s="35">
        <f t="shared" si="23"/>
        <v>-150529</v>
      </c>
      <c r="Z14" s="166"/>
      <c r="AA14" s="35">
        <f t="shared" si="24"/>
        <v>-7512</v>
      </c>
      <c r="AB14" s="166"/>
      <c r="AC14" s="35">
        <f t="shared" si="26"/>
        <v>-13</v>
      </c>
    </row>
    <row r="15" spans="1:29" ht="16.5" thickBot="1" x14ac:dyDescent="0.25">
      <c r="A15" s="10">
        <v>44482</v>
      </c>
      <c r="B15" s="168">
        <f t="shared" si="27"/>
        <v>22426</v>
      </c>
      <c r="C15" s="49">
        <f t="shared" si="21"/>
        <v>0</v>
      </c>
      <c r="D15" s="33">
        <f t="shared" si="9"/>
        <v>0</v>
      </c>
      <c r="E15" s="1">
        <f t="shared" si="28"/>
        <v>3974.1869999999999</v>
      </c>
      <c r="F15" s="49">
        <f t="shared" si="10"/>
        <v>0</v>
      </c>
      <c r="G15" s="33">
        <f t="shared" si="11"/>
        <v>0</v>
      </c>
      <c r="H15" s="1">
        <f t="shared" si="29"/>
        <v>4189</v>
      </c>
      <c r="I15" s="49">
        <f t="shared" si="12"/>
        <v>0</v>
      </c>
      <c r="J15" s="33">
        <f t="shared" si="13"/>
        <v>0</v>
      </c>
      <c r="K15" s="7">
        <f t="shared" si="30"/>
        <v>13760.97</v>
      </c>
      <c r="L15" s="49">
        <f t="shared" si="14"/>
        <v>0</v>
      </c>
      <c r="M15" s="33">
        <f t="shared" si="15"/>
        <v>0</v>
      </c>
      <c r="N15" s="7">
        <f t="shared" si="31"/>
        <v>3259.3879999999999</v>
      </c>
      <c r="O15" s="49">
        <f t="shared" si="16"/>
        <v>0</v>
      </c>
      <c r="P15" s="33">
        <f t="shared" si="17"/>
        <v>0</v>
      </c>
      <c r="Q15" s="7">
        <f t="shared" si="32"/>
        <v>5191.78</v>
      </c>
      <c r="R15" s="49">
        <f t="shared" si="18"/>
        <v>0</v>
      </c>
      <c r="S15" s="33">
        <f t="shared" si="19"/>
        <v>0</v>
      </c>
      <c r="T15" s="8">
        <f t="shared" si="25"/>
        <v>0</v>
      </c>
      <c r="U15" s="35">
        <f t="shared" si="22"/>
        <v>0</v>
      </c>
      <c r="W15" s="165">
        <v>44482</v>
      </c>
      <c r="X15" s="166"/>
      <c r="Y15" s="35">
        <f t="shared" si="23"/>
        <v>0</v>
      </c>
      <c r="Z15" s="166"/>
      <c r="AA15" s="35">
        <f t="shared" si="24"/>
        <v>0</v>
      </c>
      <c r="AB15" s="166"/>
      <c r="AC15" s="35">
        <f t="shared" si="26"/>
        <v>0</v>
      </c>
    </row>
    <row r="16" spans="1:29" ht="16.5" thickBot="1" x14ac:dyDescent="0.25">
      <c r="A16" s="10">
        <v>44483</v>
      </c>
      <c r="B16" s="168">
        <f t="shared" si="27"/>
        <v>22426</v>
      </c>
      <c r="C16" s="49">
        <f t="shared" si="21"/>
        <v>0</v>
      </c>
      <c r="D16" s="33">
        <f t="shared" si="9"/>
        <v>0</v>
      </c>
      <c r="E16" s="1">
        <f t="shared" si="28"/>
        <v>3974.1869999999999</v>
      </c>
      <c r="F16" s="49">
        <f t="shared" si="10"/>
        <v>0</v>
      </c>
      <c r="G16" s="33">
        <f t="shared" si="11"/>
        <v>0</v>
      </c>
      <c r="H16" s="1">
        <f t="shared" si="29"/>
        <v>4189</v>
      </c>
      <c r="I16" s="49">
        <f t="shared" si="12"/>
        <v>0</v>
      </c>
      <c r="J16" s="33">
        <f t="shared" si="13"/>
        <v>0</v>
      </c>
      <c r="K16" s="7">
        <f t="shared" si="30"/>
        <v>13760.97</v>
      </c>
      <c r="L16" s="49">
        <f t="shared" si="14"/>
        <v>0</v>
      </c>
      <c r="M16" s="33">
        <f t="shared" si="15"/>
        <v>0</v>
      </c>
      <c r="N16" s="7">
        <f t="shared" si="31"/>
        <v>3259.3879999999999</v>
      </c>
      <c r="O16" s="49">
        <f t="shared" si="16"/>
        <v>0</v>
      </c>
      <c r="P16" s="33">
        <f t="shared" si="17"/>
        <v>0</v>
      </c>
      <c r="Q16" s="7">
        <f t="shared" si="32"/>
        <v>5191.78</v>
      </c>
      <c r="R16" s="49">
        <f t="shared" si="18"/>
        <v>0</v>
      </c>
      <c r="S16" s="33">
        <f t="shared" si="19"/>
        <v>0</v>
      </c>
      <c r="T16" s="8">
        <f t="shared" si="25"/>
        <v>0</v>
      </c>
      <c r="U16" s="35">
        <f t="shared" si="22"/>
        <v>0</v>
      </c>
      <c r="W16" s="165">
        <v>44483</v>
      </c>
      <c r="X16" s="166"/>
      <c r="Y16" s="35">
        <f t="shared" si="23"/>
        <v>0</v>
      </c>
      <c r="Z16" s="166"/>
      <c r="AA16" s="35">
        <f t="shared" si="24"/>
        <v>0</v>
      </c>
      <c r="AB16" s="166"/>
      <c r="AC16" s="35">
        <f t="shared" si="26"/>
        <v>0</v>
      </c>
    </row>
    <row r="17" spans="1:29" ht="16.5" thickBot="1" x14ac:dyDescent="0.25">
      <c r="A17" s="10">
        <v>44484</v>
      </c>
      <c r="B17" s="168">
        <f t="shared" si="27"/>
        <v>22426</v>
      </c>
      <c r="C17" s="49">
        <f t="shared" si="21"/>
        <v>0</v>
      </c>
      <c r="D17" s="33">
        <f t="shared" si="9"/>
        <v>0</v>
      </c>
      <c r="E17" s="1">
        <f t="shared" si="28"/>
        <v>3974.1869999999999</v>
      </c>
      <c r="F17" s="49">
        <f t="shared" si="10"/>
        <v>0</v>
      </c>
      <c r="G17" s="33">
        <f t="shared" si="11"/>
        <v>0</v>
      </c>
      <c r="H17" s="1">
        <f t="shared" si="29"/>
        <v>4189</v>
      </c>
      <c r="I17" s="49">
        <f t="shared" si="12"/>
        <v>0</v>
      </c>
      <c r="J17" s="33">
        <f t="shared" si="13"/>
        <v>0</v>
      </c>
      <c r="K17" s="7">
        <f t="shared" si="30"/>
        <v>13760.97</v>
      </c>
      <c r="L17" s="49">
        <f t="shared" si="14"/>
        <v>0</v>
      </c>
      <c r="M17" s="33">
        <f t="shared" si="15"/>
        <v>0</v>
      </c>
      <c r="N17" s="7">
        <f t="shared" si="31"/>
        <v>3259.3879999999999</v>
      </c>
      <c r="O17" s="49">
        <f t="shared" si="16"/>
        <v>0</v>
      </c>
      <c r="P17" s="33">
        <f t="shared" si="17"/>
        <v>0</v>
      </c>
      <c r="Q17" s="7">
        <f t="shared" si="32"/>
        <v>5191.78</v>
      </c>
      <c r="R17" s="49">
        <f t="shared" si="18"/>
        <v>0</v>
      </c>
      <c r="S17" s="33">
        <f t="shared" si="19"/>
        <v>0</v>
      </c>
      <c r="T17" s="8">
        <f t="shared" si="25"/>
        <v>0</v>
      </c>
      <c r="U17" s="35">
        <f t="shared" si="22"/>
        <v>0</v>
      </c>
      <c r="W17" s="165">
        <v>44484</v>
      </c>
      <c r="X17" s="166"/>
      <c r="Y17" s="35">
        <f t="shared" si="23"/>
        <v>0</v>
      </c>
      <c r="Z17" s="166"/>
      <c r="AA17" s="35">
        <f t="shared" si="24"/>
        <v>0</v>
      </c>
      <c r="AB17" s="166"/>
      <c r="AC17" s="35">
        <f t="shared" si="26"/>
        <v>0</v>
      </c>
    </row>
    <row r="18" spans="1:29" ht="16.5" thickBot="1" x14ac:dyDescent="0.25">
      <c r="A18" s="10">
        <v>44485</v>
      </c>
      <c r="B18" s="168">
        <f t="shared" si="27"/>
        <v>22426</v>
      </c>
      <c r="C18" s="49">
        <f t="shared" si="21"/>
        <v>0</v>
      </c>
      <c r="D18" s="33">
        <f t="shared" si="9"/>
        <v>0</v>
      </c>
      <c r="E18" s="1">
        <f t="shared" si="28"/>
        <v>3974.1869999999999</v>
      </c>
      <c r="F18" s="49">
        <f t="shared" si="10"/>
        <v>0</v>
      </c>
      <c r="G18" s="33">
        <f t="shared" si="11"/>
        <v>0</v>
      </c>
      <c r="H18" s="1">
        <f t="shared" si="29"/>
        <v>4189</v>
      </c>
      <c r="I18" s="49">
        <f t="shared" si="12"/>
        <v>0</v>
      </c>
      <c r="J18" s="33">
        <f t="shared" si="13"/>
        <v>0</v>
      </c>
      <c r="K18" s="7">
        <f t="shared" si="30"/>
        <v>13760.97</v>
      </c>
      <c r="L18" s="49">
        <f t="shared" si="14"/>
        <v>0</v>
      </c>
      <c r="M18" s="33">
        <f t="shared" si="15"/>
        <v>0</v>
      </c>
      <c r="N18" s="7">
        <f t="shared" si="31"/>
        <v>3259.3879999999999</v>
      </c>
      <c r="O18" s="49">
        <f t="shared" si="16"/>
        <v>0</v>
      </c>
      <c r="P18" s="33">
        <f t="shared" si="17"/>
        <v>0</v>
      </c>
      <c r="Q18" s="7">
        <f t="shared" si="32"/>
        <v>5191.78</v>
      </c>
      <c r="R18" s="49">
        <f t="shared" si="18"/>
        <v>0</v>
      </c>
      <c r="S18" s="33">
        <f t="shared" si="19"/>
        <v>0</v>
      </c>
      <c r="T18" s="8">
        <f t="shared" si="25"/>
        <v>0</v>
      </c>
      <c r="U18" s="35">
        <f t="shared" si="22"/>
        <v>0</v>
      </c>
      <c r="W18" s="165">
        <v>44485</v>
      </c>
      <c r="X18" s="166"/>
      <c r="Y18" s="35">
        <f t="shared" si="23"/>
        <v>0</v>
      </c>
      <c r="Z18" s="166"/>
      <c r="AA18" s="35">
        <f t="shared" si="24"/>
        <v>0</v>
      </c>
      <c r="AB18" s="166"/>
      <c r="AC18" s="35">
        <f t="shared" si="26"/>
        <v>0</v>
      </c>
    </row>
    <row r="19" spans="1:29" ht="16.5" thickBot="1" x14ac:dyDescent="0.25">
      <c r="A19" s="10">
        <v>44486</v>
      </c>
      <c r="B19" s="168">
        <f t="shared" si="27"/>
        <v>22426</v>
      </c>
      <c r="C19" s="49">
        <f t="shared" si="21"/>
        <v>0</v>
      </c>
      <c r="D19" s="33">
        <f t="shared" si="9"/>
        <v>0</v>
      </c>
      <c r="E19" s="1">
        <f t="shared" si="28"/>
        <v>3974.1869999999999</v>
      </c>
      <c r="F19" s="49">
        <f t="shared" si="10"/>
        <v>0</v>
      </c>
      <c r="G19" s="33">
        <f t="shared" si="11"/>
        <v>0</v>
      </c>
      <c r="H19" s="1">
        <f t="shared" si="29"/>
        <v>4189</v>
      </c>
      <c r="I19" s="49">
        <f t="shared" si="12"/>
        <v>0</v>
      </c>
      <c r="J19" s="33">
        <f t="shared" si="13"/>
        <v>0</v>
      </c>
      <c r="K19" s="7">
        <f t="shared" si="30"/>
        <v>13760.97</v>
      </c>
      <c r="L19" s="49">
        <f t="shared" si="14"/>
        <v>0</v>
      </c>
      <c r="M19" s="33">
        <f t="shared" si="15"/>
        <v>0</v>
      </c>
      <c r="N19" s="7">
        <f t="shared" si="31"/>
        <v>3259.3879999999999</v>
      </c>
      <c r="O19" s="49">
        <f t="shared" si="16"/>
        <v>0</v>
      </c>
      <c r="P19" s="33">
        <f t="shared" si="17"/>
        <v>0</v>
      </c>
      <c r="Q19" s="7">
        <f t="shared" si="32"/>
        <v>5191.78</v>
      </c>
      <c r="R19" s="49">
        <f t="shared" si="18"/>
        <v>0</v>
      </c>
      <c r="S19" s="33">
        <f t="shared" si="19"/>
        <v>0</v>
      </c>
      <c r="T19" s="8">
        <f t="shared" si="25"/>
        <v>0</v>
      </c>
      <c r="U19" s="35">
        <f t="shared" si="22"/>
        <v>0</v>
      </c>
      <c r="W19" s="165">
        <v>44486</v>
      </c>
      <c r="X19" s="166"/>
      <c r="Y19" s="35">
        <f t="shared" si="23"/>
        <v>0</v>
      </c>
      <c r="Z19" s="166"/>
      <c r="AA19" s="35">
        <f t="shared" si="24"/>
        <v>0</v>
      </c>
      <c r="AB19" s="166"/>
      <c r="AC19" s="35">
        <f t="shared" si="26"/>
        <v>0</v>
      </c>
    </row>
    <row r="20" spans="1:29" ht="16.5" thickBot="1" x14ac:dyDescent="0.25">
      <c r="A20" s="10">
        <v>44487</v>
      </c>
      <c r="B20" s="168">
        <f t="shared" si="27"/>
        <v>22426</v>
      </c>
      <c r="C20" s="49">
        <f t="shared" si="21"/>
        <v>0</v>
      </c>
      <c r="D20" s="33">
        <f t="shared" si="9"/>
        <v>0</v>
      </c>
      <c r="E20" s="1">
        <f t="shared" si="28"/>
        <v>3974.1869999999999</v>
      </c>
      <c r="F20" s="49">
        <f t="shared" si="10"/>
        <v>0</v>
      </c>
      <c r="G20" s="33">
        <f t="shared" si="11"/>
        <v>0</v>
      </c>
      <c r="H20" s="1">
        <f t="shared" si="29"/>
        <v>4189</v>
      </c>
      <c r="I20" s="49">
        <f t="shared" si="12"/>
        <v>0</v>
      </c>
      <c r="J20" s="33">
        <f t="shared" si="13"/>
        <v>0</v>
      </c>
      <c r="K20" s="7">
        <f t="shared" si="30"/>
        <v>13760.97</v>
      </c>
      <c r="L20" s="49">
        <f t="shared" si="14"/>
        <v>0</v>
      </c>
      <c r="M20" s="33">
        <f t="shared" si="15"/>
        <v>0</v>
      </c>
      <c r="N20" s="7">
        <f t="shared" si="31"/>
        <v>3259.3879999999999</v>
      </c>
      <c r="O20" s="49">
        <f t="shared" si="16"/>
        <v>0</v>
      </c>
      <c r="P20" s="33">
        <f t="shared" si="17"/>
        <v>0</v>
      </c>
      <c r="Q20" s="7">
        <f t="shared" si="32"/>
        <v>5191.78</v>
      </c>
      <c r="R20" s="49">
        <f t="shared" si="18"/>
        <v>0</v>
      </c>
      <c r="S20" s="33">
        <f t="shared" si="19"/>
        <v>0</v>
      </c>
      <c r="T20" s="8">
        <f t="shared" si="25"/>
        <v>0</v>
      </c>
      <c r="U20" s="35">
        <f t="shared" si="22"/>
        <v>0</v>
      </c>
      <c r="W20" s="165">
        <v>44487</v>
      </c>
      <c r="X20" s="166"/>
      <c r="Y20" s="35">
        <f t="shared" si="23"/>
        <v>0</v>
      </c>
      <c r="Z20" s="166"/>
      <c r="AA20" s="35">
        <f t="shared" si="24"/>
        <v>0</v>
      </c>
      <c r="AB20" s="166"/>
      <c r="AC20" s="35">
        <f t="shared" si="26"/>
        <v>0</v>
      </c>
    </row>
    <row r="21" spans="1:29" ht="16.5" thickBot="1" x14ac:dyDescent="0.25">
      <c r="A21" s="10">
        <v>44488</v>
      </c>
      <c r="B21" s="168">
        <f t="shared" si="27"/>
        <v>22426</v>
      </c>
      <c r="C21" s="49">
        <f t="shared" si="21"/>
        <v>0</v>
      </c>
      <c r="D21" s="33">
        <f t="shared" si="9"/>
        <v>0</v>
      </c>
      <c r="E21" s="1">
        <f t="shared" si="28"/>
        <v>3974.1869999999999</v>
      </c>
      <c r="F21" s="49">
        <f t="shared" si="10"/>
        <v>0</v>
      </c>
      <c r="G21" s="33">
        <f t="shared" si="11"/>
        <v>0</v>
      </c>
      <c r="H21" s="1">
        <f t="shared" si="29"/>
        <v>4189</v>
      </c>
      <c r="I21" s="49">
        <f t="shared" si="12"/>
        <v>0</v>
      </c>
      <c r="J21" s="33">
        <f t="shared" si="13"/>
        <v>0</v>
      </c>
      <c r="K21" s="7">
        <f t="shared" si="30"/>
        <v>13760.97</v>
      </c>
      <c r="L21" s="49">
        <f t="shared" si="14"/>
        <v>0</v>
      </c>
      <c r="M21" s="33">
        <f t="shared" si="15"/>
        <v>0</v>
      </c>
      <c r="N21" s="7">
        <f t="shared" si="31"/>
        <v>3259.3879999999999</v>
      </c>
      <c r="O21" s="49">
        <f t="shared" si="16"/>
        <v>0</v>
      </c>
      <c r="P21" s="33">
        <f t="shared" si="17"/>
        <v>0</v>
      </c>
      <c r="Q21" s="7">
        <f t="shared" si="32"/>
        <v>5191.78</v>
      </c>
      <c r="R21" s="49">
        <f t="shared" si="18"/>
        <v>0</v>
      </c>
      <c r="S21" s="33">
        <f t="shared" si="19"/>
        <v>0</v>
      </c>
      <c r="T21" s="8">
        <f t="shared" si="25"/>
        <v>0</v>
      </c>
      <c r="U21" s="35">
        <f t="shared" si="22"/>
        <v>0</v>
      </c>
      <c r="W21" s="165">
        <v>44488</v>
      </c>
      <c r="X21" s="166"/>
      <c r="Y21" s="35">
        <f t="shared" si="23"/>
        <v>0</v>
      </c>
      <c r="Z21" s="166"/>
      <c r="AA21" s="35">
        <f t="shared" si="24"/>
        <v>0</v>
      </c>
      <c r="AB21" s="166"/>
      <c r="AC21" s="35">
        <f t="shared" si="26"/>
        <v>0</v>
      </c>
    </row>
    <row r="22" spans="1:29" ht="16.5" thickBot="1" x14ac:dyDescent="0.25">
      <c r="A22" s="10">
        <v>44489</v>
      </c>
      <c r="B22" s="168">
        <f t="shared" si="27"/>
        <v>22426</v>
      </c>
      <c r="C22" s="49">
        <f t="shared" si="21"/>
        <v>0</v>
      </c>
      <c r="D22" s="33">
        <f t="shared" si="9"/>
        <v>0</v>
      </c>
      <c r="E22" s="1">
        <f t="shared" si="28"/>
        <v>3974.1869999999999</v>
      </c>
      <c r="F22" s="49">
        <f t="shared" si="10"/>
        <v>0</v>
      </c>
      <c r="G22" s="33">
        <f t="shared" si="11"/>
        <v>0</v>
      </c>
      <c r="H22" s="1">
        <f t="shared" si="29"/>
        <v>4189</v>
      </c>
      <c r="I22" s="49">
        <f t="shared" si="12"/>
        <v>0</v>
      </c>
      <c r="J22" s="33">
        <f t="shared" si="13"/>
        <v>0</v>
      </c>
      <c r="K22" s="7">
        <f t="shared" si="30"/>
        <v>13760.97</v>
      </c>
      <c r="L22" s="49">
        <f t="shared" si="14"/>
        <v>0</v>
      </c>
      <c r="M22" s="33">
        <f t="shared" si="15"/>
        <v>0</v>
      </c>
      <c r="N22" s="7">
        <f t="shared" si="31"/>
        <v>3259.3879999999999</v>
      </c>
      <c r="O22" s="49">
        <f t="shared" si="16"/>
        <v>0</v>
      </c>
      <c r="P22" s="33">
        <f t="shared" si="17"/>
        <v>0</v>
      </c>
      <c r="Q22" s="7">
        <f t="shared" si="32"/>
        <v>5191.78</v>
      </c>
      <c r="R22" s="49">
        <f t="shared" si="18"/>
        <v>0</v>
      </c>
      <c r="S22" s="33">
        <f t="shared" si="19"/>
        <v>0</v>
      </c>
      <c r="T22" s="8">
        <f t="shared" si="25"/>
        <v>0</v>
      </c>
      <c r="U22" s="35">
        <f t="shared" si="22"/>
        <v>0</v>
      </c>
      <c r="W22" s="165">
        <v>44489</v>
      </c>
      <c r="X22" s="166"/>
      <c r="Y22" s="35">
        <f t="shared" si="23"/>
        <v>0</v>
      </c>
      <c r="Z22" s="166"/>
      <c r="AA22" s="35">
        <f t="shared" si="24"/>
        <v>0</v>
      </c>
      <c r="AB22" s="166"/>
      <c r="AC22" s="35">
        <f t="shared" si="26"/>
        <v>0</v>
      </c>
    </row>
    <row r="23" spans="1:29" ht="16.5" thickBot="1" x14ac:dyDescent="0.25">
      <c r="A23" s="10">
        <v>44490</v>
      </c>
      <c r="B23" s="168">
        <f t="shared" si="27"/>
        <v>22426</v>
      </c>
      <c r="C23" s="49">
        <f t="shared" si="21"/>
        <v>0</v>
      </c>
      <c r="D23" s="33">
        <f t="shared" si="9"/>
        <v>0</v>
      </c>
      <c r="E23" s="1">
        <f t="shared" si="28"/>
        <v>3974.1869999999999</v>
      </c>
      <c r="F23" s="49">
        <f t="shared" si="10"/>
        <v>0</v>
      </c>
      <c r="G23" s="33">
        <f t="shared" si="11"/>
        <v>0</v>
      </c>
      <c r="H23" s="1">
        <f t="shared" si="29"/>
        <v>4189</v>
      </c>
      <c r="I23" s="49">
        <f t="shared" si="12"/>
        <v>0</v>
      </c>
      <c r="J23" s="33">
        <f t="shared" si="13"/>
        <v>0</v>
      </c>
      <c r="K23" s="7">
        <f t="shared" si="30"/>
        <v>13760.97</v>
      </c>
      <c r="L23" s="49">
        <f t="shared" si="14"/>
        <v>0</v>
      </c>
      <c r="M23" s="33">
        <f t="shared" si="15"/>
        <v>0</v>
      </c>
      <c r="N23" s="7">
        <f t="shared" si="31"/>
        <v>3259.3879999999999</v>
      </c>
      <c r="O23" s="49">
        <f t="shared" si="16"/>
        <v>0</v>
      </c>
      <c r="P23" s="33">
        <f t="shared" si="17"/>
        <v>0</v>
      </c>
      <c r="Q23" s="7">
        <f t="shared" si="32"/>
        <v>5191.78</v>
      </c>
      <c r="R23" s="49">
        <f t="shared" si="18"/>
        <v>0</v>
      </c>
      <c r="S23" s="33">
        <f t="shared" si="19"/>
        <v>0</v>
      </c>
      <c r="T23" s="8">
        <f t="shared" si="25"/>
        <v>0</v>
      </c>
      <c r="U23" s="35">
        <f t="shared" si="22"/>
        <v>0</v>
      </c>
      <c r="W23" s="165">
        <v>44490</v>
      </c>
      <c r="X23" s="166"/>
      <c r="Y23" s="35">
        <f t="shared" si="23"/>
        <v>0</v>
      </c>
      <c r="Z23" s="166"/>
      <c r="AA23" s="35">
        <f t="shared" si="24"/>
        <v>0</v>
      </c>
      <c r="AB23" s="166"/>
      <c r="AC23" s="35">
        <f t="shared" si="26"/>
        <v>0</v>
      </c>
    </row>
    <row r="24" spans="1:29" ht="16.5" thickBot="1" x14ac:dyDescent="0.25">
      <c r="A24" s="10">
        <v>44491</v>
      </c>
      <c r="B24" s="168">
        <f t="shared" si="27"/>
        <v>22426</v>
      </c>
      <c r="C24" s="49">
        <f t="shared" si="21"/>
        <v>0</v>
      </c>
      <c r="D24" s="33">
        <f t="shared" si="9"/>
        <v>0</v>
      </c>
      <c r="E24" s="1">
        <f t="shared" si="28"/>
        <v>3974.1869999999999</v>
      </c>
      <c r="F24" s="49">
        <f t="shared" si="10"/>
        <v>0</v>
      </c>
      <c r="G24" s="33">
        <f t="shared" si="11"/>
        <v>0</v>
      </c>
      <c r="H24" s="1">
        <f t="shared" si="29"/>
        <v>4189</v>
      </c>
      <c r="I24" s="49">
        <f t="shared" si="12"/>
        <v>0</v>
      </c>
      <c r="J24" s="33">
        <f t="shared" si="13"/>
        <v>0</v>
      </c>
      <c r="K24" s="7">
        <f t="shared" si="30"/>
        <v>13760.97</v>
      </c>
      <c r="L24" s="49">
        <f t="shared" si="14"/>
        <v>0</v>
      </c>
      <c r="M24" s="33">
        <f t="shared" si="15"/>
        <v>0</v>
      </c>
      <c r="N24" s="7">
        <f t="shared" si="31"/>
        <v>3259.3879999999999</v>
      </c>
      <c r="O24" s="49">
        <f t="shared" si="16"/>
        <v>0</v>
      </c>
      <c r="P24" s="33">
        <f t="shared" si="17"/>
        <v>0</v>
      </c>
      <c r="Q24" s="7">
        <f t="shared" si="32"/>
        <v>5191.78</v>
      </c>
      <c r="R24" s="49">
        <f t="shared" si="18"/>
        <v>0</v>
      </c>
      <c r="S24" s="33">
        <f t="shared" si="19"/>
        <v>0</v>
      </c>
      <c r="T24" s="8">
        <f t="shared" si="25"/>
        <v>0</v>
      </c>
      <c r="U24" s="35">
        <f t="shared" si="22"/>
        <v>0</v>
      </c>
      <c r="W24" s="165">
        <v>44491</v>
      </c>
      <c r="X24" s="166"/>
      <c r="Y24" s="35">
        <f t="shared" si="23"/>
        <v>0</v>
      </c>
      <c r="Z24" s="166"/>
      <c r="AA24" s="35">
        <f t="shared" si="24"/>
        <v>0</v>
      </c>
      <c r="AB24" s="166"/>
      <c r="AC24" s="35">
        <f t="shared" si="26"/>
        <v>0</v>
      </c>
    </row>
    <row r="25" spans="1:29" ht="16.5" thickBot="1" x14ac:dyDescent="0.25">
      <c r="A25" s="10">
        <v>44492</v>
      </c>
      <c r="B25" s="168">
        <f t="shared" si="27"/>
        <v>22426</v>
      </c>
      <c r="C25" s="49">
        <f t="shared" si="21"/>
        <v>0</v>
      </c>
      <c r="D25" s="33">
        <f t="shared" si="9"/>
        <v>0</v>
      </c>
      <c r="E25" s="1">
        <f t="shared" si="28"/>
        <v>3974.1869999999999</v>
      </c>
      <c r="F25" s="49">
        <f t="shared" si="10"/>
        <v>0</v>
      </c>
      <c r="G25" s="33">
        <f t="shared" si="11"/>
        <v>0</v>
      </c>
      <c r="H25" s="1">
        <f t="shared" si="29"/>
        <v>4189</v>
      </c>
      <c r="I25" s="49">
        <f t="shared" si="12"/>
        <v>0</v>
      </c>
      <c r="J25" s="33">
        <f t="shared" si="13"/>
        <v>0</v>
      </c>
      <c r="K25" s="7">
        <f t="shared" si="30"/>
        <v>13760.97</v>
      </c>
      <c r="L25" s="49">
        <f t="shared" si="14"/>
        <v>0</v>
      </c>
      <c r="M25" s="33">
        <f t="shared" si="15"/>
        <v>0</v>
      </c>
      <c r="N25" s="7">
        <f t="shared" si="31"/>
        <v>3259.3879999999999</v>
      </c>
      <c r="O25" s="49">
        <f t="shared" si="16"/>
        <v>0</v>
      </c>
      <c r="P25" s="33">
        <f t="shared" si="17"/>
        <v>0</v>
      </c>
      <c r="Q25" s="7">
        <f t="shared" si="32"/>
        <v>5191.78</v>
      </c>
      <c r="R25" s="49">
        <f t="shared" si="18"/>
        <v>0</v>
      </c>
      <c r="S25" s="33">
        <f t="shared" si="19"/>
        <v>0</v>
      </c>
      <c r="T25" s="8">
        <f t="shared" si="25"/>
        <v>0</v>
      </c>
      <c r="U25" s="35">
        <f t="shared" si="22"/>
        <v>0</v>
      </c>
      <c r="W25" s="165">
        <v>44492</v>
      </c>
      <c r="X25" s="166"/>
      <c r="Y25" s="35">
        <f t="shared" si="23"/>
        <v>0</v>
      </c>
      <c r="Z25" s="166"/>
      <c r="AA25" s="35">
        <f t="shared" si="24"/>
        <v>0</v>
      </c>
      <c r="AB25" s="166"/>
      <c r="AC25" s="35">
        <f t="shared" si="26"/>
        <v>0</v>
      </c>
    </row>
    <row r="26" spans="1:29" ht="16.5" thickBot="1" x14ac:dyDescent="0.25">
      <c r="A26" s="10">
        <v>44493</v>
      </c>
      <c r="B26" s="168">
        <f t="shared" si="27"/>
        <v>22426</v>
      </c>
      <c r="C26" s="49">
        <f t="shared" si="21"/>
        <v>0</v>
      </c>
      <c r="D26" s="33">
        <f t="shared" si="9"/>
        <v>0</v>
      </c>
      <c r="E26" s="1">
        <f t="shared" si="28"/>
        <v>3974.1869999999999</v>
      </c>
      <c r="F26" s="49">
        <f t="shared" si="10"/>
        <v>0</v>
      </c>
      <c r="G26" s="33">
        <f t="shared" si="11"/>
        <v>0</v>
      </c>
      <c r="H26" s="1">
        <f t="shared" si="29"/>
        <v>4189</v>
      </c>
      <c r="I26" s="49">
        <f t="shared" si="12"/>
        <v>0</v>
      </c>
      <c r="J26" s="33">
        <f t="shared" si="13"/>
        <v>0</v>
      </c>
      <c r="K26" s="7">
        <f t="shared" si="30"/>
        <v>13760.97</v>
      </c>
      <c r="L26" s="49">
        <f t="shared" si="14"/>
        <v>0</v>
      </c>
      <c r="M26" s="33">
        <f t="shared" si="15"/>
        <v>0</v>
      </c>
      <c r="N26" s="7">
        <f t="shared" si="31"/>
        <v>3259.3879999999999</v>
      </c>
      <c r="O26" s="49">
        <f t="shared" si="16"/>
        <v>0</v>
      </c>
      <c r="P26" s="33">
        <f t="shared" si="17"/>
        <v>0</v>
      </c>
      <c r="Q26" s="7">
        <f t="shared" si="32"/>
        <v>5191.78</v>
      </c>
      <c r="R26" s="49">
        <f t="shared" si="18"/>
        <v>0</v>
      </c>
      <c r="S26" s="33">
        <f t="shared" si="19"/>
        <v>0</v>
      </c>
      <c r="T26" s="8">
        <f t="shared" si="25"/>
        <v>0</v>
      </c>
      <c r="U26" s="35">
        <f t="shared" si="22"/>
        <v>0</v>
      </c>
      <c r="V26" t="s">
        <v>12</v>
      </c>
      <c r="W26" s="165">
        <v>44493</v>
      </c>
      <c r="X26" s="166"/>
      <c r="Y26" s="35">
        <f t="shared" si="23"/>
        <v>0</v>
      </c>
      <c r="Z26" s="166"/>
      <c r="AA26" s="35">
        <f t="shared" si="24"/>
        <v>0</v>
      </c>
      <c r="AB26" s="166"/>
      <c r="AC26" s="35">
        <f t="shared" si="26"/>
        <v>0</v>
      </c>
    </row>
    <row r="27" spans="1:29" ht="16.5" thickBot="1" x14ac:dyDescent="0.25">
      <c r="A27" s="10">
        <v>44494</v>
      </c>
      <c r="B27" s="168">
        <f t="shared" si="27"/>
        <v>22426</v>
      </c>
      <c r="C27" s="49">
        <f t="shared" si="21"/>
        <v>0</v>
      </c>
      <c r="D27" s="33">
        <f t="shared" si="9"/>
        <v>0</v>
      </c>
      <c r="E27" s="1">
        <f t="shared" si="28"/>
        <v>3974.1869999999999</v>
      </c>
      <c r="F27" s="49">
        <f t="shared" si="10"/>
        <v>0</v>
      </c>
      <c r="G27" s="33">
        <f t="shared" si="11"/>
        <v>0</v>
      </c>
      <c r="H27" s="1">
        <f t="shared" si="29"/>
        <v>4189</v>
      </c>
      <c r="I27" s="49">
        <f t="shared" si="12"/>
        <v>0</v>
      </c>
      <c r="J27" s="33">
        <f t="shared" si="13"/>
        <v>0</v>
      </c>
      <c r="K27" s="7">
        <f t="shared" si="30"/>
        <v>13760.97</v>
      </c>
      <c r="L27" s="49">
        <f t="shared" si="14"/>
        <v>0</v>
      </c>
      <c r="M27" s="33">
        <f t="shared" si="15"/>
        <v>0</v>
      </c>
      <c r="N27" s="7">
        <f t="shared" si="31"/>
        <v>3259.3879999999999</v>
      </c>
      <c r="O27" s="49">
        <f t="shared" si="16"/>
        <v>0</v>
      </c>
      <c r="P27" s="33">
        <f t="shared" si="17"/>
        <v>0</v>
      </c>
      <c r="Q27" s="7">
        <f t="shared" si="32"/>
        <v>5191.78</v>
      </c>
      <c r="R27" s="49">
        <f t="shared" si="18"/>
        <v>0</v>
      </c>
      <c r="S27" s="33">
        <f t="shared" si="19"/>
        <v>0</v>
      </c>
      <c r="T27" s="8">
        <f t="shared" si="25"/>
        <v>0</v>
      </c>
      <c r="U27" s="35">
        <f t="shared" si="22"/>
        <v>0</v>
      </c>
      <c r="V27" t="s">
        <v>12</v>
      </c>
      <c r="W27" s="165">
        <v>44494</v>
      </c>
      <c r="X27" s="166"/>
      <c r="Y27" s="35">
        <f t="shared" si="23"/>
        <v>0</v>
      </c>
      <c r="Z27" s="166"/>
      <c r="AA27" s="35">
        <f t="shared" si="24"/>
        <v>0</v>
      </c>
      <c r="AB27" s="166"/>
      <c r="AC27" s="35">
        <f t="shared" si="26"/>
        <v>0</v>
      </c>
    </row>
    <row r="28" spans="1:29" ht="16.5" thickBot="1" x14ac:dyDescent="0.25">
      <c r="A28" s="10">
        <v>44495</v>
      </c>
      <c r="B28" s="168">
        <f t="shared" si="27"/>
        <v>22426</v>
      </c>
      <c r="C28" s="49">
        <f t="shared" si="21"/>
        <v>0</v>
      </c>
      <c r="D28" s="33">
        <f t="shared" si="9"/>
        <v>0</v>
      </c>
      <c r="E28" s="1">
        <f t="shared" si="28"/>
        <v>3974.1869999999999</v>
      </c>
      <c r="F28" s="49">
        <f t="shared" si="10"/>
        <v>0</v>
      </c>
      <c r="G28" s="33">
        <f t="shared" si="11"/>
        <v>0</v>
      </c>
      <c r="H28" s="1">
        <f t="shared" si="29"/>
        <v>4189</v>
      </c>
      <c r="I28" s="49">
        <f t="shared" si="12"/>
        <v>0</v>
      </c>
      <c r="J28" s="33">
        <f t="shared" si="13"/>
        <v>0</v>
      </c>
      <c r="K28" s="7">
        <f t="shared" si="30"/>
        <v>13760.97</v>
      </c>
      <c r="L28" s="49">
        <f t="shared" si="14"/>
        <v>0</v>
      </c>
      <c r="M28" s="33">
        <f t="shared" si="15"/>
        <v>0</v>
      </c>
      <c r="N28" s="7">
        <f t="shared" si="31"/>
        <v>3259.3879999999999</v>
      </c>
      <c r="O28" s="49">
        <f t="shared" si="16"/>
        <v>0</v>
      </c>
      <c r="P28" s="33">
        <f t="shared" si="17"/>
        <v>0</v>
      </c>
      <c r="Q28" s="7">
        <f t="shared" si="32"/>
        <v>5191.78</v>
      </c>
      <c r="R28" s="49">
        <f t="shared" si="18"/>
        <v>0</v>
      </c>
      <c r="S28" s="33">
        <f t="shared" si="19"/>
        <v>0</v>
      </c>
      <c r="T28" s="8">
        <f t="shared" si="25"/>
        <v>0</v>
      </c>
      <c r="U28" s="35">
        <f t="shared" si="22"/>
        <v>0</v>
      </c>
      <c r="W28" s="165">
        <v>44495</v>
      </c>
      <c r="X28" s="166"/>
      <c r="Y28" s="35">
        <f t="shared" si="23"/>
        <v>0</v>
      </c>
      <c r="Z28" s="166"/>
      <c r="AA28" s="35">
        <f t="shared" si="24"/>
        <v>0</v>
      </c>
      <c r="AB28" s="166"/>
      <c r="AC28" s="35">
        <f t="shared" si="26"/>
        <v>0</v>
      </c>
    </row>
    <row r="29" spans="1:29" ht="16.5" thickBot="1" x14ac:dyDescent="0.25">
      <c r="A29" s="10">
        <v>44496</v>
      </c>
      <c r="B29" s="168">
        <f t="shared" si="27"/>
        <v>22426</v>
      </c>
      <c r="C29" s="49">
        <f t="shared" si="21"/>
        <v>0</v>
      </c>
      <c r="D29" s="33">
        <f t="shared" si="9"/>
        <v>0</v>
      </c>
      <c r="E29" s="1">
        <f t="shared" si="28"/>
        <v>3974.1869999999999</v>
      </c>
      <c r="F29" s="49">
        <f t="shared" si="10"/>
        <v>0</v>
      </c>
      <c r="G29" s="33">
        <f t="shared" si="11"/>
        <v>0</v>
      </c>
      <c r="H29" s="1">
        <f t="shared" si="29"/>
        <v>4189</v>
      </c>
      <c r="I29" s="49">
        <f t="shared" si="12"/>
        <v>0</v>
      </c>
      <c r="J29" s="33">
        <f t="shared" si="13"/>
        <v>0</v>
      </c>
      <c r="K29" s="7">
        <f t="shared" si="30"/>
        <v>13760.97</v>
      </c>
      <c r="L29" s="49">
        <f t="shared" si="14"/>
        <v>0</v>
      </c>
      <c r="M29" s="33">
        <f t="shared" si="15"/>
        <v>0</v>
      </c>
      <c r="N29" s="7">
        <f t="shared" si="31"/>
        <v>3259.3879999999999</v>
      </c>
      <c r="O29" s="49">
        <f t="shared" si="16"/>
        <v>0</v>
      </c>
      <c r="P29" s="33">
        <f t="shared" si="17"/>
        <v>0</v>
      </c>
      <c r="Q29" s="7">
        <f t="shared" si="32"/>
        <v>5191.78</v>
      </c>
      <c r="R29" s="49">
        <f t="shared" si="18"/>
        <v>0</v>
      </c>
      <c r="S29" s="33">
        <f t="shared" si="19"/>
        <v>0</v>
      </c>
      <c r="T29" s="8">
        <f t="shared" si="25"/>
        <v>0</v>
      </c>
      <c r="U29" s="35">
        <f t="shared" si="22"/>
        <v>0</v>
      </c>
      <c r="W29" s="165">
        <v>44496</v>
      </c>
      <c r="X29" s="166"/>
      <c r="Y29" s="35">
        <f t="shared" si="23"/>
        <v>0</v>
      </c>
      <c r="Z29" s="166"/>
      <c r="AA29" s="35">
        <f t="shared" si="24"/>
        <v>0</v>
      </c>
      <c r="AB29" s="166"/>
      <c r="AC29" s="35">
        <f t="shared" si="26"/>
        <v>0</v>
      </c>
    </row>
    <row r="30" spans="1:29" ht="16.5" thickBot="1" x14ac:dyDescent="0.25">
      <c r="A30" s="10">
        <v>44497</v>
      </c>
      <c r="B30" s="168">
        <f t="shared" si="27"/>
        <v>22426</v>
      </c>
      <c r="C30" s="49">
        <f t="shared" si="21"/>
        <v>0</v>
      </c>
      <c r="D30" s="33">
        <f t="shared" si="9"/>
        <v>0</v>
      </c>
      <c r="E30" s="1">
        <f t="shared" si="28"/>
        <v>3974.1869999999999</v>
      </c>
      <c r="F30" s="49">
        <f t="shared" si="10"/>
        <v>0</v>
      </c>
      <c r="G30" s="33">
        <f t="shared" si="11"/>
        <v>0</v>
      </c>
      <c r="H30" s="1">
        <f t="shared" si="29"/>
        <v>4189</v>
      </c>
      <c r="I30" s="49">
        <f t="shared" si="12"/>
        <v>0</v>
      </c>
      <c r="J30" s="33">
        <f t="shared" si="13"/>
        <v>0</v>
      </c>
      <c r="K30" s="7">
        <f t="shared" si="30"/>
        <v>13760.97</v>
      </c>
      <c r="L30" s="49">
        <f t="shared" si="14"/>
        <v>0</v>
      </c>
      <c r="M30" s="33">
        <f t="shared" si="15"/>
        <v>0</v>
      </c>
      <c r="N30" s="7">
        <f t="shared" si="31"/>
        <v>3259.3879999999999</v>
      </c>
      <c r="O30" s="49">
        <f t="shared" si="16"/>
        <v>0</v>
      </c>
      <c r="P30" s="33">
        <f t="shared" si="17"/>
        <v>0</v>
      </c>
      <c r="Q30" s="7">
        <f t="shared" si="32"/>
        <v>5191.78</v>
      </c>
      <c r="R30" s="49">
        <f t="shared" si="18"/>
        <v>0</v>
      </c>
      <c r="S30" s="33">
        <f t="shared" si="19"/>
        <v>0</v>
      </c>
      <c r="T30" s="8">
        <f t="shared" si="25"/>
        <v>0</v>
      </c>
      <c r="U30" s="35">
        <f t="shared" si="22"/>
        <v>0</v>
      </c>
      <c r="W30" s="165">
        <v>44497</v>
      </c>
      <c r="X30" s="166"/>
      <c r="Y30" s="35">
        <f t="shared" si="23"/>
        <v>0</v>
      </c>
      <c r="Z30" s="166"/>
      <c r="AA30" s="35">
        <f t="shared" si="24"/>
        <v>0</v>
      </c>
      <c r="AB30" s="166"/>
      <c r="AC30" s="35">
        <f t="shared" si="26"/>
        <v>0</v>
      </c>
    </row>
    <row r="31" spans="1:29" ht="16.5" thickBot="1" x14ac:dyDescent="0.25">
      <c r="A31" s="10">
        <v>44498</v>
      </c>
      <c r="B31" s="168">
        <f t="shared" si="27"/>
        <v>22426</v>
      </c>
      <c r="C31" s="49">
        <f t="shared" si="21"/>
        <v>0</v>
      </c>
      <c r="D31" s="33">
        <f t="shared" si="9"/>
        <v>0</v>
      </c>
      <c r="E31" s="1">
        <f t="shared" si="28"/>
        <v>3974.1869999999999</v>
      </c>
      <c r="F31" s="49">
        <f t="shared" si="10"/>
        <v>0</v>
      </c>
      <c r="G31" s="33">
        <f t="shared" si="11"/>
        <v>0</v>
      </c>
      <c r="H31" s="1">
        <f t="shared" si="29"/>
        <v>4189</v>
      </c>
      <c r="I31" s="49">
        <f t="shared" si="12"/>
        <v>0</v>
      </c>
      <c r="J31" s="33">
        <f t="shared" si="13"/>
        <v>0</v>
      </c>
      <c r="K31" s="7">
        <f t="shared" si="30"/>
        <v>13760.97</v>
      </c>
      <c r="L31" s="49">
        <f t="shared" si="14"/>
        <v>0</v>
      </c>
      <c r="M31" s="33">
        <f t="shared" si="15"/>
        <v>0</v>
      </c>
      <c r="N31" s="7">
        <f t="shared" si="31"/>
        <v>3259.3879999999999</v>
      </c>
      <c r="O31" s="49">
        <f t="shared" si="16"/>
        <v>0</v>
      </c>
      <c r="P31" s="33">
        <f t="shared" si="17"/>
        <v>0</v>
      </c>
      <c r="Q31" s="7">
        <f t="shared" si="32"/>
        <v>5191.78</v>
      </c>
      <c r="R31" s="49">
        <f t="shared" si="18"/>
        <v>0</v>
      </c>
      <c r="S31" s="33">
        <f t="shared" si="19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/>
      <c r="Y31" s="35">
        <f t="shared" si="23"/>
        <v>0</v>
      </c>
      <c r="Z31" s="166"/>
      <c r="AA31" s="35">
        <f t="shared" si="24"/>
        <v>0</v>
      </c>
      <c r="AB31" s="166"/>
      <c r="AC31" s="35">
        <f t="shared" si="26"/>
        <v>0</v>
      </c>
    </row>
    <row r="32" spans="1:29" ht="16.5" thickBot="1" x14ac:dyDescent="0.25">
      <c r="A32" s="10">
        <v>44499</v>
      </c>
      <c r="B32" s="168">
        <f t="shared" si="27"/>
        <v>22426</v>
      </c>
      <c r="C32" s="49">
        <f t="shared" si="21"/>
        <v>0</v>
      </c>
      <c r="D32" s="33">
        <f t="shared" si="9"/>
        <v>0</v>
      </c>
      <c r="E32" s="1">
        <f t="shared" si="28"/>
        <v>3974.1869999999999</v>
      </c>
      <c r="F32" s="49">
        <f t="shared" si="10"/>
        <v>0</v>
      </c>
      <c r="G32" s="33">
        <f t="shared" si="11"/>
        <v>0</v>
      </c>
      <c r="H32" s="1">
        <f t="shared" si="29"/>
        <v>4189</v>
      </c>
      <c r="I32" s="49">
        <f t="shared" si="12"/>
        <v>0</v>
      </c>
      <c r="J32" s="33">
        <f t="shared" si="13"/>
        <v>0</v>
      </c>
      <c r="K32" s="7">
        <f t="shared" si="30"/>
        <v>13760.97</v>
      </c>
      <c r="L32" s="49">
        <f t="shared" si="14"/>
        <v>0</v>
      </c>
      <c r="M32" s="33">
        <f t="shared" si="15"/>
        <v>0</v>
      </c>
      <c r="N32" s="7">
        <f t="shared" si="31"/>
        <v>3259.3879999999999</v>
      </c>
      <c r="O32" s="49">
        <f t="shared" si="16"/>
        <v>0</v>
      </c>
      <c r="P32" s="33">
        <f t="shared" si="17"/>
        <v>0</v>
      </c>
      <c r="Q32" s="7">
        <f t="shared" si="32"/>
        <v>5191.78</v>
      </c>
      <c r="R32" s="49">
        <f t="shared" si="18"/>
        <v>0</v>
      </c>
      <c r="S32" s="33">
        <f t="shared" si="19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/>
      <c r="Y32" s="35">
        <f t="shared" si="23"/>
        <v>0</v>
      </c>
      <c r="Z32" s="166"/>
      <c r="AA32" s="35">
        <f t="shared" si="24"/>
        <v>0</v>
      </c>
      <c r="AB32" s="166"/>
      <c r="AC32" s="35">
        <f t="shared" si="26"/>
        <v>0</v>
      </c>
    </row>
    <row r="33" spans="1:29" ht="16.5" thickBot="1" x14ac:dyDescent="0.25">
      <c r="A33" s="10">
        <v>44500</v>
      </c>
      <c r="B33" s="168">
        <f t="shared" si="27"/>
        <v>22426</v>
      </c>
      <c r="C33" s="49">
        <f t="shared" ref="C33" si="33">IF((B33-B32)&lt;0,"0",(B33-B32))</f>
        <v>0</v>
      </c>
      <c r="D33" s="33">
        <f t="shared" si="9"/>
        <v>0</v>
      </c>
      <c r="E33" s="1">
        <f t="shared" si="28"/>
        <v>3974.1869999999999</v>
      </c>
      <c r="F33" s="49">
        <f t="shared" si="10"/>
        <v>0</v>
      </c>
      <c r="G33" s="33">
        <f t="shared" si="11"/>
        <v>0</v>
      </c>
      <c r="H33" s="1">
        <f t="shared" si="29"/>
        <v>4189</v>
      </c>
      <c r="I33" s="49">
        <f t="shared" si="12"/>
        <v>0</v>
      </c>
      <c r="J33" s="33">
        <f t="shared" si="13"/>
        <v>0</v>
      </c>
      <c r="K33" s="7">
        <f t="shared" si="30"/>
        <v>13760.97</v>
      </c>
      <c r="L33" s="49">
        <f t="shared" si="14"/>
        <v>0</v>
      </c>
      <c r="M33" s="33">
        <f t="shared" si="15"/>
        <v>0</v>
      </c>
      <c r="N33" s="7">
        <f t="shared" si="31"/>
        <v>3259.3879999999999</v>
      </c>
      <c r="O33" s="49">
        <f t="shared" si="16"/>
        <v>0</v>
      </c>
      <c r="P33" s="33">
        <f t="shared" si="17"/>
        <v>0</v>
      </c>
      <c r="Q33" s="7">
        <f t="shared" si="32"/>
        <v>5191.78</v>
      </c>
      <c r="R33" s="49">
        <f t="shared" si="18"/>
        <v>0</v>
      </c>
      <c r="S33" s="33">
        <f t="shared" si="19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/>
      <c r="Y33" s="35">
        <f t="shared" si="23"/>
        <v>0</v>
      </c>
      <c r="Z33" s="166"/>
      <c r="AA33" s="35">
        <f t="shared" si="24"/>
        <v>0</v>
      </c>
      <c r="AB33" s="166"/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80.066999999999098</v>
      </c>
      <c r="D34" s="144">
        <f>SUM(D2:D33)</f>
        <v>152127.29999999827</v>
      </c>
      <c r="E34" s="144">
        <v>0</v>
      </c>
      <c r="F34" s="144">
        <f>SUM(F2:F33)</f>
        <v>23.367999999999938</v>
      </c>
      <c r="G34" s="144">
        <f>SUM(G2:G33)</f>
        <v>44399.199999999881</v>
      </c>
      <c r="H34" s="144"/>
      <c r="I34" s="144">
        <f>SUM(I2:I33)</f>
        <v>62</v>
      </c>
      <c r="J34" s="144">
        <f>SUM(J2:J33)</f>
        <v>117800</v>
      </c>
      <c r="K34" s="144"/>
      <c r="L34" s="144">
        <f>SUM(L2:L33)</f>
        <v>25.709999999999127</v>
      </c>
      <c r="M34" s="144">
        <f>SUM(M2:M33)</f>
        <v>48848.999999998341</v>
      </c>
      <c r="N34" s="144"/>
      <c r="O34" s="144">
        <f>SUM(O2:O33)</f>
        <v>16.998000000000047</v>
      </c>
      <c r="P34" s="144">
        <f>SUM(P2:P33)</f>
        <v>32296.200000000084</v>
      </c>
      <c r="Q34" s="144"/>
      <c r="R34" s="144">
        <f>SUM(R2:R33)</f>
        <v>16.889999999999418</v>
      </c>
      <c r="S34" s="144">
        <f>SUM(S2:S33)</f>
        <v>32090.999999998894</v>
      </c>
      <c r="T34" s="144">
        <f>SUM(T2:T33)</f>
        <v>225.03299999999763</v>
      </c>
      <c r="U34" s="144">
        <f>SUM(U2:U33)</f>
        <v>427562.69999999541</v>
      </c>
      <c r="V34"/>
      <c r="W34" s="144" t="s">
        <v>144</v>
      </c>
      <c r="X34" s="144"/>
      <c r="Y34" s="144">
        <f>SUM(Y4:Y33)</f>
        <v>-148204</v>
      </c>
      <c r="Z34" s="144"/>
      <c r="AA34" s="144">
        <f>SUM(AA4:AA33)</f>
        <v>-7447</v>
      </c>
      <c r="AB34" s="144"/>
      <c r="AC34" s="144"/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234694</v>
      </c>
      <c r="D2" s="102">
        <f>C2*1.27</f>
        <v>298061.38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28319531</v>
      </c>
      <c r="K3" s="97">
        <f>J3-I3</f>
        <v>149776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89814400</v>
      </c>
      <c r="K4" s="97">
        <f>J4-I4</f>
        <v>562678</v>
      </c>
    </row>
    <row r="5" spans="1:11" ht="13.5" thickBot="1" x14ac:dyDescent="0.25">
      <c r="A5" s="100"/>
      <c r="B5" s="106" t="s">
        <v>27</v>
      </c>
      <c r="C5" s="110">
        <f>(K10+K12)*0.842284+K26</f>
        <v>316773.46216400003</v>
      </c>
      <c r="D5" s="110">
        <f t="shared" ref="D5:D11" si="0">C5*1.27</f>
        <v>402302.29694828001</v>
      </c>
      <c r="E5" s="111"/>
      <c r="F5" s="100"/>
      <c r="G5" s="100"/>
      <c r="H5" s="106" t="s">
        <v>23</v>
      </c>
      <c r="I5" s="112"/>
      <c r="J5" s="112"/>
      <c r="K5" s="132">
        <f>K3+K4</f>
        <v>712454</v>
      </c>
    </row>
    <row r="6" spans="1:11" ht="13.5" thickBot="1" x14ac:dyDescent="0.25">
      <c r="A6" s="100"/>
      <c r="B6" s="106" t="s">
        <v>99</v>
      </c>
      <c r="C6" s="110">
        <f>(K10+K12+K26)*0.1488</f>
        <v>55703.428799999994</v>
      </c>
      <c r="D6" s="110">
        <f t="shared" si="0"/>
        <v>70743.354575999998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8839980</v>
      </c>
      <c r="K6" s="97">
        <f>J6-I6</f>
        <v>61092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8780161</v>
      </c>
      <c r="K7" s="97">
        <f>J7-I7</f>
        <v>51597</v>
      </c>
    </row>
    <row r="8" spans="1:11" ht="13.5" thickBot="1" x14ac:dyDescent="0.25">
      <c r="A8" s="100"/>
      <c r="B8" s="106" t="s">
        <v>103</v>
      </c>
      <c r="C8" s="110">
        <f>K21+K22+K23+K24</f>
        <v>12628</v>
      </c>
      <c r="D8" s="110">
        <f t="shared" si="0"/>
        <v>16037.56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5932016</v>
      </c>
      <c r="K8" s="97">
        <f>(J8-I8)*2</f>
        <v>96356</v>
      </c>
    </row>
    <row r="9" spans="1:11" ht="13.5" thickBot="1" x14ac:dyDescent="0.25">
      <c r="A9" s="100"/>
      <c r="B9" s="106" t="s">
        <v>137</v>
      </c>
      <c r="C9" s="110">
        <f>K25+K16+K17</f>
        <v>1956</v>
      </c>
      <c r="D9" s="110">
        <f t="shared" si="0"/>
        <v>2484.12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5203923</v>
      </c>
      <c r="K9" s="97">
        <f>J9-I9</f>
        <v>120148</v>
      </c>
    </row>
    <row r="10" spans="1:11" ht="13.5" thickBot="1" x14ac:dyDescent="0.25">
      <c r="A10" s="100"/>
      <c r="B10" s="106" t="s">
        <v>106</v>
      </c>
      <c r="C10" s="110">
        <f>K18</f>
        <v>6080</v>
      </c>
      <c r="D10" s="110">
        <f t="shared" si="0"/>
        <v>7721.6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18946538</v>
      </c>
      <c r="K10" s="97">
        <f>J10-I10</f>
        <v>115245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6760841</v>
      </c>
      <c r="K12" s="97">
        <f>(J12-I12)*2</f>
        <v>249826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694264</v>
      </c>
    </row>
    <row r="14" spans="1:11" ht="13.5" thickBot="1" x14ac:dyDescent="0.25">
      <c r="A14" s="100"/>
      <c r="B14" s="106" t="s">
        <v>42</v>
      </c>
      <c r="C14" s="110">
        <f>K29</f>
        <v>11920</v>
      </c>
      <c r="D14" s="118">
        <f t="shared" ref="D14:D22" si="1">C14*10.03</f>
        <v>119557.59999999999</v>
      </c>
      <c r="E14" s="119"/>
      <c r="F14" s="100"/>
      <c r="G14" s="100"/>
      <c r="H14" s="106" t="s">
        <v>114</v>
      </c>
      <c r="I14" s="115"/>
      <c r="J14" s="116"/>
      <c r="K14" s="98">
        <f>K5-K13</f>
        <v>18190</v>
      </c>
    </row>
    <row r="15" spans="1:11" ht="13.5" thickBot="1" x14ac:dyDescent="0.25">
      <c r="A15" s="100"/>
      <c r="B15" s="106" t="s">
        <v>115</v>
      </c>
      <c r="C15" s="120">
        <f>K30</f>
        <v>55.35</v>
      </c>
      <c r="D15" s="118">
        <f t="shared" si="1"/>
        <v>555.16049999999996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796.68486999999993</v>
      </c>
      <c r="D16" s="118">
        <f t="shared" si="1"/>
        <v>7990.7492460999993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3800</v>
      </c>
      <c r="K16" s="99">
        <f>(J16-I16)*160</f>
        <v>1920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25469</v>
      </c>
      <c r="K18" s="99">
        <f>(J18-I18)*160</f>
        <v>6080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0</v>
      </c>
      <c r="K19" s="99">
        <f>J19-I19</f>
        <v>-122812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46025</v>
      </c>
      <c r="K21" s="99">
        <f>(J21-I21)*120</f>
        <v>5160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5247.9651300000005</v>
      </c>
      <c r="D22" s="118">
        <f t="shared" si="1"/>
        <v>52637.090253900002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39929</v>
      </c>
      <c r="K22" s="99">
        <f>(J22-I22)*160</f>
        <v>5920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20883</v>
      </c>
      <c r="K23" s="99">
        <f>(J23-I23)*20</f>
        <v>860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249750</v>
      </c>
      <c r="K24" s="99">
        <f>J24-I24</f>
        <v>688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215967</v>
      </c>
      <c r="K25" s="99">
        <f>J25-I25</f>
        <v>36</v>
      </c>
    </row>
    <row r="26" spans="1:11" ht="13.5" thickBot="1" x14ac:dyDescent="0.25">
      <c r="A26" s="100"/>
      <c r="B26" s="106" t="s">
        <v>42</v>
      </c>
      <c r="C26" s="124">
        <f>K35</f>
        <v>25461</v>
      </c>
      <c r="D26" s="110">
        <f>C26*3.65</f>
        <v>92932.65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18979</v>
      </c>
      <c r="K26" s="99">
        <f>(J26-I26)*160</f>
        <v>9280</v>
      </c>
    </row>
    <row r="27" spans="1:11" ht="13.5" thickBot="1" x14ac:dyDescent="0.25">
      <c r="A27" s="100"/>
      <c r="B27" s="101" t="s">
        <v>124</v>
      </c>
      <c r="C27" s="124">
        <f>C26</f>
        <v>25461</v>
      </c>
      <c r="D27" s="110">
        <f>C27*3.65</f>
        <v>92932.65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427835</v>
      </c>
      <c r="K29" s="99">
        <f>(J29-I29)*10</f>
        <v>11920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752200</v>
      </c>
      <c r="K30" s="99">
        <f>(J30-I30)*0.027</f>
        <v>55.35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6010800</v>
      </c>
      <c r="K32" s="99">
        <f>(J32-I32)*0.027</f>
        <v>5729.4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17663042</v>
      </c>
      <c r="K35" s="130">
        <f>J35-I35</f>
        <v>25461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2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2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4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4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3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3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2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2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4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4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3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3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2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2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4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4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3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3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2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2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4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4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3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3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2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2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4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4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3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3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2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2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4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4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3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3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2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2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4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4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3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3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2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2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4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4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3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3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2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2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4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4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3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3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2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2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4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4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3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3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2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2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4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4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3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3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2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2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4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4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3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3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2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2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4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4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3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3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2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2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4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4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3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3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2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2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4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4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2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2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4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4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2">
        <v>23</v>
      </c>
      <c r="D49" s="66" t="s">
        <v>83</v>
      </c>
      <c r="E49" s="81"/>
      <c r="F49" s="81"/>
      <c r="G49" s="68">
        <f t="shared" si="0"/>
        <v>0</v>
      </c>
      <c r="H49" s="69"/>
      <c r="J49" s="182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4"/>
      <c r="D50" s="66" t="s">
        <v>82</v>
      </c>
      <c r="E50" s="81"/>
      <c r="F50" s="81"/>
      <c r="G50" s="68">
        <f t="shared" si="0"/>
        <v>0</v>
      </c>
      <c r="H50" s="69"/>
      <c r="J50" s="184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5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5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6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6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7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7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2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2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3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3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2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2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3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3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2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2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3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3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2">
        <v>28</v>
      </c>
      <c r="D62" s="191" t="s">
        <v>86</v>
      </c>
      <c r="E62" s="67"/>
      <c r="F62" s="67"/>
      <c r="G62" s="68"/>
      <c r="H62" s="193" t="s">
        <v>87</v>
      </c>
      <c r="I62" s="72"/>
      <c r="J62" s="182">
        <v>28</v>
      </c>
      <c r="K62" s="191" t="s">
        <v>86</v>
      </c>
      <c r="L62" s="67"/>
      <c r="M62" s="67"/>
      <c r="N62" s="68"/>
      <c r="O62" s="193" t="s">
        <v>87</v>
      </c>
    </row>
    <row r="63" spans="1:15" ht="15" x14ac:dyDescent="0.2">
      <c r="A63" s="72"/>
      <c r="B63" s="62"/>
      <c r="C63" s="183"/>
      <c r="D63" s="192"/>
      <c r="E63" s="67"/>
      <c r="F63" s="67"/>
      <c r="G63" s="68"/>
      <c r="H63" s="194"/>
      <c r="I63" s="72"/>
      <c r="J63" s="183"/>
      <c r="K63" s="192"/>
      <c r="L63" s="67"/>
      <c r="M63" s="67"/>
      <c r="N63" s="68"/>
      <c r="O63" s="194"/>
    </row>
    <row r="64" spans="1:15" x14ac:dyDescent="0.2">
      <c r="A64" s="72"/>
      <c r="B64" s="62"/>
      <c r="C64" s="195" t="s">
        <v>88</v>
      </c>
      <c r="D64" s="195"/>
      <c r="E64" s="195"/>
      <c r="F64" s="195"/>
      <c r="G64" s="86">
        <f>SUM(G2:G63)</f>
        <v>27078</v>
      </c>
      <c r="H64" s="87"/>
      <c r="I64" s="72"/>
      <c r="J64" s="195" t="s">
        <v>88</v>
      </c>
      <c r="K64" s="195"/>
      <c r="L64" s="195"/>
      <c r="M64" s="195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44378</v>
      </c>
      <c r="C69" s="197"/>
      <c r="D69" s="197"/>
      <c r="E69" s="198"/>
      <c r="F69" s="90"/>
      <c r="G69" s="199">
        <v>44409</v>
      </c>
      <c r="H69" s="200"/>
      <c r="I69" s="200"/>
      <c r="J69" s="201"/>
      <c r="K69" s="90"/>
      <c r="L69" s="188" t="s">
        <v>25</v>
      </c>
      <c r="M69" s="189"/>
      <c r="N69" s="189"/>
      <c r="O69" s="190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2021-10-12T01:18:28Z</dcterms:modified>
</cp:coreProperties>
</file>