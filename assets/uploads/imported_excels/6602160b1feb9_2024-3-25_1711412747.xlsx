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440" documentId="8_{570E39A5-4344-4CF9-9BBE-67993DB36049}" xr6:coauthVersionLast="36" xr6:coauthVersionMax="36" xr10:uidLastSave="{BDF91050-FAFD-4516-9BD9-D505576DC325}"/>
  <bookViews>
    <workbookView xWindow="-100" yWindow="-100" windowWidth="18190" windowHeight="11470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<sst xmlns="http://schemas.openxmlformats.org/spreadsheetml/2006/main" count="207" uniqueCount="50">
  <si>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</si>
  <si>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</si>
  <si>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</si>
  <si>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</si>
  <si>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</si>
  <si>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</si>
  <si>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</si>
  <si>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</si>
  <si>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</si>
  <si>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</si>
  <si>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</si>
  <si>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</si>
  <si>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</si>
  <si>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</si>
  <si>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</si>
  <si>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</si>
  <si>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</si>
  <si>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</si>
  <si>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</si>
  <si>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</si>
  <si>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</si>
  <si>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</si>
  <si>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</si>
  <si>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</si>
  <si>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</si>
  <si>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</si>
  <si>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</si>
  <si>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</si>
  <si>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</si>
  <si>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</si>
  <si>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</si>
  <si>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</si>
  <si>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</si>
  <si>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</si>
  <si>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</si>
  <si>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</si>
  <si>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</si>
  <si>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</si>
  <si>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</si>
  <si>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</si>
  <si>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</si>
  <si>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</si>
  <si>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</si>
  <si>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</si>
  <si>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</si>
  <si>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</si>
  <si>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</si>
  <si>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</si>
  <si>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</si>
  <si>
    <t>Veera/Muthu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</si>
</sst>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abSelected="1" topLeftCell="A4" workbookViewId="0">
      <selection activeCell="K31" sqref="K31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12765</v>
      </c>
      <c r="F21" s="10">
        <v>0.2989</v>
      </c>
      <c r="G21" s="13">
        <f>-'Submetering '!J21+'Submetering '!K21</f>
        <v>669</v>
      </c>
      <c r="H21" s="10">
        <v>0.23150000000000001</v>
      </c>
      <c r="I21" s="13">
        <f>'Submetering '!L21+'Submetering '!M21</f>
        <v>129</v>
      </c>
      <c r="J21" s="10">
        <v>2.74</v>
      </c>
      <c r="K21" s="9">
        <v>228</v>
      </c>
      <c r="L21" s="9">
        <v>228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13320</v>
      </c>
      <c r="F22" s="10">
        <v>0.2989</v>
      </c>
      <c r="G22" s="13">
        <f>-'Submetering '!J22+'Submetering '!K22</f>
        <v>767</v>
      </c>
      <c r="H22" s="10">
        <v>0.23150000000000001</v>
      </c>
      <c r="I22" s="13">
        <f>'Submetering '!L22+'Submetering '!M22</f>
        <v>151</v>
      </c>
      <c r="J22" s="10">
        <v>2.74</v>
      </c>
      <c r="K22" s="9">
        <v>231</v>
      </c>
      <c r="L22" s="9">
        <v>231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12765</v>
      </c>
      <c r="F23" s="10">
        <v>0.2989</v>
      </c>
      <c r="G23" s="13">
        <f>-'Submetering '!J23+'Submetering '!K23</f>
        <v>741</v>
      </c>
      <c r="H23" s="10">
        <v>0.23150000000000001</v>
      </c>
      <c r="I23" s="13">
        <f>'Submetering '!L23+'Submetering '!M23</f>
        <v>177</v>
      </c>
      <c r="J23" s="10">
        <v>2.74</v>
      </c>
      <c r="K23" s="9">
        <v>239</v>
      </c>
      <c r="L23" s="9">
        <v>239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13620</v>
      </c>
      <c r="F24" s="10">
        <v>0.2989</v>
      </c>
      <c r="G24" s="13">
        <f>-'Submetering '!J24+'Submetering '!K24</f>
        <v>816</v>
      </c>
      <c r="H24" s="10">
        <v>0.23150000000000001</v>
      </c>
      <c r="I24" s="13">
        <f>'Submetering '!L24+'Submetering '!M24</f>
        <v>193</v>
      </c>
      <c r="J24" s="10">
        <v>2.74</v>
      </c>
      <c r="K24" s="9">
        <v>223</v>
      </c>
      <c r="L24" s="9">
        <v>223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12180</v>
      </c>
      <c r="F25" s="10">
        <v>0.2989</v>
      </c>
      <c r="G25" s="13">
        <f>-'Submetering '!J25+'Submetering '!K25</f>
        <v>703</v>
      </c>
      <c r="H25" s="10">
        <v>0.23150000000000001</v>
      </c>
      <c r="I25" s="13">
        <f>'Submetering '!L25+'Submetering '!M25</f>
        <v>158</v>
      </c>
      <c r="J25" s="10">
        <v>2.74</v>
      </c>
      <c r="K25" s="9">
        <v>172</v>
      </c>
      <c r="L25" s="9">
        <v>172</v>
      </c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12360</v>
      </c>
      <c r="F26" s="10">
        <v>0.2989</v>
      </c>
      <c r="G26" s="13">
        <f>-'Submetering '!J26+'Submetering '!K26</f>
        <v>627</v>
      </c>
      <c r="H26" s="10">
        <v>0.23150000000000001</v>
      </c>
      <c r="I26" s="13">
        <f>'Submetering '!L26+'Submetering '!M26</f>
        <v>124</v>
      </c>
      <c r="J26" s="10">
        <v>2.74</v>
      </c>
      <c r="K26" s="9">
        <v>174</v>
      </c>
      <c r="L26" s="9">
        <v>174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A10" zoomScale="80" zoomScaleNormal="80" workbookViewId="0">
      <selection activeCell="AB29" sqref="AB29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5550</v>
      </c>
      <c r="F21" s="33">
        <f>(IF((Electrical!C22-Electrical!C21)&lt;0,"0",(Electrical!C22-Electrical!C21)))*15</f>
        <v>3615</v>
      </c>
      <c r="G21" s="33">
        <f>(IF((Electrical!D22-Electrical!D21)&lt;0,"0",(Electrical!D22-Electrical!D21)))*15</f>
        <v>3600</v>
      </c>
      <c r="H21" s="33">
        <f>IF((Electrical!E22-Electrical!E21)&lt;0,"0",(Electrical!E22-Electrical!E21))</f>
        <v>4043</v>
      </c>
      <c r="I21" s="33">
        <f>IF((Electrical!F22-Electrical!F21)&lt;0,"0",(Electrical!F22-Electrical!F21))</f>
        <v>395</v>
      </c>
      <c r="J21" s="33">
        <f>IF((Gas!B22-Gas!B21)&lt;0,"0",(Gas!B22-Gas!B21))</f>
        <v>0</v>
      </c>
      <c r="K21" s="33">
        <f>IF((Gas!C22-Gas!C21)&lt;0,"0",(Gas!C22-Gas!C21))</f>
        <v>669</v>
      </c>
      <c r="L21" s="33">
        <f>(IF((Water!B22-Water!B21)&lt;0,"0",(Water!B22-Water!B21)))*10</f>
        <v>110</v>
      </c>
      <c r="M21" s="33">
        <f>IF((Water!C22-Water!C21)&lt;0,"0",(Water!C22-Water!C21))</f>
        <v>19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228</v>
      </c>
      <c r="Z21" s="9">
        <v>228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5685</v>
      </c>
      <c r="F22" s="33">
        <f>(IF((Electrical!C23-Electrical!C22)&lt;0,"0",(Electrical!C23-Electrical!C22)))*15</f>
        <v>3855</v>
      </c>
      <c r="G22" s="33">
        <f>(IF((Electrical!D23-Electrical!D22)&lt;0,"0",(Electrical!D23-Electrical!D22)))*15</f>
        <v>3780</v>
      </c>
      <c r="H22" s="33">
        <f>IF((Electrical!E23-Electrical!E22)&lt;0,"0",(Electrical!E23-Electrical!E22))</f>
        <v>4357</v>
      </c>
      <c r="I22" s="33">
        <f>IF((Electrical!F23-Electrical!F22)&lt;0,"0",(Electrical!F23-Electrical!F22))</f>
        <v>454</v>
      </c>
      <c r="J22" s="33">
        <f>IF((Gas!B23-Gas!B22)&lt;0,"0",(Gas!B23-Gas!B22))</f>
        <v>0</v>
      </c>
      <c r="K22" s="33">
        <f>IF((Gas!C23-Gas!C22)&lt;0,"0",(Gas!C23-Gas!C22))</f>
        <v>767</v>
      </c>
      <c r="L22" s="33">
        <f>(IF((Water!B23-Water!B22)&lt;0,"0",(Water!B23-Water!B22)))*10</f>
        <v>130</v>
      </c>
      <c r="M22" s="33">
        <f>IF((Water!C23-Water!C22)&lt;0,"0",(Water!C23-Water!C22))</f>
        <v>21</v>
      </c>
      <c r="N22" s="33">
        <f>IF((Water!D23-Water!D22)&lt;0,"0",(Water!D23-Water!D22))</f>
        <v>0</v>
      </c>
      <c r="O22" s="33">
        <f>IF((Water!E23-Water!E22)&lt;0,"0",(Water!E23-Water!E22))</f>
        <v>16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6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48</v>
      </c>
      <c r="Y22" s="9">
        <v>231</v>
      </c>
      <c r="Z22" s="9">
        <v>231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5475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3690</v>
      </c>
      <c r="H23" s="33">
        <f>IF((Electrical!E24-Electrical!E23)&lt;0,"0",(Electrical!E24-Electrical!E23))</f>
        <v>3576</v>
      </c>
      <c r="I23" s="33">
        <f>IF((Electrical!F24-Electrical!F23)&lt;0,"0",(Electrical!F24-Electrical!F23))</f>
        <v>431</v>
      </c>
      <c r="J23" s="33">
        <f>IF((Gas!B24-Gas!B23)&lt;0,"0",(Gas!B24-Gas!B23))</f>
        <v>0</v>
      </c>
      <c r="K23" s="33">
        <f>IF((Gas!C24-Gas!C23)&lt;0,"0",(Gas!C24-Gas!C23))</f>
        <v>741</v>
      </c>
      <c r="L23" s="33">
        <f>(IF((Water!B24-Water!B23)&lt;0,"0",(Water!B24-Water!B23)))*10</f>
        <v>160</v>
      </c>
      <c r="M23" s="33">
        <f>IF((Water!C24-Water!C23)&lt;0,"0",(Water!C24-Water!C23))</f>
        <v>17</v>
      </c>
      <c r="N23" s="33">
        <f>IF((Water!D24-Water!D23)&lt;0,"0",(Water!D24-Water!D23))</f>
        <v>0</v>
      </c>
      <c r="O23" s="33">
        <f>IF((Water!E24-Water!E23)&lt;0,"0",(Water!E24-Water!E23))</f>
        <v>8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1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32</v>
      </c>
      <c r="Y23" s="9">
        <v>239</v>
      </c>
      <c r="Z23" s="9">
        <v>239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5955</v>
      </c>
      <c r="F24" s="33">
        <f>(IF((Electrical!C25-Electrical!C24)&lt;0,"0",(Electrical!C25-Electrical!C24)))*15</f>
        <v>3855</v>
      </c>
      <c r="G24" s="33">
        <f>(IF((Electrical!D25-Electrical!D24)&lt;0,"0",(Electrical!D25-Electrical!D24)))*15</f>
        <v>3810</v>
      </c>
      <c r="H24" s="33">
        <f>IF((Electrical!E25-Electrical!E24)&lt;0,"0",(Electrical!E25-Electrical!E24))</f>
        <v>4313</v>
      </c>
      <c r="I24" s="33">
        <f>IF((Electrical!F25-Electrical!F24)&lt;0,"0",(Electrical!F25-Electrical!F24))</f>
        <v>448</v>
      </c>
      <c r="J24" s="33">
        <f>IF((Gas!B25-Gas!B24)&lt;0,"0",(Gas!B25-Gas!B24))</f>
        <v>0</v>
      </c>
      <c r="K24" s="33">
        <f>IF((Gas!C25-Gas!C24)&lt;0,"0",(Gas!C25-Gas!C24))</f>
        <v>816</v>
      </c>
      <c r="L24" s="33">
        <f>(IF((Water!B25-Water!B24)&lt;0,"0",(Water!B25-Water!B24)))*10</f>
        <v>170</v>
      </c>
      <c r="M24" s="33">
        <f>IF((Water!C25-Water!C24)&lt;0,"0",(Water!C25-Water!C24))</f>
        <v>23</v>
      </c>
      <c r="N24" s="33">
        <f>IF((Water!D25-Water!D24)&lt;0,"0",(Water!D25-Water!D24))</f>
        <v>0</v>
      </c>
      <c r="O24" s="33">
        <f>IF((Water!E25-Water!E24)&lt;0,"0",(Water!E25-Water!E24))</f>
        <v>24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223</v>
      </c>
      <c r="Z24" s="9">
        <v>223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5085</v>
      </c>
      <c r="F25" s="33">
        <f>(IF((Electrical!C26-Electrical!C25)&lt;0,"0",(Electrical!C26-Electrical!C25)))*15</f>
        <v>3405</v>
      </c>
      <c r="G25" s="33">
        <f>(IF((Electrical!D26-Electrical!D25)&lt;0,"0",(Electrical!D26-Electrical!D25)))*15</f>
        <v>3690</v>
      </c>
      <c r="H25" s="33">
        <f>IF((Electrical!E26-Electrical!E25)&lt;0,"0",(Electrical!E26-Electrical!E25))</f>
        <v>3888</v>
      </c>
      <c r="I25" s="33">
        <f>IF((Electrical!F26-Electrical!F25)&lt;0,"0",(Electrical!F26-Electrical!F25))</f>
        <v>391</v>
      </c>
      <c r="J25" s="33">
        <f>IF((Gas!B26-Gas!B25)&lt;0,"0",(Gas!B26-Gas!B25))</f>
        <v>0</v>
      </c>
      <c r="K25" s="33">
        <f>IF((Gas!C26-Gas!C25)&lt;0,"0",(Gas!C26-Gas!C25))</f>
        <v>703</v>
      </c>
      <c r="L25" s="33">
        <f>(IF((Water!B26-Water!B25)&lt;0,"0",(Water!B26-Water!B25)))*10</f>
        <v>140</v>
      </c>
      <c r="M25" s="33">
        <f>IF((Water!C26-Water!C25)&lt;0,"0",(Water!C26-Water!C25))</f>
        <v>18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48</v>
      </c>
      <c r="Y25" s="9">
        <v>172</v>
      </c>
      <c r="Z25" s="9">
        <v>172</v>
      </c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5205</v>
      </c>
      <c r="F26" s="33">
        <f>(IF((Electrical!C27-Electrical!C26)&lt;0,"0",(Electrical!C27-Electrical!C26)))*15</f>
        <v>3585</v>
      </c>
      <c r="G26" s="33">
        <f>(IF((Electrical!D27-Electrical!D26)&lt;0,"0",(Electrical!D27-Electrical!D26)))*15</f>
        <v>3570</v>
      </c>
      <c r="H26" s="33">
        <f>IF((Electrical!E27-Electrical!E26)&lt;0,"0",(Electrical!E27-Electrical!E26))</f>
        <v>3882</v>
      </c>
      <c r="I26" s="33">
        <f>IF((Electrical!F27-Electrical!F26)&lt;0,"0",(Electrical!F27-Electrical!F26))</f>
        <v>379</v>
      </c>
      <c r="J26" s="33">
        <f>IF((Gas!B27-Gas!B26)&lt;0,"0",(Gas!B27-Gas!B26))</f>
        <v>0</v>
      </c>
      <c r="K26" s="33">
        <f>IF((Gas!C27-Gas!C26)&lt;0,"0",(Gas!C27-Gas!C26))</f>
        <v>627</v>
      </c>
      <c r="L26" s="33">
        <f>(IF((Water!B27-Water!B26)&lt;0,"0",(Water!B27-Water!B26)))*10</f>
        <v>100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11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174</v>
      </c>
      <c r="Z26" s="9">
        <v>174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 t="str">
        <f>IF((Electrical!E28-Electrical!E27)&lt;0,"0",(Electrical!E28-Electrical!E27))</f>
        <v>0</v>
      </c>
      <c r="I27" s="33" t="str">
        <f>IF((Electrical!F28-Electrical!F27)&lt;0,"0",(Electrical!F28-Electrical!F27))</f>
        <v>0</v>
      </c>
      <c r="J27" s="33">
        <f>IF((Gas!B28-Gas!B27)&lt;0,"0",(Gas!B28-Gas!B27))</f>
        <v>0</v>
      </c>
      <c r="K27" s="33" t="str">
        <f>IF((Gas!C28-Gas!C27)&lt;0,"0",(Gas!C28-Gas!C27))</f>
        <v>0</v>
      </c>
      <c r="L27" s="33">
        <f>(IF((Water!B28-Water!B27)&lt;0,"0",(Water!B28-Water!B27)))*10</f>
        <v>0</v>
      </c>
      <c r="M27" s="33" t="str">
        <f>IF((Water!C28-Water!C27)&lt;0,"0",(Water!C28-Water!C27))</f>
        <v>0</v>
      </c>
      <c r="N27" s="33">
        <f>IF((Water!D28-Water!D27)&lt;0,"0",(Water!D28-Water!D27))</f>
        <v>0</v>
      </c>
      <c r="O27" s="33" t="str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 t="str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 t="str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M31" sqref="M31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>
        <v>125271</v>
      </c>
      <c r="C22" s="28">
        <v>91871</v>
      </c>
      <c r="D22" s="45">
        <v>93551</v>
      </c>
      <c r="E22" s="45">
        <v>1297661</v>
      </c>
      <c r="F22" s="45">
        <v>147727</v>
      </c>
      <c r="G22" s="5" t="s">
        <v>48</v>
      </c>
    </row>
    <row r="23" spans="1:7" x14ac:dyDescent="0.35">
      <c r="A23" s="7">
        <v>21</v>
      </c>
      <c r="B23" s="28">
        <v>125650</v>
      </c>
      <c r="C23" s="28">
        <v>92128</v>
      </c>
      <c r="D23" s="45">
        <v>93803</v>
      </c>
      <c r="E23" s="45">
        <v>1302018</v>
      </c>
      <c r="F23" s="45">
        <v>148181</v>
      </c>
      <c r="G23" s="5" t="s">
        <v>48</v>
      </c>
    </row>
    <row r="24" spans="1:7" x14ac:dyDescent="0.35">
      <c r="A24" s="7">
        <v>22</v>
      </c>
      <c r="B24" s="28">
        <v>126015</v>
      </c>
      <c r="C24" s="28">
        <v>92368</v>
      </c>
      <c r="D24" s="45">
        <v>94049</v>
      </c>
      <c r="E24" s="45">
        <v>1305594</v>
      </c>
      <c r="F24" s="45">
        <v>148612</v>
      </c>
      <c r="G24" s="5" t="s">
        <v>49</v>
      </c>
    </row>
    <row r="25" spans="1:7" x14ac:dyDescent="0.35">
      <c r="A25" s="7">
        <v>23</v>
      </c>
      <c r="B25" s="28">
        <v>126412</v>
      </c>
      <c r="C25" s="28">
        <v>92625</v>
      </c>
      <c r="D25" s="45">
        <v>94303</v>
      </c>
      <c r="E25" s="45">
        <v>1309907</v>
      </c>
      <c r="F25" s="45">
        <v>149060</v>
      </c>
      <c r="G25" s="5" t="s">
        <v>47</v>
      </c>
    </row>
    <row r="26" spans="1:7" x14ac:dyDescent="0.35">
      <c r="A26" s="7">
        <v>24</v>
      </c>
      <c r="B26" s="28">
        <v>126751</v>
      </c>
      <c r="C26" s="28">
        <v>92852</v>
      </c>
      <c r="D26" s="45">
        <v>94549</v>
      </c>
      <c r="E26" s="45">
        <v>1313795</v>
      </c>
      <c r="F26" s="45">
        <v>149451</v>
      </c>
      <c r="G26" s="5" t="s">
        <v>47</v>
      </c>
    </row>
    <row r="27" spans="1:7" x14ac:dyDescent="0.35">
      <c r="A27" s="7">
        <v>25</v>
      </c>
      <c r="B27" s="28">
        <v>127098</v>
      </c>
      <c r="C27" s="28">
        <v>93091</v>
      </c>
      <c r="D27" s="45">
        <v>94787</v>
      </c>
      <c r="E27" s="45">
        <v>1317677</v>
      </c>
      <c r="F27" s="45">
        <v>149830</v>
      </c>
      <c r="G27" s="27" t="s">
        <v>40</v>
      </c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O21" sqref="O2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x14ac:dyDescent="0.35">
      <c r="A22" s="4">
        <v>20</v>
      </c>
      <c r="B22" s="5">
        <v>0</v>
      </c>
      <c r="C22" s="5">
        <v>218345</v>
      </c>
      <c r="D22" s="5" t="s">
        <v>48</v>
      </c>
    </row>
    <row r="23" spans="1:4" x14ac:dyDescent="0.35">
      <c r="A23" s="4">
        <v>21</v>
      </c>
      <c r="B23" s="5">
        <v>0</v>
      </c>
      <c r="C23" s="5">
        <v>219112</v>
      </c>
      <c r="D23" s="5" t="s">
        <v>48</v>
      </c>
    </row>
    <row r="24" spans="1:4" x14ac:dyDescent="0.35">
      <c r="A24" s="4">
        <v>22</v>
      </c>
      <c r="B24" s="5">
        <v>0</v>
      </c>
      <c r="C24" s="5">
        <v>219853</v>
      </c>
      <c r="D24" s="5" t="s">
        <v>49</v>
      </c>
    </row>
    <row r="25" spans="1:4" x14ac:dyDescent="0.35">
      <c r="A25" s="4">
        <v>23</v>
      </c>
      <c r="B25" s="5">
        <v>0</v>
      </c>
      <c r="C25" s="5">
        <v>220669</v>
      </c>
      <c r="D25" s="5" t="s">
        <v>47</v>
      </c>
    </row>
    <row r="26" spans="1:4" x14ac:dyDescent="0.35">
      <c r="A26" s="4">
        <v>24</v>
      </c>
      <c r="B26" s="5">
        <v>0</v>
      </c>
      <c r="C26" s="5">
        <v>221372</v>
      </c>
      <c r="D26" s="5" t="s">
        <v>47</v>
      </c>
    </row>
    <row r="27" spans="1:4" ht="15.5" x14ac:dyDescent="0.35">
      <c r="A27" s="4">
        <v>25</v>
      </c>
      <c r="B27" s="5">
        <v>0</v>
      </c>
      <c r="C27" s="5">
        <v>221999</v>
      </c>
      <c r="D27" s="27" t="s">
        <v>40</v>
      </c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10" zoomScale="85" zoomScaleNormal="85" workbookViewId="0">
      <selection activeCell="J37" sqref="J3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x14ac:dyDescent="0.35">
      <c r="A22" s="4">
        <v>20</v>
      </c>
      <c r="B22" s="5">
        <v>3528</v>
      </c>
      <c r="C22" s="5">
        <v>10716</v>
      </c>
      <c r="D22" s="5">
        <v>0</v>
      </c>
      <c r="E22" s="5">
        <v>3224</v>
      </c>
      <c r="F22" s="5">
        <v>0</v>
      </c>
      <c r="G22" s="5">
        <v>0</v>
      </c>
      <c r="H22" s="5">
        <v>0</v>
      </c>
      <c r="I22" s="5">
        <v>0</v>
      </c>
      <c r="J22" s="5">
        <v>401</v>
      </c>
      <c r="K22" s="5">
        <v>0</v>
      </c>
      <c r="L22" s="5">
        <v>0</v>
      </c>
      <c r="M22" s="5">
        <v>0</v>
      </c>
      <c r="N22" s="5">
        <v>12921</v>
      </c>
      <c r="O22" s="5" t="s">
        <v>48</v>
      </c>
    </row>
    <row r="23" spans="1:15" x14ac:dyDescent="0.35">
      <c r="A23" s="4">
        <v>21</v>
      </c>
      <c r="B23" s="5">
        <v>3541</v>
      </c>
      <c r="C23" s="5">
        <v>10737</v>
      </c>
      <c r="D23" s="5">
        <v>0</v>
      </c>
      <c r="E23" s="5">
        <v>3240</v>
      </c>
      <c r="F23" s="5">
        <v>0</v>
      </c>
      <c r="G23" s="5">
        <v>0</v>
      </c>
      <c r="H23" s="5">
        <v>0</v>
      </c>
      <c r="I23" s="5">
        <v>0</v>
      </c>
      <c r="J23" s="5">
        <v>407</v>
      </c>
      <c r="K23" s="5">
        <v>0</v>
      </c>
      <c r="L23" s="5">
        <v>0</v>
      </c>
      <c r="M23" s="5">
        <v>0</v>
      </c>
      <c r="N23" s="5">
        <v>12969</v>
      </c>
      <c r="O23" s="5" t="s">
        <v>48</v>
      </c>
    </row>
    <row r="24" spans="1:15" x14ac:dyDescent="0.35">
      <c r="A24" s="4">
        <v>22</v>
      </c>
      <c r="B24" s="5">
        <v>3557</v>
      </c>
      <c r="C24" s="5">
        <v>10754</v>
      </c>
      <c r="D24" s="5">
        <v>0</v>
      </c>
      <c r="E24" s="5">
        <v>3248</v>
      </c>
      <c r="F24" s="5">
        <v>0</v>
      </c>
      <c r="G24" s="5">
        <v>0</v>
      </c>
      <c r="H24" s="5">
        <v>0</v>
      </c>
      <c r="I24" s="5">
        <v>0</v>
      </c>
      <c r="J24" s="5">
        <v>408</v>
      </c>
      <c r="K24" s="5">
        <v>0</v>
      </c>
      <c r="L24" s="5">
        <v>0</v>
      </c>
      <c r="M24" s="5">
        <v>0</v>
      </c>
      <c r="N24" s="5">
        <v>13001</v>
      </c>
      <c r="O24" s="5" t="s">
        <v>49</v>
      </c>
    </row>
    <row r="25" spans="1:15" x14ac:dyDescent="0.35">
      <c r="A25" s="4">
        <v>23</v>
      </c>
      <c r="B25" s="5">
        <v>3574</v>
      </c>
      <c r="C25" s="5">
        <v>10777</v>
      </c>
      <c r="D25" s="5">
        <v>0</v>
      </c>
      <c r="E25" s="5">
        <v>3272</v>
      </c>
      <c r="F25" s="5">
        <v>0</v>
      </c>
      <c r="G25" s="5">
        <v>0</v>
      </c>
      <c r="H25" s="5">
        <v>0</v>
      </c>
      <c r="I25" s="5">
        <v>0</v>
      </c>
      <c r="J25" s="5">
        <v>409</v>
      </c>
      <c r="K25" s="5">
        <v>0</v>
      </c>
      <c r="L25" s="5">
        <v>0</v>
      </c>
      <c r="M25" s="5">
        <v>0</v>
      </c>
      <c r="N25" s="5">
        <v>13033</v>
      </c>
      <c r="O25" s="5" t="s">
        <v>47</v>
      </c>
    </row>
    <row r="26" spans="1:15" x14ac:dyDescent="0.35">
      <c r="A26" s="4">
        <v>24</v>
      </c>
      <c r="B26" s="5">
        <v>3588</v>
      </c>
      <c r="C26" s="5">
        <v>10795</v>
      </c>
      <c r="D26" s="5">
        <v>0</v>
      </c>
      <c r="E26" s="5">
        <v>3287</v>
      </c>
      <c r="F26" s="5">
        <v>0</v>
      </c>
      <c r="G26" s="5">
        <v>0</v>
      </c>
      <c r="H26" s="5">
        <v>0</v>
      </c>
      <c r="I26" s="5">
        <v>0</v>
      </c>
      <c r="J26" s="5">
        <v>410</v>
      </c>
      <c r="K26" s="5">
        <v>0</v>
      </c>
      <c r="L26" s="5">
        <v>0</v>
      </c>
      <c r="M26" s="5">
        <v>0</v>
      </c>
      <c r="N26" s="5">
        <v>13081</v>
      </c>
      <c r="O26" s="5" t="s">
        <v>47</v>
      </c>
    </row>
    <row r="27" spans="1:15" ht="15.5" x14ac:dyDescent="0.35">
      <c r="A27" s="4">
        <v>25</v>
      </c>
      <c r="B27" s="5">
        <v>3598</v>
      </c>
      <c r="C27" s="5">
        <v>10819</v>
      </c>
      <c r="D27" s="5">
        <v>0</v>
      </c>
      <c r="E27" s="5">
        <v>3298</v>
      </c>
      <c r="F27" s="5">
        <v>0</v>
      </c>
      <c r="G27" s="5">
        <v>0</v>
      </c>
      <c r="H27" s="5">
        <v>0</v>
      </c>
      <c r="I27" s="5">
        <v>0</v>
      </c>
      <c r="J27" s="5">
        <v>420</v>
      </c>
      <c r="K27" s="5">
        <v>0</v>
      </c>
      <c r="L27" s="5">
        <v>0</v>
      </c>
      <c r="M27" s="5">
        <v>0</v>
      </c>
      <c r="N27" s="5">
        <v>13112</v>
      </c>
      <c r="O27" s="27" t="s">
        <v>40</v>
      </c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http://purl.org/dc/elements/1.1/"/>
    <ds:schemaRef ds:uri="http://purl.org/dc/terms/"/>
    <ds:schemaRef ds:uri="http://www.w3.org/XML/1998/namespace"/>
    <ds:schemaRef ds:uri="c0c63084-832f-4b13-a501-c844d9f3bfe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2024-03-26T00:24:58Z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