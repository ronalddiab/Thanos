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97211DB6-110A-49FF-97C3-BB5BFF03C6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2" i="2" l="1"/>
  <c r="AC28" i="2"/>
  <c r="AC27" i="2"/>
  <c r="O27" i="2"/>
  <c r="O28" i="2" s="1"/>
  <c r="O29" i="2" s="1"/>
  <c r="O25" i="2"/>
  <c r="O22" i="2"/>
  <c r="L22" i="2"/>
  <c r="AC20" i="2"/>
  <c r="G20" i="2"/>
  <c r="F20" i="2"/>
  <c r="AC19" i="2"/>
  <c r="AC18" i="2"/>
  <c r="AC17" i="2"/>
  <c r="AC16" i="2"/>
  <c r="AC15" i="2"/>
  <c r="AC14" i="2"/>
  <c r="AC13" i="2"/>
  <c r="AA12" i="2"/>
  <c r="R12" i="2"/>
  <c r="Q12" i="2"/>
  <c r="P12" i="2"/>
  <c r="N12" i="2"/>
  <c r="H12" i="2"/>
  <c r="G12" i="2"/>
  <c r="F12" i="2"/>
  <c r="E12" i="2"/>
  <c r="D12" i="2"/>
  <c r="R10" i="2"/>
  <c r="Q10" i="2"/>
  <c r="P10" i="2"/>
  <c r="O10" i="2"/>
  <c r="O8" i="2"/>
  <c r="L8" i="2"/>
  <c r="L7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J6" i="2"/>
  <c r="I6" i="2"/>
  <c r="L13" i="2" l="1"/>
  <c r="L14" i="2" s="1"/>
  <c r="L15" i="2" s="1"/>
  <c r="L16" i="2" s="1"/>
  <c r="L17" i="2" s="1"/>
  <c r="L18" i="2" s="1"/>
  <c r="L11" i="2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L12" i="2"/>
  <c r="K7" i="2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6" i="2"/>
  <c r="J30" i="2" l="1"/>
  <c r="J31" i="2" s="1"/>
  <c r="L25" i="2"/>
  <c r="L26" i="2" s="1"/>
  <c r="L27" i="2" s="1"/>
  <c r="L28" i="2" s="1"/>
  <c r="L29" i="2" s="1"/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Z2" i="3" l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K29" i="1" l="1"/>
  <c r="Z21" i="3" l="1"/>
  <c r="Z22" i="3"/>
  <c r="Z23" i="3"/>
  <c r="Z24" i="3"/>
  <c r="Z25" i="3"/>
  <c r="Z26" i="3"/>
  <c r="Z27" i="3"/>
  <c r="Z28" i="3"/>
  <c r="Z29" i="3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<sst xmlns="http://schemas.openxmlformats.org/spreadsheetml/2006/main" count="127" uniqueCount="59">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</sst>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0" fillId="0" borderId="2" xfId="0" applyBorder="1"/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8" fillId="0" borderId="2" xfId="0" applyFont="1" applyBorder="1" applyAlignment="1">
      <alignment horizontal="right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E5" sqref="E5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2</v>
      </c>
      <c r="D2" s="2">
        <v>2022</v>
      </c>
      <c r="E2" s="4">
        <f>(Submetering!E2+Submetering!F2)</f>
        <v>4828</v>
      </c>
      <c r="F2" s="12">
        <v>0.35</v>
      </c>
      <c r="G2" s="4">
        <f>Submetering!M2</f>
        <v>2784</v>
      </c>
      <c r="H2" s="12">
        <v>0.6</v>
      </c>
      <c r="I2" s="4">
        <f>Submetering!N2</f>
        <v>62</v>
      </c>
      <c r="J2" s="13">
        <v>2.06</v>
      </c>
      <c r="K2" s="4">
        <f>'Hampshire Daily'!B5</f>
        <v>30</v>
      </c>
      <c r="L2" s="4">
        <f>'Hampshire Daily'!C5</f>
        <v>42</v>
      </c>
    </row>
    <row r="3" spans="1:24" x14ac:dyDescent="0.25">
      <c r="A3" s="3" t="s">
        <v>40</v>
      </c>
      <c r="B3" s="2">
        <f>B2+1</f>
        <v>2</v>
      </c>
      <c r="C3" s="2">
        <v>2</v>
      </c>
      <c r="D3" s="2">
        <v>2022</v>
      </c>
      <c r="E3" s="4">
        <f>Submetering!E3+Submetering!F3</f>
        <v>5522</v>
      </c>
      <c r="F3" s="12">
        <v>0.35</v>
      </c>
      <c r="G3" s="4">
        <f>Submetering!M3</f>
        <v>2355</v>
      </c>
      <c r="H3" s="12">
        <v>0.6</v>
      </c>
      <c r="I3" s="4">
        <f>Submetering!N3</f>
        <v>59</v>
      </c>
      <c r="J3" s="13">
        <v>2.06</v>
      </c>
      <c r="K3" s="4">
        <f>'Hampshire Daily'!B6</f>
        <v>45</v>
      </c>
      <c r="L3" s="4">
        <f>'Hampshire Daily'!C6</f>
        <v>70</v>
      </c>
    </row>
    <row r="4" spans="1:24" x14ac:dyDescent="0.25">
      <c r="A4" s="3" t="s">
        <v>40</v>
      </c>
      <c r="B4" s="2">
        <f t="shared" ref="B4:B29" si="0">B3+1</f>
        <v>3</v>
      </c>
      <c r="C4" s="2">
        <v>2</v>
      </c>
      <c r="D4" s="2">
        <v>2022</v>
      </c>
      <c r="E4" s="4">
        <f>Submetering!E4+Submetering!F4</f>
        <v>4351</v>
      </c>
      <c r="F4" s="12">
        <v>0.35</v>
      </c>
      <c r="G4" s="4">
        <f>Submetering!M4</f>
        <v>2376</v>
      </c>
      <c r="H4" s="12">
        <v>0.6</v>
      </c>
      <c r="I4" s="4">
        <f>Submetering!N4</f>
        <v>64</v>
      </c>
      <c r="J4" s="13">
        <v>2.06</v>
      </c>
      <c r="K4" s="4">
        <f>'Hampshire Daily'!B7</f>
        <v>12</v>
      </c>
      <c r="L4" s="4">
        <f>'Hampshire Daily'!C7</f>
        <v>28</v>
      </c>
    </row>
    <row r="5" spans="1:24" x14ac:dyDescent="0.25">
      <c r="A5" s="3" t="s">
        <v>40</v>
      </c>
      <c r="B5" s="2">
        <f t="shared" si="0"/>
        <v>4</v>
      </c>
      <c r="C5" s="2">
        <v>2</v>
      </c>
      <c r="D5" s="2">
        <v>2022</v>
      </c>
      <c r="E5" s="4">
        <f>Submetering!E5+Submetering!F5</f>
        <v>3658</v>
      </c>
      <c r="F5" s="12">
        <v>0.35</v>
      </c>
      <c r="G5" s="4">
        <f>Submetering!M5</f>
        <v>2438</v>
      </c>
      <c r="H5" s="12">
        <v>0.6</v>
      </c>
      <c r="I5" s="4">
        <f>Submetering!N5</f>
        <v>65</v>
      </c>
      <c r="J5" s="13">
        <v>2.06</v>
      </c>
      <c r="K5" s="4">
        <f>'Hampshire Daily'!B8</f>
        <v>34</v>
      </c>
      <c r="L5" s="4">
        <f>'Hampshire Daily'!C8</f>
        <v>69</v>
      </c>
    </row>
    <row r="6" spans="1:24" x14ac:dyDescent="0.25">
      <c r="A6" s="3" t="s">
        <v>40</v>
      </c>
      <c r="B6" s="2">
        <f t="shared" si="0"/>
        <v>5</v>
      </c>
      <c r="C6" s="2">
        <v>2</v>
      </c>
      <c r="D6" s="2">
        <v>2022</v>
      </c>
      <c r="E6" s="4">
        <f>Submetering!E6+Submetering!F6</f>
        <v>4658</v>
      </c>
      <c r="F6" s="12">
        <v>0.35</v>
      </c>
      <c r="G6" s="4">
        <f>Submetering!M6</f>
        <v>2796</v>
      </c>
      <c r="H6" s="12">
        <v>0.6</v>
      </c>
      <c r="I6" s="4">
        <f>Submetering!N6</f>
        <v>65</v>
      </c>
      <c r="J6" s="13">
        <v>2.06</v>
      </c>
      <c r="K6" s="4">
        <f>'Hampshire Daily'!B9</f>
        <v>102</v>
      </c>
      <c r="L6" s="4">
        <f>'Hampshire Daily'!C9</f>
        <v>183</v>
      </c>
    </row>
    <row r="7" spans="1:24" x14ac:dyDescent="0.25">
      <c r="A7" s="3" t="s">
        <v>40</v>
      </c>
      <c r="B7" s="2">
        <f t="shared" si="0"/>
        <v>6</v>
      </c>
      <c r="C7" s="2">
        <v>2</v>
      </c>
      <c r="D7" s="2">
        <v>2022</v>
      </c>
      <c r="E7" s="4">
        <f>Submetering!E7+Submetering!F7</f>
        <v>5854</v>
      </c>
      <c r="F7" s="12">
        <v>0.35</v>
      </c>
      <c r="G7" s="4">
        <f>Submetering!M7</f>
        <v>2579</v>
      </c>
      <c r="H7" s="12">
        <v>0.6</v>
      </c>
      <c r="I7" s="4">
        <f>Submetering!N7</f>
        <v>80.5</v>
      </c>
      <c r="J7" s="13">
        <v>2.06</v>
      </c>
      <c r="K7" s="4">
        <f>'Hampshire Daily'!B10</f>
        <v>18</v>
      </c>
      <c r="L7" s="4">
        <f>'Hampshire Daily'!C10</f>
        <v>41</v>
      </c>
    </row>
    <row r="8" spans="1:24" x14ac:dyDescent="0.25">
      <c r="A8" s="3" t="s">
        <v>40</v>
      </c>
      <c r="B8" s="2">
        <f t="shared" si="0"/>
        <v>7</v>
      </c>
      <c r="C8" s="2">
        <v>2</v>
      </c>
      <c r="D8" s="2">
        <v>2022</v>
      </c>
      <c r="E8" s="4">
        <f>Submetering!E8+Submetering!F8</f>
        <v>3667</v>
      </c>
      <c r="F8" s="12">
        <v>0.35</v>
      </c>
      <c r="G8" s="4">
        <f>Submetering!M8</f>
        <v>2656</v>
      </c>
      <c r="H8" s="12">
        <v>0.6</v>
      </c>
      <c r="I8" s="4">
        <f>Submetering!N8</f>
        <v>80.5</v>
      </c>
      <c r="J8" s="13">
        <v>2.06</v>
      </c>
      <c r="K8" s="4">
        <f>'Hampshire Daily'!B11</f>
        <v>27</v>
      </c>
      <c r="L8" s="4">
        <f>'Hampshire Daily'!C11</f>
        <v>39</v>
      </c>
    </row>
    <row r="9" spans="1:24" x14ac:dyDescent="0.25">
      <c r="A9" s="3" t="s">
        <v>40</v>
      </c>
      <c r="B9" s="2">
        <f t="shared" si="0"/>
        <v>8</v>
      </c>
      <c r="C9" s="2">
        <v>2</v>
      </c>
      <c r="D9" s="2">
        <v>2022</v>
      </c>
      <c r="E9" s="4">
        <f>Submetering!E9+Submetering!F9</f>
        <v>4190</v>
      </c>
      <c r="F9" s="12">
        <v>0.35</v>
      </c>
      <c r="G9" s="4">
        <f>Submetering!M9</f>
        <v>2572</v>
      </c>
      <c r="H9" s="12">
        <v>0.6</v>
      </c>
      <c r="I9" s="4">
        <f>Submetering!N9</f>
        <v>58</v>
      </c>
      <c r="J9" s="13">
        <v>2.06</v>
      </c>
      <c r="K9" s="4">
        <f>'Hampshire Daily'!B12</f>
        <v>40</v>
      </c>
      <c r="L9" s="4">
        <f>'Hampshire Daily'!C12</f>
        <v>57</v>
      </c>
    </row>
    <row r="10" spans="1:24" x14ac:dyDescent="0.25">
      <c r="A10" s="3" t="s">
        <v>40</v>
      </c>
      <c r="B10" s="2">
        <f t="shared" si="0"/>
        <v>9</v>
      </c>
      <c r="C10" s="2">
        <v>2</v>
      </c>
      <c r="D10" s="2">
        <v>2022</v>
      </c>
      <c r="E10" s="4">
        <f>Submetering!E10+Submetering!F10</f>
        <v>4190</v>
      </c>
      <c r="F10" s="12">
        <v>0.35</v>
      </c>
      <c r="G10" s="4">
        <f>Submetering!M10</f>
        <v>2572</v>
      </c>
      <c r="H10" s="12">
        <v>0.6</v>
      </c>
      <c r="I10" s="4">
        <f>Submetering!N10</f>
        <v>35</v>
      </c>
      <c r="J10" s="13">
        <v>2.06</v>
      </c>
      <c r="K10" s="4">
        <f>'Hampshire Daily'!B13</f>
        <v>14</v>
      </c>
      <c r="L10" s="4">
        <f>'Hampshire Daily'!C13</f>
        <v>23</v>
      </c>
    </row>
    <row r="11" spans="1:24" x14ac:dyDescent="0.25">
      <c r="A11" s="3" t="s">
        <v>40</v>
      </c>
      <c r="B11" s="2">
        <f t="shared" si="0"/>
        <v>10</v>
      </c>
      <c r="C11" s="2">
        <v>2</v>
      </c>
      <c r="D11" s="2">
        <v>2022</v>
      </c>
      <c r="E11" s="4">
        <f>Submetering!E11+Submetering!F11</f>
        <v>3980</v>
      </c>
      <c r="F11" s="12">
        <v>0.35</v>
      </c>
      <c r="G11" s="4">
        <f>Submetering!M11</f>
        <v>2841</v>
      </c>
      <c r="H11" s="12">
        <v>0.6</v>
      </c>
      <c r="I11" s="4">
        <f>Submetering!N11</f>
        <v>90</v>
      </c>
      <c r="J11" s="13">
        <v>2.06</v>
      </c>
      <c r="K11" s="4">
        <f>'Hampshire Daily'!B14</f>
        <v>13</v>
      </c>
      <c r="L11" s="4">
        <f>'Hampshire Daily'!C14</f>
        <v>23</v>
      </c>
    </row>
    <row r="12" spans="1:24" x14ac:dyDescent="0.25">
      <c r="A12" s="3" t="s">
        <v>40</v>
      </c>
      <c r="B12" s="2">
        <f t="shared" si="0"/>
        <v>11</v>
      </c>
      <c r="C12" s="2">
        <v>2</v>
      </c>
      <c r="D12" s="2">
        <v>2022</v>
      </c>
      <c r="E12" s="4">
        <f>Submetering!E12+Submetering!F12</f>
        <v>4379</v>
      </c>
      <c r="F12" s="12">
        <v>0.35</v>
      </c>
      <c r="G12" s="4">
        <f>Submetering!M12</f>
        <v>3395</v>
      </c>
      <c r="H12" s="12">
        <v>0.6</v>
      </c>
      <c r="I12" s="4">
        <f>Submetering!N12</f>
        <v>51</v>
      </c>
      <c r="J12" s="13">
        <v>2.06</v>
      </c>
      <c r="K12" s="4">
        <f>'Hampshire Daily'!B15</f>
        <v>25</v>
      </c>
      <c r="L12" s="4">
        <f>'Hampshire Daily'!C15</f>
        <v>42</v>
      </c>
    </row>
    <row r="13" spans="1:24" x14ac:dyDescent="0.25">
      <c r="A13" s="3" t="s">
        <v>40</v>
      </c>
      <c r="B13" s="2">
        <f t="shared" si="0"/>
        <v>12</v>
      </c>
      <c r="C13" s="2">
        <v>2</v>
      </c>
      <c r="D13" s="2">
        <v>2022</v>
      </c>
      <c r="E13" s="4">
        <f>Submetering!E13+Submetering!F13</f>
        <v>4303</v>
      </c>
      <c r="F13" s="12">
        <v>0.35</v>
      </c>
      <c r="G13" s="4">
        <f>Submetering!M13</f>
        <v>3045</v>
      </c>
      <c r="H13" s="12">
        <v>0.6</v>
      </c>
      <c r="I13" s="4">
        <f>Submetering!N13</f>
        <v>60</v>
      </c>
      <c r="J13" s="13">
        <v>2.06</v>
      </c>
      <c r="K13" s="4">
        <f>'Hampshire Daily'!B16</f>
        <v>65</v>
      </c>
      <c r="L13" s="4">
        <f>'Hampshire Daily'!C16</f>
        <v>111</v>
      </c>
    </row>
    <row r="14" spans="1:24" x14ac:dyDescent="0.25">
      <c r="A14" s="3" t="s">
        <v>40</v>
      </c>
      <c r="B14" s="2">
        <f t="shared" si="0"/>
        <v>13</v>
      </c>
      <c r="C14" s="2">
        <v>2</v>
      </c>
      <c r="D14" s="2">
        <v>2022</v>
      </c>
      <c r="E14" s="4">
        <f>Submetering!E14+Submetering!F14</f>
        <v>5685</v>
      </c>
      <c r="F14" s="12">
        <v>0.35</v>
      </c>
      <c r="G14" s="4">
        <f>Submetering!M14</f>
        <v>3174</v>
      </c>
      <c r="H14" s="12">
        <v>0.6</v>
      </c>
      <c r="I14" s="4">
        <f>Submetering!N14</f>
        <v>80</v>
      </c>
      <c r="J14" s="13">
        <v>2.06</v>
      </c>
      <c r="K14" s="4">
        <f>'Hampshire Daily'!B17</f>
        <v>55</v>
      </c>
      <c r="L14" s="4">
        <f>'Hampshire Daily'!C17</f>
        <v>92</v>
      </c>
    </row>
    <row r="15" spans="1:24" x14ac:dyDescent="0.25">
      <c r="A15" s="3" t="s">
        <v>40</v>
      </c>
      <c r="B15" s="2">
        <f t="shared" si="0"/>
        <v>14</v>
      </c>
      <c r="C15" s="2">
        <v>2</v>
      </c>
      <c r="D15" s="2">
        <v>2022</v>
      </c>
      <c r="E15" s="4">
        <f>Submetering!E15+Submetering!F15</f>
        <v>5491</v>
      </c>
      <c r="F15" s="12">
        <v>0.35</v>
      </c>
      <c r="G15" s="4">
        <f>Submetering!M15</f>
        <v>3305</v>
      </c>
      <c r="H15" s="12">
        <v>0.6</v>
      </c>
      <c r="I15" s="4">
        <f>Submetering!N15</f>
        <v>89</v>
      </c>
      <c r="J15" s="13">
        <v>2.06</v>
      </c>
      <c r="K15" s="4">
        <f>'Hampshire Daily'!B18</f>
        <v>67</v>
      </c>
      <c r="L15" s="4">
        <f>'Hampshire Daily'!C18</f>
        <v>106</v>
      </c>
    </row>
    <row r="16" spans="1:24" x14ac:dyDescent="0.25">
      <c r="A16" s="3" t="s">
        <v>40</v>
      </c>
      <c r="B16" s="2">
        <f t="shared" si="0"/>
        <v>15</v>
      </c>
      <c r="C16" s="2">
        <v>2</v>
      </c>
      <c r="D16" s="2">
        <v>2022</v>
      </c>
      <c r="E16" s="4">
        <f>Submetering!E16+Submetering!F16</f>
        <v>5010</v>
      </c>
      <c r="F16" s="12">
        <v>0.35</v>
      </c>
      <c r="G16" s="4">
        <f>Submetering!M16</f>
        <v>3010</v>
      </c>
      <c r="H16" s="12">
        <v>0.6</v>
      </c>
      <c r="I16" s="4">
        <f>Submetering!N16</f>
        <v>92</v>
      </c>
      <c r="J16" s="13">
        <v>2.06</v>
      </c>
      <c r="K16" s="4">
        <f>'Hampshire Daily'!B19</f>
        <v>63</v>
      </c>
      <c r="L16" s="4">
        <f>'Hampshire Daily'!C19</f>
        <v>104</v>
      </c>
    </row>
    <row r="17" spans="1:12" x14ac:dyDescent="0.25">
      <c r="A17" s="3" t="s">
        <v>40</v>
      </c>
      <c r="B17" s="2">
        <f t="shared" si="0"/>
        <v>16</v>
      </c>
      <c r="C17" s="2">
        <v>2</v>
      </c>
      <c r="D17" s="2">
        <v>2022</v>
      </c>
      <c r="E17" s="4">
        <f>Submetering!E17+Submetering!F17</f>
        <v>5634</v>
      </c>
      <c r="F17" s="12">
        <v>0.35</v>
      </c>
      <c r="G17" s="4">
        <f>Submetering!M17</f>
        <v>2948</v>
      </c>
      <c r="H17" s="12">
        <v>0.6</v>
      </c>
      <c r="I17" s="4">
        <f>Submetering!N17</f>
        <v>83</v>
      </c>
      <c r="J17" s="13">
        <v>2.06</v>
      </c>
      <c r="K17" s="4">
        <f>'Hampshire Daily'!B20</f>
        <v>70</v>
      </c>
      <c r="L17" s="4">
        <f>'Hampshire Daily'!C20</f>
        <v>109</v>
      </c>
    </row>
    <row r="18" spans="1:12" x14ac:dyDescent="0.25">
      <c r="A18" s="3" t="s">
        <v>40</v>
      </c>
      <c r="B18" s="2">
        <f t="shared" si="0"/>
        <v>17</v>
      </c>
      <c r="C18" s="2">
        <v>2</v>
      </c>
      <c r="D18" s="2">
        <v>2022</v>
      </c>
      <c r="E18" s="4">
        <f>Submetering!E18+Submetering!F18</f>
        <v>6396</v>
      </c>
      <c r="F18" s="12">
        <v>0.35</v>
      </c>
      <c r="G18" s="4">
        <f>Submetering!M18</f>
        <v>2267</v>
      </c>
      <c r="H18" s="12">
        <v>0.6</v>
      </c>
      <c r="I18" s="4">
        <f>Submetering!N18</f>
        <v>93</v>
      </c>
      <c r="J18" s="13">
        <v>2.06</v>
      </c>
      <c r="K18" s="4">
        <f>'Hampshire Daily'!B21</f>
        <v>67</v>
      </c>
      <c r="L18" s="4">
        <f>'Hampshire Daily'!C21</f>
        <v>133</v>
      </c>
    </row>
    <row r="19" spans="1:12" x14ac:dyDescent="0.25">
      <c r="A19" s="3" t="s">
        <v>40</v>
      </c>
      <c r="B19" s="2">
        <f t="shared" si="0"/>
        <v>18</v>
      </c>
      <c r="C19" s="2">
        <v>2</v>
      </c>
      <c r="D19" s="2">
        <v>2022</v>
      </c>
      <c r="E19" s="4">
        <f>Submetering!E19+Submetering!F19</f>
        <v>3471</v>
      </c>
      <c r="F19" s="12">
        <v>0.35</v>
      </c>
      <c r="G19" s="4">
        <f>Submetering!M19</f>
        <v>2403</v>
      </c>
      <c r="H19" s="12">
        <v>0.6</v>
      </c>
      <c r="I19" s="4">
        <f>Submetering!N19</f>
        <v>85</v>
      </c>
      <c r="J19" s="13">
        <v>2.06</v>
      </c>
      <c r="K19" s="4">
        <f>'Hampshire Daily'!B22</f>
        <v>74</v>
      </c>
      <c r="L19" s="4">
        <f>'Hampshire Daily'!C22</f>
        <v>137</v>
      </c>
    </row>
    <row r="20" spans="1:12" x14ac:dyDescent="0.25">
      <c r="A20" s="3" t="s">
        <v>40</v>
      </c>
      <c r="B20" s="2">
        <f t="shared" si="0"/>
        <v>19</v>
      </c>
      <c r="C20" s="2">
        <v>2</v>
      </c>
      <c r="D20" s="2">
        <v>2022</v>
      </c>
      <c r="E20" s="4">
        <f>Submetering!E20+Submetering!F20</f>
        <v>6573</v>
      </c>
      <c r="F20" s="12">
        <v>0.35</v>
      </c>
      <c r="G20" s="4">
        <f>Submetering!M20</f>
        <v>2375</v>
      </c>
      <c r="H20" s="12">
        <v>0.6</v>
      </c>
      <c r="I20" s="4">
        <f>Submetering!N20</f>
        <v>85</v>
      </c>
      <c r="J20" s="13">
        <v>2.06</v>
      </c>
      <c r="K20" s="4">
        <f>'Hampshire Daily'!B23</f>
        <v>78</v>
      </c>
      <c r="L20" s="4">
        <f>'Hampshire Daily'!C23</f>
        <v>136</v>
      </c>
    </row>
    <row r="21" spans="1:12" x14ac:dyDescent="0.25">
      <c r="A21" s="3" t="s">
        <v>40</v>
      </c>
      <c r="B21" s="2">
        <f t="shared" si="0"/>
        <v>20</v>
      </c>
      <c r="C21" s="2">
        <v>2</v>
      </c>
      <c r="D21" s="2">
        <v>2022</v>
      </c>
      <c r="E21" s="4">
        <f>Submetering!E21+Submetering!F21</f>
        <v>9922</v>
      </c>
      <c r="F21" s="12">
        <v>0.35</v>
      </c>
      <c r="G21" s="4">
        <f>Submetering!M21</f>
        <v>2080</v>
      </c>
      <c r="H21" s="12">
        <v>0.6</v>
      </c>
      <c r="I21" s="4">
        <f>Submetering!N21</f>
        <v>118</v>
      </c>
      <c r="J21" s="13">
        <v>2.06</v>
      </c>
      <c r="K21" s="4">
        <f>'Hampshire Daily'!B24</f>
        <v>25</v>
      </c>
      <c r="L21" s="4">
        <f>'Hampshire Daily'!C24</f>
        <v>52</v>
      </c>
    </row>
    <row r="22" spans="1:12" x14ac:dyDescent="0.25">
      <c r="A22" s="3" t="s">
        <v>40</v>
      </c>
      <c r="B22" s="2">
        <f t="shared" si="0"/>
        <v>21</v>
      </c>
      <c r="C22" s="2">
        <v>2</v>
      </c>
      <c r="D22" s="2">
        <v>2022</v>
      </c>
      <c r="E22" s="4">
        <f>Submetering!E22+Submetering!F22</f>
        <v>9508</v>
      </c>
      <c r="F22" s="12">
        <v>0.35</v>
      </c>
      <c r="G22" s="4">
        <f>Submetering!M22</f>
        <v>2118</v>
      </c>
      <c r="H22" s="12">
        <v>0.6</v>
      </c>
      <c r="I22" s="4">
        <f>Submetering!N22</f>
        <v>68.5</v>
      </c>
      <c r="J22" s="13">
        <v>2.06</v>
      </c>
      <c r="K22" s="4">
        <f>'Hampshire Daily'!B25</f>
        <v>49</v>
      </c>
      <c r="L22" s="4">
        <f>'Hampshire Daily'!C25</f>
        <v>78</v>
      </c>
    </row>
    <row r="23" spans="1:12" x14ac:dyDescent="0.25">
      <c r="A23" s="3" t="s">
        <v>40</v>
      </c>
      <c r="B23" s="2">
        <f t="shared" si="0"/>
        <v>22</v>
      </c>
      <c r="C23" s="2">
        <v>2</v>
      </c>
      <c r="D23" s="2">
        <v>2022</v>
      </c>
      <c r="E23" s="4">
        <f>Submetering!E23+Submetering!F23</f>
        <v>10211</v>
      </c>
      <c r="F23" s="12">
        <v>0.35</v>
      </c>
      <c r="G23" s="4">
        <f>Submetering!M23</f>
        <v>2215</v>
      </c>
      <c r="H23" s="12">
        <v>0.6</v>
      </c>
      <c r="I23" s="4">
        <f>Submetering!N23</f>
        <v>68.5</v>
      </c>
      <c r="J23" s="13">
        <v>2.06</v>
      </c>
      <c r="K23" s="4">
        <f>'Hampshire Daily'!B26</f>
        <v>97</v>
      </c>
      <c r="L23" s="4">
        <f>'Hampshire Daily'!C26</f>
        <v>131</v>
      </c>
    </row>
    <row r="24" spans="1:12" x14ac:dyDescent="0.25">
      <c r="A24" s="3" t="s">
        <v>40</v>
      </c>
      <c r="B24" s="2">
        <f t="shared" si="0"/>
        <v>23</v>
      </c>
      <c r="C24" s="2">
        <v>2</v>
      </c>
      <c r="D24" s="2">
        <v>2022</v>
      </c>
      <c r="E24" s="4">
        <f>Submetering!E24+Submetering!F24</f>
        <v>5632</v>
      </c>
      <c r="F24" s="12">
        <v>0.35</v>
      </c>
      <c r="G24" s="4">
        <f>Submetering!M24</f>
        <v>2747</v>
      </c>
      <c r="H24" s="12">
        <v>0.6</v>
      </c>
      <c r="I24" s="4">
        <f>Submetering!N24</f>
        <v>232</v>
      </c>
      <c r="J24" s="13">
        <v>2.06</v>
      </c>
      <c r="K24" s="4">
        <f>'Hampshire Daily'!B27</f>
        <v>88</v>
      </c>
      <c r="L24" s="4">
        <f>'Hampshire Daily'!C27</f>
        <v>113</v>
      </c>
    </row>
    <row r="25" spans="1:12" x14ac:dyDescent="0.25">
      <c r="A25" s="3" t="s">
        <v>40</v>
      </c>
      <c r="B25" s="2">
        <f t="shared" si="0"/>
        <v>24</v>
      </c>
      <c r="C25" s="2">
        <v>2</v>
      </c>
      <c r="D25" s="2">
        <v>2022</v>
      </c>
      <c r="E25" s="4">
        <f>Submetering!E25+Submetering!F25</f>
        <v>5032</v>
      </c>
      <c r="F25" s="12">
        <v>0.35</v>
      </c>
      <c r="G25" s="4">
        <f>Submetering!M25</f>
        <v>2881</v>
      </c>
      <c r="H25" s="12">
        <v>0.6</v>
      </c>
      <c r="I25" s="4">
        <f>Submetering!N25</f>
        <v>232</v>
      </c>
      <c r="J25" s="13">
        <v>2.06</v>
      </c>
      <c r="K25" s="4">
        <f>'Hampshire Daily'!B28</f>
        <v>48</v>
      </c>
      <c r="L25" s="4">
        <f>'Hampshire Daily'!C28</f>
        <v>77</v>
      </c>
    </row>
    <row r="26" spans="1:12" x14ac:dyDescent="0.25">
      <c r="A26" s="3" t="s">
        <v>40</v>
      </c>
      <c r="B26" s="2">
        <f>B25+1</f>
        <v>25</v>
      </c>
      <c r="C26" s="2">
        <v>2</v>
      </c>
      <c r="D26" s="2">
        <v>2022</v>
      </c>
      <c r="E26" s="4">
        <f>Submetering!E26+Submetering!F26</f>
        <v>5684</v>
      </c>
      <c r="F26" s="12">
        <v>0.35</v>
      </c>
      <c r="G26" s="4">
        <f>Submetering!M26</f>
        <v>3462</v>
      </c>
      <c r="H26" s="12">
        <v>0.6</v>
      </c>
      <c r="I26" s="4">
        <f>Submetering!N26</f>
        <v>232</v>
      </c>
      <c r="J26" s="13">
        <v>2.06</v>
      </c>
      <c r="K26" s="4">
        <f>'Hampshire Daily'!B29</f>
        <v>35</v>
      </c>
      <c r="L26" s="4">
        <f>'Hampshire Daily'!C29</f>
        <v>66</v>
      </c>
    </row>
    <row r="27" spans="1:12" x14ac:dyDescent="0.25">
      <c r="A27" s="3" t="s">
        <v>40</v>
      </c>
      <c r="B27" s="2">
        <f t="shared" si="0"/>
        <v>26</v>
      </c>
      <c r="C27" s="2">
        <v>2</v>
      </c>
      <c r="D27" s="2">
        <v>2022</v>
      </c>
      <c r="E27" s="4">
        <f>Submetering!E27+Submetering!F27</f>
        <v>5620</v>
      </c>
      <c r="F27" s="12">
        <v>0.35</v>
      </c>
      <c r="G27" s="4">
        <f>Submetering!M27</f>
        <v>3140</v>
      </c>
      <c r="H27" s="12">
        <v>0.6</v>
      </c>
      <c r="I27" s="4">
        <f>Submetering!N27</f>
        <v>-392</v>
      </c>
      <c r="J27" s="13">
        <v>2.06</v>
      </c>
      <c r="K27" s="4">
        <f>'Hampshire Daily'!B30</f>
        <v>49</v>
      </c>
      <c r="L27" s="4">
        <f>'Hampshire Daily'!C30</f>
        <v>94</v>
      </c>
    </row>
    <row r="28" spans="1:12" x14ac:dyDescent="0.25">
      <c r="A28" s="3" t="s">
        <v>40</v>
      </c>
      <c r="B28" s="2">
        <f t="shared" si="0"/>
        <v>27</v>
      </c>
      <c r="C28" s="2">
        <v>2</v>
      </c>
      <c r="D28" s="2">
        <v>2022</v>
      </c>
      <c r="E28" s="4">
        <f>Submetering!E28+Submetering!F28</f>
        <v>5294</v>
      </c>
      <c r="F28" s="12">
        <v>0.35</v>
      </c>
      <c r="G28" s="4">
        <f>Submetering!M28</f>
        <v>3148</v>
      </c>
      <c r="H28" s="12">
        <v>0.6</v>
      </c>
      <c r="I28" s="4">
        <f>Submetering!N28</f>
        <v>70</v>
      </c>
      <c r="J28" s="13">
        <v>2.06</v>
      </c>
      <c r="K28" s="4">
        <f>'Hampshire Daily'!B31</f>
        <v>36</v>
      </c>
      <c r="L28" s="4">
        <f>'Hampshire Daily'!C31</f>
        <v>52</v>
      </c>
    </row>
    <row r="29" spans="1:12" x14ac:dyDescent="0.25">
      <c r="A29" s="3" t="s">
        <v>40</v>
      </c>
      <c r="B29" s="2">
        <f t="shared" si="0"/>
        <v>28</v>
      </c>
      <c r="C29" s="2">
        <v>2</v>
      </c>
      <c r="D29" s="2">
        <v>2022</v>
      </c>
      <c r="E29" s="4">
        <f>Submetering!E29+Submetering!F29</f>
        <v>6433</v>
      </c>
      <c r="F29" s="12">
        <v>0.35</v>
      </c>
      <c r="G29" s="4">
        <f>Submetering!M29</f>
        <v>3106</v>
      </c>
      <c r="H29" s="12">
        <v>0.6</v>
      </c>
      <c r="I29" s="4">
        <f>Submetering!N29</f>
        <v>71</v>
      </c>
      <c r="J29" s="13">
        <v>2.06</v>
      </c>
      <c r="K29" s="4">
        <f>'Hampshire Daily'!B32</f>
        <v>71</v>
      </c>
      <c r="L29" s="4">
        <f>'Hampshire Daily'!C32</f>
        <v>82</v>
      </c>
    </row>
    <row r="30" spans="1:12" x14ac:dyDescent="0.25">
      <c r="E30" s="4"/>
      <c r="F30" s="12"/>
      <c r="G30" s="4"/>
      <c r="H30" s="12"/>
      <c r="I30" s="4"/>
      <c r="J30" s="13"/>
      <c r="K30" s="4"/>
      <c r="L30" s="4"/>
    </row>
    <row r="31" spans="1:12" x14ac:dyDescent="0.25">
      <c r="E31" s="4"/>
      <c r="F31" s="12"/>
      <c r="G31" s="4"/>
      <c r="H31" s="12"/>
      <c r="I31" s="4"/>
      <c r="J31" s="13"/>
      <c r="K31" s="4"/>
      <c r="L31" s="4"/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29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2</v>
      </c>
      <c r="D2" s="1">
        <v>2022</v>
      </c>
      <c r="E2" s="4">
        <f>'Hampshire Daily'!D5-'Hampshire Daily'!D4</f>
        <v>2412</v>
      </c>
      <c r="F2" s="4">
        <f>'Hampshire Daily'!E5-'Hampshire Daily'!E4</f>
        <v>2416</v>
      </c>
      <c r="G2" s="4">
        <f>'Hampshire Daily'!H5-'Hampshire Daily'!H4</f>
        <v>816</v>
      </c>
      <c r="H2" s="4">
        <f>'Hampshire Daily'!I5-'Hampshire Daily'!I4</f>
        <v>0</v>
      </c>
      <c r="I2" s="4">
        <f>'Hampshire Daily'!J5-'Hampshire Daily'!J4</f>
        <v>0</v>
      </c>
      <c r="J2" s="4">
        <f>'Hampshire Daily'!K5-'Hampshire Daily'!K4</f>
        <v>0</v>
      </c>
      <c r="K2" s="4">
        <f>'Hampshire Daily'!L5-'Hampshire Daily'!L4</f>
        <v>937</v>
      </c>
      <c r="L2" s="4">
        <f>'Hampshire Daily'!M5-'Hampshire Daily'!M4</f>
        <v>2</v>
      </c>
      <c r="M2" s="4">
        <f>'Hampshire Daily'!N5-'Hampshire Daily'!N4</f>
        <v>2784</v>
      </c>
      <c r="N2" s="4">
        <f>'Hampshire Daily'!O5-'Hampshire Daily'!O4</f>
        <v>62</v>
      </c>
      <c r="O2" s="4">
        <f>'Hampshire Daily'!P5-'Hampshire Daily'!P4</f>
        <v>401</v>
      </c>
      <c r="P2" s="4">
        <f>'Hampshire Daily'!Q5-'Hampshire Daily'!Q4</f>
        <v>0</v>
      </c>
      <c r="Q2" s="4">
        <f>'Hampshire Daily'!R5-'Hampshire Daily'!R4</f>
        <v>320</v>
      </c>
      <c r="R2" s="4">
        <f>'Hampshire Daily'!S5-'Hampshire Daily'!S4</f>
        <v>29</v>
      </c>
      <c r="S2" s="4">
        <f>'Hampshire Daily'!T5-'Hampshire Daily'!T4</f>
        <v>38</v>
      </c>
      <c r="T2" s="4">
        <f>'Hampshire Daily'!U5-'Hampshire Daily'!U4</f>
        <v>9</v>
      </c>
      <c r="U2" s="4">
        <f>'Hampshire Daily'!V5-'Hampshire Daily'!V4</f>
        <v>2</v>
      </c>
      <c r="V2" s="4">
        <f>'Hampshire Daily'!W5-'Hampshire Daily'!W4</f>
        <v>0</v>
      </c>
      <c r="W2" s="4">
        <f>'Hampshire Daily'!X5-'Hampshire Daily'!X4</f>
        <v>0.18399999999996908</v>
      </c>
      <c r="X2" s="4">
        <f>'Hampshire Daily'!Y5-'Hampshire Daily'!Y4</f>
        <v>0</v>
      </c>
      <c r="Y2" s="4">
        <f>'Hampshire Daily'!B5</f>
        <v>30</v>
      </c>
      <c r="Z2" s="4">
        <f>'Hampshire Daily'!C5</f>
        <v>42</v>
      </c>
    </row>
    <row r="3" spans="1:30" x14ac:dyDescent="0.25">
      <c r="A3" s="3" t="s">
        <v>40</v>
      </c>
      <c r="B3" s="1">
        <f>B2+1</f>
        <v>2</v>
      </c>
      <c r="C3" s="17">
        <v>2</v>
      </c>
      <c r="D3" s="1">
        <v>2022</v>
      </c>
      <c r="E3" s="4">
        <f>'Hampshire Daily'!D6-'Hampshire Daily'!D5</f>
        <v>2759</v>
      </c>
      <c r="F3" s="4">
        <f>'Hampshire Daily'!E6-'Hampshire Daily'!E5</f>
        <v>2763</v>
      </c>
      <c r="G3" s="4">
        <f>'Hampshire Daily'!H6-'Hampshire Daily'!H5</f>
        <v>773</v>
      </c>
      <c r="H3" s="4">
        <f>'Hampshire Daily'!I6-'Hampshire Daily'!I5</f>
        <v>4550.4074074076489</v>
      </c>
      <c r="I3" s="4">
        <f>'Hampshire Daily'!J6-'Hampshire Daily'!J5</f>
        <v>455.37037037037226</v>
      </c>
      <c r="J3" s="4">
        <f>'Hampshire Daily'!K6-'Hampshire Daily'!K5</f>
        <v>4381.8737997254357</v>
      </c>
      <c r="K3" s="4">
        <f>'Hampshire Daily'!L6-'Hampshire Daily'!L5</f>
        <v>907</v>
      </c>
      <c r="L3" s="4">
        <f>'Hampshire Daily'!M6-'Hampshire Daily'!M5</f>
        <v>20</v>
      </c>
      <c r="M3" s="4">
        <f>'Hampshire Daily'!N6-'Hampshire Daily'!N5</f>
        <v>2355</v>
      </c>
      <c r="N3" s="4">
        <f>'Hampshire Daily'!O6-'Hampshire Daily'!O5</f>
        <v>59</v>
      </c>
      <c r="O3" s="4">
        <f>'Hampshire Daily'!P6-'Hampshire Daily'!P5</f>
        <v>0</v>
      </c>
      <c r="P3" s="4">
        <f>'Hampshire Daily'!Q6-'Hampshire Daily'!Q5</f>
        <v>0</v>
      </c>
      <c r="Q3" s="4">
        <f>'Hampshire Daily'!R6-'Hampshire Daily'!R5</f>
        <v>776</v>
      </c>
      <c r="R3" s="4">
        <f>'Hampshire Daily'!S6-'Hampshire Daily'!S5</f>
        <v>25</v>
      </c>
      <c r="S3" s="4">
        <f>'Hampshire Daily'!T6-'Hampshire Daily'!T5</f>
        <v>29</v>
      </c>
      <c r="T3" s="4">
        <f>'Hampshire Daily'!U6-'Hampshire Daily'!U5</f>
        <v>9</v>
      </c>
      <c r="U3" s="4">
        <f>'Hampshire Daily'!V6-'Hampshire Daily'!V5</f>
        <v>1</v>
      </c>
      <c r="V3" s="4">
        <f>'Hampshire Daily'!W6-'Hampshire Daily'!W5</f>
        <v>0</v>
      </c>
      <c r="W3" s="4">
        <f>'Hampshire Daily'!X6-'Hampshire Daily'!X5</f>
        <v>0.23800000000005639</v>
      </c>
      <c r="X3" s="4">
        <f>'Hampshire Daily'!Y6-'Hampshire Daily'!Y5</f>
        <v>0</v>
      </c>
      <c r="Y3" s="4">
        <f>'Hampshire Daily'!B6</f>
        <v>45</v>
      </c>
      <c r="Z3" s="4">
        <f>'Hampshire Daily'!C6</f>
        <v>70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29" si="0">B3+1</f>
        <v>3</v>
      </c>
      <c r="C4" s="17">
        <v>2</v>
      </c>
      <c r="D4" s="1">
        <v>2022</v>
      </c>
      <c r="E4" s="4">
        <f>'Hampshire Daily'!D7-'Hampshire Daily'!D6</f>
        <v>2174</v>
      </c>
      <c r="F4" s="4">
        <f>'Hampshire Daily'!E7-'Hampshire Daily'!E6</f>
        <v>2177</v>
      </c>
      <c r="G4" s="4">
        <f>'Hampshire Daily'!H7-'Hampshire Daily'!H6</f>
        <v>765</v>
      </c>
      <c r="H4" s="4">
        <f>'Hampshire Daily'!I7-'Hampshire Daily'!I6</f>
        <v>4550.4074074076489</v>
      </c>
      <c r="I4" s="4">
        <f>'Hampshire Daily'!J7-'Hampshire Daily'!J6</f>
        <v>455.37037037037226</v>
      </c>
      <c r="J4" s="4">
        <f>'Hampshire Daily'!K7-'Hampshire Daily'!K6</f>
        <v>4381.8737997254357</v>
      </c>
      <c r="K4" s="4">
        <f>'Hampshire Daily'!L7-'Hampshire Daily'!L6</f>
        <v>1073.6666666666279</v>
      </c>
      <c r="L4" s="4">
        <f>'Hampshire Daily'!M7-'Hampshire Daily'!M6</f>
        <v>1</v>
      </c>
      <c r="M4" s="4">
        <f>'Hampshire Daily'!N7-'Hampshire Daily'!N6</f>
        <v>2376</v>
      </c>
      <c r="N4" s="4">
        <f>'Hampshire Daily'!O7-'Hampshire Daily'!O6</f>
        <v>64</v>
      </c>
      <c r="O4" s="4">
        <f>'Hampshire Daily'!P7-'Hampshire Daily'!P6</f>
        <v>531</v>
      </c>
      <c r="P4" s="4">
        <f>'Hampshire Daily'!Q7-'Hampshire Daily'!Q6</f>
        <v>0</v>
      </c>
      <c r="Q4" s="4">
        <f>'Hampshire Daily'!R7-'Hampshire Daily'!R6</f>
        <v>226</v>
      </c>
      <c r="R4" s="4">
        <f>'Hampshire Daily'!S7-'Hampshire Daily'!S6</f>
        <v>21</v>
      </c>
      <c r="S4" s="4">
        <f>'Hampshire Daily'!T7-'Hampshire Daily'!T6</f>
        <v>38</v>
      </c>
      <c r="T4" s="4">
        <f>'Hampshire Daily'!U7-'Hampshire Daily'!U6</f>
        <v>9</v>
      </c>
      <c r="U4" s="4">
        <f>'Hampshire Daily'!V7-'Hampshire Daily'!V6</f>
        <v>1</v>
      </c>
      <c r="V4" s="4">
        <f>'Hampshire Daily'!W7-'Hampshire Daily'!W6</f>
        <v>0</v>
      </c>
      <c r="W4" s="4">
        <f>'Hampshire Daily'!X7-'Hampshire Daily'!X6</f>
        <v>0.22599999999999909</v>
      </c>
      <c r="X4" s="4">
        <f>'Hampshire Daily'!Y7-'Hampshire Daily'!Y6</f>
        <v>0</v>
      </c>
      <c r="Y4" s="4">
        <f>'Hampshire Daily'!B7</f>
        <v>12</v>
      </c>
      <c r="Z4" s="4">
        <f>'Hampshire Daily'!C7</f>
        <v>28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2</v>
      </c>
      <c r="D5" s="1">
        <v>2022</v>
      </c>
      <c r="E5" s="4">
        <f>'Hampshire Daily'!D8-'Hampshire Daily'!D7</f>
        <v>1827</v>
      </c>
      <c r="F5" s="4">
        <f>'Hampshire Daily'!E8-'Hampshire Daily'!E7</f>
        <v>1831</v>
      </c>
      <c r="G5" s="4">
        <f>'Hampshire Daily'!H8-'Hampshire Daily'!H7</f>
        <v>782</v>
      </c>
      <c r="H5" s="4">
        <f>'Hampshire Daily'!I8-'Hampshire Daily'!I7</f>
        <v>4550.4074074076489</v>
      </c>
      <c r="I5" s="4">
        <f>'Hampshire Daily'!J8-'Hampshire Daily'!J7</f>
        <v>455.37037037037226</v>
      </c>
      <c r="J5" s="4">
        <f>'Hampshire Daily'!K8-'Hampshire Daily'!K7</f>
        <v>4381.8737997254357</v>
      </c>
      <c r="K5" s="4">
        <f>'Hampshire Daily'!L8-'Hampshire Daily'!L7</f>
        <v>1122.7777777777519</v>
      </c>
      <c r="L5" s="4">
        <f>'Hampshire Daily'!M8-'Hampshire Daily'!M7</f>
        <v>0</v>
      </c>
      <c r="M5" s="4">
        <f>'Hampshire Daily'!N8-'Hampshire Daily'!N7</f>
        <v>2438</v>
      </c>
      <c r="N5" s="4">
        <f>'Hampshire Daily'!O8-'Hampshire Daily'!O7</f>
        <v>65</v>
      </c>
      <c r="O5" s="4">
        <f>'Hampshire Daily'!P8-'Hampshire Daily'!P7</f>
        <v>719</v>
      </c>
      <c r="P5" s="4">
        <f>'Hampshire Daily'!Q8-'Hampshire Daily'!Q7</f>
        <v>0</v>
      </c>
      <c r="Q5" s="4">
        <f>'Hampshire Daily'!R8-'Hampshire Daily'!R7</f>
        <v>0</v>
      </c>
      <c r="R5" s="4">
        <f>'Hampshire Daily'!S8-'Hampshire Daily'!S7</f>
        <v>20</v>
      </c>
      <c r="S5" s="4">
        <f>'Hampshire Daily'!T8-'Hampshire Daily'!T7</f>
        <v>32</v>
      </c>
      <c r="T5" s="4">
        <f>'Hampshire Daily'!U8-'Hampshire Daily'!U7</f>
        <v>10</v>
      </c>
      <c r="U5" s="4">
        <f>'Hampshire Daily'!V8-'Hampshire Daily'!V7</f>
        <v>1</v>
      </c>
      <c r="V5" s="4">
        <f>'Hampshire Daily'!W8-'Hampshire Daily'!W7</f>
        <v>0</v>
      </c>
      <c r="W5" s="4">
        <f>'Hampshire Daily'!X8-'Hampshire Daily'!X7</f>
        <v>0.21600000000000819</v>
      </c>
      <c r="X5" s="4">
        <f>'Hampshire Daily'!Y8-'Hampshire Daily'!Y7</f>
        <v>0</v>
      </c>
      <c r="Y5" s="4">
        <f>'Hampshire Daily'!B8</f>
        <v>34</v>
      </c>
      <c r="Z5" s="4">
        <f>'Hampshire Daily'!C8</f>
        <v>69</v>
      </c>
    </row>
    <row r="6" spans="1:30" x14ac:dyDescent="0.25">
      <c r="A6" s="3" t="s">
        <v>40</v>
      </c>
      <c r="B6" s="1">
        <f t="shared" si="0"/>
        <v>5</v>
      </c>
      <c r="C6" s="17">
        <v>2</v>
      </c>
      <c r="D6" s="1">
        <v>2022</v>
      </c>
      <c r="E6" s="4">
        <f>'Hampshire Daily'!D9-'Hampshire Daily'!D8</f>
        <v>2327</v>
      </c>
      <c r="F6" s="4">
        <f>'Hampshire Daily'!E9-'Hampshire Daily'!E8</f>
        <v>2331</v>
      </c>
      <c r="G6" s="4">
        <f>'Hampshire Daily'!H9-'Hampshire Daily'!H8</f>
        <v>873</v>
      </c>
      <c r="H6" s="4">
        <f>'Hampshire Daily'!I9-'Hampshire Daily'!I8</f>
        <v>4550.4074074076489</v>
      </c>
      <c r="I6" s="4">
        <f>'Hampshire Daily'!J9-'Hampshire Daily'!J8</f>
        <v>455.37037037037226</v>
      </c>
      <c r="J6" s="4">
        <f>'Hampshire Daily'!K9-'Hampshire Daily'!K8</f>
        <v>4381.8737997254357</v>
      </c>
      <c r="K6" s="4">
        <f>'Hampshire Daily'!L9-'Hampshire Daily'!L8</f>
        <v>1024.5555555556202</v>
      </c>
      <c r="L6" s="4">
        <f>'Hampshire Daily'!M9-'Hampshire Daily'!M8</f>
        <v>0</v>
      </c>
      <c r="M6" s="4">
        <f>'Hampshire Daily'!N9-'Hampshire Daily'!N8</f>
        <v>2796</v>
      </c>
      <c r="N6" s="4">
        <f>'Hampshire Daily'!O9-'Hampshire Daily'!O8</f>
        <v>65</v>
      </c>
      <c r="O6" s="4">
        <f>'Hampshire Daily'!P9-'Hampshire Daily'!P8</f>
        <v>262</v>
      </c>
      <c r="P6" s="4">
        <f>'Hampshire Daily'!Q9-'Hampshire Daily'!Q8</f>
        <v>0</v>
      </c>
      <c r="Q6" s="4">
        <f>'Hampshire Daily'!R9-'Hampshire Daily'!R8</f>
        <v>314</v>
      </c>
      <c r="R6" s="4">
        <f>'Hampshire Daily'!S9-'Hampshire Daily'!S8</f>
        <v>26</v>
      </c>
      <c r="S6" s="4">
        <f>'Hampshire Daily'!T9-'Hampshire Daily'!T8</f>
        <v>36</v>
      </c>
      <c r="T6" s="4">
        <f>'Hampshire Daily'!U9-'Hampshire Daily'!U8</f>
        <v>10</v>
      </c>
      <c r="U6" s="4">
        <f>'Hampshire Daily'!V9-'Hampshire Daily'!V8</f>
        <v>1</v>
      </c>
      <c r="V6" s="4">
        <f>'Hampshire Daily'!W9-'Hampshire Daily'!W8</f>
        <v>0</v>
      </c>
      <c r="W6" s="4">
        <f>'Hampshire Daily'!X9-'Hampshire Daily'!X8</f>
        <v>0.12000000000000455</v>
      </c>
      <c r="X6" s="4">
        <f>'Hampshire Daily'!Y9-'Hampshire Daily'!Y8</f>
        <v>0</v>
      </c>
      <c r="Y6" s="4">
        <f>'Hampshire Daily'!B9</f>
        <v>102</v>
      </c>
      <c r="Z6" s="4">
        <f>'Hampshire Daily'!C9</f>
        <v>183</v>
      </c>
    </row>
    <row r="7" spans="1:30" x14ac:dyDescent="0.25">
      <c r="A7" s="3" t="s">
        <v>40</v>
      </c>
      <c r="B7" s="1">
        <f t="shared" si="0"/>
        <v>6</v>
      </c>
      <c r="C7" s="17">
        <v>2</v>
      </c>
      <c r="D7" s="1">
        <v>2022</v>
      </c>
      <c r="E7" s="4">
        <f>'Hampshire Daily'!D10-'Hampshire Daily'!D9</f>
        <v>2925</v>
      </c>
      <c r="F7" s="4">
        <f>'Hampshire Daily'!E10-'Hampshire Daily'!E9</f>
        <v>2929</v>
      </c>
      <c r="G7" s="4">
        <f>'Hampshire Daily'!H10-'Hampshire Daily'!H9</f>
        <v>816</v>
      </c>
      <c r="H7" s="4">
        <f>'Hampshire Daily'!I10-'Hampshire Daily'!I9</f>
        <v>4550.4074074076489</v>
      </c>
      <c r="I7" s="4">
        <f>'Hampshire Daily'!J10-'Hampshire Daily'!J9</f>
        <v>455.37037037037226</v>
      </c>
      <c r="J7" s="4">
        <f>'Hampshire Daily'!K10-'Hampshire Daily'!K9</f>
        <v>4381.8737997254357</v>
      </c>
      <c r="K7" s="4">
        <f>'Hampshire Daily'!L10-'Hampshire Daily'!L9</f>
        <v>1221</v>
      </c>
      <c r="L7" s="4">
        <f>'Hampshire Daily'!M10-'Hampshire Daily'!M9</f>
        <v>1</v>
      </c>
      <c r="M7" s="4">
        <f>'Hampshire Daily'!N10-'Hampshire Daily'!N9</f>
        <v>2579</v>
      </c>
      <c r="N7" s="4">
        <f>'Hampshire Daily'!O10-'Hampshire Daily'!O9</f>
        <v>80.5</v>
      </c>
      <c r="O7" s="4">
        <f>'Hampshire Daily'!P10-'Hampshire Daily'!P9</f>
        <v>334</v>
      </c>
      <c r="P7" s="4">
        <f>'Hampshire Daily'!Q10-'Hampshire Daily'!Q9</f>
        <v>0</v>
      </c>
      <c r="Q7" s="4">
        <f>'Hampshire Daily'!R10-'Hampshire Daily'!R9</f>
        <v>365</v>
      </c>
      <c r="R7" s="4">
        <f>'Hampshire Daily'!S10-'Hampshire Daily'!S9</f>
        <v>42</v>
      </c>
      <c r="S7" s="4">
        <f>'Hampshire Daily'!T10-'Hampshire Daily'!T9</f>
        <v>54</v>
      </c>
      <c r="T7" s="4">
        <f>'Hampshire Daily'!U10-'Hampshire Daily'!U9</f>
        <v>9</v>
      </c>
      <c r="U7" s="4">
        <f>'Hampshire Daily'!V10-'Hampshire Daily'!V9</f>
        <v>1</v>
      </c>
      <c r="V7" s="4">
        <f>'Hampshire Daily'!W10-'Hampshire Daily'!W9</f>
        <v>0</v>
      </c>
      <c r="W7" s="4">
        <f>'Hampshire Daily'!X10-'Hampshire Daily'!X9</f>
        <v>0.21899999999993724</v>
      </c>
      <c r="X7" s="4">
        <f>'Hampshire Daily'!Y10-'Hampshire Daily'!Y9</f>
        <v>0</v>
      </c>
      <c r="Y7" s="4">
        <f>'Hampshire Daily'!B10</f>
        <v>18</v>
      </c>
      <c r="Z7" s="4">
        <f>'Hampshire Daily'!C10</f>
        <v>41</v>
      </c>
    </row>
    <row r="8" spans="1:30" x14ac:dyDescent="0.25">
      <c r="A8" s="3" t="s">
        <v>40</v>
      </c>
      <c r="B8" s="1">
        <f t="shared" si="0"/>
        <v>7</v>
      </c>
      <c r="C8" s="17">
        <v>2</v>
      </c>
      <c r="D8" s="1">
        <v>2022</v>
      </c>
      <c r="E8" s="4">
        <f>'Hampshire Daily'!D11-'Hampshire Daily'!D10</f>
        <v>1832</v>
      </c>
      <c r="F8" s="4">
        <f>'Hampshire Daily'!E11-'Hampshire Daily'!E10</f>
        <v>1835</v>
      </c>
      <c r="G8" s="4">
        <f>'Hampshire Daily'!H11-'Hampshire Daily'!H10</f>
        <v>810</v>
      </c>
      <c r="H8" s="4">
        <f>'Hampshire Daily'!I11-'Hampshire Daily'!I10</f>
        <v>4550.4074074076489</v>
      </c>
      <c r="I8" s="4">
        <f>'Hampshire Daily'!J11-'Hampshire Daily'!J10</f>
        <v>455.37037037037226</v>
      </c>
      <c r="J8" s="4">
        <f>'Hampshire Daily'!K11-'Hampshire Daily'!K10</f>
        <v>4381.8737997254357</v>
      </c>
      <c r="K8" s="4">
        <f>'Hampshire Daily'!L11-'Hampshire Daily'!L10</f>
        <v>455.37037037033588</v>
      </c>
      <c r="L8" s="4">
        <f>'Hampshire Daily'!M11-'Hampshire Daily'!M10</f>
        <v>1</v>
      </c>
      <c r="M8" s="4">
        <f>'Hampshire Daily'!N11-'Hampshire Daily'!N10</f>
        <v>2656</v>
      </c>
      <c r="N8" s="4">
        <f>'Hampshire Daily'!O11-'Hampshire Daily'!O10</f>
        <v>80.5</v>
      </c>
      <c r="O8" s="4">
        <f>'Hampshire Daily'!P11-'Hampshire Daily'!P10</f>
        <v>334</v>
      </c>
      <c r="P8" s="4">
        <f>'Hampshire Daily'!Q11-'Hampshire Daily'!Q10</f>
        <v>0</v>
      </c>
      <c r="Q8" s="4">
        <f>'Hampshire Daily'!R11-'Hampshire Daily'!R10</f>
        <v>365</v>
      </c>
      <c r="R8" s="4">
        <f>'Hampshire Daily'!S11-'Hampshire Daily'!S10</f>
        <v>37</v>
      </c>
      <c r="S8" s="4">
        <f>'Hampshire Daily'!T11-'Hampshire Daily'!T10</f>
        <v>45</v>
      </c>
      <c r="T8" s="4">
        <f>'Hampshire Daily'!U11-'Hampshire Daily'!U10</f>
        <v>10</v>
      </c>
      <c r="U8" s="4">
        <f>'Hampshire Daily'!V11-'Hampshire Daily'!V10</f>
        <v>12</v>
      </c>
      <c r="V8" s="4">
        <f>'Hampshire Daily'!W11-'Hampshire Daily'!W10</f>
        <v>0</v>
      </c>
      <c r="W8" s="4">
        <f>'Hampshire Daily'!X11-'Hampshire Daily'!X10</f>
        <v>0.23099999999999454</v>
      </c>
      <c r="X8" s="4">
        <f>'Hampshire Daily'!Y11-'Hampshire Daily'!Y10</f>
        <v>0</v>
      </c>
      <c r="Y8" s="4">
        <f>'Hampshire Daily'!B11</f>
        <v>27</v>
      </c>
      <c r="Z8" s="4">
        <f>'Hampshire Daily'!C11</f>
        <v>39</v>
      </c>
    </row>
    <row r="9" spans="1:30" x14ac:dyDescent="0.25">
      <c r="A9" s="3" t="s">
        <v>40</v>
      </c>
      <c r="B9" s="1">
        <f t="shared" si="0"/>
        <v>8</v>
      </c>
      <c r="C9" s="17">
        <v>2</v>
      </c>
      <c r="D9" s="1">
        <v>2022</v>
      </c>
      <c r="E9" s="4">
        <f>'Hampshire Daily'!D12-'Hampshire Daily'!D11</f>
        <v>2093.5</v>
      </c>
      <c r="F9" s="4">
        <f>'Hampshire Daily'!E12-'Hampshire Daily'!E11</f>
        <v>2096.5</v>
      </c>
      <c r="G9" s="4">
        <f>'Hampshire Daily'!H12-'Hampshire Daily'!H11</f>
        <v>506</v>
      </c>
      <c r="H9" s="4">
        <f>'Hampshire Daily'!I12-'Hampshire Daily'!I11</f>
        <v>4550.4074074076489</v>
      </c>
      <c r="I9" s="4">
        <f>'Hampshire Daily'!J12-'Hampshire Daily'!J11</f>
        <v>455.37037037037226</v>
      </c>
      <c r="J9" s="4">
        <f>'Hampshire Daily'!K12-'Hampshire Daily'!K11</f>
        <v>4381.8737997254357</v>
      </c>
      <c r="K9" s="4">
        <f>'Hampshire Daily'!L12-'Hampshire Daily'!L11</f>
        <v>455.37037037033588</v>
      </c>
      <c r="L9" s="4">
        <f>'Hampshire Daily'!M12-'Hampshire Daily'!M11</f>
        <v>0</v>
      </c>
      <c r="M9" s="4">
        <f>'Hampshire Daily'!N12-'Hampshire Daily'!N11</f>
        <v>2572</v>
      </c>
      <c r="N9" s="4">
        <f>'Hampshire Daily'!O12-'Hampshire Daily'!O11</f>
        <v>58</v>
      </c>
      <c r="O9" s="4">
        <f>'Hampshire Daily'!P12-'Hampshire Daily'!P11</f>
        <v>716.5</v>
      </c>
      <c r="P9" s="4">
        <f>'Hampshire Daily'!Q12-'Hampshire Daily'!Q11</f>
        <v>0</v>
      </c>
      <c r="Q9" s="4">
        <f>'Hampshire Daily'!R12-'Hampshire Daily'!R11</f>
        <v>10.5</v>
      </c>
      <c r="R9" s="4">
        <f>'Hampshire Daily'!S12-'Hampshire Daily'!S11</f>
        <v>28</v>
      </c>
      <c r="S9" s="4">
        <f>'Hampshire Daily'!T12-'Hampshire Daily'!T11</f>
        <v>33</v>
      </c>
      <c r="T9" s="4">
        <f>'Hampshire Daily'!U12-'Hampshire Daily'!U11</f>
        <v>9</v>
      </c>
      <c r="U9" s="4">
        <f>'Hampshire Daily'!V12-'Hampshire Daily'!V11</f>
        <v>0</v>
      </c>
      <c r="V9" s="4">
        <f>'Hampshire Daily'!W12-'Hampshire Daily'!W11</f>
        <v>0</v>
      </c>
      <c r="W9" s="4">
        <f>'Hampshire Daily'!X12-'Hampshire Daily'!X11</f>
        <v>0.24099999999998545</v>
      </c>
      <c r="X9" s="4">
        <f>'Hampshire Daily'!Y12-'Hampshire Daily'!Y11</f>
        <v>0</v>
      </c>
      <c r="Y9" s="4">
        <f>'Hampshire Daily'!B12</f>
        <v>40</v>
      </c>
      <c r="Z9" s="4">
        <f>'Hampshire Daily'!C12</f>
        <v>57</v>
      </c>
    </row>
    <row r="10" spans="1:30" x14ac:dyDescent="0.25">
      <c r="A10" s="3" t="s">
        <v>40</v>
      </c>
      <c r="B10" s="1">
        <f t="shared" si="0"/>
        <v>9</v>
      </c>
      <c r="C10" s="17">
        <v>2</v>
      </c>
      <c r="D10" s="1">
        <v>2022</v>
      </c>
      <c r="E10" s="4">
        <f>'Hampshire Daily'!D13-'Hampshire Daily'!D12</f>
        <v>2093.5</v>
      </c>
      <c r="F10" s="4">
        <f>'Hampshire Daily'!E13-'Hampshire Daily'!E12</f>
        <v>2096.5</v>
      </c>
      <c r="G10" s="4">
        <f>'Hampshire Daily'!H13-'Hampshire Daily'!H12</f>
        <v>506</v>
      </c>
      <c r="H10" s="4">
        <f>'Hampshire Daily'!I13-'Hampshire Daily'!I12</f>
        <v>4550.4074074076489</v>
      </c>
      <c r="I10" s="4">
        <f>'Hampshire Daily'!J13-'Hampshire Daily'!J12</f>
        <v>455.37037037037226</v>
      </c>
      <c r="J10" s="4">
        <f>'Hampshire Daily'!K13-'Hampshire Daily'!K12</f>
        <v>4381.8737997254357</v>
      </c>
      <c r="K10" s="4">
        <f>'Hampshire Daily'!L13-'Hampshire Daily'!L12</f>
        <v>455.37037037033588</v>
      </c>
      <c r="L10" s="4">
        <f>'Hampshire Daily'!M13-'Hampshire Daily'!M12</f>
        <v>25</v>
      </c>
      <c r="M10" s="4">
        <f>'Hampshire Daily'!N13-'Hampshire Daily'!N12</f>
        <v>2572</v>
      </c>
      <c r="N10" s="4">
        <f>'Hampshire Daily'!O13-'Hampshire Daily'!O12</f>
        <v>35</v>
      </c>
      <c r="O10" s="4">
        <f>'Hampshire Daily'!P13-'Hampshire Daily'!P12</f>
        <v>716.5</v>
      </c>
      <c r="P10" s="4">
        <f>'Hampshire Daily'!Q13-'Hampshire Daily'!Q12</f>
        <v>0</v>
      </c>
      <c r="Q10" s="4">
        <f>'Hampshire Daily'!R13-'Hampshire Daily'!R12</f>
        <v>10.5</v>
      </c>
      <c r="R10" s="4">
        <f>'Hampshire Daily'!S13-'Hampshire Daily'!S12</f>
        <v>24</v>
      </c>
      <c r="S10" s="4">
        <f>'Hampshire Daily'!T13-'Hampshire Daily'!T12</f>
        <v>33</v>
      </c>
      <c r="T10" s="4">
        <f>'Hampshire Daily'!U13-'Hampshire Daily'!U12</f>
        <v>9</v>
      </c>
      <c r="U10" s="4">
        <f>'Hampshire Daily'!V13-'Hampshire Daily'!V12</f>
        <v>1</v>
      </c>
      <c r="V10" s="4">
        <f>'Hampshire Daily'!W13-'Hampshire Daily'!W12</f>
        <v>0</v>
      </c>
      <c r="W10" s="4">
        <f>'Hampshire Daily'!X13-'Hampshire Daily'!X12</f>
        <v>0.13900000000001</v>
      </c>
      <c r="X10" s="4">
        <f>'Hampshire Daily'!Y13-'Hampshire Daily'!Y12</f>
        <v>0.11700000000018917</v>
      </c>
      <c r="Y10" s="4">
        <f>'Hampshire Daily'!B13</f>
        <v>14</v>
      </c>
      <c r="Z10" s="4">
        <f>'Hampshire Daily'!C13</f>
        <v>23</v>
      </c>
    </row>
    <row r="11" spans="1:30" x14ac:dyDescent="0.25">
      <c r="A11" s="3" t="s">
        <v>40</v>
      </c>
      <c r="B11" s="1">
        <f t="shared" si="0"/>
        <v>10</v>
      </c>
      <c r="C11" s="17">
        <v>2</v>
      </c>
      <c r="D11" s="1">
        <v>2022</v>
      </c>
      <c r="E11" s="4">
        <f>'Hampshire Daily'!D14-'Hampshire Daily'!D13</f>
        <v>1988</v>
      </c>
      <c r="F11" s="4">
        <f>'Hampshire Daily'!E14-'Hampshire Daily'!E13</f>
        <v>1992</v>
      </c>
      <c r="G11" s="4">
        <f>'Hampshire Daily'!H14-'Hampshire Daily'!H13</f>
        <v>0</v>
      </c>
      <c r="H11" s="4">
        <f>'Hampshire Daily'!I14-'Hampshire Daily'!I13</f>
        <v>4550.4074074076489</v>
      </c>
      <c r="I11" s="4">
        <f>'Hampshire Daily'!J14-'Hampshire Daily'!J13</f>
        <v>455.37037037037226</v>
      </c>
      <c r="J11" s="4">
        <f>'Hampshire Daily'!K14-'Hampshire Daily'!K13</f>
        <v>4381.8737997254357</v>
      </c>
      <c r="K11" s="4">
        <f>'Hampshire Daily'!L14-'Hampshire Daily'!L13</f>
        <v>455.37037037033588</v>
      </c>
      <c r="L11" s="4">
        <f>'Hampshire Daily'!M14-'Hampshire Daily'!M13</f>
        <v>0</v>
      </c>
      <c r="M11" s="4">
        <f>'Hampshire Daily'!N14-'Hampshire Daily'!N13</f>
        <v>2841</v>
      </c>
      <c r="N11" s="4">
        <f>'Hampshire Daily'!O14-'Hampshire Daily'!O13</f>
        <v>90</v>
      </c>
      <c r="O11" s="4">
        <f>'Hampshire Daily'!P14-'Hampshire Daily'!P13</f>
        <v>748</v>
      </c>
      <c r="P11" s="4">
        <f>'Hampshire Daily'!Q14-'Hampshire Daily'!Q13</f>
        <v>0</v>
      </c>
      <c r="Q11" s="4">
        <f>'Hampshire Daily'!R14-'Hampshire Daily'!R13</f>
        <v>0</v>
      </c>
      <c r="R11" s="4">
        <f>'Hampshire Daily'!S14-'Hampshire Daily'!S13</f>
        <v>27</v>
      </c>
      <c r="S11" s="4">
        <f>'Hampshire Daily'!T14-'Hampshire Daily'!T13</f>
        <v>32</v>
      </c>
      <c r="T11" s="4">
        <f>'Hampshire Daily'!U14-'Hampshire Daily'!U13</f>
        <v>9</v>
      </c>
      <c r="U11" s="4">
        <f>'Hampshire Daily'!V14-'Hampshire Daily'!V13</f>
        <v>1</v>
      </c>
      <c r="V11" s="4">
        <f>'Hampshire Daily'!W14-'Hampshire Daily'!W13</f>
        <v>0</v>
      </c>
      <c r="W11" s="4">
        <f>'Hampshire Daily'!X14-'Hampshire Daily'!X13</f>
        <v>0.12400000000002365</v>
      </c>
      <c r="X11" s="4">
        <f>'Hampshire Daily'!Y14-'Hampshire Daily'!Y13</f>
        <v>2.0229999999996835</v>
      </c>
      <c r="Y11" s="4">
        <f>'Hampshire Daily'!B14</f>
        <v>13</v>
      </c>
      <c r="Z11" s="4">
        <f>'Hampshire Daily'!C14</f>
        <v>23</v>
      </c>
    </row>
    <row r="12" spans="1:30" x14ac:dyDescent="0.25">
      <c r="A12" s="3" t="s">
        <v>40</v>
      </c>
      <c r="B12" s="1">
        <f t="shared" si="0"/>
        <v>11</v>
      </c>
      <c r="C12" s="17">
        <v>2</v>
      </c>
      <c r="D12" s="1">
        <v>2022</v>
      </c>
      <c r="E12" s="4">
        <f>'Hampshire Daily'!D15-'Hampshire Daily'!D14</f>
        <v>2188</v>
      </c>
      <c r="F12" s="4">
        <f>'Hampshire Daily'!E15-'Hampshire Daily'!E14</f>
        <v>2191</v>
      </c>
      <c r="G12" s="4">
        <f>'Hampshire Daily'!H15-'Hampshire Daily'!H14</f>
        <v>0</v>
      </c>
      <c r="H12" s="4">
        <f>'Hampshire Daily'!I15-'Hampshire Daily'!I14</f>
        <v>4550.4074074076489</v>
      </c>
      <c r="I12" s="4">
        <f>'Hampshire Daily'!J15-'Hampshire Daily'!J14</f>
        <v>455.37037037037226</v>
      </c>
      <c r="J12" s="4">
        <f>'Hampshire Daily'!K15-'Hampshire Daily'!K14</f>
        <v>4381.8737997254357</v>
      </c>
      <c r="K12" s="4">
        <f>'Hampshire Daily'!L15-'Hampshire Daily'!L14</f>
        <v>455.37037037033588</v>
      </c>
      <c r="L12" s="4">
        <f>'Hampshire Daily'!M15-'Hampshire Daily'!M14</f>
        <v>0</v>
      </c>
      <c r="M12" s="4">
        <f>'Hampshire Daily'!N15-'Hampshire Daily'!N14</f>
        <v>3395</v>
      </c>
      <c r="N12" s="4">
        <f>'Hampshire Daily'!O15-'Hampshire Daily'!O14</f>
        <v>51</v>
      </c>
      <c r="O12" s="4">
        <f>'Hampshire Daily'!P15-'Hampshire Daily'!P14</f>
        <v>432</v>
      </c>
      <c r="P12" s="4">
        <f>'Hampshire Daily'!Q15-'Hampshire Daily'!Q14</f>
        <v>0</v>
      </c>
      <c r="Q12" s="4">
        <f>'Hampshire Daily'!R15-'Hampshire Daily'!R14</f>
        <v>0</v>
      </c>
      <c r="R12" s="4">
        <f>'Hampshire Daily'!S15-'Hampshire Daily'!S14</f>
        <v>19</v>
      </c>
      <c r="S12" s="4">
        <f>'Hampshire Daily'!T15-'Hampshire Daily'!T14</f>
        <v>30</v>
      </c>
      <c r="T12" s="4">
        <f>'Hampshire Daily'!U15-'Hampshire Daily'!U14</f>
        <v>9</v>
      </c>
      <c r="U12" s="4">
        <f>'Hampshire Daily'!V15-'Hampshire Daily'!V14</f>
        <v>1</v>
      </c>
      <c r="V12" s="4">
        <f>'Hampshire Daily'!W15-'Hampshire Daily'!W14</f>
        <v>0</v>
      </c>
      <c r="W12" s="4">
        <f>'Hampshire Daily'!X15-'Hampshire Daily'!X14</f>
        <v>0.18700000000001182</v>
      </c>
      <c r="X12" s="4">
        <f>'Hampshire Daily'!Y15-'Hampshire Daily'!Y14</f>
        <v>-1.9619999999999891</v>
      </c>
      <c r="Y12" s="4">
        <f>'Hampshire Daily'!B15</f>
        <v>25</v>
      </c>
      <c r="Z12" s="4">
        <f>'Hampshire Daily'!C15</f>
        <v>42</v>
      </c>
    </row>
    <row r="13" spans="1:30" x14ac:dyDescent="0.25">
      <c r="A13" s="3" t="s">
        <v>40</v>
      </c>
      <c r="B13" s="1">
        <f t="shared" si="0"/>
        <v>12</v>
      </c>
      <c r="C13" s="17">
        <v>2</v>
      </c>
      <c r="D13" s="1">
        <v>2022</v>
      </c>
      <c r="E13" s="4">
        <f>'Hampshire Daily'!D16-'Hampshire Daily'!D15</f>
        <v>2149</v>
      </c>
      <c r="F13" s="4">
        <f>'Hampshire Daily'!E16-'Hampshire Daily'!E15</f>
        <v>2154</v>
      </c>
      <c r="G13" s="4">
        <f>'Hampshire Daily'!H16-'Hampshire Daily'!H15</f>
        <v>0</v>
      </c>
      <c r="H13" s="4">
        <f>'Hampshire Daily'!I16-'Hampshire Daily'!I15</f>
        <v>4550.4074074076489</v>
      </c>
      <c r="I13" s="4">
        <f>'Hampshire Daily'!J16-'Hampshire Daily'!J15</f>
        <v>455.37037037037226</v>
      </c>
      <c r="J13" s="4">
        <f>'Hampshire Daily'!K16-'Hampshire Daily'!K15</f>
        <v>4381.8737997254357</v>
      </c>
      <c r="K13" s="4">
        <f>'Hampshire Daily'!L16-'Hampshire Daily'!L15</f>
        <v>455.37037037033588</v>
      </c>
      <c r="L13" s="4">
        <f>'Hampshire Daily'!M16-'Hampshire Daily'!M15</f>
        <v>0</v>
      </c>
      <c r="M13" s="4">
        <f>'Hampshire Daily'!N16-'Hampshire Daily'!N15</f>
        <v>3045</v>
      </c>
      <c r="N13" s="4">
        <f>'Hampshire Daily'!O16-'Hampshire Daily'!O15</f>
        <v>60</v>
      </c>
      <c r="O13" s="4">
        <f>'Hampshire Daily'!P16-'Hampshire Daily'!P15</f>
        <v>0</v>
      </c>
      <c r="P13" s="4">
        <f>'Hampshire Daily'!Q16-'Hampshire Daily'!Q15</f>
        <v>0</v>
      </c>
      <c r="Q13" s="4">
        <f>'Hampshire Daily'!R16-'Hampshire Daily'!R15</f>
        <v>599</v>
      </c>
      <c r="R13" s="4">
        <f>'Hampshire Daily'!S16-'Hampshire Daily'!S15</f>
        <v>26</v>
      </c>
      <c r="S13" s="4">
        <f>'Hampshire Daily'!T16-'Hampshire Daily'!T15</f>
        <v>33</v>
      </c>
      <c r="T13" s="4">
        <f>'Hampshire Daily'!U16-'Hampshire Daily'!U15</f>
        <v>8</v>
      </c>
      <c r="U13" s="4">
        <f>'Hampshire Daily'!V16-'Hampshire Daily'!V15</f>
        <v>2</v>
      </c>
      <c r="V13" s="4">
        <f>'Hampshire Daily'!W16-'Hampshire Daily'!W15</f>
        <v>0</v>
      </c>
      <c r="W13" s="4">
        <f>'Hampshire Daily'!X16-'Hampshire Daily'!X15</f>
        <v>0.18200000000001637</v>
      </c>
      <c r="X13" s="4">
        <f>'Hampshire Daily'!Y16-'Hampshire Daily'!Y15</f>
        <v>7.0000000000618456E-3</v>
      </c>
      <c r="Y13" s="4">
        <f>'Hampshire Daily'!B16</f>
        <v>65</v>
      </c>
      <c r="Z13" s="4">
        <f>'Hampshire Daily'!C16</f>
        <v>111</v>
      </c>
    </row>
    <row r="14" spans="1:30" x14ac:dyDescent="0.25">
      <c r="A14" s="3" t="s">
        <v>40</v>
      </c>
      <c r="B14" s="1">
        <f t="shared" si="0"/>
        <v>13</v>
      </c>
      <c r="C14" s="17">
        <v>2</v>
      </c>
      <c r="D14" s="1">
        <v>2022</v>
      </c>
      <c r="E14" s="4">
        <f>'Hampshire Daily'!D17-'Hampshire Daily'!D16</f>
        <v>2840</v>
      </c>
      <c r="F14" s="4">
        <f>'Hampshire Daily'!E17-'Hampshire Daily'!E16</f>
        <v>2845</v>
      </c>
      <c r="G14" s="4">
        <f>'Hampshire Daily'!H17-'Hampshire Daily'!H16</f>
        <v>0</v>
      </c>
      <c r="H14" s="4">
        <f>'Hampshire Daily'!I17-'Hampshire Daily'!I16</f>
        <v>4550.4074074076489</v>
      </c>
      <c r="I14" s="4">
        <f>'Hampshire Daily'!J17-'Hampshire Daily'!J16</f>
        <v>455.37037037037226</v>
      </c>
      <c r="J14" s="4">
        <f>'Hampshire Daily'!K17-'Hampshire Daily'!K16</f>
        <v>4381.8737997254357</v>
      </c>
      <c r="K14" s="4">
        <f>'Hampshire Daily'!L17-'Hampshire Daily'!L16</f>
        <v>455.37037037033588</v>
      </c>
      <c r="L14" s="4">
        <f>'Hampshire Daily'!M17-'Hampshire Daily'!M16</f>
        <v>1</v>
      </c>
      <c r="M14" s="4">
        <f>'Hampshire Daily'!N17-'Hampshire Daily'!N16</f>
        <v>3174</v>
      </c>
      <c r="N14" s="4">
        <f>'Hampshire Daily'!O17-'Hampshire Daily'!O16</f>
        <v>80</v>
      </c>
      <c r="O14" s="4">
        <f>'Hampshire Daily'!P17-'Hampshire Daily'!P16</f>
        <v>0</v>
      </c>
      <c r="P14" s="4">
        <f>'Hampshire Daily'!Q17-'Hampshire Daily'!Q16</f>
        <v>0</v>
      </c>
      <c r="Q14" s="4">
        <f>'Hampshire Daily'!R17-'Hampshire Daily'!R16</f>
        <v>722</v>
      </c>
      <c r="R14" s="4">
        <f>'Hampshire Daily'!S17-'Hampshire Daily'!S16</f>
        <v>39</v>
      </c>
      <c r="S14" s="4">
        <f>'Hampshire Daily'!T17-'Hampshire Daily'!T16</f>
        <v>45</v>
      </c>
      <c r="T14" s="4">
        <f>'Hampshire Daily'!U17-'Hampshire Daily'!U16</f>
        <v>10</v>
      </c>
      <c r="U14" s="4">
        <f>'Hampshire Daily'!V17-'Hampshire Daily'!V16</f>
        <v>1</v>
      </c>
      <c r="V14" s="4">
        <f>'Hampshire Daily'!W17-'Hampshire Daily'!W16</f>
        <v>0</v>
      </c>
      <c r="W14" s="4">
        <f>'Hampshire Daily'!X17-'Hampshire Daily'!X16</f>
        <v>0.15999999999996817</v>
      </c>
      <c r="X14" s="4">
        <f>'Hampshire Daily'!Y17-'Hampshire Daily'!Y16</f>
        <v>4.3000000000120053E-2</v>
      </c>
      <c r="Y14" s="4">
        <f>'Hampshire Daily'!B17</f>
        <v>55</v>
      </c>
      <c r="Z14" s="4">
        <f>'Hampshire Daily'!C17</f>
        <v>92</v>
      </c>
    </row>
    <row r="15" spans="1:30" x14ac:dyDescent="0.25">
      <c r="A15" s="3" t="s">
        <v>40</v>
      </c>
      <c r="B15" s="1">
        <f t="shared" si="0"/>
        <v>14</v>
      </c>
      <c r="C15" s="17">
        <v>2</v>
      </c>
      <c r="D15" s="1">
        <v>2022</v>
      </c>
      <c r="E15" s="4">
        <f>'Hampshire Daily'!D18-'Hampshire Daily'!D17</f>
        <v>2743</v>
      </c>
      <c r="F15" s="4">
        <f>'Hampshire Daily'!E18-'Hampshire Daily'!E17</f>
        <v>2748</v>
      </c>
      <c r="G15" s="4">
        <f>'Hampshire Daily'!H18-'Hampshire Daily'!H17</f>
        <v>0</v>
      </c>
      <c r="H15" s="4">
        <f>'Hampshire Daily'!I18-'Hampshire Daily'!I17</f>
        <v>4550.4074074076489</v>
      </c>
      <c r="I15" s="4">
        <f>'Hampshire Daily'!J18-'Hampshire Daily'!J17</f>
        <v>455.37037037037226</v>
      </c>
      <c r="J15" s="4">
        <f>'Hampshire Daily'!K18-'Hampshire Daily'!K17</f>
        <v>4381.8737997254357</v>
      </c>
      <c r="K15" s="4">
        <f>'Hampshire Daily'!L18-'Hampshire Daily'!L17</f>
        <v>455.37037037033588</v>
      </c>
      <c r="L15" s="4">
        <f>'Hampshire Daily'!M18-'Hampshire Daily'!M17</f>
        <v>1</v>
      </c>
      <c r="M15" s="4">
        <f>'Hampshire Daily'!N18-'Hampshire Daily'!N17</f>
        <v>3305</v>
      </c>
      <c r="N15" s="4">
        <f>'Hampshire Daily'!O18-'Hampshire Daily'!O17</f>
        <v>89</v>
      </c>
      <c r="O15" s="4">
        <f>'Hampshire Daily'!P18-'Hampshire Daily'!P17</f>
        <v>0</v>
      </c>
      <c r="P15" s="4">
        <f>'Hampshire Daily'!Q18-'Hampshire Daily'!Q17</f>
        <v>0</v>
      </c>
      <c r="Q15" s="4">
        <f>'Hampshire Daily'!R18-'Hampshire Daily'!R17</f>
        <v>790</v>
      </c>
      <c r="R15" s="4">
        <f>'Hampshire Daily'!S18-'Hampshire Daily'!S17</f>
        <v>52</v>
      </c>
      <c r="S15" s="4">
        <f>'Hampshire Daily'!T18-'Hampshire Daily'!T17</f>
        <v>59</v>
      </c>
      <c r="T15" s="4">
        <f>'Hampshire Daily'!U18-'Hampshire Daily'!U17</f>
        <v>10</v>
      </c>
      <c r="U15" s="4">
        <f>'Hampshire Daily'!V18-'Hampshire Daily'!V17</f>
        <v>6</v>
      </c>
      <c r="V15" s="4">
        <f>'Hampshire Daily'!W18-'Hampshire Daily'!W17</f>
        <v>0</v>
      </c>
      <c r="W15" s="4">
        <f>'Hampshire Daily'!X18-'Hampshire Daily'!X17</f>
        <v>0.16800000000000637</v>
      </c>
      <c r="X15" s="4">
        <f>'Hampshire Daily'!Y18-'Hampshire Daily'!Y17</f>
        <v>3.2000000000152795E-2</v>
      </c>
      <c r="Y15" s="4">
        <f>'Hampshire Daily'!B18</f>
        <v>67</v>
      </c>
      <c r="Z15" s="4">
        <f>'Hampshire Daily'!C18</f>
        <v>106</v>
      </c>
    </row>
    <row r="16" spans="1:30" x14ac:dyDescent="0.25">
      <c r="A16" s="3" t="s">
        <v>40</v>
      </c>
      <c r="B16" s="1">
        <f t="shared" si="0"/>
        <v>15</v>
      </c>
      <c r="C16" s="17">
        <v>2</v>
      </c>
      <c r="D16" s="1">
        <v>2022</v>
      </c>
      <c r="E16" s="4">
        <f>'Hampshire Daily'!D19-'Hampshire Daily'!D18</f>
        <v>2503</v>
      </c>
      <c r="F16" s="4">
        <f>'Hampshire Daily'!E19-'Hampshire Daily'!E18</f>
        <v>2507</v>
      </c>
      <c r="G16" s="4">
        <f>'Hampshire Daily'!H19-'Hampshire Daily'!H18</f>
        <v>0</v>
      </c>
      <c r="H16" s="4">
        <f>'Hampshire Daily'!I19-'Hampshire Daily'!I18</f>
        <v>4550.4074074076489</v>
      </c>
      <c r="I16" s="4">
        <f>'Hampshire Daily'!J19-'Hampshire Daily'!J18</f>
        <v>455.37037037037226</v>
      </c>
      <c r="J16" s="4">
        <f>'Hampshire Daily'!K19-'Hampshire Daily'!K18</f>
        <v>4381.8737997254357</v>
      </c>
      <c r="K16" s="4">
        <f>'Hampshire Daily'!L19-'Hampshire Daily'!L18</f>
        <v>6570.037037037313</v>
      </c>
      <c r="L16" s="4">
        <f>'Hampshire Daily'!M19-'Hampshire Daily'!M18</f>
        <v>0</v>
      </c>
      <c r="M16" s="4">
        <f>'Hampshire Daily'!N19-'Hampshire Daily'!N18</f>
        <v>3010</v>
      </c>
      <c r="N16" s="4">
        <f>'Hampshire Daily'!O19-'Hampshire Daily'!O18</f>
        <v>92</v>
      </c>
      <c r="O16" s="4">
        <f>'Hampshire Daily'!P19-'Hampshire Daily'!P18</f>
        <v>0</v>
      </c>
      <c r="P16" s="4">
        <f>'Hampshire Daily'!Q19-'Hampshire Daily'!Q18</f>
        <v>0</v>
      </c>
      <c r="Q16" s="4">
        <f>'Hampshire Daily'!R19-'Hampshire Daily'!R18</f>
        <v>698</v>
      </c>
      <c r="R16" s="4">
        <f>'Hampshire Daily'!S19-'Hampshire Daily'!S18</f>
        <v>51</v>
      </c>
      <c r="S16" s="4">
        <f>'Hampshire Daily'!T19-'Hampshire Daily'!T18</f>
        <v>57</v>
      </c>
      <c r="T16" s="4">
        <f>'Hampshire Daily'!U19-'Hampshire Daily'!U18</f>
        <v>11</v>
      </c>
      <c r="U16" s="4">
        <f>'Hampshire Daily'!V19-'Hampshire Daily'!V18</f>
        <v>0</v>
      </c>
      <c r="V16" s="4">
        <f>'Hampshire Daily'!W19-'Hampshire Daily'!W18</f>
        <v>0</v>
      </c>
      <c r="W16" s="4">
        <f>'Hampshire Daily'!X19-'Hampshire Daily'!X18</f>
        <v>0.1430000000000291</v>
      </c>
      <c r="X16" s="4">
        <f>'Hampshire Daily'!Y19-'Hampshire Daily'!Y18</f>
        <v>2.8999999999996362E-2</v>
      </c>
      <c r="Y16" s="4">
        <f>'Hampshire Daily'!B19</f>
        <v>63</v>
      </c>
      <c r="Z16" s="4">
        <f>'Hampshire Daily'!C19</f>
        <v>104</v>
      </c>
    </row>
    <row r="17" spans="1:26" x14ac:dyDescent="0.25">
      <c r="A17" s="3" t="s">
        <v>40</v>
      </c>
      <c r="B17" s="1">
        <f t="shared" si="0"/>
        <v>16</v>
      </c>
      <c r="C17" s="17">
        <v>2</v>
      </c>
      <c r="D17" s="1">
        <v>2022</v>
      </c>
      <c r="E17" s="4">
        <f>'Hampshire Daily'!D20-'Hampshire Daily'!D19</f>
        <v>2815</v>
      </c>
      <c r="F17" s="4">
        <f>'Hampshire Daily'!E20-'Hampshire Daily'!E19</f>
        <v>2819</v>
      </c>
      <c r="G17" s="4">
        <f>'Hampshire Daily'!H20-'Hampshire Daily'!H19</f>
        <v>52</v>
      </c>
      <c r="H17" s="4">
        <f>'Hampshire Daily'!I20-'Hampshire Daily'!I19</f>
        <v>4550.4074074076489</v>
      </c>
      <c r="I17" s="4">
        <f>'Hampshire Daily'!J20-'Hampshire Daily'!J19</f>
        <v>455.37037037037226</v>
      </c>
      <c r="J17" s="4">
        <f>'Hampshire Daily'!K20-'Hampshire Daily'!K19</f>
        <v>4381.8737997254357</v>
      </c>
      <c r="K17" s="4">
        <f>'Hampshire Daily'!L20-'Hampshire Daily'!L19</f>
        <v>1357</v>
      </c>
      <c r="L17" s="4">
        <f>'Hampshire Daily'!M20-'Hampshire Daily'!M19</f>
        <v>14</v>
      </c>
      <c r="M17" s="4">
        <f>'Hampshire Daily'!N20-'Hampshire Daily'!N19</f>
        <v>2948</v>
      </c>
      <c r="N17" s="4">
        <f>'Hampshire Daily'!O20-'Hampshire Daily'!O19</f>
        <v>83</v>
      </c>
      <c r="O17" s="4">
        <f>'Hampshire Daily'!P20-'Hampshire Daily'!P19</f>
        <v>-18000</v>
      </c>
      <c r="P17" s="4">
        <f>'Hampshire Daily'!Q20-'Hampshire Daily'!Q19</f>
        <v>0</v>
      </c>
      <c r="Q17" s="4">
        <f>'Hampshire Daily'!R20-'Hampshire Daily'!R19</f>
        <v>767</v>
      </c>
      <c r="R17" s="4">
        <f>'Hampshire Daily'!S20-'Hampshire Daily'!S19</f>
        <v>51</v>
      </c>
      <c r="S17" s="4">
        <f>'Hampshire Daily'!T20-'Hampshire Daily'!T19</f>
        <v>57</v>
      </c>
      <c r="T17" s="4">
        <f>'Hampshire Daily'!U20-'Hampshire Daily'!U19</f>
        <v>13</v>
      </c>
      <c r="U17" s="4">
        <f>'Hampshire Daily'!V20-'Hampshire Daily'!V19</f>
        <v>2</v>
      </c>
      <c r="V17" s="4">
        <f>'Hampshire Daily'!W20-'Hampshire Daily'!W19</f>
        <v>0</v>
      </c>
      <c r="W17" s="4">
        <f>'Hampshire Daily'!X20-'Hampshire Daily'!X19</f>
        <v>0.13599999999996726</v>
      </c>
      <c r="X17" s="4">
        <f>'Hampshire Daily'!Y20-'Hampshire Daily'!Y19</f>
        <v>3.4999999999854481E-2</v>
      </c>
      <c r="Y17" s="4">
        <f>'Hampshire Daily'!B20</f>
        <v>70</v>
      </c>
      <c r="Z17" s="4">
        <f>'Hampshire Daily'!C20</f>
        <v>109</v>
      </c>
    </row>
    <row r="18" spans="1:26" x14ac:dyDescent="0.25">
      <c r="A18" s="3" t="s">
        <v>40</v>
      </c>
      <c r="B18" s="1">
        <f t="shared" si="0"/>
        <v>17</v>
      </c>
      <c r="C18" s="17">
        <v>2</v>
      </c>
      <c r="D18" s="1">
        <v>2022</v>
      </c>
      <c r="E18" s="4">
        <f>'Hampshire Daily'!D21-'Hampshire Daily'!D20</f>
        <v>3195</v>
      </c>
      <c r="F18" s="4">
        <f>'Hampshire Daily'!E21-'Hampshire Daily'!E20</f>
        <v>3201</v>
      </c>
      <c r="G18" s="4">
        <f>'Hampshire Daily'!H21-'Hampshire Daily'!H20</f>
        <v>664</v>
      </c>
      <c r="H18" s="4">
        <f>'Hampshire Daily'!I21-'Hampshire Daily'!I20</f>
        <v>4550.4074074076489</v>
      </c>
      <c r="I18" s="4">
        <f>'Hampshire Daily'!J21-'Hampshire Daily'!J20</f>
        <v>455.37037037037226</v>
      </c>
      <c r="J18" s="4">
        <f>'Hampshire Daily'!K21-'Hampshire Daily'!K20</f>
        <v>4381.8737997254357</v>
      </c>
      <c r="K18" s="4">
        <f>'Hampshire Daily'!L21-'Hampshire Daily'!L20</f>
        <v>1151</v>
      </c>
      <c r="L18" s="4">
        <f>'Hampshire Daily'!M21-'Hampshire Daily'!M20</f>
        <v>235</v>
      </c>
      <c r="M18" s="4">
        <f>'Hampshire Daily'!N21-'Hampshire Daily'!N20</f>
        <v>2267</v>
      </c>
      <c r="N18" s="4">
        <f>'Hampshire Daily'!O21-'Hampshire Daily'!O20</f>
        <v>93</v>
      </c>
      <c r="O18" s="4">
        <f>'Hampshire Daily'!P21-'Hampshire Daily'!P20</f>
        <v>18738</v>
      </c>
      <c r="P18" s="4">
        <f>'Hampshire Daily'!Q21-'Hampshire Daily'!Q20</f>
        <v>0</v>
      </c>
      <c r="Q18" s="4">
        <f>'Hampshire Daily'!R21-'Hampshire Daily'!R20</f>
        <v>25</v>
      </c>
      <c r="R18" s="4">
        <f>'Hampshire Daily'!S21-'Hampshire Daily'!S20</f>
        <v>48</v>
      </c>
      <c r="S18" s="4">
        <f>'Hampshire Daily'!T21-'Hampshire Daily'!T20</f>
        <v>55</v>
      </c>
      <c r="T18" s="4">
        <f>'Hampshire Daily'!U21-'Hampshire Daily'!U20</f>
        <v>10</v>
      </c>
      <c r="U18" s="4">
        <f>'Hampshire Daily'!V21-'Hampshire Daily'!V20</f>
        <v>1</v>
      </c>
      <c r="V18" s="4">
        <f>'Hampshire Daily'!W21-'Hampshire Daily'!W20</f>
        <v>0</v>
      </c>
      <c r="W18" s="4">
        <f>'Hampshire Daily'!X21-'Hampshire Daily'!X20</f>
        <v>0.22100000000000364</v>
      </c>
      <c r="X18" s="4">
        <f>'Hampshire Daily'!Y21-'Hampshire Daily'!Y20</f>
        <v>1.2000000000170985E-2</v>
      </c>
      <c r="Y18" s="4">
        <f>'Hampshire Daily'!B21</f>
        <v>67</v>
      </c>
      <c r="Z18" s="4">
        <f>'Hampshire Daily'!C21</f>
        <v>133</v>
      </c>
    </row>
    <row r="19" spans="1:26" x14ac:dyDescent="0.25">
      <c r="A19" s="3" t="s">
        <v>40</v>
      </c>
      <c r="B19" s="1">
        <f t="shared" si="0"/>
        <v>18</v>
      </c>
      <c r="C19" s="17">
        <v>2</v>
      </c>
      <c r="D19" s="1">
        <v>2022</v>
      </c>
      <c r="E19" s="4">
        <f>'Hampshire Daily'!D22-'Hampshire Daily'!D21</f>
        <v>1734</v>
      </c>
      <c r="F19" s="4">
        <f>'Hampshire Daily'!E22-'Hampshire Daily'!E21</f>
        <v>1737</v>
      </c>
      <c r="G19" s="4">
        <f>'Hampshire Daily'!H22-'Hampshire Daily'!H21</f>
        <v>730</v>
      </c>
      <c r="H19" s="4">
        <f>'Hampshire Daily'!I22-'Hampshire Daily'!I21</f>
        <v>4550.4074074076489</v>
      </c>
      <c r="I19" s="4">
        <f>'Hampshire Daily'!J22-'Hampshire Daily'!J21</f>
        <v>455.37037037037226</v>
      </c>
      <c r="J19" s="4">
        <f>'Hampshire Daily'!K22-'Hampshire Daily'!K21</f>
        <v>4381.8737997254357</v>
      </c>
      <c r="K19" s="4">
        <f>'Hampshire Daily'!L22-'Hampshire Daily'!L21</f>
        <v>1415</v>
      </c>
      <c r="L19" s="4">
        <f>'Hampshire Daily'!M22-'Hampshire Daily'!M21</f>
        <v>8</v>
      </c>
      <c r="M19" s="4">
        <f>'Hampshire Daily'!N22-'Hampshire Daily'!N21</f>
        <v>2403</v>
      </c>
      <c r="N19" s="4">
        <f>'Hampshire Daily'!O22-'Hampshire Daily'!O21</f>
        <v>85</v>
      </c>
      <c r="O19" s="4">
        <f>'Hampshire Daily'!P22-'Hampshire Daily'!P21</f>
        <v>743</v>
      </c>
      <c r="P19" s="4">
        <f>'Hampshire Daily'!Q22-'Hampshire Daily'!Q21</f>
        <v>0</v>
      </c>
      <c r="Q19" s="4">
        <f>'Hampshire Daily'!R22-'Hampshire Daily'!R21</f>
        <v>0</v>
      </c>
      <c r="R19" s="4">
        <f>'Hampshire Daily'!S22-'Hampshire Daily'!S21</f>
        <v>44</v>
      </c>
      <c r="S19" s="4">
        <f>'Hampshire Daily'!T22-'Hampshire Daily'!T21</f>
        <v>56</v>
      </c>
      <c r="T19" s="4">
        <f>'Hampshire Daily'!U22-'Hampshire Daily'!U21</f>
        <v>11</v>
      </c>
      <c r="U19" s="4">
        <f>'Hampshire Daily'!V22-'Hampshire Daily'!V21</f>
        <v>1</v>
      </c>
      <c r="V19" s="4">
        <f>'Hampshire Daily'!W22-'Hampshire Daily'!W21</f>
        <v>0</v>
      </c>
      <c r="W19" s="4">
        <f>'Hampshire Daily'!X22-'Hampshire Daily'!X21</f>
        <v>0.25200000000006639</v>
      </c>
      <c r="X19" s="4">
        <f>'Hampshire Daily'!Y22-'Hampshire Daily'!Y21</f>
        <v>2.6999999999588908E-2</v>
      </c>
      <c r="Y19" s="4">
        <f>'Hampshire Daily'!B22</f>
        <v>74</v>
      </c>
      <c r="Z19" s="4">
        <f>'Hampshire Daily'!C22</f>
        <v>137</v>
      </c>
    </row>
    <row r="20" spans="1:26" x14ac:dyDescent="0.25">
      <c r="A20" s="3" t="s">
        <v>40</v>
      </c>
      <c r="B20" s="1">
        <f t="shared" si="0"/>
        <v>19</v>
      </c>
      <c r="C20" s="17">
        <v>2</v>
      </c>
      <c r="D20" s="1">
        <v>2022</v>
      </c>
      <c r="E20" s="4">
        <f>'Hampshire Daily'!D23-'Hampshire Daily'!D22</f>
        <v>3284</v>
      </c>
      <c r="F20" s="4">
        <f>'Hampshire Daily'!E23-'Hampshire Daily'!E22</f>
        <v>3289</v>
      </c>
      <c r="G20" s="4">
        <f>'Hampshire Daily'!H23-'Hampshire Daily'!H22</f>
        <v>725</v>
      </c>
      <c r="H20" s="4">
        <f>'Hampshire Daily'!I23-'Hampshire Daily'!I22</f>
        <v>4550.4074074076489</v>
      </c>
      <c r="I20" s="4">
        <f>'Hampshire Daily'!J23-'Hampshire Daily'!J22</f>
        <v>455.37037037037226</v>
      </c>
      <c r="J20" s="4">
        <f>'Hampshire Daily'!K23-'Hampshire Daily'!K22</f>
        <v>4381.8737997254357</v>
      </c>
      <c r="K20" s="4">
        <f>'Hampshire Daily'!L23-'Hampshire Daily'!L22</f>
        <v>1415</v>
      </c>
      <c r="L20" s="4">
        <f>'Hampshire Daily'!M23-'Hampshire Daily'!M22</f>
        <v>696</v>
      </c>
      <c r="M20" s="4">
        <f>'Hampshire Daily'!N23-'Hampshire Daily'!N22</f>
        <v>2375</v>
      </c>
      <c r="N20" s="4">
        <f>'Hampshire Daily'!O23-'Hampshire Daily'!O22</f>
        <v>85</v>
      </c>
      <c r="O20" s="4">
        <f>'Hampshire Daily'!P23-'Hampshire Daily'!P22</f>
        <v>387</v>
      </c>
      <c r="P20" s="4">
        <f>'Hampshire Daily'!Q23-'Hampshire Daily'!Q22</f>
        <v>0</v>
      </c>
      <c r="Q20" s="4">
        <f>'Hampshire Daily'!R23-'Hampshire Daily'!R22</f>
        <v>338</v>
      </c>
      <c r="R20" s="4">
        <f>'Hampshire Daily'!S23-'Hampshire Daily'!S22</f>
        <v>56</v>
      </c>
      <c r="S20" s="4">
        <f>'Hampshire Daily'!T23-'Hampshire Daily'!T22</f>
        <v>65</v>
      </c>
      <c r="T20" s="4">
        <f>'Hampshire Daily'!U23-'Hampshire Daily'!U22</f>
        <v>12</v>
      </c>
      <c r="U20" s="4">
        <f>'Hampshire Daily'!V23-'Hampshire Daily'!V22</f>
        <v>1</v>
      </c>
      <c r="V20" s="4">
        <f>'Hampshire Daily'!W23-'Hampshire Daily'!W22</f>
        <v>0</v>
      </c>
      <c r="W20" s="4">
        <f>'Hampshire Daily'!X23-'Hampshire Daily'!X22</f>
        <v>0.2279999999999518</v>
      </c>
      <c r="X20" s="4">
        <f>'Hampshire Daily'!Y23-'Hampshire Daily'!Y22</f>
        <v>2.7000000000043656E-2</v>
      </c>
      <c r="Y20" s="4">
        <f>'Hampshire Daily'!B23</f>
        <v>78</v>
      </c>
      <c r="Z20" s="4">
        <f>'Hampshire Daily'!C23</f>
        <v>136</v>
      </c>
    </row>
    <row r="21" spans="1:26" x14ac:dyDescent="0.25">
      <c r="A21" s="3" t="s">
        <v>40</v>
      </c>
      <c r="B21" s="1">
        <f t="shared" si="0"/>
        <v>20</v>
      </c>
      <c r="C21" s="17">
        <v>2</v>
      </c>
      <c r="D21" s="1">
        <v>2022</v>
      </c>
      <c r="E21" s="4">
        <f>'Hampshire Daily'!D24-'Hampshire Daily'!D23</f>
        <v>4957</v>
      </c>
      <c r="F21" s="4">
        <f>'Hampshire Daily'!E24-'Hampshire Daily'!E23</f>
        <v>4965</v>
      </c>
      <c r="G21" s="4">
        <f>'Hampshire Daily'!H24-'Hampshire Daily'!H23</f>
        <v>718</v>
      </c>
      <c r="H21" s="4">
        <f>'Hampshire Daily'!I24-'Hampshire Daily'!I23</f>
        <v>4550.4074074076489</v>
      </c>
      <c r="I21" s="4">
        <f>'Hampshire Daily'!J24-'Hampshire Daily'!J23</f>
        <v>455.37037037037226</v>
      </c>
      <c r="J21" s="4">
        <f>'Hampshire Daily'!K24-'Hampshire Daily'!K23</f>
        <v>4381.8737997254357</v>
      </c>
      <c r="K21" s="4">
        <f>'Hampshire Daily'!L24-'Hampshire Daily'!L23</f>
        <v>1279</v>
      </c>
      <c r="L21" s="4">
        <f>'Hampshire Daily'!M24-'Hampshire Daily'!M23</f>
        <v>781</v>
      </c>
      <c r="M21" s="4">
        <f>'Hampshire Daily'!N24-'Hampshire Daily'!N23</f>
        <v>2080</v>
      </c>
      <c r="N21" s="4">
        <f>'Hampshire Daily'!O24-'Hampshire Daily'!O23</f>
        <v>118</v>
      </c>
      <c r="O21" s="4">
        <f>'Hampshire Daily'!P24-'Hampshire Daily'!P23</f>
        <v>0</v>
      </c>
      <c r="P21" s="4">
        <f>'Hampshire Daily'!Q24-'Hampshire Daily'!Q23</f>
        <v>0</v>
      </c>
      <c r="Q21" s="4">
        <f>'Hampshire Daily'!R24-'Hampshire Daily'!R23</f>
        <v>722</v>
      </c>
      <c r="R21" s="4">
        <f>'Hampshire Daily'!S24-'Hampshire Daily'!S23</f>
        <v>54</v>
      </c>
      <c r="S21" s="4">
        <f>'Hampshire Daily'!T24-'Hampshire Daily'!T23</f>
        <v>64</v>
      </c>
      <c r="T21" s="4">
        <f>'Hampshire Daily'!U24-'Hampshire Daily'!U23</f>
        <v>11</v>
      </c>
      <c r="U21" s="4">
        <f>'Hampshire Daily'!V24-'Hampshire Daily'!V23</f>
        <v>1</v>
      </c>
      <c r="V21" s="4">
        <f>'Hampshire Daily'!W24-'Hampshire Daily'!W23</f>
        <v>0</v>
      </c>
      <c r="W21" s="4">
        <f>'Hampshire Daily'!X24-'Hampshire Daily'!X23</f>
        <v>0.20899999999994634</v>
      </c>
      <c r="X21" s="4">
        <f>'Hampshire Daily'!Y24-'Hampshire Daily'!Y23</f>
        <v>1.6000000000076398E-2</v>
      </c>
      <c r="Y21" s="4">
        <f>'Hampshire Daily'!B24</f>
        <v>25</v>
      </c>
      <c r="Z21" s="4">
        <f>'Hampshire Daily'!C24</f>
        <v>52</v>
      </c>
    </row>
    <row r="22" spans="1:26" x14ac:dyDescent="0.25">
      <c r="A22" s="3" t="s">
        <v>40</v>
      </c>
      <c r="B22" s="1">
        <f t="shared" si="0"/>
        <v>21</v>
      </c>
      <c r="C22" s="17">
        <v>2</v>
      </c>
      <c r="D22" s="1">
        <v>2022</v>
      </c>
      <c r="E22" s="4">
        <f>'Hampshire Daily'!D25-'Hampshire Daily'!D24</f>
        <v>4750</v>
      </c>
      <c r="F22" s="4">
        <f>'Hampshire Daily'!E25-'Hampshire Daily'!E24</f>
        <v>4758</v>
      </c>
      <c r="G22" s="4">
        <f>'Hampshire Daily'!H25-'Hampshire Daily'!H24</f>
        <v>875</v>
      </c>
      <c r="H22" s="4">
        <f>'Hampshire Daily'!I25-'Hampshire Daily'!I24</f>
        <v>4550.4074074076489</v>
      </c>
      <c r="I22" s="4">
        <f>'Hampshire Daily'!J25-'Hampshire Daily'!J24</f>
        <v>455.37037037037226</v>
      </c>
      <c r="J22" s="4">
        <f>'Hampshire Daily'!K25-'Hampshire Daily'!K24</f>
        <v>4381.8737997254357</v>
      </c>
      <c r="K22" s="4">
        <f>'Hampshire Daily'!L25-'Hampshire Daily'!L24</f>
        <v>455.37037037033588</v>
      </c>
      <c r="L22" s="4">
        <f>'Hampshire Daily'!M25-'Hampshire Daily'!M24</f>
        <v>696</v>
      </c>
      <c r="M22" s="4">
        <f>'Hampshire Daily'!N25-'Hampshire Daily'!N24</f>
        <v>2118</v>
      </c>
      <c r="N22" s="4">
        <f>'Hampshire Daily'!O25-'Hampshire Daily'!O24</f>
        <v>68.5</v>
      </c>
      <c r="O22" s="4">
        <f>'Hampshire Daily'!P25-'Hampshire Daily'!P24</f>
        <v>89</v>
      </c>
      <c r="P22" s="4">
        <f>'Hampshire Daily'!Q25-'Hampshire Daily'!Q24</f>
        <v>0</v>
      </c>
      <c r="Q22" s="4">
        <f>'Hampshire Daily'!R25-'Hampshire Daily'!R24</f>
        <v>602</v>
      </c>
      <c r="R22" s="4">
        <f>'Hampshire Daily'!S25-'Hampshire Daily'!S24</f>
        <v>41</v>
      </c>
      <c r="S22" s="4">
        <f>'Hampshire Daily'!T25-'Hampshire Daily'!T24</f>
        <v>52</v>
      </c>
      <c r="T22" s="4">
        <f>'Hampshire Daily'!U25-'Hampshire Daily'!U24</f>
        <v>9</v>
      </c>
      <c r="U22" s="4">
        <f>'Hampshire Daily'!V25-'Hampshire Daily'!V24</f>
        <v>1</v>
      </c>
      <c r="V22" s="4">
        <f>'Hampshire Daily'!W25-'Hampshire Daily'!W24</f>
        <v>0</v>
      </c>
      <c r="W22" s="4">
        <f>'Hampshire Daily'!X25-'Hampshire Daily'!X24</f>
        <v>0.16000000000008185</v>
      </c>
      <c r="X22" s="4">
        <f>'Hampshire Daily'!Y25-'Hampshire Daily'!Y24</f>
        <v>2.1999999999934516E-2</v>
      </c>
      <c r="Y22" s="4">
        <f>'Hampshire Daily'!B25</f>
        <v>49</v>
      </c>
      <c r="Z22" s="4">
        <f>'Hampshire Daily'!C25</f>
        <v>78</v>
      </c>
    </row>
    <row r="23" spans="1:26" x14ac:dyDescent="0.25">
      <c r="A23" s="3" t="s">
        <v>40</v>
      </c>
      <c r="B23" s="1">
        <f t="shared" si="0"/>
        <v>22</v>
      </c>
      <c r="C23" s="17">
        <v>2</v>
      </c>
      <c r="D23" s="1">
        <v>2022</v>
      </c>
      <c r="E23" s="4">
        <f>'Hampshire Daily'!D26-'Hampshire Daily'!D25</f>
        <v>5102</v>
      </c>
      <c r="F23" s="4">
        <f>'Hampshire Daily'!E26-'Hampshire Daily'!E25</f>
        <v>5109</v>
      </c>
      <c r="G23" s="4">
        <f>'Hampshire Daily'!H26-'Hampshire Daily'!H25</f>
        <v>858</v>
      </c>
      <c r="H23" s="4">
        <f>'Hampshire Daily'!I26-'Hampshire Daily'!I25</f>
        <v>4550.4074074076489</v>
      </c>
      <c r="I23" s="4">
        <f>'Hampshire Daily'!J26-'Hampshire Daily'!J25</f>
        <v>455.37037037037226</v>
      </c>
      <c r="J23" s="4">
        <f>'Hampshire Daily'!K26-'Hampshire Daily'!K25</f>
        <v>4381.8737997254357</v>
      </c>
      <c r="K23" s="4">
        <f>'Hampshire Daily'!L26-'Hampshire Daily'!L25</f>
        <v>455.37037037033588</v>
      </c>
      <c r="L23" s="4">
        <f>'Hampshire Daily'!M26-'Hampshire Daily'!M25</f>
        <v>797</v>
      </c>
      <c r="M23" s="4">
        <f>'Hampshire Daily'!N26-'Hampshire Daily'!N25</f>
        <v>2215</v>
      </c>
      <c r="N23" s="4">
        <f>'Hampshire Daily'!O26-'Hampshire Daily'!O25</f>
        <v>68.5</v>
      </c>
      <c r="O23" s="4">
        <f>'Hampshire Daily'!P26-'Hampshire Daily'!P25</f>
        <v>749</v>
      </c>
      <c r="P23" s="4">
        <f>'Hampshire Daily'!Q26-'Hampshire Daily'!Q25</f>
        <v>0</v>
      </c>
      <c r="Q23" s="4">
        <f>'Hampshire Daily'!R26-'Hampshire Daily'!R25</f>
        <v>41</v>
      </c>
      <c r="R23" s="4">
        <f>'Hampshire Daily'!S26-'Hampshire Daily'!S25</f>
        <v>34</v>
      </c>
      <c r="S23" s="4">
        <f>'Hampshire Daily'!T26-'Hampshire Daily'!T25</f>
        <v>44</v>
      </c>
      <c r="T23" s="4">
        <f>'Hampshire Daily'!U26-'Hampshire Daily'!U25</f>
        <v>9</v>
      </c>
      <c r="U23" s="4">
        <f>'Hampshire Daily'!V26-'Hampshire Daily'!V25</f>
        <v>1</v>
      </c>
      <c r="V23" s="4">
        <f>'Hampshire Daily'!W26-'Hampshire Daily'!W25</f>
        <v>0</v>
      </c>
      <c r="W23" s="4">
        <f>'Hampshire Daily'!X26-'Hampshire Daily'!X25</f>
        <v>0.19599999999991269</v>
      </c>
      <c r="X23" s="4">
        <f>'Hampshire Daily'!Y26-'Hampshire Daily'!Y25</f>
        <v>3.0999999999949068E-2</v>
      </c>
      <c r="Y23" s="4">
        <f>'Hampshire Daily'!B26</f>
        <v>97</v>
      </c>
      <c r="Z23" s="4">
        <f>'Hampshire Daily'!C26</f>
        <v>131</v>
      </c>
    </row>
    <row r="24" spans="1:26" x14ac:dyDescent="0.25">
      <c r="A24" s="3" t="s">
        <v>40</v>
      </c>
      <c r="B24" s="1">
        <f t="shared" si="0"/>
        <v>23</v>
      </c>
      <c r="C24" s="17">
        <v>2</v>
      </c>
      <c r="D24" s="1">
        <v>2022</v>
      </c>
      <c r="E24" s="4">
        <f>'Hampshire Daily'!D27-'Hampshire Daily'!D26</f>
        <v>2814</v>
      </c>
      <c r="F24" s="4">
        <f>'Hampshire Daily'!E27-'Hampshire Daily'!E26</f>
        <v>2818</v>
      </c>
      <c r="G24" s="4">
        <f>'Hampshire Daily'!H27-'Hampshire Daily'!H26</f>
        <v>857</v>
      </c>
      <c r="H24" s="4">
        <f>'Hampshire Daily'!I27-'Hampshire Daily'!I26</f>
        <v>4550.4074074076489</v>
      </c>
      <c r="I24" s="4">
        <f>'Hampshire Daily'!J27-'Hampshire Daily'!J26</f>
        <v>455.37037037037226</v>
      </c>
      <c r="J24" s="4">
        <f>'Hampshire Daily'!K27-'Hampshire Daily'!K26</f>
        <v>4381.8737997254357</v>
      </c>
      <c r="K24" s="4">
        <f>'Hampshire Daily'!L27-'Hampshire Daily'!L26</f>
        <v>455.37037037033588</v>
      </c>
      <c r="L24" s="4">
        <f>'Hampshire Daily'!M27-'Hampshire Daily'!M26</f>
        <v>129</v>
      </c>
      <c r="M24" s="4">
        <f>'Hampshire Daily'!N27-'Hampshire Daily'!N26</f>
        <v>2747</v>
      </c>
      <c r="N24" s="4">
        <f>'Hampshire Daily'!O27-'Hampshire Daily'!O26</f>
        <v>232</v>
      </c>
      <c r="O24" s="4">
        <f>'Hampshire Daily'!P27-'Hampshire Daily'!P26</f>
        <v>732</v>
      </c>
      <c r="P24" s="4">
        <f>'Hampshire Daily'!Q27-'Hampshire Daily'!Q26</f>
        <v>0</v>
      </c>
      <c r="Q24" s="4">
        <f>'Hampshire Daily'!R27-'Hampshire Daily'!R26</f>
        <v>0</v>
      </c>
      <c r="R24" s="4">
        <f>'Hampshire Daily'!S27-'Hampshire Daily'!S26</f>
        <v>53</v>
      </c>
      <c r="S24" s="4">
        <f>'Hampshire Daily'!T27-'Hampshire Daily'!T26</f>
        <v>57</v>
      </c>
      <c r="T24" s="4">
        <f>'Hampshire Daily'!U27-'Hampshire Daily'!U26</f>
        <v>10</v>
      </c>
      <c r="U24" s="4">
        <f>'Hampshire Daily'!V27-'Hampshire Daily'!V26</f>
        <v>3</v>
      </c>
      <c r="V24" s="4">
        <f>'Hampshire Daily'!W27-'Hampshire Daily'!W26</f>
        <v>0</v>
      </c>
      <c r="W24" s="4">
        <f>'Hampshire Daily'!X27-'Hampshire Daily'!X26</f>
        <v>0.19600000000002638</v>
      </c>
      <c r="X24" s="4">
        <f>'Hampshire Daily'!Y27-'Hampshire Daily'!Y26</f>
        <v>2.6000000000294676E-2</v>
      </c>
      <c r="Y24" s="4">
        <f>'Hampshire Daily'!B27</f>
        <v>88</v>
      </c>
      <c r="Z24" s="4">
        <f>'Hampshire Daily'!C27</f>
        <v>113</v>
      </c>
    </row>
    <row r="25" spans="1:26" x14ac:dyDescent="0.25">
      <c r="A25" s="3" t="s">
        <v>40</v>
      </c>
      <c r="B25" s="1">
        <f t="shared" si="0"/>
        <v>24</v>
      </c>
      <c r="C25" s="17">
        <v>2</v>
      </c>
      <c r="D25" s="1">
        <v>2022</v>
      </c>
      <c r="E25" s="4">
        <f>'Hampshire Daily'!D28-'Hampshire Daily'!D27</f>
        <v>2514</v>
      </c>
      <c r="F25" s="4">
        <f>'Hampshire Daily'!E28-'Hampshire Daily'!E27</f>
        <v>2518</v>
      </c>
      <c r="G25" s="4">
        <f>'Hampshire Daily'!H28-'Hampshire Daily'!H27</f>
        <v>169</v>
      </c>
      <c r="H25" s="4">
        <f>'Hampshire Daily'!I28-'Hampshire Daily'!I27</f>
        <v>4550.4074074076489</v>
      </c>
      <c r="I25" s="4">
        <f>'Hampshire Daily'!J28-'Hampshire Daily'!J27</f>
        <v>455.37037037037226</v>
      </c>
      <c r="J25" s="4">
        <f>'Hampshire Daily'!K28-'Hampshire Daily'!K27</f>
        <v>4381.8737997254357</v>
      </c>
      <c r="K25" s="4">
        <f>'Hampshire Daily'!L28-'Hampshire Daily'!L27</f>
        <v>455.37037037033588</v>
      </c>
      <c r="L25" s="4">
        <f>'Hampshire Daily'!M28-'Hampshire Daily'!M27</f>
        <v>1</v>
      </c>
      <c r="M25" s="4">
        <f>'Hampshire Daily'!N28-'Hampshire Daily'!N27</f>
        <v>2881</v>
      </c>
      <c r="N25" s="4">
        <f>'Hampshire Daily'!O28-'Hampshire Daily'!O27</f>
        <v>232</v>
      </c>
      <c r="O25" s="4">
        <f>'Hampshire Daily'!P28-'Hampshire Daily'!P27</f>
        <v>528</v>
      </c>
      <c r="P25" s="4">
        <f>'Hampshire Daily'!Q28-'Hampshire Daily'!Q27</f>
        <v>0</v>
      </c>
      <c r="Q25" s="4">
        <f>'Hampshire Daily'!R28-'Hampshire Daily'!R27</f>
        <v>201</v>
      </c>
      <c r="R25" s="4">
        <f>'Hampshire Daily'!S28-'Hampshire Daily'!S27</f>
        <v>41</v>
      </c>
      <c r="S25" s="4">
        <f>'Hampshire Daily'!T28-'Hampshire Daily'!T27</f>
        <v>47</v>
      </c>
      <c r="T25" s="4">
        <f>'Hampshire Daily'!U28-'Hampshire Daily'!U27</f>
        <v>8</v>
      </c>
      <c r="U25" s="4">
        <f>'Hampshire Daily'!V28-'Hampshire Daily'!V27</f>
        <v>1</v>
      </c>
      <c r="V25" s="4">
        <f>'Hampshire Daily'!W28-'Hampshire Daily'!W27</f>
        <v>0</v>
      </c>
      <c r="W25" s="4">
        <f>'Hampshire Daily'!X28-'Hampshire Daily'!X27</f>
        <v>9.9000000000046384E-2</v>
      </c>
      <c r="X25" s="4">
        <f>'Hampshire Daily'!Y28-'Hampshire Daily'!Y27</f>
        <v>1.8999999999778083E-2</v>
      </c>
      <c r="Y25" s="4">
        <f>'Hampshire Daily'!B28</f>
        <v>48</v>
      </c>
      <c r="Z25" s="4">
        <f>'Hampshire Daily'!C28</f>
        <v>77</v>
      </c>
    </row>
    <row r="26" spans="1:26" x14ac:dyDescent="0.25">
      <c r="A26" s="3" t="s">
        <v>40</v>
      </c>
      <c r="B26" s="28">
        <f>B25+1</f>
        <v>25</v>
      </c>
      <c r="C26" s="17">
        <v>2</v>
      </c>
      <c r="D26" s="1">
        <v>2022</v>
      </c>
      <c r="E26" s="4">
        <f>'Hampshire Daily'!D29-'Hampshire Daily'!D28</f>
        <v>2839</v>
      </c>
      <c r="F26" s="4">
        <f>'Hampshire Daily'!E29-'Hampshire Daily'!E28</f>
        <v>2845</v>
      </c>
      <c r="G26" s="4">
        <f>'Hampshire Daily'!H29-'Hampshire Daily'!H28</f>
        <v>0</v>
      </c>
      <c r="H26" s="4">
        <f>'Hampshire Daily'!I29-'Hampshire Daily'!I28</f>
        <v>4550.4074074076489</v>
      </c>
      <c r="I26" s="4">
        <f>'Hampshire Daily'!J29-'Hampshire Daily'!J28</f>
        <v>455.37037037037226</v>
      </c>
      <c r="J26" s="4">
        <f>'Hampshire Daily'!K29-'Hampshire Daily'!K28</f>
        <v>4381.8737997254357</v>
      </c>
      <c r="K26" s="4">
        <f>'Hampshire Daily'!L29-'Hampshire Daily'!L28</f>
        <v>455.37037037033588</v>
      </c>
      <c r="L26" s="4">
        <f>'Hampshire Daily'!M29-'Hampshire Daily'!M28</f>
        <v>1</v>
      </c>
      <c r="M26" s="4">
        <f>'Hampshire Daily'!N29-'Hampshire Daily'!N28</f>
        <v>3462</v>
      </c>
      <c r="N26" s="4">
        <f>'Hampshire Daily'!O29-'Hampshire Daily'!O28</f>
        <v>232</v>
      </c>
      <c r="O26" s="4">
        <f>'Hampshire Daily'!P29-'Hampshire Daily'!P28</f>
        <v>0</v>
      </c>
      <c r="P26" s="4">
        <f>'Hampshire Daily'!Q29-'Hampshire Daily'!Q28</f>
        <v>0</v>
      </c>
      <c r="Q26" s="4">
        <f>'Hampshire Daily'!R29-'Hampshire Daily'!R28</f>
        <v>314</v>
      </c>
      <c r="R26" s="4">
        <f>'Hampshire Daily'!S29-'Hampshire Daily'!S28</f>
        <v>46</v>
      </c>
      <c r="S26" s="4">
        <f>'Hampshire Daily'!T29-'Hampshire Daily'!T28</f>
        <v>54</v>
      </c>
      <c r="T26" s="4">
        <f>'Hampshire Daily'!U29-'Hampshire Daily'!U28</f>
        <v>8</v>
      </c>
      <c r="U26" s="4">
        <f>'Hampshire Daily'!V29-'Hampshire Daily'!V28</f>
        <v>2</v>
      </c>
      <c r="V26" s="4">
        <f>'Hampshire Daily'!W29-'Hampshire Daily'!W28</f>
        <v>0</v>
      </c>
      <c r="W26" s="4">
        <f>'Hampshire Daily'!X29-'Hampshire Daily'!X28</f>
        <v>0.14999999999997726</v>
      </c>
      <c r="X26" s="4">
        <f>'Hampshire Daily'!Y29-'Hampshire Daily'!Y28</f>
        <v>1.0000000000218279E-2</v>
      </c>
      <c r="Y26" s="4">
        <f>'Hampshire Daily'!B29</f>
        <v>35</v>
      </c>
      <c r="Z26" s="4">
        <f>'Hampshire Daily'!C29</f>
        <v>66</v>
      </c>
    </row>
    <row r="27" spans="1:26" x14ac:dyDescent="0.25">
      <c r="A27" s="3" t="s">
        <v>40</v>
      </c>
      <c r="B27" s="1">
        <f t="shared" si="0"/>
        <v>26</v>
      </c>
      <c r="C27" s="17">
        <v>2</v>
      </c>
      <c r="D27" s="1">
        <v>2022</v>
      </c>
      <c r="E27" s="4">
        <f>'Hampshire Daily'!D30-'Hampshire Daily'!D29</f>
        <v>2808</v>
      </c>
      <c r="F27" s="4">
        <f>'Hampshire Daily'!E30-'Hampshire Daily'!E29</f>
        <v>2812</v>
      </c>
      <c r="G27" s="4">
        <f>'Hampshire Daily'!H30-'Hampshire Daily'!H29</f>
        <v>0</v>
      </c>
      <c r="H27" s="4">
        <f>'Hampshire Daily'!I30-'Hampshire Daily'!I29</f>
        <v>4550.4074074076489</v>
      </c>
      <c r="I27" s="4">
        <f>'Hampshire Daily'!J30-'Hampshire Daily'!J29</f>
        <v>455.37037037037226</v>
      </c>
      <c r="J27" s="4">
        <f>'Hampshire Daily'!K30-'Hampshire Daily'!K29</f>
        <v>4381.8737997254357</v>
      </c>
      <c r="K27" s="4">
        <f>'Hampshire Daily'!L30-'Hampshire Daily'!L29</f>
        <v>4862.1481481483206</v>
      </c>
      <c r="L27" s="4">
        <f>'Hampshire Daily'!M30-'Hampshire Daily'!M29</f>
        <v>0</v>
      </c>
      <c r="M27" s="4">
        <f>'Hampshire Daily'!N30-'Hampshire Daily'!N29</f>
        <v>3140</v>
      </c>
      <c r="N27" s="4">
        <f>'Hampshire Daily'!O30-'Hampshire Daily'!O29</f>
        <v>-392</v>
      </c>
      <c r="O27" s="4">
        <f>'Hampshire Daily'!P30-'Hampshire Daily'!P29</f>
        <v>0</v>
      </c>
      <c r="P27" s="4">
        <f>'Hampshire Daily'!Q30-'Hampshire Daily'!Q29</f>
        <v>0</v>
      </c>
      <c r="Q27" s="4">
        <f>'Hampshire Daily'!R30-'Hampshire Daily'!R29</f>
        <v>734</v>
      </c>
      <c r="R27" s="4">
        <f>'Hampshire Daily'!S30-'Hampshire Daily'!S29</f>
        <v>33</v>
      </c>
      <c r="S27" s="4">
        <f>'Hampshire Daily'!T30-'Hampshire Daily'!T29</f>
        <v>-19958</v>
      </c>
      <c r="T27" s="4">
        <f>'Hampshire Daily'!U30-'Hampshire Daily'!U29</f>
        <v>9</v>
      </c>
      <c r="U27" s="4">
        <f>'Hampshire Daily'!V30-'Hampshire Daily'!V29</f>
        <v>2</v>
      </c>
      <c r="V27" s="4">
        <f>'Hampshire Daily'!W30-'Hampshire Daily'!W29</f>
        <v>0</v>
      </c>
      <c r="W27" s="4">
        <f>'Hampshire Daily'!X30-'Hampshire Daily'!X29</f>
        <v>0.1029999999999518</v>
      </c>
      <c r="X27" s="4">
        <f>'Hampshire Daily'!Y30-'Hampshire Daily'!Y29</f>
        <v>5.6000000000040018E-2</v>
      </c>
      <c r="Y27" s="4">
        <f>'Hampshire Daily'!B30</f>
        <v>49</v>
      </c>
      <c r="Z27" s="4">
        <f>'Hampshire Daily'!C30</f>
        <v>94</v>
      </c>
    </row>
    <row r="28" spans="1:26" x14ac:dyDescent="0.25">
      <c r="A28" s="3" t="s">
        <v>40</v>
      </c>
      <c r="B28" s="1">
        <f t="shared" si="0"/>
        <v>27</v>
      </c>
      <c r="C28" s="17">
        <v>2</v>
      </c>
      <c r="D28" s="1">
        <v>2022</v>
      </c>
      <c r="E28" s="4">
        <f>'Hampshire Daily'!D31-'Hampshire Daily'!D30</f>
        <v>2645</v>
      </c>
      <c r="F28" s="4">
        <f>'Hampshire Daily'!E31-'Hampshire Daily'!E30</f>
        <v>2649</v>
      </c>
      <c r="G28" s="4">
        <f>'Hampshire Daily'!H31-'Hampshire Daily'!H30</f>
        <v>0</v>
      </c>
      <c r="H28" s="4">
        <f>'Hampshire Daily'!I31-'Hampshire Daily'!I30</f>
        <v>4550.4074074076489</v>
      </c>
      <c r="I28" s="4">
        <f>'Hampshire Daily'!J31-'Hampshire Daily'!J30</f>
        <v>455.37037037037226</v>
      </c>
      <c r="J28" s="4">
        <f>'Hampshire Daily'!K31-'Hampshire Daily'!K30</f>
        <v>4381.8737997254357</v>
      </c>
      <c r="K28" s="4">
        <f>'Hampshire Daily'!L31-'Hampshire Daily'!L30</f>
        <v>1171</v>
      </c>
      <c r="L28" s="4">
        <f>'Hampshire Daily'!M31-'Hampshire Daily'!M30</f>
        <v>1</v>
      </c>
      <c r="M28" s="4">
        <f>'Hampshire Daily'!N31-'Hampshire Daily'!N30</f>
        <v>3148</v>
      </c>
      <c r="N28" s="4">
        <f>'Hampshire Daily'!O31-'Hampshire Daily'!O30</f>
        <v>70</v>
      </c>
      <c r="O28" s="4">
        <f>'Hampshire Daily'!P31-'Hampshire Daily'!P30</f>
        <v>0</v>
      </c>
      <c r="P28" s="4">
        <f>'Hampshire Daily'!Q31-'Hampshire Daily'!Q30</f>
        <v>0</v>
      </c>
      <c r="Q28" s="4">
        <f>'Hampshire Daily'!R31-'Hampshire Daily'!R30</f>
        <v>549</v>
      </c>
      <c r="R28" s="4">
        <f>'Hampshire Daily'!S31-'Hampshire Daily'!S30</f>
        <v>37</v>
      </c>
      <c r="S28" s="4">
        <f>'Hampshire Daily'!T31-'Hampshire Daily'!T30</f>
        <v>20042</v>
      </c>
      <c r="T28" s="4">
        <f>'Hampshire Daily'!U31-'Hampshire Daily'!U30</f>
        <v>8</v>
      </c>
      <c r="U28" s="4">
        <f>'Hampshire Daily'!V31-'Hampshire Daily'!V30</f>
        <v>2</v>
      </c>
      <c r="V28" s="4">
        <f>'Hampshire Daily'!W31-'Hampshire Daily'!W30</f>
        <v>0</v>
      </c>
      <c r="W28" s="4">
        <f>'Hampshire Daily'!X31-'Hampshire Daily'!X30</f>
        <v>0.11200000000008004</v>
      </c>
      <c r="X28" s="4">
        <f>'Hampshire Daily'!Y31-'Hampshire Daily'!Y30</f>
        <v>2.7999999999792635E-2</v>
      </c>
      <c r="Y28" s="4">
        <f>'Hampshire Daily'!B31</f>
        <v>36</v>
      </c>
      <c r="Z28" s="4">
        <f>'Hampshire Daily'!C31</f>
        <v>52</v>
      </c>
    </row>
    <row r="29" spans="1:26" x14ac:dyDescent="0.25">
      <c r="A29" s="3" t="s">
        <v>40</v>
      </c>
      <c r="B29" s="1">
        <f t="shared" si="0"/>
        <v>28</v>
      </c>
      <c r="C29" s="17">
        <v>2</v>
      </c>
      <c r="D29" s="1">
        <v>2022</v>
      </c>
      <c r="E29" s="4">
        <f>'Hampshire Daily'!D32-'Hampshire Daily'!D31</f>
        <v>3214</v>
      </c>
      <c r="F29" s="4">
        <f>'Hampshire Daily'!E32-'Hampshire Daily'!E31</f>
        <v>3219</v>
      </c>
      <c r="G29" s="4">
        <f>'Hampshire Daily'!H32-'Hampshire Daily'!H31</f>
        <v>0</v>
      </c>
      <c r="H29" s="4">
        <f>'Hampshire Daily'!I32-'Hampshire Daily'!I31</f>
        <v>-63517.59259259887</v>
      </c>
      <c r="I29" s="4">
        <f>'Hampshire Daily'!J32-'Hampshire Daily'!J31</f>
        <v>-11774.629629629679</v>
      </c>
      <c r="J29" s="4">
        <f>'Hampshire Daily'!K32-'Hampshire Daily'!K31</f>
        <v>-41762.718792861328</v>
      </c>
      <c r="K29" s="4">
        <f>'Hampshire Daily'!L32-'Hampshire Daily'!L31</f>
        <v>1089</v>
      </c>
      <c r="L29" s="4">
        <f>'Hampshire Daily'!M32-'Hampshire Daily'!M31</f>
        <v>0</v>
      </c>
      <c r="M29" s="4">
        <f>'Hampshire Daily'!N32-'Hampshire Daily'!N31</f>
        <v>3106</v>
      </c>
      <c r="N29" s="4">
        <f>'Hampshire Daily'!O32-'Hampshire Daily'!O31</f>
        <v>71</v>
      </c>
      <c r="O29" s="4">
        <f>'Hampshire Daily'!P32-'Hampshire Daily'!P31</f>
        <v>0</v>
      </c>
      <c r="P29" s="4">
        <f>'Hampshire Daily'!Q32-'Hampshire Daily'!Q31</f>
        <v>0</v>
      </c>
      <c r="Q29" s="4">
        <f>'Hampshire Daily'!R32-'Hampshire Daily'!R31</f>
        <v>764</v>
      </c>
      <c r="R29" s="4">
        <f>'Hampshire Daily'!S32-'Hampshire Daily'!S31</f>
        <v>37</v>
      </c>
      <c r="S29" s="4">
        <f>'Hampshire Daily'!T32-'Hampshire Daily'!T31</f>
        <v>42</v>
      </c>
      <c r="T29" s="4">
        <f>'Hampshire Daily'!U32-'Hampshire Daily'!U31</f>
        <v>8</v>
      </c>
      <c r="U29" s="4">
        <f>'Hampshire Daily'!V32-'Hampshire Daily'!V31</f>
        <v>1</v>
      </c>
      <c r="V29" s="4">
        <f>'Hampshire Daily'!W32-'Hampshire Daily'!W31</f>
        <v>0</v>
      </c>
      <c r="W29" s="4">
        <f>'Hampshire Daily'!X32-'Hampshire Daily'!X31</f>
        <v>0.11500000000000909</v>
      </c>
      <c r="X29" s="4">
        <f>'Hampshire Daily'!Y32-'Hampshire Daily'!Y31</f>
        <v>2.3999999999887223E-2</v>
      </c>
      <c r="Y29" s="4">
        <f>'Hampshire Daily'!B32</f>
        <v>71</v>
      </c>
      <c r="Z29" s="4">
        <f>'Hampshire Daily'!C32</f>
        <v>82</v>
      </c>
    </row>
    <row r="30" spans="1:26" x14ac:dyDescent="0.25">
      <c r="V30" s="4"/>
      <c r="W30" s="4"/>
      <c r="Y30" s="4"/>
      <c r="Z30" s="4"/>
    </row>
    <row r="31" spans="1:26" x14ac:dyDescent="0.25">
      <c r="V31" s="4"/>
      <c r="W31" s="4"/>
      <c r="Y31" s="4"/>
      <c r="Z31" s="4"/>
    </row>
    <row r="32" spans="1:26" x14ac:dyDescent="0.25">
      <c r="V32" s="4"/>
      <c r="W32" s="4"/>
      <c r="Y32" s="4"/>
      <c r="Z32" s="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zoomScaleNormal="100" workbookViewId="0">
      <pane xSplit="1" topLeftCell="B1" activePane="topRight" state="frozen"/>
      <selection pane="topRight" activeCell="C5" sqref="C5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6"/>
      <c r="B1" s="21"/>
      <c r="C1" s="21"/>
      <c r="D1" s="39" t="s">
        <v>12</v>
      </c>
      <c r="E1" s="39"/>
      <c r="F1" s="39"/>
      <c r="G1" s="39"/>
      <c r="H1" s="39"/>
      <c r="I1" s="39"/>
      <c r="J1" s="39"/>
      <c r="K1" s="39"/>
      <c r="L1" s="39"/>
      <c r="M1" s="39"/>
      <c r="N1" s="45" t="s">
        <v>13</v>
      </c>
      <c r="O1" s="47" t="s">
        <v>14</v>
      </c>
      <c r="P1" s="23"/>
      <c r="Q1" s="23"/>
      <c r="R1" s="23"/>
      <c r="S1" s="47" t="s">
        <v>15</v>
      </c>
      <c r="T1" s="49"/>
      <c r="U1" s="47" t="s">
        <v>16</v>
      </c>
      <c r="V1" s="50" t="s">
        <v>17</v>
      </c>
      <c r="W1" s="47" t="s">
        <v>18</v>
      </c>
      <c r="X1" s="47" t="s">
        <v>19</v>
      </c>
      <c r="Y1" s="56" t="s">
        <v>20</v>
      </c>
      <c r="Z1" s="47" t="s">
        <v>54</v>
      </c>
      <c r="AA1" s="52" t="s">
        <v>55</v>
      </c>
      <c r="AB1" s="1">
        <v>42</v>
      </c>
      <c r="AC1" s="1">
        <v>41</v>
      </c>
    </row>
    <row r="2" spans="1:29" ht="15" customHeight="1" x14ac:dyDescent="0.25">
      <c r="A2" s="37"/>
      <c r="B2" s="42" t="s">
        <v>52</v>
      </c>
      <c r="C2" s="42" t="s">
        <v>53</v>
      </c>
      <c r="D2" s="40" t="s">
        <v>21</v>
      </c>
      <c r="E2" s="40" t="s">
        <v>22</v>
      </c>
      <c r="F2" s="40" t="s">
        <v>23</v>
      </c>
      <c r="G2" s="40" t="s">
        <v>24</v>
      </c>
      <c r="H2" s="40" t="s">
        <v>25</v>
      </c>
      <c r="I2" s="40" t="s">
        <v>26</v>
      </c>
      <c r="J2" s="40" t="s">
        <v>27</v>
      </c>
      <c r="K2" s="40" t="s">
        <v>28</v>
      </c>
      <c r="L2" s="40" t="s">
        <v>29</v>
      </c>
      <c r="M2" s="40" t="s">
        <v>30</v>
      </c>
      <c r="N2" s="46"/>
      <c r="O2" s="47"/>
      <c r="P2" s="23" t="s">
        <v>31</v>
      </c>
      <c r="Q2" s="23" t="s">
        <v>31</v>
      </c>
      <c r="R2" s="23" t="s">
        <v>31</v>
      </c>
      <c r="S2" s="47"/>
      <c r="T2" s="49"/>
      <c r="U2" s="47"/>
      <c r="V2" s="50"/>
      <c r="W2" s="47"/>
      <c r="X2" s="47"/>
      <c r="Y2" s="56"/>
      <c r="Z2" s="47"/>
      <c r="AA2" s="53"/>
      <c r="AB2" s="55" t="s">
        <v>57</v>
      </c>
      <c r="AC2" s="55" t="s">
        <v>58</v>
      </c>
    </row>
    <row r="3" spans="1:29" ht="27" customHeight="1" thickBot="1" x14ac:dyDescent="0.3">
      <c r="A3" s="38"/>
      <c r="B3" s="43"/>
      <c r="C3" s="43"/>
      <c r="D3" s="44"/>
      <c r="E3" s="44"/>
      <c r="F3" s="44"/>
      <c r="G3" s="44"/>
      <c r="H3" s="40"/>
      <c r="I3" s="40"/>
      <c r="J3" s="40"/>
      <c r="K3" s="40"/>
      <c r="L3" s="40"/>
      <c r="M3" s="41"/>
      <c r="N3" s="46"/>
      <c r="O3" s="48"/>
      <c r="P3" s="24">
        <v>2</v>
      </c>
      <c r="Q3" s="24">
        <v>3</v>
      </c>
      <c r="R3" s="24">
        <v>4</v>
      </c>
      <c r="S3" s="49"/>
      <c r="T3" s="49"/>
      <c r="U3" s="48"/>
      <c r="V3" s="51"/>
      <c r="W3" s="47"/>
      <c r="X3" s="47"/>
      <c r="Y3" s="56"/>
      <c r="Z3" s="47"/>
      <c r="AA3" s="54"/>
      <c r="AB3" s="55"/>
      <c r="AC3" s="55"/>
    </row>
    <row r="4" spans="1:29" s="18" customFormat="1" ht="19.899999999999999" customHeight="1" x14ac:dyDescent="0.25">
      <c r="A4" s="20">
        <v>44592</v>
      </c>
      <c r="B4" s="29">
        <v>35</v>
      </c>
      <c r="C4" s="30">
        <v>48</v>
      </c>
      <c r="D4" s="31">
        <v>1195089</v>
      </c>
      <c r="E4" s="32">
        <v>1196976</v>
      </c>
      <c r="F4" s="32">
        <v>1240855</v>
      </c>
      <c r="G4" s="32">
        <v>1239585</v>
      </c>
      <c r="H4" s="32">
        <v>297152</v>
      </c>
      <c r="I4" s="32">
        <v>7561191</v>
      </c>
      <c r="J4" s="32">
        <v>32807</v>
      </c>
      <c r="K4" s="32">
        <v>5648877</v>
      </c>
      <c r="L4" s="32">
        <v>963692</v>
      </c>
      <c r="M4" s="32">
        <v>2647967</v>
      </c>
      <c r="N4" s="32">
        <v>1559129</v>
      </c>
      <c r="O4" s="32">
        <v>384616</v>
      </c>
      <c r="P4" s="32">
        <v>1537793</v>
      </c>
      <c r="Q4" s="32">
        <v>1163</v>
      </c>
      <c r="R4" s="32">
        <v>612220</v>
      </c>
      <c r="S4" s="32">
        <v>348216</v>
      </c>
      <c r="T4" s="32">
        <v>51395</v>
      </c>
      <c r="U4" s="32">
        <v>53214</v>
      </c>
      <c r="V4" s="32">
        <v>31136</v>
      </c>
      <c r="W4" s="32">
        <v>490.33100000000002</v>
      </c>
      <c r="X4" s="32">
        <v>967.779</v>
      </c>
      <c r="Y4" s="32">
        <v>3890.049</v>
      </c>
      <c r="Z4" s="25"/>
      <c r="AA4" s="32">
        <v>2953</v>
      </c>
      <c r="AB4" s="34">
        <v>2910</v>
      </c>
      <c r="AC4" s="34">
        <v>0</v>
      </c>
    </row>
    <row r="5" spans="1:29" x14ac:dyDescent="0.25">
      <c r="A5" s="20">
        <v>44593</v>
      </c>
      <c r="B5" s="27">
        <v>30</v>
      </c>
      <c r="C5" s="30">
        <v>42</v>
      </c>
      <c r="D5" s="32">
        <v>1197501</v>
      </c>
      <c r="E5" s="32">
        <v>1199392</v>
      </c>
      <c r="F5" s="32">
        <v>1246666</v>
      </c>
      <c r="G5" s="32">
        <v>1245390</v>
      </c>
      <c r="H5" s="32">
        <v>297968</v>
      </c>
      <c r="I5" s="32">
        <v>7561191</v>
      </c>
      <c r="J5" s="32">
        <v>32807</v>
      </c>
      <c r="K5" s="32">
        <v>5648877</v>
      </c>
      <c r="L5" s="32">
        <v>964629</v>
      </c>
      <c r="M5" s="32">
        <v>2647969</v>
      </c>
      <c r="N5" s="32">
        <v>1561913</v>
      </c>
      <c r="O5" s="32">
        <v>384678</v>
      </c>
      <c r="P5" s="32">
        <v>1538194</v>
      </c>
      <c r="Q5" s="32">
        <v>1163</v>
      </c>
      <c r="R5" s="32">
        <v>612540</v>
      </c>
      <c r="S5" s="32">
        <v>348245</v>
      </c>
      <c r="T5" s="32">
        <v>51433</v>
      </c>
      <c r="U5" s="32">
        <v>53223</v>
      </c>
      <c r="V5" s="32">
        <v>31138</v>
      </c>
      <c r="W5" s="32">
        <v>490.33100000000002</v>
      </c>
      <c r="X5" s="32">
        <v>967.96299999999997</v>
      </c>
      <c r="Y5" s="32">
        <v>3890.049</v>
      </c>
      <c r="Z5" s="32"/>
      <c r="AA5" s="32">
        <v>2916</v>
      </c>
      <c r="AB5" s="26">
        <v>2860</v>
      </c>
      <c r="AC5" s="34">
        <v>0</v>
      </c>
    </row>
    <row r="6" spans="1:29" x14ac:dyDescent="0.25">
      <c r="A6" s="20">
        <v>44594</v>
      </c>
      <c r="B6" s="27">
        <v>45</v>
      </c>
      <c r="C6" s="30">
        <v>70</v>
      </c>
      <c r="D6" s="32">
        <v>1200260</v>
      </c>
      <c r="E6" s="32">
        <v>1202155</v>
      </c>
      <c r="F6" s="32">
        <v>1251630</v>
      </c>
      <c r="G6" s="32">
        <v>1250348</v>
      </c>
      <c r="H6" s="32">
        <v>298741</v>
      </c>
      <c r="I6" s="32">
        <f t="shared" ref="I6:I31" si="0">(($G$31-$G$4)/27)+I5</f>
        <v>7565741.4074074076</v>
      </c>
      <c r="J6" s="33">
        <f t="shared" ref="J6:J31" si="1">(($H$31-$H$4)/27)+J5</f>
        <v>33262.370370370372</v>
      </c>
      <c r="K6" s="33">
        <f t="shared" ref="K6:K31" si="2">(($I$31-$I$4)/27)+K5</f>
        <v>5653258.8737997254</v>
      </c>
      <c r="L6" s="32">
        <v>965536</v>
      </c>
      <c r="M6" s="32">
        <v>2647989</v>
      </c>
      <c r="N6" s="32">
        <v>1564268</v>
      </c>
      <c r="O6" s="32">
        <v>384737</v>
      </c>
      <c r="P6" s="32">
        <v>1538194</v>
      </c>
      <c r="Q6" s="32">
        <v>1163</v>
      </c>
      <c r="R6" s="32">
        <v>613316</v>
      </c>
      <c r="S6" s="32">
        <v>348270</v>
      </c>
      <c r="T6" s="32">
        <v>51462</v>
      </c>
      <c r="U6" s="32">
        <v>53232</v>
      </c>
      <c r="V6" s="32">
        <v>31139</v>
      </c>
      <c r="W6" s="32">
        <v>490.33100000000002</v>
      </c>
      <c r="X6" s="32">
        <v>968.20100000000002</v>
      </c>
      <c r="Y6" s="32">
        <v>3890.049</v>
      </c>
      <c r="Z6" s="32"/>
      <c r="AA6" s="32">
        <v>2970</v>
      </c>
      <c r="AB6" s="26">
        <v>2920</v>
      </c>
      <c r="AC6" s="34">
        <v>0</v>
      </c>
    </row>
    <row r="7" spans="1:29" x14ac:dyDescent="0.25">
      <c r="A7" s="20">
        <v>44595</v>
      </c>
      <c r="B7" s="27">
        <v>12</v>
      </c>
      <c r="C7" s="30">
        <v>28</v>
      </c>
      <c r="D7" s="32">
        <v>1202434</v>
      </c>
      <c r="E7" s="32">
        <v>1204332</v>
      </c>
      <c r="F7" s="32">
        <v>1257619</v>
      </c>
      <c r="G7" s="32">
        <v>1256332</v>
      </c>
      <c r="H7" s="32">
        <v>299506</v>
      </c>
      <c r="I7" s="32">
        <f t="shared" si="0"/>
        <v>7570291.8148148153</v>
      </c>
      <c r="J7" s="33">
        <f t="shared" si="1"/>
        <v>33717.740740740745</v>
      </c>
      <c r="K7" s="33">
        <f t="shared" si="2"/>
        <v>5657640.7475994509</v>
      </c>
      <c r="L7" s="33">
        <f>((L9-L6)/3)+L6</f>
        <v>966609.66666666663</v>
      </c>
      <c r="M7" s="32">
        <v>2647990</v>
      </c>
      <c r="N7" s="32">
        <v>1566644</v>
      </c>
      <c r="O7" s="32">
        <v>384801</v>
      </c>
      <c r="P7" s="32">
        <v>1538725</v>
      </c>
      <c r="Q7" s="32">
        <v>1163</v>
      </c>
      <c r="R7" s="32">
        <v>613542</v>
      </c>
      <c r="S7" s="32">
        <v>348291</v>
      </c>
      <c r="T7" s="32">
        <v>51500</v>
      </c>
      <c r="U7" s="32">
        <v>53241</v>
      </c>
      <c r="V7" s="32">
        <v>31140</v>
      </c>
      <c r="W7" s="32">
        <v>490.33100000000002</v>
      </c>
      <c r="X7" s="32">
        <v>968.42700000000002</v>
      </c>
      <c r="Y7" s="32">
        <v>3890.049</v>
      </c>
      <c r="Z7" s="32"/>
      <c r="AA7" s="32">
        <v>2974</v>
      </c>
      <c r="AB7" s="26">
        <v>2880</v>
      </c>
      <c r="AC7" s="34">
        <v>0</v>
      </c>
    </row>
    <row r="8" spans="1:29" x14ac:dyDescent="0.25">
      <c r="A8" s="20">
        <v>44596</v>
      </c>
      <c r="B8" s="27">
        <v>34</v>
      </c>
      <c r="C8" s="30">
        <v>69</v>
      </c>
      <c r="D8" s="32">
        <v>1204261</v>
      </c>
      <c r="E8" s="32">
        <v>1206163</v>
      </c>
      <c r="F8" s="32">
        <v>1264029</v>
      </c>
      <c r="G8" s="32">
        <v>1262735</v>
      </c>
      <c r="H8" s="32">
        <v>300288</v>
      </c>
      <c r="I8" s="32">
        <f t="shared" si="0"/>
        <v>7574842.2222222229</v>
      </c>
      <c r="J8" s="33">
        <f t="shared" si="1"/>
        <v>34173.111111111117</v>
      </c>
      <c r="K8" s="33">
        <f t="shared" si="2"/>
        <v>5662022.6213991763</v>
      </c>
      <c r="L8" s="33">
        <f>((L10-L7)/3)+L7</f>
        <v>967732.44444444438</v>
      </c>
      <c r="M8" s="32">
        <v>2647990</v>
      </c>
      <c r="N8" s="32">
        <v>1569082</v>
      </c>
      <c r="O8" s="32">
        <f>((O9-O7)/2)+O7</f>
        <v>384866</v>
      </c>
      <c r="P8" s="32">
        <v>1539444</v>
      </c>
      <c r="Q8" s="32">
        <v>1163</v>
      </c>
      <c r="R8" s="32">
        <v>613542</v>
      </c>
      <c r="S8" s="32">
        <v>348311</v>
      </c>
      <c r="T8" s="32">
        <v>51532</v>
      </c>
      <c r="U8" s="32">
        <v>53251</v>
      </c>
      <c r="V8" s="32">
        <v>31141</v>
      </c>
      <c r="W8" s="32">
        <v>490.33100000000002</v>
      </c>
      <c r="X8" s="32">
        <v>968.64300000000003</v>
      </c>
      <c r="Y8" s="32">
        <v>3890.049</v>
      </c>
      <c r="Z8" s="32"/>
      <c r="AA8" s="32">
        <v>2978</v>
      </c>
      <c r="AB8" s="26">
        <v>2860</v>
      </c>
      <c r="AC8" s="34">
        <v>0</v>
      </c>
    </row>
    <row r="9" spans="1:29" x14ac:dyDescent="0.25">
      <c r="A9" s="20">
        <v>44597</v>
      </c>
      <c r="B9" s="27">
        <v>102</v>
      </c>
      <c r="C9" s="30">
        <v>183</v>
      </c>
      <c r="D9" s="32">
        <v>1206588</v>
      </c>
      <c r="E9" s="32">
        <v>1208494</v>
      </c>
      <c r="F9" s="32">
        <v>1269794</v>
      </c>
      <c r="G9" s="32">
        <v>1268496</v>
      </c>
      <c r="H9" s="32">
        <v>301161</v>
      </c>
      <c r="I9" s="32">
        <f t="shared" si="0"/>
        <v>7579392.6296296306</v>
      </c>
      <c r="J9" s="33">
        <f t="shared" si="1"/>
        <v>34628.481481481489</v>
      </c>
      <c r="K9" s="33">
        <f t="shared" si="2"/>
        <v>5666404.4951989017</v>
      </c>
      <c r="L9" s="32">
        <v>968757</v>
      </c>
      <c r="M9" s="32">
        <v>2647990</v>
      </c>
      <c r="N9" s="32">
        <v>1571878</v>
      </c>
      <c r="O9" s="32">
        <v>384931</v>
      </c>
      <c r="P9" s="32">
        <v>1539706</v>
      </c>
      <c r="Q9" s="32">
        <v>1163</v>
      </c>
      <c r="R9" s="32">
        <v>613856</v>
      </c>
      <c r="S9" s="32">
        <v>348337</v>
      </c>
      <c r="T9" s="32">
        <v>51568</v>
      </c>
      <c r="U9" s="32">
        <v>53261</v>
      </c>
      <c r="V9" s="32">
        <v>31142</v>
      </c>
      <c r="W9" s="32">
        <v>490.33100000000002</v>
      </c>
      <c r="X9" s="32">
        <v>968.76300000000003</v>
      </c>
      <c r="Y9" s="32">
        <v>3890.049</v>
      </c>
      <c r="Z9" s="32"/>
      <c r="AA9" s="32">
        <v>2982</v>
      </c>
      <c r="AB9" s="26">
        <v>2920</v>
      </c>
      <c r="AC9" s="34">
        <v>0</v>
      </c>
    </row>
    <row r="10" spans="1:29" x14ac:dyDescent="0.25">
      <c r="A10" s="20">
        <v>44598</v>
      </c>
      <c r="B10" s="27">
        <v>18</v>
      </c>
      <c r="C10" s="30">
        <v>41</v>
      </c>
      <c r="D10" s="32">
        <v>1209513</v>
      </c>
      <c r="E10" s="32">
        <v>1211423</v>
      </c>
      <c r="F10" s="32">
        <v>12751941</v>
      </c>
      <c r="G10" s="32">
        <v>1273888</v>
      </c>
      <c r="H10" s="32">
        <v>301977</v>
      </c>
      <c r="I10" s="32">
        <f t="shared" si="0"/>
        <v>7583943.0370370382</v>
      </c>
      <c r="J10" s="33">
        <f t="shared" si="1"/>
        <v>35083.851851851861</v>
      </c>
      <c r="K10" s="33">
        <f t="shared" si="2"/>
        <v>5670786.3689986272</v>
      </c>
      <c r="L10" s="32">
        <v>969978</v>
      </c>
      <c r="M10" s="32">
        <v>2647991</v>
      </c>
      <c r="N10" s="32">
        <v>1574457</v>
      </c>
      <c r="O10" s="33">
        <f>((O11-O9)/2)+O9</f>
        <v>385011.5</v>
      </c>
      <c r="P10" s="32">
        <f>((P11-P9)/2)+P9</f>
        <v>1540040</v>
      </c>
      <c r="Q10" s="32">
        <f>((Q11-Q9)/2)+Q9</f>
        <v>1163</v>
      </c>
      <c r="R10" s="32">
        <f>((R11-R9)/2)+R9</f>
        <v>614221</v>
      </c>
      <c r="S10" s="32">
        <v>348379</v>
      </c>
      <c r="T10" s="32">
        <v>51622</v>
      </c>
      <c r="U10" s="32">
        <v>53270</v>
      </c>
      <c r="V10" s="32">
        <v>31143</v>
      </c>
      <c r="W10" s="32">
        <v>490.33100000000002</v>
      </c>
      <c r="X10" s="32">
        <v>968.98199999999997</v>
      </c>
      <c r="Y10" s="32">
        <v>3890.049</v>
      </c>
      <c r="Z10" s="32"/>
      <c r="AA10" s="32">
        <v>2988</v>
      </c>
      <c r="AB10" s="26">
        <v>2920</v>
      </c>
      <c r="AC10" s="34">
        <v>0</v>
      </c>
    </row>
    <row r="11" spans="1:29" x14ac:dyDescent="0.25">
      <c r="A11" s="20">
        <v>44599</v>
      </c>
      <c r="B11" s="27">
        <v>27</v>
      </c>
      <c r="C11" s="30">
        <v>39</v>
      </c>
      <c r="D11" s="32">
        <v>1211345</v>
      </c>
      <c r="E11" s="32">
        <v>1213258</v>
      </c>
      <c r="F11" s="32">
        <v>1281586</v>
      </c>
      <c r="G11" s="32">
        <v>1280274</v>
      </c>
      <c r="H11" s="32">
        <v>302787</v>
      </c>
      <c r="I11" s="32">
        <f t="shared" si="0"/>
        <v>7588493.4444444459</v>
      </c>
      <c r="J11" s="33">
        <f t="shared" si="1"/>
        <v>35539.222222222234</v>
      </c>
      <c r="K11" s="33">
        <f t="shared" si="2"/>
        <v>5675168.2427983526</v>
      </c>
      <c r="L11" s="33">
        <f t="shared" ref="L11:L18" si="3">(($J$18-$J$9)/9)+L10</f>
        <v>970433.37037037034</v>
      </c>
      <c r="M11" s="32">
        <v>2647992</v>
      </c>
      <c r="N11" s="32">
        <v>1577113</v>
      </c>
      <c r="O11" s="32">
        <v>385092</v>
      </c>
      <c r="P11" s="32">
        <v>1540374</v>
      </c>
      <c r="Q11" s="32">
        <v>1163</v>
      </c>
      <c r="R11" s="32">
        <v>614586</v>
      </c>
      <c r="S11" s="32">
        <v>348416</v>
      </c>
      <c r="T11" s="32">
        <v>51667</v>
      </c>
      <c r="U11" s="32">
        <v>53280</v>
      </c>
      <c r="V11" s="32">
        <v>31155</v>
      </c>
      <c r="W11" s="32">
        <v>490.33100000000002</v>
      </c>
      <c r="X11" s="32">
        <v>969.21299999999997</v>
      </c>
      <c r="Y11" s="32">
        <v>3890.049</v>
      </c>
      <c r="Z11" s="32"/>
      <c r="AA11" s="32">
        <v>2993</v>
      </c>
      <c r="AB11" s="26">
        <v>2920</v>
      </c>
      <c r="AC11" s="34">
        <v>0</v>
      </c>
    </row>
    <row r="12" spans="1:29" x14ac:dyDescent="0.25">
      <c r="A12" s="20">
        <v>44600</v>
      </c>
      <c r="B12" s="27">
        <v>40</v>
      </c>
      <c r="C12" s="30">
        <v>57</v>
      </c>
      <c r="D12" s="32">
        <f>((D13-D11)/2)+D11</f>
        <v>1213438.5</v>
      </c>
      <c r="E12" s="32">
        <f>((E13-E11)/2)+E11</f>
        <v>1215354.5</v>
      </c>
      <c r="F12" s="32">
        <f>((F13-F11)/2)+F11</f>
        <v>1286641</v>
      </c>
      <c r="G12" s="32">
        <f>((G13-G11)/2)+G11</f>
        <v>1285323.5</v>
      </c>
      <c r="H12" s="32">
        <f>((H13-H11)/2)+H11</f>
        <v>303293</v>
      </c>
      <c r="I12" s="32">
        <f t="shared" si="0"/>
        <v>7593043.8518518535</v>
      </c>
      <c r="J12" s="33">
        <f t="shared" si="1"/>
        <v>35994.592592592606</v>
      </c>
      <c r="K12" s="33">
        <f t="shared" si="2"/>
        <v>5679550.116598078</v>
      </c>
      <c r="L12" s="33">
        <f t="shared" si="3"/>
        <v>970888.74074074067</v>
      </c>
      <c r="M12" s="32">
        <v>2647992</v>
      </c>
      <c r="N12" s="32">
        <f>((N13-N11)/2)+N11</f>
        <v>1579685</v>
      </c>
      <c r="O12" s="32">
        <v>385150</v>
      </c>
      <c r="P12" s="32">
        <f>((P13-P11)/2)+P11</f>
        <v>1541090.5</v>
      </c>
      <c r="Q12" s="32">
        <f>((Q13-Q11)/2)+Q11</f>
        <v>1163</v>
      </c>
      <c r="R12" s="32">
        <f>((R13-R11)/2)+R11</f>
        <v>614596.5</v>
      </c>
      <c r="S12" s="32">
        <v>348444</v>
      </c>
      <c r="T12" s="32">
        <v>51700</v>
      </c>
      <c r="U12" s="32">
        <v>53289</v>
      </c>
      <c r="V12" s="32">
        <v>31155</v>
      </c>
      <c r="W12" s="32">
        <v>490.33100000000002</v>
      </c>
      <c r="X12" s="32">
        <v>969.45399999999995</v>
      </c>
      <c r="Y12" s="32">
        <v>3890.049</v>
      </c>
      <c r="Z12" s="32"/>
      <c r="AA12" s="32">
        <f>((AA13-AA11)/2)+AA11</f>
        <v>2998</v>
      </c>
      <c r="AB12" s="26">
        <v>2820</v>
      </c>
      <c r="AC12" s="26">
        <v>1500</v>
      </c>
    </row>
    <row r="13" spans="1:29" x14ac:dyDescent="0.25">
      <c r="A13" s="20">
        <v>44601</v>
      </c>
      <c r="B13" s="27">
        <v>14</v>
      </c>
      <c r="C13" s="30">
        <v>23</v>
      </c>
      <c r="D13" s="32">
        <v>1215532</v>
      </c>
      <c r="E13" s="32">
        <v>1217451</v>
      </c>
      <c r="F13" s="32">
        <v>1291696</v>
      </c>
      <c r="G13" s="32">
        <v>1290373</v>
      </c>
      <c r="H13" s="32">
        <v>303799</v>
      </c>
      <c r="I13" s="32">
        <f t="shared" si="0"/>
        <v>7597594.2592592612</v>
      </c>
      <c r="J13" s="33">
        <f t="shared" si="1"/>
        <v>36449.962962962978</v>
      </c>
      <c r="K13" s="33">
        <f t="shared" si="2"/>
        <v>5683931.9903978035</v>
      </c>
      <c r="L13" s="33">
        <f t="shared" si="3"/>
        <v>971344.11111111101</v>
      </c>
      <c r="M13" s="32">
        <v>2648017</v>
      </c>
      <c r="N13" s="32">
        <v>1582257</v>
      </c>
      <c r="O13" s="32">
        <v>385185</v>
      </c>
      <c r="P13" s="32">
        <v>1541807</v>
      </c>
      <c r="Q13" s="32">
        <v>1163</v>
      </c>
      <c r="R13" s="32">
        <v>614607</v>
      </c>
      <c r="S13" s="32">
        <v>348468</v>
      </c>
      <c r="T13" s="32">
        <v>51733</v>
      </c>
      <c r="U13" s="32">
        <v>53298</v>
      </c>
      <c r="V13" s="32">
        <v>31156</v>
      </c>
      <c r="W13" s="32">
        <v>490.33100000000002</v>
      </c>
      <c r="X13" s="32">
        <v>969.59299999999996</v>
      </c>
      <c r="Y13" s="32">
        <v>3890.1660000000002</v>
      </c>
      <c r="Z13" s="32"/>
      <c r="AA13" s="32">
        <v>3003</v>
      </c>
      <c r="AB13" s="26">
        <v>2900</v>
      </c>
      <c r="AC13" s="26">
        <f>24*149</f>
        <v>3576</v>
      </c>
    </row>
    <row r="14" spans="1:29" x14ac:dyDescent="0.25">
      <c r="A14" s="20">
        <v>44602</v>
      </c>
      <c r="B14" s="27">
        <v>13</v>
      </c>
      <c r="C14" s="30">
        <v>23</v>
      </c>
      <c r="D14" s="32">
        <v>1217520</v>
      </c>
      <c r="E14" s="32">
        <v>1219443</v>
      </c>
      <c r="F14" s="32">
        <v>1294722</v>
      </c>
      <c r="G14" s="32">
        <v>1293396</v>
      </c>
      <c r="H14" s="32">
        <v>303799</v>
      </c>
      <c r="I14" s="32">
        <f t="shared" si="0"/>
        <v>7602144.6666666688</v>
      </c>
      <c r="J14" s="33">
        <f t="shared" si="1"/>
        <v>36905.33333333335</v>
      </c>
      <c r="K14" s="33">
        <f t="shared" si="2"/>
        <v>5688313.8641975289</v>
      </c>
      <c r="L14" s="33">
        <f t="shared" si="3"/>
        <v>971799.48148148134</v>
      </c>
      <c r="M14" s="32">
        <v>2648017</v>
      </c>
      <c r="N14" s="32">
        <v>1585098</v>
      </c>
      <c r="O14" s="32">
        <v>385275</v>
      </c>
      <c r="P14" s="32">
        <v>1542555</v>
      </c>
      <c r="Q14" s="32">
        <v>1163</v>
      </c>
      <c r="R14" s="32">
        <v>614607</v>
      </c>
      <c r="S14" s="32">
        <v>348495</v>
      </c>
      <c r="T14" s="32">
        <v>51765</v>
      </c>
      <c r="U14" s="32">
        <v>53307</v>
      </c>
      <c r="V14" s="32">
        <v>31157</v>
      </c>
      <c r="W14" s="32">
        <v>490.33100000000002</v>
      </c>
      <c r="X14" s="32">
        <v>969.71699999999998</v>
      </c>
      <c r="Y14" s="32">
        <v>3892.1889999999999</v>
      </c>
      <c r="Z14" s="32"/>
      <c r="AA14" s="32">
        <v>3013</v>
      </c>
      <c r="AB14" s="26">
        <v>2870</v>
      </c>
      <c r="AC14" s="26">
        <f>15.5*149</f>
        <v>2309.5</v>
      </c>
    </row>
    <row r="15" spans="1:29" x14ac:dyDescent="0.25">
      <c r="A15" s="20">
        <v>44603</v>
      </c>
      <c r="B15" s="27">
        <v>25</v>
      </c>
      <c r="C15" s="30">
        <v>42</v>
      </c>
      <c r="D15" s="32">
        <v>1219708</v>
      </c>
      <c r="E15" s="32">
        <v>1221634</v>
      </c>
      <c r="F15" s="32">
        <v>1297409</v>
      </c>
      <c r="G15" s="32">
        <v>1296080</v>
      </c>
      <c r="H15" s="32">
        <v>303799</v>
      </c>
      <c r="I15" s="32">
        <f t="shared" si="0"/>
        <v>7606695.0740740765</v>
      </c>
      <c r="J15" s="33">
        <f t="shared" si="1"/>
        <v>37360.703703703723</v>
      </c>
      <c r="K15" s="33">
        <f t="shared" si="2"/>
        <v>5692695.7379972544</v>
      </c>
      <c r="L15" s="33">
        <f t="shared" si="3"/>
        <v>972254.85185185168</v>
      </c>
      <c r="M15" s="32">
        <v>2648017</v>
      </c>
      <c r="N15" s="32">
        <v>1588493</v>
      </c>
      <c r="O15" s="32">
        <v>385326</v>
      </c>
      <c r="P15" s="32">
        <v>1542987</v>
      </c>
      <c r="Q15" s="32">
        <v>1163</v>
      </c>
      <c r="R15" s="32">
        <v>614607</v>
      </c>
      <c r="S15" s="32">
        <v>348514</v>
      </c>
      <c r="T15" s="32">
        <v>51795</v>
      </c>
      <c r="U15" s="32">
        <v>53316</v>
      </c>
      <c r="V15" s="32">
        <v>31158</v>
      </c>
      <c r="W15" s="32">
        <v>490.33100000000002</v>
      </c>
      <c r="X15" s="32">
        <v>969.904</v>
      </c>
      <c r="Y15" s="32">
        <v>3890.2269999999999</v>
      </c>
      <c r="Z15" s="32"/>
      <c r="AA15" s="32">
        <v>3018</v>
      </c>
      <c r="AB15" s="26">
        <v>2930</v>
      </c>
      <c r="AC15" s="26">
        <f>2.5*149</f>
        <v>372.5</v>
      </c>
    </row>
    <row r="16" spans="1:29" x14ac:dyDescent="0.25">
      <c r="A16" s="20">
        <v>44604</v>
      </c>
      <c r="B16" s="27">
        <v>65</v>
      </c>
      <c r="C16" s="30">
        <v>111</v>
      </c>
      <c r="D16" s="32">
        <v>1221857</v>
      </c>
      <c r="E16" s="32">
        <v>1223788</v>
      </c>
      <c r="F16" s="32">
        <v>1299209</v>
      </c>
      <c r="G16" s="32">
        <v>1297878</v>
      </c>
      <c r="H16" s="32">
        <v>303799</v>
      </c>
      <c r="I16" s="32">
        <f t="shared" si="0"/>
        <v>7611245.4814814841</v>
      </c>
      <c r="J16" s="33">
        <f t="shared" si="1"/>
        <v>37816.074074074095</v>
      </c>
      <c r="K16" s="33">
        <f t="shared" si="2"/>
        <v>5697077.6117969798</v>
      </c>
      <c r="L16" s="33">
        <f t="shared" si="3"/>
        <v>972710.22222222202</v>
      </c>
      <c r="M16" s="32">
        <v>2648017</v>
      </c>
      <c r="N16" s="32">
        <v>1591538</v>
      </c>
      <c r="O16" s="32">
        <v>385386</v>
      </c>
      <c r="P16" s="32">
        <v>1542987</v>
      </c>
      <c r="Q16" s="32">
        <v>1163</v>
      </c>
      <c r="R16" s="32">
        <v>615206</v>
      </c>
      <c r="S16" s="32">
        <v>348540</v>
      </c>
      <c r="T16" s="32">
        <v>51828</v>
      </c>
      <c r="U16" s="32">
        <v>53324</v>
      </c>
      <c r="V16" s="32">
        <v>31160</v>
      </c>
      <c r="W16" s="32">
        <v>490.33100000000002</v>
      </c>
      <c r="X16" s="32">
        <v>970.08600000000001</v>
      </c>
      <c r="Y16" s="32">
        <v>3890.2339999999999</v>
      </c>
      <c r="Z16" s="32"/>
      <c r="AA16" s="32">
        <v>3022</v>
      </c>
      <c r="AB16" s="26">
        <v>2910</v>
      </c>
      <c r="AC16" s="26">
        <f>149*24</f>
        <v>3576</v>
      </c>
    </row>
    <row r="17" spans="1:29" x14ac:dyDescent="0.25">
      <c r="A17" s="20">
        <v>44605</v>
      </c>
      <c r="B17" s="27">
        <v>55</v>
      </c>
      <c r="C17" s="30">
        <v>92</v>
      </c>
      <c r="D17" s="32">
        <v>1224697</v>
      </c>
      <c r="E17" s="32">
        <v>1226633</v>
      </c>
      <c r="F17" s="32">
        <v>1301267</v>
      </c>
      <c r="G17" s="32">
        <v>1299933</v>
      </c>
      <c r="H17" s="32">
        <v>303799</v>
      </c>
      <c r="I17" s="32">
        <f t="shared" si="0"/>
        <v>7615795.8888888918</v>
      </c>
      <c r="J17" s="33">
        <f t="shared" si="1"/>
        <v>38271.444444444467</v>
      </c>
      <c r="K17" s="33">
        <f t="shared" si="2"/>
        <v>5701459.4855967052</v>
      </c>
      <c r="L17" s="33">
        <f t="shared" si="3"/>
        <v>973165.59259259235</v>
      </c>
      <c r="M17" s="32">
        <v>2648018</v>
      </c>
      <c r="N17" s="32">
        <v>1594712</v>
      </c>
      <c r="O17" s="32">
        <v>385466</v>
      </c>
      <c r="P17" s="32">
        <v>1542987</v>
      </c>
      <c r="Q17" s="32">
        <v>1163</v>
      </c>
      <c r="R17" s="32">
        <v>615928</v>
      </c>
      <c r="S17" s="32">
        <v>348579</v>
      </c>
      <c r="T17" s="32">
        <v>51873</v>
      </c>
      <c r="U17" s="32">
        <v>53334</v>
      </c>
      <c r="V17" s="32">
        <v>31161</v>
      </c>
      <c r="W17" s="32">
        <v>490.33100000000002</v>
      </c>
      <c r="X17" s="32">
        <v>970.24599999999998</v>
      </c>
      <c r="Y17" s="32">
        <v>3890.277</v>
      </c>
      <c r="Z17" s="32"/>
      <c r="AA17" s="32">
        <v>3045</v>
      </c>
      <c r="AB17" s="26">
        <v>2920</v>
      </c>
      <c r="AC17" s="26">
        <f>147*24</f>
        <v>3528</v>
      </c>
    </row>
    <row r="18" spans="1:29" x14ac:dyDescent="0.25">
      <c r="A18" s="20">
        <v>44606</v>
      </c>
      <c r="B18" s="27">
        <v>67</v>
      </c>
      <c r="C18" s="30">
        <v>106</v>
      </c>
      <c r="D18" s="32">
        <v>1227440</v>
      </c>
      <c r="E18" s="32">
        <v>1229381</v>
      </c>
      <c r="F18" s="32">
        <v>1303662</v>
      </c>
      <c r="G18" s="32">
        <v>1302326</v>
      </c>
      <c r="H18" s="32">
        <v>303799</v>
      </c>
      <c r="I18" s="32">
        <f t="shared" si="0"/>
        <v>7620346.2962962994</v>
      </c>
      <c r="J18" s="33">
        <f t="shared" si="1"/>
        <v>38726.814814814839</v>
      </c>
      <c r="K18" s="33">
        <f t="shared" si="2"/>
        <v>5705841.3593964307</v>
      </c>
      <c r="L18" s="33">
        <f t="shared" si="3"/>
        <v>973620.96296296269</v>
      </c>
      <c r="M18" s="32">
        <v>2648019</v>
      </c>
      <c r="N18" s="32">
        <v>1598017</v>
      </c>
      <c r="O18" s="32">
        <v>385555</v>
      </c>
      <c r="P18" s="32">
        <v>1542987</v>
      </c>
      <c r="Q18" s="32">
        <v>1163</v>
      </c>
      <c r="R18" s="32">
        <v>616718</v>
      </c>
      <c r="S18" s="32">
        <v>348631</v>
      </c>
      <c r="T18" s="32">
        <v>51932</v>
      </c>
      <c r="U18" s="32">
        <v>53344</v>
      </c>
      <c r="V18" s="32">
        <v>31167</v>
      </c>
      <c r="W18" s="32">
        <v>490.33100000000002</v>
      </c>
      <c r="X18" s="32">
        <v>970.41399999999999</v>
      </c>
      <c r="Y18" s="32">
        <v>3890.3090000000002</v>
      </c>
      <c r="Z18" s="32"/>
      <c r="AA18" s="32">
        <v>3051</v>
      </c>
      <c r="AB18" s="26">
        <v>2920</v>
      </c>
      <c r="AC18" s="26">
        <f>146*24</f>
        <v>3504</v>
      </c>
    </row>
    <row r="19" spans="1:29" x14ac:dyDescent="0.25">
      <c r="A19" s="20">
        <v>44607</v>
      </c>
      <c r="B19" s="27">
        <v>63</v>
      </c>
      <c r="C19" s="30">
        <v>104</v>
      </c>
      <c r="D19" s="32">
        <v>1229943</v>
      </c>
      <c r="E19" s="32">
        <v>1231888</v>
      </c>
      <c r="F19" s="32">
        <v>1305764</v>
      </c>
      <c r="G19" s="32">
        <v>1304426</v>
      </c>
      <c r="H19" s="32">
        <v>303799</v>
      </c>
      <c r="I19" s="32">
        <f t="shared" si="0"/>
        <v>7624896.7037037071</v>
      </c>
      <c r="J19" s="33">
        <f t="shared" si="1"/>
        <v>39182.185185185212</v>
      </c>
      <c r="K19" s="33">
        <f t="shared" si="2"/>
        <v>5710223.2331961561</v>
      </c>
      <c r="L19" s="32">
        <v>980191</v>
      </c>
      <c r="M19" s="32">
        <v>2648019</v>
      </c>
      <c r="N19" s="32">
        <v>1601027</v>
      </c>
      <c r="O19" s="32">
        <v>385647</v>
      </c>
      <c r="P19" s="32">
        <v>1542987</v>
      </c>
      <c r="Q19" s="32">
        <v>1163</v>
      </c>
      <c r="R19" s="32">
        <v>617416</v>
      </c>
      <c r="S19" s="32">
        <v>348682</v>
      </c>
      <c r="T19" s="32">
        <v>51989</v>
      </c>
      <c r="U19" s="32">
        <v>53355</v>
      </c>
      <c r="V19" s="32">
        <v>31167</v>
      </c>
      <c r="W19" s="32">
        <v>490.33100000000002</v>
      </c>
      <c r="X19" s="32">
        <v>970.55700000000002</v>
      </c>
      <c r="Y19" s="32">
        <v>3890.3380000000002</v>
      </c>
      <c r="Z19" s="32"/>
      <c r="AA19" s="32">
        <v>3058</v>
      </c>
      <c r="AB19" s="26">
        <v>2890</v>
      </c>
      <c r="AC19" s="26">
        <f>(11*146)+(11.5*148)</f>
        <v>3308</v>
      </c>
    </row>
    <row r="20" spans="1:29" x14ac:dyDescent="0.25">
      <c r="A20" s="20">
        <v>44608</v>
      </c>
      <c r="B20" s="27">
        <v>70</v>
      </c>
      <c r="C20" s="30">
        <v>109</v>
      </c>
      <c r="D20" s="32">
        <v>1232758</v>
      </c>
      <c r="E20" s="32">
        <v>1234707</v>
      </c>
      <c r="F20" s="32">
        <f>((F21-F19)/2)+F19</f>
        <v>1310232</v>
      </c>
      <c r="G20" s="32">
        <f>((G21-G19)/2)+G19</f>
        <v>1308890</v>
      </c>
      <c r="H20" s="32">
        <v>303851</v>
      </c>
      <c r="I20" s="32">
        <f t="shared" si="0"/>
        <v>7629447.1111111147</v>
      </c>
      <c r="J20" s="33">
        <f t="shared" si="1"/>
        <v>39637.555555555584</v>
      </c>
      <c r="K20" s="33">
        <f t="shared" si="2"/>
        <v>5714605.1069958815</v>
      </c>
      <c r="L20" s="32">
        <v>981548</v>
      </c>
      <c r="M20" s="32">
        <v>2648033</v>
      </c>
      <c r="N20" s="32">
        <v>1603975</v>
      </c>
      <c r="O20" s="32">
        <v>385730</v>
      </c>
      <c r="P20" s="32">
        <v>1524987</v>
      </c>
      <c r="Q20" s="32">
        <v>1163</v>
      </c>
      <c r="R20" s="32">
        <v>618183</v>
      </c>
      <c r="S20" s="32">
        <v>348733</v>
      </c>
      <c r="T20" s="32">
        <v>52046</v>
      </c>
      <c r="U20" s="32">
        <v>53368</v>
      </c>
      <c r="V20" s="32">
        <v>31169</v>
      </c>
      <c r="W20" s="32">
        <v>490.33100000000002</v>
      </c>
      <c r="X20" s="32">
        <v>970.69299999999998</v>
      </c>
      <c r="Y20" s="32">
        <v>3890.373</v>
      </c>
      <c r="Z20" s="32"/>
      <c r="AA20" s="32">
        <v>3063</v>
      </c>
      <c r="AB20" s="26">
        <v>2670</v>
      </c>
      <c r="AC20" s="26">
        <f>8*144</f>
        <v>1152</v>
      </c>
    </row>
    <row r="21" spans="1:29" x14ac:dyDescent="0.25">
      <c r="A21" s="20">
        <v>44609</v>
      </c>
      <c r="B21" s="27">
        <v>67</v>
      </c>
      <c r="C21" s="30">
        <v>133</v>
      </c>
      <c r="D21" s="32">
        <v>1235953</v>
      </c>
      <c r="E21" s="32">
        <v>1237908</v>
      </c>
      <c r="F21" s="32">
        <v>1314700</v>
      </c>
      <c r="G21" s="32">
        <v>1313354</v>
      </c>
      <c r="H21" s="32">
        <v>304515</v>
      </c>
      <c r="I21" s="32">
        <f t="shared" si="0"/>
        <v>7633997.5185185224</v>
      </c>
      <c r="J21" s="33">
        <f t="shared" si="1"/>
        <v>40092.925925925956</v>
      </c>
      <c r="K21" s="33">
        <f t="shared" si="2"/>
        <v>5718986.980795607</v>
      </c>
      <c r="L21" s="32">
        <v>982699</v>
      </c>
      <c r="M21" s="32">
        <v>2648268</v>
      </c>
      <c r="N21" s="32">
        <v>1606242</v>
      </c>
      <c r="O21" s="32">
        <v>385823</v>
      </c>
      <c r="P21" s="32">
        <v>1543725</v>
      </c>
      <c r="Q21" s="32">
        <v>1163</v>
      </c>
      <c r="R21" s="32">
        <v>618208</v>
      </c>
      <c r="S21" s="32">
        <v>348781</v>
      </c>
      <c r="T21" s="32">
        <v>52101</v>
      </c>
      <c r="U21" s="32">
        <v>53378</v>
      </c>
      <c r="V21" s="32">
        <v>31170</v>
      </c>
      <c r="W21" s="32">
        <v>490.33100000000002</v>
      </c>
      <c r="X21" s="32">
        <v>970.91399999999999</v>
      </c>
      <c r="Y21" s="32">
        <v>3890.3850000000002</v>
      </c>
      <c r="Z21" s="32"/>
      <c r="AA21" s="32">
        <v>3069</v>
      </c>
      <c r="AB21" s="26">
        <v>1900</v>
      </c>
      <c r="AC21" s="26">
        <v>0</v>
      </c>
    </row>
    <row r="22" spans="1:29" x14ac:dyDescent="0.25">
      <c r="A22" s="20">
        <v>44610</v>
      </c>
      <c r="B22" s="27">
        <v>74</v>
      </c>
      <c r="C22" s="30">
        <v>137</v>
      </c>
      <c r="D22" s="32">
        <v>1237687</v>
      </c>
      <c r="E22" s="32">
        <v>1239645</v>
      </c>
      <c r="F22" s="32">
        <v>1321301</v>
      </c>
      <c r="G22" s="32">
        <v>1319948</v>
      </c>
      <c r="H22" s="32">
        <v>305245</v>
      </c>
      <c r="I22" s="32">
        <f t="shared" si="0"/>
        <v>7638547.92592593</v>
      </c>
      <c r="J22" s="33">
        <f t="shared" si="1"/>
        <v>40548.296296296328</v>
      </c>
      <c r="K22" s="33">
        <f t="shared" si="2"/>
        <v>5723368.8545953324</v>
      </c>
      <c r="L22" s="32">
        <f>((L23-L21)/2)+L21</f>
        <v>984114</v>
      </c>
      <c r="M22" s="32">
        <v>2648276</v>
      </c>
      <c r="N22" s="32">
        <v>1608645</v>
      </c>
      <c r="O22" s="32">
        <f>((O23-O21)/2)+O21</f>
        <v>385908</v>
      </c>
      <c r="P22" s="32">
        <v>1544468</v>
      </c>
      <c r="Q22" s="32">
        <v>1163</v>
      </c>
      <c r="R22" s="32">
        <v>618208</v>
      </c>
      <c r="S22" s="32">
        <v>348825</v>
      </c>
      <c r="T22" s="32">
        <v>52157</v>
      </c>
      <c r="U22" s="32">
        <v>53389</v>
      </c>
      <c r="V22" s="32">
        <v>31171</v>
      </c>
      <c r="W22" s="32">
        <v>490.33100000000002</v>
      </c>
      <c r="X22" s="32">
        <v>971.16600000000005</v>
      </c>
      <c r="Y22" s="32">
        <v>3890.4119999999998</v>
      </c>
      <c r="Z22" s="32"/>
      <c r="AA22" s="32">
        <v>3076</v>
      </c>
      <c r="AB22" s="26">
        <v>1140</v>
      </c>
      <c r="AC22" s="26">
        <v>0</v>
      </c>
    </row>
    <row r="23" spans="1:29" x14ac:dyDescent="0.25">
      <c r="A23" s="20">
        <v>44611</v>
      </c>
      <c r="B23" s="27">
        <v>78</v>
      </c>
      <c r="C23" s="30">
        <v>136</v>
      </c>
      <c r="D23" s="32">
        <v>1240971</v>
      </c>
      <c r="E23" s="32">
        <v>1242934</v>
      </c>
      <c r="F23" s="32">
        <v>1328756</v>
      </c>
      <c r="G23" s="32">
        <v>1327956</v>
      </c>
      <c r="H23" s="32">
        <v>305970</v>
      </c>
      <c r="I23" s="32">
        <f t="shared" si="0"/>
        <v>7643098.3333333377</v>
      </c>
      <c r="J23" s="33">
        <f t="shared" si="1"/>
        <v>41003.666666666701</v>
      </c>
      <c r="K23" s="33">
        <f t="shared" si="2"/>
        <v>5727750.7283950578</v>
      </c>
      <c r="L23" s="32">
        <v>985529</v>
      </c>
      <c r="M23" s="32">
        <v>2648972</v>
      </c>
      <c r="N23" s="32">
        <v>1611020</v>
      </c>
      <c r="O23" s="32">
        <v>385993</v>
      </c>
      <c r="P23" s="32">
        <v>1544855</v>
      </c>
      <c r="Q23" s="32">
        <v>1163</v>
      </c>
      <c r="R23" s="32">
        <v>618546</v>
      </c>
      <c r="S23" s="32">
        <v>348881</v>
      </c>
      <c r="T23" s="32">
        <v>52222</v>
      </c>
      <c r="U23" s="32">
        <v>53401</v>
      </c>
      <c r="V23" s="32">
        <v>31172</v>
      </c>
      <c r="W23" s="32">
        <v>490.33100000000002</v>
      </c>
      <c r="X23" s="32">
        <v>971.39400000000001</v>
      </c>
      <c r="Y23" s="32">
        <v>3890.4389999999999</v>
      </c>
      <c r="Z23" s="32"/>
      <c r="AA23" s="32">
        <v>3082</v>
      </c>
      <c r="AB23" s="26">
        <v>0</v>
      </c>
      <c r="AC23" s="26">
        <v>0</v>
      </c>
    </row>
    <row r="24" spans="1:29" x14ac:dyDescent="0.25">
      <c r="A24" s="20">
        <v>44612</v>
      </c>
      <c r="B24" s="27">
        <v>25</v>
      </c>
      <c r="C24" s="30">
        <v>52</v>
      </c>
      <c r="D24" s="32">
        <v>1245928</v>
      </c>
      <c r="E24" s="32">
        <v>1247899</v>
      </c>
      <c r="F24" s="32">
        <v>1334179</v>
      </c>
      <c r="G24" s="32">
        <v>1332813</v>
      </c>
      <c r="H24" s="32">
        <v>306688</v>
      </c>
      <c r="I24" s="32">
        <f t="shared" si="0"/>
        <v>7647648.7407407453</v>
      </c>
      <c r="J24" s="33">
        <f t="shared" si="1"/>
        <v>41459.037037037073</v>
      </c>
      <c r="K24" s="33">
        <f t="shared" si="2"/>
        <v>5732132.6021947833</v>
      </c>
      <c r="L24" s="32">
        <v>986808</v>
      </c>
      <c r="M24" s="32">
        <v>2649753</v>
      </c>
      <c r="N24" s="32">
        <v>1613100</v>
      </c>
      <c r="O24" s="32">
        <v>386111</v>
      </c>
      <c r="P24" s="32">
        <v>1544855</v>
      </c>
      <c r="Q24" s="32">
        <v>1163</v>
      </c>
      <c r="R24" s="32">
        <v>619268</v>
      </c>
      <c r="S24" s="32">
        <v>348935</v>
      </c>
      <c r="T24" s="32">
        <v>52286</v>
      </c>
      <c r="U24" s="32">
        <v>53412</v>
      </c>
      <c r="V24" s="32">
        <v>31173</v>
      </c>
      <c r="W24" s="32">
        <v>490.33100000000002</v>
      </c>
      <c r="X24" s="32">
        <v>971.60299999999995</v>
      </c>
      <c r="Y24" s="32">
        <v>3890.4549999999999</v>
      </c>
      <c r="Z24" s="32"/>
      <c r="AA24" s="32">
        <v>3090</v>
      </c>
      <c r="AB24" s="26">
        <v>0</v>
      </c>
      <c r="AC24" s="26">
        <v>0</v>
      </c>
    </row>
    <row r="25" spans="1:29" x14ac:dyDescent="0.25">
      <c r="A25" s="20">
        <v>44613</v>
      </c>
      <c r="B25" s="27">
        <v>49</v>
      </c>
      <c r="C25" s="30">
        <v>78</v>
      </c>
      <c r="D25" s="32">
        <v>1250678</v>
      </c>
      <c r="E25" s="32">
        <v>1252657</v>
      </c>
      <c r="F25" s="32">
        <v>1339742</v>
      </c>
      <c r="G25" s="32">
        <v>1338370</v>
      </c>
      <c r="H25" s="32">
        <v>307563</v>
      </c>
      <c r="I25" s="32">
        <f t="shared" si="0"/>
        <v>7652199.148148153</v>
      </c>
      <c r="J25" s="33">
        <f t="shared" si="1"/>
        <v>41914.407407407445</v>
      </c>
      <c r="K25" s="33">
        <f t="shared" si="2"/>
        <v>5736514.4759945087</v>
      </c>
      <c r="L25" s="33">
        <f>(($J$29-$J$23)/6)+L24</f>
        <v>987263.37037037034</v>
      </c>
      <c r="M25" s="32">
        <v>2650449</v>
      </c>
      <c r="N25" s="32">
        <v>1615218</v>
      </c>
      <c r="O25" s="33">
        <f>((O26-O24)/2)+O24</f>
        <v>386179.5</v>
      </c>
      <c r="P25" s="32">
        <v>1544944</v>
      </c>
      <c r="Q25" s="32">
        <v>1163</v>
      </c>
      <c r="R25" s="32">
        <v>619870</v>
      </c>
      <c r="S25" s="32">
        <v>348976</v>
      </c>
      <c r="T25" s="32">
        <v>52338</v>
      </c>
      <c r="U25" s="32">
        <v>53421</v>
      </c>
      <c r="V25" s="32">
        <v>31174</v>
      </c>
      <c r="W25" s="32">
        <v>490.33100000000002</v>
      </c>
      <c r="X25" s="32">
        <v>971.76300000000003</v>
      </c>
      <c r="Y25" s="32">
        <v>3890.4769999999999</v>
      </c>
      <c r="Z25" s="32"/>
      <c r="AA25" s="32">
        <v>3096</v>
      </c>
      <c r="AB25" s="26">
        <v>0</v>
      </c>
      <c r="AC25" s="26">
        <v>0</v>
      </c>
    </row>
    <row r="26" spans="1:29" x14ac:dyDescent="0.25">
      <c r="A26" s="20">
        <v>44614</v>
      </c>
      <c r="B26" s="27">
        <v>97</v>
      </c>
      <c r="C26" s="30">
        <v>131</v>
      </c>
      <c r="D26" s="32">
        <v>1255780</v>
      </c>
      <c r="E26" s="32">
        <v>1257766</v>
      </c>
      <c r="F26" s="32">
        <v>1346566</v>
      </c>
      <c r="G26" s="32">
        <v>1345187</v>
      </c>
      <c r="H26" s="32">
        <v>308421</v>
      </c>
      <c r="I26" s="32">
        <f t="shared" si="0"/>
        <v>7656749.5555555606</v>
      </c>
      <c r="J26" s="33">
        <f t="shared" si="1"/>
        <v>42369.777777777817</v>
      </c>
      <c r="K26" s="33">
        <f t="shared" si="2"/>
        <v>5740896.3497942341</v>
      </c>
      <c r="L26" s="33">
        <f>(($J$29-$J$23)/6)+L25</f>
        <v>987718.74074074067</v>
      </c>
      <c r="M26" s="32">
        <v>2651246</v>
      </c>
      <c r="N26" s="32">
        <v>1617433</v>
      </c>
      <c r="O26" s="32">
        <v>386248</v>
      </c>
      <c r="P26" s="32">
        <v>1545693</v>
      </c>
      <c r="Q26" s="32">
        <v>1163</v>
      </c>
      <c r="R26" s="32">
        <v>619911</v>
      </c>
      <c r="S26" s="32">
        <v>349010</v>
      </c>
      <c r="T26" s="32">
        <v>52382</v>
      </c>
      <c r="U26" s="32">
        <v>53430</v>
      </c>
      <c r="V26" s="32">
        <v>31175</v>
      </c>
      <c r="W26" s="32">
        <v>490.33100000000002</v>
      </c>
      <c r="X26" s="32">
        <v>971.95899999999995</v>
      </c>
      <c r="Y26" s="32">
        <v>3890.5079999999998</v>
      </c>
      <c r="Z26" s="32"/>
      <c r="AA26" s="32">
        <v>3105</v>
      </c>
      <c r="AB26" s="26">
        <v>1630</v>
      </c>
      <c r="AC26" s="26">
        <v>0</v>
      </c>
    </row>
    <row r="27" spans="1:29" x14ac:dyDescent="0.25">
      <c r="A27" s="20">
        <v>44615</v>
      </c>
      <c r="B27" s="27">
        <v>88</v>
      </c>
      <c r="C27" s="30">
        <v>113</v>
      </c>
      <c r="D27" s="32">
        <v>1258594</v>
      </c>
      <c r="E27" s="32">
        <v>1260584</v>
      </c>
      <c r="F27" s="32">
        <v>1353609</v>
      </c>
      <c r="G27" s="32">
        <v>1352223</v>
      </c>
      <c r="H27" s="32">
        <v>309278</v>
      </c>
      <c r="I27" s="32">
        <f t="shared" si="0"/>
        <v>7661299.9629629683</v>
      </c>
      <c r="J27" s="33">
        <f t="shared" si="1"/>
        <v>42825.14814814819</v>
      </c>
      <c r="K27" s="33">
        <f t="shared" si="2"/>
        <v>5745278.2235939596</v>
      </c>
      <c r="L27" s="33">
        <f>(($J$29-$J$23)/6)+L26</f>
        <v>988174.11111111101</v>
      </c>
      <c r="M27" s="32">
        <v>2651375</v>
      </c>
      <c r="N27" s="32">
        <v>1620180</v>
      </c>
      <c r="O27" s="33">
        <f>(($M$29-$M$25)/4)+O26</f>
        <v>386480</v>
      </c>
      <c r="P27" s="32">
        <v>1546425</v>
      </c>
      <c r="Q27" s="32">
        <v>1163</v>
      </c>
      <c r="R27" s="32">
        <v>619911</v>
      </c>
      <c r="S27" s="32">
        <v>349063</v>
      </c>
      <c r="T27" s="32">
        <v>52439</v>
      </c>
      <c r="U27" s="32">
        <v>53440</v>
      </c>
      <c r="V27" s="32">
        <v>31178</v>
      </c>
      <c r="W27" s="32">
        <v>490.33100000000002</v>
      </c>
      <c r="X27" s="32">
        <v>972.15499999999997</v>
      </c>
      <c r="Y27" s="32">
        <v>3890.5340000000001</v>
      </c>
      <c r="Z27" s="32"/>
      <c r="AA27" s="32">
        <v>3111</v>
      </c>
      <c r="AB27" s="26">
        <v>2920</v>
      </c>
      <c r="AC27" s="26">
        <f>11.5*149</f>
        <v>1713.5</v>
      </c>
    </row>
    <row r="28" spans="1:29" x14ac:dyDescent="0.25">
      <c r="A28" s="20">
        <v>44616</v>
      </c>
      <c r="B28" s="27">
        <v>48</v>
      </c>
      <c r="C28" s="30">
        <v>77</v>
      </c>
      <c r="D28" s="32">
        <v>1261108</v>
      </c>
      <c r="E28" s="32">
        <v>1263102</v>
      </c>
      <c r="F28" s="32">
        <v>1357143</v>
      </c>
      <c r="G28" s="32">
        <v>1355753</v>
      </c>
      <c r="H28" s="32">
        <v>309447</v>
      </c>
      <c r="I28" s="32">
        <f t="shared" si="0"/>
        <v>7665850.3703703759</v>
      </c>
      <c r="J28" s="33">
        <f t="shared" si="1"/>
        <v>43280.518518518562</v>
      </c>
      <c r="K28" s="33">
        <f t="shared" si="2"/>
        <v>5749660.097393685</v>
      </c>
      <c r="L28" s="33">
        <f>(($J$29-$J$23)/6)+L27</f>
        <v>988629.48148148134</v>
      </c>
      <c r="M28" s="32">
        <v>2651376</v>
      </c>
      <c r="N28" s="32">
        <v>1623061</v>
      </c>
      <c r="O28" s="33">
        <f>(($M$29-$M$25)/4)+O27</f>
        <v>386712</v>
      </c>
      <c r="P28" s="32">
        <v>1546953</v>
      </c>
      <c r="Q28" s="32">
        <v>1163</v>
      </c>
      <c r="R28" s="32">
        <v>620112</v>
      </c>
      <c r="S28" s="32">
        <v>349104</v>
      </c>
      <c r="T28" s="32">
        <v>52486</v>
      </c>
      <c r="U28" s="32">
        <v>53448</v>
      </c>
      <c r="V28" s="32">
        <v>31179</v>
      </c>
      <c r="W28" s="32">
        <v>490.33100000000002</v>
      </c>
      <c r="X28" s="32">
        <v>972.25400000000002</v>
      </c>
      <c r="Y28" s="32">
        <v>3890.5529999999999</v>
      </c>
      <c r="Z28" s="32"/>
      <c r="AA28" s="32">
        <v>3116</v>
      </c>
      <c r="AB28" s="26">
        <v>2920</v>
      </c>
      <c r="AC28" s="26">
        <f>148*24</f>
        <v>3552</v>
      </c>
    </row>
    <row r="29" spans="1:29" x14ac:dyDescent="0.25">
      <c r="A29" s="20">
        <v>44617</v>
      </c>
      <c r="B29" s="27">
        <v>35</v>
      </c>
      <c r="C29" s="30">
        <v>66</v>
      </c>
      <c r="D29" s="32">
        <v>1263947</v>
      </c>
      <c r="E29" s="32">
        <v>1265947</v>
      </c>
      <c r="F29" s="32">
        <v>1359426</v>
      </c>
      <c r="G29" s="32">
        <v>1358033</v>
      </c>
      <c r="H29" s="32">
        <v>309447</v>
      </c>
      <c r="I29" s="32">
        <f t="shared" si="0"/>
        <v>7670400.7777777836</v>
      </c>
      <c r="J29" s="33">
        <f t="shared" si="1"/>
        <v>43735.888888888934</v>
      </c>
      <c r="K29" s="33">
        <f t="shared" si="2"/>
        <v>5754041.9711934105</v>
      </c>
      <c r="L29" s="33">
        <f>(($J$29-$J$23)/6)+L28</f>
        <v>989084.85185185168</v>
      </c>
      <c r="M29" s="32">
        <v>2651377</v>
      </c>
      <c r="N29" s="32">
        <v>1626523</v>
      </c>
      <c r="O29" s="33">
        <f>(($M$29-$M$25)/4)+O28</f>
        <v>386944</v>
      </c>
      <c r="P29" s="32">
        <v>1546953</v>
      </c>
      <c r="Q29" s="32">
        <v>1163</v>
      </c>
      <c r="R29" s="32">
        <v>620426</v>
      </c>
      <c r="S29" s="32">
        <v>349150</v>
      </c>
      <c r="T29" s="32">
        <v>52540</v>
      </c>
      <c r="U29" s="32">
        <v>53456</v>
      </c>
      <c r="V29" s="32">
        <v>31181</v>
      </c>
      <c r="W29" s="32">
        <v>490.33100000000002</v>
      </c>
      <c r="X29" s="32">
        <v>972.404</v>
      </c>
      <c r="Y29" s="32">
        <v>3890.5630000000001</v>
      </c>
      <c r="Z29" s="32"/>
      <c r="AA29" s="32">
        <v>3121</v>
      </c>
      <c r="AB29" s="26">
        <v>2890</v>
      </c>
      <c r="AC29" s="26">
        <v>3600</v>
      </c>
    </row>
    <row r="30" spans="1:29" x14ac:dyDescent="0.25">
      <c r="A30" s="20">
        <v>44618</v>
      </c>
      <c r="B30" s="27">
        <v>49</v>
      </c>
      <c r="C30" s="30">
        <v>94</v>
      </c>
      <c r="D30" s="32">
        <v>1266755</v>
      </c>
      <c r="E30" s="32">
        <v>1268759</v>
      </c>
      <c r="F30" s="32">
        <v>1361612</v>
      </c>
      <c r="G30" s="32">
        <v>1360217</v>
      </c>
      <c r="H30" s="32">
        <v>309447</v>
      </c>
      <c r="I30" s="32">
        <f t="shared" si="0"/>
        <v>7674951.1851851912</v>
      </c>
      <c r="J30" s="33">
        <f t="shared" si="1"/>
        <v>44191.259259259306</v>
      </c>
      <c r="K30" s="33">
        <f t="shared" si="2"/>
        <v>5758423.8449931359</v>
      </c>
      <c r="L30" s="32">
        <v>993947</v>
      </c>
      <c r="M30" s="32">
        <v>2651377</v>
      </c>
      <c r="N30" s="32">
        <v>1629663</v>
      </c>
      <c r="O30" s="32">
        <v>386552</v>
      </c>
      <c r="P30" s="32">
        <v>1546953</v>
      </c>
      <c r="Q30" s="32">
        <v>1163</v>
      </c>
      <c r="R30" s="32">
        <v>621160</v>
      </c>
      <c r="S30" s="32">
        <v>349183</v>
      </c>
      <c r="T30" s="32">
        <v>32582</v>
      </c>
      <c r="U30" s="32">
        <v>53465</v>
      </c>
      <c r="V30" s="32">
        <v>31183</v>
      </c>
      <c r="W30" s="32">
        <v>490.33100000000002</v>
      </c>
      <c r="X30" s="32">
        <v>972.50699999999995</v>
      </c>
      <c r="Y30" s="32">
        <v>3890.6190000000001</v>
      </c>
      <c r="Z30" s="32"/>
      <c r="AA30" s="32">
        <v>3126</v>
      </c>
      <c r="AB30" s="26">
        <v>2920</v>
      </c>
      <c r="AC30" s="26">
        <v>3600</v>
      </c>
    </row>
    <row r="31" spans="1:29" x14ac:dyDescent="0.25">
      <c r="A31" s="20">
        <v>44619</v>
      </c>
      <c r="B31" s="27">
        <v>36</v>
      </c>
      <c r="C31" s="30">
        <v>52</v>
      </c>
      <c r="D31" s="32">
        <v>1269400</v>
      </c>
      <c r="E31" s="32">
        <v>1271408</v>
      </c>
      <c r="F31" s="32">
        <v>1363844</v>
      </c>
      <c r="G31" s="32">
        <v>1362446</v>
      </c>
      <c r="H31" s="32">
        <v>309447</v>
      </c>
      <c r="I31" s="32">
        <f t="shared" si="0"/>
        <v>7679501.5925925989</v>
      </c>
      <c r="J31" s="33">
        <f t="shared" si="1"/>
        <v>44646.629629629679</v>
      </c>
      <c r="K31" s="33">
        <f t="shared" si="2"/>
        <v>5762805.7187928613</v>
      </c>
      <c r="L31" s="32">
        <v>995118</v>
      </c>
      <c r="M31" s="32">
        <v>2651378</v>
      </c>
      <c r="N31" s="32">
        <v>1632811</v>
      </c>
      <c r="O31" s="32">
        <v>386622</v>
      </c>
      <c r="P31" s="32">
        <v>1546953</v>
      </c>
      <c r="Q31" s="32">
        <v>1163</v>
      </c>
      <c r="R31" s="32">
        <v>621709</v>
      </c>
      <c r="S31" s="32">
        <v>349220</v>
      </c>
      <c r="T31" s="32">
        <v>52624</v>
      </c>
      <c r="U31" s="32">
        <v>53473</v>
      </c>
      <c r="V31" s="32">
        <v>31185</v>
      </c>
      <c r="W31" s="32">
        <v>490.33100000000002</v>
      </c>
      <c r="X31" s="32">
        <v>972.61900000000003</v>
      </c>
      <c r="Y31" s="32">
        <v>3890.6469999999999</v>
      </c>
      <c r="Z31" s="32"/>
      <c r="AA31" s="32">
        <v>3134</v>
      </c>
      <c r="AB31" s="26">
        <v>2920</v>
      </c>
      <c r="AC31" s="26">
        <v>3600</v>
      </c>
    </row>
    <row r="32" spans="1:29" x14ac:dyDescent="0.25">
      <c r="A32" s="20">
        <v>44620</v>
      </c>
      <c r="B32" s="27">
        <v>71</v>
      </c>
      <c r="C32" s="30">
        <v>82</v>
      </c>
      <c r="D32" s="32">
        <v>1272614</v>
      </c>
      <c r="E32" s="32">
        <v>1274627</v>
      </c>
      <c r="F32" s="32">
        <v>1365985</v>
      </c>
      <c r="G32" s="32">
        <v>1364586</v>
      </c>
      <c r="H32" s="32">
        <v>309447</v>
      </c>
      <c r="I32" s="32">
        <v>7615984</v>
      </c>
      <c r="J32" s="32">
        <v>32872</v>
      </c>
      <c r="K32" s="32">
        <v>5721043</v>
      </c>
      <c r="L32" s="32">
        <v>996207</v>
      </c>
      <c r="M32" s="32">
        <v>2651378</v>
      </c>
      <c r="N32" s="32">
        <v>1635917</v>
      </c>
      <c r="O32" s="32">
        <v>386693</v>
      </c>
      <c r="P32" s="32">
        <v>1546953</v>
      </c>
      <c r="Q32" s="32">
        <v>1163</v>
      </c>
      <c r="R32" s="32">
        <v>622473</v>
      </c>
      <c r="S32" s="32">
        <v>349257</v>
      </c>
      <c r="T32" s="32">
        <v>52666</v>
      </c>
      <c r="U32" s="32">
        <v>53481</v>
      </c>
      <c r="V32" s="32">
        <v>31186</v>
      </c>
      <c r="W32" s="32">
        <v>490.33100000000002</v>
      </c>
      <c r="X32" s="32">
        <v>972.73400000000004</v>
      </c>
      <c r="Y32" s="32">
        <v>3890.6709999999998</v>
      </c>
      <c r="Z32" s="32"/>
      <c r="AA32" s="32">
        <v>3143</v>
      </c>
      <c r="AB32" s="26">
        <v>2930</v>
      </c>
      <c r="AC32" s="26">
        <f>8.5*150</f>
        <v>1275</v>
      </c>
    </row>
    <row r="33" spans="1:29" x14ac:dyDescent="0.25">
      <c r="A33" s="20"/>
      <c r="B33" s="27"/>
      <c r="C33" s="30"/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25"/>
      <c r="AA33" s="32"/>
      <c r="AB33" s="34"/>
      <c r="AC33" s="34"/>
    </row>
    <row r="34" spans="1:29" x14ac:dyDescent="0.25">
      <c r="A34" s="20"/>
      <c r="B34" s="27"/>
      <c r="C34" s="30"/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25"/>
      <c r="AA34" s="32"/>
      <c r="AB34" s="34"/>
      <c r="AC34" s="34"/>
    </row>
    <row r="35" spans="1:29" x14ac:dyDescent="0.25">
      <c r="A35" s="20"/>
      <c r="B35" s="27"/>
      <c r="C35" s="35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25"/>
      <c r="AA35" s="32"/>
      <c r="AB35" s="34"/>
      <c r="AC35" s="34"/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cp:lastPrinted>2019-08-19T07:32:13Z</cp:lastPrinted>
  <dcterms:created xsi:type="dcterms:W3CDTF">2017-05-03T09:23:30Z</dcterms:created>
  <dcterms:modified xsi:type="dcterms:W3CDTF">2022-03-03T09:41:19Z</dcterms:modified>
</cp:coreProperties>
</file>