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6601" documentId="8_{5B502D95-7A37-4D5A-8B6B-374537CC2F26}" xr6:coauthVersionLast="47" xr6:coauthVersionMax="47" xr10:uidLastSave="{3611E707-ADEC-4709-958E-1D45D87CD506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6" l="1"/>
  <c r="I30" i="6"/>
  <c r="G30" i="6"/>
  <c r="E30" i="6"/>
  <c r="C30" i="6"/>
  <c r="K29" i="6"/>
  <c r="I29" i="6"/>
  <c r="G29" i="6"/>
  <c r="E29" i="6"/>
  <c r="C29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I31" i="21"/>
  <c r="H31" i="21"/>
  <c r="L21" i="22"/>
  <c r="L22" i="22"/>
  <c r="L23" i="22"/>
  <c r="L24" i="22"/>
  <c r="L25" i="22"/>
  <c r="L26" i="22"/>
  <c r="L27" i="22"/>
  <c r="L28" i="22"/>
  <c r="L29" i="22"/>
  <c r="L30" i="22"/>
  <c r="L31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26" i="22"/>
  <c r="I27" i="22"/>
  <c r="I28" i="22"/>
  <c r="I29" i="22"/>
  <c r="I30" i="22"/>
  <c r="I31" i="22"/>
  <c r="G23" i="22"/>
  <c r="G24" i="22"/>
  <c r="G25" i="22"/>
  <c r="G26" i="22"/>
  <c r="G27" i="22"/>
  <c r="G28" i="22"/>
  <c r="G29" i="22"/>
  <c r="G30" i="22"/>
  <c r="F20" i="11"/>
  <c r="N23" i="2"/>
  <c r="M23" i="2"/>
  <c r="L23" i="2"/>
  <c r="F23" i="2"/>
  <c r="K21" i="6"/>
  <c r="N22" i="2" s="1"/>
  <c r="I21" i="6"/>
  <c r="M22" i="2" s="1"/>
  <c r="G21" i="6"/>
  <c r="L22" i="2" s="1"/>
  <c r="E21" i="6"/>
  <c r="F22" i="2" s="1"/>
  <c r="C21" i="6"/>
  <c r="K20" i="6"/>
  <c r="N21" i="2" s="1"/>
  <c r="I20" i="6"/>
  <c r="M21" i="2" s="1"/>
  <c r="G20" i="6"/>
  <c r="L21" i="2" s="1"/>
  <c r="E20" i="6"/>
  <c r="F21" i="2" s="1"/>
  <c r="C20" i="6"/>
  <c r="N20" i="2"/>
  <c r="M20" i="2"/>
  <c r="L20" i="2"/>
  <c r="F20" i="2"/>
  <c r="N19" i="2"/>
  <c r="M19" i="2"/>
  <c r="L19" i="2"/>
  <c r="F19" i="2"/>
  <c r="N18" i="2"/>
  <c r="M18" i="2"/>
  <c r="L18" i="2"/>
  <c r="F18" i="2"/>
  <c r="N17" i="2"/>
  <c r="M17" i="2"/>
  <c r="L17" i="2"/>
  <c r="F17" i="2"/>
  <c r="N16" i="2"/>
  <c r="M16" i="2"/>
  <c r="L16" i="2"/>
  <c r="F16" i="2"/>
  <c r="N15" i="2"/>
  <c r="M15" i="2"/>
  <c r="L15" i="2"/>
  <c r="F15" i="2"/>
  <c r="N14" i="2"/>
  <c r="M14" i="2"/>
  <c r="L14" i="2"/>
  <c r="F14" i="2"/>
  <c r="N13" i="2"/>
  <c r="M13" i="2"/>
  <c r="L13" i="2"/>
  <c r="F13" i="2"/>
  <c r="P38" i="4"/>
  <c r="P39" i="4"/>
  <c r="P40" i="4"/>
  <c r="K11" i="6"/>
  <c r="N12" i="2" s="1"/>
  <c r="I11" i="6"/>
  <c r="M12" i="2" s="1"/>
  <c r="G11" i="6"/>
  <c r="L12" i="2" s="1"/>
  <c r="E11" i="6"/>
  <c r="F12" i="2" s="1"/>
  <c r="C11" i="6"/>
  <c r="C10" i="6"/>
  <c r="K10" i="6"/>
  <c r="N11" i="2" s="1"/>
  <c r="I10" i="6"/>
  <c r="M11" i="2" s="1"/>
  <c r="G10" i="6"/>
  <c r="L11" i="2" s="1"/>
  <c r="E10" i="6"/>
  <c r="F11" i="2" s="1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C35" i="4"/>
  <c r="K38" i="6"/>
  <c r="N39" i="2" s="1"/>
  <c r="G31" i="21" s="1"/>
  <c r="I38" i="6"/>
  <c r="M39" i="2" s="1"/>
  <c r="F31" i="21" s="1"/>
  <c r="G38" i="6"/>
  <c r="L39" i="2" s="1"/>
  <c r="E38" i="6"/>
  <c r="F39" i="2" s="1"/>
  <c r="H39" i="2" s="1"/>
  <c r="C38" i="6"/>
  <c r="K37" i="6"/>
  <c r="N38" i="2" s="1"/>
  <c r="G30" i="21" s="1"/>
  <c r="I37" i="6"/>
  <c r="M38" i="2" s="1"/>
  <c r="F30" i="21" s="1"/>
  <c r="G37" i="6"/>
  <c r="L38" i="2" s="1"/>
  <c r="E30" i="21" s="1"/>
  <c r="E30" i="22" s="1"/>
  <c r="E37" i="6"/>
  <c r="F38" i="2" s="1"/>
  <c r="C37" i="6"/>
  <c r="D29" i="10"/>
  <c r="K36" i="6"/>
  <c r="N37" i="2" s="1"/>
  <c r="G29" i="21" s="1"/>
  <c r="I36" i="6"/>
  <c r="M37" i="2" s="1"/>
  <c r="F29" i="21" s="1"/>
  <c r="G36" i="6"/>
  <c r="L37" i="2" s="1"/>
  <c r="E29" i="21" s="1"/>
  <c r="E29" i="22" s="1"/>
  <c r="E36" i="6"/>
  <c r="F37" i="2" s="1"/>
  <c r="C36" i="6"/>
  <c r="K35" i="6"/>
  <c r="N36" i="2" s="1"/>
  <c r="G28" i="21" s="1"/>
  <c r="I35" i="6"/>
  <c r="M36" i="2" s="1"/>
  <c r="F28" i="21" s="1"/>
  <c r="G35" i="6"/>
  <c r="L36" i="2" s="1"/>
  <c r="E28" i="21" s="1"/>
  <c r="E28" i="22" s="1"/>
  <c r="E35" i="6"/>
  <c r="F36" i="2" s="1"/>
  <c r="C35" i="6"/>
  <c r="K34" i="6"/>
  <c r="N35" i="2" s="1"/>
  <c r="I34" i="6"/>
  <c r="M35" i="2" s="1"/>
  <c r="G34" i="6"/>
  <c r="L35" i="2" s="1"/>
  <c r="E27" i="21" s="1"/>
  <c r="E34" i="6"/>
  <c r="F35" i="2" s="1"/>
  <c r="C34" i="6"/>
  <c r="K33" i="6"/>
  <c r="N34" i="2" s="1"/>
  <c r="I33" i="6"/>
  <c r="M34" i="2" s="1"/>
  <c r="G33" i="6"/>
  <c r="L34" i="2" s="1"/>
  <c r="E26" i="21" s="1"/>
  <c r="E33" i="6"/>
  <c r="F34" i="2" s="1"/>
  <c r="C33" i="6"/>
  <c r="K32" i="6"/>
  <c r="N33" i="2" s="1"/>
  <c r="I32" i="6"/>
  <c r="M33" i="2" s="1"/>
  <c r="G32" i="6"/>
  <c r="L33" i="2" s="1"/>
  <c r="E32" i="6"/>
  <c r="F33" i="2" s="1"/>
  <c r="I25" i="22" s="1"/>
  <c r="C32" i="6"/>
  <c r="N32" i="2"/>
  <c r="M32" i="2"/>
  <c r="L32" i="2"/>
  <c r="F32" i="2"/>
  <c r="I24" i="22" s="1"/>
  <c r="N31" i="2"/>
  <c r="M31" i="2"/>
  <c r="L31" i="2"/>
  <c r="F31" i="2"/>
  <c r="I23" i="22" s="1"/>
  <c r="N30" i="2"/>
  <c r="M30" i="2"/>
  <c r="L30" i="2"/>
  <c r="F30" i="2"/>
  <c r="I22" i="22" s="1"/>
  <c r="K28" i="6"/>
  <c r="N29" i="2" s="1"/>
  <c r="I28" i="6"/>
  <c r="M29" i="2" s="1"/>
  <c r="G28" i="6"/>
  <c r="L29" i="2" s="1"/>
  <c r="E28" i="6"/>
  <c r="F29" i="2" s="1"/>
  <c r="I21" i="22" s="1"/>
  <c r="C28" i="6"/>
  <c r="K27" i="6"/>
  <c r="N28" i="2" s="1"/>
  <c r="I27" i="6"/>
  <c r="M28" i="2" s="1"/>
  <c r="G27" i="6"/>
  <c r="L28" i="2" s="1"/>
  <c r="E27" i="6"/>
  <c r="F28" i="2" s="1"/>
  <c r="I20" i="22" s="1"/>
  <c r="C27" i="6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P41" i="4"/>
  <c r="P42" i="4"/>
  <c r="N10" i="2"/>
  <c r="M10" i="2"/>
  <c r="L10" i="2"/>
  <c r="F10" i="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7" i="4"/>
  <c r="G18" i="4"/>
  <c r="G20" i="4"/>
  <c r="G22" i="4"/>
  <c r="G24" i="4"/>
  <c r="G25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5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G7" i="4" l="1"/>
  <c r="E7" i="4"/>
  <c r="C7" i="4"/>
  <c r="P9" i="4"/>
  <c r="V15" i="2"/>
  <c r="X15" i="2" s="1"/>
  <c r="P7" i="4"/>
  <c r="V13" i="2"/>
  <c r="X13" i="2" s="1"/>
  <c r="P15" i="4"/>
  <c r="V21" i="2"/>
  <c r="X21" i="2" s="1"/>
  <c r="P33" i="4"/>
  <c r="V39" i="2"/>
  <c r="X39" i="2" s="1"/>
  <c r="P20" i="4"/>
  <c r="V26" i="2"/>
  <c r="X26" i="2" s="1"/>
  <c r="P19" i="4"/>
  <c r="V25" i="2"/>
  <c r="X25" i="2" s="1"/>
  <c r="P25" i="4"/>
  <c r="V31" i="2"/>
  <c r="P26" i="4"/>
  <c r="V32" i="2"/>
  <c r="X32" i="2" s="1"/>
  <c r="P32" i="4"/>
  <c r="V38" i="2"/>
  <c r="P11" i="4"/>
  <c r="V17" i="2"/>
  <c r="X17" i="2" s="1"/>
  <c r="P12" i="4"/>
  <c r="V18" i="2"/>
  <c r="X18" i="2" s="1"/>
  <c r="P24" i="4"/>
  <c r="V30" i="2"/>
  <c r="P29" i="4"/>
  <c r="V35" i="2"/>
  <c r="X35" i="2" s="1"/>
  <c r="P21" i="4"/>
  <c r="V27" i="2"/>
  <c r="P18" i="4"/>
  <c r="V24" i="2"/>
  <c r="X24" i="2" s="1"/>
  <c r="P30" i="4"/>
  <c r="V36" i="2"/>
  <c r="P34" i="4"/>
  <c r="P27" i="4"/>
  <c r="V33" i="2"/>
  <c r="X33" i="2" s="1"/>
  <c r="P14" i="4"/>
  <c r="V20" i="2"/>
  <c r="X20" i="2" s="1"/>
  <c r="P16" i="4"/>
  <c r="V22" i="2"/>
  <c r="X22" i="2" s="1"/>
  <c r="P28" i="4"/>
  <c r="V34" i="2"/>
  <c r="X34" i="2" s="1"/>
  <c r="P31" i="4"/>
  <c r="V37" i="2"/>
  <c r="P10" i="4"/>
  <c r="V16" i="2"/>
  <c r="X16" i="2" s="1"/>
  <c r="P13" i="4"/>
  <c r="V19" i="2"/>
  <c r="X19" i="2" s="1"/>
  <c r="P17" i="4"/>
  <c r="V23" i="2"/>
  <c r="X23" i="2" s="1"/>
  <c r="P23" i="4"/>
  <c r="V29" i="2"/>
  <c r="P22" i="4"/>
  <c r="V28" i="2"/>
  <c r="P5" i="4"/>
  <c r="V11" i="2"/>
  <c r="X11" i="2" s="1"/>
  <c r="E31" i="21"/>
  <c r="E31" i="22" s="1"/>
  <c r="Q39" i="2"/>
  <c r="O39" i="2"/>
  <c r="L40" i="2"/>
  <c r="E22" i="22"/>
  <c r="E19" i="22"/>
  <c r="E16" i="22"/>
  <c r="G21" i="4"/>
  <c r="E21" i="4"/>
  <c r="C21" i="4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G8" i="22"/>
  <c r="G5" i="22"/>
  <c r="J14" i="21"/>
  <c r="I4" i="4"/>
  <c r="L4" i="4"/>
  <c r="N4" i="4" s="1"/>
  <c r="X31" i="2" l="1"/>
  <c r="G22" i="22"/>
  <c r="X30" i="2"/>
  <c r="G21" i="22"/>
  <c r="X29" i="2"/>
  <c r="G20" i="22"/>
  <c r="X28" i="2"/>
  <c r="G19" i="22"/>
  <c r="X27" i="2"/>
  <c r="G18" i="22"/>
  <c r="P8" i="4"/>
  <c r="V14" i="2"/>
  <c r="X14" i="2" s="1"/>
  <c r="P6" i="4"/>
  <c r="V12" i="2"/>
  <c r="X12" i="2" s="1"/>
  <c r="X37" i="2"/>
  <c r="X36" i="2"/>
  <c r="X38" i="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G3" i="22"/>
  <c r="M3" i="22" s="1"/>
  <c r="G4" i="22"/>
  <c r="P4" i="4" l="1"/>
  <c r="V10" i="2"/>
  <c r="X10" i="2" s="1"/>
  <c r="I47" i="2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<sst xmlns="http://schemas.openxmlformats.org/spreadsheetml/2006/main" count="476" uniqueCount="185">
  <si>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</si>
  <si>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</si>
  <si>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</si>
  <si>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</si>
  <si>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</si>
  <si>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</si>
  <si>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</si>
  <si>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</si>
  <si>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</si>
  <si>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</si>
  <si>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</si>
  <si>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</si>
  <si>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</si>
  <si>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</si>
  <si>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</si>
  <si>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</si>
  <si>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</si>
  <si>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</si>
  <si>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</si>
  <si>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</si>
  <si>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</si>
  <si>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</si>
  <si>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</si>
  <si>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</si>
  <si>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</si>
  <si>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</si>
  <si>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</si>
  <si>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</si>
  <si>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</si>
  <si>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</si>
  <si>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</si>
  <si>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</si>
  <si>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</si>
  <si>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</si>
  <si>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</si>
  <si>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</si>
  <si>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</si>
  <si>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</si>
  <si>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</si>
  <si>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</si>
  <si>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</si>
  <si>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</si>
  <si>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</si>
  <si>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</si>
  <si>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</si>
  <si>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</si>
  <si>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</si>
  <si>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</si>
  <si>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</si>
  <si>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</si>
  <si>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</si>
  <si>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</si>
  <si>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</si>
  <si>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</si>
  <si>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</si>
  <si>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</si>
  <si>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</si>
  <si>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</si>
  <si>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</si>
  <si>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</si>
  <si>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</si>
  <si>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</si>
  <si>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</si>
  <si>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</si>
  <si>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</si>
  <si>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</si>
  <si>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</si>
  <si>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</si>
  <si>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</si>
  <si>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</si>
  <si>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</si>
  <si>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</si>
  <si>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</si>
  <si>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</si>
  <si>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</si>
  <si>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</si>
  <si>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</si>
  <si>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</si>
  <si>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</si>
  <si>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</si>
  <si>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</si>
  <si>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</si>
  <si>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</si>
  <si>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</si>
  <si>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</si>
  <si>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</si>
  <si>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</si>
  <si>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</si>
  <si>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</si>
  <si>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</si>
  <si>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</si>
  <si>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</si>
  <si>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</si>
  <si>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</si>
  <si>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</si>
  <si>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</si>
  <si>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</si>
  <si>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</si>
  <si>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</si>
  <si>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</si>
  <si>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</si>
  <si>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</si>
  <si>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</si>
  <si>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</si>
  <si>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</si>
  <si>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</si>
  <si>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</si>
  <si>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</si>
  <si>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</si>
  <si>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</si>
  <si>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</si>
  <si>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</si>
  <si>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</si>
  <si>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</si>
  <si>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</si>
  <si>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</si>
  <si>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</si>
  <si>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</si>
  <si>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</si>
  <si>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</si>
  <si>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</si>
  <si>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</si>
  <si>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</si>
  <si>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</si>
  <si>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</si>
  <si>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</si>
  <si>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</si>
  <si>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</si>
  <si>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</si>
  <si>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</si>
  <si>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</si>
  <si>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</si>
  <si>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Sept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</si>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</sst>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111.60000000000582</c:v>
                </c:pt>
                <c:pt idx="1">
                  <c:v>81.399999999994179</c:v>
                </c:pt>
                <c:pt idx="2">
                  <c:v>76.600000000005821</c:v>
                </c:pt>
                <c:pt idx="3">
                  <c:v>107</c:v>
                </c:pt>
                <c:pt idx="4">
                  <c:v>93</c:v>
                </c:pt>
                <c:pt idx="5">
                  <c:v>90</c:v>
                </c:pt>
                <c:pt idx="6">
                  <c:v>120.60000000000582</c:v>
                </c:pt>
                <c:pt idx="7">
                  <c:v>122.39999999999418</c:v>
                </c:pt>
                <c:pt idx="8">
                  <c:v>87</c:v>
                </c:pt>
                <c:pt idx="9">
                  <c:v>109.89999999999418</c:v>
                </c:pt>
                <c:pt idx="10">
                  <c:v>149.30000000000291</c:v>
                </c:pt>
                <c:pt idx="11">
                  <c:v>122.40000000000873</c:v>
                </c:pt>
                <c:pt idx="12">
                  <c:v>85.799999999988358</c:v>
                </c:pt>
                <c:pt idx="13">
                  <c:v>156.20000000001164</c:v>
                </c:pt>
                <c:pt idx="14">
                  <c:v>119.29999999998836</c:v>
                </c:pt>
                <c:pt idx="15">
                  <c:v>86.30000000000291</c:v>
                </c:pt>
                <c:pt idx="16">
                  <c:v>85.100000000005821</c:v>
                </c:pt>
                <c:pt idx="17">
                  <c:v>110.89999999999418</c:v>
                </c:pt>
                <c:pt idx="18">
                  <c:v>90.80000000000291</c:v>
                </c:pt>
                <c:pt idx="19">
                  <c:v>77</c:v>
                </c:pt>
                <c:pt idx="20">
                  <c:v>118.89999999999418</c:v>
                </c:pt>
                <c:pt idx="21">
                  <c:v>112.20000000001164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3585</c:v>
                </c:pt>
                <c:pt idx="1">
                  <c:v>3698</c:v>
                </c:pt>
                <c:pt idx="2">
                  <c:v>3907</c:v>
                </c:pt>
                <c:pt idx="3">
                  <c:v>3704</c:v>
                </c:pt>
                <c:pt idx="4">
                  <c:v>4107</c:v>
                </c:pt>
                <c:pt idx="5">
                  <c:v>3524</c:v>
                </c:pt>
                <c:pt idx="6">
                  <c:v>3490</c:v>
                </c:pt>
                <c:pt idx="7">
                  <c:v>3942</c:v>
                </c:pt>
                <c:pt idx="8">
                  <c:v>3943</c:v>
                </c:pt>
                <c:pt idx="9">
                  <c:v>4100</c:v>
                </c:pt>
                <c:pt idx="10">
                  <c:v>4062</c:v>
                </c:pt>
                <c:pt idx="11">
                  <c:v>4129</c:v>
                </c:pt>
                <c:pt idx="12">
                  <c:v>4080</c:v>
                </c:pt>
                <c:pt idx="13">
                  <c:v>3972</c:v>
                </c:pt>
                <c:pt idx="14">
                  <c:v>4049</c:v>
                </c:pt>
                <c:pt idx="15">
                  <c:v>3781</c:v>
                </c:pt>
                <c:pt idx="16">
                  <c:v>3568</c:v>
                </c:pt>
                <c:pt idx="17">
                  <c:v>4077</c:v>
                </c:pt>
                <c:pt idx="18">
                  <c:v>4107</c:v>
                </c:pt>
                <c:pt idx="19">
                  <c:v>3561</c:v>
                </c:pt>
                <c:pt idx="20">
                  <c:v>3613</c:v>
                </c:pt>
                <c:pt idx="21">
                  <c:v>3813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7212</c:v>
                </c:pt>
                <c:pt idx="1">
                  <c:v>7889</c:v>
                </c:pt>
                <c:pt idx="2">
                  <c:v>7302</c:v>
                </c:pt>
                <c:pt idx="3">
                  <c:v>7562</c:v>
                </c:pt>
                <c:pt idx="4">
                  <c:v>7515</c:v>
                </c:pt>
                <c:pt idx="5">
                  <c:v>7709</c:v>
                </c:pt>
                <c:pt idx="6">
                  <c:v>9492</c:v>
                </c:pt>
                <c:pt idx="7">
                  <c:v>8618</c:v>
                </c:pt>
                <c:pt idx="8">
                  <c:v>9334</c:v>
                </c:pt>
                <c:pt idx="9">
                  <c:v>9636</c:v>
                </c:pt>
                <c:pt idx="10">
                  <c:v>8534</c:v>
                </c:pt>
                <c:pt idx="11">
                  <c:v>8909</c:v>
                </c:pt>
                <c:pt idx="12">
                  <c:v>8633</c:v>
                </c:pt>
                <c:pt idx="13">
                  <c:v>8403</c:v>
                </c:pt>
                <c:pt idx="14">
                  <c:v>8177</c:v>
                </c:pt>
                <c:pt idx="15">
                  <c:v>8039</c:v>
                </c:pt>
                <c:pt idx="16">
                  <c:v>8335</c:v>
                </c:pt>
                <c:pt idx="17">
                  <c:v>8098</c:v>
                </c:pt>
                <c:pt idx="18">
                  <c:v>7943</c:v>
                </c:pt>
                <c:pt idx="19">
                  <c:v>7426</c:v>
                </c:pt>
                <c:pt idx="20">
                  <c:v>7663</c:v>
                </c:pt>
                <c:pt idx="21">
                  <c:v>8094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2556</c:v>
                </c:pt>
                <c:pt idx="1">
                  <c:v>2746</c:v>
                </c:pt>
                <c:pt idx="2">
                  <c:v>2819</c:v>
                </c:pt>
                <c:pt idx="3">
                  <c:v>2849</c:v>
                </c:pt>
                <c:pt idx="4">
                  <c:v>2893</c:v>
                </c:pt>
                <c:pt idx="5">
                  <c:v>2824</c:v>
                </c:pt>
                <c:pt idx="6">
                  <c:v>3250</c:v>
                </c:pt>
                <c:pt idx="7">
                  <c:v>2850</c:v>
                </c:pt>
                <c:pt idx="8">
                  <c:v>2762</c:v>
                </c:pt>
                <c:pt idx="9">
                  <c:v>3258</c:v>
                </c:pt>
                <c:pt idx="10">
                  <c:v>3241</c:v>
                </c:pt>
                <c:pt idx="11">
                  <c:v>2959</c:v>
                </c:pt>
                <c:pt idx="12">
                  <c:v>3051</c:v>
                </c:pt>
                <c:pt idx="13">
                  <c:v>2880</c:v>
                </c:pt>
                <c:pt idx="14">
                  <c:v>3260</c:v>
                </c:pt>
                <c:pt idx="15">
                  <c:v>3114</c:v>
                </c:pt>
                <c:pt idx="16">
                  <c:v>2965</c:v>
                </c:pt>
                <c:pt idx="17">
                  <c:v>3203</c:v>
                </c:pt>
                <c:pt idx="18">
                  <c:v>2655</c:v>
                </c:pt>
                <c:pt idx="19">
                  <c:v>2470</c:v>
                </c:pt>
                <c:pt idx="20">
                  <c:v>2885</c:v>
                </c:pt>
                <c:pt idx="21">
                  <c:v>3090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44443</c:v>
                </c:pt>
                <c:pt idx="4">
                  <c:v>44444</c:v>
                </c:pt>
                <c:pt idx="5">
                  <c:v>44445</c:v>
                </c:pt>
                <c:pt idx="6">
                  <c:v>44446</c:v>
                </c:pt>
                <c:pt idx="7">
                  <c:v>44447</c:v>
                </c:pt>
                <c:pt idx="8">
                  <c:v>44448</c:v>
                </c:pt>
                <c:pt idx="9">
                  <c:v>44449</c:v>
                </c:pt>
                <c:pt idx="10">
                  <c:v>44450</c:v>
                </c:pt>
                <c:pt idx="11">
                  <c:v>44451</c:v>
                </c:pt>
                <c:pt idx="12">
                  <c:v>44452</c:v>
                </c:pt>
                <c:pt idx="13">
                  <c:v>44453</c:v>
                </c:pt>
                <c:pt idx="14">
                  <c:v>44454</c:v>
                </c:pt>
                <c:pt idx="15">
                  <c:v>44455</c:v>
                </c:pt>
                <c:pt idx="16">
                  <c:v>44456</c:v>
                </c:pt>
                <c:pt idx="17">
                  <c:v>44457</c:v>
                </c:pt>
                <c:pt idx="18">
                  <c:v>44458</c:v>
                </c:pt>
                <c:pt idx="19">
                  <c:v>44459</c:v>
                </c:pt>
                <c:pt idx="20">
                  <c:v>44460</c:v>
                </c:pt>
                <c:pt idx="21">
                  <c:v>44461</c:v>
                </c:pt>
                <c:pt idx="22">
                  <c:v>44462</c:v>
                </c:pt>
                <c:pt idx="23">
                  <c:v>44463</c:v>
                </c:pt>
                <c:pt idx="24">
                  <c:v>44464</c:v>
                </c:pt>
                <c:pt idx="25">
                  <c:v>44465</c:v>
                </c:pt>
                <c:pt idx="26">
                  <c:v>44466</c:v>
                </c:pt>
                <c:pt idx="27">
                  <c:v>44467</c:v>
                </c:pt>
                <c:pt idx="28">
                  <c:v>44468</c:v>
                </c:pt>
                <c:pt idx="29">
                  <c:v>44469</c:v>
                </c:pt>
                <c:pt idx="30">
                  <c:v>44470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185.15</c:v>
                </c:pt>
                <c:pt idx="1">
                  <c:v>148.12</c:v>
                </c:pt>
                <c:pt idx="2">
                  <c:v>259.21000000000004</c:v>
                </c:pt>
                <c:pt idx="3">
                  <c:v>630.70000000000005</c:v>
                </c:pt>
                <c:pt idx="4">
                  <c:v>0</c:v>
                </c:pt>
                <c:pt idx="5">
                  <c:v>0</c:v>
                </c:pt>
                <c:pt idx="6">
                  <c:v>31.999210000000001</c:v>
                </c:pt>
                <c:pt idx="7">
                  <c:v>127.99684000000001</c:v>
                </c:pt>
                <c:pt idx="8">
                  <c:v>287.99288999999999</c:v>
                </c:pt>
                <c:pt idx="9">
                  <c:v>223.99447000000001</c:v>
                </c:pt>
                <c:pt idx="10">
                  <c:v>159.99605</c:v>
                </c:pt>
                <c:pt idx="11">
                  <c:v>383.99052</c:v>
                </c:pt>
                <c:pt idx="12">
                  <c:v>223.99447000000001</c:v>
                </c:pt>
                <c:pt idx="13">
                  <c:v>255.99368000000001</c:v>
                </c:pt>
                <c:pt idx="14">
                  <c:v>191.99526</c:v>
                </c:pt>
                <c:pt idx="15">
                  <c:v>287.99288999999999</c:v>
                </c:pt>
                <c:pt idx="16">
                  <c:v>319.99209999999999</c:v>
                </c:pt>
                <c:pt idx="17">
                  <c:v>351.99131</c:v>
                </c:pt>
                <c:pt idx="18">
                  <c:v>223.99447000000001</c:v>
                </c:pt>
                <c:pt idx="19">
                  <c:v>287.99288999999999</c:v>
                </c:pt>
                <c:pt idx="20">
                  <c:v>287.99288999999999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20" sqref="L20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2021</v>
      </c>
      <c r="E2" s="137">
        <f>submetering!E2+submetering!F2+submetering!G2</f>
        <v>13353</v>
      </c>
      <c r="F2" s="134">
        <v>1.05</v>
      </c>
      <c r="G2" s="134">
        <f>'Consommation mensuel énergie'!V10</f>
        <v>185.15</v>
      </c>
      <c r="H2" s="134">
        <v>8.6999999999999993</v>
      </c>
      <c r="I2" s="134">
        <f>'Consommation mensuel énergie'!F10</f>
        <v>111.60000000000582</v>
      </c>
      <c r="J2" s="134">
        <v>11.4</v>
      </c>
      <c r="K2" s="137">
        <f>'Consommation mensuel énergie'!D10</f>
        <v>67</v>
      </c>
      <c r="L2" s="137">
        <f>'Consommation mensuel énergie'!E10</f>
        <v>102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submetering!E3+submetering!F3+submetering!G3</f>
        <v>14480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81.399999999994179</v>
      </c>
      <c r="J3" s="134">
        <v>11.4</v>
      </c>
      <c r="K3" s="137">
        <f>'Consommation mensuel énergie'!D11</f>
        <v>67</v>
      </c>
      <c r="L3" s="137">
        <f>'Consommation mensuel énergie'!E11</f>
        <v>114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submetering!E4+submetering!F4+submetering!G4</f>
        <v>14028</v>
      </c>
      <c r="F4" s="134">
        <v>1.05</v>
      </c>
      <c r="G4" s="134">
        <f>'Consommation mensuel énergie'!V12</f>
        <v>259.21000000000004</v>
      </c>
      <c r="H4" s="134">
        <v>8.6999999999999993</v>
      </c>
      <c r="I4" s="134">
        <f>'Consommation mensuel énergie'!F12</f>
        <v>76.600000000005821</v>
      </c>
      <c r="J4" s="134">
        <v>11.4</v>
      </c>
      <c r="K4" s="137">
        <f>'Consommation mensuel énergie'!D12</f>
        <v>64</v>
      </c>
      <c r="L4" s="137">
        <f>'Consommation mensuel énergie'!E12</f>
        <v>108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submetering!E5+submetering!F5+submetering!G5</f>
        <v>14115</v>
      </c>
      <c r="F5" s="134">
        <v>1.05</v>
      </c>
      <c r="G5" s="134">
        <f>'Consommation mensuel énergie'!V13</f>
        <v>630.70000000000005</v>
      </c>
      <c r="H5" s="134">
        <v>8.6999999999999993</v>
      </c>
      <c r="I5" s="134">
        <f>'Consommation mensuel énergie'!F13</f>
        <v>107</v>
      </c>
      <c r="J5" s="134">
        <v>11.4</v>
      </c>
      <c r="K5" s="137">
        <f>'Consommation mensuel énergie'!D13</f>
        <v>68</v>
      </c>
      <c r="L5" s="137">
        <f>'Consommation mensuel énergie'!E13</f>
        <v>113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submetering!E6+submetering!F6+submetering!G6</f>
        <v>14515</v>
      </c>
      <c r="F6" s="134">
        <v>1.05</v>
      </c>
      <c r="G6" s="134">
        <f>'Consommation mensuel énergie'!V14</f>
        <v>0</v>
      </c>
      <c r="H6" s="134">
        <v>8.6999999999999993</v>
      </c>
      <c r="I6" s="134">
        <f>'Consommation mensuel énergie'!F14</f>
        <v>93</v>
      </c>
      <c r="J6" s="134">
        <v>11.4</v>
      </c>
      <c r="K6" s="137">
        <f>'Consommation mensuel énergie'!D14</f>
        <v>69</v>
      </c>
      <c r="L6" s="137">
        <f>'Consommation mensuel énergie'!E14</f>
        <v>125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submetering!E7+submetering!F7+submetering!G7</f>
        <v>14057</v>
      </c>
      <c r="F7" s="134">
        <v>1.05</v>
      </c>
      <c r="G7" s="134">
        <f>'Consommation mensuel énergie'!V15</f>
        <v>0</v>
      </c>
      <c r="H7" s="134">
        <v>8.6999999999999993</v>
      </c>
      <c r="I7" s="134">
        <f>'Consommation mensuel énergie'!F15</f>
        <v>90</v>
      </c>
      <c r="J7" s="134">
        <v>11.4</v>
      </c>
      <c r="K7" s="137">
        <f>'Consommation mensuel énergie'!D15</f>
        <v>66</v>
      </c>
      <c r="L7" s="137">
        <f>'Consommation mensuel énergie'!E15</f>
        <v>103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submetering!E8+submetering!F8+submetering!G8</f>
        <v>16232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120.60000000000582</v>
      </c>
      <c r="J8" s="134">
        <v>11.4</v>
      </c>
      <c r="K8" s="137">
        <f>'Consommation mensuel énergie'!D16</f>
        <v>94</v>
      </c>
      <c r="L8" s="137">
        <f>'Consommation mensuel énergie'!E16</f>
        <v>135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submetering!E9+submetering!F9+submetering!G9</f>
        <v>15410</v>
      </c>
      <c r="F9" s="134">
        <v>1.05</v>
      </c>
      <c r="G9" s="134">
        <f>'Consommation mensuel énergie'!V17</f>
        <v>127.99684000000001</v>
      </c>
      <c r="H9" s="134">
        <v>8.6999999999999993</v>
      </c>
      <c r="I9" s="134">
        <f>'Consommation mensuel énergie'!F17</f>
        <v>122.39999999999418</v>
      </c>
      <c r="J9" s="134">
        <v>11.4</v>
      </c>
      <c r="K9" s="137">
        <f>'Consommation mensuel énergie'!D17</f>
        <v>88</v>
      </c>
      <c r="L9" s="137">
        <f>'Consommation mensuel énergie'!E17</f>
        <v>124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submetering!E10+submetering!F10+submetering!G10</f>
        <v>16039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87</v>
      </c>
      <c r="J10" s="134">
        <v>11.4</v>
      </c>
      <c r="K10" s="137">
        <f>'Consommation mensuel énergie'!D18</f>
        <v>90</v>
      </c>
      <c r="L10" s="137">
        <f>'Consommation mensuel énergie'!E18</f>
        <v>130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submetering!E11+submetering!F11+submetering!G11</f>
        <v>16994</v>
      </c>
      <c r="F11" s="134">
        <v>1.05</v>
      </c>
      <c r="G11" s="134">
        <f>'Consommation mensuel énergie'!V20</f>
        <v>159.99605</v>
      </c>
      <c r="H11" s="134">
        <v>8.6999999999999993</v>
      </c>
      <c r="I11" s="134">
        <f>'Consommation mensuel énergie'!F19</f>
        <v>109.89999999999418</v>
      </c>
      <c r="J11" s="134">
        <v>11.4</v>
      </c>
      <c r="K11" s="137">
        <f>'Consommation mensuel énergie'!D19</f>
        <v>100</v>
      </c>
      <c r="L11" s="137">
        <f>'Consommation mensuel énergie'!E19</f>
        <v>152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submetering!E12+submetering!F12+submetering!G12</f>
        <v>15837</v>
      </c>
      <c r="F12" s="134">
        <v>1.05</v>
      </c>
      <c r="G12" s="134">
        <f>'Consommation mensuel énergie'!V21</f>
        <v>383.99052</v>
      </c>
      <c r="H12" s="134">
        <v>8.6999999999999993</v>
      </c>
      <c r="I12" s="134">
        <f>'Consommation mensuel énergie'!F20</f>
        <v>149.30000000000291</v>
      </c>
      <c r="J12" s="134">
        <v>11.4</v>
      </c>
      <c r="K12" s="137">
        <f>'Consommation mensuel énergie'!D20</f>
        <v>81</v>
      </c>
      <c r="L12" s="137">
        <f>'Consommation mensuel énergie'!E20</f>
        <v>129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submetering!E13+submetering!F13+submetering!G13</f>
        <v>15997</v>
      </c>
      <c r="F13" s="134">
        <v>1.05</v>
      </c>
      <c r="G13" s="134">
        <f>'Consommation mensuel énergie'!V22</f>
        <v>223.99447000000001</v>
      </c>
      <c r="H13" s="134">
        <v>8.6999999999999993</v>
      </c>
      <c r="I13" s="134">
        <f>'Consommation mensuel énergie'!F21</f>
        <v>122.40000000000873</v>
      </c>
      <c r="J13" s="134">
        <v>11.4</v>
      </c>
      <c r="K13" s="137">
        <f>'Consommation mensuel énergie'!D21</f>
        <v>80</v>
      </c>
      <c r="L13" s="137">
        <f>'Consommation mensuel énergie'!E21</f>
        <v>127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submetering!E14+submetering!F14+submetering!G14</f>
        <v>15764</v>
      </c>
      <c r="F14" s="134">
        <v>1.05</v>
      </c>
      <c r="G14" s="134">
        <f>'Consommation mensuel énergie'!V23</f>
        <v>255.99368000000001</v>
      </c>
      <c r="H14" s="134">
        <v>8.6999999999999993</v>
      </c>
      <c r="I14" s="134">
        <f>'Consommation mensuel énergie'!F22</f>
        <v>85.799999999988358</v>
      </c>
      <c r="J14" s="134">
        <v>11.4</v>
      </c>
      <c r="K14" s="137">
        <f>'Consommation mensuel énergie'!D22</f>
        <v>72</v>
      </c>
      <c r="L14" s="137">
        <f>'Consommation mensuel énergie'!E22</f>
        <v>112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submetering!E15+submetering!F15+submetering!G15</f>
        <v>15255</v>
      </c>
      <c r="F15" s="134">
        <v>1.05</v>
      </c>
      <c r="G15" s="134">
        <f>'Consommation mensuel énergie'!V24</f>
        <v>191.99526</v>
      </c>
      <c r="H15" s="134">
        <v>8.6999999999999993</v>
      </c>
      <c r="I15" s="134">
        <f>'Consommation mensuel énergie'!F23</f>
        <v>156.20000000001164</v>
      </c>
      <c r="J15" s="134">
        <v>11.4</v>
      </c>
      <c r="K15" s="137">
        <f>'Consommation mensuel énergie'!D23</f>
        <v>81</v>
      </c>
      <c r="L15" s="137">
        <f>'Consommation mensuel énergie'!E23</f>
        <v>124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submetering!E16+submetering!F16+submetering!G16</f>
        <v>15486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119.29999999998836</v>
      </c>
      <c r="J16" s="134">
        <v>11.4</v>
      </c>
      <c r="K16" s="137">
        <f>'Consommation mensuel énergie'!D24</f>
        <v>67</v>
      </c>
      <c r="L16" s="137">
        <f>'Consommation mensuel énergie'!E24</f>
        <v>106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submetering!E17+submetering!F17+submetering!G17</f>
        <v>14934</v>
      </c>
      <c r="F17" s="134">
        <v>1.05</v>
      </c>
      <c r="G17" s="134">
        <f>'Consommation mensuel énergie'!V26</f>
        <v>319.99209999999999</v>
      </c>
      <c r="H17" s="134">
        <v>8.6999999999999993</v>
      </c>
      <c r="I17" s="134">
        <f>'Consommation mensuel énergie'!F25</f>
        <v>86.30000000000291</v>
      </c>
      <c r="J17" s="134">
        <v>11.4</v>
      </c>
      <c r="K17" s="137">
        <f>'Consommation mensuel énergie'!D25</f>
        <v>60</v>
      </c>
      <c r="L17" s="137">
        <f>'Consommation mensuel énergie'!E25</f>
        <v>114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submetering!E18+submetering!F18+submetering!G18</f>
        <v>14868</v>
      </c>
      <c r="F18" s="134">
        <v>1.05</v>
      </c>
      <c r="G18" s="134">
        <f>'Consommation mensuel énergie'!V27</f>
        <v>351.99131</v>
      </c>
      <c r="H18" s="134">
        <v>8.6999999999999993</v>
      </c>
      <c r="I18" s="134">
        <f>'Consommation mensuel énergie'!F26</f>
        <v>85.100000000005821</v>
      </c>
      <c r="J18" s="134">
        <v>11.4</v>
      </c>
      <c r="K18" s="137">
        <f>'Consommation mensuel énergie'!D26</f>
        <v>70</v>
      </c>
      <c r="L18" s="137">
        <f>'Consommation mensuel énergie'!E26</f>
        <v>115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submetering!E19+submetering!F19+submetering!G19</f>
        <v>15378</v>
      </c>
      <c r="F19" s="134">
        <v>1.05</v>
      </c>
      <c r="G19" s="134">
        <f>'Consommation mensuel énergie'!V28</f>
        <v>223.99447000000001</v>
      </c>
      <c r="H19" s="134">
        <v>8.6999999999999993</v>
      </c>
      <c r="I19" s="134">
        <f>'Consommation mensuel énergie'!F27</f>
        <v>110.89999999999418</v>
      </c>
      <c r="J19" s="134">
        <v>11.4</v>
      </c>
      <c r="K19" s="137">
        <f>'Consommation mensuel énergie'!D27</f>
        <v>73</v>
      </c>
      <c r="L19" s="137">
        <f>'Consommation mensuel énergie'!E27</f>
        <v>122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submetering!E20+submetering!F20+submetering!G20</f>
        <v>14705</v>
      </c>
      <c r="F20" s="134">
        <v>1.05</v>
      </c>
      <c r="G20" s="134">
        <f>'Consommation mensuel énergie'!V29</f>
        <v>287.99288999999999</v>
      </c>
      <c r="H20" s="134">
        <v>8.6999999999999993</v>
      </c>
      <c r="I20" s="134">
        <f>'Consommation mensuel énergie'!F28</f>
        <v>90.80000000000291</v>
      </c>
      <c r="J20" s="134">
        <v>11.4</v>
      </c>
      <c r="K20" s="137">
        <f>'Consommation mensuel énergie'!D28</f>
        <v>52</v>
      </c>
      <c r="L20" s="137">
        <f>'Consommation mensuel énergie'!E28</f>
        <v>82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submetering!E21+submetering!F21+submetering!G21</f>
        <v>13457</v>
      </c>
      <c r="F21" s="134">
        <v>1.05</v>
      </c>
      <c r="G21" s="134">
        <f>'Consommation mensuel énergie'!V30</f>
        <v>287.99288999999999</v>
      </c>
      <c r="H21" s="134">
        <v>8.6999999999999993</v>
      </c>
      <c r="I21" s="134">
        <f>'Consommation mensuel énergie'!F29</f>
        <v>77</v>
      </c>
      <c r="J21" s="134">
        <v>11.4</v>
      </c>
      <c r="K21" s="137">
        <f>'Consommation mensuel énergie'!D29</f>
        <v>61</v>
      </c>
      <c r="L21" s="137">
        <f>'Consommation mensuel énergie'!E29</f>
        <v>90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submetering!E22+submetering!F22+submetering!G22</f>
        <v>14161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118.89999999999418</v>
      </c>
      <c r="J22" s="134">
        <v>11.4</v>
      </c>
      <c r="K22" s="137">
        <f>'Consommation mensuel énergie'!D30</f>
        <v>84</v>
      </c>
      <c r="L22" s="137">
        <f>'Consommation mensuel énergie'!E30</f>
        <v>124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submetering!E23+submetering!F23+submetering!G23</f>
        <v>14997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112.20000000001164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4871.0899399999998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65"/>
      <c r="F34" s="134"/>
      <c r="G34" s="134"/>
      <c r="H34" s="134"/>
      <c r="I34" s="134"/>
      <c r="J34" s="134"/>
    </row>
    <row r="35" spans="1:13">
      <c r="A35" s="165"/>
      <c r="F35" s="134"/>
      <c r="G35" s="134"/>
      <c r="H35" s="134"/>
      <c r="I35" s="134"/>
      <c r="J35" s="134"/>
    </row>
    <row r="36" spans="1:13">
      <c r="A36" s="165"/>
      <c r="F36" s="134"/>
      <c r="G36" s="134"/>
      <c r="H36" s="134"/>
      <c r="I36" s="134"/>
      <c r="J36" s="134"/>
    </row>
    <row r="37" spans="1:13">
      <c r="A37" s="165"/>
      <c r="F37" s="134"/>
      <c r="G37" s="134"/>
      <c r="H37" s="134"/>
      <c r="I37" s="134"/>
      <c r="J37" s="134"/>
    </row>
    <row r="38" spans="1:13">
      <c r="A38" s="165"/>
      <c r="F38" s="134"/>
      <c r="G38" s="134"/>
      <c r="H38" s="134"/>
      <c r="I38" s="134"/>
      <c r="J38" s="134"/>
    </row>
    <row r="39" spans="1:13">
      <c r="A39" s="165"/>
      <c r="F39" s="134"/>
      <c r="G39" s="134"/>
      <c r="H39" s="134"/>
      <c r="I39" s="134"/>
      <c r="J39" s="134"/>
    </row>
    <row r="40" spans="1:13">
      <c r="A40" s="165"/>
      <c r="F40" s="134"/>
      <c r="G40" s="134"/>
      <c r="H40" s="134"/>
      <c r="I40" s="134"/>
      <c r="J40" s="134"/>
    </row>
    <row r="41" spans="1:13">
      <c r="A41" s="165"/>
      <c r="F41" s="165"/>
      <c r="G41" s="165"/>
      <c r="H41" s="165"/>
      <c r="I41" s="165"/>
      <c r="J41" s="16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2021</v>
      </c>
      <c r="E2" s="137">
        <f>'Consommation mensuel énergie'!L10</f>
        <v>3585</v>
      </c>
      <c r="F2" s="137">
        <f>'Consommation mensuel énergie'!M10</f>
        <v>7212</v>
      </c>
      <c r="G2" s="137">
        <f>'Consommation mensuel énergie'!N10</f>
        <v>2556</v>
      </c>
      <c r="H2" s="137">
        <f>'Consommation mensuel énergie'!D10</f>
        <v>67</v>
      </c>
      <c r="I2" s="137">
        <f>'Consommation mensuel énergie'!E10</f>
        <v>102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2021</v>
      </c>
      <c r="E3" s="137">
        <f>'Consommation mensuel énergie'!L11</f>
        <v>3698</v>
      </c>
      <c r="F3" s="137">
        <f>'Consommation mensuel énergie'!M11</f>
        <v>7889</v>
      </c>
      <c r="G3" s="137">
        <f>'Consommation mensuel énergie'!N14</f>
        <v>2893</v>
      </c>
      <c r="H3" s="137">
        <f>'Consommation mensuel énergie'!D11</f>
        <v>67</v>
      </c>
      <c r="I3" s="137">
        <f>'Consommation mensuel énergie'!E11</f>
        <v>114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2021</v>
      </c>
      <c r="E4" s="137">
        <f>'Consommation mensuel énergie'!L12</f>
        <v>3907</v>
      </c>
      <c r="F4" s="137">
        <f>'Consommation mensuel énergie'!M12</f>
        <v>7302</v>
      </c>
      <c r="G4" s="137">
        <f>'Consommation mensuel énergie'!N12</f>
        <v>2819</v>
      </c>
      <c r="H4" s="137">
        <f>'Consommation mensuel énergie'!D12</f>
        <v>64</v>
      </c>
      <c r="I4" s="137">
        <f>'Consommation mensuel énergie'!E12</f>
        <v>108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2021</v>
      </c>
      <c r="E5" s="137">
        <f>'Consommation mensuel énergie'!L13</f>
        <v>3704</v>
      </c>
      <c r="F5" s="137">
        <f>'Consommation mensuel énergie'!M13</f>
        <v>7562</v>
      </c>
      <c r="G5" s="137">
        <f>'Consommation mensuel énergie'!N13</f>
        <v>2849</v>
      </c>
      <c r="H5" s="137">
        <f>'Consommation mensuel énergie'!D13</f>
        <v>68</v>
      </c>
      <c r="I5" s="137">
        <f>'Consommation mensuel énergie'!E13</f>
        <v>113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2021</v>
      </c>
      <c r="E6" s="137">
        <f>'Consommation mensuel énergie'!L14</f>
        <v>4107</v>
      </c>
      <c r="F6" s="137">
        <f>'Consommation mensuel énergie'!M14</f>
        <v>7515</v>
      </c>
      <c r="G6" s="137">
        <f>'Consommation mensuel énergie'!N14</f>
        <v>2893</v>
      </c>
      <c r="H6" s="137">
        <f>'Consommation mensuel énergie'!D14</f>
        <v>69</v>
      </c>
      <c r="I6" s="137">
        <f>'Consommation mensuel énergie'!E14</f>
        <v>125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2021</v>
      </c>
      <c r="E7" s="137">
        <f>'Consommation mensuel énergie'!L15</f>
        <v>3524</v>
      </c>
      <c r="F7" s="137">
        <f>'Consommation mensuel énergie'!M15</f>
        <v>7709</v>
      </c>
      <c r="G7" s="137">
        <f>'Consommation mensuel énergie'!N15</f>
        <v>2824</v>
      </c>
      <c r="H7" s="137">
        <f>'Consommation mensuel énergie'!D15</f>
        <v>66</v>
      </c>
      <c r="I7" s="137">
        <f>'Consommation mensuel énergie'!E15</f>
        <v>103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2021</v>
      </c>
      <c r="E8" s="137">
        <f>'Consommation mensuel énergie'!L16</f>
        <v>3490</v>
      </c>
      <c r="F8" s="137">
        <f>'Consommation mensuel énergie'!M16</f>
        <v>9492</v>
      </c>
      <c r="G8" s="137">
        <f>'Consommation mensuel énergie'!N16</f>
        <v>3250</v>
      </c>
      <c r="H8" s="137">
        <f>'Consommation mensuel énergie'!D16</f>
        <v>94</v>
      </c>
      <c r="I8" s="137">
        <f>'Consommation mensuel énergie'!E16</f>
        <v>135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2021</v>
      </c>
      <c r="E9" s="137">
        <f>'Consommation mensuel énergie'!L17</f>
        <v>3942</v>
      </c>
      <c r="F9" s="137">
        <f>'Consommation mensuel énergie'!M17</f>
        <v>8618</v>
      </c>
      <c r="G9" s="137">
        <f>'Consommation mensuel énergie'!N17</f>
        <v>2850</v>
      </c>
      <c r="H9" s="137">
        <f>'Consommation mensuel énergie'!D17</f>
        <v>88</v>
      </c>
      <c r="I9" s="137">
        <f>'Consommation mensuel énergie'!E17</f>
        <v>124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2021</v>
      </c>
      <c r="E10" s="137">
        <f>'Consommation mensuel énergie'!L18</f>
        <v>3943</v>
      </c>
      <c r="F10" s="137">
        <f>'Consommation mensuel énergie'!M18</f>
        <v>9334</v>
      </c>
      <c r="G10" s="137">
        <f>'Consommation mensuel énergie'!N18</f>
        <v>2762</v>
      </c>
      <c r="H10" s="137">
        <f>'Consommation mensuel énergie'!D18</f>
        <v>90</v>
      </c>
      <c r="I10" s="137">
        <f>'Consommation mensuel énergie'!E18</f>
        <v>130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2021</v>
      </c>
      <c r="E11" s="137">
        <f>'Consommation mensuel énergie'!L19</f>
        <v>4100</v>
      </c>
      <c r="F11" s="137">
        <f>'Consommation mensuel énergie'!M19</f>
        <v>9636</v>
      </c>
      <c r="G11" s="137">
        <f>'Consommation mensuel énergie'!N19</f>
        <v>3258</v>
      </c>
      <c r="H11" s="137">
        <f>'Consommation mensuel énergie'!D19</f>
        <v>100</v>
      </c>
      <c r="I11" s="137">
        <f>'Consommation mensuel énergie'!E19</f>
        <v>152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2021</v>
      </c>
      <c r="E12" s="137">
        <f>'Consommation mensuel énergie'!L20</f>
        <v>4062</v>
      </c>
      <c r="F12" s="137">
        <f>'Consommation mensuel énergie'!M20</f>
        <v>8534</v>
      </c>
      <c r="G12" s="137">
        <f>'Consommation mensuel énergie'!N20</f>
        <v>3241</v>
      </c>
      <c r="H12" s="137">
        <f>'Consommation mensuel énergie'!D20</f>
        <v>81</v>
      </c>
      <c r="I12" s="137">
        <f>'Consommation mensuel énergie'!E20</f>
        <v>129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2021</v>
      </c>
      <c r="E13" s="137">
        <f>'Consommation mensuel énergie'!L21</f>
        <v>4129</v>
      </c>
      <c r="F13" s="137">
        <f>'Consommation mensuel énergie'!M21</f>
        <v>8909</v>
      </c>
      <c r="G13" s="137">
        <f>'Consommation mensuel énergie'!N21</f>
        <v>2959</v>
      </c>
      <c r="H13" s="137">
        <f>'Consommation mensuel énergie'!D21</f>
        <v>80</v>
      </c>
      <c r="I13" s="137">
        <f>'Consommation mensuel énergie'!E21</f>
        <v>127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2021</v>
      </c>
      <c r="E14" s="137">
        <f>'Consommation mensuel énergie'!L22</f>
        <v>4080</v>
      </c>
      <c r="F14" s="137">
        <f>'Consommation mensuel énergie'!M22</f>
        <v>8633</v>
      </c>
      <c r="G14" s="137">
        <f>'Consommation mensuel énergie'!N22</f>
        <v>3051</v>
      </c>
      <c r="H14" s="137">
        <f>'Consommation mensuel énergie'!D22</f>
        <v>72</v>
      </c>
      <c r="I14" s="137">
        <f>'Consommation mensuel énergie'!E22</f>
        <v>112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2021</v>
      </c>
      <c r="E15" s="137">
        <f>'Consommation mensuel énergie'!L23</f>
        <v>3972</v>
      </c>
      <c r="F15" s="137">
        <f>'Consommation mensuel énergie'!M23</f>
        <v>8403</v>
      </c>
      <c r="G15" s="137">
        <f>'Consommation mensuel énergie'!N23</f>
        <v>2880</v>
      </c>
      <c r="H15" s="137">
        <f>'Consommation mensuel énergie'!D23</f>
        <v>81</v>
      </c>
      <c r="I15" s="137">
        <f>'Consommation mensuel énergie'!E23</f>
        <v>124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2021</v>
      </c>
      <c r="E16" s="137">
        <f>'Consommation mensuel énergie'!L24</f>
        <v>4049</v>
      </c>
      <c r="F16" s="137">
        <f>'Consommation mensuel énergie'!M24</f>
        <v>8177</v>
      </c>
      <c r="G16" s="137">
        <f>'Consommation mensuel énergie'!N24</f>
        <v>3260</v>
      </c>
      <c r="H16" s="137">
        <f>'Consommation mensuel énergie'!D24</f>
        <v>67</v>
      </c>
      <c r="I16" s="137">
        <f>'Consommation mensuel énergie'!E24</f>
        <v>106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2021</v>
      </c>
      <c r="E17" s="137">
        <f>'Consommation mensuel énergie'!L25</f>
        <v>3781</v>
      </c>
      <c r="F17" s="137">
        <f>'Consommation mensuel énergie'!M25</f>
        <v>8039</v>
      </c>
      <c r="G17" s="137">
        <f>'Consommation mensuel énergie'!N25</f>
        <v>3114</v>
      </c>
      <c r="H17" s="137">
        <f>'Consommation mensuel énergie'!D25</f>
        <v>60</v>
      </c>
      <c r="I17" s="137">
        <f>'Consommation mensuel énergie'!E25</f>
        <v>114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2021</v>
      </c>
      <c r="E18" s="137">
        <f>'Consommation mensuel énergie'!L26</f>
        <v>3568</v>
      </c>
      <c r="F18" s="137">
        <f>'Consommation mensuel énergie'!M26</f>
        <v>8335</v>
      </c>
      <c r="G18" s="137">
        <f>'Consommation mensuel énergie'!N26</f>
        <v>2965</v>
      </c>
      <c r="H18" s="137">
        <f>'Consommation mensuel énergie'!D26</f>
        <v>70</v>
      </c>
      <c r="I18" s="137">
        <f>'Consommation mensuel énergie'!E26</f>
        <v>115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2021</v>
      </c>
      <c r="E19" s="137">
        <f>'Consommation mensuel énergie'!L27</f>
        <v>4077</v>
      </c>
      <c r="F19" s="137">
        <f>'Consommation mensuel énergie'!M27</f>
        <v>8098</v>
      </c>
      <c r="G19" s="137">
        <f>'Consommation mensuel énergie'!N27</f>
        <v>3203</v>
      </c>
      <c r="H19" s="137">
        <f>'Consommation mensuel énergie'!D27</f>
        <v>73</v>
      </c>
      <c r="I19" s="137">
        <f>'Consommation mensuel énergie'!E27</f>
        <v>122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2021</v>
      </c>
      <c r="E20" s="137">
        <f>'Consommation mensuel énergie'!L28</f>
        <v>4107</v>
      </c>
      <c r="F20" s="137">
        <f>'Consommation mensuel énergie'!M28</f>
        <v>7943</v>
      </c>
      <c r="G20" s="137">
        <f>'Consommation mensuel énergie'!N28</f>
        <v>2655</v>
      </c>
      <c r="H20" s="137">
        <f>'Consommation mensuel énergie'!D28</f>
        <v>52</v>
      </c>
      <c r="I20" s="137">
        <f>'Consommation mensuel énergie'!E28</f>
        <v>82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2021</v>
      </c>
      <c r="E21" s="137">
        <f>'Consommation mensuel énergie'!L29</f>
        <v>3561</v>
      </c>
      <c r="F21" s="137">
        <f>'Consommation mensuel énergie'!M29</f>
        <v>7426</v>
      </c>
      <c r="G21" s="137">
        <f>'Consommation mensuel énergie'!N29</f>
        <v>2470</v>
      </c>
      <c r="H21" s="137">
        <f>'Consommation mensuel énergie'!D29</f>
        <v>61</v>
      </c>
      <c r="I21" s="137">
        <f>'Consommation mensuel énergie'!E29</f>
        <v>90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2021</v>
      </c>
      <c r="E22" s="137">
        <f>'Consommation mensuel énergie'!L30</f>
        <v>3613</v>
      </c>
      <c r="F22" s="137">
        <f>'Consommation mensuel énergie'!M30</f>
        <v>7663</v>
      </c>
      <c r="G22" s="137">
        <f>'Consommation mensuel énergie'!N30</f>
        <v>2885</v>
      </c>
      <c r="H22" s="137">
        <f>'Consommation mensuel énergie'!D30</f>
        <v>84</v>
      </c>
      <c r="I22" s="137">
        <f>'Consommation mensuel énergie'!E30</f>
        <v>124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2021</v>
      </c>
      <c r="E23" s="137">
        <f>'Consommation mensuel énergie'!L31</f>
        <v>3813</v>
      </c>
      <c r="F23" s="137">
        <f>'Consommation mensuel énergie'!M31</f>
        <v>8094</v>
      </c>
      <c r="G23" s="137">
        <f>'Consommation mensuel énergie'!N31</f>
        <v>3090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65"/>
      <c r="E32" s="134"/>
      <c r="F32" s="134"/>
      <c r="G32" s="134"/>
      <c r="H32" s="133"/>
      <c r="I32" s="133"/>
    </row>
    <row r="33" spans="1:9">
      <c r="A33" s="165"/>
      <c r="E33" s="134"/>
      <c r="F33" s="134"/>
      <c r="G33" s="134"/>
      <c r="H33" s="133"/>
      <c r="I33" s="133"/>
    </row>
    <row r="34" spans="1:9">
      <c r="A34" s="165"/>
      <c r="E34" s="134"/>
      <c r="F34" s="134"/>
      <c r="G34" s="134"/>
      <c r="H34" s="133"/>
      <c r="I34" s="133"/>
    </row>
    <row r="35" spans="1:9">
      <c r="A35" s="165"/>
      <c r="E35" s="134"/>
      <c r="F35" s="134"/>
      <c r="G35" s="134"/>
      <c r="H35" s="133"/>
      <c r="I35" s="133"/>
    </row>
    <row r="36" spans="1:9">
      <c r="A36" s="165"/>
      <c r="E36" s="134"/>
      <c r="F36" s="134"/>
      <c r="G36" s="134"/>
      <c r="H36" s="133"/>
      <c r="I36" s="133"/>
    </row>
    <row r="37" spans="1:9">
      <c r="A37" s="165"/>
      <c r="E37" s="134"/>
      <c r="F37" s="134"/>
      <c r="G37" s="134"/>
      <c r="H37" s="133"/>
      <c r="I37" s="133"/>
    </row>
    <row r="38" spans="1:9">
      <c r="A38" s="165"/>
      <c r="E38" s="134"/>
      <c r="F38" s="134"/>
      <c r="G38" s="134"/>
      <c r="H38" s="133"/>
      <c r="I38" s="133"/>
    </row>
    <row r="39" spans="1:9">
      <c r="A39" s="165"/>
      <c r="E39" s="165"/>
      <c r="F39" s="165"/>
      <c r="G39" s="16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7" activePane="bottomRight" state="frozen"/>
      <selection pane="bottomRight" activeCell="E31" sqref="E3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 spans="1:24" ht="39" hidden="1" customHeight="1" thickBot="1">
      <c r="A4" s="238"/>
      <c r="B4" s="238"/>
      <c r="C4" s="238"/>
      <c r="D4" s="156"/>
      <c r="E4" s="156"/>
      <c r="F4" s="156"/>
      <c r="G4" s="156"/>
      <c r="H4" s="156"/>
      <c r="I4" s="156"/>
      <c r="J4" s="156"/>
      <c r="K4" s="156"/>
      <c r="L4" s="15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156"/>
      <c r="E5" s="156"/>
      <c r="F5" s="156"/>
      <c r="G5" s="156"/>
      <c r="H5" s="156"/>
      <c r="I5" s="156"/>
      <c r="J5" s="156"/>
      <c r="K5" s="156"/>
      <c r="L5" s="156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D6" s="156"/>
      <c r="E6" s="156"/>
      <c r="F6" s="156"/>
      <c r="G6" s="156"/>
      <c r="H6" s="156"/>
      <c r="I6" s="156"/>
      <c r="J6" s="156"/>
      <c r="K6" s="156"/>
      <c r="L6" s="156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A7" s="156"/>
      <c r="B7" s="156"/>
      <c r="C7" s="156"/>
      <c r="D7" s="156"/>
      <c r="E7" s="156"/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44440</v>
      </c>
      <c r="C10" s="7"/>
      <c r="D10" s="143">
        <v>67</v>
      </c>
      <c r="E10" s="143">
        <v>102</v>
      </c>
      <c r="F10" s="13">
        <f>'Suivi EAU-ELEC'!E9</f>
        <v>111.60000000000582</v>
      </c>
      <c r="G10" s="11"/>
      <c r="H10" s="169">
        <f>F10*8.79</f>
        <v>980.9640000000511</v>
      </c>
      <c r="I10" s="170"/>
      <c r="J10" s="170"/>
      <c r="K10" s="60">
        <v>42278</v>
      </c>
      <c r="L10" s="90">
        <f>'Suivi EAU-ELEC'!G9</f>
        <v>3585</v>
      </c>
      <c r="M10" s="91">
        <f>'Suivi EAU-ELEC'!I9</f>
        <v>7212</v>
      </c>
      <c r="N10" s="91">
        <f>'Suivi EAU-ELEC'!K9</f>
        <v>2556</v>
      </c>
      <c r="O10" s="91">
        <f>L10+M10+N10</f>
        <v>13353</v>
      </c>
      <c r="P10" s="11"/>
      <c r="Q10" s="34">
        <f>L10*0.6985+M10*0.9514+N10*1.3304</f>
        <v>12766.1217</v>
      </c>
      <c r="R10" s="11"/>
      <c r="S10" s="28"/>
      <c r="T10" s="11"/>
      <c r="U10" s="28"/>
      <c r="V10" s="146">
        <f>'Suvi Gaz'!O4</f>
        <v>185.15</v>
      </c>
      <c r="W10" s="11"/>
      <c r="X10" s="34">
        <f>V10*9.61</f>
        <v>1779.2915</v>
      </c>
    </row>
    <row r="11" spans="1:24" ht="32.25" customHeight="1">
      <c r="A11" s="2"/>
      <c r="B11" s="6">
        <v>44441</v>
      </c>
      <c r="C11" s="7"/>
      <c r="D11" s="143">
        <v>67</v>
      </c>
      <c r="E11" s="143">
        <v>114</v>
      </c>
      <c r="F11" s="13">
        <f>'Suivi EAU-ELEC'!E10</f>
        <v>81.399999999994179</v>
      </c>
      <c r="G11" s="11"/>
      <c r="H11" s="169">
        <f t="shared" ref="H11:H21" si="0">F11*8.79</f>
        <v>715.50599999994881</v>
      </c>
      <c r="I11" s="170"/>
      <c r="J11" s="170"/>
      <c r="K11" s="60">
        <v>42279</v>
      </c>
      <c r="L11" s="90">
        <f>'Suivi EAU-ELEC'!G10</f>
        <v>3698</v>
      </c>
      <c r="M11" s="91">
        <f>'Suivi EAU-ELEC'!I10</f>
        <v>7889</v>
      </c>
      <c r="N11" s="91">
        <f>'Suivi EAU-ELEC'!K10</f>
        <v>2746</v>
      </c>
      <c r="O11" s="91">
        <f>L11+M11+N11</f>
        <v>14333</v>
      </c>
      <c r="P11" s="11"/>
      <c r="Q11" s="34">
        <f>L11*0.6985+M11*0.9514+N14*1.3304</f>
        <v>13937.4948</v>
      </c>
      <c r="R11" s="11"/>
      <c r="S11" s="28"/>
      <c r="T11" s="11"/>
      <c r="U11" s="28"/>
      <c r="V11" s="146">
        <f>'Suvi Gaz'!O5</f>
        <v>148.12</v>
      </c>
      <c r="W11" s="11"/>
      <c r="X11" s="34">
        <f t="shared" ref="X11:X39" si="1">V11*9.61</f>
        <v>1423.4331999999999</v>
      </c>
    </row>
    <row r="12" spans="1:24" ht="32.25" customHeight="1">
      <c r="A12" s="2"/>
      <c r="B12" s="6">
        <v>44442</v>
      </c>
      <c r="C12" s="7"/>
      <c r="D12" s="143">
        <v>64</v>
      </c>
      <c r="E12" s="143">
        <v>108</v>
      </c>
      <c r="F12" s="13">
        <f>'Suivi EAU-ELEC'!E11</f>
        <v>76.600000000005821</v>
      </c>
      <c r="G12" s="11"/>
      <c r="H12" s="169">
        <f t="shared" si="0"/>
        <v>673.31400000005112</v>
      </c>
      <c r="I12" s="170"/>
      <c r="J12" s="170"/>
      <c r="K12" s="60">
        <v>42280</v>
      </c>
      <c r="L12" s="90">
        <f>'Suivi EAU-ELEC'!G11</f>
        <v>3907</v>
      </c>
      <c r="M12" s="91">
        <f>'Suivi EAU-ELEC'!I11</f>
        <v>7302</v>
      </c>
      <c r="N12" s="91">
        <f>'Suivi EAU-ELEC'!K11</f>
        <v>2819</v>
      </c>
      <c r="O12" s="91">
        <f>L12+M12+N12</f>
        <v>14028</v>
      </c>
      <c r="P12" s="11"/>
      <c r="Q12" s="34">
        <f>L12*0.6985+M12*0.9514+N12*1.3304</f>
        <v>13426.5599</v>
      </c>
      <c r="R12" s="11"/>
      <c r="S12" s="28"/>
      <c r="T12" s="11"/>
      <c r="U12" s="28"/>
      <c r="V12" s="146">
        <f>'Suvi Gaz'!O6</f>
        <v>259.21000000000004</v>
      </c>
      <c r="W12" s="11"/>
      <c r="X12" s="34">
        <f t="shared" si="1"/>
        <v>2491.0081</v>
      </c>
    </row>
    <row r="13" spans="1:24" ht="32.25" customHeight="1">
      <c r="A13" s="2"/>
      <c r="B13" s="6">
        <v>44443</v>
      </c>
      <c r="C13" s="7"/>
      <c r="D13" s="143">
        <v>68</v>
      </c>
      <c r="E13" s="143">
        <v>113</v>
      </c>
      <c r="F13" s="13">
        <f>'Suivi EAU-ELEC'!E12</f>
        <v>107</v>
      </c>
      <c r="G13" s="11"/>
      <c r="H13" s="169">
        <f t="shared" si="0"/>
        <v>940.52999999999986</v>
      </c>
      <c r="I13" s="170"/>
      <c r="J13" s="170"/>
      <c r="K13" s="60">
        <v>42281</v>
      </c>
      <c r="L13" s="90">
        <f>'Suivi EAU-ELEC'!G12</f>
        <v>3704</v>
      </c>
      <c r="M13" s="91">
        <f>'Suivi EAU-ELEC'!I12</f>
        <v>7562</v>
      </c>
      <c r="N13" s="91">
        <f>'Suivi EAU-ELEC'!K12</f>
        <v>2849</v>
      </c>
      <c r="O13" s="91">
        <f t="shared" ref="O13:O39" si="2">L13+M13+N13</f>
        <v>14115</v>
      </c>
      <c r="P13" s="11"/>
      <c r="Q13" s="34">
        <f t="shared" ref="Q13:Q39" si="3">L13*0.6985+M13*0.9514+N13*1.3304</f>
        <v>13572.040400000002</v>
      </c>
      <c r="R13" s="11"/>
      <c r="S13" s="28"/>
      <c r="T13" s="11"/>
      <c r="U13" s="28"/>
      <c r="V13" s="146">
        <f>'Suvi Gaz'!O7</f>
        <v>630.70000000000005</v>
      </c>
      <c r="W13" s="11"/>
      <c r="X13" s="34">
        <f t="shared" si="1"/>
        <v>6061.027</v>
      </c>
    </row>
    <row r="14" spans="1:24" ht="32.25" customHeight="1">
      <c r="A14" s="2"/>
      <c r="B14" s="6">
        <v>44444</v>
      </c>
      <c r="C14" s="7"/>
      <c r="D14" s="143">
        <v>69</v>
      </c>
      <c r="E14" s="143">
        <v>125</v>
      </c>
      <c r="F14" s="13">
        <f>'Suivi EAU-ELEC'!E13</f>
        <v>93</v>
      </c>
      <c r="G14" s="12"/>
      <c r="H14" s="169">
        <f t="shared" si="0"/>
        <v>817.46999999999991</v>
      </c>
      <c r="I14" s="170"/>
      <c r="J14" s="170"/>
      <c r="K14" s="60">
        <v>42282</v>
      </c>
      <c r="L14" s="90">
        <f>'Suivi EAU-ELEC'!G13</f>
        <v>4107</v>
      </c>
      <c r="M14" s="91">
        <f>'Suivi EAU-ELEC'!I13</f>
        <v>7515</v>
      </c>
      <c r="N14" s="91">
        <f>'Suivi EAU-ELEC'!K13</f>
        <v>2893</v>
      </c>
      <c r="O14" s="91">
        <f t="shared" si="2"/>
        <v>14515</v>
      </c>
      <c r="P14" s="12"/>
      <c r="Q14" s="34">
        <f t="shared" si="3"/>
        <v>13867.3577</v>
      </c>
      <c r="R14" s="12"/>
      <c r="S14" s="28"/>
      <c r="T14" s="12"/>
      <c r="U14" s="28"/>
      <c r="V14" s="146">
        <f>'Suvi Gaz'!O8</f>
        <v>0</v>
      </c>
      <c r="W14" s="11"/>
      <c r="X14" s="34">
        <f t="shared" si="1"/>
        <v>0</v>
      </c>
    </row>
    <row r="15" spans="1:24" ht="32.25" customHeight="1">
      <c r="A15" s="156"/>
      <c r="B15" s="6">
        <v>44445</v>
      </c>
      <c r="C15" s="7"/>
      <c r="D15" s="143">
        <v>66</v>
      </c>
      <c r="E15" s="143">
        <v>103</v>
      </c>
      <c r="F15" s="13">
        <f>'Suivi EAU-ELEC'!E14</f>
        <v>90</v>
      </c>
      <c r="G15" s="11"/>
      <c r="H15" s="169">
        <f t="shared" si="0"/>
        <v>791.09999999999991</v>
      </c>
      <c r="I15" s="170"/>
      <c r="J15" s="170"/>
      <c r="K15" s="60">
        <v>42283</v>
      </c>
      <c r="L15" s="90">
        <f>'Suivi EAU-ELEC'!G14</f>
        <v>3524</v>
      </c>
      <c r="M15" s="91">
        <f>'Suivi EAU-ELEC'!I14</f>
        <v>7709</v>
      </c>
      <c r="N15" s="91">
        <f>'Suivi EAU-ELEC'!K14</f>
        <v>2824</v>
      </c>
      <c r="O15" s="91">
        <f t="shared" si="2"/>
        <v>14057</v>
      </c>
      <c r="P15" s="12"/>
      <c r="Q15" s="34">
        <f>L15*0.6985+M15*0.9514+N15*1.3304</f>
        <v>13552.906199999999</v>
      </c>
      <c r="R15" s="12"/>
      <c r="S15" s="28"/>
      <c r="T15" s="12"/>
      <c r="U15" s="28"/>
      <c r="V15" s="146">
        <f>'Suvi Gaz'!O9</f>
        <v>0</v>
      </c>
      <c r="W15" s="11"/>
      <c r="X15" s="34">
        <f t="shared" si="1"/>
        <v>0</v>
      </c>
    </row>
    <row r="16" spans="1:24" ht="32.25" customHeight="1">
      <c r="A16" s="156"/>
      <c r="B16" s="6">
        <v>44446</v>
      </c>
      <c r="C16" s="7"/>
      <c r="D16" s="143">
        <v>94</v>
      </c>
      <c r="E16" s="143">
        <v>135</v>
      </c>
      <c r="F16" s="13">
        <f>'Suivi EAU-ELEC'!E15</f>
        <v>120.60000000000582</v>
      </c>
      <c r="G16" s="11"/>
      <c r="H16" s="169">
        <f t="shared" si="0"/>
        <v>1060.074000000051</v>
      </c>
      <c r="I16" s="170"/>
      <c r="J16" s="170"/>
      <c r="K16" s="60">
        <v>42284</v>
      </c>
      <c r="L16" s="90">
        <f>'Suivi EAU-ELEC'!G15</f>
        <v>3490</v>
      </c>
      <c r="M16" s="91">
        <f>'Suivi EAU-ELEC'!I15</f>
        <v>9492</v>
      </c>
      <c r="N16" s="91">
        <f>'Suivi EAU-ELEC'!K15</f>
        <v>3250</v>
      </c>
      <c r="O16" s="91">
        <f t="shared" si="2"/>
        <v>16232</v>
      </c>
      <c r="P16" s="11"/>
      <c r="Q16" s="34">
        <f t="shared" si="3"/>
        <v>15792.253799999999</v>
      </c>
      <c r="R16" s="11"/>
      <c r="S16" s="28"/>
      <c r="T16" s="11"/>
      <c r="U16" s="28"/>
      <c r="V16" s="146">
        <f>'Suvi Gaz'!O10</f>
        <v>31.999210000000001</v>
      </c>
      <c r="W16" s="11"/>
      <c r="X16" s="34">
        <f t="shared" si="1"/>
        <v>307.51240810000002</v>
      </c>
    </row>
    <row r="17" spans="1:24" s="5" customFormat="1" ht="32.25" customHeight="1">
      <c r="A17" s="2"/>
      <c r="B17" s="6">
        <v>44447</v>
      </c>
      <c r="C17" s="7"/>
      <c r="D17" s="143">
        <v>88</v>
      </c>
      <c r="E17" s="143">
        <v>124</v>
      </c>
      <c r="F17" s="13">
        <f>'Suivi EAU-ELEC'!E16</f>
        <v>122.39999999999418</v>
      </c>
      <c r="G17" s="11"/>
      <c r="H17" s="169">
        <f t="shared" si="0"/>
        <v>1075.8959999999488</v>
      </c>
      <c r="I17" s="170"/>
      <c r="J17" s="170"/>
      <c r="K17" s="60">
        <v>42285</v>
      </c>
      <c r="L17" s="90">
        <f>'Suivi EAU-ELEC'!G16</f>
        <v>3942</v>
      </c>
      <c r="M17" s="91">
        <f>'Suivi EAU-ELEC'!I16</f>
        <v>8618</v>
      </c>
      <c r="N17" s="91">
        <f>'Suivi EAU-ELEC'!K16</f>
        <v>2850</v>
      </c>
      <c r="O17" s="91">
        <f t="shared" si="2"/>
        <v>15410</v>
      </c>
      <c r="P17" s="12"/>
      <c r="Q17" s="34">
        <f t="shared" si="3"/>
        <v>14744.2922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1230.0496324000001</v>
      </c>
    </row>
    <row r="18" spans="1:24" ht="32.25" customHeight="1">
      <c r="A18" s="2"/>
      <c r="B18" s="6">
        <v>44448</v>
      </c>
      <c r="C18" s="7"/>
      <c r="D18" s="143">
        <v>90</v>
      </c>
      <c r="E18" s="143">
        <v>130</v>
      </c>
      <c r="F18" s="13">
        <f>'Suivi EAU-ELEC'!E17</f>
        <v>87</v>
      </c>
      <c r="G18" s="11"/>
      <c r="H18" s="169">
        <f t="shared" si="0"/>
        <v>764.7299999999999</v>
      </c>
      <c r="I18" s="170"/>
      <c r="J18" s="170"/>
      <c r="K18" s="60">
        <v>42286</v>
      </c>
      <c r="L18" s="90">
        <f>'Suivi EAU-ELEC'!G17</f>
        <v>3943</v>
      </c>
      <c r="M18" s="91">
        <f>'Suivi EAU-ELEC'!I17</f>
        <v>9334</v>
      </c>
      <c r="N18" s="91">
        <f>'Suivi EAU-ELEC'!K17</f>
        <v>2762</v>
      </c>
      <c r="O18" s="91">
        <f t="shared" si="2"/>
        <v>16039</v>
      </c>
      <c r="P18" s="12"/>
      <c r="Q18" s="34">
        <f t="shared" si="3"/>
        <v>15309.117899999999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2767.6116728999996</v>
      </c>
    </row>
    <row r="19" spans="1:24" ht="32.25" customHeight="1">
      <c r="A19" s="2"/>
      <c r="B19" s="6">
        <v>44449</v>
      </c>
      <c r="C19" s="7"/>
      <c r="D19" s="143">
        <v>100</v>
      </c>
      <c r="E19" s="143">
        <v>152</v>
      </c>
      <c r="F19" s="13">
        <f>'Suivi EAU-ELEC'!E18</f>
        <v>109.89999999999418</v>
      </c>
      <c r="G19" s="12"/>
      <c r="H19" s="169">
        <f t="shared" si="0"/>
        <v>966.02099999994869</v>
      </c>
      <c r="I19" s="170"/>
      <c r="J19" s="170"/>
      <c r="K19" s="60">
        <v>42287</v>
      </c>
      <c r="L19" s="90">
        <f>'Suivi EAU-ELEC'!G18</f>
        <v>4100</v>
      </c>
      <c r="M19" s="91">
        <f>'Suivi EAU-ELEC'!I18</f>
        <v>9636</v>
      </c>
      <c r="N19" s="91">
        <f>'Suivi EAU-ELEC'!K18</f>
        <v>3258</v>
      </c>
      <c r="O19" s="91">
        <f t="shared" si="2"/>
        <v>16994</v>
      </c>
      <c r="P19" s="12"/>
      <c r="Q19" s="34">
        <f t="shared" si="3"/>
        <v>16365.9836</v>
      </c>
      <c r="R19" s="12"/>
      <c r="S19" s="28"/>
      <c r="T19" s="12"/>
      <c r="U19" s="28"/>
      <c r="V19" s="146">
        <f>'Suvi Gaz'!O13</f>
        <v>223.99447000000001</v>
      </c>
      <c r="W19" s="11"/>
      <c r="X19" s="34">
        <f t="shared" si="1"/>
        <v>2152.5868566999998</v>
      </c>
    </row>
    <row r="20" spans="1:24" ht="32.25" customHeight="1">
      <c r="A20" s="2"/>
      <c r="B20" s="6">
        <v>44450</v>
      </c>
      <c r="C20" s="7"/>
      <c r="D20" s="143">
        <v>81</v>
      </c>
      <c r="E20" s="143">
        <v>129</v>
      </c>
      <c r="F20" s="13">
        <f>'Suivi EAU-ELEC'!E19</f>
        <v>149.30000000000291</v>
      </c>
      <c r="G20" s="12"/>
      <c r="H20" s="169">
        <f t="shared" si="0"/>
        <v>1312.3470000000254</v>
      </c>
      <c r="I20" s="170"/>
      <c r="J20" s="170"/>
      <c r="K20" s="60">
        <v>42288</v>
      </c>
      <c r="L20" s="90">
        <f>'Suivi EAU-ELEC'!G19</f>
        <v>4062</v>
      </c>
      <c r="M20" s="91">
        <f>'Suivi EAU-ELEC'!I19</f>
        <v>8534</v>
      </c>
      <c r="N20" s="91">
        <f>'Suivi EAU-ELEC'!K19</f>
        <v>3241</v>
      </c>
      <c r="O20" s="91">
        <f t="shared" si="2"/>
        <v>15837</v>
      </c>
      <c r="P20" s="12"/>
      <c r="Q20" s="34">
        <f t="shared" si="3"/>
        <v>15268.381000000001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1537.5620405</v>
      </c>
    </row>
    <row r="21" spans="1:24" ht="32.25" customHeight="1">
      <c r="A21" s="2"/>
      <c r="B21" s="6">
        <v>44451</v>
      </c>
      <c r="C21" s="7"/>
      <c r="D21" s="143">
        <v>80</v>
      </c>
      <c r="E21" s="143">
        <v>127</v>
      </c>
      <c r="F21" s="13">
        <f>'Suivi EAU-ELEC'!E20</f>
        <v>122.40000000000873</v>
      </c>
      <c r="G21" s="12"/>
      <c r="H21" s="169">
        <f t="shared" si="0"/>
        <v>1075.8960000000766</v>
      </c>
      <c r="I21" s="170"/>
      <c r="J21" s="170"/>
      <c r="K21" s="60">
        <v>42289</v>
      </c>
      <c r="L21" s="90">
        <f>'Suivi EAU-ELEC'!G20</f>
        <v>4129</v>
      </c>
      <c r="M21" s="91">
        <f>'Suivi EAU-ELEC'!I20</f>
        <v>8909</v>
      </c>
      <c r="N21" s="91">
        <f>'Suivi EAU-ELEC'!K20</f>
        <v>2959</v>
      </c>
      <c r="O21" s="91">
        <f>L21+M21+N21</f>
        <v>15997</v>
      </c>
      <c r="P21" s="12"/>
      <c r="Q21" s="34">
        <f t="shared" si="3"/>
        <v>15296.7827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3690.1488971999997</v>
      </c>
    </row>
    <row r="22" spans="1:24" ht="32.25" customHeight="1">
      <c r="A22" s="2"/>
      <c r="B22" s="6">
        <v>44452</v>
      </c>
      <c r="C22" s="7"/>
      <c r="D22" s="143">
        <v>72</v>
      </c>
      <c r="E22" s="143">
        <v>112</v>
      </c>
      <c r="F22" s="13">
        <f>'Suivi EAU-ELEC'!E21</f>
        <v>85.799999999988358</v>
      </c>
      <c r="G22" s="12"/>
      <c r="H22" s="169">
        <f t="shared" ref="H22:H35" si="4">F22*8.79</f>
        <v>754.18199999989758</v>
      </c>
      <c r="I22" s="170"/>
      <c r="J22" s="170"/>
      <c r="K22" s="60">
        <v>42290</v>
      </c>
      <c r="L22" s="90">
        <f>'Suivi EAU-ELEC'!G21</f>
        <v>4080</v>
      </c>
      <c r="M22" s="91">
        <f>'Suivi EAU-ELEC'!I21</f>
        <v>8633</v>
      </c>
      <c r="N22" s="91">
        <f>'Suivi EAU-ELEC'!K21</f>
        <v>3051</v>
      </c>
      <c r="O22" s="91">
        <f t="shared" si="2"/>
        <v>15764</v>
      </c>
      <c r="P22" s="12"/>
      <c r="Q22" s="34">
        <f t="shared" si="3"/>
        <v>15122.366600000001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1"/>
        <v>2152.5868566999998</v>
      </c>
    </row>
    <row r="23" spans="1:24" ht="32.25" customHeight="1">
      <c r="A23" s="2"/>
      <c r="B23" s="6">
        <v>44453</v>
      </c>
      <c r="C23" s="7"/>
      <c r="D23" s="143">
        <v>81</v>
      </c>
      <c r="E23" s="143">
        <v>124</v>
      </c>
      <c r="F23" s="13">
        <f>'Suivi EAU-ELEC'!E22</f>
        <v>156.20000000001164</v>
      </c>
      <c r="G23" s="14"/>
      <c r="H23" s="169">
        <f t="shared" si="4"/>
        <v>1372.9980000001021</v>
      </c>
      <c r="I23" s="170"/>
      <c r="J23" s="170"/>
      <c r="K23" s="60">
        <v>42291</v>
      </c>
      <c r="L23" s="90">
        <f>'Suivi EAU-ELEC'!G22</f>
        <v>3972</v>
      </c>
      <c r="M23" s="91">
        <f>'Suivi EAU-ELEC'!I22</f>
        <v>8403</v>
      </c>
      <c r="N23" s="91">
        <f>'Suivi EAU-ELEC'!K22</f>
        <v>2880</v>
      </c>
      <c r="O23" s="91">
        <f t="shared" si="2"/>
        <v>15255</v>
      </c>
      <c r="P23" s="12"/>
      <c r="Q23" s="34">
        <f t="shared" si="3"/>
        <v>14600.608199999999</v>
      </c>
      <c r="R23" s="12"/>
      <c r="S23" s="28"/>
      <c r="T23" s="14"/>
      <c r="U23" s="28"/>
      <c r="V23" s="146">
        <f>'Suvi Gaz'!O17</f>
        <v>255.99368000000001</v>
      </c>
      <c r="W23" s="11"/>
      <c r="X23" s="34">
        <f t="shared" si="1"/>
        <v>2460.0992648000001</v>
      </c>
    </row>
    <row r="24" spans="1:24" ht="32.25" customHeight="1">
      <c r="A24" s="2"/>
      <c r="B24" s="6">
        <v>44454</v>
      </c>
      <c r="C24" s="7"/>
      <c r="D24" s="143">
        <v>67</v>
      </c>
      <c r="E24" s="143">
        <v>106</v>
      </c>
      <c r="F24" s="13">
        <f>'Suivi EAU-ELEC'!E23</f>
        <v>119.29999999998836</v>
      </c>
      <c r="G24" s="14"/>
      <c r="H24" s="169">
        <f t="shared" si="4"/>
        <v>1048.6469999998976</v>
      </c>
      <c r="I24" s="170"/>
      <c r="J24" s="170"/>
      <c r="K24" s="60">
        <v>42292</v>
      </c>
      <c r="L24" s="90">
        <f>'Suivi EAU-ELEC'!G23</f>
        <v>4049</v>
      </c>
      <c r="M24" s="91">
        <f>'Suivi EAU-ELEC'!I23</f>
        <v>8177</v>
      </c>
      <c r="N24" s="91">
        <f>'Suivi EAU-ELEC'!K23</f>
        <v>3260</v>
      </c>
      <c r="O24" s="91">
        <f t="shared" si="2"/>
        <v>15486</v>
      </c>
      <c r="P24" s="12"/>
      <c r="Q24" s="34">
        <f t="shared" si="3"/>
        <v>14944.9283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1"/>
        <v>1845.0744485999999</v>
      </c>
    </row>
    <row r="25" spans="1:24" ht="32.25" customHeight="1">
      <c r="A25" s="2"/>
      <c r="B25" s="6">
        <v>44455</v>
      </c>
      <c r="C25" s="7"/>
      <c r="D25" s="143">
        <v>60</v>
      </c>
      <c r="E25" s="143">
        <v>114</v>
      </c>
      <c r="F25" s="13">
        <f>'Suivi EAU-ELEC'!E24</f>
        <v>86.30000000000291</v>
      </c>
      <c r="G25" s="14"/>
      <c r="H25" s="169">
        <f t="shared" si="4"/>
        <v>758.57700000002546</v>
      </c>
      <c r="I25" s="170"/>
      <c r="J25" s="170"/>
      <c r="K25" s="60">
        <v>42293</v>
      </c>
      <c r="L25" s="90">
        <f>'Suivi EAU-ELEC'!G24</f>
        <v>3781</v>
      </c>
      <c r="M25" s="91">
        <f>'Suivi EAU-ELEC'!I24</f>
        <v>8039</v>
      </c>
      <c r="N25" s="91">
        <f>'Suivi EAU-ELEC'!K24</f>
        <v>3114</v>
      </c>
      <c r="O25" s="91">
        <f t="shared" si="2"/>
        <v>14934</v>
      </c>
      <c r="P25" s="12"/>
      <c r="Q25" s="34">
        <f t="shared" si="3"/>
        <v>14432.198700000001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2767.6116728999996</v>
      </c>
    </row>
    <row r="26" spans="1:24" ht="32.25" customHeight="1">
      <c r="A26" s="2"/>
      <c r="B26" s="6">
        <v>44456</v>
      </c>
      <c r="C26" s="7"/>
      <c r="D26" s="143">
        <v>70</v>
      </c>
      <c r="E26" s="143">
        <v>115</v>
      </c>
      <c r="F26" s="13">
        <f>'Suivi EAU-ELEC'!E25</f>
        <v>85.100000000005821</v>
      </c>
      <c r="G26" s="14"/>
      <c r="H26" s="169">
        <f t="shared" si="4"/>
        <v>748.02900000005104</v>
      </c>
      <c r="I26" s="170"/>
      <c r="J26" s="170"/>
      <c r="K26" s="60">
        <v>42294</v>
      </c>
      <c r="L26" s="90">
        <f>'Suivi EAU-ELEC'!G25</f>
        <v>3568</v>
      </c>
      <c r="M26" s="91">
        <f>'Suivi EAU-ELEC'!I25</f>
        <v>8335</v>
      </c>
      <c r="N26" s="91">
        <f>'Suivi EAU-ELEC'!K25</f>
        <v>2965</v>
      </c>
      <c r="O26" s="91">
        <f t="shared" si="2"/>
        <v>14868</v>
      </c>
      <c r="P26" s="14"/>
      <c r="Q26" s="34">
        <f t="shared" si="3"/>
        <v>14366.803</v>
      </c>
      <c r="R26" s="14"/>
      <c r="S26" s="28"/>
      <c r="T26" s="14"/>
      <c r="U26" s="28"/>
      <c r="V26" s="146">
        <f>'Suvi Gaz'!O20</f>
        <v>319.99209999999999</v>
      </c>
      <c r="W26" s="11"/>
      <c r="X26" s="34">
        <f t="shared" si="1"/>
        <v>3075.1240809999999</v>
      </c>
    </row>
    <row r="27" spans="1:24" ht="32.25" customHeight="1">
      <c r="A27" s="2"/>
      <c r="B27" s="6">
        <v>44457</v>
      </c>
      <c r="C27" s="7"/>
      <c r="D27" s="143">
        <v>73</v>
      </c>
      <c r="E27" s="143">
        <v>122</v>
      </c>
      <c r="F27" s="13">
        <f>'Suivi EAU-ELEC'!E26</f>
        <v>110.89999999999418</v>
      </c>
      <c r="G27" s="14"/>
      <c r="H27" s="169">
        <f t="shared" si="4"/>
        <v>974.81099999994876</v>
      </c>
      <c r="I27" s="170"/>
      <c r="J27" s="170"/>
      <c r="K27" s="60">
        <v>42295</v>
      </c>
      <c r="L27" s="90">
        <f>'Suivi EAU-ELEC'!G26</f>
        <v>4077</v>
      </c>
      <c r="M27" s="91">
        <f>'Suivi EAU-ELEC'!I26</f>
        <v>8098</v>
      </c>
      <c r="N27" s="91">
        <f>'Suivi EAU-ELEC'!K26</f>
        <v>3203</v>
      </c>
      <c r="O27" s="91">
        <f t="shared" si="2"/>
        <v>15378</v>
      </c>
      <c r="P27" s="14"/>
      <c r="Q27" s="34">
        <f t="shared" si="3"/>
        <v>14813.492900000001</v>
      </c>
      <c r="R27" s="14"/>
      <c r="S27" s="28"/>
      <c r="T27" s="14"/>
      <c r="U27" s="28"/>
      <c r="V27" s="146">
        <f>'Suvi Gaz'!O21</f>
        <v>351.99131</v>
      </c>
      <c r="W27" s="11"/>
      <c r="X27" s="34">
        <f t="shared" si="1"/>
        <v>3382.6364890999998</v>
      </c>
    </row>
    <row r="28" spans="1:24" ht="32.25" customHeight="1">
      <c r="A28" s="2"/>
      <c r="B28" s="6">
        <v>44458</v>
      </c>
      <c r="C28" s="7"/>
      <c r="D28" s="143">
        <v>52</v>
      </c>
      <c r="E28" s="143">
        <v>82</v>
      </c>
      <c r="F28" s="13">
        <f>'Suivi EAU-ELEC'!E27</f>
        <v>90.80000000000291</v>
      </c>
      <c r="G28" s="11"/>
      <c r="H28" s="169">
        <f t="shared" si="4"/>
        <v>798.13200000002553</v>
      </c>
      <c r="I28" s="170"/>
      <c r="J28" s="170"/>
      <c r="K28" s="60">
        <v>42296</v>
      </c>
      <c r="L28" s="90">
        <f>'Suivi EAU-ELEC'!G27</f>
        <v>4107</v>
      </c>
      <c r="M28" s="91">
        <f>'Suivi EAU-ELEC'!I27</f>
        <v>7943</v>
      </c>
      <c r="N28" s="91">
        <f>'Suivi EAU-ELEC'!K27</f>
        <v>2655</v>
      </c>
      <c r="O28" s="91">
        <f t="shared" si="2"/>
        <v>14705</v>
      </c>
      <c r="P28" s="11"/>
      <c r="Q28" s="34">
        <f>L28*0.6985+M28*0.9514+N28*1.3304</f>
        <v>13957.921699999999</v>
      </c>
      <c r="R28" s="11"/>
      <c r="S28" s="28"/>
      <c r="T28" s="11"/>
      <c r="U28" s="28"/>
      <c r="V28" s="146">
        <f>'Suvi Gaz'!O22</f>
        <v>223.99447000000001</v>
      </c>
      <c r="W28" s="11"/>
      <c r="X28" s="34">
        <f t="shared" si="1"/>
        <v>2152.5868566999998</v>
      </c>
    </row>
    <row r="29" spans="1:24" ht="32.25" customHeight="1">
      <c r="A29" s="2"/>
      <c r="B29" s="6">
        <v>44459</v>
      </c>
      <c r="C29" s="7"/>
      <c r="D29" s="143">
        <v>61</v>
      </c>
      <c r="E29" s="143">
        <v>90</v>
      </c>
      <c r="F29" s="13">
        <f>'Suivi EAU-ELEC'!E28</f>
        <v>77</v>
      </c>
      <c r="G29" s="11"/>
      <c r="H29" s="169">
        <f t="shared" si="4"/>
        <v>676.82999999999993</v>
      </c>
      <c r="I29" s="170"/>
      <c r="J29" s="170"/>
      <c r="K29" s="60">
        <v>42297</v>
      </c>
      <c r="L29" s="90">
        <f>'Suivi EAU-ELEC'!G28</f>
        <v>3561</v>
      </c>
      <c r="M29" s="91">
        <f>'Suivi EAU-ELEC'!I28</f>
        <v>7426</v>
      </c>
      <c r="N29" s="91">
        <f>'Suivi EAU-ELEC'!K28</f>
        <v>2470</v>
      </c>
      <c r="O29" s="91">
        <f>L29+M29+N29</f>
        <v>13457</v>
      </c>
      <c r="P29" s="11"/>
      <c r="Q29" s="34">
        <f t="shared" si="3"/>
        <v>12838.5429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1"/>
        <v>2767.6116728999996</v>
      </c>
    </row>
    <row r="30" spans="1:24" ht="32.25" customHeight="1">
      <c r="A30" s="2"/>
      <c r="B30" s="6">
        <v>44460</v>
      </c>
      <c r="C30" s="7"/>
      <c r="D30" s="143">
        <v>84</v>
      </c>
      <c r="E30" s="143">
        <v>124</v>
      </c>
      <c r="F30" s="13">
        <f>'Suivi EAU-ELEC'!E29</f>
        <v>118.89999999999418</v>
      </c>
      <c r="G30" s="11"/>
      <c r="H30" s="169">
        <f t="shared" si="4"/>
        <v>1045.1309999999487</v>
      </c>
      <c r="I30" s="170"/>
      <c r="J30" s="170"/>
      <c r="K30" s="60">
        <v>42298</v>
      </c>
      <c r="L30" s="90">
        <f>'Suivi EAU-ELEC'!G29</f>
        <v>3613</v>
      </c>
      <c r="M30" s="91">
        <f>'Suivi EAU-ELEC'!I29</f>
        <v>7663</v>
      </c>
      <c r="N30" s="91">
        <f>'Suivi EAU-ELEC'!K29</f>
        <v>2885</v>
      </c>
      <c r="O30" s="91">
        <f>L30+M30+N30</f>
        <v>14161</v>
      </c>
      <c r="P30" s="11"/>
      <c r="Q30" s="34">
        <f>L30*0.6985+M30*0.9514+N30*1.3304</f>
        <v>13652.4627</v>
      </c>
      <c r="R30" s="11"/>
      <c r="S30" s="28"/>
      <c r="T30" s="11"/>
      <c r="U30" s="28"/>
      <c r="V30" s="146">
        <f>'Suvi Gaz'!O24</f>
        <v>287.99288999999999</v>
      </c>
      <c r="W30" s="11"/>
      <c r="X30" s="34">
        <f t="shared" si="1"/>
        <v>2767.6116728999996</v>
      </c>
    </row>
    <row r="31" spans="1:24" ht="27.75" customHeight="1">
      <c r="A31" s="2"/>
      <c r="B31" s="6">
        <v>44461</v>
      </c>
      <c r="C31" s="7"/>
      <c r="D31" s="143"/>
      <c r="E31" s="143"/>
      <c r="F31" s="13">
        <f>'Suivi EAU-ELEC'!E30</f>
        <v>112.20000000001164</v>
      </c>
      <c r="G31" s="11"/>
      <c r="H31" s="169">
        <f t="shared" si="4"/>
        <v>986.23800000010226</v>
      </c>
      <c r="I31" s="170"/>
      <c r="J31" s="170"/>
      <c r="K31" s="60">
        <v>42299</v>
      </c>
      <c r="L31" s="90">
        <f>'Suivi EAU-ELEC'!G30</f>
        <v>3813</v>
      </c>
      <c r="M31" s="91">
        <f>'Suivi EAU-ELEC'!I30</f>
        <v>8094</v>
      </c>
      <c r="N31" s="91">
        <f>'Suivi EAU-ELEC'!K30</f>
        <v>3090</v>
      </c>
      <c r="O31" s="91">
        <f>L31+M31+N31</f>
        <v>14997</v>
      </c>
      <c r="P31" s="11"/>
      <c r="Q31" s="34">
        <f>L31*0.6985+M31*0.9514+N31*1.3304</f>
        <v>14474.9481</v>
      </c>
      <c r="R31" s="11"/>
      <c r="S31" s="28"/>
      <c r="T31" s="11"/>
      <c r="U31" s="28"/>
      <c r="V31" s="146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44462</v>
      </c>
      <c r="C32" s="7"/>
      <c r="D32" s="143"/>
      <c r="E32" s="143"/>
      <c r="F32" s="13">
        <f>'Suivi EAU-ELEC'!E31</f>
        <v>0</v>
      </c>
      <c r="G32" s="11"/>
      <c r="H32" s="169">
        <f t="shared" si="4"/>
        <v>0</v>
      </c>
      <c r="I32" s="170"/>
      <c r="J32" s="170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44463</v>
      </c>
      <c r="C33" s="7"/>
      <c r="D33" s="143"/>
      <c r="E33" s="143"/>
      <c r="F33" s="13">
        <f>'Suivi EAU-ELEC'!E32</f>
        <v>0</v>
      </c>
      <c r="G33" s="11"/>
      <c r="H33" s="169">
        <f t="shared" si="4"/>
        <v>0</v>
      </c>
      <c r="I33" s="170"/>
      <c r="J33" s="170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44464</v>
      </c>
      <c r="C34" s="7"/>
      <c r="D34" s="143"/>
      <c r="E34" s="143"/>
      <c r="F34" s="13">
        <f>'Suivi EAU-ELEC'!E33</f>
        <v>0</v>
      </c>
      <c r="G34" s="11"/>
      <c r="H34" s="169">
        <f t="shared" si="4"/>
        <v>0</v>
      </c>
      <c r="I34" s="170"/>
      <c r="J34" s="170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44465</v>
      </c>
      <c r="C35" s="7"/>
      <c r="D35" s="143"/>
      <c r="E35" s="143"/>
      <c r="F35" s="13">
        <f>'Suivi EAU-ELEC'!E34</f>
        <v>0</v>
      </c>
      <c r="G35" s="11"/>
      <c r="H35" s="169">
        <f t="shared" si="4"/>
        <v>0</v>
      </c>
      <c r="I35" s="170"/>
      <c r="J35" s="170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44466</v>
      </c>
      <c r="C36" s="7"/>
      <c r="D36" s="143"/>
      <c r="E36" s="143"/>
      <c r="F36" s="13">
        <f>'Suivi EAU-ELEC'!E35</f>
        <v>0</v>
      </c>
      <c r="G36" s="11"/>
      <c r="H36" s="169">
        <f>F36*8.79</f>
        <v>0</v>
      </c>
      <c r="I36" s="170"/>
      <c r="J36" s="170"/>
      <c r="K36" s="60">
        <v>42304</v>
      </c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44467</v>
      </c>
      <c r="C37" s="7"/>
      <c r="D37" s="143"/>
      <c r="E37" s="143"/>
      <c r="F37" s="13">
        <f>'Suivi EAU-ELEC'!E36</f>
        <v>0</v>
      </c>
      <c r="G37" s="11"/>
      <c r="H37" s="169">
        <f t="shared" ref="H37:H38" si="5">F37*8.79</f>
        <v>0</v>
      </c>
      <c r="I37" s="170"/>
      <c r="J37" s="170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44468</v>
      </c>
      <c r="C38" s="7"/>
      <c r="D38" s="143"/>
      <c r="E38" s="143"/>
      <c r="F38" s="13">
        <f>'Suivi EAU-ELEC'!E37</f>
        <v>0</v>
      </c>
      <c r="G38" s="11"/>
      <c r="H38" s="169">
        <f t="shared" si="5"/>
        <v>0</v>
      </c>
      <c r="I38" s="170"/>
      <c r="J38" s="170"/>
      <c r="K38" s="60"/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44469</v>
      </c>
      <c r="C39" s="7"/>
      <c r="D39" s="143"/>
      <c r="E39" s="143"/>
      <c r="F39" s="13">
        <f>'Suivi EAU-ELEC'!E38</f>
        <v>0</v>
      </c>
      <c r="G39" s="11"/>
      <c r="H39" s="169">
        <f t="shared" ref="H39" si="6">F39*8.79</f>
        <v>0</v>
      </c>
      <c r="I39" s="170"/>
      <c r="J39" s="170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1554</v>
      </c>
      <c r="E40" s="8">
        <f>SUM(E10:E39)</f>
        <v>2451</v>
      </c>
      <c r="F40" s="152">
        <f>SUM(F10:F39)</f>
        <v>2313.7000000000116</v>
      </c>
      <c r="G40" s="1"/>
      <c r="H40" s="207">
        <f>SUM(H10:H39)</f>
        <v>20337.423000000101</v>
      </c>
      <c r="I40" s="208"/>
      <c r="J40" s="209"/>
      <c r="K40" s="1"/>
      <c r="L40" s="53">
        <f>SUM(L10:L39)</f>
        <v>84812</v>
      </c>
      <c r="M40" s="53">
        <f>SUM(M10:M39)</f>
        <v>180523</v>
      </c>
      <c r="N40" s="54">
        <f>SUM(N10:N39)</f>
        <v>64580</v>
      </c>
      <c r="O40" s="55">
        <f>SUM(O10:O39)</f>
        <v>329915</v>
      </c>
      <c r="P40" s="31"/>
      <c r="Q40" s="32">
        <f>SUM(Q10:Q39)</f>
        <v>317103.56499999994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4871.0899399999998</v>
      </c>
      <c r="W40" s="31"/>
      <c r="X40" s="32">
        <f>SUM(X10:X39)</f>
        <v>46811.174323399995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6"/>
      <c r="M41" s="156"/>
      <c r="N41" s="156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7" t="s">
        <v>33</v>
      </c>
      <c r="B42" s="188"/>
      <c r="C42" s="188"/>
      <c r="D42" s="188"/>
      <c r="E42" s="188"/>
      <c r="F42" s="189"/>
      <c r="G42" s="26"/>
      <c r="H42" s="27" t="s">
        <v>34</v>
      </c>
      <c r="I42" s="199" t="s">
        <v>35</v>
      </c>
      <c r="J42" s="200"/>
      <c r="K42" s="201"/>
      <c r="L42" s="230" t="s">
        <v>36</v>
      </c>
      <c r="M42" s="231"/>
      <c r="N42" s="187" t="s">
        <v>37</v>
      </c>
      <c r="O42" s="188"/>
      <c r="P42" s="188"/>
      <c r="Q42" s="188"/>
      <c r="R42" s="188"/>
      <c r="S42" s="188"/>
      <c r="T42" s="188"/>
      <c r="U42" s="188"/>
      <c r="V42" s="188"/>
      <c r="W42" s="188"/>
      <c r="X42" s="189"/>
    </row>
    <row r="43" spans="1:24" s="18" customFormat="1" ht="29.25" customHeight="1" thickBot="1">
      <c r="A43" s="224" t="s">
        <v>38</v>
      </c>
      <c r="B43" s="225"/>
      <c r="C43" s="226"/>
      <c r="D43" s="158" t="s">
        <v>30</v>
      </c>
      <c r="E43" s="158" t="s">
        <v>30</v>
      </c>
      <c r="F43" s="158" t="s">
        <v>30</v>
      </c>
      <c r="G43" s="16"/>
      <c r="H43" s="17">
        <v>0.69850000000000001</v>
      </c>
      <c r="I43" s="221">
        <f>L40</f>
        <v>84812</v>
      </c>
      <c r="J43" s="222"/>
      <c r="K43" s="223"/>
      <c r="L43" s="205">
        <f>I43*H43</f>
        <v>59241.182000000001</v>
      </c>
      <c r="M43" s="206"/>
      <c r="N43" s="178">
        <f>L43+L44+L45</f>
        <v>316907.99619999999</v>
      </c>
      <c r="O43" s="179"/>
      <c r="P43" s="179"/>
      <c r="Q43" s="179"/>
      <c r="R43" s="179"/>
      <c r="S43" s="179"/>
      <c r="T43" s="179"/>
      <c r="U43" s="179"/>
      <c r="V43" s="179"/>
      <c r="W43" s="179"/>
      <c r="X43" s="180"/>
    </row>
    <row r="44" spans="1:24" s="18" customFormat="1" ht="29.25" customHeight="1" thickBot="1">
      <c r="A44" s="227"/>
      <c r="B44" s="228"/>
      <c r="C44" s="229"/>
      <c r="D44" s="157" t="s">
        <v>31</v>
      </c>
      <c r="E44" s="157" t="s">
        <v>31</v>
      </c>
      <c r="F44" s="157" t="s">
        <v>31</v>
      </c>
      <c r="G44" s="16"/>
      <c r="H44" s="19">
        <v>0.95140000000000002</v>
      </c>
      <c r="I44" s="221">
        <f>M40</f>
        <v>180523</v>
      </c>
      <c r="J44" s="222"/>
      <c r="K44" s="223"/>
      <c r="L44" s="205">
        <f>I44*H44</f>
        <v>171749.5822</v>
      </c>
      <c r="M44" s="206"/>
      <c r="N44" s="181"/>
      <c r="O44" s="182"/>
      <c r="P44" s="182"/>
      <c r="Q44" s="182"/>
      <c r="R44" s="182"/>
      <c r="S44" s="182"/>
      <c r="T44" s="182"/>
      <c r="U44" s="182"/>
      <c r="V44" s="182"/>
      <c r="W44" s="182"/>
      <c r="X44" s="183"/>
    </row>
    <row r="45" spans="1:24" s="18" customFormat="1" ht="24.75" customHeight="1" thickBot="1">
      <c r="A45" s="227"/>
      <c r="B45" s="228"/>
      <c r="C45" s="229"/>
      <c r="D45" s="164" t="s">
        <v>32</v>
      </c>
      <c r="E45" s="164" t="s">
        <v>32</v>
      </c>
      <c r="F45" s="164" t="s">
        <v>32</v>
      </c>
      <c r="G45" s="20"/>
      <c r="H45" s="20">
        <v>1.3304</v>
      </c>
      <c r="I45" s="196">
        <f>N40</f>
        <v>64580</v>
      </c>
      <c r="J45" s="197"/>
      <c r="K45" s="198"/>
      <c r="L45" s="205">
        <f>I45*H45</f>
        <v>85917.232000000004</v>
      </c>
      <c r="M45" s="206"/>
      <c r="N45" s="184"/>
      <c r="O45" s="185"/>
      <c r="P45" s="185"/>
      <c r="Q45" s="185"/>
      <c r="R45" s="185"/>
      <c r="S45" s="185"/>
      <c r="T45" s="185"/>
      <c r="U45" s="185"/>
      <c r="V45" s="185"/>
      <c r="W45" s="185"/>
      <c r="X45" s="186"/>
    </row>
    <row r="46" spans="1:24" s="18" customFormat="1" ht="43.5" customHeight="1" thickBot="1">
      <c r="A46" s="159"/>
      <c r="B46" s="160"/>
      <c r="C46" s="160"/>
      <c r="D46" s="164"/>
      <c r="E46" s="164"/>
      <c r="F46" s="164"/>
      <c r="G46" s="16"/>
      <c r="H46" s="16"/>
      <c r="I46" s="162"/>
      <c r="J46" s="163"/>
      <c r="K46" s="164"/>
      <c r="L46" s="153"/>
      <c r="M46" s="154"/>
      <c r="N46" s="202">
        <f>N43*1.3</f>
        <v>411980.39506000001</v>
      </c>
      <c r="O46" s="203"/>
      <c r="P46" s="203"/>
      <c r="Q46" s="203"/>
      <c r="R46" s="203"/>
      <c r="S46" s="203"/>
      <c r="T46" s="203"/>
      <c r="U46" s="203"/>
      <c r="V46" s="203"/>
      <c r="W46" s="203"/>
      <c r="X46" s="204"/>
    </row>
    <row r="47" spans="1:24" s="23" customFormat="1" ht="32.25" customHeight="1" thickBot="1">
      <c r="A47" s="216" t="s">
        <v>39</v>
      </c>
      <c r="B47" s="217"/>
      <c r="C47" s="217"/>
      <c r="D47" s="217"/>
      <c r="E47" s="217"/>
      <c r="F47" s="218"/>
      <c r="G47" s="21"/>
      <c r="H47" s="22">
        <v>8.7899999999999991</v>
      </c>
      <c r="I47" s="216">
        <f>F40</f>
        <v>2313.7000000000116</v>
      </c>
      <c r="J47" s="217"/>
      <c r="K47" s="218"/>
      <c r="L47" s="219">
        <f>I47*H47</f>
        <v>20337.423000000101</v>
      </c>
      <c r="M47" s="220"/>
      <c r="N47" s="175">
        <f>L47</f>
        <v>20337.423000000101</v>
      </c>
      <c r="O47" s="176"/>
      <c r="P47" s="176"/>
      <c r="Q47" s="176"/>
      <c r="R47" s="176"/>
      <c r="S47" s="176"/>
      <c r="T47" s="176"/>
      <c r="U47" s="176"/>
      <c r="V47" s="176"/>
      <c r="W47" s="176"/>
      <c r="X47" s="177"/>
    </row>
    <row r="48" spans="1:24" s="23" customFormat="1" ht="36.75" customHeight="1">
      <c r="A48" s="190" t="s">
        <v>40</v>
      </c>
      <c r="B48" s="191"/>
      <c r="C48" s="191"/>
      <c r="D48" s="191"/>
      <c r="E48" s="191"/>
      <c r="F48" s="192"/>
      <c r="G48" s="24"/>
      <c r="H48" s="25">
        <v>9.61</v>
      </c>
      <c r="I48" s="193">
        <f>V40</f>
        <v>4871.0899399999998</v>
      </c>
      <c r="J48" s="194"/>
      <c r="K48" s="195"/>
      <c r="L48" s="193">
        <f>I48*H48</f>
        <v>46811.174323399995</v>
      </c>
      <c r="M48" s="195"/>
      <c r="N48" s="172">
        <f>L48</f>
        <v>46811.174323399995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</row>
    <row r="54" spans="1:24" ht="39" customHeight="1">
      <c r="A54" s="16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</row>
    <row r="55" spans="1:24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8" activePane="bottomRight" state="frozen"/>
      <selection pane="bottomRight" activeCell="K29" sqref="K29:K3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>
      <c r="A6" s="165"/>
      <c r="B6" s="165"/>
      <c r="C6" s="165"/>
    </row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44440</v>
      </c>
      <c r="B9" s="116">
        <v>2560</v>
      </c>
      <c r="C9" s="115">
        <v>0</v>
      </c>
      <c r="D9" s="57">
        <v>121259</v>
      </c>
      <c r="E9" s="50">
        <v>111.60000000000582</v>
      </c>
      <c r="F9" s="51">
        <v>10926148</v>
      </c>
      <c r="G9" s="50">
        <v>3585</v>
      </c>
      <c r="H9" s="51">
        <v>18565342</v>
      </c>
      <c r="I9" s="50">
        <v>7212</v>
      </c>
      <c r="J9" s="51">
        <v>8164784</v>
      </c>
      <c r="K9" s="50">
        <v>2556</v>
      </c>
    </row>
    <row r="10" spans="1:12" ht="19.5">
      <c r="A10" s="59">
        <v>44441</v>
      </c>
      <c r="B10" s="116">
        <v>2560</v>
      </c>
      <c r="C10" s="115">
        <f>B10-B9</f>
        <v>0</v>
      </c>
      <c r="D10" s="57">
        <v>121340.4</v>
      </c>
      <c r="E10" s="50">
        <f>D10-D9</f>
        <v>81.399999999994179</v>
      </c>
      <c r="F10" s="51">
        <v>10929846</v>
      </c>
      <c r="G10" s="50">
        <f>F10-F9</f>
        <v>3698</v>
      </c>
      <c r="H10" s="51">
        <v>18573231</v>
      </c>
      <c r="I10" s="50">
        <f>H10-H9</f>
        <v>7889</v>
      </c>
      <c r="J10" s="51">
        <v>8167530</v>
      </c>
      <c r="K10" s="50">
        <f>J10-J9</f>
        <v>2746</v>
      </c>
    </row>
    <row r="11" spans="1:12" ht="19.5">
      <c r="A11" s="59">
        <v>44442</v>
      </c>
      <c r="B11" s="116">
        <v>2560</v>
      </c>
      <c r="C11" s="115">
        <f>B11-B10</f>
        <v>0</v>
      </c>
      <c r="D11" s="57">
        <v>121417</v>
      </c>
      <c r="E11" s="50">
        <f>D11-D10</f>
        <v>76.600000000005821</v>
      </c>
      <c r="F11" s="51">
        <v>10933753</v>
      </c>
      <c r="G11" s="50">
        <f>F11-F10</f>
        <v>3907</v>
      </c>
      <c r="H11" s="51">
        <v>18580533</v>
      </c>
      <c r="I11" s="50">
        <f>H11-H10</f>
        <v>7302</v>
      </c>
      <c r="J11" s="51">
        <v>8170349</v>
      </c>
      <c r="K11" s="50">
        <f>J11-J10</f>
        <v>2819</v>
      </c>
    </row>
    <row r="12" spans="1:12" ht="19.5">
      <c r="A12" s="59">
        <v>44443</v>
      </c>
      <c r="B12" s="116">
        <v>2560</v>
      </c>
      <c r="C12" s="115">
        <f>B12-B11</f>
        <v>0</v>
      </c>
      <c r="D12" s="57">
        <v>121524</v>
      </c>
      <c r="E12" s="50">
        <f>D12-D11</f>
        <v>107</v>
      </c>
      <c r="F12" s="51">
        <v>10937457</v>
      </c>
      <c r="G12" s="50">
        <f>F12-F11</f>
        <v>3704</v>
      </c>
      <c r="H12" s="51">
        <v>18588095</v>
      </c>
      <c r="I12" s="50">
        <f>H12-H11</f>
        <v>7562</v>
      </c>
      <c r="J12" s="51">
        <v>8173198</v>
      </c>
      <c r="K12" s="50">
        <f>J12-J11</f>
        <v>2849</v>
      </c>
    </row>
    <row r="13" spans="1:12" ht="19.5">
      <c r="A13" s="59">
        <v>44444</v>
      </c>
      <c r="B13" s="116">
        <v>2560</v>
      </c>
      <c r="C13" s="115">
        <f>B13-B12</f>
        <v>0</v>
      </c>
      <c r="D13" s="57">
        <v>121617</v>
      </c>
      <c r="E13" s="50">
        <f>D13-D12</f>
        <v>93</v>
      </c>
      <c r="F13" s="51">
        <v>10941564</v>
      </c>
      <c r="G13" s="50">
        <f>F13-F12</f>
        <v>4107</v>
      </c>
      <c r="H13" s="51">
        <v>18595610</v>
      </c>
      <c r="I13" s="50">
        <f>H13-H12</f>
        <v>7515</v>
      </c>
      <c r="J13" s="51">
        <v>8176091</v>
      </c>
      <c r="K13" s="50">
        <f>J13-J12</f>
        <v>2893</v>
      </c>
    </row>
    <row r="14" spans="1:12" ht="19.5">
      <c r="A14" s="59">
        <v>44445</v>
      </c>
      <c r="B14" s="116">
        <v>2560</v>
      </c>
      <c r="C14" s="115">
        <f>B14-B13</f>
        <v>0</v>
      </c>
      <c r="D14" s="57">
        <v>121707</v>
      </c>
      <c r="E14" s="50">
        <f>D14-D13</f>
        <v>90</v>
      </c>
      <c r="F14" s="51">
        <v>10945088</v>
      </c>
      <c r="G14" s="50">
        <f>F14-F13</f>
        <v>3524</v>
      </c>
      <c r="H14" s="51">
        <v>18603319</v>
      </c>
      <c r="I14" s="50">
        <f>H14-H13</f>
        <v>7709</v>
      </c>
      <c r="J14" s="51">
        <v>8178915</v>
      </c>
      <c r="K14" s="50">
        <f>J14-J13</f>
        <v>2824</v>
      </c>
    </row>
    <row r="15" spans="1:12" ht="19.5">
      <c r="A15" s="59">
        <v>44446</v>
      </c>
      <c r="B15" s="116">
        <v>2560</v>
      </c>
      <c r="C15" s="115">
        <f>B15-B14</f>
        <v>0</v>
      </c>
      <c r="D15" s="57">
        <v>121827.6</v>
      </c>
      <c r="E15" s="50">
        <f>D15-D14</f>
        <v>120.60000000000582</v>
      </c>
      <c r="F15" s="51">
        <v>10948578</v>
      </c>
      <c r="G15" s="50">
        <f>F15-F14</f>
        <v>3490</v>
      </c>
      <c r="H15" s="51">
        <v>18612811</v>
      </c>
      <c r="I15" s="50">
        <f>H15-H14</f>
        <v>9492</v>
      </c>
      <c r="J15" s="51">
        <v>8182165</v>
      </c>
      <c r="K15" s="50">
        <f>J15-J14</f>
        <v>3250</v>
      </c>
    </row>
    <row r="16" spans="1:12" ht="19.5">
      <c r="A16" s="59">
        <v>44447</v>
      </c>
      <c r="B16" s="116">
        <v>2560</v>
      </c>
      <c r="C16" s="115">
        <f>B16-B15</f>
        <v>0</v>
      </c>
      <c r="D16" s="57">
        <v>121950</v>
      </c>
      <c r="E16" s="50">
        <f>D16-D15</f>
        <v>122.39999999999418</v>
      </c>
      <c r="F16" s="51">
        <v>10952520</v>
      </c>
      <c r="G16" s="50">
        <f>F16-F15</f>
        <v>3942</v>
      </c>
      <c r="H16" s="51">
        <v>18621429</v>
      </c>
      <c r="I16" s="50">
        <f>H16-H15</f>
        <v>8618</v>
      </c>
      <c r="J16" s="51">
        <v>8185015</v>
      </c>
      <c r="K16" s="50">
        <f>J16-J15</f>
        <v>2850</v>
      </c>
    </row>
    <row r="17" spans="1:29" ht="19.5">
      <c r="A17" s="59">
        <v>44448</v>
      </c>
      <c r="B17" s="116">
        <v>2560</v>
      </c>
      <c r="C17" s="115">
        <f>B17-B16</f>
        <v>0</v>
      </c>
      <c r="D17" s="57">
        <v>122037</v>
      </c>
      <c r="E17" s="50">
        <f>D17-D16</f>
        <v>87</v>
      </c>
      <c r="F17" s="51">
        <v>10956463</v>
      </c>
      <c r="G17" s="50">
        <f>F17-F16</f>
        <v>3943</v>
      </c>
      <c r="H17" s="51">
        <v>18630763</v>
      </c>
      <c r="I17" s="50">
        <f>H17-H16</f>
        <v>9334</v>
      </c>
      <c r="J17" s="51">
        <v>8187777</v>
      </c>
      <c r="K17" s="50">
        <f>J17-J16</f>
        <v>2762</v>
      </c>
    </row>
    <row r="18" spans="1:29" ht="19.5">
      <c r="A18" s="59">
        <v>44449</v>
      </c>
      <c r="B18" s="116">
        <v>2560</v>
      </c>
      <c r="C18" s="115">
        <f>B18-B17</f>
        <v>0</v>
      </c>
      <c r="D18" s="57">
        <v>122146.9</v>
      </c>
      <c r="E18" s="50">
        <f>D18-D17</f>
        <v>109.89999999999418</v>
      </c>
      <c r="F18" s="51">
        <v>10960563</v>
      </c>
      <c r="G18" s="50">
        <f>F18-F17</f>
        <v>4100</v>
      </c>
      <c r="H18" s="51">
        <v>18640399</v>
      </c>
      <c r="I18" s="50">
        <f>H18-H17</f>
        <v>9636</v>
      </c>
      <c r="J18" s="51">
        <v>8191035</v>
      </c>
      <c r="K18" s="50">
        <f>J18-J17</f>
        <v>3258</v>
      </c>
    </row>
    <row r="19" spans="1:29" ht="19.5">
      <c r="A19" s="59">
        <v>44450</v>
      </c>
      <c r="B19" s="116">
        <v>2560</v>
      </c>
      <c r="C19" s="115">
        <f>B19-B18</f>
        <v>0</v>
      </c>
      <c r="D19" s="57">
        <v>122296.2</v>
      </c>
      <c r="E19" s="50">
        <f>D19-D18</f>
        <v>149.30000000000291</v>
      </c>
      <c r="F19" s="51">
        <v>10964625</v>
      </c>
      <c r="G19" s="50">
        <f>F19-F18</f>
        <v>4062</v>
      </c>
      <c r="H19" s="51">
        <v>18648933</v>
      </c>
      <c r="I19" s="50">
        <f>H19-H18</f>
        <v>8534</v>
      </c>
      <c r="J19" s="51">
        <v>8194276</v>
      </c>
      <c r="K19" s="50">
        <f>J19-J18</f>
        <v>3241</v>
      </c>
    </row>
    <row r="20" spans="1:29" ht="25.5">
      <c r="A20" s="59">
        <v>44451</v>
      </c>
      <c r="B20" s="116">
        <v>2560</v>
      </c>
      <c r="C20" s="115">
        <f>B20-B19</f>
        <v>0</v>
      </c>
      <c r="D20" s="57">
        <v>122418.6</v>
      </c>
      <c r="E20" s="50">
        <f>D20-D19</f>
        <v>122.40000000000873</v>
      </c>
      <c r="F20" s="51">
        <v>10968754</v>
      </c>
      <c r="G20" s="50">
        <f>F20-F19</f>
        <v>4129</v>
      </c>
      <c r="H20" s="51">
        <v>18657842</v>
      </c>
      <c r="I20" s="50">
        <f>H20-H19</f>
        <v>8909</v>
      </c>
      <c r="J20" s="51">
        <v>8197235</v>
      </c>
      <c r="K20" s="50">
        <f>J20-J19</f>
        <v>2959</v>
      </c>
      <c r="L20" s="117" t="s">
        <v>18</v>
      </c>
      <c r="AC20" t="s">
        <v>56</v>
      </c>
    </row>
    <row r="21" spans="1:29" ht="19.5">
      <c r="A21" s="59">
        <v>44452</v>
      </c>
      <c r="B21" s="116">
        <v>2560</v>
      </c>
      <c r="C21" s="115">
        <f>B21-B20</f>
        <v>0</v>
      </c>
      <c r="D21" s="57">
        <v>122504.4</v>
      </c>
      <c r="E21" s="50">
        <f>D21-D20</f>
        <v>85.799999999988358</v>
      </c>
      <c r="F21" s="51">
        <v>10972834</v>
      </c>
      <c r="G21" s="50">
        <f>F21-F20</f>
        <v>4080</v>
      </c>
      <c r="H21" s="51">
        <v>18666475</v>
      </c>
      <c r="I21" s="50">
        <f>H21-H20</f>
        <v>8633</v>
      </c>
      <c r="J21" s="51">
        <v>8200286</v>
      </c>
      <c r="K21" s="50">
        <f>J21-J20</f>
        <v>3051</v>
      </c>
    </row>
    <row r="22" spans="1:29" ht="19.5">
      <c r="A22" s="59">
        <v>44453</v>
      </c>
      <c r="B22" s="116">
        <v>2560</v>
      </c>
      <c r="C22" s="115">
        <f>B22-B21</f>
        <v>0</v>
      </c>
      <c r="D22" s="57">
        <v>122660.6</v>
      </c>
      <c r="E22" s="50">
        <f>D22-D21</f>
        <v>156.20000000001164</v>
      </c>
      <c r="F22" s="51">
        <v>10976806</v>
      </c>
      <c r="G22" s="50">
        <f>F22-F21</f>
        <v>3972</v>
      </c>
      <c r="H22" s="51">
        <v>18674878</v>
      </c>
      <c r="I22" s="50">
        <f>H22-H21</f>
        <v>8403</v>
      </c>
      <c r="J22" s="51">
        <v>8203166</v>
      </c>
      <c r="K22" s="50">
        <f>J22-J21</f>
        <v>2880</v>
      </c>
    </row>
    <row r="23" spans="1:29" ht="19.5">
      <c r="A23" s="59">
        <v>44454</v>
      </c>
      <c r="B23" s="116">
        <v>2560</v>
      </c>
      <c r="C23" s="115">
        <f>B23-B22</f>
        <v>0</v>
      </c>
      <c r="D23" s="57">
        <v>122779.9</v>
      </c>
      <c r="E23" s="50">
        <f>D23-D22</f>
        <v>119.29999999998836</v>
      </c>
      <c r="F23" s="51">
        <v>10980855</v>
      </c>
      <c r="G23" s="50">
        <f>F23-F22</f>
        <v>4049</v>
      </c>
      <c r="H23" s="51">
        <v>18683055</v>
      </c>
      <c r="I23" s="50">
        <f>H23-H22</f>
        <v>8177</v>
      </c>
      <c r="J23" s="51">
        <v>8206426</v>
      </c>
      <c r="K23" s="50">
        <f>J23-J22</f>
        <v>3260</v>
      </c>
    </row>
    <row r="24" spans="1:29" ht="19.5">
      <c r="A24" s="59">
        <v>44455</v>
      </c>
      <c r="B24" s="116">
        <v>2560</v>
      </c>
      <c r="C24" s="115">
        <f>B24-B23</f>
        <v>0</v>
      </c>
      <c r="D24" s="57">
        <v>122866.2</v>
      </c>
      <c r="E24" s="50">
        <f>D24-D23</f>
        <v>86.30000000000291</v>
      </c>
      <c r="F24" s="51">
        <v>10984636</v>
      </c>
      <c r="G24" s="50">
        <f>F24-F23</f>
        <v>3781</v>
      </c>
      <c r="H24" s="51">
        <v>18691094</v>
      </c>
      <c r="I24" s="50">
        <f>H24-H23</f>
        <v>8039</v>
      </c>
      <c r="J24" s="51">
        <v>8209540</v>
      </c>
      <c r="K24" s="50">
        <f>J24-J23</f>
        <v>3114</v>
      </c>
    </row>
    <row r="25" spans="1:29" ht="19.5">
      <c r="A25" s="59">
        <v>44456</v>
      </c>
      <c r="B25" s="116">
        <v>2560</v>
      </c>
      <c r="C25" s="115">
        <f>B25-B24</f>
        <v>0</v>
      </c>
      <c r="D25" s="57">
        <v>122951.3</v>
      </c>
      <c r="E25" s="50">
        <f>D25-D24</f>
        <v>85.100000000005821</v>
      </c>
      <c r="F25" s="51">
        <v>10988204</v>
      </c>
      <c r="G25" s="50">
        <f>F25-F24</f>
        <v>3568</v>
      </c>
      <c r="H25" s="51">
        <v>18699429</v>
      </c>
      <c r="I25" s="50">
        <f>H25-H24</f>
        <v>8335</v>
      </c>
      <c r="J25" s="51">
        <v>8212505</v>
      </c>
      <c r="K25" s="50">
        <f>J25-J24</f>
        <v>2965</v>
      </c>
    </row>
    <row r="26" spans="1:29" ht="19.5">
      <c r="A26" s="59">
        <v>44457</v>
      </c>
      <c r="B26" s="116">
        <v>2560</v>
      </c>
      <c r="C26" s="115">
        <f>B26-B25</f>
        <v>0</v>
      </c>
      <c r="D26" s="57">
        <v>123062.2</v>
      </c>
      <c r="E26" s="50">
        <f>D26-D25</f>
        <v>110.89999999999418</v>
      </c>
      <c r="F26" s="51">
        <v>10992281</v>
      </c>
      <c r="G26" s="50">
        <f>F26-F25</f>
        <v>4077</v>
      </c>
      <c r="H26" s="51">
        <v>18707527</v>
      </c>
      <c r="I26" s="50">
        <f>H26-H25</f>
        <v>8098</v>
      </c>
      <c r="J26" s="51">
        <v>8215708</v>
      </c>
      <c r="K26" s="50">
        <f>J26-J25</f>
        <v>3203</v>
      </c>
    </row>
    <row r="27" spans="1:29" ht="19.5">
      <c r="A27" s="59">
        <v>44458</v>
      </c>
      <c r="B27" s="116">
        <v>2560</v>
      </c>
      <c r="C27" s="115">
        <f t="shared" ref="C11:D40" si="0">B27-B26</f>
        <v>0</v>
      </c>
      <c r="D27" s="57">
        <v>123153</v>
      </c>
      <c r="E27" s="50">
        <f t="shared" ref="E11:E40" si="1">D27-D26</f>
        <v>90.80000000000291</v>
      </c>
      <c r="F27" s="51">
        <v>10996388</v>
      </c>
      <c r="G27" s="50">
        <f t="shared" ref="G11:G40" si="2">F27-F26</f>
        <v>4107</v>
      </c>
      <c r="H27" s="51">
        <v>18715470</v>
      </c>
      <c r="I27" s="50">
        <f t="shared" ref="I11:I40" si="3">H27-H26</f>
        <v>7943</v>
      </c>
      <c r="J27" s="51">
        <v>8218363</v>
      </c>
      <c r="K27" s="50">
        <f t="shared" ref="K11:K40" si="4">J27-J26</f>
        <v>2655</v>
      </c>
    </row>
    <row r="28" spans="1:29" ht="19.5">
      <c r="A28" s="59">
        <v>44459</v>
      </c>
      <c r="B28" s="116">
        <v>2560</v>
      </c>
      <c r="C28" s="115">
        <f t="shared" si="0"/>
        <v>0</v>
      </c>
      <c r="D28" s="57">
        <v>123230</v>
      </c>
      <c r="E28" s="50">
        <f t="shared" si="1"/>
        <v>77</v>
      </c>
      <c r="F28" s="51">
        <v>10999949</v>
      </c>
      <c r="G28" s="50">
        <f t="shared" si="2"/>
        <v>3561</v>
      </c>
      <c r="H28" s="51">
        <v>18722896</v>
      </c>
      <c r="I28" s="50">
        <f t="shared" si="3"/>
        <v>7426</v>
      </c>
      <c r="J28" s="51">
        <v>8220833</v>
      </c>
      <c r="K28" s="50">
        <f t="shared" si="4"/>
        <v>2470</v>
      </c>
    </row>
    <row r="29" spans="1:29" ht="19.5">
      <c r="A29" s="59">
        <v>44460</v>
      </c>
      <c r="B29" s="116">
        <v>2560</v>
      </c>
      <c r="C29" s="115">
        <f t="shared" si="0"/>
        <v>0</v>
      </c>
      <c r="D29" s="57">
        <v>123348.9</v>
      </c>
      <c r="E29" s="50">
        <f t="shared" si="1"/>
        <v>118.89999999999418</v>
      </c>
      <c r="F29" s="51">
        <v>11003562</v>
      </c>
      <c r="G29" s="50">
        <f t="shared" si="2"/>
        <v>3613</v>
      </c>
      <c r="H29" s="51">
        <v>18730559</v>
      </c>
      <c r="I29" s="50">
        <f t="shared" si="3"/>
        <v>7663</v>
      </c>
      <c r="J29" s="51">
        <v>8223718</v>
      </c>
      <c r="K29" s="50">
        <f t="shared" si="4"/>
        <v>2885</v>
      </c>
    </row>
    <row r="30" spans="1:29" ht="19.5">
      <c r="A30" s="59">
        <v>44461</v>
      </c>
      <c r="B30" s="116">
        <v>2560</v>
      </c>
      <c r="C30" s="115">
        <f t="shared" si="0"/>
        <v>0</v>
      </c>
      <c r="D30" s="57">
        <v>123461.1</v>
      </c>
      <c r="E30" s="50">
        <f t="shared" si="1"/>
        <v>112.20000000001164</v>
      </c>
      <c r="F30" s="51">
        <v>11007375</v>
      </c>
      <c r="G30" s="50">
        <f t="shared" si="2"/>
        <v>3813</v>
      </c>
      <c r="H30" s="51">
        <v>18738653</v>
      </c>
      <c r="I30" s="50">
        <f t="shared" si="3"/>
        <v>8094</v>
      </c>
      <c r="J30" s="51">
        <v>8226808</v>
      </c>
      <c r="K30" s="50">
        <f t="shared" si="4"/>
        <v>3090</v>
      </c>
    </row>
    <row r="31" spans="1:29" ht="19.5">
      <c r="A31" s="59">
        <v>44462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44463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44464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44465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44466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44467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44468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44469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44470</v>
      </c>
      <c r="B39" s="116"/>
      <c r="C39" s="115">
        <f t="shared" si="0"/>
        <v>0</v>
      </c>
      <c r="D39" s="57"/>
      <c r="E39" s="50">
        <f t="shared" si="1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21.75" customHeight="1">
      <c r="A40" s="59">
        <v>44471</v>
      </c>
      <c r="B40" s="116"/>
      <c r="C40" s="115">
        <f t="shared" si="0"/>
        <v>0</v>
      </c>
      <c r="D40" s="57"/>
      <c r="E40" s="50">
        <f t="shared" si="1"/>
        <v>0</v>
      </c>
      <c r="F40" s="51"/>
      <c r="G40" s="50">
        <f t="shared" si="2"/>
        <v>0</v>
      </c>
      <c r="H40" s="51"/>
      <c r="I40" s="50">
        <f t="shared" si="3"/>
        <v>0</v>
      </c>
      <c r="J40" s="51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1" activePane="bottomRight" state="frozen"/>
      <selection pane="bottomRight" activeCell="I25" sqref="I2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44440</v>
      </c>
      <c r="B4" s="41">
        <v>59</v>
      </c>
      <c r="C4" s="39">
        <f t="shared" ref="C4" si="0">IF(AC4&gt;0,((B4-R4)+(S4-B5)),IF(B5=0, ,(B4-B5)))</f>
        <v>0</v>
      </c>
      <c r="D4" s="41">
        <v>60</v>
      </c>
      <c r="E4" s="39">
        <f t="shared" ref="E4" si="1">IF(AC4&gt;0,((D4-U4)+(V4-D5)),IF(D5=0, ,(D4-D5)))</f>
        <v>1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243</v>
      </c>
      <c r="K4" s="39">
        <f>J4/4</f>
        <v>60.75</v>
      </c>
      <c r="L4" s="39">
        <f>IF(AC4&gt;0,((K4-AD4)+(AE4-K5)),IF(K5=0, ,(K4-K5)))</f>
        <v>1.25</v>
      </c>
      <c r="M4" s="149">
        <f>7000*4</f>
        <v>28000</v>
      </c>
      <c r="N4" s="39">
        <f>L4*M4/100</f>
        <v>350</v>
      </c>
      <c r="O4" s="39">
        <f>N4*0.529</f>
        <v>185.15</v>
      </c>
      <c r="P4" s="42">
        <f>O4*9.61</f>
        <v>1779.2915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44441</v>
      </c>
      <c r="B5" s="41">
        <v>59</v>
      </c>
      <c r="C5" s="39">
        <f t="shared" ref="C4:C35" si="6">IF(AC5&gt;0,((B5-R5)+(S5-B6)),IF(B6=0, ,(B5-B6)))</f>
        <v>4</v>
      </c>
      <c r="D5" s="41">
        <v>59</v>
      </c>
      <c r="E5" s="39">
        <f t="shared" ref="E4:E35" si="7">IF(AC5&gt;0,((D5-U5)+(V5-D6)),IF(D6=0, ,(D5-D6)))</f>
        <v>0</v>
      </c>
      <c r="F5" s="41">
        <v>60</v>
      </c>
      <c r="G5" s="39">
        <f t="shared" ref="G4:G35" si="8">IF(AC5&gt;0,((F5-X5)+(Y5-F6)),IF(F6=0, ,(F5-F6)))</f>
        <v>0</v>
      </c>
      <c r="H5" s="41">
        <v>60</v>
      </c>
      <c r="I5" s="39">
        <f>IF(AC5&gt;0,((H5-AA5)+(AB5-H6)),IF(H6=0, ,(H5-H6)))</f>
        <v>0</v>
      </c>
      <c r="J5" s="39">
        <f>B5+D5+F5+H5</f>
        <v>238</v>
      </c>
      <c r="K5" s="39">
        <f>J5/4</f>
        <v>59.5</v>
      </c>
      <c r="L5" s="39">
        <f>IF(AC5&gt;0,((K5-AD5)+(AE5-K6)),IF(K6=0, ,(K5-K6)))</f>
        <v>1</v>
      </c>
      <c r="M5" s="149">
        <f t="shared" ref="M5:M42" si="9">7000*4</f>
        <v>28000</v>
      </c>
      <c r="N5" s="39">
        <f>L5*M5/100</f>
        <v>280</v>
      </c>
      <c r="O5" s="39">
        <f>N5*0.529</f>
        <v>148.12</v>
      </c>
      <c r="P5" s="42">
        <f t="shared" ref="P5:P36" si="10">O5*9.61</f>
        <v>1423.4331999999999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44442</v>
      </c>
      <c r="B6" s="41">
        <v>55</v>
      </c>
      <c r="C6" s="39">
        <f t="shared" si="6"/>
        <v>0</v>
      </c>
      <c r="D6" s="41">
        <v>59</v>
      </c>
      <c r="E6" s="39">
        <f t="shared" si="7"/>
        <v>4</v>
      </c>
      <c r="F6" s="41">
        <v>60</v>
      </c>
      <c r="G6" s="39">
        <f t="shared" si="8"/>
        <v>1</v>
      </c>
      <c r="H6" s="41">
        <v>60</v>
      </c>
      <c r="I6" s="39">
        <f t="shared" ref="I6:I36" si="11">IF(AC6&gt;0,((H6-AA6)+(AB6-H7)),IF(H7=0, ,(H6-H7)))</f>
        <v>2</v>
      </c>
      <c r="J6" s="39">
        <f t="shared" ref="J6:J42" si="12">B6+D6+F6+H6</f>
        <v>234</v>
      </c>
      <c r="K6" s="39">
        <f t="shared" ref="K6:K42" si="13">J6/4</f>
        <v>58.5</v>
      </c>
      <c r="L6" s="39">
        <f t="shared" ref="L6:L19" si="14">IF(AC6&gt;0,((K6-AD6)+(AE6-K7)),IF(K7=0, ,(K6-K7)))</f>
        <v>1.75</v>
      </c>
      <c r="M6" s="149">
        <f t="shared" si="9"/>
        <v>28000</v>
      </c>
      <c r="N6" s="39">
        <f t="shared" ref="N6:N42" si="15">L6*M6/100</f>
        <v>490</v>
      </c>
      <c r="O6" s="39">
        <f>N6*0.529</f>
        <v>259.21000000000004</v>
      </c>
      <c r="P6" s="42">
        <f t="shared" si="10"/>
        <v>2491.0081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44443</v>
      </c>
      <c r="B7" s="41">
        <v>55</v>
      </c>
      <c r="C7" s="39">
        <f t="shared" si="6"/>
        <v>5</v>
      </c>
      <c r="D7" s="41">
        <v>55</v>
      </c>
      <c r="E7" s="39">
        <f t="shared" si="7"/>
        <v>5</v>
      </c>
      <c r="F7" s="41">
        <v>59</v>
      </c>
      <c r="G7" s="39">
        <f t="shared" si="8"/>
        <v>4</v>
      </c>
      <c r="H7" s="41">
        <v>58</v>
      </c>
      <c r="I7" s="39">
        <f t="shared" si="11"/>
        <v>3</v>
      </c>
      <c r="J7" s="39">
        <f t="shared" si="12"/>
        <v>227</v>
      </c>
      <c r="K7" s="39">
        <f t="shared" si="13"/>
        <v>56.75</v>
      </c>
      <c r="L7" s="39">
        <f t="shared" si="14"/>
        <v>4.25</v>
      </c>
      <c r="M7" s="149">
        <f t="shared" si="9"/>
        <v>28000</v>
      </c>
      <c r="N7" s="39">
        <f t="shared" si="15"/>
        <v>1190</v>
      </c>
      <c r="O7" s="39">
        <f>N7*0.53</f>
        <v>630.70000000000005</v>
      </c>
      <c r="P7" s="42">
        <f t="shared" si="10"/>
        <v>6061.027</v>
      </c>
      <c r="Q7" s="39">
        <v>2869</v>
      </c>
      <c r="R7" s="39">
        <v>50</v>
      </c>
      <c r="S7" s="39">
        <v>85</v>
      </c>
      <c r="T7" s="39">
        <v>2820</v>
      </c>
      <c r="U7" s="39">
        <v>50</v>
      </c>
      <c r="V7" s="39">
        <v>85</v>
      </c>
      <c r="W7" s="39">
        <v>2540</v>
      </c>
      <c r="X7" s="39">
        <v>55</v>
      </c>
      <c r="Y7" s="39">
        <v>85</v>
      </c>
      <c r="Z7" s="39">
        <v>2708</v>
      </c>
      <c r="AA7" s="39">
        <v>55</v>
      </c>
      <c r="AB7" s="39">
        <v>85</v>
      </c>
      <c r="AC7" s="39">
        <f t="shared" si="3"/>
        <v>10937</v>
      </c>
      <c r="AD7" s="38">
        <f t="shared" si="4"/>
        <v>52.5</v>
      </c>
      <c r="AE7" s="38">
        <f t="shared" si="5"/>
        <v>85</v>
      </c>
    </row>
    <row r="8" spans="1:31" ht="32.25" customHeight="1">
      <c r="A8" s="40">
        <v>44444</v>
      </c>
      <c r="B8" s="41">
        <v>85</v>
      </c>
      <c r="C8" s="39">
        <f t="shared" si="6"/>
        <v>0</v>
      </c>
      <c r="D8" s="41">
        <v>85</v>
      </c>
      <c r="E8" s="39">
        <f t="shared" si="7"/>
        <v>0</v>
      </c>
      <c r="F8" s="41">
        <v>85</v>
      </c>
      <c r="G8" s="39">
        <f t="shared" si="8"/>
        <v>0</v>
      </c>
      <c r="H8" s="41">
        <v>85</v>
      </c>
      <c r="I8" s="39">
        <f t="shared" si="11"/>
        <v>0</v>
      </c>
      <c r="J8" s="39">
        <f t="shared" si="12"/>
        <v>340</v>
      </c>
      <c r="K8" s="39">
        <f t="shared" si="13"/>
        <v>85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44445</v>
      </c>
      <c r="B9" s="41">
        <v>85</v>
      </c>
      <c r="C9" s="39">
        <f t="shared" si="6"/>
        <v>0</v>
      </c>
      <c r="D9" s="41">
        <v>85</v>
      </c>
      <c r="E9" s="39">
        <f t="shared" si="7"/>
        <v>0</v>
      </c>
      <c r="F9" s="41">
        <v>85</v>
      </c>
      <c r="G9" s="39">
        <f t="shared" si="8"/>
        <v>0</v>
      </c>
      <c r="H9" s="41">
        <v>85</v>
      </c>
      <c r="I9" s="39">
        <f t="shared" si="11"/>
        <v>0</v>
      </c>
      <c r="J9" s="39">
        <f t="shared" si="12"/>
        <v>340</v>
      </c>
      <c r="K9" s="39">
        <f t="shared" si="13"/>
        <v>85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44446</v>
      </c>
      <c r="B10" s="41">
        <v>85</v>
      </c>
      <c r="C10" s="39">
        <f t="shared" si="6"/>
        <v>0</v>
      </c>
      <c r="D10" s="41">
        <v>85</v>
      </c>
      <c r="E10" s="39">
        <f t="shared" si="7"/>
        <v>1</v>
      </c>
      <c r="F10" s="41">
        <v>85</v>
      </c>
      <c r="G10" s="39">
        <f t="shared" si="8"/>
        <v>0</v>
      </c>
      <c r="H10" s="41">
        <v>85</v>
      </c>
      <c r="I10" s="39">
        <f t="shared" si="11"/>
        <v>0</v>
      </c>
      <c r="J10" s="39">
        <f t="shared" si="12"/>
        <v>340</v>
      </c>
      <c r="K10" s="39">
        <f t="shared" si="13"/>
        <v>85</v>
      </c>
      <c r="L10" s="39">
        <f t="shared" si="14"/>
        <v>0.25</v>
      </c>
      <c r="M10" s="149">
        <f t="shared" si="17"/>
        <v>24196</v>
      </c>
      <c r="N10" s="39">
        <f t="shared" si="15"/>
        <v>60.49</v>
      </c>
      <c r="O10" s="148">
        <f t="shared" si="16"/>
        <v>31.999210000000001</v>
      </c>
      <c r="P10" s="42">
        <f t="shared" si="10"/>
        <v>307.51240810000002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44447</v>
      </c>
      <c r="B11" s="41">
        <v>85</v>
      </c>
      <c r="C11" s="39">
        <f t="shared" si="6"/>
        <v>1</v>
      </c>
      <c r="D11" s="41">
        <v>84</v>
      </c>
      <c r="E11" s="39">
        <f t="shared" si="7"/>
        <v>1</v>
      </c>
      <c r="F11" s="41">
        <v>85</v>
      </c>
      <c r="G11" s="39">
        <f t="shared" si="8"/>
        <v>2</v>
      </c>
      <c r="H11" s="41">
        <v>85</v>
      </c>
      <c r="I11" s="39">
        <f t="shared" si="11"/>
        <v>0</v>
      </c>
      <c r="J11" s="39">
        <f t="shared" si="12"/>
        <v>339</v>
      </c>
      <c r="K11" s="39">
        <f t="shared" si="13"/>
        <v>84.75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1230.0496324000001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44448</v>
      </c>
      <c r="B12" s="41">
        <v>84</v>
      </c>
      <c r="C12" s="39">
        <f t="shared" si="6"/>
        <v>3</v>
      </c>
      <c r="D12" s="41">
        <v>83</v>
      </c>
      <c r="E12" s="39">
        <f t="shared" si="7"/>
        <v>2</v>
      </c>
      <c r="F12" s="41">
        <v>83</v>
      </c>
      <c r="G12" s="39">
        <f t="shared" si="8"/>
        <v>2</v>
      </c>
      <c r="H12" s="41">
        <v>85</v>
      </c>
      <c r="I12" s="39">
        <f t="shared" si="11"/>
        <v>2</v>
      </c>
      <c r="J12" s="39">
        <f t="shared" si="12"/>
        <v>335</v>
      </c>
      <c r="K12" s="39">
        <f t="shared" si="13"/>
        <v>83.75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2767.6116728999996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44449</v>
      </c>
      <c r="B13" s="41">
        <v>81</v>
      </c>
      <c r="C13" s="39">
        <f t="shared" si="6"/>
        <v>1</v>
      </c>
      <c r="D13" s="41">
        <v>81</v>
      </c>
      <c r="E13" s="39">
        <f t="shared" si="7"/>
        <v>1</v>
      </c>
      <c r="F13" s="41">
        <v>81</v>
      </c>
      <c r="G13" s="39">
        <f t="shared" si="8"/>
        <v>2</v>
      </c>
      <c r="H13" s="41">
        <v>83</v>
      </c>
      <c r="I13" s="39">
        <f t="shared" si="11"/>
        <v>3</v>
      </c>
      <c r="J13" s="39">
        <f t="shared" si="12"/>
        <v>326</v>
      </c>
      <c r="K13" s="39">
        <f t="shared" si="13"/>
        <v>81.5</v>
      </c>
      <c r="L13" s="39">
        <f t="shared" si="14"/>
        <v>1.75</v>
      </c>
      <c r="M13" s="149">
        <f t="shared" si="17"/>
        <v>24196</v>
      </c>
      <c r="N13" s="39">
        <f t="shared" si="15"/>
        <v>423.43</v>
      </c>
      <c r="O13" s="39">
        <f t="shared" si="16"/>
        <v>223.99447000000001</v>
      </c>
      <c r="P13" s="42">
        <f t="shared" si="10"/>
        <v>2152.5868566999998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44450</v>
      </c>
      <c r="B14" s="41">
        <v>80</v>
      </c>
      <c r="C14" s="39">
        <f t="shared" si="6"/>
        <v>2</v>
      </c>
      <c r="D14" s="41">
        <v>80</v>
      </c>
      <c r="E14" s="39">
        <f t="shared" si="7"/>
        <v>2</v>
      </c>
      <c r="F14" s="41">
        <v>79</v>
      </c>
      <c r="G14" s="39">
        <f t="shared" si="8"/>
        <v>0</v>
      </c>
      <c r="H14" s="41">
        <v>80</v>
      </c>
      <c r="I14" s="39">
        <f>IF(AC14&gt;0,((H14-AA14)+(AB14-H15)),IF(H15=0, ,(H14-H15)))</f>
        <v>1</v>
      </c>
      <c r="J14" s="39">
        <f t="shared" si="12"/>
        <v>319</v>
      </c>
      <c r="K14" s="39">
        <f t="shared" si="13"/>
        <v>79.75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1537.5620405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44451</v>
      </c>
      <c r="B15" s="41">
        <v>78</v>
      </c>
      <c r="C15" s="39">
        <f t="shared" si="6"/>
        <v>2</v>
      </c>
      <c r="D15" s="41">
        <v>78</v>
      </c>
      <c r="E15" s="39">
        <f t="shared" si="7"/>
        <v>3</v>
      </c>
      <c r="F15" s="41">
        <v>79</v>
      </c>
      <c r="G15" s="39">
        <f t="shared" si="8"/>
        <v>3</v>
      </c>
      <c r="H15" s="41">
        <v>79</v>
      </c>
      <c r="I15" s="39">
        <f>IF(AC15&gt;0,((H15-AA15)+(AB15-H16)),IF(H16=0, ,(H15-H16)))</f>
        <v>4</v>
      </c>
      <c r="J15" s="39">
        <f t="shared" si="12"/>
        <v>314</v>
      </c>
      <c r="K15" s="39">
        <f t="shared" si="13"/>
        <v>78.5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3690.1488971999997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44452</v>
      </c>
      <c r="B16" s="41">
        <v>76</v>
      </c>
      <c r="C16" s="39">
        <f t="shared" si="6"/>
        <v>3</v>
      </c>
      <c r="D16" s="41">
        <v>75</v>
      </c>
      <c r="E16" s="39">
        <f t="shared" si="7"/>
        <v>1</v>
      </c>
      <c r="F16" s="41">
        <v>76</v>
      </c>
      <c r="G16" s="39">
        <f t="shared" si="8"/>
        <v>2</v>
      </c>
      <c r="H16" s="41">
        <v>75</v>
      </c>
      <c r="I16" s="39">
        <f t="shared" si="11"/>
        <v>1</v>
      </c>
      <c r="J16" s="39">
        <f t="shared" si="12"/>
        <v>302</v>
      </c>
      <c r="K16" s="39">
        <f t="shared" si="13"/>
        <v>75.5</v>
      </c>
      <c r="L16" s="39">
        <f t="shared" si="14"/>
        <v>1.75</v>
      </c>
      <c r="M16" s="149">
        <f t="shared" si="17"/>
        <v>24196</v>
      </c>
      <c r="N16" s="39">
        <f t="shared" si="15"/>
        <v>423.43</v>
      </c>
      <c r="O16" s="39">
        <f t="shared" si="16"/>
        <v>223.99447000000001</v>
      </c>
      <c r="P16" s="42">
        <f t="shared" si="10"/>
        <v>2152.5868566999998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44453</v>
      </c>
      <c r="B17" s="41">
        <v>73</v>
      </c>
      <c r="C17" s="39">
        <f t="shared" si="6"/>
        <v>3</v>
      </c>
      <c r="D17" s="41">
        <v>74</v>
      </c>
      <c r="E17" s="39">
        <f t="shared" si="7"/>
        <v>4</v>
      </c>
      <c r="F17" s="41">
        <v>74</v>
      </c>
      <c r="G17" s="39">
        <f t="shared" si="8"/>
        <v>0</v>
      </c>
      <c r="H17" s="41">
        <v>74</v>
      </c>
      <c r="I17" s="39">
        <f t="shared" si="11"/>
        <v>1</v>
      </c>
      <c r="J17" s="39">
        <f t="shared" si="12"/>
        <v>295</v>
      </c>
      <c r="K17" s="39">
        <f t="shared" si="13"/>
        <v>73.75</v>
      </c>
      <c r="L17" s="39">
        <f t="shared" si="14"/>
        <v>2</v>
      </c>
      <c r="M17" s="149">
        <f t="shared" si="17"/>
        <v>24196</v>
      </c>
      <c r="N17" s="39">
        <f t="shared" si="15"/>
        <v>483.92</v>
      </c>
      <c r="O17" s="39">
        <f t="shared" si="16"/>
        <v>255.99368000000001</v>
      </c>
      <c r="P17" s="42">
        <f t="shared" si="10"/>
        <v>2460.0992648000001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44454</v>
      </c>
      <c r="B18" s="41">
        <v>70</v>
      </c>
      <c r="C18" s="39">
        <f t="shared" si="6"/>
        <v>1</v>
      </c>
      <c r="D18" s="41">
        <v>70</v>
      </c>
      <c r="E18" s="39">
        <f t="shared" si="7"/>
        <v>1</v>
      </c>
      <c r="F18" s="41">
        <v>74</v>
      </c>
      <c r="G18" s="39">
        <f t="shared" si="8"/>
        <v>2</v>
      </c>
      <c r="H18" s="41">
        <v>73</v>
      </c>
      <c r="I18" s="39">
        <f t="shared" si="11"/>
        <v>2</v>
      </c>
      <c r="J18" s="39">
        <f t="shared" si="12"/>
        <v>287</v>
      </c>
      <c r="K18" s="39">
        <f t="shared" si="13"/>
        <v>71.75</v>
      </c>
      <c r="L18" s="39">
        <f t="shared" si="14"/>
        <v>1.5</v>
      </c>
      <c r="M18" s="149">
        <f t="shared" si="17"/>
        <v>24196</v>
      </c>
      <c r="N18" s="39">
        <f t="shared" si="15"/>
        <v>362.94</v>
      </c>
      <c r="O18" s="39">
        <f t="shared" si="16"/>
        <v>191.99526</v>
      </c>
      <c r="P18" s="42">
        <f t="shared" si="10"/>
        <v>1845.0744485999999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44455</v>
      </c>
      <c r="B19" s="41">
        <v>69</v>
      </c>
      <c r="C19" s="39">
        <f t="shared" si="6"/>
        <v>2</v>
      </c>
      <c r="D19" s="41">
        <v>69</v>
      </c>
      <c r="E19" s="39">
        <f t="shared" si="7"/>
        <v>3</v>
      </c>
      <c r="F19" s="41">
        <v>72</v>
      </c>
      <c r="G19" s="39">
        <f t="shared" si="8"/>
        <v>2</v>
      </c>
      <c r="H19" s="41">
        <v>71</v>
      </c>
      <c r="I19" s="39">
        <f t="shared" si="11"/>
        <v>2</v>
      </c>
      <c r="J19" s="39">
        <f t="shared" si="12"/>
        <v>281</v>
      </c>
      <c r="K19" s="39">
        <f t="shared" si="13"/>
        <v>70.25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2767.6116728999996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44456</v>
      </c>
      <c r="B20" s="41">
        <v>67</v>
      </c>
      <c r="C20" s="39">
        <f t="shared" si="6"/>
        <v>2</v>
      </c>
      <c r="D20" s="41">
        <v>66</v>
      </c>
      <c r="E20" s="39">
        <f t="shared" si="7"/>
        <v>1</v>
      </c>
      <c r="F20" s="41">
        <v>70</v>
      </c>
      <c r="G20" s="39">
        <f t="shared" si="8"/>
        <v>4</v>
      </c>
      <c r="H20" s="41">
        <v>69</v>
      </c>
      <c r="I20" s="39">
        <f t="shared" si="11"/>
        <v>3</v>
      </c>
      <c r="J20" s="39">
        <f t="shared" si="12"/>
        <v>272</v>
      </c>
      <c r="K20" s="39">
        <f t="shared" si="13"/>
        <v>68</v>
      </c>
      <c r="L20" s="39">
        <f t="shared" ref="L20:L42" si="18">IF(AC20&gt;0,((K20-AD20)+(AE20-K21)),IF(K21=0, ,(K20-K21)))</f>
        <v>2.5</v>
      </c>
      <c r="M20" s="149">
        <f t="shared" si="17"/>
        <v>24196</v>
      </c>
      <c r="N20" s="39">
        <f t="shared" si="15"/>
        <v>604.9</v>
      </c>
      <c r="O20" s="39">
        <f t="shared" si="16"/>
        <v>319.99209999999999</v>
      </c>
      <c r="P20" s="42">
        <f t="shared" si="10"/>
        <v>3075.1240809999999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44457</v>
      </c>
      <c r="B21" s="41">
        <v>65</v>
      </c>
      <c r="C21" s="39">
        <f t="shared" si="6"/>
        <v>4</v>
      </c>
      <c r="D21" s="41">
        <v>65</v>
      </c>
      <c r="E21" s="39">
        <f t="shared" si="7"/>
        <v>4</v>
      </c>
      <c r="F21" s="41">
        <v>66</v>
      </c>
      <c r="G21" s="39">
        <f t="shared" si="8"/>
        <v>1</v>
      </c>
      <c r="H21" s="41">
        <v>66</v>
      </c>
      <c r="I21" s="39">
        <f t="shared" si="11"/>
        <v>2</v>
      </c>
      <c r="J21" s="39">
        <f t="shared" si="12"/>
        <v>262</v>
      </c>
      <c r="K21" s="39">
        <f t="shared" si="13"/>
        <v>65.5</v>
      </c>
      <c r="L21" s="39">
        <f>IF(AC21&gt;0,((K21-AD21)+(AE21-K22)),IF(K22=0, ,(K21-K22)))</f>
        <v>2.75</v>
      </c>
      <c r="M21" s="149">
        <f t="shared" si="17"/>
        <v>24196</v>
      </c>
      <c r="N21" s="39">
        <f t="shared" si="15"/>
        <v>665.39</v>
      </c>
      <c r="O21" s="39">
        <f t="shared" si="16"/>
        <v>351.99131</v>
      </c>
      <c r="P21" s="42">
        <f t="shared" si="10"/>
        <v>3382.6364890999998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44458</v>
      </c>
      <c r="B22" s="41">
        <v>61</v>
      </c>
      <c r="C22" s="39">
        <f t="shared" si="6"/>
        <v>1</v>
      </c>
      <c r="D22" s="41">
        <v>61</v>
      </c>
      <c r="E22" s="39">
        <f t="shared" si="7"/>
        <v>1</v>
      </c>
      <c r="F22" s="41">
        <v>65</v>
      </c>
      <c r="G22" s="39">
        <f t="shared" si="8"/>
        <v>1</v>
      </c>
      <c r="H22" s="41">
        <v>64</v>
      </c>
      <c r="I22" s="39">
        <f t="shared" si="11"/>
        <v>4</v>
      </c>
      <c r="J22" s="39">
        <f t="shared" si="12"/>
        <v>251</v>
      </c>
      <c r="K22" s="39">
        <f t="shared" si="13"/>
        <v>62.75</v>
      </c>
      <c r="L22" s="39">
        <f>IF(AC22&gt;0,((K22-AD22)+(AE22-K23)),IF(K23=0, ,(K22-K23)))</f>
        <v>1.75</v>
      </c>
      <c r="M22" s="149">
        <f t="shared" si="17"/>
        <v>24196</v>
      </c>
      <c r="N22" s="39">
        <f t="shared" si="15"/>
        <v>423.43</v>
      </c>
      <c r="O22" s="39">
        <f t="shared" si="16"/>
        <v>223.99447000000001</v>
      </c>
      <c r="P22" s="42">
        <f t="shared" si="10"/>
        <v>2152.5868566999998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44459</v>
      </c>
      <c r="B23" s="41">
        <v>60</v>
      </c>
      <c r="C23" s="39">
        <f t="shared" si="6"/>
        <v>2</v>
      </c>
      <c r="D23" s="41">
        <v>60</v>
      </c>
      <c r="E23" s="39">
        <f t="shared" si="7"/>
        <v>3</v>
      </c>
      <c r="F23" s="41">
        <v>64</v>
      </c>
      <c r="G23" s="39">
        <f t="shared" si="8"/>
        <v>4</v>
      </c>
      <c r="H23" s="41">
        <v>60</v>
      </c>
      <c r="I23" s="39">
        <f t="shared" si="11"/>
        <v>0</v>
      </c>
      <c r="J23" s="39">
        <f t="shared" si="12"/>
        <v>244</v>
      </c>
      <c r="K23" s="39">
        <f t="shared" si="13"/>
        <v>61</v>
      </c>
      <c r="L23" s="39">
        <f t="shared" si="18"/>
        <v>2.25</v>
      </c>
      <c r="M23" s="149">
        <f t="shared" si="17"/>
        <v>24196</v>
      </c>
      <c r="N23" s="39">
        <f t="shared" si="15"/>
        <v>544.41</v>
      </c>
      <c r="O23" s="39">
        <f t="shared" si="16"/>
        <v>287.99288999999999</v>
      </c>
      <c r="P23" s="42">
        <f t="shared" si="10"/>
        <v>2767.6116728999996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44460</v>
      </c>
      <c r="B24" s="41">
        <v>58</v>
      </c>
      <c r="C24" s="39">
        <f t="shared" si="6"/>
        <v>3</v>
      </c>
      <c r="D24" s="41">
        <v>57</v>
      </c>
      <c r="E24" s="39">
        <f t="shared" si="7"/>
        <v>2</v>
      </c>
      <c r="F24" s="41">
        <v>60</v>
      </c>
      <c r="G24" s="39">
        <f t="shared" si="8"/>
        <v>2</v>
      </c>
      <c r="H24" s="41">
        <v>60</v>
      </c>
      <c r="I24" s="39">
        <f t="shared" si="11"/>
        <v>2</v>
      </c>
      <c r="J24" s="39">
        <f t="shared" si="12"/>
        <v>235</v>
      </c>
      <c r="K24" s="39">
        <f t="shared" si="13"/>
        <v>58.75</v>
      </c>
      <c r="L24" s="39">
        <f t="shared" si="18"/>
        <v>2.25</v>
      </c>
      <c r="M24" s="149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0"/>
        <v>2767.6116728999996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44461</v>
      </c>
      <c r="B25" s="41">
        <v>55</v>
      </c>
      <c r="C25" s="39">
        <f t="shared" si="6"/>
        <v>0</v>
      </c>
      <c r="D25" s="41">
        <v>55</v>
      </c>
      <c r="E25" s="39">
        <f t="shared" si="7"/>
        <v>0</v>
      </c>
      <c r="F25" s="41">
        <v>58</v>
      </c>
      <c r="G25" s="39">
        <f t="shared" si="8"/>
        <v>0</v>
      </c>
      <c r="H25" s="41">
        <v>58</v>
      </c>
      <c r="I25" s="39">
        <f t="shared" si="11"/>
        <v>0</v>
      </c>
      <c r="J25" s="39">
        <f t="shared" si="12"/>
        <v>226</v>
      </c>
      <c r="K25" s="39">
        <f t="shared" si="13"/>
        <v>56.5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44462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44463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44464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44465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44466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44467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44468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44469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44470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44471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27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8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9205.8599999999988</v>
      </c>
      <c r="O43" s="39">
        <f>N43*0.529</f>
        <v>4869.8999399999993</v>
      </c>
      <c r="P43" s="42">
        <f>O43*9.61</f>
        <v>46799.738423399991</v>
      </c>
      <c r="Q43" s="287">
        <f>SUM(Q4:Q42)</f>
        <v>2869</v>
      </c>
      <c r="R43" s="288"/>
      <c r="S43" s="289"/>
      <c r="T43" s="290">
        <f>SUM(T4:T42)</f>
        <v>2820</v>
      </c>
      <c r="U43" s="288"/>
      <c r="V43" s="289"/>
      <c r="W43" s="290">
        <f>SUM(W4:W42)</f>
        <v>2540</v>
      </c>
      <c r="X43" s="288"/>
      <c r="Y43" s="289"/>
      <c r="Z43" s="290">
        <f>SUM(Z4:Z42)</f>
        <v>2708</v>
      </c>
      <c r="AA43" s="288"/>
      <c r="AB43" s="289"/>
      <c r="AC43" s="39">
        <f t="shared" si="20"/>
        <v>10937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10937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10937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9205.8599999999988</v>
      </c>
      <c r="L47" s="46">
        <f>O43</f>
        <v>4869.8999399999993</v>
      </c>
      <c r="M47" s="46">
        <f>P43</f>
        <v>46799.738423399991</v>
      </c>
    </row>
    <row r="48" spans="1:31" ht="54.75" customHeight="1" thickBot="1">
      <c r="H48" s="283" t="s">
        <v>86</v>
      </c>
      <c r="I48" s="284"/>
      <c r="J48" s="285"/>
      <c r="K48" s="43">
        <f>AC44</f>
        <v>10937</v>
      </c>
      <c r="L48" s="44">
        <f>K48*0.529</f>
        <v>5785.6730000000007</v>
      </c>
      <c r="M48" s="44">
        <f>L48*9.61</f>
        <v>55600.31753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20" sqref="F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44405</v>
      </c>
      <c r="D8" s="354"/>
      <c r="E8" s="113">
        <v>44436</v>
      </c>
      <c r="F8" s="166" t="s">
        <v>97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1106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39"/>
      <c r="H17" s="340"/>
      <c r="I17" s="339">
        <f>+E17</f>
        <v>256728</v>
      </c>
      <c r="J17" s="340"/>
    </row>
    <row r="18" spans="1:10">
      <c r="A18" s="337" t="s">
        <v>111</v>
      </c>
      <c r="B18" s="338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39"/>
      <c r="H18" s="340"/>
      <c r="I18" s="339">
        <f>+E18</f>
        <v>118534</v>
      </c>
      <c r="J18" s="340"/>
    </row>
    <row r="19" spans="1:10">
      <c r="A19" s="337" t="s">
        <v>112</v>
      </c>
      <c r="B19" s="338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39"/>
      <c r="H19" s="340"/>
      <c r="I19" s="339">
        <f>+E19</f>
        <v>94847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470109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256728</v>
      </c>
      <c r="E25" s="72">
        <v>0.95140000000000002</v>
      </c>
      <c r="F25" s="73">
        <f>PRODUCT(D25*E25)</f>
        <v>244251.01920000001</v>
      </c>
      <c r="G25" s="151">
        <v>14</v>
      </c>
      <c r="H25" s="65">
        <f>PRODUCT(0.14,F25)</f>
        <v>34195.142688000007</v>
      </c>
      <c r="I25" s="305">
        <f>SUM(H25,F25)</f>
        <v>278446.16188800003</v>
      </c>
      <c r="J25" s="306"/>
    </row>
    <row r="26" spans="1:10" ht="15">
      <c r="A26" s="302" t="s">
        <v>124</v>
      </c>
      <c r="B26" s="303"/>
      <c r="C26" s="304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05">
        <f t="shared" ref="I26:I31" si="0">SUM(H26,F26)</f>
        <v>94387.438859999995</v>
      </c>
      <c r="J26" s="306"/>
    </row>
    <row r="27" spans="1:10" ht="15">
      <c r="A27" s="302" t="s">
        <v>125</v>
      </c>
      <c r="B27" s="303"/>
      <c r="C27" s="304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05">
        <f>SUM(H27,F27)</f>
        <v>143850.27163199999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18">
        <f t="shared" si="0"/>
        <v>7953.9915042000011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506423.32253</v>
      </c>
      <c r="G32" s="85"/>
      <c r="H32" s="86"/>
      <c r="I32" s="314">
        <f>SUM(I25:J31)</f>
        <v>577268.60768419993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G11" sqref="G11:H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60" t="s">
        <v>87</v>
      </c>
      <c r="D1" s="361"/>
      <c r="E1" s="361"/>
      <c r="F1" s="361"/>
      <c r="G1" s="361"/>
      <c r="H1" s="366" t="s">
        <v>88</v>
      </c>
      <c r="I1" s="367"/>
      <c r="J1" s="368"/>
    </row>
    <row r="2" spans="1:10" ht="16.5" customHeight="1" thickBot="1">
      <c r="A2" s="275"/>
      <c r="B2" s="277"/>
      <c r="C2" s="362"/>
      <c r="D2" s="363"/>
      <c r="E2" s="363"/>
      <c r="F2" s="363"/>
      <c r="G2" s="363"/>
      <c r="H2" s="369"/>
      <c r="I2" s="370"/>
      <c r="J2" s="371"/>
    </row>
    <row r="3" spans="1:10" ht="15" customHeight="1">
      <c r="A3" s="275"/>
      <c r="B3" s="277"/>
      <c r="C3" s="362"/>
      <c r="D3" s="363"/>
      <c r="E3" s="363"/>
      <c r="F3" s="363"/>
      <c r="G3" s="363"/>
      <c r="H3" s="372" t="s">
        <v>89</v>
      </c>
      <c r="I3" s="373"/>
      <c r="J3" s="374"/>
    </row>
    <row r="4" spans="1:10" ht="15.75" customHeight="1" thickBot="1">
      <c r="A4" s="278"/>
      <c r="B4" s="280"/>
      <c r="C4" s="364"/>
      <c r="D4" s="365"/>
      <c r="E4" s="365"/>
      <c r="F4" s="365"/>
      <c r="G4" s="365"/>
      <c r="H4" s="375"/>
      <c r="I4" s="376"/>
      <c r="J4" s="377"/>
    </row>
    <row r="6" spans="1:10" ht="33" customHeight="1" thickBot="1"/>
    <row r="7" spans="1:10" ht="36.75" thickTop="1">
      <c r="A7" s="378" t="s">
        <v>90</v>
      </c>
      <c r="B7" s="378"/>
      <c r="C7" s="379" t="s">
        <v>91</v>
      </c>
      <c r="D7" s="380"/>
      <c r="E7" s="61" t="s">
        <v>92</v>
      </c>
      <c r="F7" s="61" t="s">
        <v>93</v>
      </c>
      <c r="G7" s="61" t="s">
        <v>94</v>
      </c>
      <c r="H7" s="61" t="s">
        <v>95</v>
      </c>
      <c r="I7" s="381" t="s">
        <v>96</v>
      </c>
      <c r="J7" s="382"/>
    </row>
    <row r="8" spans="1:10">
      <c r="A8" s="348">
        <v>95670781</v>
      </c>
      <c r="B8" s="348"/>
      <c r="C8" s="353">
        <v>44293</v>
      </c>
      <c r="D8" s="354"/>
      <c r="E8" s="113">
        <v>44323</v>
      </c>
      <c r="F8" s="166" t="s">
        <v>131</v>
      </c>
      <c r="G8" s="62"/>
      <c r="H8" s="62"/>
      <c r="I8" s="355"/>
      <c r="J8" s="356"/>
    </row>
    <row r="10" spans="1:10" ht="23.25" customHeight="1" thickBot="1"/>
    <row r="11" spans="1:10" ht="24.75" customHeight="1" thickTop="1">
      <c r="A11" s="332" t="s">
        <v>98</v>
      </c>
      <c r="B11" s="332"/>
      <c r="C11" s="357" t="s">
        <v>99</v>
      </c>
      <c r="D11" s="358"/>
      <c r="E11" s="332" t="s">
        <v>100</v>
      </c>
      <c r="F11" s="332"/>
      <c r="G11" s="357" t="s">
        <v>101</v>
      </c>
      <c r="H11" s="358"/>
      <c r="I11" s="359" t="s">
        <v>102</v>
      </c>
      <c r="J11" s="359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352"/>
      <c r="C13" s="352"/>
      <c r="D13" s="352"/>
      <c r="E13" s="352"/>
      <c r="F13" s="352"/>
      <c r="G13" s="352"/>
      <c r="H13" s="352"/>
      <c r="I13" s="352"/>
      <c r="J13" s="352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39"/>
      <c r="H17" s="340"/>
      <c r="I17" s="339">
        <f>+E17</f>
        <v>7632</v>
      </c>
      <c r="J17" s="340"/>
    </row>
    <row r="18" spans="1:10">
      <c r="A18" s="337" t="s">
        <v>111</v>
      </c>
      <c r="B18" s="338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39"/>
      <c r="H18" s="340"/>
      <c r="I18" s="339">
        <f>+E18</f>
        <v>3388</v>
      </c>
      <c r="J18" s="340"/>
    </row>
    <row r="19" spans="1:10">
      <c r="A19" s="337" t="s">
        <v>112</v>
      </c>
      <c r="B19" s="338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39"/>
      <c r="H19" s="340"/>
      <c r="I19" s="339">
        <f>+E19</f>
        <v>2677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13697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7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05">
        <f>SUM(H25,F25)</f>
        <v>8277.6366720000005</v>
      </c>
      <c r="J25" s="306"/>
    </row>
    <row r="26" spans="1:10" ht="15">
      <c r="A26" s="302" t="s">
        <v>124</v>
      </c>
      <c r="B26" s="303"/>
      <c r="C26" s="304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5">
        <f t="shared" ref="I26:I31" si="0">SUM(H26,F26)</f>
        <v>2697.83052</v>
      </c>
      <c r="J26" s="306"/>
    </row>
    <row r="27" spans="1:10" ht="15">
      <c r="A27" s="302" t="s">
        <v>125</v>
      </c>
      <c r="B27" s="303"/>
      <c r="C27" s="304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5">
        <f>SUM(H27,F27)</f>
        <v>4060.0881120000004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59403.753599999996</v>
      </c>
      <c r="G32" s="85"/>
      <c r="H32" s="86"/>
      <c r="I32" s="314">
        <f>SUM(I25:J31)</f>
        <v>67666.299104000005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3510.1000000000058</v>
      </c>
      <c r="C13" s="398"/>
      <c r="D13" s="398">
        <v>8.7899999999999991</v>
      </c>
      <c r="E13" s="398"/>
      <c r="F13" s="405">
        <f>PRODUCT(D13,B13)</f>
        <v>30853.77900000005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f>G8</f>
        <v>3510.1000000000058</v>
      </c>
      <c r="C19" s="398"/>
      <c r="D19" s="398">
        <v>2.61</v>
      </c>
      <c r="E19" s="398"/>
      <c r="F19" s="398">
        <f>PRODUCT(D19,B19)</f>
        <v>9161.3610000000153</v>
      </c>
      <c r="G19" s="398"/>
      <c r="H19" s="398"/>
    </row>
    <row r="20" spans="1:8" ht="18.75">
      <c r="A20" s="394" t="s">
        <v>148</v>
      </c>
      <c r="B20" s="395"/>
      <c r="C20" s="395"/>
      <c r="D20" s="395"/>
      <c r="E20" s="396"/>
      <c r="F20" s="397">
        <f>SUM(F11+F13+F16+F17+F18+F19)</f>
        <v>40038.140000000065</v>
      </c>
      <c r="G20" s="397"/>
      <c r="H20" s="397"/>
    </row>
    <row r="21" spans="1:8" ht="15">
      <c r="A21" s="383" t="s">
        <v>149</v>
      </c>
      <c r="B21" s="384"/>
      <c r="C21" s="384"/>
      <c r="D21" s="384"/>
      <c r="E21" s="385"/>
      <c r="F21" s="398">
        <f>PRODUCT(F20,0.07)</f>
        <v>2802.6698000000047</v>
      </c>
      <c r="G21" s="398"/>
      <c r="H21" s="398"/>
    </row>
    <row r="22" spans="1:8" ht="15">
      <c r="A22" s="399" t="s">
        <v>150</v>
      </c>
      <c r="B22" s="400"/>
      <c r="C22" s="400"/>
      <c r="D22" s="400"/>
      <c r="E22" s="401"/>
      <c r="F22" s="398">
        <v>208.26</v>
      </c>
      <c r="G22" s="398"/>
      <c r="H22" s="398"/>
    </row>
    <row r="23" spans="1:8" ht="15.75">
      <c r="A23" s="383" t="s">
        <v>151</v>
      </c>
      <c r="B23" s="384"/>
      <c r="C23" s="384"/>
      <c r="D23" s="384"/>
      <c r="E23" s="385"/>
      <c r="F23" s="386">
        <f>SUM(F21:H22)</f>
        <v>3010.9298000000044</v>
      </c>
      <c r="G23" s="386"/>
      <c r="H23" s="386"/>
    </row>
    <row r="24" spans="1:8">
      <c r="A24" s="387" t="s">
        <v>152</v>
      </c>
      <c r="B24" s="388"/>
      <c r="C24" s="388"/>
      <c r="D24" s="388"/>
      <c r="E24" s="389"/>
      <c r="F24" s="393">
        <f>SUM(F20,F23)</f>
        <v>43049.06980000007</v>
      </c>
      <c r="G24" s="393"/>
      <c r="H24" s="393"/>
    </row>
    <row r="25" spans="1:8">
      <c r="A25" s="390"/>
      <c r="B25" s="391"/>
      <c r="C25" s="391"/>
      <c r="D25" s="391"/>
      <c r="E25" s="392"/>
      <c r="F25" s="393"/>
      <c r="G25" s="393"/>
      <c r="H25" s="39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132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398">
        <f>G8</f>
        <v>98</v>
      </c>
      <c r="C13" s="398"/>
      <c r="D13" s="398">
        <v>8.5</v>
      </c>
      <c r="E13" s="398"/>
      <c r="F13" s="405">
        <f>PRODUCT(D13,B13)</f>
        <v>833</v>
      </c>
      <c r="G13" s="405"/>
      <c r="H13" s="405"/>
    </row>
    <row r="14" spans="1:8" ht="45" customHeight="1">
      <c r="A14" s="402" t="s">
        <v>143</v>
      </c>
      <c r="B14" s="402"/>
      <c r="C14" s="402"/>
      <c r="D14" s="402"/>
      <c r="E14" s="402"/>
      <c r="F14" s="402"/>
      <c r="G14" s="402"/>
      <c r="H14" s="402"/>
    </row>
    <row r="15" spans="1:8">
      <c r="A15" s="403"/>
      <c r="B15" s="403"/>
      <c r="C15" s="403"/>
      <c r="D15" s="403"/>
      <c r="E15" s="403"/>
      <c r="F15" s="403"/>
      <c r="G15" s="403"/>
      <c r="H15" s="403"/>
    </row>
    <row r="16" spans="1:8" ht="1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>
      <c r="A19" s="103" t="s">
        <v>147</v>
      </c>
      <c r="B19" s="398">
        <v>0</v>
      </c>
      <c r="C19" s="398"/>
      <c r="D19" s="422">
        <v>0</v>
      </c>
      <c r="E19" s="423"/>
      <c r="F19" s="422">
        <v>0</v>
      </c>
      <c r="G19" s="423"/>
      <c r="H19" s="168"/>
    </row>
    <row r="20" spans="1:8" ht="15">
      <c r="A20" s="103" t="s">
        <v>153</v>
      </c>
      <c r="B20" s="398">
        <f>G8</f>
        <v>98</v>
      </c>
      <c r="C20" s="398"/>
      <c r="D20" s="398">
        <v>2.54</v>
      </c>
      <c r="E20" s="398"/>
      <c r="F20" s="398">
        <f>PRODUCT(D20,B20)</f>
        <v>248.92000000000002</v>
      </c>
      <c r="G20" s="398"/>
      <c r="H20" s="398"/>
    </row>
    <row r="21" spans="1:8" ht="18.75">
      <c r="A21" s="394" t="s">
        <v>148</v>
      </c>
      <c r="B21" s="395"/>
      <c r="C21" s="395"/>
      <c r="D21" s="395"/>
      <c r="E21" s="396"/>
      <c r="F21" s="397">
        <f>SUM(F11+F13+F16+F17+F18+F20)</f>
        <v>1104.92</v>
      </c>
      <c r="G21" s="397"/>
      <c r="H21" s="397"/>
    </row>
    <row r="22" spans="1:8" ht="15">
      <c r="A22" s="383" t="s">
        <v>149</v>
      </c>
      <c r="B22" s="384"/>
      <c r="C22" s="384"/>
      <c r="D22" s="384"/>
      <c r="E22" s="385"/>
      <c r="F22" s="398">
        <f>PRODUCT(F21,0.07)</f>
        <v>77.344400000000007</v>
      </c>
      <c r="G22" s="398"/>
      <c r="H22" s="398"/>
    </row>
    <row r="23" spans="1:8" ht="15">
      <c r="A23" s="399" t="s">
        <v>150</v>
      </c>
      <c r="B23" s="400"/>
      <c r="C23" s="400"/>
      <c r="D23" s="400"/>
      <c r="E23" s="401"/>
      <c r="F23" s="398">
        <v>208.26</v>
      </c>
      <c r="G23" s="398"/>
      <c r="H23" s="398"/>
    </row>
    <row r="24" spans="1:8" ht="15.75">
      <c r="A24" s="383" t="s">
        <v>151</v>
      </c>
      <c r="B24" s="384"/>
      <c r="C24" s="384"/>
      <c r="D24" s="384"/>
      <c r="E24" s="385"/>
      <c r="F24" s="386">
        <f>SUM(F22:H23)</f>
        <v>285.6044</v>
      </c>
      <c r="G24" s="386"/>
      <c r="H24" s="386"/>
    </row>
    <row r="25" spans="1:8">
      <c r="A25" s="387" t="s">
        <v>152</v>
      </c>
      <c r="B25" s="388"/>
      <c r="C25" s="388"/>
      <c r="D25" s="388"/>
      <c r="E25" s="389"/>
      <c r="F25" s="393">
        <f>SUM(F21,F24)</f>
        <v>1390.5244</v>
      </c>
      <c r="G25" s="393"/>
      <c r="H25" s="393"/>
    </row>
    <row r="26" spans="1:8">
      <c r="A26" s="390"/>
      <c r="B26" s="391"/>
      <c r="C26" s="391"/>
      <c r="D26" s="391"/>
      <c r="E26" s="392"/>
      <c r="F26" s="393"/>
      <c r="G26" s="393"/>
      <c r="H26" s="39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6"/>
      <c r="B1" s="360" t="s">
        <v>154</v>
      </c>
      <c r="C1" s="361"/>
      <c r="D1" s="361"/>
      <c r="E1" s="361"/>
      <c r="F1" s="409" t="s">
        <v>88</v>
      </c>
      <c r="G1" s="410"/>
      <c r="H1" s="411"/>
    </row>
    <row r="2" spans="1:8" ht="15.75" customHeight="1" thickBot="1">
      <c r="A2" s="407"/>
      <c r="B2" s="362"/>
      <c r="C2" s="363"/>
      <c r="D2" s="363"/>
      <c r="E2" s="363"/>
      <c r="F2" s="412"/>
      <c r="G2" s="413"/>
      <c r="H2" s="414"/>
    </row>
    <row r="3" spans="1:8" ht="15" customHeight="1">
      <c r="A3" s="407"/>
      <c r="B3" s="362"/>
      <c r="C3" s="363"/>
      <c r="D3" s="363"/>
      <c r="E3" s="363"/>
      <c r="F3" s="409" t="s">
        <v>89</v>
      </c>
      <c r="G3" s="410"/>
      <c r="H3" s="411"/>
    </row>
    <row r="4" spans="1:8" ht="15.75" customHeight="1" thickBot="1">
      <c r="A4" s="408"/>
      <c r="B4" s="364"/>
      <c r="C4" s="365"/>
      <c r="D4" s="365"/>
      <c r="E4" s="365"/>
      <c r="F4" s="415"/>
      <c r="G4" s="416"/>
      <c r="H4" s="417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8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8" t="s">
        <v>116</v>
      </c>
      <c r="C10" s="419"/>
      <c r="D10" s="420" t="s">
        <v>138</v>
      </c>
      <c r="E10" s="420"/>
      <c r="F10" s="418" t="s">
        <v>139</v>
      </c>
      <c r="G10" s="421"/>
      <c r="H10" s="419"/>
    </row>
    <row r="11" spans="1:8" ht="1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155</v>
      </c>
      <c r="B13" s="398">
        <f>G8</f>
        <v>1</v>
      </c>
      <c r="C13" s="398"/>
      <c r="D13" s="398">
        <v>16.48</v>
      </c>
      <c r="E13" s="398"/>
      <c r="F13" s="405">
        <f>PRODUCT(D13,B13)</f>
        <v>16.48</v>
      </c>
      <c r="G13" s="405"/>
      <c r="H13" s="405"/>
    </row>
    <row r="14" spans="1:8" ht="15">
      <c r="A14" s="102" t="s">
        <v>156</v>
      </c>
      <c r="B14" s="422"/>
      <c r="C14" s="423"/>
      <c r="D14" s="422"/>
      <c r="E14" s="423"/>
      <c r="F14" s="422"/>
      <c r="G14" s="423"/>
      <c r="H14" s="111"/>
    </row>
    <row r="15" spans="1:8" ht="15">
      <c r="A15" s="102" t="s">
        <v>157</v>
      </c>
      <c r="B15" s="422"/>
      <c r="C15" s="423"/>
      <c r="D15" s="422"/>
      <c r="E15" s="423"/>
      <c r="F15" s="422"/>
      <c r="G15" s="423"/>
      <c r="H15" s="111"/>
    </row>
    <row r="16" spans="1:8" ht="15">
      <c r="A16" s="102" t="s">
        <v>158</v>
      </c>
      <c r="B16" s="422"/>
      <c r="C16" s="423"/>
      <c r="D16" s="422"/>
      <c r="E16" s="423"/>
      <c r="F16" s="422"/>
      <c r="G16" s="423"/>
      <c r="H16" s="111"/>
    </row>
    <row r="17" spans="1:8" ht="15">
      <c r="A17" s="102" t="s">
        <v>159</v>
      </c>
      <c r="B17" s="422"/>
      <c r="C17" s="423"/>
      <c r="D17" s="422"/>
      <c r="E17" s="423"/>
      <c r="F17" s="422"/>
      <c r="G17" s="423"/>
      <c r="H17" s="111"/>
    </row>
    <row r="18" spans="1:8" ht="45" customHeight="1">
      <c r="A18" s="402" t="s">
        <v>143</v>
      </c>
      <c r="B18" s="402"/>
      <c r="C18" s="402"/>
      <c r="D18" s="402"/>
      <c r="E18" s="402"/>
      <c r="F18" s="402"/>
      <c r="G18" s="402"/>
      <c r="H18" s="402"/>
    </row>
    <row r="19" spans="1:8">
      <c r="A19" s="403"/>
      <c r="B19" s="403"/>
      <c r="C19" s="403"/>
      <c r="D19" s="403"/>
      <c r="E19" s="403"/>
      <c r="F19" s="403"/>
      <c r="G19" s="403"/>
      <c r="H19" s="403"/>
    </row>
    <row r="20" spans="1:8" ht="1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>
      <c r="A23" s="103" t="s">
        <v>147</v>
      </c>
      <c r="B23" s="398">
        <f>G8</f>
        <v>1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>
      <c r="A24" s="103" t="s">
        <v>153</v>
      </c>
      <c r="B24" s="422">
        <v>0</v>
      </c>
      <c r="C24" s="423"/>
      <c r="D24" s="422">
        <v>2.54</v>
      </c>
      <c r="E24" s="423"/>
      <c r="F24" s="422">
        <f>B24*D24</f>
        <v>0</v>
      </c>
      <c r="G24" s="423"/>
      <c r="H24" s="168"/>
    </row>
    <row r="25" spans="1:8" ht="18.75">
      <c r="A25" s="394" t="s">
        <v>148</v>
      </c>
      <c r="B25" s="395"/>
      <c r="C25" s="395"/>
      <c r="D25" s="395"/>
      <c r="E25" s="396"/>
      <c r="F25" s="424">
        <f>SUM(F11+F13+F20+F21+F22+F23)</f>
        <v>31.48</v>
      </c>
      <c r="G25" s="397"/>
      <c r="H25" s="397"/>
    </row>
    <row r="26" spans="1:8" ht="15">
      <c r="A26" s="383" t="s">
        <v>149</v>
      </c>
      <c r="B26" s="384"/>
      <c r="C26" s="384"/>
      <c r="D26" s="384"/>
      <c r="E26" s="385"/>
      <c r="F26" s="398">
        <v>63.63</v>
      </c>
      <c r="G26" s="398"/>
      <c r="H26" s="398"/>
    </row>
    <row r="27" spans="1:8" ht="15">
      <c r="A27" s="399" t="s">
        <v>150</v>
      </c>
      <c r="B27" s="400"/>
      <c r="C27" s="400"/>
      <c r="D27" s="400"/>
      <c r="E27" s="401"/>
      <c r="F27" s="398">
        <v>2.4300000000000002</v>
      </c>
      <c r="G27" s="398"/>
      <c r="H27" s="398"/>
    </row>
    <row r="28" spans="1:8" ht="15.75">
      <c r="A28" s="383" t="s">
        <v>151</v>
      </c>
      <c r="B28" s="384"/>
      <c r="C28" s="384"/>
      <c r="D28" s="384"/>
      <c r="E28" s="385"/>
      <c r="F28" s="386">
        <f>SUM(F26:H27)</f>
        <v>66.06</v>
      </c>
      <c r="G28" s="386"/>
      <c r="H28" s="386"/>
    </row>
    <row r="29" spans="1:8">
      <c r="A29" s="387" t="s">
        <v>152</v>
      </c>
      <c r="B29" s="388"/>
      <c r="C29" s="388"/>
      <c r="D29" s="388"/>
      <c r="E29" s="389"/>
      <c r="F29" s="393">
        <f>SUM(F25,F28)</f>
        <v>97.54</v>
      </c>
      <c r="G29" s="393"/>
      <c r="H29" s="393"/>
    </row>
    <row r="30" spans="1:8">
      <c r="A30" s="390"/>
      <c r="B30" s="391"/>
      <c r="C30" s="391"/>
      <c r="D30" s="391"/>
      <c r="E30" s="392"/>
      <c r="F30" s="393"/>
      <c r="G30" s="393"/>
      <c r="H30" s="39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5" t="s">
        <v>160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>
      <c r="C15" s="428" t="s">
        <v>180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181</v>
      </c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5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>
      <c r="C15" s="428" t="s">
        <v>182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5" t="s">
        <v>183</v>
      </c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7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1"/>
      <c r="D8" s="432"/>
      <c r="E8" s="432"/>
      <c r="F8" s="432"/>
      <c r="G8" s="432"/>
      <c r="H8" s="432"/>
      <c r="I8" s="432"/>
      <c r="J8" s="432"/>
      <c r="K8" s="433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>
      <c r="C15" s="428" t="s">
        <v>184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1"/>
      <c r="D18" s="432"/>
      <c r="E18" s="432"/>
      <c r="F18" s="432"/>
      <c r="G18" s="432"/>
      <c r="H18" s="432"/>
      <c r="I18" s="432"/>
      <c r="J18" s="432"/>
      <c r="K18" s="433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2021-09-22T09:38:40Z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