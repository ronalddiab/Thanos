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B1F98F08-C70E-426B-AF8C-8E57FEFCAD1D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M32" i="3"/>
  <c r="M31" i="3"/>
  <c r="M30" i="3"/>
  <c r="M29" i="3"/>
  <c r="M28" i="3"/>
  <c r="K32" i="3"/>
  <c r="K31" i="3"/>
  <c r="K29" i="3"/>
  <c r="K32" i="2"/>
  <c r="W3" i="2"/>
  <c r="J31" i="2"/>
  <c r="AB31" i="2"/>
  <c r="Y31" i="2"/>
  <c r="W31" i="2"/>
  <c r="U31" i="2"/>
  <c r="N31" i="2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N28" i="2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<sst xmlns="http://schemas.openxmlformats.org/spreadsheetml/2006/main" count="76" uniqueCount="40">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</sst>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topLeftCell="A4" workbookViewId="0">
      <selection activeCell="X16" sqref="X1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7654</v>
      </c>
      <c r="F9" s="108">
        <f>('JUNE 2026'!C9*0.27)/('JUNE 2026'!C9+'JUNE 2026'!E9)</f>
        <v>0.21232427488894698</v>
      </c>
      <c r="G9" s="95">
        <f>'JUNE 2026'!U9</f>
        <v>78</v>
      </c>
      <c r="H9" s="111">
        <v>0.62</v>
      </c>
      <c r="I9" s="96">
        <f>'JUNE 2026'!W9</f>
        <v>118</v>
      </c>
      <c r="J9" s="97">
        <v>2.42</v>
      </c>
      <c r="K9" s="104">
        <f>'JUNE 2026'!AB9*5.04</f>
        <v>0</v>
      </c>
      <c r="L9" s="114">
        <v>0.11509999999999999</v>
      </c>
      <c r="M9" s="105">
        <f>'JUNE 2026'!N9</f>
        <v>126</v>
      </c>
      <c r="N9" s="117">
        <v>0.88</v>
      </c>
      <c r="O9" s="98">
        <f>'JUNE 2026'!AC9</f>
        <v>210</v>
      </c>
      <c r="P9" s="98">
        <f>'JUNE 2026'!AD9</f>
        <v>407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7402</v>
      </c>
      <c r="F10" s="108">
        <f>('JUNE 2026'!C10*0.27)/('JUNE 2026'!C10+'JUNE 2026'!E10)</f>
        <v>0.21145501215887599</v>
      </c>
      <c r="G10" s="95">
        <f>'JUNE 2026'!U10</f>
        <v>50</v>
      </c>
      <c r="H10" s="111">
        <v>0.62</v>
      </c>
      <c r="I10" s="96">
        <f>'JUNE 2026'!W10</f>
        <v>121</v>
      </c>
      <c r="J10" s="97">
        <v>2.42</v>
      </c>
      <c r="K10" s="104">
        <f>'JUNE 2026'!AB10*5.04</f>
        <v>0</v>
      </c>
      <c r="L10" s="114">
        <v>0.11509999999999999</v>
      </c>
      <c r="M10" s="105">
        <f>'JUNE 2026'!N10</f>
        <v>113</v>
      </c>
      <c r="N10" s="117">
        <v>0.88</v>
      </c>
      <c r="O10" s="98">
        <f>'JUNE 2026'!AC10</f>
        <v>205</v>
      </c>
      <c r="P10" s="98">
        <f>'JUNE 2026'!AD10</f>
        <v>399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7746</v>
      </c>
      <c r="F11" s="108">
        <f>('JUNE 2026'!C11*0.27)/('JUNE 2026'!C11+'JUNE 2026'!E11)</f>
        <v>0.21426413632842758</v>
      </c>
      <c r="G11" s="95">
        <f>'JUNE 2026'!U11</f>
        <v>110</v>
      </c>
      <c r="H11" s="111">
        <v>0.62</v>
      </c>
      <c r="I11" s="96">
        <f>'JUNE 2026'!W11</f>
        <v>122</v>
      </c>
      <c r="J11" s="97">
        <v>2.42</v>
      </c>
      <c r="K11" s="104">
        <f>'JUNE 2026'!AB11*5.04</f>
        <v>0</v>
      </c>
      <c r="L11" s="114">
        <v>0.11509999999999999</v>
      </c>
      <c r="M11" s="105">
        <f>'JUNE 2026'!N11</f>
        <v>115</v>
      </c>
      <c r="N11" s="117">
        <v>0.88</v>
      </c>
      <c r="O11" s="98">
        <f>'JUNE 2026'!AC11</f>
        <v>201</v>
      </c>
      <c r="P11" s="98">
        <f>'JUNE 2026'!AD11</f>
        <v>392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7844</v>
      </c>
      <c r="F12" s="108">
        <f>('JUNE 2026'!C12*0.27)/('JUNE 2026'!C12+'JUNE 2026'!E12)</f>
        <v>0.21423763386027536</v>
      </c>
      <c r="G12" s="95">
        <f>'JUNE 2026'!U12</f>
        <v>120</v>
      </c>
      <c r="H12" s="111">
        <v>0.62</v>
      </c>
      <c r="I12" s="96">
        <f>'JUNE 2026'!W12</f>
        <v>121</v>
      </c>
      <c r="J12" s="97">
        <v>2.42</v>
      </c>
      <c r="K12" s="104">
        <f>'JUNE 2026'!AB12*5.04</f>
        <v>0</v>
      </c>
      <c r="L12" s="114">
        <v>0.11509999999999999</v>
      </c>
      <c r="M12" s="105">
        <f>'JUNE 2026'!N12</f>
        <v>93</v>
      </c>
      <c r="N12" s="117">
        <v>0.88</v>
      </c>
      <c r="O12" s="98">
        <f>'JUNE 2026'!AC12</f>
        <v>208</v>
      </c>
      <c r="P12" s="98">
        <f>'JUNE 2026'!AD12</f>
        <v>407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8014</v>
      </c>
      <c r="F13" s="108">
        <f>('JUNE 2026'!C13*0.27)/('JUNE 2026'!C13+'JUNE 2026'!E13)</f>
        <v>0.21761043174444722</v>
      </c>
      <c r="G13" s="95">
        <f>'JUNE 2026'!U13</f>
        <v>125</v>
      </c>
      <c r="H13" s="111">
        <v>0.62</v>
      </c>
      <c r="I13" s="96">
        <f>'JUNE 2026'!W13</f>
        <v>129</v>
      </c>
      <c r="J13" s="97">
        <v>2.42</v>
      </c>
      <c r="K13" s="104">
        <f>'JUNE 2026'!AB13*5.04</f>
        <v>0</v>
      </c>
      <c r="L13" s="114">
        <v>0.11509999999999999</v>
      </c>
      <c r="M13" s="105">
        <f>'JUNE 2026'!N13</f>
        <v>91</v>
      </c>
      <c r="N13" s="117">
        <v>0.88</v>
      </c>
      <c r="O13" s="98">
        <f>'JUNE 2026'!AC13</f>
        <v>235</v>
      </c>
      <c r="P13" s="98">
        <f>'JUNE 2026'!AD13</f>
        <v>462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8100</v>
      </c>
      <c r="F14" s="108">
        <f>('JUNE 2026'!C14*0.27)/('JUNE 2026'!C14+'JUNE 2026'!E14)</f>
        <v>0.21880000000000002</v>
      </c>
      <c r="G14" s="95">
        <f>'JUNE 2026'!U14</f>
        <v>75</v>
      </c>
      <c r="H14" s="111">
        <v>0.62</v>
      </c>
      <c r="I14" s="96">
        <f>'JUNE 2026'!W14</f>
        <v>133</v>
      </c>
      <c r="J14" s="97">
        <v>2.42</v>
      </c>
      <c r="K14" s="104">
        <f>'JUNE 2026'!AB14*5.04</f>
        <v>0</v>
      </c>
      <c r="L14" s="114">
        <v>0.11509999999999999</v>
      </c>
      <c r="M14" s="105">
        <f>'JUNE 2026'!N14</f>
        <v>93</v>
      </c>
      <c r="N14" s="117">
        <v>0.88</v>
      </c>
      <c r="O14" s="98">
        <f>'JUNE 2026'!AC14</f>
        <v>216</v>
      </c>
      <c r="P14" s="98">
        <f>'JUNE 2026'!AD14</f>
        <v>436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7945</v>
      </c>
      <c r="F15" s="108">
        <f>('JUNE 2026'!C15*0.27)/('JUNE 2026'!C15+'JUNE 2026'!E15)</f>
        <v>0.2162039018250472</v>
      </c>
      <c r="G15" s="95">
        <f>'JUNE 2026'!U15</f>
        <v>195</v>
      </c>
      <c r="H15" s="111">
        <v>0.62</v>
      </c>
      <c r="I15" s="96">
        <f>'JUNE 2026'!W15</f>
        <v>116</v>
      </c>
      <c r="J15" s="97">
        <v>2.42</v>
      </c>
      <c r="K15" s="104">
        <f>'JUNE 2026'!AB15*5.04</f>
        <v>0</v>
      </c>
      <c r="L15" s="114">
        <v>0.11509999999999999</v>
      </c>
      <c r="M15" s="105">
        <f>'JUNE 2026'!N15</f>
        <v>111</v>
      </c>
      <c r="N15" s="117">
        <v>0.88</v>
      </c>
      <c r="O15" s="98">
        <f>'JUNE 2026'!AC15</f>
        <v>179</v>
      </c>
      <c r="P15" s="98">
        <f>'JUNE 2026'!AD15</f>
        <v>349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7275</v>
      </c>
      <c r="F16" s="108">
        <f>('JUNE 2026'!C16*0.27)/('JUNE 2026'!C16+'JUNE 2026'!E16)</f>
        <v>0.21084123711340208</v>
      </c>
      <c r="G16" s="95">
        <f>'JUNE 2026'!U16</f>
        <v>158</v>
      </c>
      <c r="H16" s="111">
        <v>0.62</v>
      </c>
      <c r="I16" s="96">
        <f>'JUNE 2026'!W16</f>
        <v>115</v>
      </c>
      <c r="J16" s="97">
        <v>2.42</v>
      </c>
      <c r="K16" s="104">
        <f>'JUNE 2026'!AB16*5.04</f>
        <v>0</v>
      </c>
      <c r="L16" s="114">
        <v>0.11509999999999999</v>
      </c>
      <c r="M16" s="105">
        <f>'JUNE 2026'!N16</f>
        <v>138</v>
      </c>
      <c r="N16" s="117">
        <v>0.88</v>
      </c>
      <c r="O16" s="98">
        <f>'JUNE 2026'!AC16</f>
        <v>183</v>
      </c>
      <c r="P16" s="98">
        <f>'JUNE 2026'!AD16</f>
        <v>349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8505</v>
      </c>
      <c r="F17" s="108">
        <f>('JUNE 2026'!C17*0.27)/('JUNE 2026'!C17+'JUNE 2026'!E17)</f>
        <v>0.2183809523809524</v>
      </c>
      <c r="G17" s="95">
        <f>'JUNE 2026'!U17</f>
        <v>35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>
        <f>'JUNE 2026'!N17</f>
        <v>122</v>
      </c>
      <c r="N17" s="117">
        <v>0.88</v>
      </c>
      <c r="O17" s="98">
        <f>'JUNE 2026'!AC17</f>
        <v>203</v>
      </c>
      <c r="P17" s="98">
        <f>'JUNE 2026'!AD17</f>
        <v>384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8963</v>
      </c>
      <c r="F18" s="108">
        <f>('JUNE 2026'!C18*0.27)/('JUNE 2026'!C18+'JUNE 2026'!E18)</f>
        <v>0.221109003681803</v>
      </c>
      <c r="G18" s="95">
        <f>'JUNE 2026'!U18</f>
        <v>90</v>
      </c>
      <c r="H18" s="111">
        <v>0.62</v>
      </c>
      <c r="I18" s="96">
        <f>'JUNE 2026'!W18</f>
        <v>118</v>
      </c>
      <c r="J18" s="97">
        <v>2.42</v>
      </c>
      <c r="K18" s="104">
        <f>'JUNE 2026'!AB18*5.04</f>
        <v>0</v>
      </c>
      <c r="L18" s="114">
        <v>0.11509999999999999</v>
      </c>
      <c r="M18" s="105">
        <f>'JUNE 2026'!N18</f>
        <v>157</v>
      </c>
      <c r="N18" s="117">
        <v>0.88</v>
      </c>
      <c r="O18" s="98">
        <f>'JUNE 2026'!AC18</f>
        <v>209</v>
      </c>
      <c r="P18" s="98">
        <f>'JUNE 2026'!AD18</f>
        <v>403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8152</v>
      </c>
      <c r="F19" s="108">
        <f>('JUNE 2026'!C19*0.27)/('JUNE 2026'!C19+'JUNE 2026'!E19)</f>
        <v>0.21644381746810598</v>
      </c>
      <c r="G19" s="95">
        <f>'JUNE 2026'!U19</f>
        <v>125</v>
      </c>
      <c r="H19" s="111">
        <v>0.62</v>
      </c>
      <c r="I19" s="96">
        <f>'JUNE 2026'!W19</f>
        <v>128</v>
      </c>
      <c r="J19" s="97">
        <v>2.42</v>
      </c>
      <c r="K19" s="104">
        <f>'JUNE 2026'!AB19*5.04</f>
        <v>0</v>
      </c>
      <c r="L19" s="114">
        <v>0.11509999999999999</v>
      </c>
      <c r="M19" s="105">
        <f>'JUNE 2026'!N19</f>
        <v>103</v>
      </c>
      <c r="N19" s="117">
        <v>0.88</v>
      </c>
      <c r="O19" s="98">
        <f>'JUNE 2026'!AC19</f>
        <v>227</v>
      </c>
      <c r="P19" s="98">
        <f>'JUNE 2026'!AD19</f>
        <v>435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8789</v>
      </c>
      <c r="F20" s="108">
        <f>('JUNE 2026'!C20*0.27)/('JUNE 2026'!C20+'JUNE 2026'!E20)</f>
        <v>0.22287518489020369</v>
      </c>
      <c r="G20" s="95">
        <f>'JUNE 2026'!U20</f>
        <v>175</v>
      </c>
      <c r="H20" s="111">
        <v>0.62</v>
      </c>
      <c r="I20" s="96">
        <f>'JUNE 2026'!W20</f>
        <v>139</v>
      </c>
      <c r="J20" s="97">
        <v>2.42</v>
      </c>
      <c r="K20" s="104">
        <f>'JUNE 2026'!AB20*5.04</f>
        <v>0</v>
      </c>
      <c r="L20" s="114">
        <v>0.11509999999999999</v>
      </c>
      <c r="M20" s="105">
        <f>'JUNE 2026'!N20</f>
        <v>116</v>
      </c>
      <c r="N20" s="117">
        <v>0.88</v>
      </c>
      <c r="O20" s="98">
        <f>'JUNE 2026'!AC20</f>
        <v>223</v>
      </c>
      <c r="P20" s="98">
        <f>'JUNE 2026'!AD20</f>
        <v>432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8832</v>
      </c>
      <c r="F21" s="108">
        <f>('JUNE 2026'!C21*0.27)/('JUNE 2026'!C21+'JUNE 2026'!E21)</f>
        <v>0.22139266304347827</v>
      </c>
      <c r="G21" s="95">
        <f>'JUNE 2026'!U21</f>
        <v>225</v>
      </c>
      <c r="H21" s="111">
        <v>0.62</v>
      </c>
      <c r="I21" s="96">
        <f>'JUNE 2026'!W21</f>
        <v>122</v>
      </c>
      <c r="J21" s="97">
        <v>2.42</v>
      </c>
      <c r="K21" s="104">
        <f>'JUNE 2026'!AB21*5.04</f>
        <v>0</v>
      </c>
      <c r="L21" s="114">
        <v>0.11509999999999999</v>
      </c>
      <c r="M21" s="105">
        <f>'JUNE 2026'!N21</f>
        <v>123</v>
      </c>
      <c r="N21" s="117">
        <v>0.88</v>
      </c>
      <c r="O21" s="98">
        <f>'JUNE 2026'!AC21</f>
        <v>225</v>
      </c>
      <c r="P21" s="98">
        <f>'JUNE 2026'!AD21</f>
        <v>435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8639</v>
      </c>
      <c r="F22" s="108">
        <f>('JUNE 2026'!C22*0.27)/('JUNE 2026'!C22+'JUNE 2026'!E22)</f>
        <v>0.21911911100821854</v>
      </c>
      <c r="G22" s="95">
        <f>'JUNE 2026'!U22</f>
        <v>185</v>
      </c>
      <c r="H22" s="111">
        <v>0.62</v>
      </c>
      <c r="I22" s="96">
        <f>'JUNE 2026'!W22</f>
        <v>127</v>
      </c>
      <c r="J22" s="97">
        <v>2.42</v>
      </c>
      <c r="K22" s="104">
        <f>'JUNE 2026'!AB22*5.04</f>
        <v>0</v>
      </c>
      <c r="L22" s="114">
        <v>0.11509999999999999</v>
      </c>
      <c r="M22" s="105">
        <f>'JUNE 2026'!N22</f>
        <v>112</v>
      </c>
      <c r="N22" s="117">
        <v>0.88</v>
      </c>
      <c r="O22" s="98">
        <f>'JUNE 2026'!AC22</f>
        <v>217</v>
      </c>
      <c r="P22" s="98">
        <f>'JUNE 2026'!AD22</f>
        <v>422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8791</v>
      </c>
      <c r="F23" s="108">
        <f>('JUNE 2026'!C23*0.27)/('JUNE 2026'!C23+'JUNE 2026'!E23)</f>
        <v>0.22340803094073483</v>
      </c>
      <c r="G23" s="95">
        <f>'JUNE 2026'!U23</f>
        <v>-79</v>
      </c>
      <c r="H23" s="111">
        <v>0.62</v>
      </c>
      <c r="I23" s="96">
        <f>'JUNE 2026'!W23</f>
        <v>134</v>
      </c>
      <c r="J23" s="97">
        <v>2.42</v>
      </c>
      <c r="K23" s="104">
        <f>'JUNE 2026'!AB23*5.04</f>
        <v>0</v>
      </c>
      <c r="L23" s="114">
        <v>0.11509999999999999</v>
      </c>
      <c r="M23" s="105">
        <f>'JUNE 2026'!N23</f>
        <v>117</v>
      </c>
      <c r="N23" s="117">
        <v>0.88</v>
      </c>
      <c r="O23" s="98">
        <f>'JUNE 2026'!AC23</f>
        <v>208</v>
      </c>
      <c r="P23" s="98">
        <f>'JUNE 2026'!AD23</f>
        <v>402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8583</v>
      </c>
      <c r="F24" s="108">
        <f>('JUNE 2026'!C24*0.27)/('JUNE 2026'!C24+'JUNE 2026'!E24)</f>
        <v>0.22149248514505421</v>
      </c>
      <c r="G24" s="95">
        <f>'JUNE 2026'!U24</f>
        <v>135</v>
      </c>
      <c r="H24" s="111">
        <v>0.62</v>
      </c>
      <c r="I24" s="96">
        <f>'JUNE 2026'!W24</f>
        <v>134</v>
      </c>
      <c r="J24" s="97">
        <v>2.42</v>
      </c>
      <c r="K24" s="104">
        <f>'JUNE 2026'!AB24*5.04</f>
        <v>0</v>
      </c>
      <c r="L24" s="114">
        <v>0.11509999999999999</v>
      </c>
      <c r="M24" s="105">
        <f>'JUNE 2026'!N24</f>
        <v>98</v>
      </c>
      <c r="N24" s="117">
        <v>0.88</v>
      </c>
      <c r="O24" s="98">
        <f>'JUNE 2026'!AC24</f>
        <v>215</v>
      </c>
      <c r="P24" s="98">
        <f>'JUNE 2026'!AD24</f>
        <v>419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8651</v>
      </c>
      <c r="F25" s="108">
        <f>('JUNE 2026'!C25*0.27)/('JUNE 2026'!C25+'JUNE 2026'!E25)</f>
        <v>0.22062536122991563</v>
      </c>
      <c r="G25" s="95">
        <f>'JUNE 2026'!U25</f>
        <v>30</v>
      </c>
      <c r="H25" s="111">
        <v>0.62</v>
      </c>
      <c r="I25" s="96">
        <f>'JUNE 2026'!W25</f>
        <v>123</v>
      </c>
      <c r="J25" s="97">
        <v>2.42</v>
      </c>
      <c r="K25" s="104">
        <f>'JUNE 2026'!AB25*5.04</f>
        <v>0</v>
      </c>
      <c r="L25" s="114">
        <v>0.11509999999999999</v>
      </c>
      <c r="M25" s="105">
        <f>'JUNE 2026'!N25</f>
        <v>111</v>
      </c>
      <c r="N25" s="117">
        <v>0.88</v>
      </c>
      <c r="O25" s="98">
        <f>'JUNE 2026'!AC25</f>
        <v>209</v>
      </c>
      <c r="P25" s="98">
        <f>'JUNE 2026'!AD25</f>
        <v>408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8477</v>
      </c>
      <c r="F26" s="108">
        <f>('JUNE 2026'!C26*0.27)/('JUNE 2026'!C26+'JUNE 2026'!E26)</f>
        <v>0.21792379379497465</v>
      </c>
      <c r="G26" s="95">
        <f>'JUNE 2026'!U26</f>
        <v>155</v>
      </c>
      <c r="H26" s="111">
        <v>0.62</v>
      </c>
      <c r="I26" s="96">
        <f>'JUNE 2026'!W26</f>
        <v>123</v>
      </c>
      <c r="J26" s="97">
        <v>2.42</v>
      </c>
      <c r="K26" s="104">
        <f>'JUNE 2026'!AB26*5.04</f>
        <v>0</v>
      </c>
      <c r="L26" s="114">
        <v>0.11509999999999999</v>
      </c>
      <c r="M26" s="105">
        <f>'JUNE 2026'!N26</f>
        <v>121</v>
      </c>
      <c r="N26" s="117">
        <v>0.88</v>
      </c>
      <c r="O26" s="98">
        <f>'JUNE 2026'!AC26</f>
        <v>209</v>
      </c>
      <c r="P26" s="98">
        <f>'JUNE 2026'!AD26</f>
        <v>405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 t="str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215</v>
      </c>
      <c r="P27" s="98">
        <f>'JUNE 2026'!AD27</f>
        <v>419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2026'!N28</f>
        <v>0</v>
      </c>
      <c r="N28" s="117">
        <v>0.88</v>
      </c>
      <c r="O28" s="98">
        <f>'JUNE 2026'!AC27</f>
        <v>215</v>
      </c>
      <c r="P28" s="98">
        <f>'JUNE 2026'!AD27</f>
        <v>419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>
        <f>'JUNE 2026'!AB32*5.04</f>
        <v>0</v>
      </c>
      <c r="L29" s="114">
        <v>0.11509999999999999</v>
      </c>
      <c r="M29" s="105" t="str">
        <f>'JUNE 2026'!N29</f>
        <v>0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2026'!AB33*5.04</f>
        <v>0</v>
      </c>
      <c r="L30" s="114">
        <v>0.11509999999999999</v>
      </c>
      <c r="M30" s="105" t="str">
        <f>'JUNE 2026'!N30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 t="str">
        <f>'JUNE 2026'!N31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>
        <f>'JUNE 2026'!AB35*5.04</f>
        <v>0</v>
      </c>
      <c r="L32" s="114"/>
      <c r="M32" s="105" t="str">
        <f>'JUNE 2026'!N32</f>
        <v>0</v>
      </c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F1" zoomScale="90" zoomScaleNormal="90" workbookViewId="0">
      <selection activeCell="AH26" sqref="AH26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432.04000000000815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>
        <f t="shared" si="2"/>
        <v>6019</v>
      </c>
      <c r="D9" s="11">
        <v>1145863</v>
      </c>
      <c r="E9" s="14">
        <f t="shared" si="3"/>
        <v>1635</v>
      </c>
      <c r="F9" s="27">
        <v>1704</v>
      </c>
      <c r="G9" s="65">
        <f t="shared" si="4"/>
        <v>0</v>
      </c>
      <c r="H9" s="67">
        <f t="shared" si="5"/>
        <v>7654</v>
      </c>
      <c r="I9" s="71">
        <f t="shared" si="6"/>
        <v>-38528.259999999995</v>
      </c>
      <c r="J9" s="32">
        <f t="shared" si="0"/>
        <v>-253.44000000000233</v>
      </c>
      <c r="K9" s="20">
        <f t="shared" si="7"/>
        <v>46181</v>
      </c>
      <c r="L9" s="33">
        <v>2763</v>
      </c>
      <c r="M9" s="31">
        <v>0</v>
      </c>
      <c r="N9" s="32">
        <f t="shared" si="8"/>
        <v>126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78</v>
      </c>
      <c r="V9" s="40">
        <v>8565</v>
      </c>
      <c r="W9" s="32">
        <f t="shared" si="1"/>
        <v>118</v>
      </c>
      <c r="X9" s="42">
        <v>62073</v>
      </c>
      <c r="Y9" s="14">
        <f t="shared" si="11"/>
        <v>13</v>
      </c>
      <c r="Z9" s="45">
        <v>0</v>
      </c>
      <c r="AA9" s="51">
        <v>0</v>
      </c>
      <c r="AB9" s="32" t="str">
        <f t="shared" si="12"/>
        <v>0</v>
      </c>
      <c r="AC9" s="13">
        <v>210</v>
      </c>
      <c r="AD9" s="18">
        <v>407</v>
      </c>
    </row>
    <row r="10" spans="1:30" ht="20.65" customHeight="1" x14ac:dyDescent="0.2">
      <c r="A10" s="19">
        <v>46182</v>
      </c>
      <c r="B10" s="10">
        <v>487492</v>
      </c>
      <c r="C10" s="14">
        <f t="shared" si="2"/>
        <v>5797</v>
      </c>
      <c r="D10" s="11">
        <v>1147498</v>
      </c>
      <c r="E10" s="14">
        <f t="shared" si="3"/>
        <v>1605</v>
      </c>
      <c r="F10" s="27">
        <v>1704</v>
      </c>
      <c r="G10" s="65">
        <f t="shared" si="4"/>
        <v>0</v>
      </c>
      <c r="H10" s="67">
        <f t="shared" si="5"/>
        <v>7402</v>
      </c>
      <c r="I10" s="71">
        <f t="shared" si="6"/>
        <v>-38781.699999999997</v>
      </c>
      <c r="J10" s="32">
        <f t="shared" si="0"/>
        <v>343.02999999999884</v>
      </c>
      <c r="K10" s="20">
        <f t="shared" si="7"/>
        <v>46182</v>
      </c>
      <c r="L10" s="33">
        <v>2637</v>
      </c>
      <c r="M10" s="31">
        <v>0</v>
      </c>
      <c r="N10" s="32">
        <f t="shared" ref="N10:N32" si="13">IF((L10-L11+M10)=L10,"0",(L10-L11+M10))</f>
        <v>113</v>
      </c>
      <c r="O10" s="83">
        <v>0.84</v>
      </c>
      <c r="P10" s="84">
        <v>0.81</v>
      </c>
      <c r="Q10" s="83">
        <v>0.86</v>
      </c>
      <c r="R10" s="84">
        <v>0.79</v>
      </c>
      <c r="S10" s="37">
        <f t="shared" si="9"/>
        <v>4950</v>
      </c>
      <c r="T10" s="121"/>
      <c r="U10" s="32">
        <f t="shared" si="10"/>
        <v>50</v>
      </c>
      <c r="V10" s="40">
        <v>8683</v>
      </c>
      <c r="W10" s="32">
        <f t="shared" si="1"/>
        <v>121</v>
      </c>
      <c r="X10" s="42">
        <v>62086</v>
      </c>
      <c r="Y10" s="14">
        <f t="shared" si="11"/>
        <v>7</v>
      </c>
      <c r="Z10" s="45">
        <v>0</v>
      </c>
      <c r="AA10" s="51">
        <v>0</v>
      </c>
      <c r="AB10" s="32" t="str">
        <f t="shared" si="12"/>
        <v>0</v>
      </c>
      <c r="AC10" s="13">
        <v>205</v>
      </c>
      <c r="AD10" s="18">
        <v>399</v>
      </c>
    </row>
    <row r="11" spans="1:30" ht="20.65" customHeight="1" x14ac:dyDescent="0.2">
      <c r="A11" s="19">
        <v>46183</v>
      </c>
      <c r="B11" s="10">
        <v>493289</v>
      </c>
      <c r="C11" s="14">
        <f t="shared" si="2"/>
        <v>6147</v>
      </c>
      <c r="D11" s="11">
        <v>1149103</v>
      </c>
      <c r="E11" s="14">
        <f t="shared" si="3"/>
        <v>1599</v>
      </c>
      <c r="F11" s="27">
        <v>1704</v>
      </c>
      <c r="G11" s="65">
        <f t="shared" si="4"/>
        <v>0</v>
      </c>
      <c r="H11" s="67">
        <f t="shared" si="5"/>
        <v>7746</v>
      </c>
      <c r="I11" s="71">
        <f t="shared" si="6"/>
        <v>-38438.67</v>
      </c>
      <c r="J11" s="32">
        <f t="shared" si="0"/>
        <v>97.059999999997672</v>
      </c>
      <c r="K11" s="20">
        <f t="shared" si="7"/>
        <v>46183</v>
      </c>
      <c r="L11" s="33">
        <v>2524</v>
      </c>
      <c r="M11" s="31">
        <v>0</v>
      </c>
      <c r="N11" s="32">
        <f t="shared" si="13"/>
        <v>115</v>
      </c>
      <c r="O11" s="83">
        <v>0.84</v>
      </c>
      <c r="P11" s="84">
        <v>0.8</v>
      </c>
      <c r="Q11" s="83">
        <v>0.83</v>
      </c>
      <c r="R11" s="84">
        <v>0.77</v>
      </c>
      <c r="S11" s="37">
        <f t="shared" si="9"/>
        <v>4900</v>
      </c>
      <c r="T11" s="121"/>
      <c r="U11" s="32">
        <f t="shared" si="10"/>
        <v>110</v>
      </c>
      <c r="V11" s="40">
        <v>8804</v>
      </c>
      <c r="W11" s="32">
        <f t="shared" si="1"/>
        <v>122</v>
      </c>
      <c r="X11" s="42">
        <v>62093</v>
      </c>
      <c r="Y11" s="14">
        <f t="shared" si="11"/>
        <v>3</v>
      </c>
      <c r="Z11" s="45">
        <v>0</v>
      </c>
      <c r="AA11" s="51">
        <v>0</v>
      </c>
      <c r="AB11" s="32" t="str">
        <f t="shared" si="12"/>
        <v>0</v>
      </c>
      <c r="AC11" s="13">
        <v>201</v>
      </c>
      <c r="AD11" s="18">
        <v>392</v>
      </c>
    </row>
    <row r="12" spans="1:30" ht="21.4" customHeight="1" x14ac:dyDescent="0.2">
      <c r="A12" s="19">
        <v>46184</v>
      </c>
      <c r="B12" s="10">
        <v>499436</v>
      </c>
      <c r="C12" s="14">
        <f t="shared" si="2"/>
        <v>6224</v>
      </c>
      <c r="D12" s="11">
        <v>1150702</v>
      </c>
      <c r="E12" s="14">
        <f t="shared" si="3"/>
        <v>1620</v>
      </c>
      <c r="F12" s="27">
        <v>1704</v>
      </c>
      <c r="G12" s="65">
        <f t="shared" si="4"/>
        <v>0</v>
      </c>
      <c r="H12" s="67">
        <f t="shared" si="5"/>
        <v>7844</v>
      </c>
      <c r="I12" s="71">
        <f t="shared" si="6"/>
        <v>-38341.61</v>
      </c>
      <c r="J12" s="32">
        <f t="shared" si="0"/>
        <v>169.08999999999651</v>
      </c>
      <c r="K12" s="20">
        <f t="shared" si="7"/>
        <v>46184</v>
      </c>
      <c r="L12" s="33">
        <v>2409</v>
      </c>
      <c r="M12" s="31">
        <v>0</v>
      </c>
      <c r="N12" s="32">
        <f t="shared" si="13"/>
        <v>93</v>
      </c>
      <c r="O12" s="83">
        <v>0.81</v>
      </c>
      <c r="P12" s="84">
        <v>0.8</v>
      </c>
      <c r="Q12" s="83">
        <v>0.8</v>
      </c>
      <c r="R12" s="84">
        <v>0.73</v>
      </c>
      <c r="S12" s="37">
        <f t="shared" si="9"/>
        <v>4790</v>
      </c>
      <c r="T12" s="121"/>
      <c r="U12" s="32">
        <f t="shared" si="10"/>
        <v>120</v>
      </c>
      <c r="V12" s="40">
        <v>8926</v>
      </c>
      <c r="W12" s="32">
        <f t="shared" si="1"/>
        <v>121</v>
      </c>
      <c r="X12" s="42">
        <v>62096</v>
      </c>
      <c r="Y12" s="14">
        <f t="shared" si="11"/>
        <v>25</v>
      </c>
      <c r="Z12" s="46">
        <v>0</v>
      </c>
      <c r="AA12" s="51">
        <v>0</v>
      </c>
      <c r="AB12" s="32" t="str">
        <f t="shared" si="12"/>
        <v>0</v>
      </c>
      <c r="AC12" s="13">
        <v>208</v>
      </c>
      <c r="AD12" s="18">
        <v>407</v>
      </c>
    </row>
    <row r="13" spans="1:30" ht="20.65" customHeight="1" x14ac:dyDescent="0.2">
      <c r="A13" s="19">
        <v>46185</v>
      </c>
      <c r="B13" s="10">
        <v>505660</v>
      </c>
      <c r="C13" s="14">
        <f t="shared" si="2"/>
        <v>6459</v>
      </c>
      <c r="D13" s="11">
        <v>1152322</v>
      </c>
      <c r="E13" s="14">
        <f t="shared" si="3"/>
        <v>1555</v>
      </c>
      <c r="F13" s="27">
        <v>1704</v>
      </c>
      <c r="G13" s="65">
        <f t="shared" si="4"/>
        <v>0</v>
      </c>
      <c r="H13" s="67">
        <f t="shared" si="5"/>
        <v>8014</v>
      </c>
      <c r="I13" s="71">
        <f t="shared" si="6"/>
        <v>-38172.520000000004</v>
      </c>
      <c r="J13" s="32">
        <f t="shared" si="0"/>
        <v>85.069999999999709</v>
      </c>
      <c r="K13" s="20">
        <f t="shared" si="7"/>
        <v>46185</v>
      </c>
      <c r="L13" s="33">
        <v>2316</v>
      </c>
      <c r="M13" s="31">
        <v>0</v>
      </c>
      <c r="N13" s="32">
        <f t="shared" si="13"/>
        <v>91</v>
      </c>
      <c r="O13" s="83">
        <v>0.79</v>
      </c>
      <c r="P13" s="84">
        <v>0.8</v>
      </c>
      <c r="Q13" s="83">
        <v>0.73</v>
      </c>
      <c r="R13" s="84">
        <v>0.66</v>
      </c>
      <c r="S13" s="37">
        <f t="shared" si="9"/>
        <v>4670</v>
      </c>
      <c r="T13" s="121"/>
      <c r="U13" s="32">
        <f t="shared" si="10"/>
        <v>125</v>
      </c>
      <c r="V13" s="40">
        <v>9047</v>
      </c>
      <c r="W13" s="32">
        <f t="shared" si="1"/>
        <v>129</v>
      </c>
      <c r="X13" s="42">
        <v>62121</v>
      </c>
      <c r="Y13" s="14">
        <f t="shared" si="11"/>
        <v>13</v>
      </c>
      <c r="Z13" s="46">
        <v>0</v>
      </c>
      <c r="AA13" s="51">
        <v>0</v>
      </c>
      <c r="AB13" s="32" t="str">
        <f t="shared" si="12"/>
        <v>0</v>
      </c>
      <c r="AC13" s="13">
        <v>235</v>
      </c>
      <c r="AD13" s="18">
        <v>462</v>
      </c>
    </row>
    <row r="14" spans="1:30" ht="20.65" customHeight="1" x14ac:dyDescent="0.2">
      <c r="A14" s="19">
        <v>46186</v>
      </c>
      <c r="B14" s="10">
        <v>512119</v>
      </c>
      <c r="C14" s="14">
        <f t="shared" si="2"/>
        <v>6564</v>
      </c>
      <c r="D14" s="11">
        <v>1153877</v>
      </c>
      <c r="E14" s="14">
        <f t="shared" ref="E14:E31" si="14">IF((D15-D14)&lt;0,"0",D15-D14)</f>
        <v>1536</v>
      </c>
      <c r="F14" s="27">
        <v>1704</v>
      </c>
      <c r="G14" s="65">
        <f t="shared" si="4"/>
        <v>0</v>
      </c>
      <c r="H14" s="67">
        <f t="shared" si="5"/>
        <v>8100</v>
      </c>
      <c r="I14" s="71">
        <f t="shared" si="6"/>
        <v>-38087.450000000004</v>
      </c>
      <c r="J14" s="32">
        <f t="shared" si="0"/>
        <v>-155.93999999999505</v>
      </c>
      <c r="K14" s="20">
        <f t="shared" si="7"/>
        <v>46186</v>
      </c>
      <c r="L14" s="33">
        <v>2225</v>
      </c>
      <c r="M14" s="31">
        <v>0</v>
      </c>
      <c r="N14" s="32">
        <f t="shared" si="13"/>
        <v>93</v>
      </c>
      <c r="O14" s="83">
        <v>0.79</v>
      </c>
      <c r="P14" s="84">
        <v>0.77</v>
      </c>
      <c r="Q14" s="83">
        <v>0.66</v>
      </c>
      <c r="R14" s="84">
        <v>0.63</v>
      </c>
      <c r="S14" s="37">
        <f t="shared" si="9"/>
        <v>4545</v>
      </c>
      <c r="T14" s="121"/>
      <c r="U14" s="32">
        <f t="shared" si="10"/>
        <v>75</v>
      </c>
      <c r="V14" s="40">
        <v>9176</v>
      </c>
      <c r="W14" s="32">
        <f t="shared" si="1"/>
        <v>133</v>
      </c>
      <c r="X14" s="42">
        <v>62134</v>
      </c>
      <c r="Y14" s="14">
        <f t="shared" si="11"/>
        <v>8</v>
      </c>
      <c r="Z14" s="46">
        <v>0</v>
      </c>
      <c r="AA14" s="51">
        <v>0</v>
      </c>
      <c r="AB14" s="32" t="str">
        <f t="shared" si="12"/>
        <v>0</v>
      </c>
      <c r="AC14" s="13">
        <v>216</v>
      </c>
      <c r="AD14" s="18">
        <v>436</v>
      </c>
    </row>
    <row r="15" spans="1:30" ht="20.65" customHeight="1" x14ac:dyDescent="0.2">
      <c r="A15" s="19">
        <v>46187</v>
      </c>
      <c r="B15" s="10">
        <v>518683</v>
      </c>
      <c r="C15" s="14">
        <f t="shared" si="2"/>
        <v>6362</v>
      </c>
      <c r="D15" s="11">
        <v>1155413</v>
      </c>
      <c r="E15" s="14">
        <f t="shared" si="14"/>
        <v>1583</v>
      </c>
      <c r="F15" s="27">
        <v>1704</v>
      </c>
      <c r="G15" s="65">
        <f t="shared" si="4"/>
        <v>0</v>
      </c>
      <c r="H15" s="67">
        <f t="shared" si="5"/>
        <v>7945</v>
      </c>
      <c r="I15" s="71">
        <f t="shared" si="6"/>
        <v>-38243.39</v>
      </c>
      <c r="J15" s="32">
        <f t="shared" si="0"/>
        <v>-670.90000000000146</v>
      </c>
      <c r="K15" s="20">
        <f t="shared" si="7"/>
        <v>46187</v>
      </c>
      <c r="L15" s="33">
        <v>2132</v>
      </c>
      <c r="M15" s="31">
        <v>0</v>
      </c>
      <c r="N15" s="32">
        <f t="shared" si="13"/>
        <v>111</v>
      </c>
      <c r="O15" s="83">
        <v>0.78</v>
      </c>
      <c r="P15" s="84">
        <v>0.77</v>
      </c>
      <c r="Q15" s="83">
        <v>0.61</v>
      </c>
      <c r="R15" s="84">
        <v>0.57999999999999996</v>
      </c>
      <c r="S15" s="37">
        <f t="shared" si="9"/>
        <v>4470</v>
      </c>
      <c r="T15" s="121"/>
      <c r="U15" s="32">
        <f t="shared" si="10"/>
        <v>195</v>
      </c>
      <c r="V15" s="40">
        <v>9309</v>
      </c>
      <c r="W15" s="32">
        <f t="shared" si="1"/>
        <v>116</v>
      </c>
      <c r="X15" s="43">
        <v>62142</v>
      </c>
      <c r="Y15" s="14">
        <f t="shared" si="11"/>
        <v>18</v>
      </c>
      <c r="Z15" s="46">
        <v>0</v>
      </c>
      <c r="AA15" s="51">
        <v>0</v>
      </c>
      <c r="AB15" s="32" t="str">
        <f t="shared" si="12"/>
        <v>0</v>
      </c>
      <c r="AC15" s="13">
        <v>179</v>
      </c>
      <c r="AD15" s="18">
        <v>349</v>
      </c>
    </row>
    <row r="16" spans="1:30" ht="20.65" customHeight="1" x14ac:dyDescent="0.2">
      <c r="A16" s="19">
        <v>46188</v>
      </c>
      <c r="B16" s="10">
        <v>525045</v>
      </c>
      <c r="C16" s="14">
        <f t="shared" si="2"/>
        <v>5681</v>
      </c>
      <c r="D16" s="11">
        <v>1156996</v>
      </c>
      <c r="E16" s="14">
        <f t="shared" si="14"/>
        <v>1594</v>
      </c>
      <c r="F16" s="27">
        <v>1704</v>
      </c>
      <c r="G16" s="65">
        <f t="shared" si="4"/>
        <v>0</v>
      </c>
      <c r="H16" s="67">
        <f t="shared" si="5"/>
        <v>7275</v>
      </c>
      <c r="I16" s="71">
        <f t="shared" si="6"/>
        <v>-38914.29</v>
      </c>
      <c r="J16" s="32">
        <f t="shared" si="0"/>
        <v>1228.7799999999988</v>
      </c>
      <c r="K16" s="20">
        <f t="shared" si="7"/>
        <v>46188</v>
      </c>
      <c r="L16" s="33">
        <v>2021</v>
      </c>
      <c r="M16" s="31">
        <v>0</v>
      </c>
      <c r="N16" s="32">
        <f t="shared" si="13"/>
        <v>138</v>
      </c>
      <c r="O16" s="83">
        <v>0.74</v>
      </c>
      <c r="P16" s="84">
        <v>0.75</v>
      </c>
      <c r="Q16" s="83">
        <v>0.55000000000000004</v>
      </c>
      <c r="R16" s="84">
        <v>0.55000000000000004</v>
      </c>
      <c r="S16" s="37">
        <f t="shared" si="9"/>
        <v>4275</v>
      </c>
      <c r="T16" s="121">
        <v>258</v>
      </c>
      <c r="U16" s="32">
        <f t="shared" si="10"/>
        <v>158</v>
      </c>
      <c r="V16" s="40">
        <v>9425</v>
      </c>
      <c r="W16" s="32">
        <f t="shared" si="1"/>
        <v>115</v>
      </c>
      <c r="X16" s="43">
        <v>62160</v>
      </c>
      <c r="Y16" s="14">
        <f t="shared" si="11"/>
        <v>32</v>
      </c>
      <c r="Z16" s="46">
        <v>0</v>
      </c>
      <c r="AA16" s="51">
        <v>0</v>
      </c>
      <c r="AB16" s="32" t="str">
        <f t="shared" si="12"/>
        <v>0</v>
      </c>
      <c r="AC16" s="13">
        <v>183</v>
      </c>
      <c r="AD16" s="18">
        <v>349</v>
      </c>
    </row>
    <row r="17" spans="1:30" ht="20.65" customHeight="1" x14ac:dyDescent="0.2">
      <c r="A17" s="19">
        <v>46189</v>
      </c>
      <c r="B17" s="10">
        <v>530726</v>
      </c>
      <c r="C17" s="14">
        <f t="shared" si="2"/>
        <v>6879</v>
      </c>
      <c r="D17" s="11">
        <v>1158590</v>
      </c>
      <c r="E17" s="14">
        <f t="shared" si="14"/>
        <v>1626</v>
      </c>
      <c r="F17" s="27">
        <v>1704</v>
      </c>
      <c r="G17" s="65">
        <f t="shared" si="4"/>
        <v>0</v>
      </c>
      <c r="H17" s="67">
        <f t="shared" si="5"/>
        <v>8505</v>
      </c>
      <c r="I17" s="71">
        <f t="shared" si="6"/>
        <v>-37685.51</v>
      </c>
      <c r="J17" s="32">
        <f t="shared" si="0"/>
        <v>-5543</v>
      </c>
      <c r="K17" s="20">
        <f t="shared" si="7"/>
        <v>46189</v>
      </c>
      <c r="L17" s="33">
        <v>1883</v>
      </c>
      <c r="M17" s="31">
        <v>0</v>
      </c>
      <c r="N17" s="32">
        <f t="shared" si="13"/>
        <v>122</v>
      </c>
      <c r="O17" s="83">
        <v>0.71</v>
      </c>
      <c r="P17" s="84">
        <v>0.73</v>
      </c>
      <c r="Q17" s="83">
        <v>0.8</v>
      </c>
      <c r="R17" s="84">
        <v>0.75</v>
      </c>
      <c r="S17" s="37">
        <f t="shared" si="9"/>
        <v>4375</v>
      </c>
      <c r="T17" s="121"/>
      <c r="U17" s="32">
        <f t="shared" si="10"/>
        <v>35</v>
      </c>
      <c r="V17" s="40">
        <v>9540</v>
      </c>
      <c r="W17" s="32">
        <v>0</v>
      </c>
      <c r="X17" s="43">
        <v>62192</v>
      </c>
      <c r="Y17" s="14">
        <f t="shared" si="11"/>
        <v>11</v>
      </c>
      <c r="Z17" s="46">
        <v>0</v>
      </c>
      <c r="AA17" s="51">
        <v>0</v>
      </c>
      <c r="AB17" s="32" t="str">
        <f t="shared" si="12"/>
        <v>0</v>
      </c>
      <c r="AC17" s="13">
        <v>203</v>
      </c>
      <c r="AD17" s="18">
        <v>384</v>
      </c>
    </row>
    <row r="18" spans="1:30" ht="20.65" customHeight="1" x14ac:dyDescent="0.2">
      <c r="A18" s="19">
        <v>46190</v>
      </c>
      <c r="B18" s="10">
        <v>537605</v>
      </c>
      <c r="C18" s="14">
        <f t="shared" si="2"/>
        <v>7340</v>
      </c>
      <c r="D18" s="11">
        <v>1160216</v>
      </c>
      <c r="E18" s="14">
        <f t="shared" si="14"/>
        <v>1623</v>
      </c>
      <c r="F18" s="27">
        <v>1704</v>
      </c>
      <c r="G18" s="65">
        <f t="shared" si="4"/>
        <v>0</v>
      </c>
      <c r="H18" s="67">
        <f t="shared" si="5"/>
        <v>8963</v>
      </c>
      <c r="I18" s="71">
        <f t="shared" si="6"/>
        <v>-43228.51</v>
      </c>
      <c r="J18" s="32">
        <f t="shared" si="0"/>
        <v>5188.010000000002</v>
      </c>
      <c r="K18" s="20">
        <f t="shared" si="7"/>
        <v>46190</v>
      </c>
      <c r="L18" s="33">
        <v>1761</v>
      </c>
      <c r="M18" s="31">
        <v>6000</v>
      </c>
      <c r="N18" s="32">
        <f t="shared" si="13"/>
        <v>157</v>
      </c>
      <c r="O18" s="83">
        <v>0.71</v>
      </c>
      <c r="P18" s="84">
        <v>0.72</v>
      </c>
      <c r="Q18" s="83">
        <v>0.8</v>
      </c>
      <c r="R18" s="84">
        <v>0.73</v>
      </c>
      <c r="S18" s="37">
        <f t="shared" si="9"/>
        <v>4340</v>
      </c>
      <c r="T18" s="121"/>
      <c r="U18" s="32">
        <f t="shared" si="10"/>
        <v>90</v>
      </c>
      <c r="V18" s="40">
        <v>9661</v>
      </c>
      <c r="W18" s="32">
        <f t="shared" si="1"/>
        <v>118</v>
      </c>
      <c r="X18" s="43">
        <v>62203</v>
      </c>
      <c r="Y18" s="14">
        <f t="shared" si="11"/>
        <v>18</v>
      </c>
      <c r="Z18" s="46">
        <v>0</v>
      </c>
      <c r="AA18" s="51">
        <v>0</v>
      </c>
      <c r="AB18" s="32" t="str">
        <f t="shared" si="12"/>
        <v>0</v>
      </c>
      <c r="AC18" s="13">
        <v>209</v>
      </c>
      <c r="AD18" s="18">
        <v>403</v>
      </c>
    </row>
    <row r="19" spans="1:30" ht="20.65" customHeight="1" x14ac:dyDescent="0.2">
      <c r="A19" s="19">
        <v>46191</v>
      </c>
      <c r="B19" s="10">
        <v>544945</v>
      </c>
      <c r="C19" s="14">
        <f t="shared" si="2"/>
        <v>6535</v>
      </c>
      <c r="D19" s="11">
        <v>1161839</v>
      </c>
      <c r="E19" s="14">
        <f t="shared" si="14"/>
        <v>1617</v>
      </c>
      <c r="F19" s="27">
        <v>1704</v>
      </c>
      <c r="G19" s="65">
        <f t="shared" si="4"/>
        <v>0</v>
      </c>
      <c r="H19" s="67">
        <f t="shared" si="5"/>
        <v>8152</v>
      </c>
      <c r="I19" s="71">
        <f t="shared" si="6"/>
        <v>-38040.5</v>
      </c>
      <c r="J19" s="32">
        <f t="shared" si="0"/>
        <v>636.12000000000262</v>
      </c>
      <c r="K19" s="20">
        <f t="shared" si="7"/>
        <v>46191</v>
      </c>
      <c r="L19" s="33">
        <v>7604</v>
      </c>
      <c r="M19" s="31">
        <v>0</v>
      </c>
      <c r="N19" s="32">
        <f t="shared" si="13"/>
        <v>103</v>
      </c>
      <c r="O19" s="83">
        <v>0.7</v>
      </c>
      <c r="P19" s="84">
        <v>0.7</v>
      </c>
      <c r="Q19" s="83">
        <v>0.8</v>
      </c>
      <c r="R19" s="84">
        <v>0.7</v>
      </c>
      <c r="S19" s="37">
        <f t="shared" si="9"/>
        <v>4250</v>
      </c>
      <c r="T19" s="121"/>
      <c r="U19" s="32">
        <f t="shared" si="10"/>
        <v>125</v>
      </c>
      <c r="V19" s="40">
        <v>9779</v>
      </c>
      <c r="W19" s="32">
        <f t="shared" si="1"/>
        <v>128</v>
      </c>
      <c r="X19" s="43">
        <v>62221</v>
      </c>
      <c r="Y19" s="14">
        <f t="shared" si="11"/>
        <v>13</v>
      </c>
      <c r="Z19" s="46">
        <v>0</v>
      </c>
      <c r="AA19" s="51">
        <v>0</v>
      </c>
      <c r="AB19" s="32" t="str">
        <f t="shared" si="12"/>
        <v>0</v>
      </c>
      <c r="AC19" s="13">
        <v>227</v>
      </c>
      <c r="AD19" s="18">
        <v>435</v>
      </c>
    </row>
    <row r="20" spans="1:30" ht="20.65" customHeight="1" x14ac:dyDescent="0.2">
      <c r="A20" s="19">
        <v>46192</v>
      </c>
      <c r="B20" s="10">
        <v>551480</v>
      </c>
      <c r="C20" s="14">
        <f t="shared" si="2"/>
        <v>7255</v>
      </c>
      <c r="D20" s="11">
        <v>1163456</v>
      </c>
      <c r="E20" s="14">
        <f t="shared" si="14"/>
        <v>1534</v>
      </c>
      <c r="F20" s="27">
        <v>1704</v>
      </c>
      <c r="G20" s="65">
        <f t="shared" si="4"/>
        <v>0</v>
      </c>
      <c r="H20" s="67">
        <f t="shared" si="5"/>
        <v>8789</v>
      </c>
      <c r="I20" s="71">
        <f t="shared" si="6"/>
        <v>-37404.379999999997</v>
      </c>
      <c r="J20" s="32">
        <f t="shared" si="0"/>
        <v>42.099999999998545</v>
      </c>
      <c r="K20" s="20">
        <f t="shared" si="7"/>
        <v>46192</v>
      </c>
      <c r="L20" s="33">
        <v>7501</v>
      </c>
      <c r="M20" s="34">
        <v>0</v>
      </c>
      <c r="N20" s="32">
        <f t="shared" si="13"/>
        <v>116</v>
      </c>
      <c r="O20" s="83">
        <v>0.68</v>
      </c>
      <c r="P20" s="84">
        <v>0.7</v>
      </c>
      <c r="Q20" s="83">
        <v>0.7</v>
      </c>
      <c r="R20" s="84">
        <v>0.65</v>
      </c>
      <c r="S20" s="37">
        <f t="shared" si="9"/>
        <v>4125</v>
      </c>
      <c r="T20" s="121"/>
      <c r="U20" s="32">
        <f t="shared" ref="U20:U27" si="15">IF((S20-S21+T20)=S20,"0",(S20-S21+T20))</f>
        <v>175</v>
      </c>
      <c r="V20" s="40">
        <v>9907</v>
      </c>
      <c r="W20" s="32">
        <f t="shared" si="1"/>
        <v>139</v>
      </c>
      <c r="X20" s="43">
        <v>62234</v>
      </c>
      <c r="Y20" s="14">
        <f t="shared" ref="Y20:Y24" si="16">IF((X21-X20)&lt;0,"0",X21-X20)</f>
        <v>2</v>
      </c>
      <c r="Z20" s="46">
        <v>0</v>
      </c>
      <c r="AA20" s="51">
        <v>0</v>
      </c>
      <c r="AB20" s="32" t="str">
        <f t="shared" si="12"/>
        <v>0</v>
      </c>
      <c r="AC20" s="13">
        <v>223</v>
      </c>
      <c r="AD20" s="18">
        <v>432</v>
      </c>
    </row>
    <row r="21" spans="1:30" ht="20.65" customHeight="1" x14ac:dyDescent="0.2">
      <c r="A21" s="19">
        <v>46193</v>
      </c>
      <c r="B21" s="10">
        <v>558735</v>
      </c>
      <c r="C21" s="14">
        <f t="shared" si="2"/>
        <v>7242</v>
      </c>
      <c r="D21" s="11">
        <v>1164990</v>
      </c>
      <c r="E21" s="14">
        <f t="shared" si="14"/>
        <v>1590</v>
      </c>
      <c r="F21" s="27">
        <v>1704</v>
      </c>
      <c r="G21" s="65">
        <f t="shared" si="4"/>
        <v>0</v>
      </c>
      <c r="H21" s="67">
        <f t="shared" si="5"/>
        <v>8832</v>
      </c>
      <c r="I21" s="71">
        <f t="shared" si="6"/>
        <v>-37362.28</v>
      </c>
      <c r="J21" s="32">
        <f t="shared" si="0"/>
        <v>-193.90000000000146</v>
      </c>
      <c r="K21" s="20">
        <f t="shared" si="7"/>
        <v>46193</v>
      </c>
      <c r="L21" s="33">
        <v>7385</v>
      </c>
      <c r="M21" s="34">
        <v>0</v>
      </c>
      <c r="N21" s="32">
        <f t="shared" si="13"/>
        <v>123</v>
      </c>
      <c r="O21" s="83">
        <v>0.65</v>
      </c>
      <c r="P21" s="84">
        <v>0.68</v>
      </c>
      <c r="Q21" s="83">
        <v>0.63</v>
      </c>
      <c r="R21" s="84">
        <v>0.62</v>
      </c>
      <c r="S21" s="37">
        <f t="shared" si="9"/>
        <v>3950</v>
      </c>
      <c r="T21" s="121"/>
      <c r="U21" s="32">
        <f t="shared" si="15"/>
        <v>225</v>
      </c>
      <c r="V21" s="40">
        <v>10046</v>
      </c>
      <c r="W21" s="32">
        <f t="shared" si="1"/>
        <v>122</v>
      </c>
      <c r="X21" s="43">
        <v>62236</v>
      </c>
      <c r="Y21" s="14">
        <f t="shared" si="16"/>
        <v>2</v>
      </c>
      <c r="Z21" s="46">
        <v>0</v>
      </c>
      <c r="AA21" s="51">
        <v>0</v>
      </c>
      <c r="AB21" s="32" t="str">
        <f t="shared" si="12"/>
        <v>0</v>
      </c>
      <c r="AC21" s="13">
        <v>225</v>
      </c>
      <c r="AD21" s="18">
        <v>435</v>
      </c>
    </row>
    <row r="22" spans="1:30" ht="20.65" customHeight="1" x14ac:dyDescent="0.2">
      <c r="A22" s="19">
        <v>46194</v>
      </c>
      <c r="B22" s="10">
        <v>565977</v>
      </c>
      <c r="C22" s="14">
        <f t="shared" si="2"/>
        <v>7011</v>
      </c>
      <c r="D22" s="11">
        <v>1166580</v>
      </c>
      <c r="E22" s="14">
        <f t="shared" si="14"/>
        <v>1628</v>
      </c>
      <c r="F22" s="27">
        <v>1704</v>
      </c>
      <c r="G22" s="65">
        <f t="shared" si="4"/>
        <v>0</v>
      </c>
      <c r="H22" s="67">
        <f t="shared" si="5"/>
        <v>8639</v>
      </c>
      <c r="I22" s="71">
        <f t="shared" si="6"/>
        <v>-37556.18</v>
      </c>
      <c r="J22" s="32">
        <f t="shared" si="0"/>
        <v>151.08000000000175</v>
      </c>
      <c r="K22" s="20">
        <f t="shared" si="7"/>
        <v>46194</v>
      </c>
      <c r="L22" s="33">
        <v>7262</v>
      </c>
      <c r="M22" s="34">
        <v>0</v>
      </c>
      <c r="N22" s="32">
        <f t="shared" si="13"/>
        <v>112</v>
      </c>
      <c r="O22" s="83">
        <v>0.63</v>
      </c>
      <c r="P22" s="84">
        <v>0.64</v>
      </c>
      <c r="Q22" s="83">
        <v>0.55000000000000004</v>
      </c>
      <c r="R22" s="84">
        <v>0.55000000000000004</v>
      </c>
      <c r="S22" s="37">
        <f t="shared" si="9"/>
        <v>3725</v>
      </c>
      <c r="T22" s="121"/>
      <c r="U22" s="32">
        <f t="shared" si="15"/>
        <v>185</v>
      </c>
      <c r="V22" s="40">
        <v>10168</v>
      </c>
      <c r="W22" s="32">
        <f t="shared" si="1"/>
        <v>127</v>
      </c>
      <c r="X22" s="43">
        <v>62238</v>
      </c>
      <c r="Y22" s="14">
        <f t="shared" si="16"/>
        <v>4</v>
      </c>
      <c r="Z22" s="46">
        <v>0</v>
      </c>
      <c r="AA22" s="51">
        <v>0</v>
      </c>
      <c r="AB22" s="32" t="str">
        <f t="shared" si="12"/>
        <v>0</v>
      </c>
      <c r="AC22" s="13">
        <v>217</v>
      </c>
      <c r="AD22" s="18">
        <v>422</v>
      </c>
    </row>
    <row r="23" spans="1:30" ht="20.65" customHeight="1" x14ac:dyDescent="0.2">
      <c r="A23" s="19">
        <v>46195</v>
      </c>
      <c r="B23" s="10">
        <v>572988</v>
      </c>
      <c r="C23" s="14">
        <f t="shared" si="2"/>
        <v>7274</v>
      </c>
      <c r="D23" s="11">
        <v>1168208</v>
      </c>
      <c r="E23" s="14">
        <f t="shared" si="14"/>
        <v>1517</v>
      </c>
      <c r="F23" s="27">
        <v>1704</v>
      </c>
      <c r="G23" s="65">
        <f t="shared" si="4"/>
        <v>0</v>
      </c>
      <c r="H23" s="67">
        <f t="shared" si="5"/>
        <v>8791</v>
      </c>
      <c r="I23" s="71">
        <f t="shared" si="6"/>
        <v>-37405.1</v>
      </c>
      <c r="J23" s="32">
        <f t="shared" si="0"/>
        <v>-209.61000000000058</v>
      </c>
      <c r="K23" s="20">
        <f t="shared" si="7"/>
        <v>46195</v>
      </c>
      <c r="L23" s="33">
        <v>7150</v>
      </c>
      <c r="M23" s="34">
        <v>0</v>
      </c>
      <c r="N23" s="32">
        <f t="shared" si="13"/>
        <v>117</v>
      </c>
      <c r="O23" s="83">
        <v>0.6</v>
      </c>
      <c r="P23" s="84">
        <v>0.61</v>
      </c>
      <c r="Q23" s="83">
        <v>0.5</v>
      </c>
      <c r="R23" s="84">
        <v>0.53</v>
      </c>
      <c r="S23" s="37">
        <f t="shared" si="9"/>
        <v>3540</v>
      </c>
      <c r="T23" s="121">
        <v>1286</v>
      </c>
      <c r="U23" s="32">
        <f t="shared" si="15"/>
        <v>-79</v>
      </c>
      <c r="V23" s="40">
        <v>10295</v>
      </c>
      <c r="W23" s="32">
        <f t="shared" si="1"/>
        <v>134</v>
      </c>
      <c r="X23" s="43">
        <v>62242</v>
      </c>
      <c r="Y23" s="14">
        <f t="shared" si="16"/>
        <v>18</v>
      </c>
      <c r="Z23" s="46">
        <v>0</v>
      </c>
      <c r="AA23" s="51">
        <v>0</v>
      </c>
      <c r="AB23" s="32" t="str">
        <f t="shared" si="12"/>
        <v>0</v>
      </c>
      <c r="AC23" s="13">
        <v>208</v>
      </c>
      <c r="AD23" s="18">
        <v>402</v>
      </c>
    </row>
    <row r="24" spans="1:30" ht="20.65" customHeight="1" x14ac:dyDescent="0.2">
      <c r="A24" s="19">
        <v>46196</v>
      </c>
      <c r="B24" s="10">
        <v>580262</v>
      </c>
      <c r="C24" s="14">
        <f t="shared" si="2"/>
        <v>7041</v>
      </c>
      <c r="D24" s="11">
        <v>1169725</v>
      </c>
      <c r="E24" s="14">
        <f t="shared" si="14"/>
        <v>1542</v>
      </c>
      <c r="F24" s="27">
        <v>1704</v>
      </c>
      <c r="G24" s="65">
        <f t="shared" si="4"/>
        <v>0</v>
      </c>
      <c r="H24" s="67">
        <f t="shared" si="5"/>
        <v>8583</v>
      </c>
      <c r="I24" s="71">
        <f t="shared" si="6"/>
        <v>-37614.71</v>
      </c>
      <c r="J24" s="32">
        <f t="shared" si="0"/>
        <v>67.089999999996508</v>
      </c>
      <c r="K24" s="20">
        <f t="shared" si="7"/>
        <v>46196</v>
      </c>
      <c r="L24" s="33">
        <v>7033</v>
      </c>
      <c r="M24" s="34">
        <v>0</v>
      </c>
      <c r="N24" s="32">
        <f t="shared" si="13"/>
        <v>98</v>
      </c>
      <c r="O24" s="83">
        <v>0.83</v>
      </c>
      <c r="P24" s="84">
        <v>0.8</v>
      </c>
      <c r="Q24" s="83">
        <v>0.88</v>
      </c>
      <c r="R24" s="84">
        <v>0.78</v>
      </c>
      <c r="S24" s="37">
        <f t="shared" si="9"/>
        <v>4905</v>
      </c>
      <c r="T24" s="121"/>
      <c r="U24" s="32">
        <f t="shared" si="15"/>
        <v>135</v>
      </c>
      <c r="V24" s="40">
        <v>10429</v>
      </c>
      <c r="W24" s="32">
        <f t="shared" si="1"/>
        <v>134</v>
      </c>
      <c r="X24" s="43">
        <v>62260</v>
      </c>
      <c r="Y24" s="14">
        <f t="shared" si="16"/>
        <v>2</v>
      </c>
      <c r="Z24" s="46">
        <v>0</v>
      </c>
      <c r="AA24" s="51">
        <v>0</v>
      </c>
      <c r="AB24" s="32" t="str">
        <f t="shared" si="12"/>
        <v>0</v>
      </c>
      <c r="AC24" s="13">
        <v>215</v>
      </c>
      <c r="AD24" s="18">
        <v>419</v>
      </c>
    </row>
    <row r="25" spans="1:30" ht="20.65" customHeight="1" x14ac:dyDescent="0.2">
      <c r="A25" s="19">
        <v>46197</v>
      </c>
      <c r="B25" s="10">
        <v>587303</v>
      </c>
      <c r="C25" s="14">
        <f t="shared" si="2"/>
        <v>7069</v>
      </c>
      <c r="D25" s="11">
        <v>1171267</v>
      </c>
      <c r="E25" s="14">
        <f t="shared" si="14"/>
        <v>1582</v>
      </c>
      <c r="F25" s="27">
        <v>1704</v>
      </c>
      <c r="G25" s="65">
        <f t="shared" si="4"/>
        <v>0</v>
      </c>
      <c r="H25" s="67">
        <f t="shared" si="5"/>
        <v>8651</v>
      </c>
      <c r="I25" s="71">
        <f t="shared" si="6"/>
        <v>-37547.620000000003</v>
      </c>
      <c r="J25" s="32">
        <f t="shared" si="0"/>
        <v>-174.97000000000116</v>
      </c>
      <c r="K25" s="20">
        <f t="shared" si="7"/>
        <v>46197</v>
      </c>
      <c r="L25" s="33">
        <v>6935</v>
      </c>
      <c r="M25" s="34">
        <v>0</v>
      </c>
      <c r="N25" s="32">
        <f t="shared" si="13"/>
        <v>111</v>
      </c>
      <c r="O25" s="83">
        <v>0.8</v>
      </c>
      <c r="P25" s="84">
        <v>0.8</v>
      </c>
      <c r="Q25" s="83">
        <v>0.82</v>
      </c>
      <c r="R25" s="84">
        <v>0.72</v>
      </c>
      <c r="S25" s="37">
        <f t="shared" si="9"/>
        <v>4770</v>
      </c>
      <c r="T25" s="121"/>
      <c r="U25" s="32">
        <f t="shared" si="15"/>
        <v>30</v>
      </c>
      <c r="V25" s="40">
        <v>10563</v>
      </c>
      <c r="W25" s="32">
        <f t="shared" si="1"/>
        <v>123</v>
      </c>
      <c r="X25" s="43">
        <v>62262</v>
      </c>
      <c r="Y25" s="14">
        <f>IF((X26-X25)&lt;0,"0",X26-X25)</f>
        <v>34</v>
      </c>
      <c r="Z25" s="46">
        <v>0</v>
      </c>
      <c r="AA25" s="51">
        <v>0</v>
      </c>
      <c r="AB25" s="32" t="str">
        <f t="shared" si="12"/>
        <v>0</v>
      </c>
      <c r="AC25" s="13">
        <v>209</v>
      </c>
      <c r="AD25" s="18">
        <v>408</v>
      </c>
    </row>
    <row r="26" spans="1:30" ht="20.65" customHeight="1" x14ac:dyDescent="0.2">
      <c r="A26" s="19">
        <v>46198</v>
      </c>
      <c r="B26" s="10">
        <v>594372</v>
      </c>
      <c r="C26" s="14">
        <f t="shared" si="2"/>
        <v>6842</v>
      </c>
      <c r="D26" s="11">
        <v>1172849</v>
      </c>
      <c r="E26" s="14">
        <f t="shared" si="14"/>
        <v>1635</v>
      </c>
      <c r="F26" s="27">
        <v>1704</v>
      </c>
      <c r="G26" s="65">
        <f t="shared" si="4"/>
        <v>0</v>
      </c>
      <c r="H26" s="67">
        <f t="shared" si="5"/>
        <v>8477</v>
      </c>
      <c r="I26" s="71">
        <f t="shared" si="6"/>
        <v>-37722.590000000004</v>
      </c>
      <c r="J26" s="32">
        <f t="shared" si="0"/>
        <v>-8477.929999999993</v>
      </c>
      <c r="K26" s="20">
        <f t="shared" si="7"/>
        <v>46198</v>
      </c>
      <c r="L26" s="33">
        <v>6824</v>
      </c>
      <c r="M26" s="34">
        <v>0</v>
      </c>
      <c r="N26" s="32">
        <f t="shared" si="13"/>
        <v>121</v>
      </c>
      <c r="O26" s="83">
        <v>0.79</v>
      </c>
      <c r="P26" s="84">
        <v>0.8</v>
      </c>
      <c r="Q26" s="83">
        <v>0.8</v>
      </c>
      <c r="R26" s="84">
        <v>0.73</v>
      </c>
      <c r="S26" s="37">
        <f t="shared" si="9"/>
        <v>4740</v>
      </c>
      <c r="T26" s="121"/>
      <c r="U26" s="32">
        <f t="shared" si="15"/>
        <v>155</v>
      </c>
      <c r="V26" s="40">
        <v>10686</v>
      </c>
      <c r="W26" s="32">
        <f t="shared" si="1"/>
        <v>123</v>
      </c>
      <c r="X26" s="43">
        <v>62296</v>
      </c>
      <c r="Y26" s="14">
        <f>IF((X27-X26)&lt;0,"0",X27-X26)</f>
        <v>15</v>
      </c>
      <c r="Z26" s="46">
        <v>0</v>
      </c>
      <c r="AA26" s="51">
        <v>0</v>
      </c>
      <c r="AB26" s="32" t="str">
        <f t="shared" si="12"/>
        <v>0</v>
      </c>
      <c r="AC26" s="13">
        <v>209</v>
      </c>
      <c r="AD26" s="18">
        <v>405</v>
      </c>
    </row>
    <row r="27" spans="1:30" ht="20.65" customHeight="1" x14ac:dyDescent="0.2">
      <c r="A27" s="19">
        <v>46199</v>
      </c>
      <c r="B27" s="10">
        <v>601214</v>
      </c>
      <c r="C27" s="14" t="str">
        <f t="shared" si="2"/>
        <v>0</v>
      </c>
      <c r="D27" s="11">
        <v>1174484</v>
      </c>
      <c r="E27" s="14" t="str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-46200.52</v>
      </c>
      <c r="J27" s="32">
        <f t="shared" si="0"/>
        <v>0.51999999999679858</v>
      </c>
      <c r="K27" s="20">
        <f t="shared" si="7"/>
        <v>46199</v>
      </c>
      <c r="L27" s="33">
        <v>6703</v>
      </c>
      <c r="M27" s="34">
        <v>0</v>
      </c>
      <c r="N27" s="32" t="str">
        <f t="shared" si="13"/>
        <v>0</v>
      </c>
      <c r="O27" s="83">
        <v>0.78</v>
      </c>
      <c r="P27" s="84">
        <v>0.77</v>
      </c>
      <c r="Q27" s="83">
        <v>0.74</v>
      </c>
      <c r="R27" s="84">
        <v>0.68</v>
      </c>
      <c r="S27" s="37">
        <f t="shared" si="9"/>
        <v>4585</v>
      </c>
      <c r="T27" s="121"/>
      <c r="U27" s="32" t="str">
        <f t="shared" si="15"/>
        <v>0</v>
      </c>
      <c r="V27" s="40">
        <v>10809</v>
      </c>
      <c r="W27" s="32" t="str">
        <f t="shared" si="1"/>
        <v>0</v>
      </c>
      <c r="X27" s="43">
        <v>62311</v>
      </c>
      <c r="Y27" s="14" t="str">
        <f t="shared" ref="Y27:Y31" si="17">IF((X28-X27)&lt;0,"0",X28-X27)</f>
        <v>0</v>
      </c>
      <c r="Z27" s="46">
        <v>0</v>
      </c>
      <c r="AA27" s="51">
        <v>0</v>
      </c>
      <c r="AB27" s="32" t="str">
        <f t="shared" si="12"/>
        <v>0</v>
      </c>
      <c r="AC27" s="13">
        <v>215</v>
      </c>
      <c r="AD27" s="18">
        <v>419</v>
      </c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155873</v>
      </c>
      <c r="D33" s="75"/>
      <c r="E33" s="74">
        <f>SUM(E2:E32)</f>
        <v>39000</v>
      </c>
      <c r="F33" s="76"/>
      <c r="G33" s="74">
        <f>SUM(G2:G32)</f>
        <v>0</v>
      </c>
      <c r="H33" s="75">
        <f>SUM(H2:H32)</f>
        <v>194873</v>
      </c>
      <c r="I33" s="74">
        <f>SUM(I2:I31)</f>
        <v>-1196819.57</v>
      </c>
      <c r="J33" s="74">
        <f>SUM(J2:J32)</f>
        <v>39958.270000000004</v>
      </c>
      <c r="K33" s="73"/>
      <c r="L33" s="75"/>
      <c r="M33" s="75"/>
      <c r="N33" s="74">
        <f>SUM(N2:N32)</f>
        <v>3620</v>
      </c>
      <c r="O33" s="73"/>
      <c r="P33" s="73"/>
      <c r="Q33" s="73"/>
      <c r="R33" s="73"/>
      <c r="S33" s="73"/>
      <c r="T33" s="75">
        <f>SUM(T2:T32)</f>
        <v>3012</v>
      </c>
      <c r="U33" s="74">
        <f>SUM(U2:U32)</f>
        <v>2652</v>
      </c>
      <c r="V33" s="73"/>
      <c r="W33" s="74">
        <f>SUM(W2:W32)</f>
        <v>2921</v>
      </c>
      <c r="X33" s="73"/>
      <c r="Y33" s="74">
        <f>SUM(Y2:Y32)</f>
        <v>324</v>
      </c>
      <c r="Z33" s="73"/>
      <c r="AA33" s="73">
        <f>SUM(AA2:AA32)</f>
        <v>0</v>
      </c>
      <c r="AB33" s="74">
        <f>SUM(AB2:AB32)</f>
        <v>0</v>
      </c>
      <c r="AC33" s="77">
        <f>SUM(AC2:AC32)</f>
        <v>5310</v>
      </c>
      <c r="AD33" s="78">
        <f>SUM(AD2:AD32)</f>
        <v>10326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2026-06-26T09:17:02Z</dcterms:modified>
  <cp:category/>
  <cp:contentStatus/>
</cp:coreProperties>
</file>