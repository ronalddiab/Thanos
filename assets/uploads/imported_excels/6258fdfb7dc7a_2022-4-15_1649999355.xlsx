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November 2021" sheetId="14" r:id="rId2"/>
    <sheet name="RNs &amp; Covers November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8" i="14" l="1"/>
  <c r="AH48" i="14"/>
  <c r="AA48" i="14"/>
  <c r="P48" i="14"/>
  <c r="AK46" i="14" l="1"/>
  <c r="R46" i="14" l="1"/>
  <c r="Q46" i="14"/>
  <c r="AH46" i="14" l="1"/>
  <c r="C37" i="10" l="1"/>
  <c r="B37" i="10"/>
  <c r="A36" i="10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AI40" i="14" l="1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L46" i="14"/>
  <c r="AL12" i="14"/>
  <c r="AA46" i="14"/>
  <c r="AB46" i="14" s="1"/>
  <c r="AI46" i="14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<sst xmlns="http://schemas.openxmlformats.org/spreadsheetml/2006/main" count="101" uniqueCount="56">
  <si>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</si>
  <si>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</si>
  <si>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</si>
  <si>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</si>
  <si>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</si>
  <si>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</si>
  <si>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</si>
  <si>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</si>
  <si>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</si>
  <si>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</si>
  <si>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</si>
  <si>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</si>
  <si>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</si>
  <si>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</si>
  <si>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</si>
  <si>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</si>
  <si>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</si>
  <si>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</si>
  <si>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</si>
  <si>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</si>
  <si>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</si>
  <si>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</si>
  <si>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</si>
  <si>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</si>
  <si>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</si>
  <si>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</si>
  <si>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</si>
  <si>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</si>
  <si>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</si>
  <si>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</si>
  <si>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</si>
  <si>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</si>
  <si>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</si>
  <si>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</si>
  <si>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</si>
  <si>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</si>
  <si>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</si>
  <si>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</si>
  <si>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</si>
  <si>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</si>
  <si>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</si>
  <si>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</si>
  <si>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</si>
  <si>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</si>
  <si>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</si>
  <si>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</si>
  <si>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</si>
  <si>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</si>
  <si>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</si>
  <si>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</si>
  <si>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</si>
  <si>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</si>
  <si>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</si>
  <si>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</si>
  <si>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NOVEMBER 2021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</si>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</sst>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70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168" fontId="0" fillId="0" borderId="29" xfId="2" applyNumberFormat="1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10" xfId="2" applyNumberFormat="1" applyFont="1" applyBorder="1"/>
    <xf numFmtId="43" fontId="0" fillId="0" borderId="45" xfId="2" applyFont="1" applyBorder="1"/>
    <xf numFmtId="43" fontId="0" fillId="0" borderId="57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7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8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3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4" xfId="2" applyNumberFormat="1" applyFont="1" applyFill="1" applyBorder="1" applyProtection="1">
      <protection locked="0"/>
    </xf>
    <xf numFmtId="168" fontId="14" fillId="3" borderId="45" xfId="2" applyNumberFormat="1" applyFont="1" applyFill="1" applyBorder="1" applyProtection="1">
      <protection locked="0"/>
    </xf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7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8" fontId="14" fillId="3" borderId="55" xfId="2" applyNumberFormat="1" applyFont="1" applyFill="1" applyBorder="1" applyProtection="1">
      <protection locked="0"/>
    </xf>
    <xf numFmtId="168" fontId="14" fillId="3" borderId="57" xfId="2" applyNumberFormat="1" applyFont="1" applyFill="1" applyBorder="1" applyProtection="1">
      <protection locked="0"/>
    </xf>
    <xf numFmtId="168" fontId="0" fillId="0" borderId="56" xfId="2" applyNumberFormat="1" applyFont="1" applyBorder="1"/>
    <xf numFmtId="169" fontId="0" fillId="0" borderId="29" xfId="2" applyNumberFormat="1" applyFont="1" applyBorder="1"/>
    <xf numFmtId="43" fontId="0" fillId="0" borderId="32" xfId="0" applyNumberFormat="1" applyBorder="1"/>
    <xf numFmtId="168" fontId="2" fillId="0" borderId="29" xfId="2" applyNumberFormat="1" applyFont="1" applyBorder="1"/>
    <xf numFmtId="43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43" fontId="0" fillId="3" borderId="68" xfId="2" applyFont="1" applyFill="1" applyBorder="1"/>
    <xf numFmtId="168" fontId="1" fillId="0" borderId="56" xfId="2" applyNumberFormat="1" applyFont="1" applyBorder="1"/>
    <xf numFmtId="168" fontId="0" fillId="0" borderId="30" xfId="0" applyNumberFormat="1" applyBorder="1"/>
    <xf numFmtId="168" fontId="0" fillId="0" borderId="32" xfId="0" applyNumberFormat="1" applyBorder="1"/>
    <xf numFmtId="170" fontId="0" fillId="0" borderId="30" xfId="2" applyNumberFormat="1" applyFont="1" applyBorder="1"/>
    <xf numFmtId="171" fontId="0" fillId="0" borderId="69" xfId="2" applyNumberFormat="1" applyFont="1" applyBorder="1"/>
    <xf numFmtId="170" fontId="0" fillId="0" borderId="32" xfId="2" applyNumberFormat="1" applyFont="1" applyBorder="1"/>
    <xf numFmtId="9" fontId="17" fillId="0" borderId="0" xfId="5" applyFont="1"/>
    <xf numFmtId="43" fontId="0" fillId="3" borderId="0" xfId="2" applyNumberFormat="1" applyFont="1" applyFill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8" fontId="4" fillId="0" borderId="0" xfId="0" applyNumberFormat="1" applyFont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F19" sqref="F19"/>
    </sheetView>
  </sheetViews>
  <sheetFormatPr defaultColWidth="11.5703125" defaultRowHeight="15" x14ac:dyDescent="0.25"/>
  <cols>
    <col min="1" max="1" width="18.42578125" style="155" customWidth="1"/>
    <col min="2" max="2" width="11.5703125" style="156"/>
    <col min="3" max="3" width="11.5703125" style="157"/>
    <col min="4" max="4" width="13.42578125" style="156" customWidth="1"/>
    <col min="5" max="5" width="12.5703125" style="154" customWidth="1"/>
    <col min="6" max="6" width="12.5703125" style="158" customWidth="1"/>
    <col min="7" max="7" width="11.5703125" style="154"/>
    <col min="8" max="8" width="11.5703125" style="158"/>
    <col min="9" max="9" width="11.5703125" style="159"/>
    <col min="10" max="10" width="11.5703125" style="160"/>
    <col min="11" max="11" width="11.5703125" style="154"/>
    <col min="12" max="12" width="11.5703125" style="160"/>
    <col min="13" max="26" width="11.5703125" style="154"/>
  </cols>
  <sheetData>
    <row r="1" spans="1:15" s="148" customFormat="1" ht="60" x14ac:dyDescent="0.25">
      <c r="A1" s="144" t="s">
        <v>37</v>
      </c>
      <c r="B1" s="144" t="s">
        <v>38</v>
      </c>
      <c r="C1" s="145" t="s">
        <v>39</v>
      </c>
      <c r="D1" s="144" t="s">
        <v>40</v>
      </c>
      <c r="E1" s="143" t="s">
        <v>41</v>
      </c>
      <c r="F1" s="146" t="s">
        <v>42</v>
      </c>
      <c r="G1" s="143" t="s">
        <v>47</v>
      </c>
      <c r="H1" s="146" t="s">
        <v>48</v>
      </c>
      <c r="I1" s="162" t="s">
        <v>53</v>
      </c>
      <c r="J1" s="146" t="s">
        <v>50</v>
      </c>
      <c r="K1" s="143" t="s">
        <v>43</v>
      </c>
      <c r="L1" s="147" t="s">
        <v>44</v>
      </c>
      <c r="M1" s="143" t="s">
        <v>45</v>
      </c>
      <c r="N1" s="143" t="s">
        <v>3</v>
      </c>
    </row>
    <row r="2" spans="1:15" x14ac:dyDescent="0.25">
      <c r="A2" s="149" t="s">
        <v>49</v>
      </c>
      <c r="B2" s="150">
        <v>1</v>
      </c>
      <c r="C2" s="151">
        <v>11</v>
      </c>
      <c r="D2" s="150">
        <v>2021</v>
      </c>
      <c r="E2" s="152">
        <f>'FS Jimbaran November 2021'!P12</f>
        <v>13939.999999999713</v>
      </c>
      <c r="F2" s="161">
        <f>'FS Jimbaran November 2021'!O12/'FS Jimbaran November 2021'!P12</f>
        <v>1127.1723529411777</v>
      </c>
      <c r="G2" s="152">
        <f>'FS Jimbaran November 2021'!AG12</f>
        <v>250</v>
      </c>
      <c r="H2" s="161">
        <f>'FS Jimbaran November 2021'!AH12/'FS Jimbaran November 2021'!AG12</f>
        <v>17200</v>
      </c>
      <c r="I2" s="152">
        <f>'FS Jimbaran November 2021'!AJ12</f>
        <v>381.63000000000466</v>
      </c>
      <c r="J2" s="153">
        <f>'FS Jimbaran November 2021'!AK12/'FS Jimbaran November 2021'!AJ12</f>
        <v>12000</v>
      </c>
      <c r="K2" s="152">
        <f>'FS Jimbaran November 2021'!V12</f>
        <v>782.31</v>
      </c>
      <c r="L2" s="161">
        <f>'FS Jimbaran November 2021'!AA12/'FS Jimbaran November 2021'!V12</f>
        <v>7555.4960864618897</v>
      </c>
      <c r="M2" s="152">
        <f>+'RNs &amp; Covers November 2021'!B6</f>
        <v>6</v>
      </c>
      <c r="N2" s="163">
        <f>+'RNs &amp; Covers November 2021'!C6</f>
        <v>79</v>
      </c>
    </row>
    <row r="3" spans="1:15" x14ac:dyDescent="0.25">
      <c r="A3" s="149" t="s">
        <v>49</v>
      </c>
      <c r="B3" s="150">
        <f>B2+1</f>
        <v>2</v>
      </c>
      <c r="C3" s="151">
        <v>11</v>
      </c>
      <c r="D3" s="150">
        <v>2021</v>
      </c>
      <c r="E3" s="163">
        <f>'FS Jimbaran November 2021'!P13</f>
        <v>13860.000000000113</v>
      </c>
      <c r="F3" s="161">
        <f>'FS Jimbaran November 2021'!O13/'FS Jimbaran November 2021'!P13</f>
        <v>1125.4579220779199</v>
      </c>
      <c r="G3" s="163">
        <f>'FS Jimbaran November 2021'!AG13</f>
        <v>74</v>
      </c>
      <c r="H3" s="161">
        <f>'FS Jimbaran November 2021'!AH13/'FS Jimbaran November 2021'!AG13</f>
        <v>15337.837837837838</v>
      </c>
      <c r="I3" s="163">
        <f>'FS Jimbaran November 2021'!AJ13</f>
        <v>289.71999999999389</v>
      </c>
      <c r="J3" s="153">
        <f>'FS Jimbaran November 2021'!AK13/'FS Jimbaran November 2021'!AJ13</f>
        <v>12000</v>
      </c>
      <c r="K3" s="163">
        <f>'FS Jimbaran November 2021'!V13</f>
        <v>625.67000000000007</v>
      </c>
      <c r="L3" s="161">
        <f>'FS Jimbaran November 2021'!AA13/'FS Jimbaran November 2021'!V13</f>
        <v>8384.2523186344224</v>
      </c>
      <c r="M3" s="163">
        <f>+'RNs &amp; Covers November 2021'!B7</f>
        <v>3</v>
      </c>
      <c r="N3" s="163">
        <f>+'RNs &amp; Covers November 2021'!C7</f>
        <v>37</v>
      </c>
    </row>
    <row r="4" spans="1:15" x14ac:dyDescent="0.25">
      <c r="A4" s="149" t="s">
        <v>49</v>
      </c>
      <c r="B4" s="150">
        <f t="shared" ref="B4:B31" si="0">B3+1</f>
        <v>3</v>
      </c>
      <c r="C4" s="151">
        <v>11</v>
      </c>
      <c r="D4" s="150">
        <v>2021</v>
      </c>
      <c r="E4" s="163">
        <f>'FS Jimbaran November 2021'!P14</f>
        <v>13639.999999999916</v>
      </c>
      <c r="F4" s="161">
        <f>'FS Jimbaran November 2021'!O14/'FS Jimbaran November 2021'!P14</f>
        <v>1127.6637096774198</v>
      </c>
      <c r="G4" s="163">
        <f>'FS Jimbaran November 2021'!AG14</f>
        <v>0</v>
      </c>
      <c r="H4" s="161" t="e">
        <f>'FS Jimbaran November 2021'!AH14/'FS Jimbaran November 2021'!AG14</f>
        <v>#DIV/0!</v>
      </c>
      <c r="I4" s="163">
        <f>'FS Jimbaran November 2021'!AJ14</f>
        <v>317.85000000000582</v>
      </c>
      <c r="J4" s="153">
        <f>'FS Jimbaran November 2021'!AK14/'FS Jimbaran November 2021'!AJ14</f>
        <v>12000</v>
      </c>
      <c r="K4" s="163">
        <f>'FS Jimbaran November 2021'!V14</f>
        <v>633.68000000000006</v>
      </c>
      <c r="L4" s="161">
        <f>'FS Jimbaran November 2021'!AA14/'FS Jimbaran November 2021'!V14</f>
        <v>8486.149662921347</v>
      </c>
      <c r="M4" s="163">
        <f>+'RNs &amp; Covers November 2021'!B8</f>
        <v>0</v>
      </c>
      <c r="N4" s="163">
        <f>+'RNs &amp; Covers November 2021'!C8</f>
        <v>45</v>
      </c>
    </row>
    <row r="5" spans="1:15" x14ac:dyDescent="0.25">
      <c r="A5" s="149" t="s">
        <v>49</v>
      </c>
      <c r="B5" s="150">
        <f t="shared" si="0"/>
        <v>4</v>
      </c>
      <c r="C5" s="151">
        <v>11</v>
      </c>
      <c r="D5" s="150">
        <v>2021</v>
      </c>
      <c r="E5" s="163">
        <f>'FS Jimbaran November 2021'!P15</f>
        <v>13880.000000000095</v>
      </c>
      <c r="F5" s="161">
        <f>'FS Jimbaran November 2021'!O15/'FS Jimbaran November 2021'!P15</f>
        <v>1123.089985590776</v>
      </c>
      <c r="G5" s="163">
        <f>'FS Jimbaran November 2021'!AG15</f>
        <v>0</v>
      </c>
      <c r="H5" s="161" t="e">
        <f>'FS Jimbaran November 2021'!AH15/'FS Jimbaran November 2021'!AG15</f>
        <v>#DIV/0!</v>
      </c>
      <c r="I5" s="163">
        <f>'FS Jimbaran November 2021'!AJ15</f>
        <v>26.399999999994179</v>
      </c>
      <c r="J5" s="153">
        <f>'FS Jimbaran November 2021'!AK15/'FS Jimbaran November 2021'!AJ15</f>
        <v>12000</v>
      </c>
      <c r="K5" s="163">
        <f>'FS Jimbaran November 2021'!V15</f>
        <v>751.16000000000008</v>
      </c>
      <c r="L5" s="161">
        <f>'FS Jimbaran November 2021'!AA15/'FS Jimbaran November 2021'!V15</f>
        <v>7692.7722274881507</v>
      </c>
      <c r="M5" s="163">
        <f>+'RNs &amp; Covers November 2021'!B9</f>
        <v>8</v>
      </c>
      <c r="N5" s="163">
        <f>+'RNs &amp; Covers November 2021'!C9</f>
        <v>41</v>
      </c>
    </row>
    <row r="6" spans="1:15" x14ac:dyDescent="0.25">
      <c r="A6" s="149" t="s">
        <v>49</v>
      </c>
      <c r="B6" s="150">
        <f t="shared" si="0"/>
        <v>5</v>
      </c>
      <c r="C6" s="151">
        <v>11</v>
      </c>
      <c r="D6" s="150">
        <v>2021</v>
      </c>
      <c r="E6" s="163">
        <f>'FS Jimbaran November 2021'!P16</f>
        <v>14399.999999999849</v>
      </c>
      <c r="F6" s="161">
        <f>'FS Jimbaran November 2021'!O16/'FS Jimbaran November 2021'!P16</f>
        <v>1127.1300416666679</v>
      </c>
      <c r="G6" s="163">
        <f>'FS Jimbaran November 2021'!AG16</f>
        <v>12</v>
      </c>
      <c r="H6" s="161">
        <f>'FS Jimbaran November 2021'!AH16/'FS Jimbaran November 2021'!AG16</f>
        <v>11458.333333333334</v>
      </c>
      <c r="I6" s="163">
        <f>'FS Jimbaran November 2021'!AJ16</f>
        <v>116.97000000000116</v>
      </c>
      <c r="J6" s="153">
        <f>'FS Jimbaran November 2021'!AK16/'FS Jimbaran November 2021'!AJ16</f>
        <v>12000</v>
      </c>
      <c r="K6" s="163">
        <f>'FS Jimbaran November 2021'!V16</f>
        <v>822.18199999999933</v>
      </c>
      <c r="L6" s="161">
        <f>'FS Jimbaran November 2021'!AA16/'FS Jimbaran November 2021'!V16</f>
        <v>7394.9611647542797</v>
      </c>
      <c r="M6" s="163">
        <f>+'RNs &amp; Covers November 2021'!B10</f>
        <v>9</v>
      </c>
      <c r="N6" s="163">
        <f>+'RNs &amp; Covers November 2021'!C10</f>
        <v>79</v>
      </c>
    </row>
    <row r="7" spans="1:15" x14ac:dyDescent="0.25">
      <c r="A7" s="149" t="s">
        <v>49</v>
      </c>
      <c r="B7" s="150">
        <f t="shared" si="0"/>
        <v>6</v>
      </c>
      <c r="C7" s="151">
        <v>11</v>
      </c>
      <c r="D7" s="150">
        <v>2021</v>
      </c>
      <c r="E7" s="163">
        <f>'FS Jimbaran November 2021'!P17</f>
        <v>15260.000000000118</v>
      </c>
      <c r="F7" s="161">
        <f>'FS Jimbaran November 2021'!O17/'FS Jimbaran November 2021'!P17</f>
        <v>1124.0181389252975</v>
      </c>
      <c r="G7" s="163">
        <f>'FS Jimbaran November 2021'!AG17</f>
        <v>0</v>
      </c>
      <c r="H7" s="161" t="e">
        <f>'FS Jimbaran November 2021'!AH17/'FS Jimbaran November 2021'!AG17</f>
        <v>#DIV/0!</v>
      </c>
      <c r="I7" s="163">
        <f>'FS Jimbaran November 2021'!AJ17</f>
        <v>298.63000000004831</v>
      </c>
      <c r="J7" s="153">
        <f>'FS Jimbaran November 2021'!AK17/'FS Jimbaran November 2021'!AJ17</f>
        <v>12000</v>
      </c>
      <c r="K7" s="163">
        <f>'FS Jimbaran November 2021'!V17</f>
        <v>867.12700000000098</v>
      </c>
      <c r="L7" s="161">
        <f>'FS Jimbaran November 2021'!AA17/'FS Jimbaran November 2021'!V17</f>
        <v>7259.8761716103845</v>
      </c>
      <c r="M7" s="163">
        <f>+'RNs &amp; Covers November 2021'!B11</f>
        <v>7</v>
      </c>
      <c r="N7" s="163">
        <f>+'RNs &amp; Covers November 2021'!C11</f>
        <v>89</v>
      </c>
    </row>
    <row r="8" spans="1:15" x14ac:dyDescent="0.25">
      <c r="A8" s="149" t="s">
        <v>49</v>
      </c>
      <c r="B8" s="150">
        <f t="shared" si="0"/>
        <v>7</v>
      </c>
      <c r="C8" s="151">
        <v>11</v>
      </c>
      <c r="D8" s="150">
        <v>2021</v>
      </c>
      <c r="E8" s="163">
        <f>'FS Jimbaran November 2021'!P18</f>
        <v>15020.000000000209</v>
      </c>
      <c r="F8" s="161">
        <f>'FS Jimbaran November 2021'!O18/'FS Jimbaran November 2021'!P18</f>
        <v>1124.0488681757645</v>
      </c>
      <c r="G8" s="163">
        <f>'FS Jimbaran November 2021'!AG18</f>
        <v>0</v>
      </c>
      <c r="H8" s="161" t="e">
        <f>'FS Jimbaran November 2021'!AH18/'FS Jimbaran November 2021'!AG18</f>
        <v>#DIV/0!</v>
      </c>
      <c r="I8" s="163">
        <f>'FS Jimbaran November 2021'!AJ18</f>
        <v>97.900000000001455</v>
      </c>
      <c r="J8" s="153">
        <f>'FS Jimbaran November 2021'!AK18/'FS Jimbaran November 2021'!AJ18</f>
        <v>12000</v>
      </c>
      <c r="K8" s="163">
        <f>'FS Jimbaran November 2021'!V18</f>
        <v>914.92000000000007</v>
      </c>
      <c r="L8" s="161">
        <f>'FS Jimbaran November 2021'!AA18/'FS Jimbaran November 2021'!V18</f>
        <v>7075.6934630350188</v>
      </c>
      <c r="M8" s="163">
        <f>+'RNs &amp; Covers November 2021'!B12</f>
        <v>3</v>
      </c>
      <c r="N8" s="163">
        <f>+'RNs &amp; Covers November 2021'!C12</f>
        <v>115</v>
      </c>
    </row>
    <row r="9" spans="1:15" x14ac:dyDescent="0.25">
      <c r="A9" s="149" t="s">
        <v>49</v>
      </c>
      <c r="B9" s="150">
        <f t="shared" si="0"/>
        <v>8</v>
      </c>
      <c r="C9" s="151">
        <v>11</v>
      </c>
      <c r="D9" s="150">
        <v>2021</v>
      </c>
      <c r="E9" s="163">
        <f>'FS Jimbaran November 2021'!P19</f>
        <v>14499.999999999645</v>
      </c>
      <c r="F9" s="161">
        <f>'FS Jimbaran November 2021'!O19/'FS Jimbaran November 2021'!P19</f>
        <v>1125.0713793103444</v>
      </c>
      <c r="G9" s="163">
        <f>'FS Jimbaran November 2021'!AG19</f>
        <v>0</v>
      </c>
      <c r="H9" s="161" t="e">
        <f>'FS Jimbaran November 2021'!AH19/'FS Jimbaran November 2021'!AG19</f>
        <v>#DIV/0!</v>
      </c>
      <c r="I9" s="163">
        <f>'FS Jimbaran November 2021'!AJ19</f>
        <v>313.04999999999563</v>
      </c>
      <c r="J9" s="153">
        <f>'FS Jimbaran November 2021'!AK19/'FS Jimbaran November 2021'!AJ19</f>
        <v>12000</v>
      </c>
      <c r="K9" s="163">
        <f>'FS Jimbaran November 2021'!V19</f>
        <v>866.2369999999994</v>
      </c>
      <c r="L9" s="161">
        <f>'FS Jimbaran November 2021'!AA19/'FS Jimbaran November 2021'!V19</f>
        <v>7262.9735682728888</v>
      </c>
      <c r="M9" s="163">
        <f>+'RNs &amp; Covers November 2021'!B13</f>
        <v>10</v>
      </c>
      <c r="N9" s="163">
        <f>+'RNs &amp; Covers November 2021'!C13</f>
        <v>68</v>
      </c>
      <c r="O9" s="154" t="s">
        <v>46</v>
      </c>
    </row>
    <row r="10" spans="1:15" x14ac:dyDescent="0.25">
      <c r="A10" s="149" t="s">
        <v>49</v>
      </c>
      <c r="B10" s="150">
        <f t="shared" si="0"/>
        <v>9</v>
      </c>
      <c r="C10" s="151">
        <v>11</v>
      </c>
      <c r="D10" s="150">
        <v>2021</v>
      </c>
      <c r="E10" s="163">
        <f>'FS Jimbaran November 2021'!P20</f>
        <v>14160.00000000004</v>
      </c>
      <c r="F10" s="161">
        <f>'FS Jimbaran November 2021'!O20/'FS Jimbaran November 2021'!P20</f>
        <v>1129.4098305084749</v>
      </c>
      <c r="G10" s="163">
        <f>'FS Jimbaran November 2021'!AG20</f>
        <v>0</v>
      </c>
      <c r="H10" s="161" t="e">
        <f>'FS Jimbaran November 2021'!AH20/'FS Jimbaran November 2021'!AG20</f>
        <v>#DIV/0!</v>
      </c>
      <c r="I10" s="163">
        <f>'FS Jimbaran November 2021'!AJ20</f>
        <v>87.680000000000291</v>
      </c>
      <c r="J10" s="153">
        <f>'FS Jimbaran November 2021'!AK20/'FS Jimbaran November 2021'!AJ20</f>
        <v>12000</v>
      </c>
      <c r="K10" s="163">
        <f>'FS Jimbaran November 2021'!V20</f>
        <v>844.07600000000139</v>
      </c>
      <c r="L10" s="161">
        <f>'FS Jimbaran November 2021'!AA20/'FS Jimbaran November 2021'!V20</f>
        <v>7313.2608097848961</v>
      </c>
      <c r="M10" s="163">
        <f>+'RNs &amp; Covers November 2021'!B14</f>
        <v>11</v>
      </c>
      <c r="N10" s="163">
        <f>+'RNs &amp; Covers November 2021'!C14</f>
        <v>98</v>
      </c>
    </row>
    <row r="11" spans="1:15" x14ac:dyDescent="0.25">
      <c r="A11" s="149" t="s">
        <v>49</v>
      </c>
      <c r="B11" s="150">
        <f t="shared" si="0"/>
        <v>10</v>
      </c>
      <c r="C11" s="151">
        <v>11</v>
      </c>
      <c r="D11" s="150">
        <v>2021</v>
      </c>
      <c r="E11" s="163">
        <f>'FS Jimbaran November 2021'!P21</f>
        <v>14360.000000000227</v>
      </c>
      <c r="F11" s="161">
        <f>'FS Jimbaran November 2021'!O21/'FS Jimbaran November 2021'!P21</f>
        <v>1124.4993175487439</v>
      </c>
      <c r="G11" s="163">
        <f>'FS Jimbaran November 2021'!AG21</f>
        <v>0</v>
      </c>
      <c r="H11" s="161" t="e">
        <f>'FS Jimbaran November 2021'!AH21/'FS Jimbaran November 2021'!AG21</f>
        <v>#DIV/0!</v>
      </c>
      <c r="I11" s="163">
        <f>'FS Jimbaran November 2021'!AJ21</f>
        <v>192.25</v>
      </c>
      <c r="J11" s="153">
        <f>'FS Jimbaran November 2021'!AK21/'FS Jimbaran November 2021'!AJ21</f>
        <v>12000</v>
      </c>
      <c r="K11" s="163">
        <f>'FS Jimbaran November 2021'!V21</f>
        <v>813.8160000000014</v>
      </c>
      <c r="L11" s="161">
        <f>'FS Jimbaran November 2021'!AA21/'FS Jimbaran November 2021'!V21</f>
        <v>7442.3509973753225</v>
      </c>
      <c r="M11" s="163">
        <f>+'RNs &amp; Covers November 2021'!B15</f>
        <v>3</v>
      </c>
      <c r="N11" s="163">
        <f>+'RNs &amp; Covers November 2021'!C15</f>
        <v>81</v>
      </c>
    </row>
    <row r="12" spans="1:15" x14ac:dyDescent="0.25">
      <c r="A12" s="149" t="s">
        <v>49</v>
      </c>
      <c r="B12" s="150">
        <f t="shared" si="0"/>
        <v>11</v>
      </c>
      <c r="C12" s="151">
        <v>11</v>
      </c>
      <c r="D12" s="150">
        <v>2021</v>
      </c>
      <c r="E12" s="163">
        <f>'FS Jimbaran November 2021'!P22</f>
        <v>14499.999999999602</v>
      </c>
      <c r="F12" s="161">
        <f>'FS Jimbaran November 2021'!O22/'FS Jimbaran November 2021'!P22</f>
        <v>1135.7863448275893</v>
      </c>
      <c r="G12" s="163">
        <f>'FS Jimbaran November 2021'!AG22</f>
        <v>0</v>
      </c>
      <c r="H12" s="161" t="e">
        <f>'FS Jimbaran November 2021'!AH22/'FS Jimbaran November 2021'!AG22</f>
        <v>#DIV/0!</v>
      </c>
      <c r="I12" s="163">
        <f>'FS Jimbaran November 2021'!AJ22</f>
        <v>559.51000000000204</v>
      </c>
      <c r="J12" s="153">
        <f>'FS Jimbaran November 2021'!AK22/'FS Jimbaran November 2021'!AJ22</f>
        <v>12000</v>
      </c>
      <c r="K12" s="163">
        <f>'FS Jimbaran November 2021'!V22</f>
        <v>759.17000000000007</v>
      </c>
      <c r="L12" s="161">
        <f>'FS Jimbaran November 2021'!AA22/'FS Jimbaran November 2021'!V22</f>
        <v>7688.5779835873382</v>
      </c>
      <c r="M12" s="163">
        <f>+'RNs &amp; Covers November 2021'!B16</f>
        <v>7</v>
      </c>
      <c r="N12" s="163">
        <f>+'RNs &amp; Covers November 2021'!C16</f>
        <v>68</v>
      </c>
    </row>
    <row r="13" spans="1:15" x14ac:dyDescent="0.25">
      <c r="A13" s="149" t="s">
        <v>49</v>
      </c>
      <c r="B13" s="150">
        <f t="shared" si="0"/>
        <v>12</v>
      </c>
      <c r="C13" s="151">
        <v>11</v>
      </c>
      <c r="D13" s="150">
        <v>2021</v>
      </c>
      <c r="E13" s="163">
        <f>'FS Jimbaran November 2021'!P23</f>
        <v>14200.000000000173</v>
      </c>
      <c r="F13" s="161">
        <f>'FS Jimbaran November 2021'!O23/'FS Jimbaran November 2021'!P23</f>
        <v>1126.2283943661953</v>
      </c>
      <c r="G13" s="163">
        <f>'FS Jimbaran November 2021'!AG23</f>
        <v>0</v>
      </c>
      <c r="H13" s="161" t="e">
        <f>'FS Jimbaran November 2021'!AH23/'FS Jimbaran November 2021'!AG23</f>
        <v>#DIV/0!</v>
      </c>
      <c r="I13" s="163">
        <f>'FS Jimbaran November 2021'!AJ23</f>
        <v>379.19999999999709</v>
      </c>
      <c r="J13" s="153">
        <f>'FS Jimbaran November 2021'!AK23/'FS Jimbaran November 2021'!AJ23</f>
        <v>11999.999999999998</v>
      </c>
      <c r="K13" s="163">
        <f>'FS Jimbaran November 2021'!V23</f>
        <v>803.22500000000002</v>
      </c>
      <c r="L13" s="161">
        <f>'FS Jimbaran November 2021'!AA23/'FS Jimbaran November 2021'!V23</f>
        <v>7514.9238227146816</v>
      </c>
      <c r="M13" s="163">
        <f>+'RNs &amp; Covers November 2021'!B17</f>
        <v>7</v>
      </c>
      <c r="N13" s="163">
        <f>+'RNs &amp; Covers November 2021'!C17</f>
        <v>100</v>
      </c>
    </row>
    <row r="14" spans="1:15" x14ac:dyDescent="0.25">
      <c r="A14" s="149" t="s">
        <v>49</v>
      </c>
      <c r="B14" s="150">
        <f t="shared" si="0"/>
        <v>13</v>
      </c>
      <c r="C14" s="151">
        <v>11</v>
      </c>
      <c r="D14" s="150">
        <v>2021</v>
      </c>
      <c r="E14" s="163">
        <f>'FS Jimbaran November 2021'!P24</f>
        <v>14399.99999999992</v>
      </c>
      <c r="F14" s="161">
        <f>'FS Jimbaran November 2021'!O24/'FS Jimbaran November 2021'!P24</f>
        <v>1124.2528750000017</v>
      </c>
      <c r="G14" s="163">
        <f>'FS Jimbaran November 2021'!AG24</f>
        <v>12</v>
      </c>
      <c r="H14" s="161">
        <f>'FS Jimbaran November 2021'!AH24/'FS Jimbaran November 2021'!AG24</f>
        <v>11458.333333333334</v>
      </c>
      <c r="I14" s="163">
        <f>'FS Jimbaran November 2021'!AJ24</f>
        <v>164.15999999998166</v>
      </c>
      <c r="J14" s="153">
        <f>'FS Jimbaran November 2021'!AK24/'FS Jimbaran November 2021'!AJ24</f>
        <v>12000</v>
      </c>
      <c r="K14" s="163">
        <f>'FS Jimbaran November 2021'!V24</f>
        <v>881.45600000000127</v>
      </c>
      <c r="L14" s="161">
        <f>'FS Jimbaran November 2021'!AA24/'FS Jimbaran November 2021'!V24</f>
        <v>7169.2940145395769</v>
      </c>
      <c r="M14" s="163">
        <f>+'RNs &amp; Covers November 2021'!B18</f>
        <v>7</v>
      </c>
      <c r="N14" s="163">
        <f>+'RNs &amp; Covers November 2021'!C18</f>
        <v>92</v>
      </c>
    </row>
    <row r="15" spans="1:15" x14ac:dyDescent="0.25">
      <c r="A15" s="149" t="s">
        <v>49</v>
      </c>
      <c r="B15" s="150">
        <f t="shared" si="0"/>
        <v>14</v>
      </c>
      <c r="C15" s="151">
        <v>11</v>
      </c>
      <c r="D15" s="150">
        <v>2021</v>
      </c>
      <c r="E15" s="163">
        <f>'FS Jimbaran November 2021'!P25</f>
        <v>14100.000000000222</v>
      </c>
      <c r="F15" s="161">
        <f>'FS Jimbaran November 2021'!O25/'FS Jimbaran November 2021'!P25</f>
        <v>1129.0736595744684</v>
      </c>
      <c r="G15" s="163">
        <f>'FS Jimbaran November 2021'!AG25</f>
        <v>12</v>
      </c>
      <c r="H15" s="161">
        <f>'FS Jimbaran November 2021'!AH25/'FS Jimbaran November 2021'!AG25</f>
        <v>11458.333333333334</v>
      </c>
      <c r="I15" s="163">
        <f>'FS Jimbaran November 2021'!AJ25</f>
        <v>289.40000000000146</v>
      </c>
      <c r="J15" s="153">
        <f>'FS Jimbaran November 2021'!AK25/'FS Jimbaran November 2021'!AJ25</f>
        <v>12000</v>
      </c>
      <c r="K15" s="163">
        <f>'FS Jimbaran November 2021'!V25</f>
        <v>873.35699999999929</v>
      </c>
      <c r="L15" s="161">
        <f>'FS Jimbaran November 2021'!AA25/'FS Jimbaran November 2021'!V25</f>
        <v>7210.3974054825258</v>
      </c>
      <c r="M15" s="163">
        <f>+'RNs &amp; Covers November 2021'!B19</f>
        <v>5</v>
      </c>
      <c r="N15" s="163">
        <f>+'RNs &amp; Covers November 2021'!C19</f>
        <v>106</v>
      </c>
    </row>
    <row r="16" spans="1:15" x14ac:dyDescent="0.25">
      <c r="A16" s="149" t="s">
        <v>49</v>
      </c>
      <c r="B16" s="150">
        <f t="shared" si="0"/>
        <v>15</v>
      </c>
      <c r="C16" s="151">
        <v>11</v>
      </c>
      <c r="D16" s="150">
        <v>2021</v>
      </c>
      <c r="E16" s="163">
        <f>'FS Jimbaran November 2021'!P26</f>
        <v>14459.999999999794</v>
      </c>
      <c r="F16" s="161">
        <f>'FS Jimbaran November 2021'!O26/'FS Jimbaran November 2021'!P26</f>
        <v>1126.7509958506239</v>
      </c>
      <c r="G16" s="163">
        <f>'FS Jimbaran November 2021'!AG26</f>
        <v>50</v>
      </c>
      <c r="H16" s="161">
        <f>'FS Jimbaran November 2021'!AH26/'FS Jimbaran November 2021'!AG26</f>
        <v>17200</v>
      </c>
      <c r="I16" s="163">
        <f>'FS Jimbaran November 2021'!AJ26</f>
        <v>279.14999999999418</v>
      </c>
      <c r="J16" s="153">
        <f>'FS Jimbaran November 2021'!AK26/'FS Jimbaran November 2021'!AJ26</f>
        <v>12000</v>
      </c>
      <c r="K16" s="163">
        <f>'FS Jimbaran November 2021'!V26</f>
        <v>944.29</v>
      </c>
      <c r="L16" s="161">
        <f>'FS Jimbaran November 2021'!AA26/'FS Jimbaran November 2021'!V26</f>
        <v>6987.6567577756841</v>
      </c>
      <c r="M16" s="163">
        <f>+'RNs &amp; Covers November 2021'!B20</f>
        <v>8</v>
      </c>
      <c r="N16" s="163">
        <f>+'RNs &amp; Covers November 2021'!C20</f>
        <v>45</v>
      </c>
    </row>
    <row r="17" spans="1:14" x14ac:dyDescent="0.25">
      <c r="A17" s="149" t="s">
        <v>49</v>
      </c>
      <c r="B17" s="150">
        <f t="shared" si="0"/>
        <v>16</v>
      </c>
      <c r="C17" s="151">
        <v>11</v>
      </c>
      <c r="D17" s="150">
        <v>2021</v>
      </c>
      <c r="E17" s="163">
        <f>'FS Jimbaran November 2021'!P27</f>
        <v>13900.000000000176</v>
      </c>
      <c r="F17" s="161">
        <f>'FS Jimbaran November 2021'!O27/'FS Jimbaran November 2021'!P27</f>
        <v>1130.4160143884856</v>
      </c>
      <c r="G17" s="163">
        <f>'FS Jimbaran November 2021'!AG27</f>
        <v>0</v>
      </c>
      <c r="H17" s="161" t="e">
        <f>'FS Jimbaran November 2021'!AH27/'FS Jimbaran November 2021'!AG27</f>
        <v>#DIV/0!</v>
      </c>
      <c r="I17" s="163">
        <f>'FS Jimbaran November 2021'!AJ27</f>
        <v>257.67000000000553</v>
      </c>
      <c r="J17" s="153">
        <f>'FS Jimbaran November 2021'!AK27/'FS Jimbaran November 2021'!AJ27</f>
        <v>12000</v>
      </c>
      <c r="K17" s="163">
        <f>'FS Jimbaran November 2021'!V27</f>
        <v>681.20600000000127</v>
      </c>
      <c r="L17" s="161">
        <f>'FS Jimbaran November 2021'!AA27/'FS Jimbaran November 2021'!V27</f>
        <v>5500.4352913509265</v>
      </c>
      <c r="M17" s="163">
        <f>+'RNs &amp; Covers November 2021'!B21</f>
        <v>7</v>
      </c>
      <c r="N17" s="163">
        <f>+'RNs &amp; Covers November 2021'!C21</f>
        <v>59</v>
      </c>
    </row>
    <row r="18" spans="1:14" x14ac:dyDescent="0.25">
      <c r="A18" s="149" t="s">
        <v>49</v>
      </c>
      <c r="B18" s="150">
        <f t="shared" si="0"/>
        <v>17</v>
      </c>
      <c r="C18" s="151">
        <v>11</v>
      </c>
      <c r="D18" s="150">
        <v>2021</v>
      </c>
      <c r="E18" s="163">
        <f>'FS Jimbaran November 2021'!P28</f>
        <v>16079.999999999742</v>
      </c>
      <c r="F18" s="161">
        <f>'FS Jimbaran November 2021'!O28/'FS Jimbaran November 2021'!P28</f>
        <v>1140.1309701492553</v>
      </c>
      <c r="G18" s="163">
        <f>'FS Jimbaran November 2021'!AG28</f>
        <v>0</v>
      </c>
      <c r="H18" s="161" t="e">
        <f>'FS Jimbaran November 2021'!AH28/'FS Jimbaran November 2021'!AG28</f>
        <v>#DIV/0!</v>
      </c>
      <c r="I18" s="163">
        <f>'FS Jimbaran November 2021'!AJ28</f>
        <v>389.96999999999389</v>
      </c>
      <c r="J18" s="153">
        <f>'FS Jimbaran November 2021'!AK28/'FS Jimbaran November 2021'!AJ28</f>
        <v>12000</v>
      </c>
      <c r="K18" s="163">
        <f>'FS Jimbaran November 2021'!V28</f>
        <v>587.4</v>
      </c>
      <c r="L18" s="161">
        <f>'FS Jimbaran November 2021'!AA28/'FS Jimbaran November 2021'!V28</f>
        <v>8633.1232121212124</v>
      </c>
      <c r="M18" s="163">
        <f>+'RNs &amp; Covers November 2021'!B22</f>
        <v>16</v>
      </c>
      <c r="N18" s="163">
        <f>+'RNs &amp; Covers November 2021'!C22</f>
        <v>103</v>
      </c>
    </row>
    <row r="19" spans="1:14" x14ac:dyDescent="0.25">
      <c r="A19" s="149" t="s">
        <v>49</v>
      </c>
      <c r="B19" s="150">
        <f t="shared" si="0"/>
        <v>18</v>
      </c>
      <c r="C19" s="151">
        <v>11</v>
      </c>
      <c r="D19" s="150">
        <v>2021</v>
      </c>
      <c r="E19" s="163">
        <f>'FS Jimbaran November 2021'!P29</f>
        <v>15739.999999999909</v>
      </c>
      <c r="F19" s="161">
        <f>'FS Jimbaran November 2021'!O29/'FS Jimbaran November 2021'!P29</f>
        <v>1123.3014358322764</v>
      </c>
      <c r="G19" s="163">
        <f>'FS Jimbaran November 2021'!AG29</f>
        <v>132</v>
      </c>
      <c r="H19" s="161">
        <f>'FS Jimbaran November 2021'!AH29/'FS Jimbaran November 2021'!AG29</f>
        <v>11458.333333333334</v>
      </c>
      <c r="I19" s="163">
        <f>'FS Jimbaran November 2021'!AJ29</f>
        <v>121.11000000000058</v>
      </c>
      <c r="J19" s="153">
        <f>'FS Jimbaran November 2021'!AK29/'FS Jimbaran November 2021'!AJ29</f>
        <v>12000</v>
      </c>
      <c r="K19" s="163">
        <f>'FS Jimbaran November 2021'!V29</f>
        <v>788.00599999999815</v>
      </c>
      <c r="L19" s="161">
        <f>'FS Jimbaran November 2021'!AA29/'FS Jimbaran November 2021'!V29</f>
        <v>7562.5715518409834</v>
      </c>
      <c r="M19" s="163">
        <f>+'RNs &amp; Covers November 2021'!B23</f>
        <v>17</v>
      </c>
      <c r="N19" s="163">
        <f>+'RNs &amp; Covers November 2021'!C23</f>
        <v>91</v>
      </c>
    </row>
    <row r="20" spans="1:14" x14ac:dyDescent="0.25">
      <c r="A20" s="149" t="s">
        <v>49</v>
      </c>
      <c r="B20" s="150">
        <f t="shared" si="0"/>
        <v>19</v>
      </c>
      <c r="C20" s="151">
        <v>11</v>
      </c>
      <c r="D20" s="150">
        <v>2021</v>
      </c>
      <c r="E20" s="163">
        <f>'FS Jimbaran November 2021'!P30</f>
        <v>16000.0000000002</v>
      </c>
      <c r="F20" s="161">
        <f>'FS Jimbaran November 2021'!O30/'FS Jimbaran November 2021'!P30</f>
        <v>1123.8212999999969</v>
      </c>
      <c r="G20" s="163">
        <f>'FS Jimbaran November 2021'!AG30</f>
        <v>0</v>
      </c>
      <c r="H20" s="161" t="e">
        <f>'FS Jimbaran November 2021'!AH30/'FS Jimbaran November 2021'!AG30</f>
        <v>#DIV/0!</v>
      </c>
      <c r="I20" s="163">
        <f>'FS Jimbaran November 2021'!AJ30</f>
        <v>306.04000000000087</v>
      </c>
      <c r="J20" s="153">
        <f>'FS Jimbaran November 2021'!AK30/'FS Jimbaran November 2021'!AJ30</f>
        <v>12000</v>
      </c>
      <c r="K20" s="163">
        <f>'FS Jimbaran November 2021'!V30</f>
        <v>779.46199999999931</v>
      </c>
      <c r="L20" s="161">
        <f>'FS Jimbaran November 2021'!AA30/'FS Jimbaran November 2021'!V30</f>
        <v>7551.9195752454925</v>
      </c>
      <c r="M20" s="163">
        <f>+'RNs &amp; Covers November 2021'!B24</f>
        <v>13</v>
      </c>
      <c r="N20" s="163">
        <f>+'RNs &amp; Covers November 2021'!C24</f>
        <v>117</v>
      </c>
    </row>
    <row r="21" spans="1:14" x14ac:dyDescent="0.25">
      <c r="A21" s="149" t="s">
        <v>49</v>
      </c>
      <c r="B21" s="150">
        <f t="shared" si="0"/>
        <v>20</v>
      </c>
      <c r="C21" s="151">
        <v>11</v>
      </c>
      <c r="D21" s="150">
        <v>2021</v>
      </c>
      <c r="E21" s="163">
        <f>'FS Jimbaran November 2021'!P31</f>
        <v>15139.999999999916</v>
      </c>
      <c r="F21" s="161">
        <f>'FS Jimbaran November 2021'!O31/'FS Jimbaran November 2021'!P31</f>
        <v>1122.6651122853375</v>
      </c>
      <c r="G21" s="163">
        <f>'FS Jimbaran November 2021'!AG31</f>
        <v>0</v>
      </c>
      <c r="H21" s="161" t="e">
        <f>'FS Jimbaran November 2021'!AH31/'FS Jimbaran November 2021'!AG31</f>
        <v>#DIV/0!</v>
      </c>
      <c r="I21" s="163">
        <f>'FS Jimbaran November 2021'!AJ31</f>
        <v>171.56000000000495</v>
      </c>
      <c r="J21" s="153">
        <f>'FS Jimbaran November 2021'!AK31/'FS Jimbaran November 2021'!AJ31</f>
        <v>12000</v>
      </c>
      <c r="K21" s="163">
        <f>'FS Jimbaran November 2021'!V31</f>
        <v>750.27</v>
      </c>
      <c r="L21" s="161">
        <f>'FS Jimbaran November 2021'!AA31/'FS Jimbaran November 2021'!V31</f>
        <v>5482.5753973902729</v>
      </c>
      <c r="M21" s="163">
        <f>+'RNs &amp; Covers November 2021'!B25</f>
        <v>20</v>
      </c>
      <c r="N21" s="163">
        <f>+'RNs &amp; Covers November 2021'!C25</f>
        <v>142</v>
      </c>
    </row>
    <row r="22" spans="1:14" x14ac:dyDescent="0.25">
      <c r="A22" s="149" t="s">
        <v>49</v>
      </c>
      <c r="B22" s="150">
        <f t="shared" si="0"/>
        <v>21</v>
      </c>
      <c r="C22" s="151">
        <v>11</v>
      </c>
      <c r="D22" s="150">
        <v>2021</v>
      </c>
      <c r="E22" s="163">
        <f>'FS Jimbaran November 2021'!P32</f>
        <v>14940.000000000226</v>
      </c>
      <c r="F22" s="161">
        <f>'FS Jimbaran November 2021'!O32/'FS Jimbaran November 2021'!P32</f>
        <v>1127.2946987951807</v>
      </c>
      <c r="G22" s="163">
        <f>'FS Jimbaran November 2021'!AG32</f>
        <v>0</v>
      </c>
      <c r="H22" s="161" t="e">
        <f>'FS Jimbaran November 2021'!AH32/'FS Jimbaran November 2021'!AG32</f>
        <v>#DIV/0!</v>
      </c>
      <c r="I22" s="163">
        <f>'FS Jimbaran November 2021'!AJ32</f>
        <v>194.86999999999534</v>
      </c>
      <c r="J22" s="153">
        <f>'FS Jimbaran November 2021'!AK32/'FS Jimbaran November 2021'!AJ32</f>
        <v>12000</v>
      </c>
      <c r="K22" s="163">
        <f>'FS Jimbaran November 2021'!V32</f>
        <v>753.83</v>
      </c>
      <c r="L22" s="161">
        <f>'FS Jimbaran November 2021'!AA32/'FS Jimbaran November 2021'!V32</f>
        <v>5736.0057851239671</v>
      </c>
      <c r="M22" s="163">
        <f>+'RNs &amp; Covers November 2021'!B26</f>
        <v>11</v>
      </c>
      <c r="N22" s="163">
        <f>+'RNs &amp; Covers November 2021'!C26</f>
        <v>177</v>
      </c>
    </row>
    <row r="23" spans="1:14" x14ac:dyDescent="0.25">
      <c r="A23" s="149" t="s">
        <v>49</v>
      </c>
      <c r="B23" s="150">
        <f t="shared" si="0"/>
        <v>22</v>
      </c>
      <c r="C23" s="151">
        <v>11</v>
      </c>
      <c r="D23" s="150">
        <v>2021</v>
      </c>
      <c r="E23" s="163">
        <f>'FS Jimbaran November 2021'!P33</f>
        <v>16060.000000000386</v>
      </c>
      <c r="F23" s="161">
        <f>'FS Jimbaran November 2021'!O33/'FS Jimbaran November 2021'!P33</f>
        <v>1131.2317061021156</v>
      </c>
      <c r="G23" s="163">
        <f>'FS Jimbaran November 2021'!AG33</f>
        <v>400</v>
      </c>
      <c r="H23" s="161">
        <f>'FS Jimbaran November 2021'!AH33/'FS Jimbaran November 2021'!AG33</f>
        <v>17200</v>
      </c>
      <c r="I23" s="163">
        <f>'FS Jimbaran November 2021'!AJ33</f>
        <v>355.62000000000262</v>
      </c>
      <c r="J23" s="153">
        <f>'FS Jimbaran November 2021'!AK33/'FS Jimbaran November 2021'!AJ33</f>
        <v>12000</v>
      </c>
      <c r="K23" s="163">
        <f>'FS Jimbaran November 2021'!V33</f>
        <v>888.22</v>
      </c>
      <c r="L23" s="161">
        <f>'FS Jimbaran November 2021'!AA33/'FS Jimbaran November 2021'!V33</f>
        <v>7133.2733867735469</v>
      </c>
      <c r="M23" s="163">
        <f>+'RNs &amp; Covers November 2021'!B27</f>
        <v>5</v>
      </c>
      <c r="N23" s="163">
        <f>+'RNs &amp; Covers November 2021'!C27</f>
        <v>79</v>
      </c>
    </row>
    <row r="24" spans="1:14" x14ac:dyDescent="0.25">
      <c r="A24" s="149" t="s">
        <v>49</v>
      </c>
      <c r="B24" s="150">
        <f t="shared" si="0"/>
        <v>23</v>
      </c>
      <c r="C24" s="151">
        <v>11</v>
      </c>
      <c r="D24" s="150">
        <v>2021</v>
      </c>
      <c r="E24" s="163">
        <f>'FS Jimbaran November 2021'!P34</f>
        <v>15499.9999999998</v>
      </c>
      <c r="F24" s="161">
        <f>'FS Jimbaran November 2021'!O34/'FS Jimbaran November 2021'!P34</f>
        <v>1127.329587096775</v>
      </c>
      <c r="G24" s="163">
        <f>'FS Jimbaran November 2021'!AG34</f>
        <v>12</v>
      </c>
      <c r="H24" s="161">
        <f>'FS Jimbaran November 2021'!AH34/'FS Jimbaran November 2021'!AG34</f>
        <v>11458.333333333334</v>
      </c>
      <c r="I24" s="163">
        <f>'FS Jimbaran November 2021'!AJ34</f>
        <v>172.2699999999968</v>
      </c>
      <c r="J24" s="153">
        <f>'FS Jimbaran November 2021'!AK34/'FS Jimbaran November 2021'!AJ34</f>
        <v>12000</v>
      </c>
      <c r="K24" s="163">
        <f>'FS Jimbaran November 2021'!V34</f>
        <v>856.18000000000006</v>
      </c>
      <c r="L24" s="161">
        <f>'FS Jimbaran November 2021'!AA34/'FS Jimbaran November 2021'!V34</f>
        <v>7298.4216632016633</v>
      </c>
      <c r="M24" s="163">
        <f>+'RNs &amp; Covers November 2021'!B28</f>
        <v>33</v>
      </c>
      <c r="N24" s="163">
        <f>+'RNs &amp; Covers November 2021'!C28</f>
        <v>50</v>
      </c>
    </row>
    <row r="25" spans="1:14" x14ac:dyDescent="0.25">
      <c r="A25" s="149" t="s">
        <v>49</v>
      </c>
      <c r="B25" s="150">
        <f t="shared" si="0"/>
        <v>24</v>
      </c>
      <c r="C25" s="151">
        <v>11</v>
      </c>
      <c r="D25" s="150">
        <v>2021</v>
      </c>
      <c r="E25" s="163">
        <f>'FS Jimbaran November 2021'!P35</f>
        <v>16460.000000000095</v>
      </c>
      <c r="F25" s="161">
        <f>'FS Jimbaran November 2021'!O35/'FS Jimbaran November 2021'!P35</f>
        <v>1127.6535601458079</v>
      </c>
      <c r="G25" s="163">
        <f>'FS Jimbaran November 2021'!AG35</f>
        <v>0</v>
      </c>
      <c r="H25" s="161" t="e">
        <f>'FS Jimbaran November 2021'!AH35/'FS Jimbaran November 2021'!AG35</f>
        <v>#DIV/0!</v>
      </c>
      <c r="I25" s="163">
        <f>'FS Jimbaran November 2021'!AJ35</f>
        <v>359.26000000000931</v>
      </c>
      <c r="J25" s="153">
        <f>'FS Jimbaran November 2021'!AK35/'FS Jimbaran November 2021'!AJ35</f>
        <v>12000</v>
      </c>
      <c r="K25" s="163">
        <f>'FS Jimbaran November 2021'!V35</f>
        <v>802.78</v>
      </c>
      <c r="L25" s="161">
        <f>'FS Jimbaran November 2021'!AA35/'FS Jimbaran November 2021'!V35</f>
        <v>7440.653614190689</v>
      </c>
      <c r="M25" s="163">
        <f>+'RNs &amp; Covers November 2021'!B29</f>
        <v>32</v>
      </c>
      <c r="N25" s="163">
        <f>+'RNs &amp; Covers November 2021'!C29</f>
        <v>114</v>
      </c>
    </row>
    <row r="26" spans="1:14" x14ac:dyDescent="0.25">
      <c r="A26" s="149" t="s">
        <v>49</v>
      </c>
      <c r="B26" s="150">
        <f>B25+1</f>
        <v>25</v>
      </c>
      <c r="C26" s="151">
        <v>11</v>
      </c>
      <c r="D26" s="150">
        <v>2021</v>
      </c>
      <c r="E26" s="163">
        <f>'FS Jimbaran November 2021'!P36</f>
        <v>17139.999999999618</v>
      </c>
      <c r="F26" s="161">
        <f>'FS Jimbaran November 2021'!O36/'FS Jimbaran November 2021'!P36</f>
        <v>1128.2387747958005</v>
      </c>
      <c r="G26" s="163">
        <f>'FS Jimbaran November 2021'!AG36</f>
        <v>412</v>
      </c>
      <c r="H26" s="161">
        <f>'FS Jimbaran November 2021'!AH36/'FS Jimbaran November 2021'!AG36</f>
        <v>17032.766990291264</v>
      </c>
      <c r="I26" s="163">
        <f>'FS Jimbaran November 2021'!AJ36</f>
        <v>188.8399999999674</v>
      </c>
      <c r="J26" s="153">
        <f>'FS Jimbaran November 2021'!AK36/'FS Jimbaran November 2021'!AJ36</f>
        <v>12000</v>
      </c>
      <c r="K26" s="163">
        <f>'FS Jimbaran November 2021'!V36</f>
        <v>898.9</v>
      </c>
      <c r="L26" s="161">
        <f>'FS Jimbaran November 2021'!AA36/'FS Jimbaran November 2021'!V36</f>
        <v>7180.4959603960406</v>
      </c>
      <c r="M26" s="163">
        <f>+'RNs &amp; Covers November 2021'!B30</f>
        <v>39</v>
      </c>
      <c r="N26" s="163">
        <f>+'RNs &amp; Covers November 2021'!C30</f>
        <v>216</v>
      </c>
    </row>
    <row r="27" spans="1:14" x14ac:dyDescent="0.25">
      <c r="A27" s="149" t="s">
        <v>49</v>
      </c>
      <c r="B27" s="150">
        <f t="shared" si="0"/>
        <v>26</v>
      </c>
      <c r="C27" s="151">
        <v>11</v>
      </c>
      <c r="D27" s="150">
        <v>2021</v>
      </c>
      <c r="E27" s="163">
        <f>'FS Jimbaran November 2021'!P37</f>
        <v>16160.000000000182</v>
      </c>
      <c r="F27" s="161">
        <f>'FS Jimbaran November 2021'!O37/'FS Jimbaran November 2021'!P37</f>
        <v>1123.5905569306938</v>
      </c>
      <c r="G27" s="163">
        <f>'FS Jimbaran November 2021'!AG37</f>
        <v>12</v>
      </c>
      <c r="H27" s="161">
        <f>'FS Jimbaran November 2021'!AH37/'FS Jimbaran November 2021'!AG37</f>
        <v>11458.333333333334</v>
      </c>
      <c r="I27" s="163">
        <f>'FS Jimbaran November 2021'!AJ37</f>
        <v>378.16999999999825</v>
      </c>
      <c r="J27" s="153">
        <f>'FS Jimbaran November 2021'!AK37/'FS Jimbaran November 2021'!AJ37</f>
        <v>12000.000000000002</v>
      </c>
      <c r="K27" s="163">
        <f>'FS Jimbaran November 2021'!V37</f>
        <v>903.35</v>
      </c>
      <c r="L27" s="161">
        <f>'FS Jimbaran November 2021'!AA37/'FS Jimbaran November 2021'!V37</f>
        <v>7098.4238620689666</v>
      </c>
      <c r="M27" s="163">
        <f>+'RNs &amp; Covers November 2021'!B31</f>
        <v>12</v>
      </c>
      <c r="N27" s="163">
        <f>+'RNs &amp; Covers November 2021'!C31</f>
        <v>157</v>
      </c>
    </row>
    <row r="28" spans="1:14" x14ac:dyDescent="0.25">
      <c r="A28" s="149" t="s">
        <v>49</v>
      </c>
      <c r="B28" s="150">
        <f t="shared" si="0"/>
        <v>27</v>
      </c>
      <c r="C28" s="151">
        <v>11</v>
      </c>
      <c r="D28" s="150">
        <v>2021</v>
      </c>
      <c r="E28" s="163">
        <f>'FS Jimbaran November 2021'!P38</f>
        <v>15339.999999999578</v>
      </c>
      <c r="F28" s="161">
        <f>'FS Jimbaran November 2021'!O38/'FS Jimbaran November 2021'!P38</f>
        <v>1126.2588265971306</v>
      </c>
      <c r="G28" s="163">
        <f>'FS Jimbaran November 2021'!AG38</f>
        <v>50</v>
      </c>
      <c r="H28" s="161">
        <f>'FS Jimbaran November 2021'!AH38/'FS Jimbaran November 2021'!AG38</f>
        <v>17200</v>
      </c>
      <c r="I28" s="163">
        <f>'FS Jimbaran November 2021'!AJ38</f>
        <v>278.66999999999825</v>
      </c>
      <c r="J28" s="153">
        <f>'FS Jimbaran November 2021'!AK38/'FS Jimbaran November 2021'!AJ38</f>
        <v>12000</v>
      </c>
      <c r="K28" s="163">
        <f>'FS Jimbaran November 2021'!V38</f>
        <v>900.68000000000006</v>
      </c>
      <c r="L28" s="161">
        <f>'FS Jimbaran November 2021'!AA38/'FS Jimbaran November 2021'!V38</f>
        <v>7174.6949407114626</v>
      </c>
      <c r="M28" s="163">
        <f>+'RNs &amp; Covers November 2021'!B32</f>
        <v>16</v>
      </c>
      <c r="N28" s="163">
        <f>+'RNs &amp; Covers November 2021'!C32</f>
        <v>106</v>
      </c>
    </row>
    <row r="29" spans="1:14" x14ac:dyDescent="0.25">
      <c r="A29" s="149" t="s">
        <v>49</v>
      </c>
      <c r="B29" s="150">
        <f t="shared" si="0"/>
        <v>28</v>
      </c>
      <c r="C29" s="151">
        <v>11</v>
      </c>
      <c r="D29" s="150">
        <v>2021</v>
      </c>
      <c r="E29" s="163">
        <f>'FS Jimbaran November 2021'!P39</f>
        <v>14900.000000000375</v>
      </c>
      <c r="F29" s="161">
        <f>'FS Jimbaran November 2021'!O39/'FS Jimbaran November 2021'!P39</f>
        <v>1129.6258389261757</v>
      </c>
      <c r="G29" s="163">
        <f>'FS Jimbaran November 2021'!AG39</f>
        <v>24</v>
      </c>
      <c r="H29" s="161">
        <f>'FS Jimbaran November 2021'!AH39/'FS Jimbaran November 2021'!AG39</f>
        <v>11458.333333333334</v>
      </c>
      <c r="I29" s="163">
        <f>'FS Jimbaran November 2021'!AJ39</f>
        <v>336.55000000000291</v>
      </c>
      <c r="J29" s="153">
        <f>'FS Jimbaran November 2021'!AK39/'FS Jimbaran November 2021'!AJ39</f>
        <v>12000</v>
      </c>
      <c r="K29" s="163">
        <f>'FS Jimbaran November 2021'!V39</f>
        <v>899.79</v>
      </c>
      <c r="L29" s="161">
        <f>'FS Jimbaran November 2021'!AA39/'FS Jimbaran November 2021'!V39</f>
        <v>7177.5925816023755</v>
      </c>
      <c r="M29" s="163">
        <f>+'RNs &amp; Covers November 2021'!B33</f>
        <v>14</v>
      </c>
      <c r="N29" s="163">
        <f>+'RNs &amp; Covers November 2021'!C33</f>
        <v>173</v>
      </c>
    </row>
    <row r="30" spans="1:14" x14ac:dyDescent="0.25">
      <c r="A30" s="149" t="s">
        <v>49</v>
      </c>
      <c r="B30" s="150">
        <f t="shared" si="0"/>
        <v>29</v>
      </c>
      <c r="C30" s="151">
        <v>11</v>
      </c>
      <c r="D30" s="150">
        <v>2021</v>
      </c>
      <c r="E30" s="163">
        <f>'FS Jimbaran November 2021'!P40</f>
        <v>14620.000000000289</v>
      </c>
      <c r="F30" s="161">
        <f>'FS Jimbaran November 2021'!O40/'FS Jimbaran November 2021'!P40</f>
        <v>1126.4638850889176</v>
      </c>
      <c r="G30" s="163">
        <f>'FS Jimbaran November 2021'!AG40</f>
        <v>412</v>
      </c>
      <c r="H30" s="161">
        <f>'FS Jimbaran November 2021'!AH40/'FS Jimbaran November 2021'!AG40</f>
        <v>17032.766990291264</v>
      </c>
      <c r="I30" s="163">
        <f>'FS Jimbaran November 2021'!AJ40</f>
        <v>327.94999999999709</v>
      </c>
      <c r="J30" s="153">
        <f>'FS Jimbaran November 2021'!AK40/'FS Jimbaran November 2021'!AJ40</f>
        <v>12000</v>
      </c>
      <c r="K30" s="163">
        <f>'FS Jimbaran November 2021'!V40</f>
        <v>873.09</v>
      </c>
      <c r="L30" s="161">
        <f>'FS Jimbaran November 2021'!AA40/'FS Jimbaran November 2021'!V40</f>
        <v>7281.25995922528</v>
      </c>
      <c r="M30" s="163">
        <f>+'RNs &amp; Covers November 2021'!B34</f>
        <v>9</v>
      </c>
      <c r="N30" s="163">
        <f>+'RNs &amp; Covers November 2021'!C34</f>
        <v>111</v>
      </c>
    </row>
    <row r="31" spans="1:14" x14ac:dyDescent="0.25">
      <c r="A31" s="149" t="s">
        <v>49</v>
      </c>
      <c r="B31" s="150">
        <f t="shared" si="0"/>
        <v>30</v>
      </c>
      <c r="C31" s="151">
        <v>11</v>
      </c>
      <c r="D31" s="150">
        <v>2021</v>
      </c>
      <c r="E31" s="163">
        <f>'FS Jimbaran November 2021'!P41</f>
        <v>14879.999999999909</v>
      </c>
      <c r="F31" s="161">
        <f>'FS Jimbaran November 2021'!O41/'FS Jimbaran November 2021'!P41</f>
        <v>1123.4871774193537</v>
      </c>
      <c r="G31" s="163">
        <f>'FS Jimbaran November 2021'!AG41</f>
        <v>0</v>
      </c>
      <c r="H31" s="161" t="e">
        <f>'FS Jimbaran November 2021'!AH41/'FS Jimbaran November 2021'!AG41</f>
        <v>#DIV/0!</v>
      </c>
      <c r="I31" s="163">
        <f>'FS Jimbaran November 2021'!AJ41</f>
        <v>278.57000000000698</v>
      </c>
      <c r="J31" s="153">
        <f>'FS Jimbaran November 2021'!AK41/'FS Jimbaran November 2021'!AJ41</f>
        <v>12000</v>
      </c>
      <c r="K31" s="163">
        <f>'FS Jimbaran November 2021'!V41</f>
        <v>864.19</v>
      </c>
      <c r="L31" s="161">
        <f>'FS Jimbaran November 2021'!AA41/'FS Jimbaran November 2021'!V41</f>
        <v>7298.3922760041205</v>
      </c>
      <c r="M31" s="163">
        <f>+'RNs &amp; Covers November 2021'!B35</f>
        <v>7</v>
      </c>
      <c r="N31" s="163">
        <f>+'RNs &amp; Covers November 2021'!C35</f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AH48" sqref="AH48:AK48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14.42578125" bestFit="1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2" bestFit="1" customWidth="1"/>
    <col min="14" max="14" width="20.42578125" style="66" customWidth="1"/>
    <col min="15" max="15" width="18.85546875" customWidth="1"/>
    <col min="16" max="16" width="15.140625" style="66" customWidth="1"/>
    <col min="17" max="17" width="19.7109375" customWidth="1"/>
    <col min="18" max="18" width="18.140625" style="87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7" bestFit="1" customWidth="1"/>
    <col min="37" max="37" width="20.7109375" bestFit="1" customWidth="1"/>
    <col min="38" max="38" width="9.42578125" style="39" bestFit="1" customWidth="1"/>
    <col min="39" max="39" width="2.28515625" style="15" customWidth="1"/>
  </cols>
  <sheetData>
    <row r="5" spans="1:39" x14ac:dyDescent="0.25">
      <c r="N5" s="164"/>
      <c r="X5" s="165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7"/>
      <c r="N6" s="63"/>
      <c r="P6" s="63"/>
      <c r="R6" s="83"/>
      <c r="AD6" s="34"/>
      <c r="AH6" s="34"/>
      <c r="AJ6" s="83"/>
      <c r="AL6" s="36"/>
    </row>
    <row r="7" spans="1:39" s="12" customFormat="1" ht="16.5" thickBot="1" x14ac:dyDescent="0.3">
      <c r="A7" s="30"/>
      <c r="B7" s="230" t="s">
        <v>54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2"/>
      <c r="AM7" s="30"/>
    </row>
    <row r="8" spans="1:39" s="8" customFormat="1" ht="15.75" customHeight="1" thickBot="1" x14ac:dyDescent="0.3">
      <c r="A8" s="26"/>
      <c r="B8" s="233" t="s">
        <v>1</v>
      </c>
      <c r="C8" s="236" t="s">
        <v>2</v>
      </c>
      <c r="D8" s="239" t="s">
        <v>3</v>
      </c>
      <c r="E8" s="242" t="s">
        <v>34</v>
      </c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44" t="s">
        <v>19</v>
      </c>
      <c r="W8" s="245"/>
      <c r="X8" s="245"/>
      <c r="Y8" s="245"/>
      <c r="Z8" s="245"/>
      <c r="AA8" s="245"/>
      <c r="AB8" s="246"/>
      <c r="AC8" s="247" t="s">
        <v>24</v>
      </c>
      <c r="AD8" s="247"/>
      <c r="AE8" s="247"/>
      <c r="AF8" s="247"/>
      <c r="AG8" s="247"/>
      <c r="AH8" s="247"/>
      <c r="AI8" s="247"/>
      <c r="AJ8" s="247"/>
      <c r="AK8" s="247"/>
      <c r="AL8" s="248"/>
      <c r="AM8" s="28"/>
    </row>
    <row r="9" spans="1:39" ht="15" customHeight="1" thickBot="1" x14ac:dyDescent="0.3">
      <c r="A9" s="29"/>
      <c r="B9" s="234"/>
      <c r="C9" s="237"/>
      <c r="D9" s="240"/>
      <c r="E9" s="249" t="s">
        <v>33</v>
      </c>
      <c r="F9" s="250"/>
      <c r="G9" s="250"/>
      <c r="H9" s="250"/>
      <c r="I9" s="251"/>
      <c r="J9" s="252" t="s">
        <v>5</v>
      </c>
      <c r="K9" s="252"/>
      <c r="L9" s="252"/>
      <c r="M9" s="252"/>
      <c r="N9" s="253"/>
      <c r="O9" s="239" t="s">
        <v>12</v>
      </c>
      <c r="P9" s="254" t="s">
        <v>32</v>
      </c>
      <c r="Q9" s="256" t="s">
        <v>51</v>
      </c>
      <c r="R9" s="261" t="s">
        <v>21</v>
      </c>
      <c r="S9" s="263" t="s">
        <v>13</v>
      </c>
      <c r="T9" s="226" t="s">
        <v>18</v>
      </c>
      <c r="U9" s="227"/>
      <c r="V9" s="51"/>
      <c r="W9" s="51" t="s">
        <v>4</v>
      </c>
      <c r="X9" s="51"/>
      <c r="Y9" s="52"/>
      <c r="Z9" s="207"/>
      <c r="AA9" s="228" t="s">
        <v>27</v>
      </c>
      <c r="AB9" s="229"/>
      <c r="AC9" s="247" t="s">
        <v>22</v>
      </c>
      <c r="AD9" s="247"/>
      <c r="AE9" s="247"/>
      <c r="AF9" s="247"/>
      <c r="AG9" s="247"/>
      <c r="AH9" s="247"/>
      <c r="AI9" s="248"/>
      <c r="AJ9" s="258" t="s">
        <v>20</v>
      </c>
      <c r="AK9" s="259"/>
      <c r="AL9" s="260"/>
      <c r="AM9" s="29"/>
    </row>
    <row r="10" spans="1:39" ht="61.5" customHeight="1" thickBot="1" x14ac:dyDescent="0.3">
      <c r="A10" s="27"/>
      <c r="B10" s="235"/>
      <c r="C10" s="238"/>
      <c r="D10" s="241"/>
      <c r="E10" s="95" t="s">
        <v>35</v>
      </c>
      <c r="F10" s="81" t="s">
        <v>6</v>
      </c>
      <c r="G10" s="124" t="s">
        <v>36</v>
      </c>
      <c r="H10" s="18" t="s">
        <v>6</v>
      </c>
      <c r="I10" s="96" t="s">
        <v>14</v>
      </c>
      <c r="J10" s="95" t="s">
        <v>35</v>
      </c>
      <c r="K10" s="82" t="s">
        <v>6</v>
      </c>
      <c r="L10" s="124" t="s">
        <v>36</v>
      </c>
      <c r="M10" s="58" t="s">
        <v>6</v>
      </c>
      <c r="N10" s="90" t="s">
        <v>15</v>
      </c>
      <c r="O10" s="241"/>
      <c r="P10" s="255"/>
      <c r="Q10" s="257"/>
      <c r="R10" s="262"/>
      <c r="S10" s="264"/>
      <c r="T10" s="167" t="s">
        <v>16</v>
      </c>
      <c r="U10" s="23" t="s">
        <v>17</v>
      </c>
      <c r="V10" s="168" t="s">
        <v>8</v>
      </c>
      <c r="W10" s="53" t="s">
        <v>0</v>
      </c>
      <c r="X10" s="53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18" t="s">
        <v>7</v>
      </c>
      <c r="AD10" s="46" t="s">
        <v>31</v>
      </c>
      <c r="AE10" s="45" t="s">
        <v>11</v>
      </c>
      <c r="AF10" s="45" t="s">
        <v>9</v>
      </c>
      <c r="AG10" s="45" t="s">
        <v>25</v>
      </c>
      <c r="AH10" s="46" t="s">
        <v>16</v>
      </c>
      <c r="AI10" s="47" t="s">
        <v>17</v>
      </c>
      <c r="AJ10" s="131" t="s">
        <v>23</v>
      </c>
      <c r="AK10" s="45" t="s">
        <v>16</v>
      </c>
      <c r="AL10" s="49" t="s">
        <v>17</v>
      </c>
      <c r="AM10" s="27"/>
    </row>
    <row r="11" spans="1:39" x14ac:dyDescent="0.25">
      <c r="A11" s="27"/>
      <c r="B11" s="55"/>
      <c r="C11" s="97"/>
      <c r="D11" s="169"/>
      <c r="E11" s="170"/>
      <c r="F11" s="88"/>
      <c r="G11" s="19"/>
      <c r="H11" s="20"/>
      <c r="I11" s="98"/>
      <c r="J11" s="89"/>
      <c r="K11" s="19"/>
      <c r="L11" s="20"/>
      <c r="M11" s="59"/>
      <c r="N11" s="91"/>
      <c r="O11" s="54"/>
      <c r="P11" s="103"/>
      <c r="Q11" s="171"/>
      <c r="R11" s="106"/>
      <c r="S11" s="172"/>
      <c r="T11" s="172"/>
      <c r="U11" s="206"/>
      <c r="V11" s="89"/>
      <c r="W11" s="19"/>
      <c r="X11" s="19"/>
      <c r="Y11" s="21"/>
      <c r="Z11" s="21"/>
      <c r="AA11" s="21"/>
      <c r="AB11" s="98"/>
      <c r="AC11" s="119"/>
      <c r="AD11" s="43"/>
      <c r="AE11" s="40"/>
      <c r="AF11" s="40"/>
      <c r="AG11" s="40"/>
      <c r="AH11" s="43"/>
      <c r="AI11" s="44"/>
      <c r="AJ11" s="132"/>
      <c r="AK11" s="40"/>
      <c r="AL11" s="48"/>
      <c r="AM11" s="27"/>
    </row>
    <row r="12" spans="1:39" x14ac:dyDescent="0.25">
      <c r="A12" s="33"/>
      <c r="B12" s="56">
        <v>1</v>
      </c>
      <c r="C12" s="140">
        <v>6</v>
      </c>
      <c r="D12" s="141">
        <v>79</v>
      </c>
      <c r="E12" s="100">
        <v>10319.999999999709</v>
      </c>
      <c r="F12" s="3">
        <v>10689249.599999698</v>
      </c>
      <c r="G12" s="35">
        <v>2159.9999999999682</v>
      </c>
      <c r="H12" s="3">
        <v>3355927.1999999508</v>
      </c>
      <c r="I12" s="99">
        <f>F12+H12</f>
        <v>14045176.799999649</v>
      </c>
      <c r="J12" s="100">
        <v>1160.000000000025</v>
      </c>
      <c r="K12" s="3">
        <v>1201504.8000000259</v>
      </c>
      <c r="L12" s="173">
        <v>300.00000000001137</v>
      </c>
      <c r="M12" s="174">
        <v>466101.0000000177</v>
      </c>
      <c r="N12" s="92">
        <f>+K12+M12</f>
        <v>1667605.8000000436</v>
      </c>
      <c r="O12" s="101">
        <f>N12+I12</f>
        <v>15712782.599999692</v>
      </c>
      <c r="P12" s="104">
        <f>L12+J12+G12+E12</f>
        <v>13939.999999999713</v>
      </c>
      <c r="Q12" s="126"/>
      <c r="R12" s="188"/>
      <c r="S12" s="200"/>
      <c r="T12" s="197"/>
      <c r="U12" s="196">
        <v>0</v>
      </c>
      <c r="V12" s="175">
        <f>Y12+W12</f>
        <v>782.31</v>
      </c>
      <c r="W12" s="3">
        <v>188.68</v>
      </c>
      <c r="X12" s="3">
        <v>3390673.94</v>
      </c>
      <c r="Y12" s="31">
        <v>593.63</v>
      </c>
      <c r="Z12" s="31">
        <v>2520066.2034</v>
      </c>
      <c r="AA12" s="31">
        <f t="shared" ref="AA12:AA39" si="0">Z12+X12</f>
        <v>5910740.1434000004</v>
      </c>
      <c r="AB12" s="120">
        <f t="shared" ref="AB12:AB41" si="1">AA12/$AL$47</f>
        <v>455.51010692743347</v>
      </c>
      <c r="AC12" s="125">
        <v>0</v>
      </c>
      <c r="AD12" s="3">
        <v>0</v>
      </c>
      <c r="AE12" s="3">
        <v>250</v>
      </c>
      <c r="AF12" s="3">
        <v>0</v>
      </c>
      <c r="AG12" s="3">
        <f t="shared" ref="AG12:AG31" si="2">+AE12+AF12</f>
        <v>250</v>
      </c>
      <c r="AH12" s="3">
        <v>4300000</v>
      </c>
      <c r="AI12" s="41">
        <f t="shared" ref="AI12:AI41" si="3">AH12/$AL$47</f>
        <v>331.37871269388546</v>
      </c>
      <c r="AJ12" s="133">
        <v>381.63000000000466</v>
      </c>
      <c r="AK12" s="3">
        <v>4579560.0000000559</v>
      </c>
      <c r="AL12" s="37">
        <f t="shared" ref="AL12:AL41" si="4">AK12/$AL$47</f>
        <v>352.92295290800666</v>
      </c>
      <c r="AM12" s="7"/>
    </row>
    <row r="13" spans="1:39" x14ac:dyDescent="0.25">
      <c r="A13" s="33"/>
      <c r="B13" s="56">
        <v>2</v>
      </c>
      <c r="C13" s="140">
        <v>3</v>
      </c>
      <c r="D13" s="141">
        <v>37</v>
      </c>
      <c r="E13" s="100">
        <v>10320.000000000164</v>
      </c>
      <c r="F13" s="3">
        <v>10689249.600000169</v>
      </c>
      <c r="G13" s="35">
        <v>2039.9999999999636</v>
      </c>
      <c r="H13" s="3">
        <v>3169486.7999999435</v>
      </c>
      <c r="I13" s="99">
        <f t="shared" ref="I13:I41" si="5">F13+H13</f>
        <v>13858736.400000112</v>
      </c>
      <c r="J13" s="100">
        <v>1139.9999999999864</v>
      </c>
      <c r="K13" s="3">
        <v>1180789.1999999858</v>
      </c>
      <c r="L13" s="173">
        <v>359.99999999999943</v>
      </c>
      <c r="M13" s="174">
        <v>559321.19999999914</v>
      </c>
      <c r="N13" s="92">
        <f t="shared" ref="N13:N41" si="6">+K13+M13</f>
        <v>1740110.399999985</v>
      </c>
      <c r="O13" s="101">
        <f t="shared" ref="O13:O39" si="7">N13+I13</f>
        <v>15598846.800000098</v>
      </c>
      <c r="P13" s="104">
        <f t="shared" ref="P13:P39" si="8">L13+J13+G13+E13</f>
        <v>13860.000000000113</v>
      </c>
      <c r="Q13" s="178"/>
      <c r="R13" s="189"/>
      <c r="S13" s="200"/>
      <c r="T13" s="197"/>
      <c r="U13" s="196">
        <v>0</v>
      </c>
      <c r="V13" s="175">
        <f t="shared" ref="V13:V41" si="9">Y13+W13</f>
        <v>625.67000000000007</v>
      </c>
      <c r="W13" s="3">
        <v>188.68</v>
      </c>
      <c r="X13" s="3">
        <v>3390673.94</v>
      </c>
      <c r="Y13" s="31">
        <v>436.99</v>
      </c>
      <c r="Z13" s="31">
        <v>1855101.2082000002</v>
      </c>
      <c r="AA13" s="31">
        <f t="shared" si="0"/>
        <v>5245775.1481999997</v>
      </c>
      <c r="AB13" s="120">
        <f t="shared" si="1"/>
        <v>404.26470132374232</v>
      </c>
      <c r="AC13" s="125">
        <v>0</v>
      </c>
      <c r="AD13" s="3">
        <v>0</v>
      </c>
      <c r="AE13" s="3">
        <v>50</v>
      </c>
      <c r="AF13" s="3">
        <v>24</v>
      </c>
      <c r="AG13" s="3">
        <f t="shared" si="2"/>
        <v>74</v>
      </c>
      <c r="AH13" s="3">
        <v>1135000</v>
      </c>
      <c r="AI13" s="41">
        <f t="shared" si="3"/>
        <v>87.468567187804652</v>
      </c>
      <c r="AJ13" s="133">
        <v>289.71999999999389</v>
      </c>
      <c r="AK13" s="3">
        <v>3476639.9999999264</v>
      </c>
      <c r="AL13" s="37">
        <f t="shared" si="4"/>
        <v>267.92662504652219</v>
      </c>
      <c r="AM13" s="7"/>
    </row>
    <row r="14" spans="1:39" x14ac:dyDescent="0.25">
      <c r="A14" s="33"/>
      <c r="B14" s="56">
        <v>3</v>
      </c>
      <c r="C14" s="140">
        <v>0</v>
      </c>
      <c r="D14" s="141">
        <v>45</v>
      </c>
      <c r="E14" s="100">
        <v>10079.999999999927</v>
      </c>
      <c r="F14" s="3">
        <v>10440662.399999924</v>
      </c>
      <c r="G14" s="35">
        <v>2120.0000000000045</v>
      </c>
      <c r="H14" s="3">
        <v>3293780.4000000074</v>
      </c>
      <c r="I14" s="99">
        <f t="shared" si="5"/>
        <v>13734442.799999932</v>
      </c>
      <c r="J14" s="100">
        <v>1139.9999999999864</v>
      </c>
      <c r="K14" s="3">
        <v>1180789.1999999858</v>
      </c>
      <c r="L14" s="173">
        <v>299.99999999999716</v>
      </c>
      <c r="M14" s="174">
        <v>466100.99999999563</v>
      </c>
      <c r="N14" s="92">
        <f t="shared" si="6"/>
        <v>1646890.1999999813</v>
      </c>
      <c r="O14" s="101">
        <f t="shared" si="7"/>
        <v>15381332.999999912</v>
      </c>
      <c r="P14" s="104">
        <f t="shared" si="8"/>
        <v>13639.999999999916</v>
      </c>
      <c r="Q14" s="178"/>
      <c r="R14" s="189"/>
      <c r="S14" s="200"/>
      <c r="T14" s="197"/>
      <c r="U14" s="196">
        <v>0</v>
      </c>
      <c r="V14" s="175">
        <f t="shared" si="9"/>
        <v>633.68000000000006</v>
      </c>
      <c r="W14" s="3">
        <v>195.8</v>
      </c>
      <c r="X14" s="3">
        <v>3518623.9000000004</v>
      </c>
      <c r="Y14" s="31">
        <v>437.88</v>
      </c>
      <c r="Z14" s="31">
        <v>1858879.4184000001</v>
      </c>
      <c r="AA14" s="31">
        <f t="shared" si="0"/>
        <v>5377503.3184000002</v>
      </c>
      <c r="AB14" s="120">
        <f t="shared" si="1"/>
        <v>414.41630864150915</v>
      </c>
      <c r="AC14" s="125">
        <v>0</v>
      </c>
      <c r="AD14" s="3">
        <v>0</v>
      </c>
      <c r="AE14" s="3">
        <v>0</v>
      </c>
      <c r="AF14" s="3">
        <v>0</v>
      </c>
      <c r="AG14" s="3">
        <f t="shared" si="2"/>
        <v>0</v>
      </c>
      <c r="AH14" s="3">
        <v>0</v>
      </c>
      <c r="AI14" s="41">
        <f t="shared" si="3"/>
        <v>0</v>
      </c>
      <c r="AJ14" s="133">
        <v>317.85000000000582</v>
      </c>
      <c r="AK14" s="3">
        <v>3814200.0000000698</v>
      </c>
      <c r="AL14" s="37">
        <f t="shared" si="4"/>
        <v>293.94062464117235</v>
      </c>
      <c r="AM14" s="7"/>
    </row>
    <row r="15" spans="1:39" x14ac:dyDescent="0.25">
      <c r="A15" s="33"/>
      <c r="B15" s="56">
        <v>4</v>
      </c>
      <c r="C15" s="140">
        <v>8</v>
      </c>
      <c r="D15" s="141">
        <v>41</v>
      </c>
      <c r="E15" s="100">
        <v>10360.000000000127</v>
      </c>
      <c r="F15" s="3">
        <v>10730680.800000131</v>
      </c>
      <c r="G15" s="35">
        <v>2039.9999999999636</v>
      </c>
      <c r="H15" s="3">
        <v>3169486.7999999435</v>
      </c>
      <c r="I15" s="99">
        <f t="shared" si="5"/>
        <v>13900167.600000074</v>
      </c>
      <c r="J15" s="100">
        <v>1180.0000000000068</v>
      </c>
      <c r="K15" s="3">
        <v>1222220.4000000071</v>
      </c>
      <c r="L15" s="173">
        <v>299.99999999999716</v>
      </c>
      <c r="M15" s="174">
        <v>466100.99999999563</v>
      </c>
      <c r="N15" s="92">
        <f t="shared" si="6"/>
        <v>1688321.4000000027</v>
      </c>
      <c r="O15" s="101">
        <f t="shared" si="7"/>
        <v>15588489.000000076</v>
      </c>
      <c r="P15" s="104">
        <f t="shared" si="8"/>
        <v>13880.000000000095</v>
      </c>
      <c r="Q15" s="178"/>
      <c r="R15" s="189"/>
      <c r="S15" s="200"/>
      <c r="T15" s="197"/>
      <c r="U15" s="196">
        <v>0</v>
      </c>
      <c r="V15" s="175">
        <f t="shared" si="9"/>
        <v>751.16000000000008</v>
      </c>
      <c r="W15" s="3">
        <v>188.68</v>
      </c>
      <c r="X15" s="3">
        <v>3390673.94</v>
      </c>
      <c r="Y15" s="31">
        <v>562.48</v>
      </c>
      <c r="Z15" s="31">
        <v>2387828.8464000002</v>
      </c>
      <c r="AA15" s="31">
        <f t="shared" si="0"/>
        <v>5778502.7863999996</v>
      </c>
      <c r="AB15" s="120">
        <f t="shared" si="1"/>
        <v>445.31925922215396</v>
      </c>
      <c r="AC15" s="125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1">
        <f t="shared" si="3"/>
        <v>0</v>
      </c>
      <c r="AJ15" s="133">
        <v>26.399999999994179</v>
      </c>
      <c r="AK15" s="3">
        <v>316799.99999993015</v>
      </c>
      <c r="AL15" s="37">
        <f t="shared" si="4"/>
        <v>24.414133995674362</v>
      </c>
      <c r="AM15" s="7"/>
    </row>
    <row r="16" spans="1:39" x14ac:dyDescent="0.25">
      <c r="A16" s="33"/>
      <c r="B16" s="56">
        <v>5</v>
      </c>
      <c r="C16" s="140">
        <v>9</v>
      </c>
      <c r="D16" s="141">
        <v>79</v>
      </c>
      <c r="E16" s="100">
        <v>10679.999999999836</v>
      </c>
      <c r="F16" s="3">
        <v>11062130.399999831</v>
      </c>
      <c r="G16" s="35">
        <v>2240.0000000000091</v>
      </c>
      <c r="H16" s="3">
        <v>3480220.8000000142</v>
      </c>
      <c r="I16" s="99">
        <f t="shared" si="5"/>
        <v>14542351.199999845</v>
      </c>
      <c r="J16" s="100">
        <v>1180.0000000000068</v>
      </c>
      <c r="K16" s="3">
        <v>1222220.4000000071</v>
      </c>
      <c r="L16" s="173">
        <v>299.99999999999716</v>
      </c>
      <c r="M16" s="174">
        <v>466100.99999999563</v>
      </c>
      <c r="N16" s="92">
        <f t="shared" si="6"/>
        <v>1688321.4000000027</v>
      </c>
      <c r="O16" s="101">
        <f t="shared" si="7"/>
        <v>16230672.599999847</v>
      </c>
      <c r="P16" s="104">
        <f t="shared" si="8"/>
        <v>14399.999999999849</v>
      </c>
      <c r="Q16" s="178"/>
      <c r="R16" s="189"/>
      <c r="S16" s="200"/>
      <c r="T16" s="197"/>
      <c r="U16" s="196">
        <v>0</v>
      </c>
      <c r="V16" s="175">
        <f t="shared" si="9"/>
        <v>822.18199999999933</v>
      </c>
      <c r="W16" s="3">
        <v>188.68</v>
      </c>
      <c r="X16" s="3">
        <v>3390673.94</v>
      </c>
      <c r="Y16" s="31">
        <v>633.50199999999938</v>
      </c>
      <c r="Z16" s="31">
        <v>2689330.0203599976</v>
      </c>
      <c r="AA16" s="31">
        <f t="shared" si="0"/>
        <v>6080003.960359998</v>
      </c>
      <c r="AB16" s="120">
        <f t="shared" si="1"/>
        <v>468.55439199019105</v>
      </c>
      <c r="AC16" s="125">
        <v>0</v>
      </c>
      <c r="AD16" s="3">
        <v>0</v>
      </c>
      <c r="AE16" s="3">
        <v>0</v>
      </c>
      <c r="AF16" s="3">
        <v>12</v>
      </c>
      <c r="AG16" s="3">
        <f t="shared" si="2"/>
        <v>12</v>
      </c>
      <c r="AH16" s="3">
        <v>137500</v>
      </c>
      <c r="AI16" s="41">
        <f t="shared" si="3"/>
        <v>10.596412324513778</v>
      </c>
      <c r="AJ16" s="133">
        <v>116.97000000000116</v>
      </c>
      <c r="AK16" s="3">
        <v>1403640.000000014</v>
      </c>
      <c r="AL16" s="37">
        <f t="shared" si="4"/>
        <v>108.17125960131395</v>
      </c>
      <c r="AM16" s="7"/>
    </row>
    <row r="17" spans="1:39" x14ac:dyDescent="0.25">
      <c r="A17" s="33"/>
      <c r="B17" s="56">
        <v>6</v>
      </c>
      <c r="C17" s="140">
        <v>7</v>
      </c>
      <c r="D17" s="141">
        <v>89</v>
      </c>
      <c r="E17" s="100">
        <v>11440.000000000055</v>
      </c>
      <c r="F17" s="3">
        <v>11849323.200000057</v>
      </c>
      <c r="G17" s="35">
        <v>2280.0000000000864</v>
      </c>
      <c r="H17" s="3">
        <v>3542367.6000001342</v>
      </c>
      <c r="I17" s="99">
        <f t="shared" si="5"/>
        <v>15391690.800000191</v>
      </c>
      <c r="J17" s="100">
        <v>1219.9999999999704</v>
      </c>
      <c r="K17" s="3">
        <v>1263651.5999999694</v>
      </c>
      <c r="L17" s="173">
        <v>320.00000000000739</v>
      </c>
      <c r="M17" s="174">
        <v>497174.40000001149</v>
      </c>
      <c r="N17" s="92">
        <f t="shared" si="6"/>
        <v>1760825.9999999809</v>
      </c>
      <c r="O17" s="101">
        <f t="shared" si="7"/>
        <v>17152516.800000172</v>
      </c>
      <c r="P17" s="104">
        <f t="shared" si="8"/>
        <v>15260.000000000118</v>
      </c>
      <c r="Q17" s="178"/>
      <c r="R17" s="189"/>
      <c r="S17" s="200"/>
      <c r="T17" s="197"/>
      <c r="U17" s="196">
        <v>0</v>
      </c>
      <c r="V17" s="175">
        <f t="shared" si="9"/>
        <v>867.12700000000098</v>
      </c>
      <c r="W17" s="3">
        <v>190.46</v>
      </c>
      <c r="X17" s="3">
        <v>3422661.43</v>
      </c>
      <c r="Y17" s="31">
        <v>676.66700000000094</v>
      </c>
      <c r="Z17" s="31">
        <v>2872573.215060004</v>
      </c>
      <c r="AA17" s="31">
        <f t="shared" si="0"/>
        <v>6295234.6450600047</v>
      </c>
      <c r="AB17" s="120">
        <f t="shared" si="1"/>
        <v>485.14110529905423</v>
      </c>
      <c r="AC17" s="125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1">
        <f t="shared" si="3"/>
        <v>0</v>
      </c>
      <c r="AJ17" s="133">
        <v>298.63000000004831</v>
      </c>
      <c r="AK17" s="3">
        <v>3583560.0000005797</v>
      </c>
      <c r="AL17" s="37">
        <f t="shared" si="4"/>
        <v>276.16639527011449</v>
      </c>
      <c r="AM17" s="7"/>
    </row>
    <row r="18" spans="1:39" x14ac:dyDescent="0.25">
      <c r="A18" s="33"/>
      <c r="B18" s="56">
        <v>7</v>
      </c>
      <c r="C18" s="140">
        <v>3</v>
      </c>
      <c r="D18" s="141">
        <v>115</v>
      </c>
      <c r="E18" s="100">
        <v>11280.0000000002</v>
      </c>
      <c r="F18" s="3">
        <v>11683598.400000207</v>
      </c>
      <c r="G18" s="35">
        <v>2240.0000000000091</v>
      </c>
      <c r="H18" s="3">
        <v>3480220.8000000142</v>
      </c>
      <c r="I18" s="99">
        <f t="shared" si="5"/>
        <v>15163819.200000221</v>
      </c>
      <c r="J18" s="100">
        <v>1180.0000000000068</v>
      </c>
      <c r="K18" s="3">
        <v>1222220.4000000071</v>
      </c>
      <c r="L18" s="173">
        <v>319.99999999999318</v>
      </c>
      <c r="M18" s="174">
        <v>497174.39999998943</v>
      </c>
      <c r="N18" s="92">
        <f t="shared" si="6"/>
        <v>1719394.7999999966</v>
      </c>
      <c r="O18" s="101">
        <f t="shared" si="7"/>
        <v>16883214.000000216</v>
      </c>
      <c r="P18" s="104">
        <f t="shared" si="8"/>
        <v>15020.000000000209</v>
      </c>
      <c r="Q18" s="178"/>
      <c r="R18" s="189"/>
      <c r="S18" s="200"/>
      <c r="T18" s="197"/>
      <c r="U18" s="196">
        <v>0</v>
      </c>
      <c r="V18" s="175">
        <f t="shared" si="9"/>
        <v>914.92000000000007</v>
      </c>
      <c r="W18" s="3">
        <v>188.68</v>
      </c>
      <c r="X18" s="3">
        <v>3390673.94</v>
      </c>
      <c r="Y18" s="31">
        <v>726.24</v>
      </c>
      <c r="Z18" s="31">
        <v>3083019.5232000002</v>
      </c>
      <c r="AA18" s="31">
        <f t="shared" si="0"/>
        <v>6473693.4632000001</v>
      </c>
      <c r="AB18" s="120">
        <f t="shared" si="1"/>
        <v>498.89400144419466</v>
      </c>
      <c r="AC18" s="125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1">
        <f t="shared" si="3"/>
        <v>0</v>
      </c>
      <c r="AJ18" s="133">
        <v>97.900000000001455</v>
      </c>
      <c r="AK18" s="3">
        <v>1174800.0000000175</v>
      </c>
      <c r="AL18" s="37">
        <f t="shared" si="4"/>
        <v>90.535746900647069</v>
      </c>
      <c r="AM18" s="7"/>
    </row>
    <row r="19" spans="1:39" x14ac:dyDescent="0.25">
      <c r="A19" s="33"/>
      <c r="B19" s="56">
        <v>8</v>
      </c>
      <c r="C19" s="140">
        <v>10</v>
      </c>
      <c r="D19" s="141">
        <v>68</v>
      </c>
      <c r="E19" s="100">
        <v>10839.999999999691</v>
      </c>
      <c r="F19" s="3">
        <v>11227855.199999679</v>
      </c>
      <c r="G19" s="35">
        <v>2199.9999999999318</v>
      </c>
      <c r="H19" s="3">
        <v>3418073.9999998943</v>
      </c>
      <c r="I19" s="99">
        <f t="shared" si="5"/>
        <v>14645929.199999573</v>
      </c>
      <c r="J19" s="100">
        <v>1160.000000000025</v>
      </c>
      <c r="K19" s="3">
        <v>1201504.8000000259</v>
      </c>
      <c r="L19" s="173">
        <v>299.99999999999716</v>
      </c>
      <c r="M19" s="174">
        <v>466100.99999999563</v>
      </c>
      <c r="N19" s="92">
        <f t="shared" si="6"/>
        <v>1667605.8000000215</v>
      </c>
      <c r="O19" s="101">
        <f t="shared" si="7"/>
        <v>16313534.999999594</v>
      </c>
      <c r="P19" s="104">
        <f t="shared" si="8"/>
        <v>14499.999999999645</v>
      </c>
      <c r="Q19" s="178"/>
      <c r="R19" s="189"/>
      <c r="S19" s="200"/>
      <c r="T19" s="197"/>
      <c r="U19" s="196">
        <v>0</v>
      </c>
      <c r="V19" s="175">
        <f t="shared" si="9"/>
        <v>866.2369999999994</v>
      </c>
      <c r="W19" s="3">
        <v>190.46</v>
      </c>
      <c r="X19" s="3">
        <v>3422661.43</v>
      </c>
      <c r="Y19" s="31">
        <v>675.77699999999936</v>
      </c>
      <c r="Z19" s="31">
        <v>2868795.0048599974</v>
      </c>
      <c r="AA19" s="31">
        <f t="shared" si="0"/>
        <v>6291456.4348599976</v>
      </c>
      <c r="AB19" s="120">
        <f t="shared" si="1"/>
        <v>484.84993822176</v>
      </c>
      <c r="AC19" s="125">
        <v>0</v>
      </c>
      <c r="AD19" s="3">
        <v>0</v>
      </c>
      <c r="AE19" s="3">
        <v>0</v>
      </c>
      <c r="AF19" s="3">
        <v>0</v>
      </c>
      <c r="AG19" s="3">
        <f t="shared" si="2"/>
        <v>0</v>
      </c>
      <c r="AH19" s="3">
        <v>0</v>
      </c>
      <c r="AI19" s="41">
        <f t="shared" si="3"/>
        <v>0</v>
      </c>
      <c r="AJ19" s="133">
        <v>313.04999999999563</v>
      </c>
      <c r="AK19" s="3">
        <v>3756599.9999999478</v>
      </c>
      <c r="AL19" s="37">
        <f t="shared" si="4"/>
        <v>289.50169118740297</v>
      </c>
      <c r="AM19" s="7"/>
    </row>
    <row r="20" spans="1:39" x14ac:dyDescent="0.25">
      <c r="A20" s="33"/>
      <c r="B20" s="56">
        <v>9</v>
      </c>
      <c r="C20" s="140">
        <v>11</v>
      </c>
      <c r="D20" s="141">
        <v>98</v>
      </c>
      <c r="E20" s="100">
        <v>10440.000000000055</v>
      </c>
      <c r="F20" s="3">
        <v>10813543.200000057</v>
      </c>
      <c r="G20" s="35">
        <v>2240.0000000000091</v>
      </c>
      <c r="H20" s="3">
        <v>3480220.8000000142</v>
      </c>
      <c r="I20" s="99">
        <f t="shared" si="5"/>
        <v>14293764.000000071</v>
      </c>
      <c r="J20" s="100">
        <v>1159.9999999999682</v>
      </c>
      <c r="K20" s="3">
        <v>1201504.799999967</v>
      </c>
      <c r="L20" s="173">
        <v>320.00000000000739</v>
      </c>
      <c r="M20" s="174">
        <v>497174.40000001149</v>
      </c>
      <c r="N20" s="92">
        <f t="shared" si="6"/>
        <v>1698679.1999999785</v>
      </c>
      <c r="O20" s="101">
        <f t="shared" si="7"/>
        <v>15992443.20000005</v>
      </c>
      <c r="P20" s="104">
        <f t="shared" si="8"/>
        <v>14160.00000000004</v>
      </c>
      <c r="Q20" s="178"/>
      <c r="R20" s="189"/>
      <c r="S20" s="200"/>
      <c r="T20" s="197"/>
      <c r="U20" s="196">
        <v>0</v>
      </c>
      <c r="V20" s="175">
        <f t="shared" si="9"/>
        <v>844.07600000000139</v>
      </c>
      <c r="W20" s="3">
        <v>188.68</v>
      </c>
      <c r="X20" s="3">
        <v>3390673.94</v>
      </c>
      <c r="Y20" s="31">
        <v>655.39600000000132</v>
      </c>
      <c r="Z20" s="31">
        <v>2782273.9912800058</v>
      </c>
      <c r="AA20" s="31">
        <f t="shared" si="0"/>
        <v>6172947.9312800057</v>
      </c>
      <c r="AB20" s="120">
        <f t="shared" si="1"/>
        <v>475.71710209161665</v>
      </c>
      <c r="AC20" s="125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1">
        <f t="shared" si="3"/>
        <v>0</v>
      </c>
      <c r="AJ20" s="133">
        <v>87.680000000000291</v>
      </c>
      <c r="AK20" s="3">
        <v>1052160.0000000035</v>
      </c>
      <c r="AL20" s="37">
        <f t="shared" si="4"/>
        <v>81.084517755348756</v>
      </c>
      <c r="AM20" s="7"/>
    </row>
    <row r="21" spans="1:39" x14ac:dyDescent="0.25">
      <c r="A21" s="33"/>
      <c r="B21" s="56">
        <v>10</v>
      </c>
      <c r="C21" s="140">
        <v>3</v>
      </c>
      <c r="D21" s="141">
        <v>81</v>
      </c>
      <c r="E21" s="100">
        <v>10720.000000000255</v>
      </c>
      <c r="F21" s="3">
        <v>11103561.600000264</v>
      </c>
      <c r="G21" s="35">
        <v>2159.9999999999682</v>
      </c>
      <c r="H21" s="3">
        <v>3355927.1999999508</v>
      </c>
      <c r="I21" s="99">
        <f t="shared" si="5"/>
        <v>14459488.800000215</v>
      </c>
      <c r="J21" s="100">
        <v>1180.0000000000068</v>
      </c>
      <c r="K21" s="3">
        <v>1222220.4000000071</v>
      </c>
      <c r="L21" s="173">
        <v>299.99999999999716</v>
      </c>
      <c r="M21" s="174">
        <v>466100.99999999563</v>
      </c>
      <c r="N21" s="92">
        <f t="shared" si="6"/>
        <v>1688321.4000000027</v>
      </c>
      <c r="O21" s="101">
        <f t="shared" si="7"/>
        <v>16147810.200000217</v>
      </c>
      <c r="P21" s="104">
        <f t="shared" si="8"/>
        <v>14360.000000000227</v>
      </c>
      <c r="Q21" s="178"/>
      <c r="R21" s="189"/>
      <c r="S21" s="200"/>
      <c r="T21" s="197"/>
      <c r="U21" s="196">
        <v>0</v>
      </c>
      <c r="V21" s="175">
        <f t="shared" si="9"/>
        <v>813.8160000000014</v>
      </c>
      <c r="W21" s="3">
        <v>189.57</v>
      </c>
      <c r="X21" s="3">
        <v>3406667.6850000001</v>
      </c>
      <c r="Y21" s="31">
        <v>624.24600000000135</v>
      </c>
      <c r="Z21" s="31">
        <v>2650036.6342800059</v>
      </c>
      <c r="AA21" s="31">
        <f t="shared" si="0"/>
        <v>6056704.319280006</v>
      </c>
      <c r="AB21" s="120">
        <f t="shared" si="1"/>
        <v>466.75880941639633</v>
      </c>
      <c r="AC21" s="125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1">
        <f t="shared" si="3"/>
        <v>0</v>
      </c>
      <c r="AJ21" s="133">
        <v>192.25</v>
      </c>
      <c r="AK21" s="3">
        <v>2307000</v>
      </c>
      <c r="AL21" s="37">
        <f t="shared" si="4"/>
        <v>177.78853260111481</v>
      </c>
      <c r="AM21" s="7"/>
    </row>
    <row r="22" spans="1:39" x14ac:dyDescent="0.25">
      <c r="A22" s="33"/>
      <c r="B22" s="56">
        <v>11</v>
      </c>
      <c r="C22" s="140">
        <v>7</v>
      </c>
      <c r="D22" s="141">
        <v>68</v>
      </c>
      <c r="E22" s="100">
        <v>10479.999999999563</v>
      </c>
      <c r="F22" s="3">
        <v>10854974.399999548</v>
      </c>
      <c r="G22" s="35">
        <v>2360.0000000000136</v>
      </c>
      <c r="H22" s="3">
        <v>3666661.2000000211</v>
      </c>
      <c r="I22" s="99">
        <f t="shared" si="5"/>
        <v>14521635.599999569</v>
      </c>
      <c r="J22" s="100">
        <v>1220.0000000000273</v>
      </c>
      <c r="K22" s="3">
        <v>1263651.6000000283</v>
      </c>
      <c r="L22" s="173">
        <v>439.99999999999773</v>
      </c>
      <c r="M22" s="174">
        <v>683614.79999999655</v>
      </c>
      <c r="N22" s="92">
        <f t="shared" si="6"/>
        <v>1947266.4000000248</v>
      </c>
      <c r="O22" s="101">
        <f t="shared" si="7"/>
        <v>16468901.999999594</v>
      </c>
      <c r="P22" s="104">
        <f t="shared" si="8"/>
        <v>14499.999999999602</v>
      </c>
      <c r="Q22" s="178"/>
      <c r="R22" s="189"/>
      <c r="S22" s="200"/>
      <c r="T22" s="197"/>
      <c r="U22" s="196">
        <v>0</v>
      </c>
      <c r="V22" s="175">
        <f t="shared" si="9"/>
        <v>759.17000000000007</v>
      </c>
      <c r="W22" s="3">
        <v>190.46</v>
      </c>
      <c r="X22" s="3">
        <v>3422661.43</v>
      </c>
      <c r="Y22" s="31">
        <v>568.71</v>
      </c>
      <c r="Z22" s="31">
        <v>2414276.3178000003</v>
      </c>
      <c r="AA22" s="31">
        <f t="shared" si="0"/>
        <v>5836937.7478</v>
      </c>
      <c r="AB22" s="120">
        <f t="shared" si="1"/>
        <v>449.82253882332816</v>
      </c>
      <c r="AC22" s="125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1">
        <f t="shared" si="3"/>
        <v>0</v>
      </c>
      <c r="AJ22" s="133">
        <v>559.51000000000204</v>
      </c>
      <c r="AK22" s="3">
        <v>6714120.0000000242</v>
      </c>
      <c r="AL22" s="37">
        <f t="shared" si="4"/>
        <v>517.42242848192518</v>
      </c>
      <c r="AM22" s="7"/>
    </row>
    <row r="23" spans="1:39" x14ac:dyDescent="0.25">
      <c r="A23" s="33"/>
      <c r="B23" s="56">
        <v>12</v>
      </c>
      <c r="C23" s="140">
        <v>7</v>
      </c>
      <c r="D23" s="141">
        <v>100</v>
      </c>
      <c r="E23" s="100">
        <v>10240.000000000236</v>
      </c>
      <c r="F23" s="3">
        <v>10606387.200000245</v>
      </c>
      <c r="G23" s="35">
        <v>2159.9999999999682</v>
      </c>
      <c r="H23" s="3">
        <v>3355927.1999999508</v>
      </c>
      <c r="I23" s="99">
        <f t="shared" si="5"/>
        <v>13962314.400000196</v>
      </c>
      <c r="J23" s="100">
        <v>1479.9999999999613</v>
      </c>
      <c r="K23" s="3">
        <v>1532954.3999999599</v>
      </c>
      <c r="L23" s="173">
        <v>320.00000000000739</v>
      </c>
      <c r="M23" s="174">
        <v>497174.40000001149</v>
      </c>
      <c r="N23" s="92">
        <f t="shared" si="6"/>
        <v>2030128.7999999714</v>
      </c>
      <c r="O23" s="101">
        <f t="shared" si="7"/>
        <v>15992443.200000167</v>
      </c>
      <c r="P23" s="104">
        <f t="shared" si="8"/>
        <v>14200.000000000173</v>
      </c>
      <c r="Q23" s="178"/>
      <c r="R23" s="189"/>
      <c r="S23" s="200"/>
      <c r="T23" s="197"/>
      <c r="U23" s="196">
        <v>0</v>
      </c>
      <c r="V23" s="175">
        <f t="shared" si="9"/>
        <v>803.22500000000002</v>
      </c>
      <c r="W23" s="3">
        <v>191.35</v>
      </c>
      <c r="X23" s="3">
        <v>3438655.1749999998</v>
      </c>
      <c r="Y23" s="31">
        <v>611.875</v>
      </c>
      <c r="Z23" s="31">
        <v>2597519.5125000002</v>
      </c>
      <c r="AA23" s="31">
        <f t="shared" si="0"/>
        <v>6036174.6875</v>
      </c>
      <c r="AB23" s="120">
        <f t="shared" si="1"/>
        <v>465.1766971021317</v>
      </c>
      <c r="AC23" s="125">
        <v>0</v>
      </c>
      <c r="AD23" s="3">
        <v>0</v>
      </c>
      <c r="AE23" s="3">
        <v>0</v>
      </c>
      <c r="AF23" s="3">
        <v>0</v>
      </c>
      <c r="AG23" s="3">
        <f t="shared" si="2"/>
        <v>0</v>
      </c>
      <c r="AH23" s="3">
        <v>0</v>
      </c>
      <c r="AI23" s="41">
        <f t="shared" si="3"/>
        <v>0</v>
      </c>
      <c r="AJ23" s="133">
        <v>379.19999999999709</v>
      </c>
      <c r="AK23" s="3">
        <v>4550399.9999999646</v>
      </c>
      <c r="AL23" s="37">
        <f t="shared" si="4"/>
        <v>350.67574284703363</v>
      </c>
      <c r="AM23" s="7"/>
    </row>
    <row r="24" spans="1:39" x14ac:dyDescent="0.25">
      <c r="A24" s="33"/>
      <c r="B24" s="56">
        <v>13</v>
      </c>
      <c r="C24" s="140">
        <v>7</v>
      </c>
      <c r="D24" s="141">
        <v>92</v>
      </c>
      <c r="E24" s="100">
        <v>10639.999999999873</v>
      </c>
      <c r="F24" s="3">
        <v>11020699.199999867</v>
      </c>
      <c r="G24" s="35">
        <v>2080.0000000000409</v>
      </c>
      <c r="H24" s="3">
        <v>3231633.6000000639</v>
      </c>
      <c r="I24" s="99">
        <f t="shared" si="5"/>
        <v>14252332.79999993</v>
      </c>
      <c r="J24" s="100">
        <v>1300.0000000000114</v>
      </c>
      <c r="K24" s="3">
        <v>1346514.0000000116</v>
      </c>
      <c r="L24" s="173">
        <v>379.99999999999545</v>
      </c>
      <c r="M24" s="174">
        <v>590394.59999999299</v>
      </c>
      <c r="N24" s="92">
        <f t="shared" si="6"/>
        <v>1936908.6000000047</v>
      </c>
      <c r="O24" s="101">
        <f t="shared" si="7"/>
        <v>16189241.399999935</v>
      </c>
      <c r="P24" s="104">
        <f t="shared" si="8"/>
        <v>14399.99999999992</v>
      </c>
      <c r="Q24" s="178"/>
      <c r="R24" s="189"/>
      <c r="S24" s="200"/>
      <c r="T24" s="197"/>
      <c r="U24" s="196">
        <v>0</v>
      </c>
      <c r="V24" s="175">
        <f>Y24+W24</f>
        <v>881.45600000000127</v>
      </c>
      <c r="W24" s="3">
        <v>187.79</v>
      </c>
      <c r="X24" s="3">
        <v>3374680.1949999998</v>
      </c>
      <c r="Y24" s="31">
        <v>693.6660000000013</v>
      </c>
      <c r="Z24" s="31">
        <v>2944737.0298800059</v>
      </c>
      <c r="AA24" s="31">
        <f t="shared" si="0"/>
        <v>6319417.2248800062</v>
      </c>
      <c r="AB24" s="120">
        <f t="shared" si="1"/>
        <v>487.00473138518663</v>
      </c>
      <c r="AC24" s="125">
        <v>0</v>
      </c>
      <c r="AD24" s="3">
        <v>0</v>
      </c>
      <c r="AE24" s="3">
        <v>0</v>
      </c>
      <c r="AF24" s="3">
        <v>12</v>
      </c>
      <c r="AG24" s="3">
        <f t="shared" si="2"/>
        <v>12</v>
      </c>
      <c r="AH24" s="3">
        <v>137500</v>
      </c>
      <c r="AI24" s="41">
        <f t="shared" si="3"/>
        <v>10.596412324513778</v>
      </c>
      <c r="AJ24" s="133">
        <v>164.15999999998166</v>
      </c>
      <c r="AK24" s="3">
        <v>1969919.99999978</v>
      </c>
      <c r="AL24" s="37">
        <f t="shared" si="4"/>
        <v>151.81152411857346</v>
      </c>
      <c r="AM24" s="7"/>
    </row>
    <row r="25" spans="1:39" x14ac:dyDescent="0.25">
      <c r="A25" s="33"/>
      <c r="B25" s="56">
        <v>14</v>
      </c>
      <c r="C25" s="140">
        <v>5</v>
      </c>
      <c r="D25" s="141">
        <v>106</v>
      </c>
      <c r="E25" s="100">
        <v>10320.000000000164</v>
      </c>
      <c r="F25" s="3">
        <v>10689249.600000169</v>
      </c>
      <c r="G25" s="35">
        <v>2200.0000000000455</v>
      </c>
      <c r="H25" s="3">
        <v>3418074.0000000708</v>
      </c>
      <c r="I25" s="99">
        <f t="shared" si="5"/>
        <v>14107323.60000024</v>
      </c>
      <c r="J25" s="100">
        <v>1240.0000000000091</v>
      </c>
      <c r="K25" s="3">
        <v>1284367.2000000095</v>
      </c>
      <c r="L25" s="173">
        <v>340.00000000000341</v>
      </c>
      <c r="M25" s="174">
        <v>528247.80000000529</v>
      </c>
      <c r="N25" s="92">
        <f t="shared" si="6"/>
        <v>1812615.0000000149</v>
      </c>
      <c r="O25" s="101">
        <f t="shared" si="7"/>
        <v>15919938.600000255</v>
      </c>
      <c r="P25" s="104">
        <f t="shared" si="8"/>
        <v>14100.000000000222</v>
      </c>
      <c r="Q25" s="178"/>
      <c r="R25" s="189"/>
      <c r="S25" s="200"/>
      <c r="T25" s="197"/>
      <c r="U25" s="196">
        <v>0</v>
      </c>
      <c r="V25" s="175">
        <f t="shared" si="9"/>
        <v>873.35699999999929</v>
      </c>
      <c r="W25" s="3">
        <v>188.68</v>
      </c>
      <c r="X25" s="3">
        <v>3390673.94</v>
      </c>
      <c r="Y25" s="31">
        <v>684.67699999999934</v>
      </c>
      <c r="Z25" s="31">
        <v>2906577.1068599974</v>
      </c>
      <c r="AA25" s="31">
        <f t="shared" si="0"/>
        <v>6297251.0468599973</v>
      </c>
      <c r="AB25" s="120">
        <f t="shared" si="1"/>
        <v>485.29649893457872</v>
      </c>
      <c r="AC25" s="125">
        <v>0</v>
      </c>
      <c r="AD25" s="3">
        <v>0</v>
      </c>
      <c r="AE25" s="3">
        <v>0</v>
      </c>
      <c r="AF25" s="3">
        <v>12</v>
      </c>
      <c r="AG25" s="3">
        <f t="shared" si="2"/>
        <v>12</v>
      </c>
      <c r="AH25" s="3">
        <v>137500</v>
      </c>
      <c r="AI25" s="41">
        <f t="shared" si="3"/>
        <v>10.596412324513778</v>
      </c>
      <c r="AJ25" s="133">
        <v>289.40000000000146</v>
      </c>
      <c r="AK25" s="3">
        <v>3472800.0000000177</v>
      </c>
      <c r="AL25" s="37">
        <f t="shared" si="4"/>
        <v>267.63069614961194</v>
      </c>
      <c r="AM25" s="7"/>
    </row>
    <row r="26" spans="1:39" x14ac:dyDescent="0.25">
      <c r="A26" s="33"/>
      <c r="B26" s="56">
        <v>15</v>
      </c>
      <c r="C26" s="140">
        <v>8</v>
      </c>
      <c r="D26" s="141">
        <v>45</v>
      </c>
      <c r="E26" s="100">
        <v>10719.9999999998</v>
      </c>
      <c r="F26" s="3">
        <v>11103561.599999793</v>
      </c>
      <c r="G26" s="35">
        <v>2240.0000000000091</v>
      </c>
      <c r="H26" s="3">
        <v>3480220.8000000142</v>
      </c>
      <c r="I26" s="99">
        <f t="shared" si="5"/>
        <v>14583782.399999807</v>
      </c>
      <c r="J26" s="100">
        <v>1199.9999999999886</v>
      </c>
      <c r="K26" s="3">
        <v>1242935.9999999881</v>
      </c>
      <c r="L26" s="173">
        <v>299.99999999999716</v>
      </c>
      <c r="M26" s="174">
        <v>466100.99999999563</v>
      </c>
      <c r="N26" s="92">
        <f t="shared" si="6"/>
        <v>1709036.9999999837</v>
      </c>
      <c r="O26" s="101">
        <f t="shared" si="7"/>
        <v>16292819.39999979</v>
      </c>
      <c r="P26" s="104">
        <f t="shared" si="8"/>
        <v>14459.999999999794</v>
      </c>
      <c r="Q26" s="178"/>
      <c r="R26" s="189"/>
      <c r="S26" s="200"/>
      <c r="T26" s="197"/>
      <c r="U26" s="196">
        <v>0</v>
      </c>
      <c r="V26" s="175">
        <f t="shared" si="9"/>
        <v>944.29</v>
      </c>
      <c r="W26" s="3">
        <v>188.68</v>
      </c>
      <c r="X26" s="3">
        <v>3390673.94</v>
      </c>
      <c r="Y26" s="31">
        <v>755.61</v>
      </c>
      <c r="Z26" s="31">
        <v>3207700.4598000003</v>
      </c>
      <c r="AA26" s="31">
        <f t="shared" si="0"/>
        <v>6598374.3998000007</v>
      </c>
      <c r="AB26" s="120">
        <f t="shared" si="1"/>
        <v>508.50251499488678</v>
      </c>
      <c r="AC26" s="125">
        <v>0</v>
      </c>
      <c r="AD26" s="3">
        <v>0</v>
      </c>
      <c r="AE26" s="3">
        <v>50</v>
      </c>
      <c r="AF26" s="3">
        <v>0</v>
      </c>
      <c r="AG26" s="3">
        <f t="shared" si="2"/>
        <v>50</v>
      </c>
      <c r="AH26" s="3">
        <v>860000</v>
      </c>
      <c r="AI26" s="41">
        <f t="shared" si="3"/>
        <v>66.275742538777095</v>
      </c>
      <c r="AJ26" s="133">
        <v>279.14999999999418</v>
      </c>
      <c r="AK26" s="3">
        <v>3349799.9999999302</v>
      </c>
      <c r="AL26" s="37">
        <f t="shared" si="4"/>
        <v>258.15172367022194</v>
      </c>
      <c r="AM26" s="7"/>
    </row>
    <row r="27" spans="1:39" x14ac:dyDescent="0.25">
      <c r="A27" s="33"/>
      <c r="B27" s="56">
        <v>16</v>
      </c>
      <c r="C27" s="140">
        <v>7</v>
      </c>
      <c r="D27" s="141">
        <v>59</v>
      </c>
      <c r="E27" s="100">
        <v>10240.000000000236</v>
      </c>
      <c r="F27" s="3">
        <v>10606387.200000245</v>
      </c>
      <c r="G27" s="35">
        <v>2199.9999999999318</v>
      </c>
      <c r="H27" s="3">
        <v>3418073.9999998943</v>
      </c>
      <c r="I27" s="99">
        <f t="shared" si="5"/>
        <v>14024461.200000139</v>
      </c>
      <c r="J27" s="100">
        <v>1120.0000000000045</v>
      </c>
      <c r="K27" s="3">
        <v>1160073.6000000047</v>
      </c>
      <c r="L27" s="173">
        <v>340.00000000000341</v>
      </c>
      <c r="M27" s="174">
        <v>528247.80000000529</v>
      </c>
      <c r="N27" s="92">
        <f t="shared" si="6"/>
        <v>1688321.4000000102</v>
      </c>
      <c r="O27" s="101">
        <f t="shared" si="7"/>
        <v>15712782.600000149</v>
      </c>
      <c r="P27" s="104">
        <f t="shared" si="8"/>
        <v>13900.000000000176</v>
      </c>
      <c r="Q27" s="178"/>
      <c r="R27" s="178"/>
      <c r="S27" s="200"/>
      <c r="T27" s="197"/>
      <c r="U27" s="196">
        <v>0</v>
      </c>
      <c r="V27" s="175">
        <f t="shared" si="9"/>
        <v>681.20600000000127</v>
      </c>
      <c r="W27" s="3">
        <v>62.300000000000004</v>
      </c>
      <c r="X27" s="3">
        <v>1119562.1500000001</v>
      </c>
      <c r="Y27" s="31">
        <v>618.90600000000131</v>
      </c>
      <c r="Z27" s="31">
        <v>2627367.3730800059</v>
      </c>
      <c r="AA27" s="31">
        <f t="shared" si="0"/>
        <v>3746929.5230800062</v>
      </c>
      <c r="AB27" s="120">
        <f t="shared" si="1"/>
        <v>288.75643765417828</v>
      </c>
      <c r="AC27" s="125">
        <v>0</v>
      </c>
      <c r="AD27" s="3">
        <v>0</v>
      </c>
      <c r="AE27" s="3">
        <v>0</v>
      </c>
      <c r="AF27" s="3">
        <v>0</v>
      </c>
      <c r="AG27" s="3">
        <f t="shared" si="2"/>
        <v>0</v>
      </c>
      <c r="AH27" s="3">
        <v>0</v>
      </c>
      <c r="AI27" s="41">
        <f t="shared" si="3"/>
        <v>0</v>
      </c>
      <c r="AJ27" s="133">
        <v>257.67000000000553</v>
      </c>
      <c r="AK27" s="3">
        <v>3092040.0000000661</v>
      </c>
      <c r="AL27" s="37">
        <f t="shared" si="4"/>
        <v>238.28749646465661</v>
      </c>
      <c r="AM27" s="7"/>
    </row>
    <row r="28" spans="1:39" x14ac:dyDescent="0.25">
      <c r="A28" s="33"/>
      <c r="B28" s="56">
        <v>17</v>
      </c>
      <c r="C28" s="140">
        <v>16</v>
      </c>
      <c r="D28" s="141">
        <v>103</v>
      </c>
      <c r="E28" s="100">
        <v>11319.999999999709</v>
      </c>
      <c r="F28" s="3">
        <v>11725029.599999698</v>
      </c>
      <c r="G28" s="35">
        <v>2759.9999999999909</v>
      </c>
      <c r="H28" s="3">
        <v>4288129.1999999862</v>
      </c>
      <c r="I28" s="99">
        <f t="shared" si="5"/>
        <v>16013158.799999684</v>
      </c>
      <c r="J28" s="100">
        <v>1520.0000000000387</v>
      </c>
      <c r="K28" s="3">
        <v>1574385.6000000399</v>
      </c>
      <c r="L28" s="173">
        <v>480.00000000000398</v>
      </c>
      <c r="M28" s="174">
        <v>745761.60000000626</v>
      </c>
      <c r="N28" s="92">
        <f t="shared" si="6"/>
        <v>2320147.2000000463</v>
      </c>
      <c r="O28" s="101">
        <f t="shared" si="7"/>
        <v>18333305.999999732</v>
      </c>
      <c r="P28" s="104">
        <f t="shared" si="8"/>
        <v>16079.999999999742</v>
      </c>
      <c r="Q28" s="179"/>
      <c r="R28" s="179"/>
      <c r="S28" s="200"/>
      <c r="T28" s="197"/>
      <c r="U28" s="196">
        <v>0</v>
      </c>
      <c r="V28" s="175">
        <f t="shared" si="9"/>
        <v>587.4</v>
      </c>
      <c r="W28" s="3">
        <v>187.79</v>
      </c>
      <c r="X28" s="3">
        <v>3374680.1949999998</v>
      </c>
      <c r="Y28" s="31">
        <v>399.61</v>
      </c>
      <c r="Z28" s="31">
        <v>1696416.3798000002</v>
      </c>
      <c r="AA28" s="31">
        <f t="shared" si="0"/>
        <v>5071096.5747999996</v>
      </c>
      <c r="AB28" s="120">
        <f t="shared" si="1"/>
        <v>390.8031290473478</v>
      </c>
      <c r="AC28" s="125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1">
        <f t="shared" si="3"/>
        <v>0</v>
      </c>
      <c r="AJ28" s="133">
        <v>389.96999999999389</v>
      </c>
      <c r="AK28" s="3">
        <v>4679639.9999999264</v>
      </c>
      <c r="AL28" s="37">
        <f t="shared" si="4"/>
        <v>360.63559978390458</v>
      </c>
      <c r="AM28" s="7"/>
    </row>
    <row r="29" spans="1:39" x14ac:dyDescent="0.25">
      <c r="A29" s="33"/>
      <c r="B29" s="56">
        <v>18</v>
      </c>
      <c r="C29" s="140">
        <v>17</v>
      </c>
      <c r="D29" s="141">
        <v>91</v>
      </c>
      <c r="E29" s="100">
        <v>11599.999999999909</v>
      </c>
      <c r="F29" s="3">
        <v>12015047.999999905</v>
      </c>
      <c r="G29" s="35">
        <v>2320.00000000005</v>
      </c>
      <c r="H29" s="3">
        <v>3604514.4000000777</v>
      </c>
      <c r="I29" s="99">
        <f t="shared" si="5"/>
        <v>15619562.399999984</v>
      </c>
      <c r="J29" s="100">
        <v>1479.9999999999613</v>
      </c>
      <c r="K29" s="3">
        <v>1532954.3999999599</v>
      </c>
      <c r="L29" s="173">
        <v>339.9999999999892</v>
      </c>
      <c r="M29" s="174">
        <v>528247.79999998328</v>
      </c>
      <c r="N29" s="92">
        <f t="shared" si="6"/>
        <v>2061202.1999999431</v>
      </c>
      <c r="O29" s="101">
        <f t="shared" si="7"/>
        <v>17680764.599999927</v>
      </c>
      <c r="P29" s="104">
        <f t="shared" si="8"/>
        <v>15739.999999999909</v>
      </c>
      <c r="Q29" s="179"/>
      <c r="R29" s="179"/>
      <c r="S29" s="200"/>
      <c r="T29" s="197"/>
      <c r="U29" s="196">
        <v>0</v>
      </c>
      <c r="V29" s="175">
        <f t="shared" si="9"/>
        <v>788.00599999999815</v>
      </c>
      <c r="W29" s="3">
        <v>190.46</v>
      </c>
      <c r="X29" s="3">
        <v>3422661.43</v>
      </c>
      <c r="Y29" s="31">
        <v>597.54599999999812</v>
      </c>
      <c r="Z29" s="31">
        <v>2536690.3282799921</v>
      </c>
      <c r="AA29" s="31">
        <f t="shared" si="0"/>
        <v>5959351.7582799923</v>
      </c>
      <c r="AB29" s="120">
        <f t="shared" si="1"/>
        <v>459.25635212764342</v>
      </c>
      <c r="AC29" s="125">
        <v>0</v>
      </c>
      <c r="AD29" s="3">
        <v>0</v>
      </c>
      <c r="AE29" s="3">
        <v>0</v>
      </c>
      <c r="AF29" s="3">
        <v>132</v>
      </c>
      <c r="AG29" s="3">
        <f t="shared" si="2"/>
        <v>132</v>
      </c>
      <c r="AH29" s="3">
        <v>1512500</v>
      </c>
      <c r="AI29" s="41">
        <f t="shared" si="3"/>
        <v>116.56053556965156</v>
      </c>
      <c r="AJ29" s="133">
        <v>121.11000000000058</v>
      </c>
      <c r="AK29" s="3">
        <v>1453320.000000007</v>
      </c>
      <c r="AL29" s="37">
        <f t="shared" si="4"/>
        <v>111.99983970518137</v>
      </c>
      <c r="AM29" s="7"/>
    </row>
    <row r="30" spans="1:39" x14ac:dyDescent="0.25">
      <c r="A30" s="33"/>
      <c r="B30" s="56">
        <v>19</v>
      </c>
      <c r="C30" s="140">
        <v>13</v>
      </c>
      <c r="D30" s="141">
        <v>117</v>
      </c>
      <c r="E30" s="100">
        <v>11720.000000000255</v>
      </c>
      <c r="F30" s="3">
        <v>12139341.600000264</v>
      </c>
      <c r="G30" s="35">
        <v>2319.9999999999363</v>
      </c>
      <c r="H30" s="3">
        <v>3604514.3999999012</v>
      </c>
      <c r="I30" s="99">
        <f t="shared" si="5"/>
        <v>15743856.000000166</v>
      </c>
      <c r="J30" s="100">
        <v>1560.0000000000023</v>
      </c>
      <c r="K30" s="3">
        <v>1615816.8000000024</v>
      </c>
      <c r="L30" s="173">
        <v>400.00000000000568</v>
      </c>
      <c r="M30" s="174">
        <v>621468.00000000885</v>
      </c>
      <c r="N30" s="92">
        <f t="shared" si="6"/>
        <v>2237284.800000011</v>
      </c>
      <c r="O30" s="101">
        <f t="shared" si="7"/>
        <v>17981140.800000176</v>
      </c>
      <c r="P30" s="104">
        <f t="shared" si="8"/>
        <v>16000.0000000002</v>
      </c>
      <c r="Q30" s="178"/>
      <c r="R30" s="178"/>
      <c r="S30" s="200"/>
      <c r="T30" s="197"/>
      <c r="U30" s="196">
        <v>0</v>
      </c>
      <c r="V30" s="175">
        <f t="shared" si="9"/>
        <v>779.46199999999931</v>
      </c>
      <c r="W30" s="3">
        <v>187.79</v>
      </c>
      <c r="X30" s="3">
        <v>3374680.1949999998</v>
      </c>
      <c r="Y30" s="31">
        <v>591.67199999999934</v>
      </c>
      <c r="Z30" s="31">
        <v>2511754.1409599972</v>
      </c>
      <c r="AA30" s="31">
        <f t="shared" si="0"/>
        <v>5886434.335959997</v>
      </c>
      <c r="AB30" s="120">
        <f t="shared" si="1"/>
        <v>453.63698432732798</v>
      </c>
      <c r="AC30" s="125">
        <v>0</v>
      </c>
      <c r="AD30" s="3">
        <v>0</v>
      </c>
      <c r="AE30" s="3">
        <v>0</v>
      </c>
      <c r="AF30" s="3">
        <v>0</v>
      </c>
      <c r="AG30" s="3">
        <f t="shared" si="2"/>
        <v>0</v>
      </c>
      <c r="AH30" s="3">
        <v>0</v>
      </c>
      <c r="AI30" s="41">
        <f t="shared" si="3"/>
        <v>0</v>
      </c>
      <c r="AJ30" s="133">
        <v>306.04000000000087</v>
      </c>
      <c r="AK30" s="3">
        <v>3672480.0000000102</v>
      </c>
      <c r="AL30" s="37">
        <f t="shared" si="4"/>
        <v>283.01899878931249</v>
      </c>
      <c r="AM30" s="7"/>
    </row>
    <row r="31" spans="1:39" x14ac:dyDescent="0.25">
      <c r="A31" s="33"/>
      <c r="B31" s="56">
        <v>20</v>
      </c>
      <c r="C31" s="140">
        <v>20</v>
      </c>
      <c r="D31" s="141">
        <v>142</v>
      </c>
      <c r="E31" s="100">
        <v>11079.999999999927</v>
      </c>
      <c r="F31" s="3">
        <v>11476442.399999924</v>
      </c>
      <c r="G31" s="35">
        <v>2120.0000000000045</v>
      </c>
      <c r="H31" s="3">
        <v>3293780.4000000074</v>
      </c>
      <c r="I31" s="99">
        <f t="shared" si="5"/>
        <v>14770222.799999932</v>
      </c>
      <c r="J31" s="100">
        <v>1519.9999999999818</v>
      </c>
      <c r="K31" s="3">
        <v>1574385.5999999812</v>
      </c>
      <c r="L31" s="173">
        <v>420.00000000000171</v>
      </c>
      <c r="M31" s="174">
        <v>652541.4000000027</v>
      </c>
      <c r="N31" s="92">
        <f t="shared" si="6"/>
        <v>2226926.9999999842</v>
      </c>
      <c r="O31" s="101">
        <f t="shared" si="7"/>
        <v>16997149.799999915</v>
      </c>
      <c r="P31" s="104">
        <f t="shared" si="8"/>
        <v>15139.999999999916</v>
      </c>
      <c r="Q31" s="179"/>
      <c r="R31" s="179"/>
      <c r="S31" s="200"/>
      <c r="T31" s="197"/>
      <c r="U31" s="196">
        <v>0</v>
      </c>
      <c r="V31" s="175">
        <f t="shared" si="9"/>
        <v>750.27</v>
      </c>
      <c r="W31" s="3">
        <v>67.64</v>
      </c>
      <c r="X31" s="3">
        <v>1215524.6200000001</v>
      </c>
      <c r="Y31" s="31">
        <v>682.63</v>
      </c>
      <c r="Z31" s="31">
        <v>2897887.2234</v>
      </c>
      <c r="AA31" s="31">
        <f t="shared" si="0"/>
        <v>4113411.8434000001</v>
      </c>
      <c r="AB31" s="120">
        <f t="shared" si="1"/>
        <v>316.99933056876148</v>
      </c>
      <c r="AC31" s="125">
        <v>0</v>
      </c>
      <c r="AD31" s="3">
        <v>0</v>
      </c>
      <c r="AE31" s="3">
        <v>0</v>
      </c>
      <c r="AF31" s="3">
        <v>0</v>
      </c>
      <c r="AG31" s="3">
        <f t="shared" si="2"/>
        <v>0</v>
      </c>
      <c r="AH31" s="3">
        <v>0</v>
      </c>
      <c r="AI31" s="41">
        <f t="shared" si="3"/>
        <v>0</v>
      </c>
      <c r="AJ31" s="133">
        <v>171.56000000000495</v>
      </c>
      <c r="AK31" s="3">
        <v>2058720.0000000594</v>
      </c>
      <c r="AL31" s="37">
        <f t="shared" si="4"/>
        <v>158.65487985980826</v>
      </c>
      <c r="AM31" s="7"/>
    </row>
    <row r="32" spans="1:39" x14ac:dyDescent="0.25">
      <c r="A32" s="33"/>
      <c r="B32" s="56">
        <v>21</v>
      </c>
      <c r="C32" s="140">
        <v>11</v>
      </c>
      <c r="D32" s="141">
        <v>177</v>
      </c>
      <c r="E32" s="100">
        <v>10840.000000000146</v>
      </c>
      <c r="F32" s="3">
        <v>11227855.20000015</v>
      </c>
      <c r="G32" s="35">
        <v>2200.0000000000455</v>
      </c>
      <c r="H32" s="3">
        <v>3418074.0000000708</v>
      </c>
      <c r="I32" s="99">
        <f t="shared" si="5"/>
        <v>14645929.200000221</v>
      </c>
      <c r="J32" s="100">
        <v>1460.0000000000364</v>
      </c>
      <c r="K32" s="3">
        <v>1512238.8000000375</v>
      </c>
      <c r="L32" s="173">
        <v>439.99999999999773</v>
      </c>
      <c r="M32" s="174">
        <v>683614.79999999655</v>
      </c>
      <c r="N32" s="92">
        <f>+K32+M32</f>
        <v>2195853.6000000341</v>
      </c>
      <c r="O32" s="101">
        <f t="shared" si="7"/>
        <v>16841782.800000254</v>
      </c>
      <c r="P32" s="104">
        <f t="shared" si="8"/>
        <v>14940.000000000226</v>
      </c>
      <c r="Q32" s="178"/>
      <c r="R32" s="190"/>
      <c r="S32" s="200"/>
      <c r="T32" s="197"/>
      <c r="U32" s="196">
        <v>0</v>
      </c>
      <c r="V32" s="175">
        <f t="shared" si="9"/>
        <v>753.83</v>
      </c>
      <c r="W32" s="3">
        <v>81.88</v>
      </c>
      <c r="X32" s="3">
        <v>1471424.5399999998</v>
      </c>
      <c r="Y32" s="31">
        <v>671.95</v>
      </c>
      <c r="Z32" s="31">
        <v>2852548.7010000004</v>
      </c>
      <c r="AA32" s="31">
        <f t="shared" si="0"/>
        <v>4323973.2410000004</v>
      </c>
      <c r="AB32" s="120">
        <f t="shared" si="1"/>
        <v>333.22620612218321</v>
      </c>
      <c r="AC32" s="125">
        <v>0</v>
      </c>
      <c r="AD32" s="3">
        <v>0</v>
      </c>
      <c r="AE32" s="3">
        <v>0</v>
      </c>
      <c r="AF32" s="3">
        <v>0</v>
      </c>
      <c r="AG32" s="3">
        <f t="shared" ref="AG32:AG40" si="10">+AE32+AF32</f>
        <v>0</v>
      </c>
      <c r="AH32" s="3">
        <v>0</v>
      </c>
      <c r="AI32" s="41">
        <f t="shared" si="3"/>
        <v>0</v>
      </c>
      <c r="AJ32" s="133">
        <v>194.86999999999534</v>
      </c>
      <c r="AK32" s="3">
        <v>2338439.9999999441</v>
      </c>
      <c r="AL32" s="37">
        <f t="shared" si="4"/>
        <v>180.21145044462116</v>
      </c>
      <c r="AM32" s="7"/>
    </row>
    <row r="33" spans="1:39" x14ac:dyDescent="0.25">
      <c r="A33" s="33"/>
      <c r="B33" s="56">
        <v>22</v>
      </c>
      <c r="C33" s="140">
        <v>5</v>
      </c>
      <c r="D33" s="141">
        <v>79</v>
      </c>
      <c r="E33" s="100">
        <v>11560.0000000004</v>
      </c>
      <c r="F33" s="3">
        <v>11973616.800000414</v>
      </c>
      <c r="G33" s="35">
        <v>2600.0000000000227</v>
      </c>
      <c r="H33" s="3">
        <v>4039542.0000000354</v>
      </c>
      <c r="I33" s="99">
        <f t="shared" si="5"/>
        <v>16013158.80000045</v>
      </c>
      <c r="J33" s="100">
        <v>1539.9999999999636</v>
      </c>
      <c r="K33" s="3">
        <v>1595101.1999999622</v>
      </c>
      <c r="L33" s="173">
        <v>359.99999999999943</v>
      </c>
      <c r="M33" s="174">
        <v>559321.19999999914</v>
      </c>
      <c r="N33" s="92">
        <f t="shared" si="6"/>
        <v>2154422.3999999613</v>
      </c>
      <c r="O33" s="101">
        <f t="shared" si="7"/>
        <v>18167581.200000413</v>
      </c>
      <c r="P33" s="104">
        <f t="shared" si="8"/>
        <v>16060.000000000386</v>
      </c>
      <c r="Q33" s="178"/>
      <c r="R33" s="191"/>
      <c r="S33" s="200"/>
      <c r="T33" s="197"/>
      <c r="U33" s="196">
        <v>0</v>
      </c>
      <c r="V33" s="175">
        <f t="shared" si="9"/>
        <v>888.22</v>
      </c>
      <c r="W33" s="3">
        <v>186.9</v>
      </c>
      <c r="X33" s="3">
        <v>3358686.45</v>
      </c>
      <c r="Y33" s="31">
        <v>701.32</v>
      </c>
      <c r="Z33" s="31">
        <v>2977229.6376000005</v>
      </c>
      <c r="AA33" s="31">
        <f t="shared" si="0"/>
        <v>6335916.0876000002</v>
      </c>
      <c r="AB33" s="120">
        <f t="shared" si="1"/>
        <v>488.27621321985282</v>
      </c>
      <c r="AC33" s="125">
        <v>0</v>
      </c>
      <c r="AD33" s="3">
        <v>0</v>
      </c>
      <c r="AE33" s="3">
        <v>400</v>
      </c>
      <c r="AF33" s="3">
        <v>0</v>
      </c>
      <c r="AG33" s="3">
        <f t="shared" si="10"/>
        <v>400</v>
      </c>
      <c r="AH33" s="3">
        <v>6880000</v>
      </c>
      <c r="AI33" s="41">
        <f t="shared" si="3"/>
        <v>530.20594031021676</v>
      </c>
      <c r="AJ33" s="133">
        <v>355.62000000000262</v>
      </c>
      <c r="AK33" s="3">
        <v>4267440.0000000317</v>
      </c>
      <c r="AL33" s="37">
        <f t="shared" si="4"/>
        <v>328.86948225544302</v>
      </c>
      <c r="AM33" s="7"/>
    </row>
    <row r="34" spans="1:39" x14ac:dyDescent="0.25">
      <c r="A34" s="33"/>
      <c r="B34" s="56">
        <v>23</v>
      </c>
      <c r="C34" s="140">
        <v>33</v>
      </c>
      <c r="D34" s="141">
        <v>50</v>
      </c>
      <c r="E34" s="100">
        <v>11199.999999999818</v>
      </c>
      <c r="F34" s="3">
        <v>11600735.999999812</v>
      </c>
      <c r="G34" s="35">
        <v>2399.9999999999773</v>
      </c>
      <c r="H34" s="3">
        <v>3728807.9999999651</v>
      </c>
      <c r="I34" s="99">
        <f t="shared" si="5"/>
        <v>15329543.999999776</v>
      </c>
      <c r="J34" s="100">
        <v>1560.0000000000023</v>
      </c>
      <c r="K34" s="3">
        <v>1615816.8000000024</v>
      </c>
      <c r="L34" s="173">
        <v>340.00000000000341</v>
      </c>
      <c r="M34" s="174">
        <v>528247.80000000529</v>
      </c>
      <c r="N34" s="92">
        <f t="shared" si="6"/>
        <v>2144064.6000000075</v>
      </c>
      <c r="O34" s="101">
        <f t="shared" si="7"/>
        <v>17473608.599999785</v>
      </c>
      <c r="P34" s="104">
        <f t="shared" si="8"/>
        <v>15499.9999999998</v>
      </c>
      <c r="Q34" s="179"/>
      <c r="R34" s="192"/>
      <c r="S34" s="200"/>
      <c r="T34" s="197"/>
      <c r="U34" s="196">
        <v>0</v>
      </c>
      <c r="V34" s="175">
        <f t="shared" si="9"/>
        <v>856.18000000000006</v>
      </c>
      <c r="W34" s="3">
        <v>190.46</v>
      </c>
      <c r="X34" s="3">
        <v>3422661.43</v>
      </c>
      <c r="Y34" s="31">
        <v>665.72</v>
      </c>
      <c r="Z34" s="31">
        <v>2826101.2296000002</v>
      </c>
      <c r="AA34" s="31">
        <f t="shared" si="0"/>
        <v>6248762.6596000008</v>
      </c>
      <c r="AB34" s="120">
        <f t="shared" si="1"/>
        <v>481.55975024834146</v>
      </c>
      <c r="AC34" s="125">
        <v>0</v>
      </c>
      <c r="AD34" s="3">
        <v>0</v>
      </c>
      <c r="AE34" s="3">
        <v>0</v>
      </c>
      <c r="AF34" s="3">
        <v>12</v>
      </c>
      <c r="AG34" s="3">
        <f t="shared" si="10"/>
        <v>12</v>
      </c>
      <c r="AH34" s="3">
        <v>137500</v>
      </c>
      <c r="AI34" s="41">
        <f t="shared" si="3"/>
        <v>10.596412324513778</v>
      </c>
      <c r="AJ34" s="133">
        <v>172.2699999999968</v>
      </c>
      <c r="AK34" s="3">
        <v>2067239.9999999616</v>
      </c>
      <c r="AL34" s="37">
        <f t="shared" si="4"/>
        <v>159.31147209983604</v>
      </c>
      <c r="AM34" s="7"/>
    </row>
    <row r="35" spans="1:39" x14ac:dyDescent="0.25">
      <c r="A35" s="33"/>
      <c r="B35" s="56">
        <v>24</v>
      </c>
      <c r="C35" s="140">
        <v>32</v>
      </c>
      <c r="D35" s="141">
        <v>114</v>
      </c>
      <c r="E35" s="100">
        <v>11960.000000000036</v>
      </c>
      <c r="F35" s="3">
        <v>12387928.800000038</v>
      </c>
      <c r="G35" s="35">
        <v>2480.0000000000182</v>
      </c>
      <c r="H35" s="3">
        <v>3853101.6000000285</v>
      </c>
      <c r="I35" s="99">
        <f t="shared" si="5"/>
        <v>16241030.400000066</v>
      </c>
      <c r="J35" s="100">
        <v>1580.0000000000409</v>
      </c>
      <c r="K35" s="3">
        <v>1636532.4000000423</v>
      </c>
      <c r="L35" s="173">
        <v>439.99999999999773</v>
      </c>
      <c r="M35" s="174">
        <v>683614.79999999655</v>
      </c>
      <c r="N35" s="92">
        <f t="shared" si="6"/>
        <v>2320147.2000000388</v>
      </c>
      <c r="O35" s="101">
        <f t="shared" si="7"/>
        <v>18561177.600000106</v>
      </c>
      <c r="P35" s="104">
        <f t="shared" si="8"/>
        <v>16460.000000000095</v>
      </c>
      <c r="Q35" s="178"/>
      <c r="R35" s="190"/>
      <c r="S35" s="200"/>
      <c r="T35" s="197"/>
      <c r="U35" s="196">
        <v>0</v>
      </c>
      <c r="V35" s="175">
        <f t="shared" si="9"/>
        <v>802.78</v>
      </c>
      <c r="W35" s="3">
        <v>186.9</v>
      </c>
      <c r="X35" s="3">
        <v>3358686.45</v>
      </c>
      <c r="Y35" s="31">
        <v>615.88</v>
      </c>
      <c r="Z35" s="31">
        <v>2614521.4584000004</v>
      </c>
      <c r="AA35" s="31">
        <f t="shared" si="0"/>
        <v>5973207.908400001</v>
      </c>
      <c r="AB35" s="120">
        <f t="shared" si="1"/>
        <v>460.32417379965773</v>
      </c>
      <c r="AC35" s="125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1">
        <f t="shared" si="3"/>
        <v>0</v>
      </c>
      <c r="AJ35" s="133">
        <v>359.26000000000931</v>
      </c>
      <c r="AK35" s="3">
        <v>4311120.0000001118</v>
      </c>
      <c r="AL35" s="37">
        <f t="shared" si="4"/>
        <v>332.23567345788382</v>
      </c>
      <c r="AM35" s="7"/>
    </row>
    <row r="36" spans="1:39" x14ac:dyDescent="0.25">
      <c r="A36" s="33"/>
      <c r="B36" s="56">
        <v>25</v>
      </c>
      <c r="C36" s="140">
        <v>39</v>
      </c>
      <c r="D36" s="141">
        <v>216</v>
      </c>
      <c r="E36" s="100">
        <v>12359.999999999673</v>
      </c>
      <c r="F36" s="3">
        <v>12802240.79999966</v>
      </c>
      <c r="G36" s="35">
        <v>2519.9999999999818</v>
      </c>
      <c r="H36" s="3">
        <v>3915248.399999972</v>
      </c>
      <c r="I36" s="99">
        <f t="shared" si="5"/>
        <v>16717489.199999632</v>
      </c>
      <c r="J36" s="100">
        <v>1719.9999999999704</v>
      </c>
      <c r="K36" s="3">
        <v>1781541.5999999694</v>
      </c>
      <c r="L36" s="173">
        <v>539.99999999999204</v>
      </c>
      <c r="M36" s="174">
        <v>838981.79999998771</v>
      </c>
      <c r="N36" s="92">
        <f t="shared" si="6"/>
        <v>2620523.3999999571</v>
      </c>
      <c r="O36" s="101">
        <f t="shared" si="7"/>
        <v>19338012.599999588</v>
      </c>
      <c r="P36" s="104">
        <f t="shared" si="8"/>
        <v>17139.999999999618</v>
      </c>
      <c r="Q36" s="178"/>
      <c r="R36" s="190"/>
      <c r="S36" s="200"/>
      <c r="T36" s="197"/>
      <c r="U36" s="196">
        <v>0</v>
      </c>
      <c r="V36" s="175">
        <f t="shared" si="9"/>
        <v>898.9</v>
      </c>
      <c r="W36" s="3">
        <v>192.24</v>
      </c>
      <c r="X36" s="3">
        <v>3454648.9200000004</v>
      </c>
      <c r="Y36" s="31">
        <v>706.66</v>
      </c>
      <c r="Z36" s="31">
        <v>2999898.8988000001</v>
      </c>
      <c r="AA36" s="31">
        <f t="shared" si="0"/>
        <v>6454547.8188000005</v>
      </c>
      <c r="AB36" s="120">
        <f t="shared" si="1"/>
        <v>497.41854586396983</v>
      </c>
      <c r="AC36" s="125">
        <v>0</v>
      </c>
      <c r="AD36" s="3">
        <v>0</v>
      </c>
      <c r="AE36" s="3">
        <v>400</v>
      </c>
      <c r="AF36" s="3">
        <v>12</v>
      </c>
      <c r="AG36" s="3">
        <f t="shared" si="10"/>
        <v>412</v>
      </c>
      <c r="AH36" s="3">
        <v>7017500</v>
      </c>
      <c r="AI36" s="41">
        <f t="shared" si="3"/>
        <v>540.80235263473048</v>
      </c>
      <c r="AJ36" s="133">
        <v>188.8399999999674</v>
      </c>
      <c r="AK36" s="3">
        <v>2266079.9999996088</v>
      </c>
      <c r="AL36" s="37">
        <f t="shared" si="4"/>
        <v>174.63504029330937</v>
      </c>
      <c r="AM36" s="7"/>
    </row>
    <row r="37" spans="1:39" x14ac:dyDescent="0.25">
      <c r="A37" s="33"/>
      <c r="B37" s="56">
        <v>26</v>
      </c>
      <c r="C37" s="140">
        <v>12</v>
      </c>
      <c r="D37" s="141">
        <v>157</v>
      </c>
      <c r="E37" s="100">
        <v>11880.000000000109</v>
      </c>
      <c r="F37" s="3">
        <v>12305066.400000112</v>
      </c>
      <c r="G37" s="35">
        <v>2320.00000000005</v>
      </c>
      <c r="H37" s="3">
        <v>3604514.4000000777</v>
      </c>
      <c r="I37" s="99">
        <f t="shared" si="5"/>
        <v>15909580.800000191</v>
      </c>
      <c r="J37" s="100">
        <v>1540.0000000000205</v>
      </c>
      <c r="K37" s="3">
        <v>1595101.2000000211</v>
      </c>
      <c r="L37" s="173">
        <v>420.00000000000171</v>
      </c>
      <c r="M37" s="174">
        <v>652541.4000000027</v>
      </c>
      <c r="N37" s="92">
        <f t="shared" si="6"/>
        <v>2247642.6000000238</v>
      </c>
      <c r="O37" s="101">
        <f t="shared" si="7"/>
        <v>18157223.400000215</v>
      </c>
      <c r="P37" s="104">
        <f t="shared" si="8"/>
        <v>16160.000000000182</v>
      </c>
      <c r="Q37" s="178"/>
      <c r="R37" s="190"/>
      <c r="S37" s="200"/>
      <c r="T37" s="197"/>
      <c r="U37" s="196">
        <v>0</v>
      </c>
      <c r="V37" s="175">
        <f t="shared" si="9"/>
        <v>903.35</v>
      </c>
      <c r="W37" s="3">
        <v>187.79</v>
      </c>
      <c r="X37" s="3">
        <v>3374680.1949999998</v>
      </c>
      <c r="Y37" s="31">
        <v>715.56000000000006</v>
      </c>
      <c r="Z37" s="31">
        <v>3037681.0008000005</v>
      </c>
      <c r="AA37" s="31">
        <f t="shared" si="0"/>
        <v>6412361.1958000008</v>
      </c>
      <c r="AB37" s="120">
        <f t="shared" si="1"/>
        <v>494.16744148661121</v>
      </c>
      <c r="AC37" s="125">
        <v>0</v>
      </c>
      <c r="AD37" s="3">
        <v>0</v>
      </c>
      <c r="AE37" s="3">
        <v>0</v>
      </c>
      <c r="AF37" s="3">
        <v>12</v>
      </c>
      <c r="AG37" s="3">
        <f t="shared" si="10"/>
        <v>12</v>
      </c>
      <c r="AH37" s="3">
        <v>137500</v>
      </c>
      <c r="AI37" s="41">
        <f t="shared" si="3"/>
        <v>10.596412324513778</v>
      </c>
      <c r="AJ37" s="133">
        <v>378.16999999999825</v>
      </c>
      <c r="AK37" s="3">
        <v>4538039.9999999795</v>
      </c>
      <c r="AL37" s="37">
        <f t="shared" si="4"/>
        <v>349.7232217100821</v>
      </c>
      <c r="AM37" s="7"/>
    </row>
    <row r="38" spans="1:39" x14ac:dyDescent="0.25">
      <c r="A38" s="33"/>
      <c r="B38" s="56">
        <v>27</v>
      </c>
      <c r="C38" s="140">
        <v>16</v>
      </c>
      <c r="D38" s="141">
        <v>106</v>
      </c>
      <c r="E38" s="100">
        <v>11319.999999999709</v>
      </c>
      <c r="F38" s="3">
        <v>11725029.599999698</v>
      </c>
      <c r="G38" s="35">
        <v>2239.9999999998954</v>
      </c>
      <c r="H38" s="3">
        <v>3480220.7999998378</v>
      </c>
      <c r="I38" s="99">
        <f t="shared" si="5"/>
        <v>15205250.399999537</v>
      </c>
      <c r="J38" s="100">
        <v>1339.999999999975</v>
      </c>
      <c r="K38" s="3">
        <v>1387945.1999999741</v>
      </c>
      <c r="L38" s="173">
        <v>439.99999999999773</v>
      </c>
      <c r="M38" s="174">
        <v>683614.79999999655</v>
      </c>
      <c r="N38" s="92">
        <f t="shared" si="6"/>
        <v>2071559.9999999707</v>
      </c>
      <c r="O38" s="101">
        <f t="shared" si="7"/>
        <v>17276810.399999507</v>
      </c>
      <c r="P38" s="104">
        <f t="shared" si="8"/>
        <v>15339.999999999578</v>
      </c>
      <c r="Q38" s="178"/>
      <c r="R38" s="190"/>
      <c r="S38" s="200"/>
      <c r="T38" s="197"/>
      <c r="U38" s="196">
        <v>0</v>
      </c>
      <c r="V38" s="175">
        <f t="shared" si="9"/>
        <v>900.68000000000006</v>
      </c>
      <c r="W38" s="3">
        <v>192.24</v>
      </c>
      <c r="X38" s="3">
        <v>3454648.9200000004</v>
      </c>
      <c r="Y38" s="31">
        <v>708.44</v>
      </c>
      <c r="Z38" s="31">
        <v>3007455.3192000003</v>
      </c>
      <c r="AA38" s="31">
        <f t="shared" si="0"/>
        <v>6462104.2392000007</v>
      </c>
      <c r="AB38" s="120">
        <f t="shared" si="1"/>
        <v>498.00088001855727</v>
      </c>
      <c r="AC38" s="125">
        <v>0</v>
      </c>
      <c r="AD38" s="3">
        <v>0</v>
      </c>
      <c r="AE38" s="3">
        <v>50</v>
      </c>
      <c r="AF38" s="3">
        <v>0</v>
      </c>
      <c r="AG38" s="3">
        <f t="shared" si="10"/>
        <v>50</v>
      </c>
      <c r="AH38" s="3">
        <v>860000</v>
      </c>
      <c r="AI38" s="41">
        <f t="shared" si="3"/>
        <v>66.275742538777095</v>
      </c>
      <c r="AJ38" s="133">
        <v>278.66999999999825</v>
      </c>
      <c r="AK38" s="3">
        <v>3344039.999999979</v>
      </c>
      <c r="AL38" s="37">
        <f t="shared" si="4"/>
        <v>257.70783032484968</v>
      </c>
      <c r="AM38" s="7"/>
    </row>
    <row r="39" spans="1:39" x14ac:dyDescent="0.25">
      <c r="A39" s="33"/>
      <c r="B39" s="56">
        <v>28</v>
      </c>
      <c r="C39" s="140">
        <v>14</v>
      </c>
      <c r="D39" s="141">
        <v>173</v>
      </c>
      <c r="E39" s="100">
        <v>10720.000000000255</v>
      </c>
      <c r="F39" s="3">
        <v>11103561.600000264</v>
      </c>
      <c r="G39" s="35">
        <v>2280.0000000000864</v>
      </c>
      <c r="H39" s="3">
        <v>3542367.6000001342</v>
      </c>
      <c r="I39" s="99">
        <f t="shared" si="5"/>
        <v>14645929.200000398</v>
      </c>
      <c r="J39" s="100">
        <v>1480.0000000000182</v>
      </c>
      <c r="K39" s="3">
        <v>1532954.4000000188</v>
      </c>
      <c r="L39" s="173">
        <v>420.00000000001592</v>
      </c>
      <c r="M39" s="174">
        <v>652541.4000000247</v>
      </c>
      <c r="N39" s="92">
        <f t="shared" si="6"/>
        <v>2185495.8000000436</v>
      </c>
      <c r="O39" s="101">
        <f t="shared" si="7"/>
        <v>16831425.00000044</v>
      </c>
      <c r="P39" s="104">
        <f t="shared" si="8"/>
        <v>14900.000000000375</v>
      </c>
      <c r="Q39" s="178"/>
      <c r="R39" s="193"/>
      <c r="S39" s="200"/>
      <c r="T39" s="197"/>
      <c r="U39" s="196">
        <v>0</v>
      </c>
      <c r="V39" s="175">
        <f t="shared" si="9"/>
        <v>899.79</v>
      </c>
      <c r="W39" s="3">
        <v>192.24</v>
      </c>
      <c r="X39" s="3">
        <v>3454648.9200000004</v>
      </c>
      <c r="Y39" s="31">
        <v>707.55</v>
      </c>
      <c r="Z39" s="31">
        <v>3003677.1090000002</v>
      </c>
      <c r="AA39" s="31">
        <f t="shared" si="0"/>
        <v>6458326.029000001</v>
      </c>
      <c r="AB39" s="120">
        <f t="shared" si="1"/>
        <v>497.7097129412636</v>
      </c>
      <c r="AC39" s="125">
        <v>0</v>
      </c>
      <c r="AD39" s="3">
        <v>0</v>
      </c>
      <c r="AE39" s="3">
        <v>0</v>
      </c>
      <c r="AF39" s="3">
        <v>24</v>
      </c>
      <c r="AG39" s="3">
        <f t="shared" si="10"/>
        <v>24</v>
      </c>
      <c r="AH39" s="3">
        <v>275000</v>
      </c>
      <c r="AI39" s="41">
        <f t="shared" si="3"/>
        <v>21.192824649027557</v>
      </c>
      <c r="AJ39" s="133">
        <v>336.55000000000291</v>
      </c>
      <c r="AK39" s="3">
        <v>4038600.0000000349</v>
      </c>
      <c r="AL39" s="37">
        <f t="shared" si="4"/>
        <v>311.23396955477614</v>
      </c>
      <c r="AM39" s="7"/>
    </row>
    <row r="40" spans="1:39" x14ac:dyDescent="0.25">
      <c r="A40" s="33"/>
      <c r="B40" s="56">
        <v>29</v>
      </c>
      <c r="C40" s="140">
        <v>9</v>
      </c>
      <c r="D40" s="141">
        <v>111</v>
      </c>
      <c r="E40" s="100">
        <v>10680.000000000291</v>
      </c>
      <c r="F40" s="3">
        <v>11062130.4000003</v>
      </c>
      <c r="G40" s="35">
        <v>2120.0000000000045</v>
      </c>
      <c r="H40" s="3">
        <v>3293780.4000000074</v>
      </c>
      <c r="I40" s="99">
        <f t="shared" si="5"/>
        <v>14355910.800000308</v>
      </c>
      <c r="J40" s="100">
        <v>1379.9999999999955</v>
      </c>
      <c r="K40" s="3">
        <v>1429376.3999999953</v>
      </c>
      <c r="L40" s="173">
        <v>439.99999999999773</v>
      </c>
      <c r="M40" s="174">
        <v>683614.79999999655</v>
      </c>
      <c r="N40" s="92">
        <f t="shared" si="6"/>
        <v>2112991.1999999918</v>
      </c>
      <c r="O40" s="101">
        <f t="shared" ref="O40:O41" si="11">N40+I40</f>
        <v>16468902.0000003</v>
      </c>
      <c r="P40" s="104">
        <f t="shared" ref="P40:P41" si="12">L40+J40+G40+E40</f>
        <v>14620.000000000289</v>
      </c>
      <c r="Q40" s="179"/>
      <c r="R40" s="194"/>
      <c r="S40" s="200"/>
      <c r="T40" s="197"/>
      <c r="U40" s="196">
        <v>0</v>
      </c>
      <c r="V40" s="175">
        <f t="shared" si="9"/>
        <v>873.09</v>
      </c>
      <c r="W40" s="3">
        <v>193.13</v>
      </c>
      <c r="X40" s="3">
        <v>3470642.665</v>
      </c>
      <c r="Y40" s="31">
        <v>679.96</v>
      </c>
      <c r="Z40" s="31">
        <v>2886552.5928000002</v>
      </c>
      <c r="AA40" s="31">
        <f t="shared" ref="AA40:AA41" si="13">Z40+X40</f>
        <v>6357195.2577999998</v>
      </c>
      <c r="AB40" s="120">
        <f t="shared" si="1"/>
        <v>489.91608857521794</v>
      </c>
      <c r="AC40" s="125">
        <v>0</v>
      </c>
      <c r="AD40" s="3">
        <v>0</v>
      </c>
      <c r="AE40" s="3">
        <v>400</v>
      </c>
      <c r="AF40" s="3">
        <v>12</v>
      </c>
      <c r="AG40" s="3">
        <f t="shared" si="10"/>
        <v>412</v>
      </c>
      <c r="AH40" s="3">
        <v>7017500</v>
      </c>
      <c r="AI40" s="41">
        <f t="shared" si="3"/>
        <v>540.80235263473048</v>
      </c>
      <c r="AJ40" s="133">
        <v>327.94999999999709</v>
      </c>
      <c r="AK40" s="3">
        <v>3935399.9999999651</v>
      </c>
      <c r="AL40" s="37">
        <f t="shared" si="4"/>
        <v>303.28088045011748</v>
      </c>
      <c r="AM40" s="7"/>
    </row>
    <row r="41" spans="1:39" ht="17.25" customHeight="1" x14ac:dyDescent="0.25">
      <c r="A41" s="33"/>
      <c r="B41" s="56">
        <v>30</v>
      </c>
      <c r="C41" s="140">
        <v>7</v>
      </c>
      <c r="D41" s="141">
        <v>56</v>
      </c>
      <c r="E41" s="100">
        <v>10079.999999999927</v>
      </c>
      <c r="F41" s="3">
        <v>10440662.399999924</v>
      </c>
      <c r="G41" s="35">
        <v>2159.9999999999682</v>
      </c>
      <c r="H41" s="3">
        <v>3355927.1999999508</v>
      </c>
      <c r="I41" s="99">
        <f t="shared" si="5"/>
        <v>13796589.599999875</v>
      </c>
      <c r="J41" s="100">
        <v>2280.0000000000296</v>
      </c>
      <c r="K41" s="3">
        <v>2361578.4000000306</v>
      </c>
      <c r="L41" s="173">
        <v>359.99999999998522</v>
      </c>
      <c r="M41" s="174">
        <v>559321.19999997702</v>
      </c>
      <c r="N41" s="92">
        <f t="shared" si="6"/>
        <v>2920899.6000000075</v>
      </c>
      <c r="O41" s="101">
        <f t="shared" si="11"/>
        <v>16717489.199999882</v>
      </c>
      <c r="P41" s="104">
        <f t="shared" si="12"/>
        <v>14879.999999999909</v>
      </c>
      <c r="Q41" s="178"/>
      <c r="R41" s="195"/>
      <c r="S41" s="200"/>
      <c r="T41" s="197"/>
      <c r="U41" s="196">
        <v>0</v>
      </c>
      <c r="V41" s="175">
        <f t="shared" si="9"/>
        <v>864.19</v>
      </c>
      <c r="W41" s="3">
        <v>192.24</v>
      </c>
      <c r="X41" s="3">
        <v>3454648.9200000004</v>
      </c>
      <c r="Y41" s="31">
        <v>671.95</v>
      </c>
      <c r="Z41" s="31">
        <v>2852548.7010000004</v>
      </c>
      <c r="AA41" s="31">
        <f t="shared" si="13"/>
        <v>6307197.6210000012</v>
      </c>
      <c r="AB41" s="120">
        <f t="shared" si="1"/>
        <v>486.0630298495156</v>
      </c>
      <c r="AC41" s="125">
        <v>0</v>
      </c>
      <c r="AD41" s="3">
        <v>0</v>
      </c>
      <c r="AE41" s="3">
        <v>0</v>
      </c>
      <c r="AF41" s="3">
        <v>0</v>
      </c>
      <c r="AG41" s="3">
        <f>+AE41+AF41</f>
        <v>0</v>
      </c>
      <c r="AH41" s="3">
        <v>0</v>
      </c>
      <c r="AI41" s="41">
        <f t="shared" si="3"/>
        <v>0</v>
      </c>
      <c r="AJ41" s="133">
        <v>278.57000000000698</v>
      </c>
      <c r="AK41" s="3">
        <v>3342840.0000000838</v>
      </c>
      <c r="AL41" s="37">
        <f t="shared" si="4"/>
        <v>257.61535254457112</v>
      </c>
      <c r="AM41" s="7"/>
    </row>
    <row r="42" spans="1:39" ht="16.5" thickBot="1" x14ac:dyDescent="0.3">
      <c r="A42" s="33"/>
      <c r="B42" s="115"/>
      <c r="C42" s="208"/>
      <c r="D42" s="209"/>
      <c r="E42" s="210"/>
      <c r="F42" s="93"/>
      <c r="G42" s="211"/>
      <c r="H42" s="93"/>
      <c r="I42" s="212"/>
      <c r="J42" s="210"/>
      <c r="K42" s="93"/>
      <c r="L42" s="213"/>
      <c r="M42" s="214"/>
      <c r="N42" s="94"/>
      <c r="O42" s="102"/>
      <c r="P42" s="105"/>
      <c r="Q42" s="215"/>
      <c r="R42" s="216"/>
      <c r="S42" s="201"/>
      <c r="T42" s="201"/>
      <c r="U42" s="217"/>
      <c r="V42" s="218"/>
      <c r="W42" s="93"/>
      <c r="X42" s="93"/>
      <c r="Y42" s="219"/>
      <c r="Z42" s="219"/>
      <c r="AA42" s="219"/>
      <c r="AB42" s="220"/>
      <c r="AC42" s="93"/>
      <c r="AD42" s="93"/>
      <c r="AE42" s="93"/>
      <c r="AF42" s="93"/>
      <c r="AG42" s="93"/>
      <c r="AH42" s="93"/>
      <c r="AI42" s="221"/>
      <c r="AJ42" s="222"/>
      <c r="AK42" s="93"/>
      <c r="AL42" s="223"/>
      <c r="AM42" s="7"/>
    </row>
    <row r="43" spans="1:39" s="8" customFormat="1" ht="4.5" customHeight="1" x14ac:dyDescent="0.25">
      <c r="A43" s="15"/>
      <c r="B43" s="110"/>
      <c r="C43" s="111"/>
      <c r="D43" s="111"/>
      <c r="E43" s="109"/>
      <c r="F43" s="7"/>
      <c r="G43" s="15"/>
      <c r="H43" s="7"/>
      <c r="I43" s="15"/>
      <c r="J43" s="15"/>
      <c r="K43" s="15"/>
      <c r="L43" s="7"/>
      <c r="M43" s="60"/>
      <c r="N43" s="64"/>
      <c r="O43" s="15"/>
      <c r="P43" s="64"/>
      <c r="Q43" s="15"/>
      <c r="R43" s="84"/>
      <c r="S43" s="7"/>
      <c r="T43" s="15"/>
      <c r="U43" s="32"/>
      <c r="V43" s="121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4"/>
      <c r="AK43" s="15"/>
      <c r="AL43" s="32"/>
      <c r="AM43" s="15"/>
    </row>
    <row r="44" spans="1:39" s="8" customFormat="1" ht="6" customHeight="1" x14ac:dyDescent="0.25">
      <c r="A44" s="15"/>
      <c r="B44" s="110"/>
      <c r="C44" s="111"/>
      <c r="D44" s="111"/>
      <c r="E44" s="109"/>
      <c r="F44" s="7"/>
      <c r="G44" s="15"/>
      <c r="H44" s="7"/>
      <c r="I44" s="15"/>
      <c r="J44" s="15"/>
      <c r="K44" s="15"/>
      <c r="L44" s="7"/>
      <c r="M44" s="60"/>
      <c r="N44" s="64"/>
      <c r="O44" s="15"/>
      <c r="P44" s="64"/>
      <c r="Q44" s="15"/>
      <c r="R44" s="84"/>
      <c r="S44" s="16"/>
      <c r="T44" s="16"/>
      <c r="U44" s="32"/>
      <c r="V44" s="121"/>
      <c r="W44" s="15"/>
      <c r="X44" s="15"/>
      <c r="Y44" s="15"/>
      <c r="Z44" s="15"/>
      <c r="AA44" s="15"/>
      <c r="AB44" s="122"/>
      <c r="AC44" s="15"/>
      <c r="AD44" s="7"/>
      <c r="AE44" s="15"/>
      <c r="AF44" s="15"/>
      <c r="AG44" s="15"/>
      <c r="AH44" s="7"/>
      <c r="AI44" s="15"/>
      <c r="AJ44" s="86"/>
      <c r="AK44" s="5"/>
      <c r="AL44" s="38"/>
      <c r="AM44" s="15"/>
    </row>
    <row r="45" spans="1:39" s="8" customFormat="1" ht="16.5" thickBot="1" x14ac:dyDescent="0.3">
      <c r="A45" s="15"/>
      <c r="B45" s="112"/>
      <c r="C45" s="113"/>
      <c r="D45" s="113"/>
      <c r="E45" s="114"/>
      <c r="F45" s="70"/>
      <c r="G45" s="69"/>
      <c r="H45" s="70"/>
      <c r="I45" s="69"/>
      <c r="J45" s="69"/>
      <c r="K45" s="69"/>
      <c r="L45" s="70"/>
      <c r="M45" s="71"/>
      <c r="N45" s="72"/>
      <c r="O45" s="69"/>
      <c r="P45" s="72"/>
      <c r="Q45" s="69"/>
      <c r="R45" s="85"/>
      <c r="S45" s="73"/>
      <c r="T45" s="69"/>
      <c r="U45" s="176"/>
      <c r="V45" s="123"/>
      <c r="W45" s="75"/>
      <c r="X45" s="69"/>
      <c r="Y45" s="69"/>
      <c r="Z45" s="69"/>
      <c r="AA45" s="69"/>
      <c r="AB45" s="74"/>
      <c r="AC45" s="76"/>
      <c r="AD45" s="70"/>
      <c r="AE45" s="76"/>
      <c r="AF45" s="76"/>
      <c r="AG45" s="76"/>
      <c r="AH45" s="70"/>
      <c r="AI45" s="69"/>
      <c r="AJ45" s="134"/>
      <c r="AK45" s="77"/>
      <c r="AL45" s="78"/>
      <c r="AM45" s="15"/>
    </row>
    <row r="46" spans="1:39" ht="17.25" thickTop="1" thickBot="1" x14ac:dyDescent="0.3">
      <c r="A46" s="24"/>
      <c r="B46" s="67"/>
      <c r="C46" s="68">
        <f t="shared" ref="C46:P46" si="14">SUM(C12:C42)</f>
        <v>345</v>
      </c>
      <c r="D46" s="68">
        <f t="shared" si="14"/>
        <v>2894</v>
      </c>
      <c r="E46" s="68">
        <f t="shared" si="14"/>
        <v>327440.00000000006</v>
      </c>
      <c r="F46" s="68">
        <f t="shared" si="14"/>
        <v>339155803.19999999</v>
      </c>
      <c r="G46" s="68">
        <f t="shared" si="14"/>
        <v>67799.999999999971</v>
      </c>
      <c r="H46" s="68">
        <f t="shared" si="14"/>
        <v>105338825.99999994</v>
      </c>
      <c r="I46" s="68">
        <f t="shared" si="14"/>
        <v>444494629.20000005</v>
      </c>
      <c r="J46" s="68">
        <f t="shared" si="14"/>
        <v>41220.000000000036</v>
      </c>
      <c r="K46" s="68">
        <f t="shared" si="14"/>
        <v>42694851.600000031</v>
      </c>
      <c r="L46" s="68">
        <f t="shared" si="14"/>
        <v>11080</v>
      </c>
      <c r="M46" s="68">
        <f t="shared" si="14"/>
        <v>17214663.600000001</v>
      </c>
      <c r="N46" s="68">
        <f t="shared" si="14"/>
        <v>59909515.200000018</v>
      </c>
      <c r="O46" s="68">
        <f t="shared" si="14"/>
        <v>504404144.39999992</v>
      </c>
      <c r="P46" s="80">
        <f t="shared" si="14"/>
        <v>447540.00000000006</v>
      </c>
      <c r="Q46" s="177" t="e">
        <f>+#REF!</f>
        <v>#REF!</v>
      </c>
      <c r="R46" s="116" t="e">
        <f>+#REF!</f>
        <v>#REF!</v>
      </c>
      <c r="S46" s="108" t="e">
        <f>Q46+P46</f>
        <v>#REF!</v>
      </c>
      <c r="T46" s="108" t="e">
        <f>R46+O46</f>
        <v>#REF!</v>
      </c>
      <c r="U46" s="128" t="e">
        <f>T46/AL47</f>
        <v>#REF!</v>
      </c>
      <c r="V46" s="166">
        <f t="shared" ref="V46:AA46" si="15">SUM(V12:V41)</f>
        <v>24410.030000000002</v>
      </c>
      <c r="W46" s="50">
        <f t="shared" si="15"/>
        <v>5337.329999999999</v>
      </c>
      <c r="X46" s="50">
        <f t="shared" si="15"/>
        <v>95914488.765000001</v>
      </c>
      <c r="Y46" s="50">
        <f t="shared" si="15"/>
        <v>19072.699999999997</v>
      </c>
      <c r="Z46" s="50">
        <f t="shared" si="15"/>
        <v>80967044.58600001</v>
      </c>
      <c r="AA46" s="127">
        <f t="shared" si="15"/>
        <v>176881533.35100007</v>
      </c>
      <c r="AB46" s="117">
        <f>AA46/$AL$47</f>
        <v>13631.342981668597</v>
      </c>
      <c r="AC46" s="42">
        <f>SUM(AC12:AC41)</f>
        <v>0</v>
      </c>
      <c r="AD46" s="129">
        <f>SUM(AD12:AD41)</f>
        <v>0</v>
      </c>
      <c r="AE46" s="42">
        <f>SUM(AE12:AE41)</f>
        <v>1600</v>
      </c>
      <c r="AF46" s="42">
        <f>SUM(AF12:AF41)</f>
        <v>264</v>
      </c>
      <c r="AG46" s="199">
        <f>SUM(AG12:AG41)</f>
        <v>1864</v>
      </c>
      <c r="AH46" s="137">
        <f>SUM(AH12:AH42)</f>
        <v>30545000</v>
      </c>
      <c r="AI46" s="138">
        <f>AH46/$AL$47</f>
        <v>2353.9448323801698</v>
      </c>
      <c r="AJ46" s="198">
        <f>SUM(AJ12:AJ42)</f>
        <v>7910.6200000000026</v>
      </c>
      <c r="AK46" s="135">
        <f>SUM(AK12:AK41)</f>
        <v>94927440.00000003</v>
      </c>
      <c r="AL46" s="136">
        <f>AK46/AL47</f>
        <v>7315.5657829130369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61"/>
      <c r="N47" s="65"/>
      <c r="O47" s="10"/>
      <c r="P47" s="65"/>
      <c r="Q47" s="10"/>
      <c r="R47" s="107"/>
      <c r="S47" s="14"/>
      <c r="T47" s="79" t="s">
        <v>29</v>
      </c>
      <c r="U47" s="142" t="e">
        <f>U46/S46</f>
        <v>#REF!</v>
      </c>
      <c r="V47" s="180" t="s">
        <v>52</v>
      </c>
      <c r="W47" s="11"/>
      <c r="X47" s="11"/>
      <c r="Y47" s="130"/>
      <c r="Z47" s="11"/>
      <c r="AA47" s="11"/>
      <c r="AB47" s="11"/>
      <c r="AC47" s="16"/>
      <c r="AD47" s="7"/>
      <c r="AE47" s="16"/>
      <c r="AF47" s="16"/>
      <c r="AG47" s="7"/>
      <c r="AH47" s="204"/>
      <c r="AI47" s="11"/>
      <c r="AJ47" s="86"/>
      <c r="AK47" s="11" t="s">
        <v>55</v>
      </c>
      <c r="AL47" s="139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61"/>
      <c r="N48" s="65"/>
      <c r="O48" s="10"/>
      <c r="P48" s="65">
        <f>O46/P46</f>
        <v>1127.0593564821017</v>
      </c>
      <c r="Q48" s="10"/>
      <c r="R48" s="107"/>
      <c r="S48" s="14"/>
      <c r="T48" s="205"/>
      <c r="U48" s="142"/>
      <c r="V48" s="180"/>
      <c r="W48" s="11"/>
      <c r="X48" s="203"/>
      <c r="Y48" s="130"/>
      <c r="Z48" s="203"/>
      <c r="AA48" s="269">
        <f>AA46/V46</f>
        <v>7246.2644802566838</v>
      </c>
      <c r="AB48" s="11"/>
      <c r="AC48" s="16"/>
      <c r="AD48" s="7"/>
      <c r="AE48" s="16"/>
      <c r="AF48" s="16"/>
      <c r="AG48" s="7"/>
      <c r="AH48" s="17">
        <f>AH46/AG46</f>
        <v>16386.802575107296</v>
      </c>
      <c r="AI48" s="269"/>
      <c r="AJ48" s="107"/>
      <c r="AK48" s="269">
        <f>AK46/AJ46</f>
        <v>12000</v>
      </c>
      <c r="AL48" s="139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61"/>
      <c r="N49" s="65"/>
      <c r="O49" s="10"/>
      <c r="P49" s="65"/>
      <c r="Q49" s="10"/>
      <c r="R49" s="107"/>
      <c r="S49" s="14"/>
      <c r="T49" s="79"/>
      <c r="U49" s="142"/>
      <c r="V49" s="180"/>
      <c r="W49" s="11"/>
      <c r="X49" s="11"/>
      <c r="Y49" s="130"/>
      <c r="Z49" s="203"/>
      <c r="AA49" s="11"/>
      <c r="AB49" s="11"/>
      <c r="AC49" s="16"/>
      <c r="AD49" s="7"/>
      <c r="AE49" s="16"/>
      <c r="AF49" s="16"/>
      <c r="AG49" s="225"/>
      <c r="AH49" s="204"/>
      <c r="AI49" s="11"/>
      <c r="AJ49" s="86"/>
      <c r="AK49" s="11"/>
      <c r="AL49" s="139"/>
      <c r="AM49" s="24"/>
    </row>
    <row r="50" spans="1:39" s="183" customFormat="1" x14ac:dyDescent="0.25">
      <c r="A50" s="181"/>
      <c r="B50" s="181"/>
      <c r="C50" s="182"/>
      <c r="E50" s="182"/>
      <c r="F50" s="182"/>
      <c r="H50" s="182"/>
      <c r="L50" s="182"/>
      <c r="M50" s="184"/>
      <c r="N50" s="185"/>
      <c r="P50" s="185"/>
      <c r="R50" s="186"/>
      <c r="T50" s="202"/>
      <c r="Y50" s="224"/>
      <c r="AD50" s="182"/>
      <c r="AH50" s="182"/>
      <c r="AJ50" s="186"/>
      <c r="AL50" s="187"/>
      <c r="AM50" s="181"/>
    </row>
    <row r="51" spans="1:39" s="183" customFormat="1" x14ac:dyDescent="0.25">
      <c r="A51" s="181"/>
      <c r="B51" s="181"/>
      <c r="C51" s="182"/>
      <c r="E51" s="182"/>
      <c r="F51" s="182"/>
      <c r="H51" s="182"/>
      <c r="L51" s="182"/>
      <c r="M51" s="184"/>
      <c r="N51" s="185"/>
      <c r="P51" s="185"/>
      <c r="R51" s="186"/>
      <c r="T51" s="202"/>
      <c r="AD51" s="182"/>
      <c r="AH51" s="182"/>
      <c r="AJ51" s="186"/>
      <c r="AL51" s="187"/>
      <c r="AM51" s="181"/>
    </row>
    <row r="52" spans="1:39" s="183" customFormat="1" x14ac:dyDescent="0.25">
      <c r="A52" s="181"/>
      <c r="B52" s="181"/>
      <c r="C52" s="182"/>
      <c r="E52" s="182"/>
      <c r="F52" s="182"/>
      <c r="H52" s="182"/>
      <c r="L52" s="182"/>
      <c r="M52" s="184"/>
      <c r="N52" s="185"/>
      <c r="P52" s="185"/>
      <c r="R52" s="186"/>
      <c r="X52" s="202"/>
      <c r="AD52" s="182"/>
      <c r="AH52" s="182"/>
      <c r="AJ52" s="186"/>
      <c r="AL52" s="187"/>
      <c r="AM52" s="181"/>
    </row>
    <row r="53" spans="1:39" s="183" customFormat="1" x14ac:dyDescent="0.25">
      <c r="A53" s="181"/>
      <c r="B53" s="181"/>
      <c r="C53" s="182"/>
      <c r="E53" s="182"/>
      <c r="F53" s="182"/>
      <c r="H53" s="182"/>
      <c r="L53" s="182"/>
      <c r="M53" s="184"/>
      <c r="N53" s="185"/>
      <c r="P53" s="185"/>
      <c r="R53" s="186"/>
      <c r="S53" s="202"/>
      <c r="AD53" s="182"/>
      <c r="AH53" s="182"/>
      <c r="AJ53" s="186"/>
      <c r="AL53" s="187"/>
      <c r="AM53" s="181"/>
    </row>
    <row r="54" spans="1:39" s="183" customFormat="1" x14ac:dyDescent="0.25">
      <c r="A54" s="181"/>
      <c r="B54" s="181"/>
      <c r="C54" s="182"/>
      <c r="E54" s="182"/>
      <c r="F54" s="182"/>
      <c r="H54" s="182"/>
      <c r="L54" s="182"/>
      <c r="M54" s="184"/>
      <c r="N54" s="185"/>
      <c r="P54" s="185"/>
      <c r="R54" s="186"/>
      <c r="T54" s="202"/>
      <c r="AD54" s="182"/>
      <c r="AH54" s="182"/>
      <c r="AJ54" s="186"/>
      <c r="AL54" s="187"/>
      <c r="AM54" s="181"/>
    </row>
    <row r="55" spans="1:39" s="183" customFormat="1" x14ac:dyDescent="0.25">
      <c r="A55" s="181"/>
      <c r="B55" s="181"/>
      <c r="C55" s="182"/>
      <c r="E55" s="182"/>
      <c r="F55" s="182"/>
      <c r="H55" s="182"/>
      <c r="L55" s="182"/>
      <c r="M55" s="184"/>
      <c r="N55" s="185"/>
      <c r="P55" s="185"/>
      <c r="R55" s="186"/>
      <c r="AD55" s="182"/>
      <c r="AH55" s="182"/>
      <c r="AJ55" s="186"/>
      <c r="AL55" s="187"/>
      <c r="AM55" s="181"/>
    </row>
    <row r="56" spans="1:39" s="183" customFormat="1" x14ac:dyDescent="0.25">
      <c r="A56" s="181"/>
      <c r="B56" s="181"/>
      <c r="C56" s="182"/>
      <c r="E56" s="182"/>
      <c r="F56" s="182"/>
      <c r="H56" s="182"/>
      <c r="L56" s="182"/>
      <c r="M56" s="184"/>
      <c r="N56" s="185"/>
      <c r="P56" s="185"/>
      <c r="R56" s="186"/>
      <c r="AD56" s="182"/>
      <c r="AH56" s="182"/>
      <c r="AJ56" s="186"/>
      <c r="AL56" s="187"/>
      <c r="AM56" s="181"/>
    </row>
    <row r="57" spans="1:39" s="183" customFormat="1" x14ac:dyDescent="0.25">
      <c r="A57" s="181"/>
      <c r="B57" s="181"/>
      <c r="C57" s="182"/>
      <c r="E57" s="182"/>
      <c r="F57" s="182"/>
      <c r="H57" s="182"/>
      <c r="L57" s="182"/>
      <c r="M57" s="184"/>
      <c r="N57" s="185"/>
      <c r="P57" s="185"/>
      <c r="R57" s="186"/>
      <c r="AD57" s="182"/>
      <c r="AH57" s="182"/>
      <c r="AJ57" s="186"/>
      <c r="AL57" s="187"/>
      <c r="AM57" s="181"/>
    </row>
    <row r="58" spans="1:39" s="183" customFormat="1" x14ac:dyDescent="0.25">
      <c r="A58" s="181"/>
      <c r="B58" s="181"/>
      <c r="C58" s="182"/>
      <c r="E58" s="182"/>
      <c r="F58" s="182"/>
      <c r="H58" s="182"/>
      <c r="L58" s="182"/>
      <c r="M58" s="184"/>
      <c r="N58" s="185"/>
      <c r="P58" s="185"/>
      <c r="R58" s="186"/>
      <c r="AD58" s="182"/>
      <c r="AH58" s="182"/>
      <c r="AJ58" s="186"/>
      <c r="AL58" s="187"/>
      <c r="AM58" s="181"/>
    </row>
    <row r="59" spans="1:39" s="183" customFormat="1" x14ac:dyDescent="0.25">
      <c r="A59" s="181"/>
      <c r="B59" s="181"/>
      <c r="C59" s="182"/>
      <c r="E59" s="182"/>
      <c r="F59" s="182"/>
      <c r="H59" s="182"/>
      <c r="L59" s="182"/>
      <c r="M59" s="184"/>
      <c r="N59" s="185"/>
      <c r="P59" s="185"/>
      <c r="R59" s="186"/>
      <c r="AD59" s="182"/>
      <c r="AH59" s="182"/>
      <c r="AJ59" s="186"/>
      <c r="AL59" s="187"/>
      <c r="AM59" s="181"/>
    </row>
    <row r="60" spans="1:39" s="183" customFormat="1" x14ac:dyDescent="0.25">
      <c r="A60" s="181"/>
      <c r="B60" s="181"/>
      <c r="C60" s="182"/>
      <c r="E60" s="182"/>
      <c r="F60" s="182"/>
      <c r="H60" s="182"/>
      <c r="L60" s="182"/>
      <c r="M60" s="184"/>
      <c r="N60" s="185"/>
      <c r="P60" s="185"/>
      <c r="R60" s="186"/>
      <c r="AD60" s="182"/>
      <c r="AH60" s="182"/>
      <c r="AJ60" s="186"/>
      <c r="AL60" s="187"/>
      <c r="AM60" s="181"/>
    </row>
    <row r="61" spans="1:39" s="183" customFormat="1" x14ac:dyDescent="0.25">
      <c r="A61" s="181"/>
      <c r="B61" s="181"/>
      <c r="C61" s="182"/>
      <c r="E61" s="182"/>
      <c r="F61" s="182"/>
      <c r="H61" s="182"/>
      <c r="L61" s="182"/>
      <c r="M61" s="184"/>
      <c r="N61" s="185"/>
      <c r="P61" s="185"/>
      <c r="R61" s="186"/>
      <c r="AD61" s="182"/>
      <c r="AH61" s="182"/>
      <c r="AJ61" s="186"/>
      <c r="AL61" s="187"/>
      <c r="AM61" s="181"/>
    </row>
    <row r="62" spans="1:39" s="183" customFormat="1" x14ac:dyDescent="0.25">
      <c r="A62" s="181"/>
      <c r="B62" s="181"/>
      <c r="C62" s="182"/>
      <c r="E62" s="182"/>
      <c r="F62" s="182"/>
      <c r="H62" s="182"/>
      <c r="I62" s="182"/>
      <c r="J62" s="182"/>
      <c r="L62" s="182"/>
      <c r="M62" s="184"/>
      <c r="N62" s="185"/>
      <c r="P62" s="185"/>
      <c r="R62" s="186"/>
      <c r="AD62" s="182"/>
      <c r="AH62" s="182"/>
      <c r="AJ62" s="186"/>
      <c r="AL62" s="187"/>
      <c r="AM62" s="181"/>
    </row>
    <row r="63" spans="1:39" s="183" customFormat="1" x14ac:dyDescent="0.25">
      <c r="A63" s="181"/>
      <c r="B63" s="181"/>
      <c r="C63" s="182"/>
      <c r="E63" s="182"/>
      <c r="F63" s="182"/>
      <c r="H63" s="182"/>
      <c r="L63" s="182"/>
      <c r="M63" s="184"/>
      <c r="N63" s="185"/>
      <c r="P63" s="185"/>
      <c r="R63" s="186"/>
      <c r="AD63" s="182"/>
      <c r="AH63" s="182"/>
      <c r="AJ63" s="186"/>
      <c r="AL63" s="187"/>
      <c r="AM63" s="181"/>
    </row>
    <row r="64" spans="1:39" s="183" customFormat="1" x14ac:dyDescent="0.25">
      <c r="A64" s="181"/>
      <c r="B64" s="181"/>
      <c r="C64" s="182"/>
      <c r="E64" s="182"/>
      <c r="F64" s="182"/>
      <c r="H64" s="182"/>
      <c r="L64" s="182"/>
      <c r="M64" s="184"/>
      <c r="N64" s="185"/>
      <c r="P64" s="185"/>
      <c r="R64" s="186"/>
      <c r="AD64" s="182"/>
      <c r="AH64" s="182"/>
      <c r="AJ64" s="186"/>
      <c r="AL64" s="187"/>
      <c r="AM64" s="181"/>
    </row>
    <row r="65" spans="1:39" s="183" customFormat="1" x14ac:dyDescent="0.25">
      <c r="A65" s="181"/>
      <c r="B65" s="181"/>
      <c r="C65" s="182"/>
      <c r="E65" s="182"/>
      <c r="F65" s="182"/>
      <c r="H65" s="182"/>
      <c r="L65" s="182"/>
      <c r="M65" s="184"/>
      <c r="N65" s="185"/>
      <c r="P65" s="185"/>
      <c r="R65" s="186"/>
      <c r="AD65" s="182"/>
      <c r="AH65" s="182"/>
      <c r="AJ65" s="186"/>
      <c r="AL65" s="187"/>
      <c r="AM65" s="181"/>
    </row>
    <row r="66" spans="1:39" s="183" customFormat="1" x14ac:dyDescent="0.25">
      <c r="A66" s="181"/>
      <c r="B66" s="181"/>
      <c r="C66" s="182"/>
      <c r="E66" s="182"/>
      <c r="F66" s="182"/>
      <c r="H66" s="182"/>
      <c r="L66" s="182"/>
      <c r="M66" s="184"/>
      <c r="N66" s="185"/>
      <c r="P66" s="185"/>
      <c r="R66" s="186"/>
      <c r="AD66" s="182"/>
      <c r="AH66" s="182"/>
      <c r="AJ66" s="186"/>
      <c r="AL66" s="187"/>
      <c r="AM66" s="181"/>
    </row>
    <row r="67" spans="1:39" s="183" customFormat="1" x14ac:dyDescent="0.25">
      <c r="A67" s="181"/>
      <c r="B67" s="181"/>
      <c r="C67" s="182"/>
      <c r="E67" s="182"/>
      <c r="F67" s="182"/>
      <c r="H67" s="182"/>
      <c r="L67" s="182"/>
      <c r="M67" s="184"/>
      <c r="N67" s="185"/>
      <c r="P67" s="185"/>
      <c r="R67" s="186"/>
      <c r="AD67" s="182"/>
      <c r="AH67" s="182"/>
      <c r="AJ67" s="186"/>
      <c r="AL67" s="187"/>
      <c r="AM67" s="181"/>
    </row>
    <row r="68" spans="1:39" s="183" customFormat="1" x14ac:dyDescent="0.25">
      <c r="A68" s="181"/>
      <c r="B68" s="181"/>
      <c r="C68" s="182"/>
      <c r="E68" s="182"/>
      <c r="F68" s="182"/>
      <c r="H68" s="182"/>
      <c r="L68" s="182"/>
      <c r="M68" s="184"/>
      <c r="N68" s="185"/>
      <c r="P68" s="185"/>
      <c r="R68" s="186"/>
      <c r="AD68" s="182"/>
      <c r="AH68" s="182"/>
      <c r="AJ68" s="186"/>
      <c r="AL68" s="187"/>
      <c r="AM68" s="181"/>
    </row>
    <row r="69" spans="1:39" s="183" customFormat="1" x14ac:dyDescent="0.25">
      <c r="A69" s="181"/>
      <c r="B69" s="181"/>
      <c r="C69" s="182"/>
      <c r="E69" s="182"/>
      <c r="F69" s="182"/>
      <c r="H69" s="182"/>
      <c r="L69" s="182"/>
      <c r="M69" s="184"/>
      <c r="N69" s="185"/>
      <c r="P69" s="185"/>
      <c r="R69" s="186"/>
      <c r="AD69" s="182"/>
      <c r="AH69" s="182"/>
      <c r="AJ69" s="186"/>
      <c r="AL69" s="187"/>
      <c r="AM69" s="181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1" sqref="G21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5" t="s">
        <v>28</v>
      </c>
    </row>
    <row r="2" spans="1:3" ht="18.75" x14ac:dyDescent="0.3">
      <c r="A2" s="265">
        <v>44501</v>
      </c>
      <c r="B2" s="266"/>
      <c r="C2" s="266"/>
    </row>
    <row r="3" spans="1:3" x14ac:dyDescent="0.25">
      <c r="A3" s="268" t="s">
        <v>1</v>
      </c>
      <c r="B3" s="267" t="s">
        <v>2</v>
      </c>
      <c r="C3" s="267" t="s">
        <v>3</v>
      </c>
    </row>
    <row r="4" spans="1:3" x14ac:dyDescent="0.25">
      <c r="A4" s="268"/>
      <c r="B4" s="267"/>
      <c r="C4" s="267"/>
    </row>
    <row r="5" spans="1:3" x14ac:dyDescent="0.25">
      <c r="A5" s="268"/>
      <c r="B5" s="267"/>
      <c r="C5" s="267"/>
    </row>
    <row r="6" spans="1:3" x14ac:dyDescent="0.25">
      <c r="A6" s="2">
        <v>1</v>
      </c>
      <c r="B6" s="2">
        <v>6</v>
      </c>
      <c r="C6" s="2">
        <v>79</v>
      </c>
    </row>
    <row r="7" spans="1:3" x14ac:dyDescent="0.25">
      <c r="A7" s="2">
        <v>2</v>
      </c>
      <c r="B7" s="2">
        <v>3</v>
      </c>
      <c r="C7" s="2">
        <v>37</v>
      </c>
    </row>
    <row r="8" spans="1:3" x14ac:dyDescent="0.25">
      <c r="A8" s="2">
        <f>A7+1</f>
        <v>3</v>
      </c>
      <c r="B8" s="2">
        <v>0</v>
      </c>
      <c r="C8" s="2">
        <v>45</v>
      </c>
    </row>
    <row r="9" spans="1:3" x14ac:dyDescent="0.25">
      <c r="A9" s="2">
        <f>A8+1</f>
        <v>4</v>
      </c>
      <c r="B9" s="2">
        <v>8</v>
      </c>
      <c r="C9" s="2">
        <v>41</v>
      </c>
    </row>
    <row r="10" spans="1:3" x14ac:dyDescent="0.25">
      <c r="A10" s="2">
        <f t="shared" ref="A10:A36" si="0">A9+1</f>
        <v>5</v>
      </c>
      <c r="B10" s="2">
        <v>9</v>
      </c>
      <c r="C10" s="2">
        <v>79</v>
      </c>
    </row>
    <row r="11" spans="1:3" x14ac:dyDescent="0.25">
      <c r="A11" s="2">
        <f t="shared" si="0"/>
        <v>6</v>
      </c>
      <c r="B11" s="2">
        <v>7</v>
      </c>
      <c r="C11" s="2">
        <v>89</v>
      </c>
    </row>
    <row r="12" spans="1:3" x14ac:dyDescent="0.25">
      <c r="A12" s="2">
        <f t="shared" si="0"/>
        <v>7</v>
      </c>
      <c r="B12" s="2">
        <v>3</v>
      </c>
      <c r="C12" s="2">
        <v>115</v>
      </c>
    </row>
    <row r="13" spans="1:3" x14ac:dyDescent="0.25">
      <c r="A13" s="2">
        <f t="shared" si="0"/>
        <v>8</v>
      </c>
      <c r="B13" s="2">
        <v>10</v>
      </c>
      <c r="C13" s="2">
        <v>68</v>
      </c>
    </row>
    <row r="14" spans="1:3" x14ac:dyDescent="0.25">
      <c r="A14" s="2">
        <f t="shared" si="0"/>
        <v>9</v>
      </c>
      <c r="B14" s="2">
        <v>11</v>
      </c>
      <c r="C14" s="2">
        <v>98</v>
      </c>
    </row>
    <row r="15" spans="1:3" x14ac:dyDescent="0.25">
      <c r="A15" s="2">
        <f t="shared" si="0"/>
        <v>10</v>
      </c>
      <c r="B15" s="2">
        <v>3</v>
      </c>
      <c r="C15" s="2">
        <v>81</v>
      </c>
    </row>
    <row r="16" spans="1:3" x14ac:dyDescent="0.25">
      <c r="A16" s="2">
        <f t="shared" si="0"/>
        <v>11</v>
      </c>
      <c r="B16" s="2">
        <v>7</v>
      </c>
      <c r="C16" s="2">
        <v>68</v>
      </c>
    </row>
    <row r="17" spans="1:3" x14ac:dyDescent="0.25">
      <c r="A17" s="2">
        <f t="shared" si="0"/>
        <v>12</v>
      </c>
      <c r="B17" s="2">
        <v>7</v>
      </c>
      <c r="C17" s="2">
        <v>100</v>
      </c>
    </row>
    <row r="18" spans="1:3" x14ac:dyDescent="0.25">
      <c r="A18" s="2">
        <f t="shared" si="0"/>
        <v>13</v>
      </c>
      <c r="B18" s="2">
        <v>7</v>
      </c>
      <c r="C18" s="2">
        <v>92</v>
      </c>
    </row>
    <row r="19" spans="1:3" x14ac:dyDescent="0.25">
      <c r="A19" s="2">
        <f t="shared" si="0"/>
        <v>14</v>
      </c>
      <c r="B19" s="2">
        <v>5</v>
      </c>
      <c r="C19" s="2">
        <v>106</v>
      </c>
    </row>
    <row r="20" spans="1:3" x14ac:dyDescent="0.25">
      <c r="A20" s="2">
        <f t="shared" si="0"/>
        <v>15</v>
      </c>
      <c r="B20" s="2">
        <v>8</v>
      </c>
      <c r="C20" s="2">
        <v>45</v>
      </c>
    </row>
    <row r="21" spans="1:3" x14ac:dyDescent="0.25">
      <c r="A21" s="2">
        <f t="shared" si="0"/>
        <v>16</v>
      </c>
      <c r="B21" s="2">
        <v>7</v>
      </c>
      <c r="C21" s="2">
        <v>59</v>
      </c>
    </row>
    <row r="22" spans="1:3" x14ac:dyDescent="0.25">
      <c r="A22" s="2">
        <f t="shared" si="0"/>
        <v>17</v>
      </c>
      <c r="B22" s="2">
        <v>16</v>
      </c>
      <c r="C22" s="2">
        <v>103</v>
      </c>
    </row>
    <row r="23" spans="1:3" x14ac:dyDescent="0.25">
      <c r="A23" s="2">
        <f t="shared" si="0"/>
        <v>18</v>
      </c>
      <c r="B23" s="2">
        <v>17</v>
      </c>
      <c r="C23" s="2">
        <v>91</v>
      </c>
    </row>
    <row r="24" spans="1:3" x14ac:dyDescent="0.25">
      <c r="A24" s="2">
        <f t="shared" si="0"/>
        <v>19</v>
      </c>
      <c r="B24" s="2">
        <v>13</v>
      </c>
      <c r="C24" s="2">
        <v>117</v>
      </c>
    </row>
    <row r="25" spans="1:3" x14ac:dyDescent="0.25">
      <c r="A25" s="2">
        <f t="shared" si="0"/>
        <v>20</v>
      </c>
      <c r="B25" s="2">
        <v>20</v>
      </c>
      <c r="C25" s="2">
        <v>142</v>
      </c>
    </row>
    <row r="26" spans="1:3" x14ac:dyDescent="0.25">
      <c r="A26" s="2">
        <f t="shared" si="0"/>
        <v>21</v>
      </c>
      <c r="B26" s="2">
        <v>11</v>
      </c>
      <c r="C26" s="2">
        <v>177</v>
      </c>
    </row>
    <row r="27" spans="1:3" x14ac:dyDescent="0.25">
      <c r="A27" s="2">
        <f t="shared" si="0"/>
        <v>22</v>
      </c>
      <c r="B27" s="2">
        <v>5</v>
      </c>
      <c r="C27" s="2">
        <v>79</v>
      </c>
    </row>
    <row r="28" spans="1:3" x14ac:dyDescent="0.25">
      <c r="A28" s="2">
        <f t="shared" si="0"/>
        <v>23</v>
      </c>
      <c r="B28" s="2">
        <v>33</v>
      </c>
      <c r="C28" s="2">
        <v>50</v>
      </c>
    </row>
    <row r="29" spans="1:3" x14ac:dyDescent="0.25">
      <c r="A29" s="2">
        <f t="shared" si="0"/>
        <v>24</v>
      </c>
      <c r="B29" s="2">
        <v>32</v>
      </c>
      <c r="C29" s="2">
        <v>114</v>
      </c>
    </row>
    <row r="30" spans="1:3" x14ac:dyDescent="0.25">
      <c r="A30" s="2">
        <f t="shared" si="0"/>
        <v>25</v>
      </c>
      <c r="B30" s="2">
        <v>39</v>
      </c>
      <c r="C30" s="2">
        <v>216</v>
      </c>
    </row>
    <row r="31" spans="1:3" x14ac:dyDescent="0.25">
      <c r="A31" s="2">
        <f t="shared" si="0"/>
        <v>26</v>
      </c>
      <c r="B31" s="2">
        <v>12</v>
      </c>
      <c r="C31" s="2">
        <v>157</v>
      </c>
    </row>
    <row r="32" spans="1:3" x14ac:dyDescent="0.25">
      <c r="A32" s="2">
        <f t="shared" si="0"/>
        <v>27</v>
      </c>
      <c r="B32" s="2">
        <v>16</v>
      </c>
      <c r="C32" s="2">
        <v>106</v>
      </c>
    </row>
    <row r="33" spans="1:3" x14ac:dyDescent="0.25">
      <c r="A33" s="2">
        <f t="shared" si="0"/>
        <v>28</v>
      </c>
      <c r="B33" s="2">
        <v>14</v>
      </c>
      <c r="C33" s="2">
        <v>173</v>
      </c>
    </row>
    <row r="34" spans="1:3" x14ac:dyDescent="0.25">
      <c r="A34" s="2">
        <f t="shared" si="0"/>
        <v>29</v>
      </c>
      <c r="B34" s="2">
        <v>9</v>
      </c>
      <c r="C34" s="2">
        <v>111</v>
      </c>
    </row>
    <row r="35" spans="1:3" x14ac:dyDescent="0.25">
      <c r="A35" s="2">
        <f t="shared" si="0"/>
        <v>30</v>
      </c>
      <c r="B35" s="2">
        <v>7</v>
      </c>
      <c r="C35" s="2">
        <v>56</v>
      </c>
    </row>
    <row r="36" spans="1:3" x14ac:dyDescent="0.25">
      <c r="A36" s="2">
        <f t="shared" si="0"/>
        <v>31</v>
      </c>
      <c r="B36" s="2"/>
      <c r="C36" s="2"/>
    </row>
    <row r="37" spans="1:3" x14ac:dyDescent="0.25">
      <c r="B37" s="6">
        <f>SUM(B6:B36)</f>
        <v>345</v>
      </c>
      <c r="C37" s="6">
        <f>SUM(C6:C36)</f>
        <v>2894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79816A-4DFB-434F-A782-457FA67D64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November 2021</vt:lpstr>
      <vt:lpstr>RNs &amp; Covers November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2022-04-15T05:02:54Z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