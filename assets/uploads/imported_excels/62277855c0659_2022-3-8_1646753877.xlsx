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" i="3"/>
  <c r="D2" i="1" l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<sst xmlns="http://schemas.openxmlformats.org/spreadsheetml/2006/main" count="103" uniqueCount="34">
  <si>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</si>
  <si>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</si>
  <si>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</si>
  <si>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</si>
  <si>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</si>
  <si>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</si>
  <si>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</si>
  <si>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</si>
  <si>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</si>
  <si>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</si>
  <si>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</si>
  <si>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</si>
  <si>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</si>
  <si>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</si>
  <si>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</si>
  <si>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</si>
  <si>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</si>
  <si>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</si>
  <si>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</si>
  <si>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</si>
  <si>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</si>
  <si>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</si>
  <si>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</si>
  <si>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</si>
  <si>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</si>
  <si>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</si>
  <si>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</si>
  <si>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</si>
  <si>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</si>
  <si>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</si>
  <si>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</si>
  <si>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</si>
  <si>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</si>
  <si>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remplissage piscine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</si>
</sst>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opLeftCell="B4" workbookViewId="0">
      <selection activeCell="B30" sqref="A30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2</v>
      </c>
      <c r="D2" s="9">
        <f>Submetering!D2</f>
        <v>2022</v>
      </c>
      <c r="E2" s="20">
        <f>Submetering!E2</f>
        <v>6677.63</v>
      </c>
      <c r="F2" s="16">
        <v>0.12</v>
      </c>
      <c r="G2" s="20">
        <f>Submetering!F2+Submetering!G2</f>
        <v>591.86</v>
      </c>
      <c r="H2" s="16">
        <v>0.71</v>
      </c>
      <c r="I2" s="20">
        <f>Submetering!J2+Submetering!I2+Submetering!H2</f>
        <v>68.290000000000006</v>
      </c>
      <c r="J2" s="16">
        <v>2.3196172978505634</v>
      </c>
      <c r="K2" s="20">
        <f>Submetering!K2</f>
        <v>70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2</v>
      </c>
      <c r="D3" s="9">
        <f>Submetering!D3</f>
        <v>2022</v>
      </c>
      <c r="E3" s="20">
        <f>Submetering!E3</f>
        <v>6775.35</v>
      </c>
      <c r="F3" s="16">
        <v>0.12</v>
      </c>
      <c r="G3" s="20">
        <f>Submetering!F3+Submetering!G3</f>
        <v>518.82000000000005</v>
      </c>
      <c r="H3" s="16">
        <v>0.71</v>
      </c>
      <c r="I3" s="20">
        <f>Submetering!J3+Submetering!I3+Submetering!H3</f>
        <v>64.94</v>
      </c>
      <c r="J3" s="16">
        <v>2.3196172978505634</v>
      </c>
      <c r="K3" s="20">
        <f>Submetering!K3</f>
        <v>55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f t="shared" ref="C4:C29" si="1">C3</f>
        <v>2</v>
      </c>
      <c r="D4" s="9">
        <f>Submetering!D4</f>
        <v>2022</v>
      </c>
      <c r="E4" s="20">
        <f>Submetering!E4</f>
        <v>7011.9</v>
      </c>
      <c r="F4" s="16">
        <v>0.12</v>
      </c>
      <c r="G4" s="20">
        <f>Submetering!F4+Submetering!G4</f>
        <v>562.35</v>
      </c>
      <c r="H4" s="16">
        <v>0.71</v>
      </c>
      <c r="I4" s="20">
        <f>Submetering!J4+Submetering!I4+Submetering!H4</f>
        <v>67.77</v>
      </c>
      <c r="J4" s="16">
        <v>2.3196172978505634</v>
      </c>
      <c r="K4" s="20">
        <f>Submetering!K4</f>
        <v>59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2</v>
      </c>
      <c r="D5" s="9">
        <f>Submetering!D5</f>
        <v>2022</v>
      </c>
      <c r="E5" s="20">
        <f>Submetering!E5</f>
        <v>6885.45</v>
      </c>
      <c r="F5" s="16">
        <v>0.12</v>
      </c>
      <c r="G5" s="20">
        <f>Submetering!F5+Submetering!G5</f>
        <v>523.75</v>
      </c>
      <c r="H5" s="16">
        <v>0.71</v>
      </c>
      <c r="I5" s="20">
        <f>Submetering!J5+Submetering!I5+Submetering!H5</f>
        <v>72.17</v>
      </c>
      <c r="J5" s="16">
        <v>2.3196172978505634</v>
      </c>
      <c r="K5" s="20">
        <f>Submetering!K5</f>
        <v>64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2</v>
      </c>
      <c r="D6" s="9">
        <f>Submetering!D6</f>
        <v>2022</v>
      </c>
      <c r="E6" s="20">
        <f>Submetering!E6</f>
        <v>6910.46</v>
      </c>
      <c r="F6" s="16">
        <v>0.12</v>
      </c>
      <c r="G6" s="20">
        <f>Submetering!F6+Submetering!G6</f>
        <v>494.93</v>
      </c>
      <c r="H6" s="16">
        <v>0.71</v>
      </c>
      <c r="I6" s="20">
        <f>Submetering!J6+Submetering!I6+Submetering!H6</f>
        <v>77.33</v>
      </c>
      <c r="J6" s="16">
        <v>2.3196172978505634</v>
      </c>
      <c r="K6" s="20">
        <f>Submetering!K6</f>
        <v>64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2</v>
      </c>
      <c r="D7" s="9">
        <f>Submetering!D7</f>
        <v>2022</v>
      </c>
      <c r="E7" s="20">
        <f>Submetering!E7</f>
        <v>6687.86</v>
      </c>
      <c r="F7" s="16">
        <v>0.12</v>
      </c>
      <c r="G7" s="20">
        <f>Submetering!F7+Submetering!G7</f>
        <v>602.27</v>
      </c>
      <c r="H7" s="16">
        <v>0.71</v>
      </c>
      <c r="I7" s="20">
        <f>Submetering!J7+Submetering!I7+Submetering!H7</f>
        <v>68.61</v>
      </c>
      <c r="J7" s="16">
        <v>2.3196172978505634</v>
      </c>
      <c r="K7" s="20">
        <f>Submetering!K7</f>
        <v>70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2</v>
      </c>
      <c r="D8" s="9">
        <f>Submetering!D8</f>
        <v>2022</v>
      </c>
      <c r="E8" s="20">
        <f>Submetering!E8</f>
        <v>7107.11</v>
      </c>
      <c r="F8" s="16">
        <v>0.12</v>
      </c>
      <c r="G8" s="20">
        <f>Submetering!F8+Submetering!G8</f>
        <v>506</v>
      </c>
      <c r="H8" s="16">
        <v>0.71</v>
      </c>
      <c r="I8" s="20">
        <f>Submetering!J8+Submetering!I8+Submetering!H8</f>
        <v>88.24</v>
      </c>
      <c r="J8" s="16">
        <v>2.3196172978505634</v>
      </c>
      <c r="K8" s="20">
        <f>Submetering!K8</f>
        <v>67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2</v>
      </c>
      <c r="D9" s="9">
        <f>Submetering!D9</f>
        <v>2022</v>
      </c>
      <c r="E9" s="20">
        <f>Submetering!E9</f>
        <v>6930.75</v>
      </c>
      <c r="F9" s="16">
        <v>0.12</v>
      </c>
      <c r="G9" s="20">
        <f>Submetering!F9+Submetering!G9</f>
        <v>637.82999999999993</v>
      </c>
      <c r="H9" s="16">
        <v>0.71</v>
      </c>
      <c r="I9" s="20">
        <f>Submetering!J9+Submetering!I9+Submetering!H9</f>
        <v>84.25</v>
      </c>
      <c r="J9" s="16">
        <v>2.3196172978505634</v>
      </c>
      <c r="K9" s="20">
        <f>Submetering!K9</f>
        <v>58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2</v>
      </c>
      <c r="D10" s="9">
        <f>Submetering!D10</f>
        <v>2022</v>
      </c>
      <c r="E10" s="20">
        <f>Submetering!E10</f>
        <v>6982.73</v>
      </c>
      <c r="F10" s="16">
        <v>0.12</v>
      </c>
      <c r="G10" s="20">
        <f>Submetering!F10+Submetering!G10</f>
        <v>570.29000000000008</v>
      </c>
      <c r="H10" s="16">
        <v>0.71</v>
      </c>
      <c r="I10" s="20">
        <f>Submetering!J10+Submetering!I10+Submetering!H10</f>
        <v>80.05</v>
      </c>
      <c r="J10" s="16">
        <v>2.3196172978505634</v>
      </c>
      <c r="K10" s="20">
        <f>Submetering!K10</f>
        <v>58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2</v>
      </c>
      <c r="D11" s="9">
        <f>Submetering!D11</f>
        <v>2022</v>
      </c>
      <c r="E11" s="20">
        <f>Submetering!E11</f>
        <v>6888.71</v>
      </c>
      <c r="F11" s="16">
        <v>0.12</v>
      </c>
      <c r="G11" s="20">
        <f>Submetering!F11+Submetering!G11</f>
        <v>425.12</v>
      </c>
      <c r="H11" s="16">
        <v>0.71</v>
      </c>
      <c r="I11" s="20">
        <f>Submetering!J11+Submetering!I11+Submetering!H11</f>
        <v>75.430000000000007</v>
      </c>
      <c r="J11" s="16">
        <v>2.3196172978505634</v>
      </c>
      <c r="K11" s="20">
        <f>Submetering!K11</f>
        <v>57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2</v>
      </c>
      <c r="D12" s="9">
        <f>Submetering!D12</f>
        <v>2022</v>
      </c>
      <c r="E12" s="20">
        <f>Submetering!E12</f>
        <v>7082.93</v>
      </c>
      <c r="F12" s="16">
        <v>0.12</v>
      </c>
      <c r="G12" s="20">
        <f>Submetering!F12+Submetering!G12</f>
        <v>404.34</v>
      </c>
      <c r="H12" s="16">
        <v>0.71</v>
      </c>
      <c r="I12" s="20">
        <f>Submetering!J12+Submetering!I12+Submetering!H12</f>
        <v>73.97</v>
      </c>
      <c r="J12" s="16">
        <v>2.3196172978505634</v>
      </c>
      <c r="K12" s="20">
        <f>Submetering!K12</f>
        <v>74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2</v>
      </c>
      <c r="D13" s="9">
        <f>Submetering!D13</f>
        <v>2022</v>
      </c>
      <c r="E13" s="20">
        <f>Submetering!E13</f>
        <v>7089.71</v>
      </c>
      <c r="F13" s="16">
        <v>0.12</v>
      </c>
      <c r="G13" s="20">
        <f>Submetering!F13+Submetering!G13</f>
        <v>542.37</v>
      </c>
      <c r="H13" s="16">
        <v>0.71</v>
      </c>
      <c r="I13" s="20">
        <f>Submetering!J13+Submetering!I13+Submetering!H13</f>
        <v>45.93</v>
      </c>
      <c r="J13" s="16">
        <v>2.3196172978505634</v>
      </c>
      <c r="K13" s="20">
        <f>Submetering!K13</f>
        <v>89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2</v>
      </c>
      <c r="D14" s="9">
        <f>Submetering!D14</f>
        <v>2022</v>
      </c>
      <c r="E14" s="20">
        <f>Submetering!E14</f>
        <v>7591.35</v>
      </c>
      <c r="F14" s="16">
        <v>0.12</v>
      </c>
      <c r="G14" s="20">
        <f>Submetering!F14+Submetering!G14</f>
        <v>499.92</v>
      </c>
      <c r="H14" s="16">
        <v>0.71</v>
      </c>
      <c r="I14" s="20">
        <f>Submetering!J14+Submetering!I14+Submetering!H14</f>
        <v>86.06</v>
      </c>
      <c r="J14" s="16">
        <v>2.3196172978505634</v>
      </c>
      <c r="K14" s="20">
        <f>Submetering!K14</f>
        <v>81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2</v>
      </c>
      <c r="D15" s="9">
        <f>Submetering!D15</f>
        <v>2022</v>
      </c>
      <c r="E15" s="20">
        <f>Submetering!E15</f>
        <v>7127.25</v>
      </c>
      <c r="F15" s="16">
        <v>0.12</v>
      </c>
      <c r="G15" s="20">
        <f>Submetering!F15+Submetering!G15</f>
        <v>541.55000000000007</v>
      </c>
      <c r="H15" s="16">
        <v>0.71</v>
      </c>
      <c r="I15" s="20">
        <f>Submetering!J15+Submetering!I15+Submetering!H15</f>
        <v>85.68</v>
      </c>
      <c r="J15" s="16">
        <v>2.3196172978505634</v>
      </c>
      <c r="K15" s="20">
        <f>Submetering!K15</f>
        <v>76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2</v>
      </c>
      <c r="D16" s="9">
        <f>Submetering!D16</f>
        <v>2022</v>
      </c>
      <c r="E16" s="20">
        <f>Submetering!E16</f>
        <v>6667.91</v>
      </c>
      <c r="F16" s="16">
        <v>0.12</v>
      </c>
      <c r="G16" s="20">
        <f>Submetering!F16+Submetering!G16</f>
        <v>471.6</v>
      </c>
      <c r="H16" s="16">
        <v>0.71</v>
      </c>
      <c r="I16" s="20">
        <f>Submetering!J16+Submetering!I16+Submetering!H16</f>
        <v>67.14</v>
      </c>
      <c r="J16" s="16">
        <v>2.3196172978505634</v>
      </c>
      <c r="K16" s="20">
        <f>Submetering!K16</f>
        <v>76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2</v>
      </c>
      <c r="D17" s="9">
        <f>Submetering!D17</f>
        <v>2022</v>
      </c>
      <c r="E17" s="20">
        <f>Submetering!E17</f>
        <v>6701.33</v>
      </c>
      <c r="F17" s="16">
        <v>0.12</v>
      </c>
      <c r="G17" s="20">
        <f>Submetering!F17+Submetering!G17</f>
        <v>489.34</v>
      </c>
      <c r="H17" s="16">
        <v>0.71</v>
      </c>
      <c r="I17" s="20">
        <f>Submetering!J17+Submetering!I17+Submetering!H17</f>
        <v>68.64</v>
      </c>
      <c r="J17" s="16">
        <v>2.3196172978505634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2</v>
      </c>
      <c r="D18" s="9">
        <f>Submetering!D18</f>
        <v>2022</v>
      </c>
      <c r="E18" s="20">
        <f>Submetering!E18</f>
        <v>6718.46</v>
      </c>
      <c r="F18" s="16">
        <v>0.12</v>
      </c>
      <c r="G18" s="20">
        <f>Submetering!F18+Submetering!G18</f>
        <v>364.65999999999997</v>
      </c>
      <c r="H18" s="16">
        <v>0.71</v>
      </c>
      <c r="I18" s="20">
        <f>Submetering!J18+Submetering!I18+Submetering!H18</f>
        <v>77.34</v>
      </c>
      <c r="J18" s="16">
        <v>2.3196172978505634</v>
      </c>
      <c r="K18" s="20">
        <f>Submetering!K18</f>
        <v>105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2</v>
      </c>
      <c r="D19" s="9">
        <f>Submetering!D19</f>
        <v>2022</v>
      </c>
      <c r="E19" s="20">
        <f>Submetering!E19</f>
        <v>6956.93</v>
      </c>
      <c r="F19" s="16">
        <v>0.12</v>
      </c>
      <c r="G19" s="20">
        <f>Submetering!F19+Submetering!G19</f>
        <v>530.70000000000005</v>
      </c>
      <c r="H19" s="16">
        <v>0.71</v>
      </c>
      <c r="I19" s="20">
        <f>Submetering!J19+Submetering!I19+Submetering!H19</f>
        <v>121.25</v>
      </c>
      <c r="J19" s="16">
        <v>2.3196172978505634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2</v>
      </c>
      <c r="D20" s="9">
        <f>Submetering!D20</f>
        <v>2022</v>
      </c>
      <c r="E20" s="20">
        <f>Submetering!E20</f>
        <v>6902.25</v>
      </c>
      <c r="F20" s="16">
        <v>0.12</v>
      </c>
      <c r="G20" s="20">
        <f>Submetering!F20+Submetering!G20</f>
        <v>591.11</v>
      </c>
      <c r="H20" s="16">
        <v>0.71</v>
      </c>
      <c r="I20" s="20">
        <f>Submetering!J20+Submetering!I20+Submetering!H20</f>
        <v>109.32</v>
      </c>
      <c r="J20" s="16">
        <v>2.3196172978505634</v>
      </c>
      <c r="K20" s="20">
        <f>Submetering!K20</f>
        <v>78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2</v>
      </c>
      <c r="D21" s="9">
        <f>Submetering!D21</f>
        <v>2022</v>
      </c>
      <c r="E21" s="20">
        <f>Submetering!E21</f>
        <v>6763.54</v>
      </c>
      <c r="F21" s="16">
        <v>0.12</v>
      </c>
      <c r="G21" s="20">
        <f>Submetering!F21+Submetering!G21</f>
        <v>482.03000000000003</v>
      </c>
      <c r="H21" s="16">
        <v>0.71</v>
      </c>
      <c r="I21" s="20">
        <f>Submetering!J21+Submetering!I21+Submetering!H21</f>
        <v>90.8</v>
      </c>
      <c r="J21" s="16">
        <v>2.3196172978505634</v>
      </c>
      <c r="K21" s="20">
        <f>Submetering!K21</f>
        <v>78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2</v>
      </c>
      <c r="D22" s="9">
        <f>Submetering!D22</f>
        <v>2022</v>
      </c>
      <c r="E22" s="20">
        <f>Submetering!E22</f>
        <v>6759.83</v>
      </c>
      <c r="F22" s="16">
        <v>0.12</v>
      </c>
      <c r="G22" s="20">
        <f>Submetering!F22+Submetering!G22</f>
        <v>488.23</v>
      </c>
      <c r="H22" s="16">
        <v>0.71</v>
      </c>
      <c r="I22" s="20">
        <f>Submetering!J22+Submetering!I22+Submetering!H22</f>
        <v>91.81</v>
      </c>
      <c r="J22" s="16">
        <v>2.3196172978505634</v>
      </c>
      <c r="K22" s="20">
        <f>Submetering!K22</f>
        <v>83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2</v>
      </c>
      <c r="D23" s="9">
        <f>Submetering!D23</f>
        <v>2022</v>
      </c>
      <c r="E23" s="20">
        <f>Submetering!E23</f>
        <v>6870.53</v>
      </c>
      <c r="F23" s="16">
        <v>0.12</v>
      </c>
      <c r="G23" s="20">
        <f>Submetering!F23+Submetering!G23</f>
        <v>450.40999999999997</v>
      </c>
      <c r="H23" s="16">
        <v>0.71</v>
      </c>
      <c r="I23" s="20">
        <f>Submetering!J23+Submetering!I23+Submetering!H23</f>
        <v>87.08</v>
      </c>
      <c r="J23" s="16">
        <v>2.3196172978505634</v>
      </c>
      <c r="K23" s="20">
        <f>Submetering!K23</f>
        <v>80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2</v>
      </c>
      <c r="D24" s="9">
        <f>Submetering!D24</f>
        <v>2022</v>
      </c>
      <c r="E24" s="20">
        <f>Submetering!E24</f>
        <v>6901.01</v>
      </c>
      <c r="F24" s="16">
        <v>0.12</v>
      </c>
      <c r="G24" s="20">
        <f>Submetering!F24+Submetering!G24</f>
        <v>323.62</v>
      </c>
      <c r="H24" s="16">
        <v>0.71</v>
      </c>
      <c r="I24" s="20">
        <f>Submetering!J24+Submetering!I24+Submetering!H24</f>
        <v>70.099999999999994</v>
      </c>
      <c r="J24" s="16">
        <v>2.3196172978505634</v>
      </c>
      <c r="K24" s="20">
        <f>Submetering!K24</f>
        <v>105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2</v>
      </c>
      <c r="D25" s="9">
        <f>Submetering!D25</f>
        <v>2022</v>
      </c>
      <c r="E25" s="20">
        <f>Submetering!E25</f>
        <v>6870.64</v>
      </c>
      <c r="F25" s="16">
        <v>0.12</v>
      </c>
      <c r="G25" s="20">
        <f>Submetering!F25+Submetering!G25</f>
        <v>363.07</v>
      </c>
      <c r="H25" s="16">
        <v>0.71</v>
      </c>
      <c r="I25" s="20">
        <f>Submetering!J25+Submetering!I25+Submetering!H25</f>
        <v>102.7</v>
      </c>
      <c r="J25" s="16">
        <v>2.3196172978505634</v>
      </c>
      <c r="K25" s="20">
        <f>Submetering!K25</f>
        <v>106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2</v>
      </c>
      <c r="D26" s="9">
        <f>Submetering!D26</f>
        <v>2022</v>
      </c>
      <c r="E26" s="20">
        <f>Submetering!E26</f>
        <v>7168.13</v>
      </c>
      <c r="F26" s="16">
        <v>0.12</v>
      </c>
      <c r="G26" s="20">
        <f>Submetering!F26+Submetering!G26</f>
        <v>462.17</v>
      </c>
      <c r="H26" s="16">
        <v>0.71</v>
      </c>
      <c r="I26" s="20">
        <f>Submetering!J26+Submetering!I26+Submetering!H26</f>
        <v>146.78</v>
      </c>
      <c r="J26" s="16">
        <v>2.3196172978505634</v>
      </c>
      <c r="K26" s="20">
        <f>Submetering!K26</f>
        <v>91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2</v>
      </c>
      <c r="D27" s="9">
        <f>Submetering!D27</f>
        <v>2022</v>
      </c>
      <c r="E27" s="20">
        <f>Submetering!E27</f>
        <v>7155.41</v>
      </c>
      <c r="F27" s="16">
        <v>0.12</v>
      </c>
      <c r="G27" s="20">
        <f>Submetering!F27+Submetering!G27</f>
        <v>520.59</v>
      </c>
      <c r="H27" s="16">
        <v>0.71</v>
      </c>
      <c r="I27" s="20">
        <f>Submetering!J27+Submetering!I27+Submetering!H27</f>
        <v>81.39</v>
      </c>
      <c r="J27" s="16">
        <v>2.3196172978505634</v>
      </c>
      <c r="K27" s="20">
        <f>Submetering!K27</f>
        <v>86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2</v>
      </c>
      <c r="D28" s="9">
        <f>Submetering!D28</f>
        <v>2022</v>
      </c>
      <c r="E28" s="20">
        <f>Submetering!E28</f>
        <v>6640.13</v>
      </c>
      <c r="F28" s="16">
        <v>0.12</v>
      </c>
      <c r="G28" s="20">
        <f>Submetering!F28+Submetering!G28</f>
        <v>519.99</v>
      </c>
      <c r="H28" s="16">
        <v>0.71</v>
      </c>
      <c r="I28" s="20">
        <f>Submetering!J28+Submetering!I28+Submetering!H28</f>
        <v>71.95</v>
      </c>
      <c r="J28" s="16">
        <v>2.3196172978505634</v>
      </c>
      <c r="K28" s="20">
        <f>Submetering!K28</f>
        <v>104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2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5.48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96</v>
      </c>
      <c r="L29" s="20">
        <f>Submetering!L29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29"/>
  <sheetViews>
    <sheetView tabSelected="1" workbookViewId="0">
      <pane xSplit="2" ySplit="1" topLeftCell="D23" activePane="bottomRight" state="frozen"/>
      <selection pane="topRight" activeCell="C1" sqref="C1"/>
      <selection pane="bottomLeft" activeCell="A2" sqref="A2"/>
      <selection pane="bottomRight" activeCell="E29" sqref="E2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2022</v>
      </c>
      <c r="E2" s="38">
        <v>6677.63</v>
      </c>
      <c r="F2" s="38">
        <v>585.14</v>
      </c>
      <c r="G2" s="38">
        <v>6.72</v>
      </c>
      <c r="H2" s="38">
        <v>1.29</v>
      </c>
      <c r="I2" s="38">
        <v>27.5</v>
      </c>
      <c r="J2" s="38">
        <v>39.5</v>
      </c>
      <c r="K2" s="32">
        <v>70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2022</v>
      </c>
      <c r="E3" s="38">
        <v>6775.35</v>
      </c>
      <c r="F3" s="38">
        <v>511.97</v>
      </c>
      <c r="G3" s="38">
        <v>6.85</v>
      </c>
      <c r="H3" s="38">
        <v>1.44</v>
      </c>
      <c r="I3" s="38">
        <v>25.5</v>
      </c>
      <c r="J3" s="38">
        <v>38</v>
      </c>
      <c r="K3" s="32">
        <v>55</v>
      </c>
      <c r="P3" s="35"/>
      <c r="Q3" s="34"/>
    </row>
    <row r="4" spans="1:17" x14ac:dyDescent="0.25">
      <c r="A4" s="17" t="s">
        <v>32</v>
      </c>
      <c r="B4" s="6">
        <f t="shared" ref="B4:B29" si="0">B3+1</f>
        <v>3</v>
      </c>
      <c r="C4" s="6">
        <f t="shared" ref="C4:C29" si="1">C3</f>
        <v>2</v>
      </c>
      <c r="D4" s="41">
        <f t="shared" ref="D4:D29" si="2">D3</f>
        <v>2022</v>
      </c>
      <c r="E4" s="38">
        <v>7011.9</v>
      </c>
      <c r="F4" s="38">
        <v>547.78</v>
      </c>
      <c r="G4" s="38">
        <v>14.57</v>
      </c>
      <c r="H4" s="38">
        <v>1.77</v>
      </c>
      <c r="I4" s="38">
        <v>28.5</v>
      </c>
      <c r="J4" s="38">
        <v>37.5</v>
      </c>
      <c r="K4">
        <v>59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f t="shared" si="1"/>
        <v>2</v>
      </c>
      <c r="D5" s="41">
        <f t="shared" si="2"/>
        <v>2022</v>
      </c>
      <c r="E5" s="38">
        <v>6885.45</v>
      </c>
      <c r="F5" s="38">
        <v>511.88</v>
      </c>
      <c r="G5" s="38">
        <v>11.87</v>
      </c>
      <c r="H5" s="38">
        <v>1.67</v>
      </c>
      <c r="I5" s="38">
        <v>30</v>
      </c>
      <c r="J5" s="38">
        <v>40.5</v>
      </c>
      <c r="K5">
        <v>64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2</v>
      </c>
      <c r="D6" s="41">
        <f t="shared" si="2"/>
        <v>2022</v>
      </c>
      <c r="E6" s="38">
        <v>6910.46</v>
      </c>
      <c r="F6" s="38">
        <v>472.19</v>
      </c>
      <c r="G6" s="38">
        <v>22.74</v>
      </c>
      <c r="H6" s="38">
        <v>1.83</v>
      </c>
      <c r="I6" s="38">
        <v>29.5</v>
      </c>
      <c r="J6" s="38">
        <v>46</v>
      </c>
      <c r="K6">
        <v>64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2</v>
      </c>
      <c r="D7" s="41">
        <f t="shared" si="2"/>
        <v>2022</v>
      </c>
      <c r="E7" s="38">
        <v>6687.86</v>
      </c>
      <c r="F7" s="38">
        <v>582.85</v>
      </c>
      <c r="G7" s="38">
        <v>19.420000000000002</v>
      </c>
      <c r="H7" s="38">
        <v>1.61</v>
      </c>
      <c r="I7" s="38">
        <v>25.5</v>
      </c>
      <c r="J7" s="38">
        <v>41.5</v>
      </c>
      <c r="K7" s="32">
        <v>70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2</v>
      </c>
      <c r="D8" s="41">
        <f t="shared" si="2"/>
        <v>2022</v>
      </c>
      <c r="E8" s="38">
        <v>7107.11</v>
      </c>
      <c r="F8" s="38">
        <v>492.06</v>
      </c>
      <c r="G8" s="38">
        <v>13.94</v>
      </c>
      <c r="H8" s="38">
        <v>5.74</v>
      </c>
      <c r="I8" s="38">
        <v>32</v>
      </c>
      <c r="J8" s="38">
        <v>50.5</v>
      </c>
      <c r="K8">
        <v>67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2</v>
      </c>
      <c r="D9" s="41">
        <f t="shared" si="2"/>
        <v>2022</v>
      </c>
      <c r="E9" s="38">
        <v>6930.75</v>
      </c>
      <c r="F9" s="38">
        <v>621.15</v>
      </c>
      <c r="G9" s="38">
        <v>16.68</v>
      </c>
      <c r="H9" s="38">
        <v>5.25</v>
      </c>
      <c r="I9" s="38">
        <v>29</v>
      </c>
      <c r="J9" s="38">
        <v>50</v>
      </c>
      <c r="K9" s="32">
        <v>58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2</v>
      </c>
      <c r="D10" s="41">
        <f t="shared" si="2"/>
        <v>2022</v>
      </c>
      <c r="E10" s="38">
        <v>6982.73</v>
      </c>
      <c r="F10" s="38">
        <v>557.59</v>
      </c>
      <c r="G10" s="38">
        <v>12.7</v>
      </c>
      <c r="H10" s="38">
        <v>6.55</v>
      </c>
      <c r="I10" s="38">
        <v>27.5</v>
      </c>
      <c r="J10" s="38">
        <v>46</v>
      </c>
      <c r="K10">
        <v>58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2</v>
      </c>
      <c r="D11" s="41">
        <f t="shared" si="2"/>
        <v>2022</v>
      </c>
      <c r="E11" s="38">
        <v>6888.71</v>
      </c>
      <c r="F11" s="38">
        <v>407.94</v>
      </c>
      <c r="G11" s="38">
        <v>17.18</v>
      </c>
      <c r="H11" s="38">
        <v>4.93</v>
      </c>
      <c r="I11" s="38">
        <v>25.5</v>
      </c>
      <c r="J11" s="38">
        <v>45</v>
      </c>
      <c r="K11" s="32">
        <v>57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2</v>
      </c>
      <c r="D12" s="41">
        <f t="shared" si="2"/>
        <v>2022</v>
      </c>
      <c r="E12" s="38">
        <v>7082.93</v>
      </c>
      <c r="F12" s="38">
        <v>392.64</v>
      </c>
      <c r="G12" s="38">
        <v>11.7</v>
      </c>
      <c r="H12" s="38">
        <v>1.97</v>
      </c>
      <c r="I12" s="38">
        <v>27</v>
      </c>
      <c r="J12" s="38">
        <v>45</v>
      </c>
      <c r="K12">
        <v>74</v>
      </c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2</v>
      </c>
      <c r="D13" s="41">
        <f t="shared" si="2"/>
        <v>2022</v>
      </c>
      <c r="E13" s="38">
        <v>7089.71</v>
      </c>
      <c r="F13" s="38">
        <v>528.01</v>
      </c>
      <c r="G13" s="38">
        <v>14.36</v>
      </c>
      <c r="H13" s="38">
        <v>1.65</v>
      </c>
      <c r="I13" s="38">
        <v>33.28</v>
      </c>
      <c r="J13" s="38">
        <v>11</v>
      </c>
      <c r="K13" s="32">
        <v>89</v>
      </c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2</v>
      </c>
      <c r="D14" s="41">
        <f t="shared" si="2"/>
        <v>2022</v>
      </c>
      <c r="E14" s="38">
        <v>7591.35</v>
      </c>
      <c r="F14" s="38">
        <v>478.01</v>
      </c>
      <c r="G14" s="38">
        <v>21.91</v>
      </c>
      <c r="H14" s="38">
        <v>2.06</v>
      </c>
      <c r="I14" s="38">
        <v>30</v>
      </c>
      <c r="J14" s="38">
        <v>54</v>
      </c>
      <c r="K14">
        <v>81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2</v>
      </c>
      <c r="D15" s="41">
        <f t="shared" si="2"/>
        <v>2022</v>
      </c>
      <c r="E15" s="38">
        <v>7127.25</v>
      </c>
      <c r="F15" s="38">
        <v>521.59</v>
      </c>
      <c r="G15" s="38">
        <v>19.96</v>
      </c>
      <c r="H15" s="38">
        <v>1.68</v>
      </c>
      <c r="I15" s="38">
        <v>31.5</v>
      </c>
      <c r="J15" s="38">
        <v>52.5</v>
      </c>
      <c r="K15">
        <v>76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2</v>
      </c>
      <c r="D16" s="41">
        <f t="shared" si="2"/>
        <v>2022</v>
      </c>
      <c r="E16" s="38">
        <v>6667.91</v>
      </c>
      <c r="F16" s="38">
        <v>457.49</v>
      </c>
      <c r="G16" s="38">
        <v>14.11</v>
      </c>
      <c r="H16" s="38">
        <v>1.64</v>
      </c>
      <c r="I16" s="38">
        <v>25</v>
      </c>
      <c r="J16" s="38">
        <v>40.5</v>
      </c>
      <c r="K16">
        <v>76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2</v>
      </c>
      <c r="D17" s="41">
        <f t="shared" si="2"/>
        <v>2022</v>
      </c>
      <c r="E17" s="38">
        <v>6701.33</v>
      </c>
      <c r="F17" s="38">
        <v>474.57</v>
      </c>
      <c r="G17" s="38">
        <v>14.77</v>
      </c>
      <c r="H17" s="38">
        <v>1.64</v>
      </c>
      <c r="I17" s="38">
        <v>28</v>
      </c>
      <c r="J17" s="38">
        <v>39</v>
      </c>
      <c r="K17">
        <v>97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2</v>
      </c>
      <c r="D18" s="41">
        <f t="shared" si="2"/>
        <v>2022</v>
      </c>
      <c r="E18" s="38">
        <v>6718.46</v>
      </c>
      <c r="F18" s="38">
        <v>352.21</v>
      </c>
      <c r="G18" s="38">
        <v>12.45</v>
      </c>
      <c r="H18" s="38">
        <v>1.84</v>
      </c>
      <c r="I18" s="38">
        <v>28</v>
      </c>
      <c r="J18" s="38">
        <v>47.5</v>
      </c>
      <c r="K18">
        <v>105</v>
      </c>
      <c r="L18" s="38"/>
      <c r="M18" s="42"/>
    </row>
    <row r="19" spans="1:13" x14ac:dyDescent="0.25">
      <c r="A19" s="17" t="s">
        <v>32</v>
      </c>
      <c r="B19" s="6">
        <f t="shared" si="0"/>
        <v>18</v>
      </c>
      <c r="C19" s="6">
        <f t="shared" si="1"/>
        <v>2</v>
      </c>
      <c r="D19" s="41">
        <f t="shared" si="2"/>
        <v>2022</v>
      </c>
      <c r="E19" s="38">
        <v>6956.93</v>
      </c>
      <c r="F19" s="38">
        <v>521.74</v>
      </c>
      <c r="G19" s="38">
        <v>8.9600000000000009</v>
      </c>
      <c r="H19" s="38">
        <v>1.75</v>
      </c>
      <c r="I19" s="38">
        <v>36</v>
      </c>
      <c r="J19" s="38">
        <v>83.5</v>
      </c>
      <c r="K19">
        <v>91</v>
      </c>
      <c r="L19" s="38"/>
      <c r="M19" s="42"/>
    </row>
    <row r="20" spans="1:13" x14ac:dyDescent="0.25">
      <c r="A20" s="17" t="s">
        <v>32</v>
      </c>
      <c r="B20" s="6">
        <f t="shared" si="0"/>
        <v>19</v>
      </c>
      <c r="C20" s="6">
        <f t="shared" si="1"/>
        <v>2</v>
      </c>
      <c r="D20" s="41">
        <f t="shared" si="2"/>
        <v>2022</v>
      </c>
      <c r="E20" s="38">
        <v>6902.25</v>
      </c>
      <c r="F20" s="38">
        <v>570.69000000000005</v>
      </c>
      <c r="G20" s="38">
        <v>20.420000000000002</v>
      </c>
      <c r="H20" s="38">
        <v>1.82</v>
      </c>
      <c r="I20" s="38">
        <v>33</v>
      </c>
      <c r="J20" s="38">
        <v>74.5</v>
      </c>
      <c r="K20">
        <v>78</v>
      </c>
      <c r="L20" s="38"/>
      <c r="M20" s="42"/>
    </row>
    <row r="21" spans="1:13" x14ac:dyDescent="0.25">
      <c r="A21" s="36" t="s">
        <v>32</v>
      </c>
      <c r="B21" s="37">
        <f t="shared" si="0"/>
        <v>20</v>
      </c>
      <c r="C21" s="6">
        <f t="shared" si="1"/>
        <v>2</v>
      </c>
      <c r="D21" s="41">
        <f t="shared" si="2"/>
        <v>2022</v>
      </c>
      <c r="E21" s="38">
        <v>6763.54</v>
      </c>
      <c r="F21" s="38">
        <v>465.6</v>
      </c>
      <c r="G21" s="38">
        <v>16.43</v>
      </c>
      <c r="H21" s="38">
        <v>1.8</v>
      </c>
      <c r="I21" s="38">
        <v>31.5</v>
      </c>
      <c r="J21" s="38">
        <v>57.5</v>
      </c>
      <c r="K21">
        <v>78</v>
      </c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2</v>
      </c>
      <c r="D22" s="41">
        <f t="shared" si="2"/>
        <v>2022</v>
      </c>
      <c r="E22" s="38">
        <v>6759.83</v>
      </c>
      <c r="F22" s="38">
        <v>472.54</v>
      </c>
      <c r="G22" s="38">
        <v>15.69</v>
      </c>
      <c r="H22" s="38">
        <v>5.81</v>
      </c>
      <c r="I22" s="38">
        <v>27</v>
      </c>
      <c r="J22" s="38">
        <v>59</v>
      </c>
      <c r="K22">
        <v>83</v>
      </c>
      <c r="L22" s="38"/>
      <c r="M22" s="42"/>
    </row>
    <row r="23" spans="1:13" x14ac:dyDescent="0.25">
      <c r="A23" s="17" t="s">
        <v>32</v>
      </c>
      <c r="B23" s="6">
        <f t="shared" si="0"/>
        <v>22</v>
      </c>
      <c r="C23" s="6">
        <f t="shared" si="1"/>
        <v>2</v>
      </c>
      <c r="D23" s="41">
        <f t="shared" si="2"/>
        <v>2022</v>
      </c>
      <c r="E23" s="38">
        <v>6870.53</v>
      </c>
      <c r="F23" s="38">
        <v>440.7</v>
      </c>
      <c r="G23" s="38">
        <v>9.7100000000000009</v>
      </c>
      <c r="H23" s="38">
        <v>4.58</v>
      </c>
      <c r="I23" s="38">
        <v>28</v>
      </c>
      <c r="J23" s="38">
        <v>54.5</v>
      </c>
      <c r="K23">
        <v>80</v>
      </c>
      <c r="L23" s="38"/>
      <c r="M23" s="42"/>
    </row>
    <row r="24" spans="1:13" x14ac:dyDescent="0.25">
      <c r="A24" s="17" t="s">
        <v>32</v>
      </c>
      <c r="B24" s="6">
        <f t="shared" si="0"/>
        <v>23</v>
      </c>
      <c r="C24" s="6">
        <f t="shared" si="1"/>
        <v>2</v>
      </c>
      <c r="D24" s="41">
        <f t="shared" si="2"/>
        <v>2022</v>
      </c>
      <c r="E24" s="38">
        <v>6901.01</v>
      </c>
      <c r="F24" s="38">
        <v>309.18</v>
      </c>
      <c r="G24" s="38">
        <v>14.44</v>
      </c>
      <c r="H24" s="38">
        <v>1.6</v>
      </c>
      <c r="I24" s="38">
        <v>25</v>
      </c>
      <c r="J24" s="38">
        <v>43.5</v>
      </c>
      <c r="K24" s="42">
        <v>105</v>
      </c>
      <c r="L24" s="38"/>
      <c r="M24" s="42"/>
    </row>
    <row r="25" spans="1:13" x14ac:dyDescent="0.25">
      <c r="A25" s="17" t="s">
        <v>32</v>
      </c>
      <c r="B25" s="6">
        <f t="shared" si="0"/>
        <v>24</v>
      </c>
      <c r="C25" s="6">
        <f t="shared" si="1"/>
        <v>2</v>
      </c>
      <c r="D25" s="41">
        <f t="shared" si="2"/>
        <v>2022</v>
      </c>
      <c r="E25" s="38">
        <v>6870.64</v>
      </c>
      <c r="F25" s="38">
        <v>352.11</v>
      </c>
      <c r="G25" s="38">
        <v>10.96</v>
      </c>
      <c r="H25" s="38">
        <v>1.7</v>
      </c>
      <c r="I25" s="38">
        <v>50.5</v>
      </c>
      <c r="J25" s="38">
        <v>50.5</v>
      </c>
      <c r="K25">
        <v>106</v>
      </c>
      <c r="L25" s="38"/>
      <c r="M25" s="42"/>
    </row>
    <row r="26" spans="1:13" x14ac:dyDescent="0.25">
      <c r="A26" s="17" t="s">
        <v>32</v>
      </c>
      <c r="B26" s="6">
        <f>B25+1</f>
        <v>25</v>
      </c>
      <c r="C26" s="6">
        <f t="shared" si="1"/>
        <v>2</v>
      </c>
      <c r="D26" s="41">
        <f t="shared" si="2"/>
        <v>2022</v>
      </c>
      <c r="E26" s="38">
        <v>7168.13</v>
      </c>
      <c r="F26" s="38">
        <v>448.72</v>
      </c>
      <c r="G26" s="38">
        <v>13.45</v>
      </c>
      <c r="H26" s="38">
        <v>1.78</v>
      </c>
      <c r="I26" s="38">
        <v>89.5</v>
      </c>
      <c r="J26" s="38">
        <v>55.5</v>
      </c>
      <c r="K26">
        <v>91</v>
      </c>
      <c r="L26" s="38"/>
      <c r="M26" s="42" t="s">
        <v>33</v>
      </c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2</v>
      </c>
      <c r="D27" s="6">
        <f t="shared" si="2"/>
        <v>2022</v>
      </c>
      <c r="E27" s="38">
        <v>7155.41</v>
      </c>
      <c r="F27" s="38">
        <v>498.68</v>
      </c>
      <c r="G27" s="38">
        <v>21.91</v>
      </c>
      <c r="H27" s="38">
        <v>1.89</v>
      </c>
      <c r="I27" s="38">
        <v>27.5</v>
      </c>
      <c r="J27" s="38">
        <v>52</v>
      </c>
      <c r="K27">
        <v>86</v>
      </c>
      <c r="L27" s="38"/>
      <c r="M27" s="42"/>
    </row>
    <row r="28" spans="1:13" x14ac:dyDescent="0.25">
      <c r="A28" s="17" t="s">
        <v>32</v>
      </c>
      <c r="B28" s="6">
        <f t="shared" si="0"/>
        <v>27</v>
      </c>
      <c r="C28" s="6">
        <f t="shared" si="1"/>
        <v>2</v>
      </c>
      <c r="D28" s="6">
        <f t="shared" si="2"/>
        <v>2022</v>
      </c>
      <c r="E28" s="38">
        <v>6640.13</v>
      </c>
      <c r="F28" s="38">
        <v>502.56</v>
      </c>
      <c r="G28" s="38">
        <v>17.43</v>
      </c>
      <c r="H28" s="38">
        <v>1.95</v>
      </c>
      <c r="I28" s="38">
        <v>25</v>
      </c>
      <c r="J28" s="38">
        <v>45</v>
      </c>
      <c r="K28">
        <v>104</v>
      </c>
      <c r="L28" s="38"/>
      <c r="M28" s="42"/>
    </row>
    <row r="29" spans="1:13" x14ac:dyDescent="0.25">
      <c r="A29" s="17" t="s">
        <v>32</v>
      </c>
      <c r="B29" s="6">
        <f t="shared" si="0"/>
        <v>28</v>
      </c>
      <c r="C29" s="6">
        <f t="shared" si="1"/>
        <v>2</v>
      </c>
      <c r="D29" s="6">
        <f t="shared" si="2"/>
        <v>2022</v>
      </c>
      <c r="G29" s="20">
        <v>5.48</v>
      </c>
      <c r="K29">
        <v>96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2022-03-07T07:54:53Z</dcterms:modified>
</cp:coreProperties>
</file>