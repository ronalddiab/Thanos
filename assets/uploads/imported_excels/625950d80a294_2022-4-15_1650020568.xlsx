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"/>
    </mc:Choice>
  </mc:AlternateContent>
  <bookViews>
    <workbookView xWindow="-120" yWindow="-120" windowWidth="20730" windowHeight="11160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0" i="1" l="1"/>
  <c r="J12" i="1"/>
  <c r="J11" i="1"/>
  <c r="J3" i="1"/>
  <c r="J4" i="1"/>
  <c r="J5" i="1"/>
  <c r="J6" i="1"/>
  <c r="J7" i="1"/>
  <c r="J8" i="1"/>
  <c r="J9" i="1"/>
  <c r="J10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1" i="1"/>
  <c r="J32" i="1"/>
  <c r="J2" i="1"/>
  <c r="J33" i="1" l="1"/>
  <c r="G9" i="4"/>
  <c r="F25" i="4" l="1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G5" i="1" l="1"/>
  <c r="G2" i="1"/>
  <c r="G3" i="1"/>
  <c r="G4" i="1"/>
  <c r="G6" i="1"/>
  <c r="G7" i="1"/>
  <c r="G8" i="1"/>
  <c r="G9" i="1"/>
  <c r="G10" i="1"/>
  <c r="N24" i="1"/>
  <c r="N25" i="1"/>
  <c r="N26" i="1"/>
  <c r="N27" i="1"/>
  <c r="N28" i="1"/>
  <c r="N29" i="1"/>
  <c r="N30" i="1"/>
  <c r="N31" i="1"/>
  <c r="N32" i="1"/>
  <c r="M24" i="1"/>
  <c r="M25" i="1"/>
  <c r="M26" i="1"/>
  <c r="M27" i="1"/>
  <c r="M28" i="1"/>
  <c r="M29" i="1"/>
  <c r="M30" i="1"/>
  <c r="M31" i="1"/>
  <c r="M32" i="1"/>
  <c r="K24" i="1"/>
  <c r="K25" i="1"/>
  <c r="K26" i="1"/>
  <c r="K27" i="1"/>
  <c r="K28" i="1"/>
  <c r="K29" i="1"/>
  <c r="K30" i="1"/>
  <c r="K31" i="1"/>
  <c r="K32" i="1"/>
  <c r="I24" i="1"/>
  <c r="I25" i="1"/>
  <c r="I26" i="1"/>
  <c r="I27" i="1"/>
  <c r="I28" i="1"/>
  <c r="I29" i="1"/>
  <c r="I30" i="1"/>
  <c r="I31" i="1"/>
  <c r="I32" i="1"/>
  <c r="J35" i="5" l="1"/>
  <c r="H35" i="5"/>
  <c r="F35" i="5"/>
  <c r="J34" i="5"/>
  <c r="H34" i="5"/>
  <c r="F34" i="5"/>
  <c r="J33" i="5"/>
  <c r="H33" i="5"/>
  <c r="F33" i="5"/>
  <c r="G36" i="4"/>
  <c r="G35" i="4"/>
  <c r="G34" i="4"/>
  <c r="I36" i="3"/>
  <c r="G29" i="1" s="1"/>
  <c r="G36" i="3"/>
  <c r="D36" i="3"/>
  <c r="D36" i="4" s="1"/>
  <c r="C36" i="3"/>
  <c r="C36" i="4" s="1"/>
  <c r="I35" i="3"/>
  <c r="G28" i="1" s="1"/>
  <c r="G35" i="3"/>
  <c r="D35" i="3"/>
  <c r="D35" i="4" s="1"/>
  <c r="D35" i="5" s="1"/>
  <c r="C35" i="3"/>
  <c r="C35" i="4" s="1"/>
  <c r="C35" i="5" s="1"/>
  <c r="I34" i="3"/>
  <c r="G27" i="1" s="1"/>
  <c r="G34" i="3"/>
  <c r="D34" i="3"/>
  <c r="D34" i="4" s="1"/>
  <c r="D34" i="5" s="1"/>
  <c r="C34" i="3"/>
  <c r="C34" i="4" s="1"/>
  <c r="C34" i="5" s="1"/>
  <c r="I35" i="2"/>
  <c r="J35" i="2" s="1"/>
  <c r="F35" i="2"/>
  <c r="I34" i="2"/>
  <c r="J34" i="2" s="1"/>
  <c r="F34" i="2"/>
  <c r="I33" i="2"/>
  <c r="J33" i="2" s="1"/>
  <c r="F33" i="2"/>
  <c r="G33" i="2" l="1"/>
  <c r="E27" i="1"/>
  <c r="G34" i="2"/>
  <c r="E28" i="1"/>
  <c r="G35" i="2"/>
  <c r="E29" i="1"/>
  <c r="H34" i="4"/>
  <c r="H36" i="4"/>
  <c r="H35" i="4"/>
  <c r="K34" i="5"/>
  <c r="K33" i="5"/>
  <c r="K35" i="5"/>
  <c r="K33" i="2"/>
  <c r="L33" i="2" s="1"/>
  <c r="K34" i="2"/>
  <c r="L34" i="2" s="1"/>
  <c r="K35" i="2"/>
  <c r="L35" i="2" s="1"/>
  <c r="M35" i="2" l="1"/>
  <c r="F29" i="1"/>
  <c r="M34" i="2"/>
  <c r="F28" i="1"/>
  <c r="M33" i="2"/>
  <c r="F27" i="1"/>
  <c r="L35" i="5"/>
  <c r="L28" i="1"/>
  <c r="L33" i="5"/>
  <c r="L26" i="1"/>
  <c r="L34" i="5"/>
  <c r="L27" i="1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7" i="3"/>
  <c r="D38" i="3"/>
  <c r="D39" i="3"/>
  <c r="D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7" i="3"/>
  <c r="C38" i="3"/>
  <c r="C39" i="3"/>
  <c r="C9" i="3"/>
  <c r="C39" i="2" l="1"/>
  <c r="D39" i="2"/>
  <c r="F8" i="2"/>
  <c r="G8" i="2" s="1"/>
  <c r="F9" i="2"/>
  <c r="G9" i="2" s="1"/>
  <c r="F10" i="2"/>
  <c r="F11" i="2"/>
  <c r="G11" i="2" s="1"/>
  <c r="F12" i="2"/>
  <c r="F13" i="2"/>
  <c r="G13" i="2" s="1"/>
  <c r="F14" i="2"/>
  <c r="G14" i="2" s="1"/>
  <c r="F15" i="2"/>
  <c r="G15" i="2" s="1"/>
  <c r="F16" i="2"/>
  <c r="G16" i="2" s="1"/>
  <c r="F17" i="2"/>
  <c r="G17" i="2" s="1"/>
  <c r="F18" i="2"/>
  <c r="F19" i="2"/>
  <c r="G19" i="2" s="1"/>
  <c r="F20" i="2"/>
  <c r="G20" i="2" s="1"/>
  <c r="F21" i="2"/>
  <c r="G21" i="2" s="1"/>
  <c r="F22" i="2"/>
  <c r="G22" i="2" s="1"/>
  <c r="F23" i="2"/>
  <c r="G23" i="2" s="1"/>
  <c r="F24" i="2"/>
  <c r="F25" i="2"/>
  <c r="G25" i="2" s="1"/>
  <c r="F26" i="2"/>
  <c r="G26" i="2" s="1"/>
  <c r="F27" i="2"/>
  <c r="F28" i="2"/>
  <c r="G28" i="2" s="1"/>
  <c r="F29" i="2"/>
  <c r="G29" i="2" s="1"/>
  <c r="F30" i="2"/>
  <c r="F31" i="2"/>
  <c r="F32" i="2"/>
  <c r="F36" i="2"/>
  <c r="F37" i="2"/>
  <c r="F38" i="2"/>
  <c r="I8" i="2"/>
  <c r="J8" i="2" s="1"/>
  <c r="I9" i="2"/>
  <c r="I10" i="2"/>
  <c r="J10" i="2" s="1"/>
  <c r="I11" i="2"/>
  <c r="I12" i="2"/>
  <c r="I13" i="2"/>
  <c r="J13" i="2" s="1"/>
  <c r="I14" i="2"/>
  <c r="J14" i="2" s="1"/>
  <c r="I15" i="2"/>
  <c r="J15" i="2" s="1"/>
  <c r="I16" i="2"/>
  <c r="J16" i="2" s="1"/>
  <c r="I17" i="2"/>
  <c r="J17" i="2" s="1"/>
  <c r="I18" i="2"/>
  <c r="I19" i="2"/>
  <c r="J19" i="2" s="1"/>
  <c r="I20" i="2"/>
  <c r="I21" i="2"/>
  <c r="I22" i="2"/>
  <c r="J22" i="2" s="1"/>
  <c r="I23" i="2"/>
  <c r="J23" i="2" s="1"/>
  <c r="I24" i="2"/>
  <c r="J24" i="2" s="1"/>
  <c r="I25" i="2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6" i="2"/>
  <c r="J36" i="2" s="1"/>
  <c r="I37" i="2"/>
  <c r="J37" i="2" s="1"/>
  <c r="I38" i="2"/>
  <c r="J38" i="2" s="1"/>
  <c r="G10" i="2"/>
  <c r="J11" i="2"/>
  <c r="G12" i="2"/>
  <c r="J12" i="2"/>
  <c r="G18" i="2"/>
  <c r="J18" i="2"/>
  <c r="J20" i="2"/>
  <c r="G24" i="2"/>
  <c r="G27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G33" i="4"/>
  <c r="J8" i="3"/>
  <c r="G9" i="3"/>
  <c r="M8" i="3"/>
  <c r="G10" i="3"/>
  <c r="G11" i="3"/>
  <c r="J12" i="3"/>
  <c r="G12" i="3"/>
  <c r="G13" i="3"/>
  <c r="M14" i="3"/>
  <c r="G14" i="3"/>
  <c r="J15" i="3"/>
  <c r="G15" i="3"/>
  <c r="G16" i="3"/>
  <c r="G17" i="3"/>
  <c r="I18" i="3"/>
  <c r="G18" i="3"/>
  <c r="I19" i="3"/>
  <c r="G12" i="1" s="1"/>
  <c r="G19" i="3"/>
  <c r="I20" i="3"/>
  <c r="G20" i="3"/>
  <c r="I21" i="3"/>
  <c r="G21" i="3"/>
  <c r="I22" i="3"/>
  <c r="G15" i="1" s="1"/>
  <c r="G22" i="3"/>
  <c r="I23" i="3"/>
  <c r="G16" i="1" s="1"/>
  <c r="J23" i="3"/>
  <c r="G23" i="3"/>
  <c r="I24" i="3"/>
  <c r="G17" i="1" s="1"/>
  <c r="G24" i="3"/>
  <c r="I25" i="3"/>
  <c r="G18" i="1" s="1"/>
  <c r="G25" i="3"/>
  <c r="I26" i="3"/>
  <c r="G26" i="3"/>
  <c r="I27" i="3"/>
  <c r="G20" i="1" s="1"/>
  <c r="G27" i="3"/>
  <c r="I28" i="3"/>
  <c r="G21" i="1" s="1"/>
  <c r="G28" i="3"/>
  <c r="I29" i="3"/>
  <c r="G22" i="1" s="1"/>
  <c r="G29" i="3"/>
  <c r="I30" i="3"/>
  <c r="G23" i="1" s="1"/>
  <c r="G30" i="3"/>
  <c r="I31" i="3"/>
  <c r="G24" i="1" s="1"/>
  <c r="G31" i="3"/>
  <c r="I32" i="3"/>
  <c r="G25" i="1" s="1"/>
  <c r="G32" i="3"/>
  <c r="I33" i="3"/>
  <c r="G26" i="1" s="1"/>
  <c r="G33" i="3"/>
  <c r="I37" i="3"/>
  <c r="G30" i="1" s="1"/>
  <c r="G37" i="3"/>
  <c r="I38" i="3"/>
  <c r="G31" i="1" s="1"/>
  <c r="G38" i="3"/>
  <c r="I39" i="3"/>
  <c r="G32" i="1" s="1"/>
  <c r="G39" i="3"/>
  <c r="I2" i="1"/>
  <c r="F10" i="4"/>
  <c r="I3" i="1" s="1"/>
  <c r="F11" i="4"/>
  <c r="I4" i="1" s="1"/>
  <c r="F12" i="4"/>
  <c r="I5" i="1" s="1"/>
  <c r="F13" i="4"/>
  <c r="I6" i="1" s="1"/>
  <c r="F14" i="4"/>
  <c r="I7" i="1" s="1"/>
  <c r="F15" i="4"/>
  <c r="I8" i="1" s="1"/>
  <c r="F16" i="4"/>
  <c r="I9" i="1" s="1"/>
  <c r="F17" i="4"/>
  <c r="I10" i="1" s="1"/>
  <c r="F18" i="4"/>
  <c r="I11" i="1" s="1"/>
  <c r="F19" i="4"/>
  <c r="I12" i="1" s="1"/>
  <c r="F20" i="4"/>
  <c r="I13" i="1" s="1"/>
  <c r="F21" i="4"/>
  <c r="I14" i="1" s="1"/>
  <c r="F22" i="4"/>
  <c r="I15" i="1" s="1"/>
  <c r="F23" i="4"/>
  <c r="I16" i="1" s="1"/>
  <c r="F24" i="4"/>
  <c r="I17" i="1" s="1"/>
  <c r="I18" i="1"/>
  <c r="I19" i="1"/>
  <c r="I20" i="1"/>
  <c r="I21" i="1"/>
  <c r="I22" i="1"/>
  <c r="I23" i="1"/>
  <c r="K2" i="1"/>
  <c r="F9" i="5"/>
  <c r="H9" i="5"/>
  <c r="J9" i="5"/>
  <c r="K3" i="1"/>
  <c r="F10" i="5"/>
  <c r="H10" i="5"/>
  <c r="J10" i="5"/>
  <c r="K4" i="1"/>
  <c r="F11" i="5"/>
  <c r="H11" i="5"/>
  <c r="J11" i="5"/>
  <c r="K5" i="1"/>
  <c r="F12" i="5"/>
  <c r="H12" i="5"/>
  <c r="J12" i="5"/>
  <c r="K6" i="1"/>
  <c r="F13" i="5"/>
  <c r="H13" i="5"/>
  <c r="J13" i="5"/>
  <c r="K7" i="1"/>
  <c r="F14" i="5"/>
  <c r="H14" i="5"/>
  <c r="J14" i="5"/>
  <c r="K8" i="1"/>
  <c r="F15" i="5"/>
  <c r="H15" i="5"/>
  <c r="J15" i="5"/>
  <c r="K9" i="1"/>
  <c r="F16" i="5"/>
  <c r="H16" i="5"/>
  <c r="J16" i="5"/>
  <c r="K10" i="1"/>
  <c r="F17" i="5"/>
  <c r="H17" i="5"/>
  <c r="J17" i="5"/>
  <c r="K11" i="1"/>
  <c r="F18" i="5"/>
  <c r="H18" i="5"/>
  <c r="J18" i="5"/>
  <c r="K12" i="1"/>
  <c r="F19" i="5"/>
  <c r="H19" i="5"/>
  <c r="J19" i="5"/>
  <c r="K13" i="1"/>
  <c r="F20" i="5"/>
  <c r="H20" i="5"/>
  <c r="J20" i="5"/>
  <c r="K14" i="1"/>
  <c r="F21" i="5"/>
  <c r="H21" i="5"/>
  <c r="J21" i="5"/>
  <c r="K15" i="1"/>
  <c r="F22" i="5"/>
  <c r="H22" i="5"/>
  <c r="J22" i="5"/>
  <c r="K16" i="1"/>
  <c r="F23" i="5"/>
  <c r="H23" i="5"/>
  <c r="J23" i="5"/>
  <c r="K17" i="1"/>
  <c r="F24" i="5"/>
  <c r="H24" i="5"/>
  <c r="J24" i="5"/>
  <c r="K18" i="1"/>
  <c r="F25" i="5"/>
  <c r="H25" i="5"/>
  <c r="J25" i="5"/>
  <c r="K19" i="1"/>
  <c r="F26" i="5"/>
  <c r="H26" i="5"/>
  <c r="J26" i="5"/>
  <c r="K20" i="1"/>
  <c r="F27" i="5"/>
  <c r="H27" i="5"/>
  <c r="J27" i="5"/>
  <c r="K21" i="1"/>
  <c r="F28" i="5"/>
  <c r="H28" i="5"/>
  <c r="J28" i="5"/>
  <c r="K22" i="1"/>
  <c r="F29" i="5"/>
  <c r="H29" i="5"/>
  <c r="J29" i="5"/>
  <c r="K23" i="1"/>
  <c r="F30" i="5"/>
  <c r="H30" i="5"/>
  <c r="J30" i="5"/>
  <c r="F31" i="5"/>
  <c r="H31" i="5"/>
  <c r="J31" i="5"/>
  <c r="F32" i="5"/>
  <c r="H32" i="5"/>
  <c r="J32" i="5"/>
  <c r="F36" i="5"/>
  <c r="H36" i="5"/>
  <c r="J36" i="5"/>
  <c r="F37" i="5"/>
  <c r="H37" i="5"/>
  <c r="J37" i="5"/>
  <c r="F38" i="5"/>
  <c r="H38" i="5"/>
  <c r="J38" i="5"/>
  <c r="F39" i="5"/>
  <c r="H39" i="5"/>
  <c r="J39" i="5"/>
  <c r="E5" i="1"/>
  <c r="G15" i="4"/>
  <c r="G23" i="4"/>
  <c r="G27" i="4"/>
  <c r="H27" i="4" s="1"/>
  <c r="G28" i="4"/>
  <c r="H28" i="4" s="1"/>
  <c r="G29" i="4"/>
  <c r="G30" i="4"/>
  <c r="H30" i="4" s="1"/>
  <c r="G31" i="4"/>
  <c r="G37" i="4"/>
  <c r="G38" i="4"/>
  <c r="G39" i="4"/>
  <c r="H32" i="4"/>
  <c r="D10" i="4"/>
  <c r="D10" i="5" s="1"/>
  <c r="D11" i="4"/>
  <c r="D11" i="5" s="1"/>
  <c r="D12" i="4"/>
  <c r="D13" i="4"/>
  <c r="D13" i="5" s="1"/>
  <c r="D14" i="4"/>
  <c r="D14" i="5" s="1"/>
  <c r="D15" i="4"/>
  <c r="D15" i="5" s="1"/>
  <c r="D16" i="4"/>
  <c r="D16" i="5" s="1"/>
  <c r="D17" i="4"/>
  <c r="D17" i="5" s="1"/>
  <c r="D18" i="4"/>
  <c r="D18" i="5" s="1"/>
  <c r="D19" i="4"/>
  <c r="D19" i="5" s="1"/>
  <c r="D20" i="4"/>
  <c r="D20" i="5" s="1"/>
  <c r="D21" i="4"/>
  <c r="D21" i="5" s="1"/>
  <c r="D22" i="4"/>
  <c r="D22" i="5" s="1"/>
  <c r="D23" i="4"/>
  <c r="D23" i="5" s="1"/>
  <c r="D24" i="4"/>
  <c r="D24" i="5" s="1"/>
  <c r="D25" i="4"/>
  <c r="D25" i="5" s="1"/>
  <c r="D26" i="4"/>
  <c r="D26" i="5" s="1"/>
  <c r="D27" i="4"/>
  <c r="D27" i="5" s="1"/>
  <c r="D28" i="4"/>
  <c r="D28" i="5" s="1"/>
  <c r="D29" i="4"/>
  <c r="D29" i="5" s="1"/>
  <c r="D30" i="4"/>
  <c r="D30" i="5" s="1"/>
  <c r="D31" i="4"/>
  <c r="D31" i="5"/>
  <c r="D32" i="4"/>
  <c r="D32" i="5" s="1"/>
  <c r="D33" i="4"/>
  <c r="D37" i="4"/>
  <c r="D37" i="5" s="1"/>
  <c r="D38" i="4"/>
  <c r="D38" i="5" s="1"/>
  <c r="D39" i="4"/>
  <c r="D39" i="5" s="1"/>
  <c r="D9" i="4"/>
  <c r="D9" i="5" s="1"/>
  <c r="C40" i="3"/>
  <c r="C11" i="4"/>
  <c r="C11" i="5" s="1"/>
  <c r="C12" i="4"/>
  <c r="C12" i="5" s="1"/>
  <c r="C13" i="4"/>
  <c r="C13" i="5" s="1"/>
  <c r="C14" i="4"/>
  <c r="C14" i="5" s="1"/>
  <c r="C15" i="4"/>
  <c r="C15" i="5" s="1"/>
  <c r="C16" i="4"/>
  <c r="C16" i="5" s="1"/>
  <c r="C17" i="4"/>
  <c r="C17" i="5" s="1"/>
  <c r="C18" i="4"/>
  <c r="C18" i="5" s="1"/>
  <c r="C19" i="4"/>
  <c r="C19" i="5" s="1"/>
  <c r="C20" i="4"/>
  <c r="C20" i="5" s="1"/>
  <c r="C21" i="4"/>
  <c r="C21" i="5" s="1"/>
  <c r="C22" i="4"/>
  <c r="C22" i="5" s="1"/>
  <c r="C23" i="4"/>
  <c r="C23" i="5" s="1"/>
  <c r="C24" i="4"/>
  <c r="C24" i="5" s="1"/>
  <c r="C25" i="4"/>
  <c r="C25" i="5" s="1"/>
  <c r="C26" i="4"/>
  <c r="C26" i="5" s="1"/>
  <c r="C27" i="4"/>
  <c r="C27" i="5" s="1"/>
  <c r="C28" i="4"/>
  <c r="C28" i="5" s="1"/>
  <c r="C29" i="4"/>
  <c r="C29" i="5" s="1"/>
  <c r="C30" i="4"/>
  <c r="C30" i="5" s="1"/>
  <c r="C31" i="4"/>
  <c r="C31" i="5" s="1"/>
  <c r="C32" i="4"/>
  <c r="C32" i="5" s="1"/>
  <c r="C33" i="4"/>
  <c r="C37" i="4"/>
  <c r="C37" i="5" s="1"/>
  <c r="C38" i="4"/>
  <c r="C38" i="5" s="1"/>
  <c r="C39" i="4"/>
  <c r="C39" i="5" s="1"/>
  <c r="C9" i="4"/>
  <c r="I40" i="5"/>
  <c r="G40" i="5"/>
  <c r="O40" i="3"/>
  <c r="F40" i="3"/>
  <c r="O41" i="3" s="1"/>
  <c r="U8" i="3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D40" i="3"/>
  <c r="C10" i="4"/>
  <c r="C10" i="5" s="1"/>
  <c r="K33" i="1" l="1"/>
  <c r="J26" i="3"/>
  <c r="G19" i="1"/>
  <c r="J21" i="3"/>
  <c r="G14" i="1"/>
  <c r="J20" i="3"/>
  <c r="G13" i="1"/>
  <c r="J18" i="3"/>
  <c r="G11" i="1"/>
  <c r="N33" i="1"/>
  <c r="E32" i="1"/>
  <c r="G37" i="2"/>
  <c r="E31" i="1"/>
  <c r="E30" i="1"/>
  <c r="E26" i="1"/>
  <c r="G31" i="2"/>
  <c r="E25" i="1"/>
  <c r="G30" i="2"/>
  <c r="E24" i="1"/>
  <c r="E12" i="1"/>
  <c r="H38" i="4"/>
  <c r="H31" i="4"/>
  <c r="M26" i="3"/>
  <c r="M34" i="3"/>
  <c r="M35" i="3"/>
  <c r="M36" i="3"/>
  <c r="E13" i="1"/>
  <c r="M22" i="3"/>
  <c r="J13" i="3"/>
  <c r="J36" i="3"/>
  <c r="J35" i="3"/>
  <c r="J34" i="3"/>
  <c r="M38" i="3"/>
  <c r="H33" i="4"/>
  <c r="J38" i="3"/>
  <c r="M16" i="3"/>
  <c r="E21" i="1"/>
  <c r="H29" i="4"/>
  <c r="M24" i="3"/>
  <c r="M37" i="3"/>
  <c r="M15" i="3"/>
  <c r="J11" i="3"/>
  <c r="E6" i="1"/>
  <c r="G21" i="4"/>
  <c r="J19" i="3"/>
  <c r="M28" i="3"/>
  <c r="G17" i="4"/>
  <c r="M23" i="3"/>
  <c r="J10" i="3"/>
  <c r="K36" i="5"/>
  <c r="L29" i="1" s="1"/>
  <c r="K27" i="5"/>
  <c r="K21" i="5"/>
  <c r="K15" i="5"/>
  <c r="L15" i="5" s="1"/>
  <c r="K9" i="5"/>
  <c r="G25" i="4"/>
  <c r="G11" i="4"/>
  <c r="H11" i="4" s="1"/>
  <c r="G19" i="4"/>
  <c r="E9" i="1"/>
  <c r="K11" i="2"/>
  <c r="L11" i="2" s="1"/>
  <c r="F5" i="1" s="1"/>
  <c r="E18" i="1"/>
  <c r="E2" i="1"/>
  <c r="E17" i="1"/>
  <c r="K17" i="2"/>
  <c r="L17" i="2" s="1"/>
  <c r="M17" i="2" s="1"/>
  <c r="E10" i="1"/>
  <c r="K14" i="2"/>
  <c r="L14" i="2" s="1"/>
  <c r="M14" i="2" s="1"/>
  <c r="E19" i="1"/>
  <c r="E3" i="1"/>
  <c r="E8" i="1"/>
  <c r="G36" i="2"/>
  <c r="K36" i="2" s="1"/>
  <c r="L36" i="2" s="1"/>
  <c r="D36" i="5"/>
  <c r="D33" i="5"/>
  <c r="C36" i="5"/>
  <c r="C33" i="5"/>
  <c r="G18" i="4"/>
  <c r="G22" i="4"/>
  <c r="G13" i="4"/>
  <c r="H13" i="4" s="1"/>
  <c r="J33" i="3"/>
  <c r="J29" i="3"/>
  <c r="K27" i="2"/>
  <c r="L27" i="2" s="1"/>
  <c r="M27" i="2" s="1"/>
  <c r="E7" i="1"/>
  <c r="K24" i="2"/>
  <c r="L24" i="2" s="1"/>
  <c r="E15" i="1"/>
  <c r="K15" i="2"/>
  <c r="L15" i="2" s="1"/>
  <c r="M15" i="2" s="1"/>
  <c r="J9" i="2"/>
  <c r="K9" i="2" s="1"/>
  <c r="L9" i="2" s="1"/>
  <c r="G10" i="4"/>
  <c r="H10" i="4" s="1"/>
  <c r="G26" i="4"/>
  <c r="J30" i="3"/>
  <c r="M25" i="3"/>
  <c r="M20" i="3"/>
  <c r="K13" i="2"/>
  <c r="L13" i="2" s="1"/>
  <c r="M13" i="2" s="1"/>
  <c r="E11" i="1"/>
  <c r="J25" i="3"/>
  <c r="K8" i="2"/>
  <c r="L8" i="2" s="1"/>
  <c r="F2" i="1" s="1"/>
  <c r="K16" i="2"/>
  <c r="L16" i="2" s="1"/>
  <c r="M16" i="2" s="1"/>
  <c r="H39" i="4"/>
  <c r="K39" i="5"/>
  <c r="L32" i="1" s="1"/>
  <c r="K18" i="5"/>
  <c r="L11" i="1" s="1"/>
  <c r="K12" i="5"/>
  <c r="L12" i="5" s="1"/>
  <c r="K19" i="2"/>
  <c r="L19" i="2" s="1"/>
  <c r="F13" i="1" s="1"/>
  <c r="K18" i="2"/>
  <c r="L18" i="2" s="1"/>
  <c r="M18" i="2" s="1"/>
  <c r="K12" i="2"/>
  <c r="L12" i="2" s="1"/>
  <c r="K10" i="2"/>
  <c r="L10" i="2" s="1"/>
  <c r="M10" i="2" s="1"/>
  <c r="F8" i="1"/>
  <c r="M19" i="2"/>
  <c r="K23" i="2"/>
  <c r="L23" i="2" s="1"/>
  <c r="M23" i="2" s="1"/>
  <c r="M8" i="2"/>
  <c r="M11" i="2"/>
  <c r="I41" i="5"/>
  <c r="K38" i="5"/>
  <c r="K26" i="5"/>
  <c r="L19" i="1" s="1"/>
  <c r="K23" i="5"/>
  <c r="L16" i="1" s="1"/>
  <c r="K20" i="5"/>
  <c r="L20" i="5" s="1"/>
  <c r="K17" i="5"/>
  <c r="L10" i="1" s="1"/>
  <c r="K14" i="5"/>
  <c r="L14" i="5" s="1"/>
  <c r="K11" i="5"/>
  <c r="L11" i="5" s="1"/>
  <c r="M39" i="3"/>
  <c r="M31" i="3"/>
  <c r="M11" i="3"/>
  <c r="M9" i="3"/>
  <c r="K29" i="2"/>
  <c r="L29" i="2" s="1"/>
  <c r="J39" i="3"/>
  <c r="J31" i="3"/>
  <c r="E23" i="1"/>
  <c r="E4" i="1"/>
  <c r="M29" i="3"/>
  <c r="J24" i="3"/>
  <c r="M19" i="3"/>
  <c r="J16" i="3"/>
  <c r="J9" i="3"/>
  <c r="M33" i="1"/>
  <c r="H9" i="4"/>
  <c r="K37" i="5"/>
  <c r="L30" i="1" s="1"/>
  <c r="K28" i="5"/>
  <c r="L21" i="1" s="1"/>
  <c r="K25" i="5"/>
  <c r="L25" i="5" s="1"/>
  <c r="K22" i="5"/>
  <c r="K19" i="5"/>
  <c r="L12" i="1" s="1"/>
  <c r="K16" i="5"/>
  <c r="L16" i="5" s="1"/>
  <c r="K13" i="5"/>
  <c r="L6" i="1" s="1"/>
  <c r="K10" i="5"/>
  <c r="L3" i="1" s="1"/>
  <c r="J37" i="3"/>
  <c r="M27" i="3"/>
  <c r="J22" i="3"/>
  <c r="J14" i="3"/>
  <c r="I39" i="2"/>
  <c r="M32" i="3"/>
  <c r="J27" i="3"/>
  <c r="M12" i="3"/>
  <c r="P8" i="3"/>
  <c r="J32" i="3"/>
  <c r="M17" i="3"/>
  <c r="H37" i="4"/>
  <c r="M30" i="3"/>
  <c r="J17" i="3"/>
  <c r="M10" i="3"/>
  <c r="H18" i="4"/>
  <c r="D40" i="4"/>
  <c r="C40" i="4"/>
  <c r="M33" i="3"/>
  <c r="J28" i="3"/>
  <c r="M21" i="3"/>
  <c r="M18" i="3"/>
  <c r="M13" i="3"/>
  <c r="G32" i="2"/>
  <c r="K32" i="2" s="1"/>
  <c r="L32" i="2" s="1"/>
  <c r="G14" i="4"/>
  <c r="L20" i="1"/>
  <c r="L17" i="5"/>
  <c r="K32" i="5"/>
  <c r="L25" i="1" s="1"/>
  <c r="K30" i="5"/>
  <c r="L30" i="5" s="1"/>
  <c r="L8" i="1"/>
  <c r="L19" i="5"/>
  <c r="L9" i="5"/>
  <c r="L2" i="1"/>
  <c r="K31" i="5"/>
  <c r="L24" i="1" s="1"/>
  <c r="K29" i="5"/>
  <c r="L29" i="5" s="1"/>
  <c r="K24" i="5"/>
  <c r="L24" i="5" s="1"/>
  <c r="L27" i="5"/>
  <c r="L39" i="5"/>
  <c r="D12" i="5"/>
  <c r="D40" i="5" s="1"/>
  <c r="C9" i="5"/>
  <c r="C40" i="5" s="1"/>
  <c r="K37" i="2"/>
  <c r="L37" i="2" s="1"/>
  <c r="G38" i="2"/>
  <c r="K38" i="2" s="1"/>
  <c r="L38" i="2" s="1"/>
  <c r="F32" i="1" s="1"/>
  <c r="L22" i="5"/>
  <c r="L15" i="1"/>
  <c r="L21" i="5"/>
  <c r="L14" i="1"/>
  <c r="J40" i="5"/>
  <c r="I33" i="1"/>
  <c r="H23" i="4"/>
  <c r="H15" i="4"/>
  <c r="F40" i="4"/>
  <c r="G24" i="4"/>
  <c r="G20" i="4"/>
  <c r="G16" i="4"/>
  <c r="G12" i="4"/>
  <c r="K26" i="2"/>
  <c r="L26" i="2" s="1"/>
  <c r="M26" i="2" s="1"/>
  <c r="K28" i="2"/>
  <c r="L28" i="2" s="1"/>
  <c r="M28" i="2" s="1"/>
  <c r="K20" i="2"/>
  <c r="L20" i="2" s="1"/>
  <c r="M20" i="2" s="1"/>
  <c r="K31" i="2"/>
  <c r="L31" i="2" s="1"/>
  <c r="F25" i="1" s="1"/>
  <c r="J25" i="2"/>
  <c r="K25" i="2" s="1"/>
  <c r="L25" i="2" s="1"/>
  <c r="M25" i="2" s="1"/>
  <c r="J21" i="2"/>
  <c r="K21" i="2" s="1"/>
  <c r="L21" i="2" s="1"/>
  <c r="E20" i="1"/>
  <c r="K30" i="2"/>
  <c r="L30" i="2" s="1"/>
  <c r="F24" i="1" s="1"/>
  <c r="K22" i="2"/>
  <c r="L22" i="2" s="1"/>
  <c r="E16" i="1"/>
  <c r="M24" i="2"/>
  <c r="F18" i="1"/>
  <c r="F39" i="2"/>
  <c r="E22" i="1"/>
  <c r="E14" i="1"/>
  <c r="M37" i="2" l="1"/>
  <c r="F31" i="1"/>
  <c r="M32" i="2"/>
  <c r="F26" i="1"/>
  <c r="L38" i="5"/>
  <c r="L31" i="1"/>
  <c r="M36" i="2"/>
  <c r="F30" i="1"/>
  <c r="E33" i="1"/>
  <c r="F9" i="1"/>
  <c r="P36" i="3"/>
  <c r="P34" i="3"/>
  <c r="Q34" i="3" s="1"/>
  <c r="P35" i="3"/>
  <c r="H21" i="4"/>
  <c r="Q35" i="3"/>
  <c r="M31" i="2"/>
  <c r="L7" i="1"/>
  <c r="Q36" i="3"/>
  <c r="F6" i="1"/>
  <c r="F17" i="1"/>
  <c r="L13" i="1"/>
  <c r="F4" i="1"/>
  <c r="H17" i="4"/>
  <c r="L10" i="5"/>
  <c r="L36" i="5"/>
  <c r="L37" i="5"/>
  <c r="L9" i="1"/>
  <c r="L13" i="5"/>
  <c r="L5" i="1"/>
  <c r="L18" i="1"/>
  <c r="L4" i="1"/>
  <c r="H19" i="4"/>
  <c r="H25" i="4"/>
  <c r="F3" i="1"/>
  <c r="M9" i="2"/>
  <c r="I41" i="2"/>
  <c r="F11" i="1"/>
  <c r="M12" i="2"/>
  <c r="F21" i="1"/>
  <c r="H22" i="4"/>
  <c r="F23" i="1"/>
  <c r="G33" i="1"/>
  <c r="H26" i="4"/>
  <c r="M30" i="2"/>
  <c r="F20" i="1"/>
  <c r="L18" i="5"/>
  <c r="F12" i="1"/>
  <c r="F7" i="1"/>
  <c r="F10" i="1"/>
  <c r="F22" i="1"/>
  <c r="L28" i="5"/>
  <c r="L17" i="1"/>
  <c r="M29" i="2"/>
  <c r="L23" i="1"/>
  <c r="L22" i="1"/>
  <c r="L26" i="5"/>
  <c r="H14" i="4"/>
  <c r="P16" i="3"/>
  <c r="Q16" i="3" s="1"/>
  <c r="P24" i="3"/>
  <c r="Q24" i="3" s="1"/>
  <c r="P11" i="3"/>
  <c r="Q11" i="3" s="1"/>
  <c r="P31" i="3"/>
  <c r="Q31" i="3" s="1"/>
  <c r="H24" i="1" s="1"/>
  <c r="P39" i="3"/>
  <c r="Q39" i="3" s="1"/>
  <c r="H32" i="1" s="1"/>
  <c r="P26" i="3"/>
  <c r="Q26" i="3" s="1"/>
  <c r="P13" i="3"/>
  <c r="Q13" i="3" s="1"/>
  <c r="P18" i="3"/>
  <c r="Q18" i="3" s="1"/>
  <c r="P21" i="3"/>
  <c r="Q21" i="3" s="1"/>
  <c r="P33" i="3"/>
  <c r="Q33" i="3" s="1"/>
  <c r="H26" i="1" s="1"/>
  <c r="P28" i="3"/>
  <c r="Q28" i="3" s="1"/>
  <c r="P15" i="3"/>
  <c r="Q15" i="3" s="1"/>
  <c r="P23" i="3"/>
  <c r="Q23" i="3" s="1"/>
  <c r="P38" i="3"/>
  <c r="Q38" i="3" s="1"/>
  <c r="H31" i="1" s="1"/>
  <c r="P10" i="3"/>
  <c r="Q10" i="3" s="1"/>
  <c r="P30" i="3"/>
  <c r="Q30" i="3" s="1"/>
  <c r="P9" i="3"/>
  <c r="Q9" i="3" s="1"/>
  <c r="P17" i="3"/>
  <c r="Q17" i="3" s="1"/>
  <c r="P20" i="3"/>
  <c r="Q20" i="3" s="1"/>
  <c r="P25" i="3"/>
  <c r="Q25" i="3" s="1"/>
  <c r="P32" i="3"/>
  <c r="Q32" i="3" s="1"/>
  <c r="H25" i="1" s="1"/>
  <c r="P12" i="3"/>
  <c r="Q12" i="3" s="1"/>
  <c r="P27" i="3"/>
  <c r="Q27" i="3" s="1"/>
  <c r="P14" i="3"/>
  <c r="Q14" i="3" s="1"/>
  <c r="P22" i="3"/>
  <c r="Q22" i="3" s="1"/>
  <c r="P37" i="3"/>
  <c r="Q37" i="3" s="1"/>
  <c r="H30" i="1" s="1"/>
  <c r="P19" i="3"/>
  <c r="Q19" i="3" s="1"/>
  <c r="P29" i="3"/>
  <c r="Q29" i="3" s="1"/>
  <c r="F16" i="1"/>
  <c r="L23" i="5"/>
  <c r="F14" i="1"/>
  <c r="L31" i="5"/>
  <c r="L32" i="5"/>
  <c r="M38" i="2"/>
  <c r="H20" i="4"/>
  <c r="H12" i="4"/>
  <c r="H24" i="4"/>
  <c r="H16" i="4"/>
  <c r="L39" i="2"/>
  <c r="M21" i="2"/>
  <c r="F15" i="1"/>
  <c r="M22" i="2"/>
  <c r="F19" i="1"/>
  <c r="F33" i="1" l="1"/>
  <c r="L33" i="1"/>
  <c r="R35" i="3"/>
  <c r="H28" i="1"/>
  <c r="R34" i="3"/>
  <c r="H27" i="1"/>
  <c r="R36" i="3"/>
  <c r="H29" i="1"/>
  <c r="M39" i="2"/>
  <c r="H6" i="1"/>
  <c r="R13" i="3"/>
  <c r="R33" i="3"/>
  <c r="R30" i="3"/>
  <c r="H23" i="1"/>
  <c r="H7" i="1"/>
  <c r="R14" i="3"/>
  <c r="R27" i="3"/>
  <c r="H20" i="1"/>
  <c r="R28" i="3"/>
  <c r="H21" i="1"/>
  <c r="H5" i="1"/>
  <c r="R12" i="3"/>
  <c r="R32" i="3"/>
  <c r="H10" i="1"/>
  <c r="R17" i="3"/>
  <c r="R39" i="3"/>
  <c r="R22" i="3"/>
  <c r="H15" i="1"/>
  <c r="H18" i="1"/>
  <c r="R25" i="3"/>
  <c r="R20" i="3"/>
  <c r="H13" i="1"/>
  <c r="H19" i="1"/>
  <c r="R26" i="3"/>
  <c r="R15" i="3"/>
  <c r="H8" i="1"/>
  <c r="R21" i="3"/>
  <c r="H14" i="1"/>
  <c r="R29" i="3"/>
  <c r="H22" i="1"/>
  <c r="H17" i="1"/>
  <c r="R24" i="3"/>
  <c r="H3" i="1"/>
  <c r="R10" i="3"/>
  <c r="R38" i="3"/>
  <c r="H9" i="1"/>
  <c r="R16" i="3"/>
  <c r="R37" i="3"/>
  <c r="R31" i="3"/>
  <c r="R18" i="3"/>
  <c r="H11" i="1"/>
  <c r="H2" i="1"/>
  <c r="R9" i="3"/>
  <c r="H12" i="1"/>
  <c r="R19" i="3"/>
  <c r="H4" i="1"/>
  <c r="R11" i="3"/>
  <c r="L40" i="5"/>
  <c r="H16" i="1"/>
  <c r="R23" i="3"/>
  <c r="H40" i="4"/>
  <c r="H33" i="1" l="1"/>
  <c r="R40" i="3"/>
</calcChain>
</file>

<file path=xl/sharedStrings.xml><?xml version="1.0" encoding="utf-8"?>
<sst xmlns="http://schemas.openxmlformats.org/spreadsheetml/2006/main" count="116" uniqueCount="60">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</sst>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* #,##0_);_(* \(#,##0\);_(* &quot;-&quot;??_);_(@_)"/>
    <numFmt numFmtId="169" formatCode="[$$-409]#,##0.00"/>
    <numFmt numFmtId="170" formatCode="[$IDR]\ #,##0_);\([$IDR]\ #,##0\)"/>
    <numFmt numFmtId="171" formatCode="_(* #,##0.00_);_(* \(#,##0.00\);_(* &quot;-&quot;_);_(@_)"/>
    <numFmt numFmtId="172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0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8" fontId="1" fillId="0" borderId="1" xfId="4" applyNumberFormat="1" applyFont="1" applyBorder="1"/>
    <xf numFmtId="43" fontId="11" fillId="0" borderId="1" xfId="1" applyFont="1" applyFill="1" applyBorder="1" applyAlignment="1">
      <alignment horizontal="center" shrinkToFit="1"/>
    </xf>
    <xf numFmtId="168" fontId="11" fillId="0" borderId="1" xfId="1" applyNumberFormat="1" applyFont="1" applyFill="1" applyBorder="1" applyAlignment="1">
      <alignment horizontal="center" shrinkToFit="1"/>
    </xf>
    <xf numFmtId="43" fontId="10" fillId="0" borderId="1" xfId="1" applyFont="1" applyFill="1" applyBorder="1" applyAlignment="1">
      <alignment horizontal="center" shrinkToFit="1"/>
    </xf>
    <xf numFmtId="43" fontId="10" fillId="0" borderId="1" xfId="0" applyNumberFormat="1" applyFont="1" applyBorder="1" applyAlignment="1">
      <alignment shrinkToFit="1"/>
    </xf>
    <xf numFmtId="169" fontId="0" fillId="0" borderId="1" xfId="0" applyNumberFormat="1" applyBorder="1"/>
    <xf numFmtId="169" fontId="0" fillId="0" borderId="3" xfId="0" applyNumberFormat="1" applyBorder="1"/>
    <xf numFmtId="41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70" fontId="9" fillId="0" borderId="0" xfId="2" applyNumberFormat="1" applyFont="1" applyFill="1" applyBorder="1" applyAlignment="1">
      <alignment shrinkToFit="1"/>
    </xf>
    <xf numFmtId="169" fontId="12" fillId="0" borderId="0" xfId="2" applyNumberFormat="1" applyFont="1" applyFill="1" applyBorder="1" applyAlignment="1">
      <alignment shrinkToFit="1"/>
    </xf>
    <xf numFmtId="169" fontId="0" fillId="0" borderId="0" xfId="0" applyNumberFormat="1"/>
    <xf numFmtId="44" fontId="0" fillId="0" borderId="0" xfId="3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1" fillId="0" borderId="0" xfId="0" applyFont="1" applyAlignment="1">
      <alignment horizontal="center" shrinkToFit="1"/>
    </xf>
    <xf numFmtId="43" fontId="10" fillId="0" borderId="0" xfId="1" applyFont="1" applyFill="1" applyBorder="1" applyAlignment="1">
      <alignment horizontal="center" shrinkToFit="1"/>
    </xf>
    <xf numFmtId="168" fontId="10" fillId="0" borderId="0" xfId="1" applyNumberFormat="1" applyFont="1" applyFill="1" applyBorder="1" applyAlignment="1">
      <alignment horizontal="center" shrinkToFit="1"/>
    </xf>
    <xf numFmtId="43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41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168" fontId="10" fillId="0" borderId="1" xfId="1" applyNumberFormat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41" fontId="11" fillId="0" borderId="1" xfId="2" applyFont="1" applyFill="1" applyBorder="1" applyAlignment="1">
      <alignment horizontal="center" vertical="center" shrinkToFit="1"/>
    </xf>
    <xf numFmtId="166" fontId="11" fillId="0" borderId="1" xfId="1" applyNumberFormat="1" applyFont="1" applyFill="1" applyBorder="1" applyAlignment="1">
      <alignment horizontal="center" shrinkToFit="1"/>
    </xf>
    <xf numFmtId="41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Alignment="1">
      <alignment horizontal="center" shrinkToFit="1"/>
    </xf>
    <xf numFmtId="43" fontId="11" fillId="0" borderId="0" xfId="1" applyFont="1" applyFill="1" applyBorder="1" applyAlignment="1">
      <alignment horizontal="center" shrinkToFit="1"/>
    </xf>
    <xf numFmtId="168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165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8" fontId="7" fillId="0" borderId="0" xfId="1" applyNumberFormat="1" applyFont="1" applyAlignment="1">
      <alignment vertical="center"/>
    </xf>
    <xf numFmtId="167" fontId="0" fillId="0" borderId="0" xfId="0" applyNumberFormat="1" applyAlignment="1">
      <alignment horizontal="center"/>
    </xf>
    <xf numFmtId="168" fontId="0" fillId="0" borderId="0" xfId="1" applyNumberFormat="1" applyFont="1" applyAlignment="1">
      <alignment horizontal="center"/>
    </xf>
    <xf numFmtId="168" fontId="10" fillId="0" borderId="0" xfId="1" applyNumberFormat="1" applyFont="1" applyFill="1" applyBorder="1" applyAlignment="1">
      <alignment horizontal="center" vertical="center" shrinkToFit="1"/>
    </xf>
    <xf numFmtId="43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0" fontId="14" fillId="0" borderId="1" xfId="0" applyFont="1" applyBorder="1"/>
    <xf numFmtId="172" fontId="9" fillId="0" borderId="0" xfId="2" applyNumberFormat="1" applyFont="1" applyFill="1" applyBorder="1" applyAlignment="1">
      <alignment shrinkToFit="1"/>
    </xf>
    <xf numFmtId="43" fontId="9" fillId="0" borderId="0" xfId="1" applyFont="1" applyFill="1" applyBorder="1" applyAlignment="1">
      <alignment shrinkToFit="1"/>
    </xf>
    <xf numFmtId="43" fontId="7" fillId="0" borderId="0" xfId="1" applyFont="1" applyAlignment="1">
      <alignment vertical="center"/>
    </xf>
    <xf numFmtId="43" fontId="0" fillId="0" borderId="0" xfId="1" applyFont="1" applyAlignment="1">
      <alignment horizontal="center" vertical="center"/>
    </xf>
    <xf numFmtId="172" fontId="0" fillId="0" borderId="1" xfId="0" applyNumberFormat="1" applyBorder="1"/>
    <xf numFmtId="168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1" fontId="11" fillId="3" borderId="1" xfId="0" applyNumberFormat="1" applyFont="1" applyFill="1" applyBorder="1" applyAlignment="1">
      <alignment horizontal="center" shrinkToFit="1"/>
    </xf>
    <xf numFmtId="0" fontId="11" fillId="0" borderId="1" xfId="0" applyFont="1" applyBorder="1" applyAlignment="1">
      <alignment horizontal="center" vertical="center" shrinkToFit="1"/>
    </xf>
    <xf numFmtId="2" fontId="11" fillId="0" borderId="1" xfId="0" applyNumberFormat="1" applyFont="1" applyBorder="1" applyAlignment="1">
      <alignment horizontal="center" vertical="center" shrinkToFit="1"/>
    </xf>
    <xf numFmtId="1" fontId="0" fillId="0" borderId="0" xfId="0" applyNumberFormat="1"/>
    <xf numFmtId="164" fontId="11" fillId="0" borderId="1" xfId="1" applyNumberFormat="1" applyFont="1" applyFill="1" applyBorder="1" applyAlignment="1">
      <alignment horizontal="center" shrinkToFit="1"/>
    </xf>
    <xf numFmtId="172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165" fontId="15" fillId="0" borderId="0" xfId="0" applyNumberFormat="1" applyFont="1"/>
    <xf numFmtId="165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8" fontId="16" fillId="0" borderId="0" xfId="1" applyNumberFormat="1" applyFont="1" applyFill="1" applyBorder="1" applyAlignment="1">
      <alignment horizontal="center" shrinkToFit="1"/>
    </xf>
    <xf numFmtId="166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1" fontId="13" fillId="0" borderId="1" xfId="1" applyNumberFormat="1" applyFont="1" applyBorder="1"/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43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2" fontId="0" fillId="0" borderId="0" xfId="1" applyNumberFormat="1" applyFont="1"/>
    <xf numFmtId="2" fontId="0" fillId="0" borderId="0" xfId="0" applyNumberFormat="1"/>
  </cellXfs>
  <cellStyles count="5">
    <cellStyle name="Comma" xfId="1" builtinId="3"/>
    <cellStyle name="Comma [0]" xfId="2" builtinId="6"/>
    <cellStyle name="Comma 4" xfId="4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31" sqref="J31:J32"/>
    </sheetView>
  </sheetViews>
  <sheetFormatPr defaultRowHeight="15" x14ac:dyDescent="0.2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0" max="10" width="9.140625" style="108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x14ac:dyDescent="0.25">
      <c r="A2" s="6" t="s">
        <v>14</v>
      </c>
      <c r="B2" s="7">
        <v>1</v>
      </c>
      <c r="C2" s="8">
        <v>3</v>
      </c>
      <c r="D2" s="7">
        <v>2022</v>
      </c>
      <c r="E2" s="9">
        <f>Electricity!F8+Electricity!I8</f>
        <v>7359.9999999999</v>
      </c>
      <c r="F2" s="10">
        <f>Electricity!L8/TOTAL!E2</f>
        <v>1241.1930706521705</v>
      </c>
      <c r="G2" s="9">
        <f>Gas!F9+Gas!I9+Gas!L9+Gas!O9</f>
        <v>60.954080000002342</v>
      </c>
      <c r="H2" s="10">
        <f>Gas!Q9/TOTAL!G2</f>
        <v>15840</v>
      </c>
      <c r="I2" s="9">
        <f>'Fuel Diesel'!F9</f>
        <v>0</v>
      </c>
      <c r="J2" s="10">
        <f>'Fuel Diesel'!H9</f>
        <v>0</v>
      </c>
      <c r="K2" s="9">
        <f>Water!E9+Water!G9+Water!I9</f>
        <v>140</v>
      </c>
      <c r="L2" s="10">
        <f>Water!K9/TOTAL!K2</f>
        <v>4000</v>
      </c>
      <c r="M2" s="9">
        <f>Electricity!C8</f>
        <v>5</v>
      </c>
      <c r="N2" s="9">
        <f>Electricity!D8</f>
        <v>32</v>
      </c>
    </row>
    <row r="3" spans="1:14" x14ac:dyDescent="0.25">
      <c r="A3" s="6" t="s">
        <v>14</v>
      </c>
      <c r="B3" s="7">
        <f>B2+1</f>
        <v>2</v>
      </c>
      <c r="C3" s="8">
        <v>3</v>
      </c>
      <c r="D3" s="7">
        <v>2022</v>
      </c>
      <c r="E3" s="9">
        <f>Electricity!F9+Electricity!I9</f>
        <v>8039.9999999999636</v>
      </c>
      <c r="F3" s="10">
        <f>Electricity!L9/TOTAL!E3</f>
        <v>1239.6377487562245</v>
      </c>
      <c r="G3" s="9">
        <f>Gas!F10+Gas!I10+Gas!L10+Gas!O10</f>
        <v>52.293880000003803</v>
      </c>
      <c r="H3" s="10">
        <f>Gas!Q10/TOTAL!G3</f>
        <v>15840</v>
      </c>
      <c r="I3" s="9">
        <f>'Fuel Diesel'!F10</f>
        <v>0</v>
      </c>
      <c r="J3" s="10">
        <f>'Fuel Diesel'!H10</f>
        <v>0</v>
      </c>
      <c r="K3" s="9">
        <f>Water!E10+Water!G10+Water!I10</f>
        <v>160</v>
      </c>
      <c r="L3" s="10">
        <f>Water!K10/TOTAL!K3</f>
        <v>4000</v>
      </c>
      <c r="M3" s="9">
        <f>Electricity!C9</f>
        <v>22</v>
      </c>
      <c r="N3" s="9">
        <f>Electricity!D9</f>
        <v>60</v>
      </c>
    </row>
    <row r="4" spans="1:14" x14ac:dyDescent="0.25">
      <c r="A4" s="6" t="s">
        <v>14</v>
      </c>
      <c r="B4" s="7">
        <f t="shared" ref="B4:B32" si="0">B3+1</f>
        <v>3</v>
      </c>
      <c r="C4" s="8">
        <v>3</v>
      </c>
      <c r="D4" s="7">
        <v>2022</v>
      </c>
      <c r="E4" s="9">
        <f>Electricity!F10+Electricity!I10</f>
        <v>8579.9999999998145</v>
      </c>
      <c r="F4" s="10">
        <f>Electricity!L10/TOTAL!E4</f>
        <v>1234.6346153846134</v>
      </c>
      <c r="G4" s="9">
        <f>Gas!F11+Gas!I11+Gas!L11+Gas!O11</f>
        <v>67.559999999999988</v>
      </c>
      <c r="H4" s="10">
        <f>Gas!Q11/TOTAL!G4</f>
        <v>15840.000000000002</v>
      </c>
      <c r="I4" s="9">
        <f>'Fuel Diesel'!F11</f>
        <v>0</v>
      </c>
      <c r="J4" s="10">
        <f>'Fuel Diesel'!H11</f>
        <v>0</v>
      </c>
      <c r="K4" s="9">
        <f>Water!E11+Water!G11+Water!I11</f>
        <v>133</v>
      </c>
      <c r="L4" s="10">
        <f>Water!K11/TOTAL!K4</f>
        <v>4000</v>
      </c>
      <c r="M4" s="9">
        <f>Electricity!C10</f>
        <v>22</v>
      </c>
      <c r="N4" s="9">
        <f>Electricity!D10</f>
        <v>120</v>
      </c>
    </row>
    <row r="5" spans="1:14" x14ac:dyDescent="0.25">
      <c r="A5" s="6" t="s">
        <v>14</v>
      </c>
      <c r="B5" s="7">
        <f t="shared" si="0"/>
        <v>4</v>
      </c>
      <c r="C5" s="8">
        <v>3</v>
      </c>
      <c r="D5" s="7">
        <v>2022</v>
      </c>
      <c r="E5" s="9">
        <f>Electricity!F11+Electricity!I11</f>
        <v>7500.0000000002274</v>
      </c>
      <c r="F5" s="10">
        <f>Electricity!L11/TOTAL!E5</f>
        <v>1234.7301999999966</v>
      </c>
      <c r="G5" s="9">
        <f>Gas!F12+Gas!I12+Gas!L12+Gas!O12</f>
        <v>52.656399999997063</v>
      </c>
      <c r="H5" s="10">
        <f>Gas!Q12/TOTAL!G5</f>
        <v>15840</v>
      </c>
      <c r="I5" s="9">
        <f>'Fuel Diesel'!F12</f>
        <v>0</v>
      </c>
      <c r="J5" s="10">
        <f>'Fuel Diesel'!H12</f>
        <v>0</v>
      </c>
      <c r="K5" s="9">
        <f>Water!E12+Water!G12+Water!I12</f>
        <v>138</v>
      </c>
      <c r="L5" s="10">
        <f>Water!K12/TOTAL!K5</f>
        <v>4000</v>
      </c>
      <c r="M5" s="9">
        <f>Electricity!C11</f>
        <v>11</v>
      </c>
      <c r="N5" s="9">
        <f>Electricity!D11</f>
        <v>46</v>
      </c>
    </row>
    <row r="6" spans="1:14" x14ac:dyDescent="0.25">
      <c r="A6" s="6" t="s">
        <v>14</v>
      </c>
      <c r="B6" s="7">
        <f t="shared" si="0"/>
        <v>5</v>
      </c>
      <c r="C6" s="8">
        <v>3</v>
      </c>
      <c r="D6" s="7">
        <v>2022</v>
      </c>
      <c r="E6" s="9">
        <f>Electricity!F12+Electricity!I12</f>
        <v>7359.9999999999</v>
      </c>
      <c r="F6" s="10">
        <f>Electricity!L12/TOTAL!E6</f>
        <v>1233.454959239134</v>
      </c>
      <c r="G6" s="9">
        <f>Gas!F13+Gas!I13+Gas!L13+Gas!O13</f>
        <v>47.621399999997067</v>
      </c>
      <c r="H6" s="10">
        <f>Gas!Q13/TOTAL!G6</f>
        <v>15839.999999999998</v>
      </c>
      <c r="I6" s="9">
        <f>'Fuel Diesel'!F13</f>
        <v>0</v>
      </c>
      <c r="J6" s="10">
        <f>'Fuel Diesel'!H13</f>
        <v>0</v>
      </c>
      <c r="K6" s="9">
        <f>Water!E13+Water!G13+Water!I13</f>
        <v>153</v>
      </c>
      <c r="L6" s="10">
        <f>Water!K13/TOTAL!K6</f>
        <v>4000</v>
      </c>
      <c r="M6" s="9">
        <f>Electricity!C12</f>
        <v>8</v>
      </c>
      <c r="N6" s="9">
        <f>Electricity!D12</f>
        <v>41</v>
      </c>
    </row>
    <row r="7" spans="1:14" x14ac:dyDescent="0.25">
      <c r="A7" s="6" t="s">
        <v>14</v>
      </c>
      <c r="B7" s="7">
        <f t="shared" si="0"/>
        <v>6</v>
      </c>
      <c r="C7" s="8">
        <v>3</v>
      </c>
      <c r="D7" s="7">
        <v>2022</v>
      </c>
      <c r="E7" s="9">
        <f>Electricity!F13+Electricity!I13</f>
        <v>6679.99999999995</v>
      </c>
      <c r="F7" s="10">
        <f>Electricity!L13/TOTAL!E7</f>
        <v>1231.1288922155732</v>
      </c>
      <c r="G7" s="9">
        <f>Gas!F14+Gas!I14+Gas!L14+Gas!O14</f>
        <v>51.085479999999407</v>
      </c>
      <c r="H7" s="10">
        <f>Gas!Q14/TOTAL!G7</f>
        <v>15840</v>
      </c>
      <c r="I7" s="9">
        <f>'Fuel Diesel'!F14</f>
        <v>0</v>
      </c>
      <c r="J7" s="10">
        <f>'Fuel Diesel'!H14</f>
        <v>0</v>
      </c>
      <c r="K7" s="9">
        <f>Water!E14+Water!G14+Water!I14</f>
        <v>107</v>
      </c>
      <c r="L7" s="10">
        <f>Water!K14/TOTAL!K7</f>
        <v>4000</v>
      </c>
      <c r="M7" s="9">
        <f>Electricity!C13</f>
        <v>2</v>
      </c>
      <c r="N7" s="9">
        <f>Electricity!D13</f>
        <v>22</v>
      </c>
    </row>
    <row r="8" spans="1:14" x14ac:dyDescent="0.25">
      <c r="A8" s="6" t="s">
        <v>14</v>
      </c>
      <c r="B8" s="7">
        <f t="shared" si="0"/>
        <v>7</v>
      </c>
      <c r="C8" s="8">
        <v>3</v>
      </c>
      <c r="D8" s="7">
        <v>2022</v>
      </c>
      <c r="E8" s="9">
        <f>Electricity!F14+Electricity!I14</f>
        <v>6280.0000000002001</v>
      </c>
      <c r="F8" s="10">
        <f>Electricity!L14/TOTAL!E8</f>
        <v>1231.5524681528618</v>
      </c>
      <c r="G8" s="9">
        <f>Gas!F15+Gas!I15+Gas!L15+Gas!O15</f>
        <v>41.780800000001463</v>
      </c>
      <c r="H8" s="10">
        <f>Gas!Q15/TOTAL!G8</f>
        <v>15840</v>
      </c>
      <c r="I8" s="9">
        <f>'Fuel Diesel'!F15</f>
        <v>0</v>
      </c>
      <c r="J8" s="10">
        <f>'Fuel Diesel'!H15</f>
        <v>0</v>
      </c>
      <c r="K8" s="9">
        <f>Water!E15+Water!G15+Water!I15</f>
        <v>101</v>
      </c>
      <c r="L8" s="10">
        <f>Water!K15/TOTAL!K8</f>
        <v>4000</v>
      </c>
      <c r="M8" s="9">
        <f>Electricity!C14</f>
        <v>2</v>
      </c>
      <c r="N8" s="9">
        <f>Electricity!D14</f>
        <v>20</v>
      </c>
    </row>
    <row r="9" spans="1:14" x14ac:dyDescent="0.25">
      <c r="A9" s="6" t="s">
        <v>14</v>
      </c>
      <c r="B9" s="7">
        <f t="shared" si="0"/>
        <v>8</v>
      </c>
      <c r="C9" s="8">
        <v>3</v>
      </c>
      <c r="D9" s="7">
        <v>2022</v>
      </c>
      <c r="E9" s="9">
        <f>Electricity!F15+Electricity!I15</f>
        <v>6199.9999999998181</v>
      </c>
      <c r="F9" s="10">
        <f>Electricity!L15/TOTAL!E9</f>
        <v>1230.9088709677446</v>
      </c>
      <c r="G9" s="9">
        <f>Gas!F16+Gas!I16+Gas!L16+Gas!O16</f>
        <v>45.808800000001462</v>
      </c>
      <c r="H9" s="10">
        <f>Gas!Q16/TOTAL!G9</f>
        <v>15840</v>
      </c>
      <c r="I9" s="9">
        <f>'Fuel Diesel'!F16</f>
        <v>0</v>
      </c>
      <c r="J9" s="10">
        <f>'Fuel Diesel'!H16</f>
        <v>0</v>
      </c>
      <c r="K9" s="9">
        <f>Water!E16+Water!G16+Water!I16</f>
        <v>88</v>
      </c>
      <c r="L9" s="10">
        <f>Water!K16/TOTAL!K9</f>
        <v>4000</v>
      </c>
      <c r="M9" s="9">
        <f>Electricity!C15</f>
        <v>2</v>
      </c>
      <c r="N9" s="9">
        <f>Electricity!D15</f>
        <v>20</v>
      </c>
    </row>
    <row r="10" spans="1:14" x14ac:dyDescent="0.25">
      <c r="A10" s="6" t="s">
        <v>14</v>
      </c>
      <c r="B10" s="7">
        <f t="shared" si="0"/>
        <v>9</v>
      </c>
      <c r="C10" s="8">
        <v>3</v>
      </c>
      <c r="D10" s="7">
        <v>2022</v>
      </c>
      <c r="E10" s="9">
        <f>Electricity!F16+Electricity!I16</f>
        <v>6240.0000000003502</v>
      </c>
      <c r="F10" s="10">
        <f>Electricity!L16/TOTAL!E10</f>
        <v>1237.6216346153828</v>
      </c>
      <c r="G10" s="9">
        <f>Gas!F17+Gas!I17+Gas!L17+Gas!O17</f>
        <v>42.344719999999114</v>
      </c>
      <c r="H10" s="10">
        <f>Gas!Q17/TOTAL!G10</f>
        <v>15839.999999999998</v>
      </c>
      <c r="I10" s="9">
        <f>'Fuel Diesel'!F17</f>
        <v>13</v>
      </c>
      <c r="J10" s="106">
        <f>'Fuel Diesel'!H17</f>
        <v>9.6724845281969269</v>
      </c>
      <c r="K10" s="9">
        <f>Water!E17+Water!G17+Water!I17</f>
        <v>107</v>
      </c>
      <c r="L10" s="10">
        <f>Water!K17/TOTAL!K10</f>
        <v>4000</v>
      </c>
      <c r="M10" s="9">
        <f>Electricity!C16</f>
        <v>3</v>
      </c>
      <c r="N10" s="9">
        <f>Electricity!D16</f>
        <v>14</v>
      </c>
    </row>
    <row r="11" spans="1:14" x14ac:dyDescent="0.25">
      <c r="A11" s="6" t="s">
        <v>14</v>
      </c>
      <c r="B11" s="7">
        <f t="shared" si="0"/>
        <v>10</v>
      </c>
      <c r="C11" s="8">
        <v>3</v>
      </c>
      <c r="D11" s="7">
        <v>2022</v>
      </c>
      <c r="E11" s="9">
        <f>Electricity!F17+Electricity!I17</f>
        <v>6099.9999999997954</v>
      </c>
      <c r="F11" s="10">
        <f>Electricity!L17/TOTAL!E11</f>
        <v>1226.8128688524566</v>
      </c>
      <c r="G11" s="9">
        <f>Gas!F18+Gas!I18+Gas!L18+Gas!O18</f>
        <v>46.090760000000287</v>
      </c>
      <c r="H11" s="10">
        <f>Gas!Q18/TOTAL!G11</f>
        <v>15839.999999999998</v>
      </c>
      <c r="I11" s="9">
        <f>'Fuel Diesel'!F18</f>
        <v>1</v>
      </c>
      <c r="J11" s="106">
        <f>'Fuel Diesel'!H18</f>
        <v>0.74403727139976361</v>
      </c>
      <c r="K11" s="9">
        <f>Water!E18+Water!G18+Water!I18</f>
        <v>101</v>
      </c>
      <c r="L11" s="10">
        <f>Water!K18/TOTAL!K11</f>
        <v>4000</v>
      </c>
      <c r="M11" s="9">
        <f>Electricity!C17</f>
        <v>5</v>
      </c>
      <c r="N11" s="9">
        <f>Electricity!D17</f>
        <v>8</v>
      </c>
    </row>
    <row r="12" spans="1:14" x14ac:dyDescent="0.25">
      <c r="A12" s="6" t="s">
        <v>14</v>
      </c>
      <c r="B12" s="7">
        <f t="shared" si="0"/>
        <v>11</v>
      </c>
      <c r="C12" s="8">
        <v>3</v>
      </c>
      <c r="D12" s="7">
        <v>2022</v>
      </c>
      <c r="E12" s="9">
        <f>Electricity!F18+Electricity!I18</f>
        <v>6219.9999999999136</v>
      </c>
      <c r="F12" s="10">
        <f>Electricity!L18/TOTAL!E12</f>
        <v>1239.7698553054699</v>
      </c>
      <c r="G12" s="9">
        <f>Gas!F19+Gas!I19+Gas!L19+Gas!O19</f>
        <v>42.7072399999997</v>
      </c>
      <c r="H12" s="10">
        <f>Gas!Q19/TOTAL!G12</f>
        <v>15840</v>
      </c>
      <c r="I12" s="9">
        <f>'Fuel Diesel'!F19</f>
        <v>0</v>
      </c>
      <c r="J12" s="10">
        <f>'Fuel Diesel'!H19</f>
        <v>0</v>
      </c>
      <c r="K12" s="9">
        <f>Water!E19+Water!G19+Water!I19</f>
        <v>96</v>
      </c>
      <c r="L12" s="10">
        <f>Water!K19/TOTAL!K12</f>
        <v>4000</v>
      </c>
      <c r="M12" s="9">
        <f>Electricity!C18</f>
        <v>4</v>
      </c>
      <c r="N12" s="9">
        <f>Electricity!D18</f>
        <v>25</v>
      </c>
    </row>
    <row r="13" spans="1:14" x14ac:dyDescent="0.25">
      <c r="A13" s="6" t="s">
        <v>14</v>
      </c>
      <c r="B13" s="7">
        <f t="shared" si="0"/>
        <v>12</v>
      </c>
      <c r="C13" s="8">
        <v>3</v>
      </c>
      <c r="D13" s="7">
        <v>2022</v>
      </c>
      <c r="E13" s="9">
        <f>Electricity!F19+Electricity!I19</f>
        <v>6719.9999999999136</v>
      </c>
      <c r="F13" s="10">
        <f>Electricity!L19/TOTAL!E13</f>
        <v>1235.6658482142859</v>
      </c>
      <c r="G13" s="9">
        <f>Gas!F20+Gas!I20+Gas!L20+Gas!O20</f>
        <v>46.735239999999706</v>
      </c>
      <c r="H13" s="10">
        <f>Gas!Q20/TOTAL!G13</f>
        <v>15839.999999999998</v>
      </c>
      <c r="I13" s="9">
        <f>'Fuel Diesel'!F20</f>
        <v>0</v>
      </c>
      <c r="J13" s="10">
        <f>'Fuel Diesel'!H20</f>
        <v>0</v>
      </c>
      <c r="K13" s="9">
        <f>Water!E20+Water!G20+Water!I20</f>
        <v>108</v>
      </c>
      <c r="L13" s="10">
        <f>Water!K20/TOTAL!K13</f>
        <v>4000</v>
      </c>
      <c r="M13" s="9">
        <f>Electricity!C19</f>
        <v>5</v>
      </c>
      <c r="N13" s="9">
        <f>Electricity!D19</f>
        <v>36</v>
      </c>
    </row>
    <row r="14" spans="1:14" x14ac:dyDescent="0.25">
      <c r="A14" s="6" t="s">
        <v>14</v>
      </c>
      <c r="B14" s="7">
        <f t="shared" si="0"/>
        <v>13</v>
      </c>
      <c r="C14" s="8">
        <v>3</v>
      </c>
      <c r="D14" s="7">
        <v>2022</v>
      </c>
      <c r="E14" s="9">
        <f>Electricity!F20+Electricity!I20</f>
        <v>6880.0000000002228</v>
      </c>
      <c r="F14" s="10">
        <f>Electricity!L20/TOTAL!E14</f>
        <v>1235.0745639534828</v>
      </c>
      <c r="G14" s="9">
        <f>Gas!F21+Gas!I21+Gas!L21+Gas!O21</f>
        <v>46.614400000004395</v>
      </c>
      <c r="H14" s="10">
        <f>Gas!Q21/TOTAL!G14</f>
        <v>15839.999999999998</v>
      </c>
      <c r="I14" s="9">
        <f>'Fuel Diesel'!F21</f>
        <v>0</v>
      </c>
      <c r="J14" s="10">
        <f>'Fuel Diesel'!H21</f>
        <v>0</v>
      </c>
      <c r="K14" s="9">
        <f>Water!E21+Water!G21+Water!I21</f>
        <v>93</v>
      </c>
      <c r="L14" s="10">
        <f>Water!K21/TOTAL!K14</f>
        <v>4000</v>
      </c>
      <c r="M14" s="9">
        <f>Electricity!C20</f>
        <v>9</v>
      </c>
      <c r="N14" s="9">
        <f>Electricity!D20</f>
        <v>42</v>
      </c>
    </row>
    <row r="15" spans="1:14" x14ac:dyDescent="0.25">
      <c r="A15" s="6" t="s">
        <v>14</v>
      </c>
      <c r="B15" s="7">
        <f t="shared" si="0"/>
        <v>14</v>
      </c>
      <c r="C15" s="8">
        <v>3</v>
      </c>
      <c r="D15" s="7">
        <v>2022</v>
      </c>
      <c r="E15" s="9">
        <f>Electricity!F21+Electricity!I21</f>
        <v>7419.9999999998454</v>
      </c>
      <c r="F15" s="10">
        <f>Electricity!L21/TOTAL!E15</f>
        <v>1234.2266846361215</v>
      </c>
      <c r="G15" s="9">
        <f>Gas!F22+Gas!I22+Gas!L22+Gas!O22</f>
        <v>50.078479999999409</v>
      </c>
      <c r="H15" s="10">
        <f>Gas!Q22/TOTAL!G15</f>
        <v>15840</v>
      </c>
      <c r="I15" s="9">
        <f>'Fuel Diesel'!F22</f>
        <v>0</v>
      </c>
      <c r="J15" s="10">
        <f>'Fuel Diesel'!H22</f>
        <v>0</v>
      </c>
      <c r="K15" s="9">
        <f>Water!E22+Water!G22+Water!I22</f>
        <v>114</v>
      </c>
      <c r="L15" s="10">
        <f>Water!K22/TOTAL!K15</f>
        <v>4000</v>
      </c>
      <c r="M15" s="9">
        <f>Electricity!C21</f>
        <v>6</v>
      </c>
      <c r="N15" s="9">
        <f>Electricity!D21</f>
        <v>32</v>
      </c>
    </row>
    <row r="16" spans="1:14" x14ac:dyDescent="0.25">
      <c r="A16" s="6" t="s">
        <v>14</v>
      </c>
      <c r="B16" s="7">
        <f t="shared" si="0"/>
        <v>15</v>
      </c>
      <c r="C16" s="8">
        <v>3</v>
      </c>
      <c r="D16" s="7">
        <v>2022</v>
      </c>
      <c r="E16" s="9">
        <f>Electricity!F22+Electricity!I22</f>
        <v>7319.9999999999363</v>
      </c>
      <c r="F16" s="10">
        <f>Electricity!L22/TOTAL!E16</f>
        <v>1232.4147540983652</v>
      </c>
      <c r="G16" s="9">
        <f>Gas!F23+Gas!I23+Gas!L23+Gas!O23</f>
        <v>50.722959999998821</v>
      </c>
      <c r="H16" s="10">
        <f>Gas!Q23/TOTAL!G16</f>
        <v>15839.999999999998</v>
      </c>
      <c r="I16" s="9">
        <f>'Fuel Diesel'!F23</f>
        <v>12</v>
      </c>
      <c r="J16" s="106">
        <f>'Fuel Diesel'!H23</f>
        <v>8.9284472567971633</v>
      </c>
      <c r="K16" s="9">
        <f>Water!E23+Water!G23+Water!I23</f>
        <v>121</v>
      </c>
      <c r="L16" s="10">
        <f>Water!K23/TOTAL!K16</f>
        <v>4000</v>
      </c>
      <c r="M16" s="9">
        <f>Electricity!C22</f>
        <v>6</v>
      </c>
      <c r="N16" s="9">
        <f>Electricity!D22</f>
        <v>43</v>
      </c>
    </row>
    <row r="17" spans="1:14" x14ac:dyDescent="0.25">
      <c r="A17" s="6" t="s">
        <v>14</v>
      </c>
      <c r="B17" s="7">
        <f t="shared" si="0"/>
        <v>16</v>
      </c>
      <c r="C17" s="8">
        <v>3</v>
      </c>
      <c r="D17" s="7">
        <v>2022</v>
      </c>
      <c r="E17" s="9">
        <f>Electricity!F23+Electricity!I23</f>
        <v>7080.0000000001546</v>
      </c>
      <c r="F17" s="10">
        <f>Electricity!L23/TOTAL!E17</f>
        <v>1237.1884887005654</v>
      </c>
      <c r="G17" s="9">
        <f>Gas!F24+Gas!I24+Gas!L24+Gas!O24</f>
        <v>51.447999999999993</v>
      </c>
      <c r="H17" s="10">
        <f>Gas!Q24/TOTAL!G17</f>
        <v>15839.999999999998</v>
      </c>
      <c r="I17" s="9">
        <f>'Fuel Diesel'!F24</f>
        <v>0</v>
      </c>
      <c r="J17" s="10">
        <f>'Fuel Diesel'!H24</f>
        <v>0</v>
      </c>
      <c r="K17" s="9">
        <f>Water!E24+Water!G24+Water!I24</f>
        <v>125</v>
      </c>
      <c r="L17" s="10">
        <f>Water!K24/TOTAL!K17</f>
        <v>4000</v>
      </c>
      <c r="M17" s="9">
        <f>Electricity!C23</f>
        <v>6</v>
      </c>
      <c r="N17" s="9">
        <f>Electricity!D23</f>
        <v>23</v>
      </c>
    </row>
    <row r="18" spans="1:14" x14ac:dyDescent="0.25">
      <c r="A18" s="6" t="s">
        <v>14</v>
      </c>
      <c r="B18" s="7">
        <f t="shared" si="0"/>
        <v>17</v>
      </c>
      <c r="C18" s="8">
        <v>3</v>
      </c>
      <c r="D18" s="7">
        <v>2022</v>
      </c>
      <c r="E18" s="9">
        <f>Electricity!F24+Electricity!I24</f>
        <v>7859.9999999999</v>
      </c>
      <c r="F18" s="10">
        <f>Electricity!L24/TOTAL!E18</f>
        <v>1237.5937659033018</v>
      </c>
      <c r="G18" s="9">
        <f>Gas!F25+Gas!I25+Gas!L25+Gas!O25</f>
        <v>61.840239999999703</v>
      </c>
      <c r="H18" s="10">
        <f>Gas!Q25/TOTAL!G18</f>
        <v>15839.999999999998</v>
      </c>
      <c r="I18" s="9">
        <f>'Fuel Diesel'!F25</f>
        <v>0</v>
      </c>
      <c r="J18" s="10">
        <f>'Fuel Diesel'!H25</f>
        <v>0</v>
      </c>
      <c r="K18" s="9">
        <f>Water!E25+Water!G25+Water!I25</f>
        <v>150</v>
      </c>
      <c r="L18" s="10">
        <f>Water!K25/TOTAL!K18</f>
        <v>4000</v>
      </c>
      <c r="M18" s="9">
        <f>Electricity!C24</f>
        <v>10</v>
      </c>
      <c r="N18" s="9">
        <f>Electricity!D24</f>
        <v>29</v>
      </c>
    </row>
    <row r="19" spans="1:14" x14ac:dyDescent="0.25">
      <c r="A19" s="6" t="s">
        <v>14</v>
      </c>
      <c r="B19" s="7">
        <f t="shared" si="0"/>
        <v>18</v>
      </c>
      <c r="C19" s="8">
        <v>3</v>
      </c>
      <c r="D19" s="7">
        <v>2022</v>
      </c>
      <c r="E19" s="9">
        <f>Electricity!F25+Electricity!I25</f>
        <v>7279.9999999999727</v>
      </c>
      <c r="F19" s="10">
        <f>Electricity!L25/TOTAL!E19</f>
        <v>1229.798489010996</v>
      </c>
      <c r="G19" s="9">
        <f>Gas!F26+Gas!I26+Gas!L26+Gas!O26</f>
        <v>46.090760000000287</v>
      </c>
      <c r="H19" s="10">
        <f>Gas!Q26/TOTAL!G19</f>
        <v>15839.999999999998</v>
      </c>
      <c r="I19" s="9">
        <f>'Fuel Diesel'!F26</f>
        <v>0</v>
      </c>
      <c r="J19" s="10">
        <f>'Fuel Diesel'!H26</f>
        <v>0</v>
      </c>
      <c r="K19" s="9">
        <f>Water!E26+Water!G26+Water!I26</f>
        <v>117</v>
      </c>
      <c r="L19" s="10">
        <f>Water!K26/TOTAL!K19</f>
        <v>4000</v>
      </c>
      <c r="M19" s="9">
        <f>Electricity!C25</f>
        <v>10</v>
      </c>
      <c r="N19" s="9">
        <f>Electricity!D25</f>
        <v>35</v>
      </c>
    </row>
    <row r="20" spans="1:14" x14ac:dyDescent="0.25">
      <c r="A20" s="6" t="s">
        <v>14</v>
      </c>
      <c r="B20" s="7">
        <f t="shared" si="0"/>
        <v>19</v>
      </c>
      <c r="C20" s="8">
        <v>3</v>
      </c>
      <c r="D20" s="7">
        <v>2022</v>
      </c>
      <c r="E20" s="9">
        <f>Electricity!F26+Electricity!I26</f>
        <v>6679.99999999995</v>
      </c>
      <c r="F20" s="10">
        <f>Electricity!L26/TOTAL!E20</f>
        <v>1234.5392215568872</v>
      </c>
      <c r="G20" s="9">
        <f>Gas!F27+Gas!I27+Gas!L27+Gas!O27</f>
        <v>49.917359999995895</v>
      </c>
      <c r="H20" s="10">
        <f>Gas!Q27/TOTAL!G20</f>
        <v>15839.999999999998</v>
      </c>
      <c r="I20" s="9">
        <f>'Fuel Diesel'!F27</f>
        <v>0</v>
      </c>
      <c r="J20" s="10">
        <f>'Fuel Diesel'!H27</f>
        <v>0</v>
      </c>
      <c r="K20" s="9">
        <f>Water!E27+Water!G27+Water!I27</f>
        <v>103</v>
      </c>
      <c r="L20" s="10">
        <f>Water!K27/TOTAL!K20</f>
        <v>4000</v>
      </c>
      <c r="M20" s="9">
        <f>Electricity!C26</f>
        <v>9</v>
      </c>
      <c r="N20" s="9">
        <f>Electricity!D26</f>
        <v>47</v>
      </c>
    </row>
    <row r="21" spans="1:14" x14ac:dyDescent="0.25">
      <c r="A21" s="6" t="s">
        <v>14</v>
      </c>
      <c r="B21" s="7">
        <f t="shared" si="0"/>
        <v>20</v>
      </c>
      <c r="C21" s="8">
        <v>3</v>
      </c>
      <c r="D21" s="7">
        <v>2022</v>
      </c>
      <c r="E21" s="9">
        <f>Electricity!F27+Electricity!I27</f>
        <v>6920.0000000001864</v>
      </c>
      <c r="F21" s="10">
        <f>Electricity!L27/TOTAL!E21</f>
        <v>1231.2274566473968</v>
      </c>
      <c r="G21" s="9">
        <f>Gas!F28+Gas!I28+Gas!L28+Gas!O28</f>
        <v>56.039920000004976</v>
      </c>
      <c r="H21" s="10">
        <f>Gas!Q28/TOTAL!G21</f>
        <v>15840</v>
      </c>
      <c r="I21" s="9">
        <f>'Fuel Diesel'!F28</f>
        <v>0</v>
      </c>
      <c r="J21" s="10">
        <f>'Fuel Diesel'!H28</f>
        <v>0</v>
      </c>
      <c r="K21" s="9">
        <f>Water!E28+Water!G28+Water!I28</f>
        <v>87</v>
      </c>
      <c r="L21" s="10">
        <f>Water!K28/TOTAL!K21</f>
        <v>4000</v>
      </c>
      <c r="M21" s="9">
        <f>Electricity!C27</f>
        <v>6</v>
      </c>
      <c r="N21" s="9">
        <f>Electricity!D27</f>
        <v>67</v>
      </c>
    </row>
    <row r="22" spans="1:14" x14ac:dyDescent="0.25">
      <c r="A22" s="6" t="s">
        <v>14</v>
      </c>
      <c r="B22" s="7">
        <f t="shared" si="0"/>
        <v>21</v>
      </c>
      <c r="C22" s="8">
        <v>3</v>
      </c>
      <c r="D22" s="7">
        <v>2022</v>
      </c>
      <c r="E22" s="9">
        <f>Electricity!F28+Electricity!I28</f>
        <v>6860.0000000001273</v>
      </c>
      <c r="F22" s="10">
        <f>Electricity!L28/TOTAL!E22</f>
        <v>1230.3732507288537</v>
      </c>
      <c r="G22" s="9">
        <f>Gas!F29+Gas!I29+Gas!L29+Gas!O29</f>
        <v>50.642399999997068</v>
      </c>
      <c r="H22" s="10">
        <f>Gas!Q29/TOTAL!G22</f>
        <v>15839.999999999998</v>
      </c>
      <c r="I22" s="9">
        <f>'Fuel Diesel'!F29</f>
        <v>29</v>
      </c>
      <c r="J22" s="106">
        <f>'Fuel Diesel'!H29</f>
        <v>21.577080870593143</v>
      </c>
      <c r="K22" s="9">
        <f>Water!E29+Water!G29+Water!I29</f>
        <v>88</v>
      </c>
      <c r="L22" s="10">
        <f>Water!K29/TOTAL!K22</f>
        <v>4000</v>
      </c>
      <c r="M22" s="9">
        <f>Electricity!C28</f>
        <v>5</v>
      </c>
      <c r="N22" s="9">
        <f>Electricity!D28</f>
        <v>42</v>
      </c>
    </row>
    <row r="23" spans="1:14" x14ac:dyDescent="0.25">
      <c r="A23" s="6" t="s">
        <v>14</v>
      </c>
      <c r="B23" s="7">
        <f t="shared" si="0"/>
        <v>22</v>
      </c>
      <c r="C23" s="8">
        <v>3</v>
      </c>
      <c r="D23" s="7">
        <v>2022</v>
      </c>
      <c r="E23" s="9">
        <f>Electricity!F29+Electricity!I29</f>
        <v>7459.999999999809</v>
      </c>
      <c r="F23" s="10">
        <f>Electricity!L29/TOTAL!E23</f>
        <v>1233.7163538874029</v>
      </c>
      <c r="G23" s="9">
        <f>Gas!F30+Gas!I30+Gas!L30+Gas!O30</f>
        <v>55.113479999999413</v>
      </c>
      <c r="H23" s="10">
        <f>Gas!Q30/TOTAL!G23</f>
        <v>15839.999999999998</v>
      </c>
      <c r="I23" s="9">
        <f>'Fuel Diesel'!F30</f>
        <v>0</v>
      </c>
      <c r="J23" s="10">
        <f>'Fuel Diesel'!H30</f>
        <v>0</v>
      </c>
      <c r="K23" s="9">
        <f>Water!E30+Water!G30+Water!I30</f>
        <v>118</v>
      </c>
      <c r="L23" s="10">
        <f>Water!K30/TOTAL!K23</f>
        <v>4000</v>
      </c>
      <c r="M23" s="9">
        <f>Electricity!C29</f>
        <v>9</v>
      </c>
      <c r="N23" s="9">
        <f>Electricity!D29</f>
        <v>55</v>
      </c>
    </row>
    <row r="24" spans="1:14" x14ac:dyDescent="0.25">
      <c r="A24" s="6" t="s">
        <v>14</v>
      </c>
      <c r="B24" s="7">
        <f t="shared" si="0"/>
        <v>23</v>
      </c>
      <c r="C24" s="8">
        <v>3</v>
      </c>
      <c r="D24" s="7">
        <v>2022</v>
      </c>
      <c r="E24" s="9">
        <f>Electricity!F30+Electricity!I30</f>
        <v>8039.9999999998499</v>
      </c>
      <c r="F24" s="10">
        <f>Electricity!L30/TOTAL!E24</f>
        <v>1233.9708333333376</v>
      </c>
      <c r="G24" s="9">
        <f>Gas!F31+Gas!I31+Gas!L31+Gas!O31</f>
        <v>55.637120000003513</v>
      </c>
      <c r="H24" s="10">
        <f>Gas!Q31/TOTAL!G24</f>
        <v>15840</v>
      </c>
      <c r="I24" s="9">
        <f>'Fuel Diesel'!F31</f>
        <v>0</v>
      </c>
      <c r="J24" s="10">
        <f>'Fuel Diesel'!H31</f>
        <v>0</v>
      </c>
      <c r="K24" s="9">
        <f>Water!E31+Water!G31+Water!I31</f>
        <v>125</v>
      </c>
      <c r="L24" s="10">
        <f>Water!K31/TOTAL!K24</f>
        <v>4000</v>
      </c>
      <c r="M24" s="9">
        <f>Electricity!C30</f>
        <v>13</v>
      </c>
      <c r="N24" s="9">
        <f>Electricity!D30</f>
        <v>43</v>
      </c>
    </row>
    <row r="25" spans="1:14" x14ac:dyDescent="0.25">
      <c r="A25" s="6" t="s">
        <v>14</v>
      </c>
      <c r="B25" s="7">
        <f t="shared" si="0"/>
        <v>24</v>
      </c>
      <c r="C25" s="8">
        <v>3</v>
      </c>
      <c r="D25" s="7">
        <v>2022</v>
      </c>
      <c r="E25" s="9">
        <f>Electricity!F31+Electricity!I31</f>
        <v>8220.0000000001419</v>
      </c>
      <c r="F25" s="10">
        <f>Electricity!L31/TOTAL!E25</f>
        <v>1237.4350973235964</v>
      </c>
      <c r="G25" s="9">
        <f>Gas!F32+Gas!I32+Gas!L32+Gas!O32</f>
        <v>56.563559999994425</v>
      </c>
      <c r="H25" s="10">
        <f>Gas!Q32/TOTAL!G25</f>
        <v>15840</v>
      </c>
      <c r="I25" s="9">
        <f>'Fuel Diesel'!F32</f>
        <v>0</v>
      </c>
      <c r="J25" s="10">
        <f>'Fuel Diesel'!H32</f>
        <v>0</v>
      </c>
      <c r="K25" s="9">
        <f>Water!E32+Water!G32+Water!I32</f>
        <v>178</v>
      </c>
      <c r="L25" s="10">
        <f>Water!K32/TOTAL!K25</f>
        <v>4000</v>
      </c>
      <c r="M25" s="9">
        <f>Electricity!C31</f>
        <v>16</v>
      </c>
      <c r="N25" s="9">
        <f>Electricity!D31</f>
        <v>79</v>
      </c>
    </row>
    <row r="26" spans="1:14" x14ac:dyDescent="0.25">
      <c r="A26" s="6" t="s">
        <v>14</v>
      </c>
      <c r="B26" s="7">
        <f t="shared" si="0"/>
        <v>25</v>
      </c>
      <c r="C26" s="8">
        <v>3</v>
      </c>
      <c r="D26" s="7">
        <v>2022</v>
      </c>
      <c r="E26" s="9">
        <f>Electricity!F32+Electricity!I32</f>
        <v>8300.0000000001819</v>
      </c>
      <c r="F26" s="10">
        <f>Electricity!L32/TOTAL!E26</f>
        <v>1233.7421084337407</v>
      </c>
      <c r="G26" s="9">
        <f>Gas!F33+Gas!I33+Gas!L33+Gas!O33</f>
        <v>60.833239999999705</v>
      </c>
      <c r="H26" s="10">
        <f>Gas!Q33/TOTAL!G26</f>
        <v>15840</v>
      </c>
      <c r="I26" s="9">
        <f>'Fuel Diesel'!F33</f>
        <v>0</v>
      </c>
      <c r="J26" s="10">
        <f>'Fuel Diesel'!H33</f>
        <v>0</v>
      </c>
      <c r="K26" s="9">
        <f>Water!E33+Water!G33+Water!I33</f>
        <v>129</v>
      </c>
      <c r="L26" s="10">
        <f>Water!K33/TOTAL!K26</f>
        <v>4000</v>
      </c>
      <c r="M26" s="9">
        <f>Electricity!C32</f>
        <v>19</v>
      </c>
      <c r="N26" s="9">
        <f>Electricity!D32</f>
        <v>74</v>
      </c>
    </row>
    <row r="27" spans="1:14" x14ac:dyDescent="0.25">
      <c r="A27" s="6" t="s">
        <v>14</v>
      </c>
      <c r="B27" s="7">
        <f t="shared" si="0"/>
        <v>26</v>
      </c>
      <c r="C27" s="8">
        <v>3</v>
      </c>
      <c r="D27" s="7">
        <v>2022</v>
      </c>
      <c r="E27" s="9">
        <f>Electricity!F33+Electricity!I33</f>
        <v>7640.0000000001</v>
      </c>
      <c r="F27" s="10">
        <f>Electricity!L33/TOTAL!E27</f>
        <v>1237.4496073298369</v>
      </c>
      <c r="G27" s="9">
        <f>Gas!F34+Gas!I34+Gas!L34+Gas!O34</f>
        <v>53.542560000001757</v>
      </c>
      <c r="H27" s="10">
        <f>Gas!Q34/TOTAL!G27</f>
        <v>15839.999999999998</v>
      </c>
      <c r="I27" s="9">
        <f>'Fuel Diesel'!F34</f>
        <v>0</v>
      </c>
      <c r="J27" s="10">
        <f>'Fuel Diesel'!H34</f>
        <v>0</v>
      </c>
      <c r="K27" s="9">
        <f>Water!E34+Water!G34+Water!I34</f>
        <v>116</v>
      </c>
      <c r="L27" s="10">
        <f>Water!K34/TOTAL!K27</f>
        <v>4000</v>
      </c>
      <c r="M27" s="9">
        <f>Electricity!C33</f>
        <v>15</v>
      </c>
      <c r="N27" s="9">
        <f>Electricity!D33</f>
        <v>71</v>
      </c>
    </row>
    <row r="28" spans="1:14" x14ac:dyDescent="0.25">
      <c r="A28" s="6" t="s">
        <v>14</v>
      </c>
      <c r="B28" s="7">
        <f t="shared" si="0"/>
        <v>27</v>
      </c>
      <c r="C28" s="8">
        <v>3</v>
      </c>
      <c r="D28" s="7">
        <v>2022</v>
      </c>
      <c r="E28" s="9">
        <f>Electricity!F34+Electricity!I34</f>
        <v>7779.9999999999727</v>
      </c>
      <c r="F28" s="10">
        <f>Electricity!L34/TOTAL!E28</f>
        <v>1228.3585475578429</v>
      </c>
      <c r="G28" s="9">
        <f>Gas!F35+Gas!I35+Gas!L35+Gas!O35</f>
        <v>58.61784000000263</v>
      </c>
      <c r="H28" s="10">
        <f>Gas!Q35/TOTAL!G28</f>
        <v>15840</v>
      </c>
      <c r="I28" s="9">
        <f>'Fuel Diesel'!F35</f>
        <v>0</v>
      </c>
      <c r="J28" s="10">
        <f>'Fuel Diesel'!H35</f>
        <v>0</v>
      </c>
      <c r="K28" s="9">
        <f>Water!E35+Water!G35+Water!I35</f>
        <v>109</v>
      </c>
      <c r="L28" s="10">
        <f>Water!K35/TOTAL!K28</f>
        <v>4000</v>
      </c>
      <c r="M28" s="9">
        <f>Electricity!C34</f>
        <v>10</v>
      </c>
      <c r="N28" s="9">
        <f>Electricity!D34</f>
        <v>75</v>
      </c>
    </row>
    <row r="29" spans="1:14" x14ac:dyDescent="0.25">
      <c r="A29" s="6" t="s">
        <v>14</v>
      </c>
      <c r="B29" s="7">
        <f t="shared" si="0"/>
        <v>28</v>
      </c>
      <c r="C29" s="8">
        <v>3</v>
      </c>
      <c r="D29" s="7">
        <v>2022</v>
      </c>
      <c r="E29" s="9">
        <f>Electricity!F35+Electricity!I35</f>
        <v>7459.9999999996953</v>
      </c>
      <c r="F29" s="10">
        <f>Electricity!L35/TOTAL!E29</f>
        <v>1227.608847184988</v>
      </c>
      <c r="G29" s="9">
        <f>Gas!F36+Gas!I36+Gas!L36+Gas!O36</f>
        <v>57.369159999997358</v>
      </c>
      <c r="H29" s="10">
        <f>Gas!Q36/TOTAL!G29</f>
        <v>15839.999999999998</v>
      </c>
      <c r="I29" s="9">
        <f>'Fuel Diesel'!F36</f>
        <v>0</v>
      </c>
      <c r="J29" s="10">
        <f>'Fuel Diesel'!H36</f>
        <v>0</v>
      </c>
      <c r="K29" s="9">
        <f>Water!E36+Water!G36+Water!I36</f>
        <v>124</v>
      </c>
      <c r="L29" s="10">
        <f>Water!K36/TOTAL!K29</f>
        <v>4000</v>
      </c>
      <c r="M29" s="9">
        <f>Electricity!C35</f>
        <v>7</v>
      </c>
      <c r="N29" s="9">
        <f>Electricity!D35</f>
        <v>21</v>
      </c>
    </row>
    <row r="30" spans="1:14" x14ac:dyDescent="0.25">
      <c r="A30" s="6" t="s">
        <v>14</v>
      </c>
      <c r="B30" s="7">
        <f t="shared" si="0"/>
        <v>29</v>
      </c>
      <c r="C30" s="8">
        <v>3</v>
      </c>
      <c r="D30" s="7">
        <v>2022</v>
      </c>
      <c r="E30" s="9">
        <f>Electricity!F36+Electricity!I36</f>
        <v>7420.0000000003001</v>
      </c>
      <c r="F30" s="10">
        <f>Electricity!L36/TOTAL!E30</f>
        <v>1232.6915768194053</v>
      </c>
      <c r="G30" s="9">
        <f>Gas!F37+Gas!I37+Gas!L37+Gas!O37</f>
        <v>54.348160000004683</v>
      </c>
      <c r="H30" s="10">
        <f>Gas!Q37/TOTAL!G30</f>
        <v>15839.999999999998</v>
      </c>
      <c r="I30" s="9">
        <f>'Fuel Diesel'!F37</f>
        <v>17</v>
      </c>
      <c r="J30" s="106">
        <f>'Fuel Diesel'!H37</f>
        <v>12.648633613795981</v>
      </c>
      <c r="K30" s="9">
        <f>Water!E37+Water!G37+Water!I37</f>
        <v>115</v>
      </c>
      <c r="L30" s="10">
        <f>Water!K37/TOTAL!K30</f>
        <v>4000</v>
      </c>
      <c r="M30" s="9">
        <f>Electricity!C36</f>
        <v>12</v>
      </c>
      <c r="N30" s="9">
        <f>Electricity!D36</f>
        <v>43</v>
      </c>
    </row>
    <row r="31" spans="1:14" x14ac:dyDescent="0.25">
      <c r="A31" s="6" t="s">
        <v>14</v>
      </c>
      <c r="B31" s="7">
        <f t="shared" si="0"/>
        <v>30</v>
      </c>
      <c r="C31" s="8">
        <v>3</v>
      </c>
      <c r="D31" s="7">
        <v>2022</v>
      </c>
      <c r="E31" s="9">
        <f>Electricity!F37+Electricity!I37</f>
        <v>7959.9999999999227</v>
      </c>
      <c r="F31" s="10">
        <f>Electricity!L37/TOTAL!E31</f>
        <v>1237.7867462311565</v>
      </c>
      <c r="G31" s="9">
        <f>Gas!F38+Gas!I38+Gas!L38+Gas!O38</f>
        <v>59.8262399999997</v>
      </c>
      <c r="H31" s="10">
        <f>Gas!Q38/TOTAL!G31</f>
        <v>15840</v>
      </c>
      <c r="I31" s="9">
        <f>'Fuel Diesel'!F38</f>
        <v>0</v>
      </c>
      <c r="J31" s="10">
        <f>'Fuel Diesel'!H38</f>
        <v>0</v>
      </c>
      <c r="K31" s="9">
        <f>Water!E38+Water!G38+Water!I38</f>
        <v>150</v>
      </c>
      <c r="L31" s="10">
        <f>Water!K38/TOTAL!K31</f>
        <v>4000</v>
      </c>
      <c r="M31" s="9">
        <f>Electricity!C37</f>
        <v>14</v>
      </c>
      <c r="N31" s="9">
        <f>Electricity!D37</f>
        <v>51</v>
      </c>
    </row>
    <row r="32" spans="1:14" x14ac:dyDescent="0.25">
      <c r="A32" s="6" t="s">
        <v>14</v>
      </c>
      <c r="B32" s="7">
        <f t="shared" si="0"/>
        <v>31</v>
      </c>
      <c r="C32" s="8">
        <v>3</v>
      </c>
      <c r="D32" s="7">
        <v>2022</v>
      </c>
      <c r="E32" s="9">
        <f>Electricity!F38+Electricity!I38</f>
        <v>8399.9999999999782</v>
      </c>
      <c r="F32" s="10">
        <f>Electricity!L38/TOTAL!E32</f>
        <v>1233.9708333333322</v>
      </c>
      <c r="G32" s="9">
        <f>Gas!F39+Gas!I39+Gas!L39+Gas!O39</f>
        <v>57.288599999995597</v>
      </c>
      <c r="H32" s="10">
        <f>Gas!Q39/TOTAL!G32</f>
        <v>15840</v>
      </c>
      <c r="I32" s="9">
        <f>'Fuel Diesel'!F39</f>
        <v>0</v>
      </c>
      <c r="J32" s="10">
        <f>'Fuel Diesel'!H39</f>
        <v>0</v>
      </c>
      <c r="K32" s="9">
        <f>Water!E39+Water!G39+Water!I39</f>
        <v>153</v>
      </c>
      <c r="L32" s="10">
        <f>Water!K39/TOTAL!K32</f>
        <v>4000</v>
      </c>
      <c r="M32" s="9">
        <f>Electricity!C38</f>
        <v>7</v>
      </c>
      <c r="N32" s="9">
        <f>Electricity!D38</f>
        <v>65</v>
      </c>
    </row>
    <row r="33" spans="5:14" x14ac:dyDescent="0.25">
      <c r="E33" s="81">
        <f>SUM(E2:E32)</f>
        <v>226259.99999999991</v>
      </c>
      <c r="F33" s="81">
        <f>SUM(F2:F32)/31</f>
        <v>1234.073492226662</v>
      </c>
      <c r="G33" s="81">
        <f>SUM(G2:G32)</f>
        <v>1630.1732800000007</v>
      </c>
      <c r="H33" s="91">
        <f>SUM(H2:H32)/31</f>
        <v>15840</v>
      </c>
      <c r="I33" s="81">
        <f>SUM(I2:I32)</f>
        <v>72</v>
      </c>
      <c r="J33" s="107">
        <f>J30+J22+J16+J11+J10</f>
        <v>53.570683540782973</v>
      </c>
      <c r="K33" s="81">
        <f>SUM(K2:K32)</f>
        <v>3747</v>
      </c>
      <c r="L33" s="91">
        <f>SUM(L2:L32)/31</f>
        <v>4000</v>
      </c>
      <c r="M33" s="81">
        <f>SUM(M2:M32)</f>
        <v>280</v>
      </c>
      <c r="N33" s="81">
        <f>SUM(N2:N32)</f>
        <v>1381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opLeftCell="B8" workbookViewId="0">
      <selection activeCell="I32" sqref="I32"/>
    </sheetView>
  </sheetViews>
  <sheetFormatPr defaultRowHeight="15" x14ac:dyDescent="0.25"/>
  <cols>
    <col min="1" max="1" width="2.5703125" customWidth="1"/>
    <col min="2" max="2" width="5.85546875" customWidth="1"/>
    <col min="3" max="3" width="6.5703125" customWidth="1"/>
    <col min="4" max="4" width="7.5703125" style="18" customWidth="1"/>
    <col min="5" max="5" width="9.42578125" style="30" customWidth="1"/>
    <col min="6" max="6" width="11.28515625" style="30" customWidth="1"/>
    <col min="7" max="7" width="16.5703125" style="30" customWidth="1"/>
    <col min="8" max="8" width="10.28515625" style="30" customWidth="1"/>
    <col min="9" max="9" width="11.140625" style="30" customWidth="1"/>
    <col min="10" max="10" width="16.7109375" style="30" customWidth="1"/>
    <col min="11" max="11" width="16.28515625" style="30" customWidth="1"/>
    <col min="12" max="12" width="18" customWidth="1"/>
    <col min="13" max="13" width="16.7109375" customWidth="1"/>
    <col min="14" max="14" width="2.5703125" customWidth="1"/>
    <col min="16" max="16" width="16.7109375" customWidth="1"/>
  </cols>
  <sheetData>
    <row r="1" spans="1:14" ht="15.75" x14ac:dyDescent="0.25">
      <c r="B1" s="94" t="s">
        <v>15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11"/>
      <c r="N1" s="11"/>
    </row>
    <row r="2" spans="1:14" ht="15.75" x14ac:dyDescent="0.25">
      <c r="B2" s="94" t="s">
        <v>16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11"/>
      <c r="N2" s="11"/>
    </row>
    <row r="3" spans="1:14" x14ac:dyDescent="0.25">
      <c r="B3" s="12"/>
      <c r="C3" s="13"/>
      <c r="D3" s="14"/>
      <c r="E3" s="13"/>
      <c r="F3" s="13"/>
      <c r="G3" s="13"/>
      <c r="H3" s="13"/>
      <c r="I3" s="13"/>
      <c r="J3" s="13"/>
      <c r="K3" s="13"/>
      <c r="L3" s="13"/>
      <c r="M3" s="11"/>
      <c r="N3" s="11"/>
    </row>
    <row r="4" spans="1:14" x14ac:dyDescent="0.25">
      <c r="A4" s="15"/>
      <c r="B4" s="95">
        <v>44593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15"/>
    </row>
    <row r="5" spans="1:14" x14ac:dyDescent="0.25">
      <c r="A5" s="16"/>
      <c r="B5" s="93" t="s">
        <v>17</v>
      </c>
      <c r="C5" s="93" t="s">
        <v>18</v>
      </c>
      <c r="D5" s="93" t="s">
        <v>13</v>
      </c>
      <c r="E5" s="96" t="s">
        <v>19</v>
      </c>
      <c r="F5" s="96"/>
      <c r="G5" s="96"/>
      <c r="H5" s="97" t="s">
        <v>20</v>
      </c>
      <c r="I5" s="97"/>
      <c r="J5" s="97"/>
      <c r="K5" s="93" t="s">
        <v>21</v>
      </c>
      <c r="L5" s="93" t="s">
        <v>22</v>
      </c>
      <c r="M5" s="93" t="s">
        <v>23</v>
      </c>
      <c r="N5" s="17"/>
    </row>
    <row r="6" spans="1:14" s="18" customFormat="1" x14ac:dyDescent="0.25">
      <c r="A6" s="16"/>
      <c r="B6" s="93"/>
      <c r="C6" s="93"/>
      <c r="D6" s="93"/>
      <c r="E6" s="93" t="s">
        <v>24</v>
      </c>
      <c r="F6" s="93" t="s">
        <v>25</v>
      </c>
      <c r="G6" s="93" t="s">
        <v>26</v>
      </c>
      <c r="H6" s="93" t="s">
        <v>24</v>
      </c>
      <c r="I6" s="93" t="s">
        <v>25</v>
      </c>
      <c r="J6" s="93" t="s">
        <v>27</v>
      </c>
      <c r="K6" s="93"/>
      <c r="L6" s="93"/>
      <c r="M6" s="93"/>
      <c r="N6" s="17"/>
    </row>
    <row r="7" spans="1:14" x14ac:dyDescent="0.25">
      <c r="A7" s="19"/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20"/>
    </row>
    <row r="8" spans="1:14" x14ac:dyDescent="0.25">
      <c r="A8" s="19"/>
      <c r="B8" s="21">
        <v>1</v>
      </c>
      <c r="C8" s="22">
        <v>5</v>
      </c>
      <c r="D8" s="22">
        <v>32</v>
      </c>
      <c r="E8" s="23">
        <v>3.0199999999999818</v>
      </c>
      <c r="F8" s="24">
        <f t="shared" ref="F8:F38" si="0">E8*2000</f>
        <v>6039.9999999999636</v>
      </c>
      <c r="G8" s="25">
        <f t="shared" ref="G8:G38" si="1">F8*1035.5</f>
        <v>6254419.9999999627</v>
      </c>
      <c r="H8" s="23">
        <v>0.65999999999996817</v>
      </c>
      <c r="I8" s="24">
        <f t="shared" ref="I8:I38" si="2">H8*2000</f>
        <v>1319.9999999999363</v>
      </c>
      <c r="J8" s="25">
        <f t="shared" ref="J8:J38" si="3">I8*1553.25</f>
        <v>2050289.999999901</v>
      </c>
      <c r="K8" s="23">
        <f t="shared" ref="K8:K38" si="4">G8+J8</f>
        <v>8304709.999999864</v>
      </c>
      <c r="L8" s="26">
        <f t="shared" ref="L8:L38" si="5">K8*1.1</f>
        <v>9135180.999999851</v>
      </c>
      <c r="M8" s="27">
        <f>L8/14381</f>
        <v>635.22571448437873</v>
      </c>
      <c r="N8" s="28"/>
    </row>
    <row r="9" spans="1:14" x14ac:dyDescent="0.25">
      <c r="A9" s="19"/>
      <c r="B9" s="21">
        <v>2</v>
      </c>
      <c r="C9" s="22">
        <v>22</v>
      </c>
      <c r="D9" s="22">
        <v>60</v>
      </c>
      <c r="E9" s="23">
        <v>3.3099999999999454</v>
      </c>
      <c r="F9" s="24">
        <f t="shared" si="0"/>
        <v>6619.9999999998909</v>
      </c>
      <c r="G9" s="25">
        <f t="shared" si="1"/>
        <v>6855009.9999998873</v>
      </c>
      <c r="H9" s="23">
        <v>0.71000000000003638</v>
      </c>
      <c r="I9" s="24">
        <f t="shared" si="2"/>
        <v>1420.0000000000728</v>
      </c>
      <c r="J9" s="25">
        <f t="shared" si="3"/>
        <v>2205615.0000001132</v>
      </c>
      <c r="K9" s="23">
        <f t="shared" si="4"/>
        <v>9060625</v>
      </c>
      <c r="L9" s="26">
        <f t="shared" si="5"/>
        <v>9966687.5</v>
      </c>
      <c r="M9" s="27">
        <f t="shared" ref="M9:M38" si="6">L9/14381</f>
        <v>693.0455114387039</v>
      </c>
      <c r="N9" s="28"/>
    </row>
    <row r="10" spans="1:14" x14ac:dyDescent="0.25">
      <c r="A10" s="19"/>
      <c r="B10" s="21">
        <v>3</v>
      </c>
      <c r="C10" s="22">
        <v>22</v>
      </c>
      <c r="D10" s="22">
        <v>120</v>
      </c>
      <c r="E10" s="23">
        <v>3.5699999999999363</v>
      </c>
      <c r="F10" s="24">
        <f t="shared" si="0"/>
        <v>7139.9999999998727</v>
      </c>
      <c r="G10" s="25">
        <f t="shared" si="1"/>
        <v>7393469.9999998678</v>
      </c>
      <c r="H10" s="23">
        <v>0.71999999999997044</v>
      </c>
      <c r="I10" s="24">
        <f t="shared" si="2"/>
        <v>1439.9999999999409</v>
      </c>
      <c r="J10" s="25">
        <f t="shared" si="3"/>
        <v>2236679.9999999083</v>
      </c>
      <c r="K10" s="23">
        <f t="shared" si="4"/>
        <v>9630149.9999997765</v>
      </c>
      <c r="L10" s="26">
        <f t="shared" si="5"/>
        <v>10593164.999999754</v>
      </c>
      <c r="M10" s="27">
        <f t="shared" si="6"/>
        <v>736.60837215769095</v>
      </c>
      <c r="N10" s="28"/>
    </row>
    <row r="11" spans="1:14" x14ac:dyDescent="0.25">
      <c r="A11" s="19"/>
      <c r="B11" s="21">
        <v>4</v>
      </c>
      <c r="C11" s="22">
        <v>11</v>
      </c>
      <c r="D11" s="22">
        <v>46</v>
      </c>
      <c r="E11" s="23">
        <v>3.1200000000001182</v>
      </c>
      <c r="F11" s="24">
        <f t="shared" si="0"/>
        <v>6240.0000000002365</v>
      </c>
      <c r="G11" s="25">
        <f t="shared" si="1"/>
        <v>6461520.0000002449</v>
      </c>
      <c r="H11" s="23">
        <v>0.62999999999999545</v>
      </c>
      <c r="I11" s="24">
        <f t="shared" si="2"/>
        <v>1259.9999999999909</v>
      </c>
      <c r="J11" s="25">
        <f t="shared" si="3"/>
        <v>1957094.9999999858</v>
      </c>
      <c r="K11" s="23">
        <f t="shared" si="4"/>
        <v>8418615.000000231</v>
      </c>
      <c r="L11" s="26">
        <f t="shared" si="5"/>
        <v>9260476.5000002552</v>
      </c>
      <c r="M11" s="27">
        <f t="shared" si="6"/>
        <v>643.93828662820772</v>
      </c>
      <c r="N11" s="28"/>
    </row>
    <row r="12" spans="1:14" x14ac:dyDescent="0.25">
      <c r="A12" s="19"/>
      <c r="B12" s="21">
        <v>5</v>
      </c>
      <c r="C12" s="22">
        <v>8</v>
      </c>
      <c r="D12" s="22">
        <v>41</v>
      </c>
      <c r="E12" s="23">
        <v>3.0699999999999363</v>
      </c>
      <c r="F12" s="24">
        <f t="shared" si="0"/>
        <v>6139.9999999998727</v>
      </c>
      <c r="G12" s="25">
        <f t="shared" si="1"/>
        <v>6357969.9999998678</v>
      </c>
      <c r="H12" s="23">
        <v>0.61000000000001364</v>
      </c>
      <c r="I12" s="24">
        <f t="shared" si="2"/>
        <v>1220.0000000000273</v>
      </c>
      <c r="J12" s="25">
        <f t="shared" si="3"/>
        <v>1894965.0000000424</v>
      </c>
      <c r="K12" s="23">
        <f t="shared" si="4"/>
        <v>8252934.9999999106</v>
      </c>
      <c r="L12" s="26">
        <f t="shared" si="5"/>
        <v>9078228.4999999031</v>
      </c>
      <c r="M12" s="27">
        <f t="shared" si="6"/>
        <v>631.2654544190184</v>
      </c>
      <c r="N12" s="28"/>
    </row>
    <row r="13" spans="1:14" x14ac:dyDescent="0.25">
      <c r="A13" s="19"/>
      <c r="B13" s="21">
        <v>6</v>
      </c>
      <c r="C13" s="22">
        <v>2</v>
      </c>
      <c r="D13" s="22">
        <v>22</v>
      </c>
      <c r="E13" s="23">
        <v>2.7999999999999545</v>
      </c>
      <c r="F13" s="24">
        <f t="shared" si="0"/>
        <v>5599.9999999999091</v>
      </c>
      <c r="G13" s="25">
        <f t="shared" si="1"/>
        <v>5798799.9999999059</v>
      </c>
      <c r="H13" s="23">
        <v>0.54000000000002046</v>
      </c>
      <c r="I13" s="24">
        <f t="shared" si="2"/>
        <v>1080.0000000000409</v>
      </c>
      <c r="J13" s="25">
        <f t="shared" si="3"/>
        <v>1677510.0000000636</v>
      </c>
      <c r="K13" s="23">
        <f t="shared" si="4"/>
        <v>7476309.9999999693</v>
      </c>
      <c r="L13" s="26">
        <f t="shared" si="5"/>
        <v>8223940.9999999665</v>
      </c>
      <c r="M13" s="27">
        <f t="shared" si="6"/>
        <v>571.8615534385624</v>
      </c>
      <c r="N13" s="28"/>
    </row>
    <row r="14" spans="1:14" x14ac:dyDescent="0.25">
      <c r="A14" s="19"/>
      <c r="B14" s="21">
        <v>7</v>
      </c>
      <c r="C14" s="22">
        <v>2</v>
      </c>
      <c r="D14" s="22">
        <v>20</v>
      </c>
      <c r="E14" s="23">
        <v>2.6300000000001091</v>
      </c>
      <c r="F14" s="24">
        <f t="shared" si="0"/>
        <v>5260.0000000002183</v>
      </c>
      <c r="G14" s="25">
        <f t="shared" si="1"/>
        <v>5446730.0000002263</v>
      </c>
      <c r="H14" s="23">
        <v>0.50999999999999091</v>
      </c>
      <c r="I14" s="24">
        <f t="shared" si="2"/>
        <v>1019.9999999999818</v>
      </c>
      <c r="J14" s="25">
        <f t="shared" si="3"/>
        <v>1584314.9999999718</v>
      </c>
      <c r="K14" s="23">
        <f t="shared" si="4"/>
        <v>7031045.0000001984</v>
      </c>
      <c r="L14" s="26">
        <f t="shared" si="5"/>
        <v>7734149.5000002189</v>
      </c>
      <c r="M14" s="27">
        <f t="shared" si="6"/>
        <v>537.80331687644946</v>
      </c>
      <c r="N14" s="28"/>
    </row>
    <row r="15" spans="1:14" x14ac:dyDescent="0.25">
      <c r="A15" s="19"/>
      <c r="B15" s="21">
        <v>8</v>
      </c>
      <c r="C15" s="22">
        <v>2</v>
      </c>
      <c r="D15" s="22">
        <v>20</v>
      </c>
      <c r="E15" s="23">
        <v>2.5999999999999091</v>
      </c>
      <c r="F15" s="24">
        <f t="shared" si="0"/>
        <v>5199.9999999998181</v>
      </c>
      <c r="G15" s="25">
        <f t="shared" si="1"/>
        <v>5384599.9999998119</v>
      </c>
      <c r="H15" s="23">
        <v>0.5</v>
      </c>
      <c r="I15" s="24">
        <f t="shared" si="2"/>
        <v>1000</v>
      </c>
      <c r="J15" s="25">
        <f t="shared" si="3"/>
        <v>1553250</v>
      </c>
      <c r="K15" s="23">
        <f t="shared" si="4"/>
        <v>6937849.9999998119</v>
      </c>
      <c r="L15" s="26">
        <f t="shared" si="5"/>
        <v>7631634.9999997932</v>
      </c>
      <c r="M15" s="27">
        <f t="shared" si="6"/>
        <v>530.6748487587646</v>
      </c>
      <c r="N15" s="28"/>
    </row>
    <row r="16" spans="1:14" x14ac:dyDescent="0.25">
      <c r="A16" s="19"/>
      <c r="B16" s="21">
        <v>9</v>
      </c>
      <c r="C16" s="22">
        <v>3</v>
      </c>
      <c r="D16" s="22">
        <v>14</v>
      </c>
      <c r="E16" s="23">
        <v>2.5800000000001546</v>
      </c>
      <c r="F16" s="24">
        <f t="shared" si="0"/>
        <v>5160.0000000003092</v>
      </c>
      <c r="G16" s="25">
        <f t="shared" si="1"/>
        <v>5343180.0000003204</v>
      </c>
      <c r="H16" s="23">
        <v>0.54000000000002046</v>
      </c>
      <c r="I16" s="24">
        <f t="shared" si="2"/>
        <v>1080.0000000000409</v>
      </c>
      <c r="J16" s="25">
        <f t="shared" si="3"/>
        <v>1677510.0000000636</v>
      </c>
      <c r="K16" s="23">
        <f t="shared" si="4"/>
        <v>7020690.0000003837</v>
      </c>
      <c r="L16" s="26">
        <f t="shared" si="5"/>
        <v>7722759.0000004228</v>
      </c>
      <c r="M16" s="27">
        <f t="shared" si="6"/>
        <v>537.01126486339081</v>
      </c>
      <c r="N16" s="28"/>
    </row>
    <row r="17" spans="1:14" x14ac:dyDescent="0.25">
      <c r="A17" s="19"/>
      <c r="B17" s="21">
        <v>10</v>
      </c>
      <c r="C17" s="22">
        <v>5</v>
      </c>
      <c r="D17" s="22">
        <v>8</v>
      </c>
      <c r="E17" s="23">
        <v>2.5799999999999272</v>
      </c>
      <c r="F17" s="24">
        <f t="shared" si="0"/>
        <v>5159.9999999998545</v>
      </c>
      <c r="G17" s="25">
        <f t="shared" si="1"/>
        <v>5343179.9999998491</v>
      </c>
      <c r="H17" s="23">
        <v>0.46999999999997044</v>
      </c>
      <c r="I17" s="24">
        <f t="shared" si="2"/>
        <v>939.99999999994088</v>
      </c>
      <c r="J17" s="25">
        <f t="shared" si="3"/>
        <v>1460054.9999999083</v>
      </c>
      <c r="K17" s="23">
        <f t="shared" si="4"/>
        <v>6803234.9999997579</v>
      </c>
      <c r="L17" s="26">
        <f t="shared" si="5"/>
        <v>7483558.4999997346</v>
      </c>
      <c r="M17" s="27">
        <f t="shared" si="6"/>
        <v>520.37817258881398</v>
      </c>
      <c r="N17" s="28"/>
    </row>
    <row r="18" spans="1:14" x14ac:dyDescent="0.25">
      <c r="A18" s="19"/>
      <c r="B18" s="21">
        <v>11</v>
      </c>
      <c r="C18" s="22">
        <v>4</v>
      </c>
      <c r="D18" s="22">
        <v>25</v>
      </c>
      <c r="E18" s="23">
        <v>2.5599999999999454</v>
      </c>
      <c r="F18" s="24">
        <f t="shared" si="0"/>
        <v>5119.9999999998909</v>
      </c>
      <c r="G18" s="25">
        <f t="shared" si="1"/>
        <v>5301759.9999998873</v>
      </c>
      <c r="H18" s="23">
        <v>0.55000000000001137</v>
      </c>
      <c r="I18" s="24">
        <f t="shared" si="2"/>
        <v>1100.0000000000227</v>
      </c>
      <c r="J18" s="25">
        <f t="shared" si="3"/>
        <v>1708575.0000000354</v>
      </c>
      <c r="K18" s="23">
        <f t="shared" si="4"/>
        <v>7010334.9999999227</v>
      </c>
      <c r="L18" s="26">
        <f t="shared" si="5"/>
        <v>7711368.4999999152</v>
      </c>
      <c r="M18" s="27">
        <f t="shared" si="6"/>
        <v>536.2192128502827</v>
      </c>
      <c r="N18" s="28"/>
    </row>
    <row r="19" spans="1:14" x14ac:dyDescent="0.25">
      <c r="A19" s="19"/>
      <c r="B19" s="21">
        <v>12</v>
      </c>
      <c r="C19" s="22">
        <v>5</v>
      </c>
      <c r="D19" s="22">
        <v>36</v>
      </c>
      <c r="E19" s="23">
        <v>2.7899999999999636</v>
      </c>
      <c r="F19" s="24">
        <f t="shared" si="0"/>
        <v>5579.9999999999272</v>
      </c>
      <c r="G19" s="25">
        <f t="shared" si="1"/>
        <v>5778089.9999999246</v>
      </c>
      <c r="H19" s="23">
        <v>0.56999999999999318</v>
      </c>
      <c r="I19" s="24">
        <f t="shared" si="2"/>
        <v>1139.9999999999864</v>
      </c>
      <c r="J19" s="25">
        <f t="shared" si="3"/>
        <v>1770704.9999999788</v>
      </c>
      <c r="K19" s="23">
        <f t="shared" si="4"/>
        <v>7548794.9999999031</v>
      </c>
      <c r="L19" s="26">
        <f t="shared" si="5"/>
        <v>8303674.4999998938</v>
      </c>
      <c r="M19" s="27">
        <f t="shared" si="6"/>
        <v>577.40591753006697</v>
      </c>
      <c r="N19" s="28"/>
    </row>
    <row r="20" spans="1:14" x14ac:dyDescent="0.25">
      <c r="A20" s="19"/>
      <c r="B20" s="21">
        <v>13</v>
      </c>
      <c r="C20" s="22">
        <v>9</v>
      </c>
      <c r="D20" s="22">
        <v>42</v>
      </c>
      <c r="E20" s="23">
        <v>2.8600000000001273</v>
      </c>
      <c r="F20" s="24">
        <f t="shared" si="0"/>
        <v>5720.0000000002547</v>
      </c>
      <c r="G20" s="25">
        <f t="shared" si="1"/>
        <v>5923060.0000002636</v>
      </c>
      <c r="H20" s="23">
        <v>0.57999999999998408</v>
      </c>
      <c r="I20" s="24">
        <f t="shared" si="2"/>
        <v>1159.9999999999682</v>
      </c>
      <c r="J20" s="25">
        <f t="shared" si="3"/>
        <v>1801769.9999999506</v>
      </c>
      <c r="K20" s="23">
        <f t="shared" si="4"/>
        <v>7724830.0000002142</v>
      </c>
      <c r="L20" s="26">
        <f t="shared" si="5"/>
        <v>8497313.0000002366</v>
      </c>
      <c r="M20" s="27">
        <f t="shared" si="6"/>
        <v>590.87080175232848</v>
      </c>
      <c r="N20" s="28"/>
    </row>
    <row r="21" spans="1:14" x14ac:dyDescent="0.25">
      <c r="A21" s="19"/>
      <c r="B21" s="21">
        <v>14</v>
      </c>
      <c r="C21" s="22">
        <v>6</v>
      </c>
      <c r="D21" s="22">
        <v>32</v>
      </c>
      <c r="E21" s="23">
        <v>3.0899999999999181</v>
      </c>
      <c r="F21" s="24">
        <f t="shared" si="0"/>
        <v>6179.9999999998363</v>
      </c>
      <c r="G21" s="25">
        <f t="shared" si="1"/>
        <v>6399389.9999998305</v>
      </c>
      <c r="H21" s="23">
        <v>0.62000000000000455</v>
      </c>
      <c r="I21" s="24">
        <f t="shared" si="2"/>
        <v>1240.0000000000091</v>
      </c>
      <c r="J21" s="25">
        <f t="shared" si="3"/>
        <v>1926030.0000000142</v>
      </c>
      <c r="K21" s="23">
        <f t="shared" si="4"/>
        <v>8325419.9999998445</v>
      </c>
      <c r="L21" s="26">
        <f t="shared" si="5"/>
        <v>9157961.9999998305</v>
      </c>
      <c r="M21" s="27">
        <f t="shared" si="6"/>
        <v>636.80981851052297</v>
      </c>
      <c r="N21" s="28"/>
    </row>
    <row r="22" spans="1:14" x14ac:dyDescent="0.25">
      <c r="A22" s="19"/>
      <c r="B22" s="21">
        <v>15</v>
      </c>
      <c r="C22" s="22">
        <v>6</v>
      </c>
      <c r="D22" s="22">
        <v>43</v>
      </c>
      <c r="E22" s="23">
        <v>3.0599999999999454</v>
      </c>
      <c r="F22" s="24">
        <f t="shared" si="0"/>
        <v>6119.9999999998909</v>
      </c>
      <c r="G22" s="25">
        <f t="shared" si="1"/>
        <v>6337259.9999998873</v>
      </c>
      <c r="H22" s="23">
        <v>0.60000000000002274</v>
      </c>
      <c r="I22" s="24">
        <f t="shared" si="2"/>
        <v>1200.0000000000455</v>
      </c>
      <c r="J22" s="25">
        <f t="shared" si="3"/>
        <v>1863900.0000000705</v>
      </c>
      <c r="K22" s="23">
        <f t="shared" si="4"/>
        <v>8201159.9999999581</v>
      </c>
      <c r="L22" s="26">
        <f t="shared" si="5"/>
        <v>9021275.9999999553</v>
      </c>
      <c r="M22" s="27">
        <f t="shared" si="6"/>
        <v>627.30519435365795</v>
      </c>
      <c r="N22" s="28"/>
    </row>
    <row r="23" spans="1:14" x14ac:dyDescent="0.25">
      <c r="A23" s="19"/>
      <c r="B23" s="21">
        <v>16</v>
      </c>
      <c r="C23" s="22">
        <v>6</v>
      </c>
      <c r="D23" s="22">
        <v>23</v>
      </c>
      <c r="E23" s="23">
        <v>2.9300000000000637</v>
      </c>
      <c r="F23" s="24">
        <f t="shared" si="0"/>
        <v>5860.0000000001273</v>
      </c>
      <c r="G23" s="25">
        <f t="shared" si="1"/>
        <v>6068030.0000001322</v>
      </c>
      <c r="H23" s="23">
        <v>0.61000000000001364</v>
      </c>
      <c r="I23" s="24">
        <f t="shared" si="2"/>
        <v>1220.0000000000273</v>
      </c>
      <c r="J23" s="25">
        <f t="shared" si="3"/>
        <v>1894965.0000000424</v>
      </c>
      <c r="K23" s="23">
        <f t="shared" si="4"/>
        <v>7962995.0000001751</v>
      </c>
      <c r="L23" s="26">
        <f t="shared" si="5"/>
        <v>8759294.5000001937</v>
      </c>
      <c r="M23" s="27">
        <f t="shared" si="6"/>
        <v>609.08799805300009</v>
      </c>
      <c r="N23" s="28"/>
    </row>
    <row r="24" spans="1:14" x14ac:dyDescent="0.25">
      <c r="A24" s="19"/>
      <c r="B24" s="21">
        <v>17</v>
      </c>
      <c r="C24" s="22">
        <v>10</v>
      </c>
      <c r="D24" s="22">
        <v>29</v>
      </c>
      <c r="E24" s="23">
        <v>3.25</v>
      </c>
      <c r="F24" s="24">
        <f t="shared" si="0"/>
        <v>6500</v>
      </c>
      <c r="G24" s="25">
        <f t="shared" si="1"/>
        <v>6730750</v>
      </c>
      <c r="H24" s="23">
        <v>0.67999999999994998</v>
      </c>
      <c r="I24" s="24">
        <f t="shared" si="2"/>
        <v>1359.9999999999</v>
      </c>
      <c r="J24" s="25">
        <f t="shared" si="3"/>
        <v>2112419.9999998445</v>
      </c>
      <c r="K24" s="23">
        <f t="shared" si="4"/>
        <v>8843169.9999998435</v>
      </c>
      <c r="L24" s="26">
        <f t="shared" si="5"/>
        <v>9727486.9999998286</v>
      </c>
      <c r="M24" s="27">
        <f t="shared" si="6"/>
        <v>676.412419164163</v>
      </c>
      <c r="N24" s="28"/>
    </row>
    <row r="25" spans="1:14" x14ac:dyDescent="0.25">
      <c r="A25" s="19"/>
      <c r="B25" s="21">
        <v>18</v>
      </c>
      <c r="C25" s="22">
        <v>10</v>
      </c>
      <c r="D25" s="22">
        <v>35</v>
      </c>
      <c r="E25" s="23">
        <v>3.0599999999999454</v>
      </c>
      <c r="F25" s="24">
        <f t="shared" si="0"/>
        <v>6119.9999999998909</v>
      </c>
      <c r="G25" s="25">
        <f t="shared" si="1"/>
        <v>6337259.9999998873</v>
      </c>
      <c r="H25" s="23">
        <v>0.58000000000004093</v>
      </c>
      <c r="I25" s="24">
        <f t="shared" si="2"/>
        <v>1160.0000000000819</v>
      </c>
      <c r="J25" s="25">
        <f t="shared" si="3"/>
        <v>1801770.0000001271</v>
      </c>
      <c r="K25" s="23">
        <f t="shared" si="4"/>
        <v>8139030.0000000149</v>
      </c>
      <c r="L25" s="26">
        <f t="shared" si="5"/>
        <v>8952933.0000000168</v>
      </c>
      <c r="M25" s="27">
        <f t="shared" si="6"/>
        <v>622.55288227522544</v>
      </c>
      <c r="N25" s="28"/>
    </row>
    <row r="26" spans="1:14" x14ac:dyDescent="0.25">
      <c r="A26" s="19"/>
      <c r="B26" s="21">
        <v>19</v>
      </c>
      <c r="C26" s="22">
        <v>9</v>
      </c>
      <c r="D26" s="22">
        <v>47</v>
      </c>
      <c r="E26" s="23">
        <v>2.7799999999999727</v>
      </c>
      <c r="F26" s="24">
        <f t="shared" si="0"/>
        <v>5559.9999999999454</v>
      </c>
      <c r="G26" s="25">
        <f t="shared" si="1"/>
        <v>5757379.9999999432</v>
      </c>
      <c r="H26" s="23">
        <v>0.56000000000000227</v>
      </c>
      <c r="I26" s="24">
        <f t="shared" si="2"/>
        <v>1120.0000000000045</v>
      </c>
      <c r="J26" s="25">
        <f t="shared" si="3"/>
        <v>1739640.000000007</v>
      </c>
      <c r="K26" s="23">
        <f t="shared" si="4"/>
        <v>7497019.9999999497</v>
      </c>
      <c r="L26" s="26">
        <f t="shared" si="5"/>
        <v>8246721.9999999451</v>
      </c>
      <c r="M26" s="27">
        <f t="shared" si="6"/>
        <v>573.44565746470653</v>
      </c>
      <c r="N26" s="28"/>
    </row>
    <row r="27" spans="1:14" x14ac:dyDescent="0.25">
      <c r="A27" s="19"/>
      <c r="B27" s="21">
        <v>20</v>
      </c>
      <c r="C27" s="22">
        <v>6</v>
      </c>
      <c r="D27" s="22">
        <v>67</v>
      </c>
      <c r="E27" s="23">
        <v>2.9000000000000909</v>
      </c>
      <c r="F27" s="24">
        <f t="shared" si="0"/>
        <v>5800.0000000001819</v>
      </c>
      <c r="G27" s="25">
        <f t="shared" si="1"/>
        <v>6005900.0000001881</v>
      </c>
      <c r="H27" s="23">
        <v>0.56000000000000227</v>
      </c>
      <c r="I27" s="24">
        <f t="shared" si="2"/>
        <v>1120.0000000000045</v>
      </c>
      <c r="J27" s="25">
        <f t="shared" si="3"/>
        <v>1739640.000000007</v>
      </c>
      <c r="K27" s="23">
        <f t="shared" si="4"/>
        <v>7745540.0000001956</v>
      </c>
      <c r="L27" s="26">
        <f t="shared" si="5"/>
        <v>8520094.0000002161</v>
      </c>
      <c r="M27" s="27">
        <f t="shared" si="6"/>
        <v>592.45490577847272</v>
      </c>
      <c r="N27" s="28"/>
    </row>
    <row r="28" spans="1:14" x14ac:dyDescent="0.25">
      <c r="A28" s="19"/>
      <c r="B28" s="21">
        <v>21</v>
      </c>
      <c r="C28" s="22">
        <v>5</v>
      </c>
      <c r="D28" s="22">
        <v>42</v>
      </c>
      <c r="E28" s="23">
        <v>2.8800000000001091</v>
      </c>
      <c r="F28" s="24">
        <f t="shared" si="0"/>
        <v>5760.0000000002183</v>
      </c>
      <c r="G28" s="25">
        <f t="shared" si="1"/>
        <v>5964480.0000002263</v>
      </c>
      <c r="H28" s="23">
        <v>0.54999999999995453</v>
      </c>
      <c r="I28" s="24">
        <f t="shared" si="2"/>
        <v>1099.9999999999091</v>
      </c>
      <c r="J28" s="25">
        <f t="shared" si="3"/>
        <v>1708574.9999998587</v>
      </c>
      <c r="K28" s="23">
        <f t="shared" si="4"/>
        <v>7673055.0000000848</v>
      </c>
      <c r="L28" s="26">
        <f t="shared" si="5"/>
        <v>8440360.5000000931</v>
      </c>
      <c r="M28" s="27">
        <f t="shared" si="6"/>
        <v>586.9105416869545</v>
      </c>
      <c r="N28" s="28"/>
    </row>
    <row r="29" spans="1:14" x14ac:dyDescent="0.25">
      <c r="A29" s="19"/>
      <c r="B29" s="21">
        <v>22</v>
      </c>
      <c r="C29" s="22">
        <v>9</v>
      </c>
      <c r="D29" s="22">
        <v>55</v>
      </c>
      <c r="E29" s="23">
        <v>3.1099999999999</v>
      </c>
      <c r="F29" s="24">
        <f t="shared" si="0"/>
        <v>6219.9999999997999</v>
      </c>
      <c r="G29" s="25">
        <f t="shared" si="1"/>
        <v>6440809.9999997932</v>
      </c>
      <c r="H29" s="23">
        <v>0.62000000000000455</v>
      </c>
      <c r="I29" s="24">
        <f t="shared" si="2"/>
        <v>1240.0000000000091</v>
      </c>
      <c r="J29" s="25">
        <f t="shared" si="3"/>
        <v>1926030.0000000142</v>
      </c>
      <c r="K29" s="23">
        <f t="shared" si="4"/>
        <v>8366839.9999998072</v>
      </c>
      <c r="L29" s="26">
        <f t="shared" si="5"/>
        <v>9203523.9999997895</v>
      </c>
      <c r="M29" s="27">
        <f t="shared" si="6"/>
        <v>639.97802656281135</v>
      </c>
      <c r="N29" s="28"/>
    </row>
    <row r="30" spans="1:14" x14ac:dyDescent="0.25">
      <c r="A30" s="19"/>
      <c r="B30" s="21">
        <v>23</v>
      </c>
      <c r="C30" s="22">
        <v>13</v>
      </c>
      <c r="D30" s="22">
        <v>43</v>
      </c>
      <c r="E30" s="23">
        <v>3.3499999999999091</v>
      </c>
      <c r="F30" s="24">
        <f t="shared" si="0"/>
        <v>6699.9999999998181</v>
      </c>
      <c r="G30" s="25">
        <f t="shared" si="1"/>
        <v>6937849.9999998119</v>
      </c>
      <c r="H30" s="23">
        <v>0.67000000000001592</v>
      </c>
      <c r="I30" s="24">
        <f t="shared" si="2"/>
        <v>1340.0000000000318</v>
      </c>
      <c r="J30" s="25">
        <f t="shared" si="3"/>
        <v>2081355.0000000494</v>
      </c>
      <c r="K30" s="23">
        <f t="shared" si="4"/>
        <v>9019204.9999998622</v>
      </c>
      <c r="L30" s="26">
        <f t="shared" si="5"/>
        <v>9921125.4999998491</v>
      </c>
      <c r="M30" s="27">
        <f t="shared" si="6"/>
        <v>689.8773033864021</v>
      </c>
      <c r="N30" s="28"/>
    </row>
    <row r="31" spans="1:14" x14ac:dyDescent="0.25">
      <c r="A31" s="19"/>
      <c r="B31" s="21">
        <v>24</v>
      </c>
      <c r="C31" s="22">
        <v>16</v>
      </c>
      <c r="D31" s="22">
        <v>79</v>
      </c>
      <c r="E31" s="23">
        <v>3.4000000000000909</v>
      </c>
      <c r="F31" s="24">
        <f t="shared" si="0"/>
        <v>6800.0000000001819</v>
      </c>
      <c r="G31" s="25">
        <f t="shared" si="1"/>
        <v>7041400.0000001881</v>
      </c>
      <c r="H31" s="23">
        <v>0.70999999999997954</v>
      </c>
      <c r="I31" s="24">
        <f t="shared" si="2"/>
        <v>1419.9999999999591</v>
      </c>
      <c r="J31" s="25">
        <f t="shared" si="3"/>
        <v>2205614.9999999362</v>
      </c>
      <c r="K31" s="23">
        <f t="shared" si="4"/>
        <v>9247015.0000001248</v>
      </c>
      <c r="L31" s="26">
        <f t="shared" si="5"/>
        <v>10171716.500000138</v>
      </c>
      <c r="M31" s="27">
        <f t="shared" si="6"/>
        <v>707.30244767402394</v>
      </c>
      <c r="N31" s="28"/>
    </row>
    <row r="32" spans="1:14" x14ac:dyDescent="0.25">
      <c r="A32" s="19"/>
      <c r="B32" s="21">
        <v>25</v>
      </c>
      <c r="C32" s="22">
        <v>19</v>
      </c>
      <c r="D32" s="22">
        <v>74</v>
      </c>
      <c r="E32" s="23">
        <v>3.4600000000000364</v>
      </c>
      <c r="F32" s="24">
        <f t="shared" si="0"/>
        <v>6920.0000000000728</v>
      </c>
      <c r="G32" s="25">
        <f t="shared" si="1"/>
        <v>7165660.0000000754</v>
      </c>
      <c r="H32" s="23">
        <v>0.69000000000005457</v>
      </c>
      <c r="I32" s="24">
        <f t="shared" si="2"/>
        <v>1380.0000000001091</v>
      </c>
      <c r="J32" s="25">
        <f t="shared" si="3"/>
        <v>2143485.0000001695</v>
      </c>
      <c r="K32" s="23">
        <f t="shared" si="4"/>
        <v>9309145.0000002459</v>
      </c>
      <c r="L32" s="26">
        <f t="shared" si="5"/>
        <v>10240059.500000272</v>
      </c>
      <c r="M32" s="27">
        <f t="shared" si="6"/>
        <v>712.05475975247009</v>
      </c>
      <c r="N32" s="28"/>
    </row>
    <row r="33" spans="1:16" x14ac:dyDescent="0.25">
      <c r="A33" s="19"/>
      <c r="B33" s="21">
        <v>26</v>
      </c>
      <c r="C33" s="22">
        <v>15</v>
      </c>
      <c r="D33" s="22">
        <v>71</v>
      </c>
      <c r="E33" s="23">
        <v>3.1600000000000819</v>
      </c>
      <c r="F33" s="24">
        <f t="shared" ref="F33:F35" si="7">E33*2000</f>
        <v>6320.0000000001637</v>
      </c>
      <c r="G33" s="25">
        <f t="shared" ref="G33:G35" si="8">F33*1035.5</f>
        <v>6544360.0000001695</v>
      </c>
      <c r="H33" s="23">
        <v>0.65999999999996817</v>
      </c>
      <c r="I33" s="24">
        <f t="shared" ref="I33:I35" si="9">H33*2000</f>
        <v>1319.9999999999363</v>
      </c>
      <c r="J33" s="25">
        <f t="shared" ref="J33:J35" si="10">I33*1553.25</f>
        <v>2050289.999999901</v>
      </c>
      <c r="K33" s="23">
        <f t="shared" ref="K33:K35" si="11">G33+J33</f>
        <v>8594650.0000000708</v>
      </c>
      <c r="L33" s="26">
        <f t="shared" ref="L33:L35" si="12">K33*1.1</f>
        <v>9454115.0000000782</v>
      </c>
      <c r="M33" s="27">
        <f t="shared" ref="M33:M35" si="13">L33/14381</f>
        <v>657.40317085043307</v>
      </c>
      <c r="N33" s="28"/>
    </row>
    <row r="34" spans="1:16" x14ac:dyDescent="0.25">
      <c r="A34" s="19"/>
      <c r="B34" s="21">
        <v>27</v>
      </c>
      <c r="C34" s="22">
        <v>10</v>
      </c>
      <c r="D34" s="22">
        <v>75</v>
      </c>
      <c r="E34" s="23">
        <v>3.2799999999999727</v>
      </c>
      <c r="F34" s="24">
        <f t="shared" si="7"/>
        <v>6559.9999999999454</v>
      </c>
      <c r="G34" s="25">
        <f t="shared" si="8"/>
        <v>6792879.9999999432</v>
      </c>
      <c r="H34" s="23">
        <v>0.61000000000001364</v>
      </c>
      <c r="I34" s="24">
        <f t="shared" si="9"/>
        <v>1220.0000000000273</v>
      </c>
      <c r="J34" s="25">
        <f t="shared" si="10"/>
        <v>1894965.0000000424</v>
      </c>
      <c r="K34" s="23">
        <f t="shared" si="11"/>
        <v>8687844.9999999851</v>
      </c>
      <c r="L34" s="26">
        <f t="shared" si="12"/>
        <v>9556629.4999999851</v>
      </c>
      <c r="M34" s="27">
        <f t="shared" si="13"/>
        <v>664.53163896808189</v>
      </c>
      <c r="N34" s="28"/>
    </row>
    <row r="35" spans="1:16" x14ac:dyDescent="0.25">
      <c r="A35" s="19"/>
      <c r="B35" s="21">
        <v>28</v>
      </c>
      <c r="C35" s="22">
        <v>7</v>
      </c>
      <c r="D35" s="22">
        <v>21</v>
      </c>
      <c r="E35" s="23">
        <v>3.1499999999998636</v>
      </c>
      <c r="F35" s="24">
        <f t="shared" si="7"/>
        <v>6299.9999999997272</v>
      </c>
      <c r="G35" s="25">
        <f t="shared" si="8"/>
        <v>6523649.9999997178</v>
      </c>
      <c r="H35" s="23">
        <v>0.57999999999998408</v>
      </c>
      <c r="I35" s="24">
        <f t="shared" si="9"/>
        <v>1159.9999999999682</v>
      </c>
      <c r="J35" s="25">
        <f t="shared" si="10"/>
        <v>1801769.9999999506</v>
      </c>
      <c r="K35" s="23">
        <f t="shared" si="11"/>
        <v>8325419.9999996684</v>
      </c>
      <c r="L35" s="26">
        <f t="shared" si="12"/>
        <v>9157961.9999996368</v>
      </c>
      <c r="M35" s="27">
        <f t="shared" si="13"/>
        <v>636.80981851050944</v>
      </c>
      <c r="N35" s="28"/>
    </row>
    <row r="36" spans="1:16" x14ac:dyDescent="0.25">
      <c r="A36" s="19"/>
      <c r="B36" s="21">
        <v>29</v>
      </c>
      <c r="C36" s="22">
        <v>12</v>
      </c>
      <c r="D36" s="22">
        <v>43</v>
      </c>
      <c r="E36" s="23">
        <v>3.1000000000001364</v>
      </c>
      <c r="F36" s="24">
        <f t="shared" si="0"/>
        <v>6200.0000000002728</v>
      </c>
      <c r="G36" s="25">
        <f t="shared" si="1"/>
        <v>6420100.0000002822</v>
      </c>
      <c r="H36" s="23">
        <v>0.61000000000001364</v>
      </c>
      <c r="I36" s="24">
        <f t="shared" si="2"/>
        <v>1220.0000000000273</v>
      </c>
      <c r="J36" s="25">
        <f t="shared" si="3"/>
        <v>1894965.0000000424</v>
      </c>
      <c r="K36" s="23">
        <f t="shared" si="4"/>
        <v>8315065.0000003241</v>
      </c>
      <c r="L36" s="26">
        <f t="shared" si="5"/>
        <v>9146571.5000003576</v>
      </c>
      <c r="M36" s="27">
        <f t="shared" si="6"/>
        <v>636.01776649748683</v>
      </c>
      <c r="N36" s="28"/>
    </row>
    <row r="37" spans="1:16" x14ac:dyDescent="0.25">
      <c r="A37" s="19"/>
      <c r="B37" s="21">
        <v>30</v>
      </c>
      <c r="C37" s="22">
        <v>14</v>
      </c>
      <c r="D37" s="22">
        <v>51</v>
      </c>
      <c r="E37" s="23">
        <v>3.2899999999999636</v>
      </c>
      <c r="F37" s="24">
        <f t="shared" si="0"/>
        <v>6579.9999999999272</v>
      </c>
      <c r="G37" s="25">
        <f t="shared" si="1"/>
        <v>6813589.9999999246</v>
      </c>
      <c r="H37" s="23">
        <v>0.68999999999999773</v>
      </c>
      <c r="I37" s="24">
        <f t="shared" si="2"/>
        <v>1379.9999999999955</v>
      </c>
      <c r="J37" s="25">
        <f t="shared" si="3"/>
        <v>2143484.999999993</v>
      </c>
      <c r="K37" s="23">
        <f t="shared" si="4"/>
        <v>8957074.999999918</v>
      </c>
      <c r="L37" s="26">
        <f t="shared" si="5"/>
        <v>9852782.4999999106</v>
      </c>
      <c r="M37" s="27">
        <f t="shared" si="6"/>
        <v>685.12499130796959</v>
      </c>
      <c r="N37" s="28"/>
    </row>
    <row r="38" spans="1:16" x14ac:dyDescent="0.25">
      <c r="A38" s="19"/>
      <c r="B38" s="21">
        <v>31</v>
      </c>
      <c r="C38" s="22">
        <v>7</v>
      </c>
      <c r="D38" s="22">
        <v>65</v>
      </c>
      <c r="E38" s="23">
        <v>3.5</v>
      </c>
      <c r="F38" s="24">
        <f t="shared" si="0"/>
        <v>7000</v>
      </c>
      <c r="G38" s="25">
        <f t="shared" si="1"/>
        <v>7248500</v>
      </c>
      <c r="H38" s="23">
        <v>0.69999999999998863</v>
      </c>
      <c r="I38" s="24">
        <f t="shared" si="2"/>
        <v>1399.9999999999773</v>
      </c>
      <c r="J38" s="25">
        <f t="shared" si="3"/>
        <v>2174549.9999999646</v>
      </c>
      <c r="K38" s="23">
        <f t="shared" si="4"/>
        <v>9423049.9999999646</v>
      </c>
      <c r="L38" s="26">
        <f t="shared" si="5"/>
        <v>10365354.999999963</v>
      </c>
      <c r="M38" s="27">
        <f t="shared" si="6"/>
        <v>720.7673318962494</v>
      </c>
      <c r="N38" s="28"/>
    </row>
    <row r="39" spans="1:16" x14ac:dyDescent="0.25">
      <c r="C39" s="29">
        <f>SUM(C8:C38)</f>
        <v>280</v>
      </c>
      <c r="D39" s="29">
        <f>SUM(D8:D38)</f>
        <v>1381</v>
      </c>
      <c r="E39" s="30">
        <v>3.2799999999999727</v>
      </c>
      <c r="F39" s="29">
        <f>SUM(F8:F38)</f>
        <v>188480.00000000006</v>
      </c>
      <c r="I39" s="29">
        <f>SUM(I8:I38)</f>
        <v>37779.999999999971</v>
      </c>
      <c r="L39" s="31">
        <f>SUM(L8:L38)</f>
        <v>279238107.50000006</v>
      </c>
      <c r="M39" s="32">
        <f>SUM(M8:M38)</f>
        <v>19417.155100479798</v>
      </c>
      <c r="N39" s="33"/>
      <c r="P39" s="34"/>
    </row>
    <row r="41" spans="1:16" x14ac:dyDescent="0.25">
      <c r="G41" s="84" t="s">
        <v>28</v>
      </c>
      <c r="H41" s="85"/>
      <c r="I41" s="86">
        <f>F39+I39</f>
        <v>226260.00000000003</v>
      </c>
      <c r="M41" s="35"/>
      <c r="P41" s="36"/>
    </row>
    <row r="42" spans="1:16" x14ac:dyDescent="0.25">
      <c r="M42" s="37"/>
    </row>
  </sheetData>
  <mergeCells count="17"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  <mergeCell ref="H6:H7"/>
    <mergeCell ref="I6:I7"/>
    <mergeCell ref="J6:J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workbookViewId="0">
      <selection activeCell="L47" sqref="L47"/>
    </sheetView>
  </sheetViews>
  <sheetFormatPr defaultRowHeight="15" x14ac:dyDescent="0.25"/>
  <cols>
    <col min="1" max="1" width="2.5703125" customWidth="1"/>
    <col min="2" max="2" width="5.42578125" customWidth="1"/>
    <col min="3" max="3" width="6.42578125" style="30" customWidth="1"/>
    <col min="4" max="4" width="8.42578125" style="18" customWidth="1"/>
    <col min="5" max="5" width="11" style="30" customWidth="1"/>
    <col min="6" max="6" width="9.5703125" style="30" customWidth="1"/>
    <col min="7" max="7" width="11.140625" style="30" customWidth="1"/>
    <col min="8" max="8" width="9.42578125" style="30" customWidth="1"/>
    <col min="9" max="9" width="7.140625" style="30" customWidth="1"/>
    <col min="10" max="10" width="13.7109375" style="30" customWidth="1"/>
    <col min="11" max="11" width="11.140625" style="30" customWidth="1"/>
    <col min="12" max="12" width="6.7109375" style="30" customWidth="1"/>
    <col min="13" max="13" width="13.7109375" style="61" customWidth="1"/>
    <col min="14" max="14" width="8.7109375" style="30" customWidth="1"/>
    <col min="15" max="15" width="6.42578125" style="30" customWidth="1"/>
    <col min="16" max="16" width="11.140625" style="30" customWidth="1"/>
    <col min="17" max="17" width="15" style="18" customWidth="1"/>
    <col min="18" max="18" width="16.28515625" style="30" customWidth="1"/>
    <col min="19" max="19" width="2.5703125" customWidth="1"/>
    <col min="21" max="21" width="21.5703125" customWidth="1"/>
  </cols>
  <sheetData>
    <row r="1" spans="1:21" ht="15.75" x14ac:dyDescent="0.25">
      <c r="B1" s="94" t="s">
        <v>29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</row>
    <row r="2" spans="1:21" ht="15.75" x14ac:dyDescent="0.25">
      <c r="B2" s="94" t="s">
        <v>16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</row>
    <row r="3" spans="1:21" x14ac:dyDescent="0.25">
      <c r="E3" s="38"/>
      <c r="F3" s="39"/>
      <c r="G3" s="39"/>
      <c r="H3" s="39"/>
      <c r="I3" s="39"/>
      <c r="J3" s="39"/>
      <c r="K3" s="39"/>
      <c r="L3" s="39"/>
      <c r="M3" s="40"/>
      <c r="N3" s="38"/>
      <c r="O3" s="39"/>
      <c r="P3" s="39"/>
      <c r="Q3" s="41"/>
    </row>
    <row r="4" spans="1:21" x14ac:dyDescent="0.25">
      <c r="A4" s="15"/>
      <c r="B4" s="98">
        <v>44593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15"/>
    </row>
    <row r="5" spans="1:21" x14ac:dyDescent="0.25">
      <c r="A5" s="16"/>
      <c r="B5" s="93" t="s">
        <v>17</v>
      </c>
      <c r="C5" s="93" t="s">
        <v>18</v>
      </c>
      <c r="D5" s="93" t="s">
        <v>13</v>
      </c>
      <c r="E5" s="99" t="s">
        <v>30</v>
      </c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100" t="s">
        <v>31</v>
      </c>
      <c r="R5" s="100"/>
      <c r="S5" s="17"/>
    </row>
    <row r="6" spans="1:21" s="18" customFormat="1" x14ac:dyDescent="0.25">
      <c r="A6" s="16"/>
      <c r="B6" s="93"/>
      <c r="C6" s="93"/>
      <c r="D6" s="93"/>
      <c r="E6" s="99" t="s">
        <v>32</v>
      </c>
      <c r="F6" s="99"/>
      <c r="G6" s="99"/>
      <c r="H6" s="99" t="s">
        <v>33</v>
      </c>
      <c r="I6" s="99"/>
      <c r="J6" s="99"/>
      <c r="K6" s="99" t="s">
        <v>34</v>
      </c>
      <c r="L6" s="99"/>
      <c r="M6" s="99"/>
      <c r="N6" s="101" t="s">
        <v>35</v>
      </c>
      <c r="O6" s="101"/>
      <c r="P6" s="101"/>
      <c r="Q6" s="100"/>
      <c r="R6" s="100"/>
      <c r="S6" s="17"/>
    </row>
    <row r="7" spans="1:21" ht="22.5" x14ac:dyDescent="0.25">
      <c r="A7" s="19"/>
      <c r="B7" s="93"/>
      <c r="C7" s="93"/>
      <c r="D7" s="93"/>
      <c r="E7" s="93" t="s">
        <v>36</v>
      </c>
      <c r="F7" s="102" t="s">
        <v>37</v>
      </c>
      <c r="G7" s="42" t="s">
        <v>38</v>
      </c>
      <c r="H7" s="93" t="s">
        <v>39</v>
      </c>
      <c r="I7" s="93" t="s">
        <v>37</v>
      </c>
      <c r="J7" s="42" t="s">
        <v>38</v>
      </c>
      <c r="K7" s="93" t="s">
        <v>36</v>
      </c>
      <c r="L7" s="93" t="s">
        <v>37</v>
      </c>
      <c r="M7" s="42" t="s">
        <v>40</v>
      </c>
      <c r="N7" s="93" t="s">
        <v>41</v>
      </c>
      <c r="O7" s="93" t="s">
        <v>37</v>
      </c>
      <c r="P7" s="42" t="s">
        <v>40</v>
      </c>
      <c r="Q7" s="100"/>
      <c r="R7" s="100"/>
      <c r="S7" s="20"/>
    </row>
    <row r="8" spans="1:21" x14ac:dyDescent="0.25">
      <c r="A8" s="19"/>
      <c r="B8" s="93"/>
      <c r="C8" s="93"/>
      <c r="D8" s="93"/>
      <c r="E8" s="93"/>
      <c r="F8" s="103"/>
      <c r="G8" s="43">
        <v>15840</v>
      </c>
      <c r="H8" s="93"/>
      <c r="I8" s="93"/>
      <c r="J8" s="43">
        <f>G8</f>
        <v>15840</v>
      </c>
      <c r="K8" s="93"/>
      <c r="L8" s="93"/>
      <c r="M8" s="43">
        <f>J8</f>
        <v>15840</v>
      </c>
      <c r="N8" s="93"/>
      <c r="O8" s="93"/>
      <c r="P8" s="43">
        <f>J8</f>
        <v>15840</v>
      </c>
      <c r="Q8" s="44" t="s">
        <v>42</v>
      </c>
      <c r="R8" s="42" t="s">
        <v>23</v>
      </c>
      <c r="S8" s="20"/>
      <c r="U8">
        <f>792000/50</f>
        <v>15840</v>
      </c>
    </row>
    <row r="9" spans="1:21" x14ac:dyDescent="0.25">
      <c r="A9" s="19"/>
      <c r="B9" s="21">
        <v>1</v>
      </c>
      <c r="C9" s="45">
        <f>Electricity!C8</f>
        <v>5</v>
      </c>
      <c r="D9" s="46">
        <f>Electricity!D8</f>
        <v>32</v>
      </c>
      <c r="E9" s="79">
        <v>8787.58</v>
      </c>
      <c r="F9" s="23">
        <v>53.814080000002342</v>
      </c>
      <c r="G9" s="48">
        <f>F9*$G$8</f>
        <v>852415.02720003715</v>
      </c>
      <c r="H9" s="47"/>
      <c r="I9" s="48">
        <v>0</v>
      </c>
      <c r="J9" s="48">
        <f>I9*$J$8</f>
        <v>0</v>
      </c>
      <c r="K9" s="47"/>
      <c r="L9" s="23">
        <v>0</v>
      </c>
      <c r="M9" s="24">
        <f>L9*$M$8</f>
        <v>0</v>
      </c>
      <c r="N9" s="47"/>
      <c r="O9" s="23">
        <v>7.14</v>
      </c>
      <c r="P9" s="49">
        <f>O9*$P$8</f>
        <v>113097.59999999999</v>
      </c>
      <c r="Q9" s="50">
        <f>P9+G9+J9+M9</f>
        <v>965512.62720003712</v>
      </c>
      <c r="R9" s="51">
        <f>Q9/14381</f>
        <v>67.138072957376892</v>
      </c>
      <c r="S9" s="20"/>
    </row>
    <row r="10" spans="1:21" x14ac:dyDescent="0.25">
      <c r="A10" s="19"/>
      <c r="B10" s="21">
        <v>2</v>
      </c>
      <c r="C10" s="45">
        <f>Electricity!C9</f>
        <v>22</v>
      </c>
      <c r="D10" s="46">
        <f>Electricity!D9</f>
        <v>60</v>
      </c>
      <c r="E10" s="79">
        <v>8798.7900000000009</v>
      </c>
      <c r="F10" s="23">
        <v>45.153880000003802</v>
      </c>
      <c r="G10" s="48">
        <f>F10*$G$8</f>
        <v>715237.45920006023</v>
      </c>
      <c r="H10" s="47"/>
      <c r="I10" s="48">
        <v>0</v>
      </c>
      <c r="J10" s="48">
        <f>I10*$J$8</f>
        <v>0</v>
      </c>
      <c r="K10" s="47"/>
      <c r="L10" s="23">
        <v>0</v>
      </c>
      <c r="M10" s="24">
        <f t="shared" ref="M10:M39" si="0">L10*$M$8</f>
        <v>0</v>
      </c>
      <c r="N10" s="47"/>
      <c r="O10" s="23">
        <v>7.14</v>
      </c>
      <c r="P10" s="49">
        <f>O10*$P$8</f>
        <v>113097.59999999999</v>
      </c>
      <c r="Q10" s="50">
        <f>J10+M10+G10+P10</f>
        <v>828335.0592000602</v>
      </c>
      <c r="R10" s="51">
        <f t="shared" ref="R10:R39" si="1">Q10/14381</f>
        <v>57.599267032894808</v>
      </c>
      <c r="S10" s="20"/>
    </row>
    <row r="11" spans="1:21" x14ac:dyDescent="0.25">
      <c r="A11" s="19"/>
      <c r="B11" s="21">
        <v>3</v>
      </c>
      <c r="C11" s="45">
        <f>Electricity!C10</f>
        <v>22</v>
      </c>
      <c r="D11" s="46">
        <f>Electricity!D10</f>
        <v>120</v>
      </c>
      <c r="E11" s="79">
        <v>8813.7900000000009</v>
      </c>
      <c r="F11" s="23">
        <v>60.419999999999995</v>
      </c>
      <c r="G11" s="48">
        <f t="shared" ref="G11:G39" si="2">F11*$G$8</f>
        <v>957052.79999999993</v>
      </c>
      <c r="H11" s="47"/>
      <c r="I11" s="48">
        <v>0</v>
      </c>
      <c r="J11" s="48">
        <f t="shared" ref="J11:J39" si="3">I11*$J$8</f>
        <v>0</v>
      </c>
      <c r="K11" s="47"/>
      <c r="L11" s="23">
        <v>0</v>
      </c>
      <c r="M11" s="24">
        <f t="shared" si="0"/>
        <v>0</v>
      </c>
      <c r="N11" s="47"/>
      <c r="O11" s="23">
        <v>7.14</v>
      </c>
      <c r="P11" s="49">
        <f t="shared" ref="P11:P39" si="4">O11*$P$8</f>
        <v>113097.59999999999</v>
      </c>
      <c r="Q11" s="50">
        <f t="shared" ref="Q11:Q39" si="5">J11+M11+G11+P11</f>
        <v>1070150.3999999999</v>
      </c>
      <c r="R11" s="51">
        <f t="shared" si="1"/>
        <v>74.414185383492097</v>
      </c>
      <c r="S11" s="20"/>
    </row>
    <row r="12" spans="1:21" x14ac:dyDescent="0.25">
      <c r="A12" s="19"/>
      <c r="B12" s="21">
        <v>4</v>
      </c>
      <c r="C12" s="45">
        <f>Electricity!C11</f>
        <v>11</v>
      </c>
      <c r="D12" s="46">
        <f>Electricity!D11</f>
        <v>46</v>
      </c>
      <c r="E12" s="79">
        <v>8825.09</v>
      </c>
      <c r="F12" s="23">
        <v>45.516399999997063</v>
      </c>
      <c r="G12" s="48">
        <f t="shared" si="2"/>
        <v>720979.7759999535</v>
      </c>
      <c r="H12" s="47"/>
      <c r="I12" s="48">
        <v>0</v>
      </c>
      <c r="J12" s="48">
        <f t="shared" si="3"/>
        <v>0</v>
      </c>
      <c r="K12" s="47"/>
      <c r="L12" s="23">
        <v>0</v>
      </c>
      <c r="M12" s="24">
        <f t="shared" si="0"/>
        <v>0</v>
      </c>
      <c r="N12" s="47"/>
      <c r="O12" s="23">
        <v>7.14</v>
      </c>
      <c r="P12" s="49">
        <f t="shared" si="4"/>
        <v>113097.59999999999</v>
      </c>
      <c r="Q12" s="50">
        <f t="shared" si="5"/>
        <v>834077.37599995348</v>
      </c>
      <c r="R12" s="51">
        <f t="shared" si="1"/>
        <v>57.998565885540188</v>
      </c>
      <c r="S12" s="20"/>
    </row>
    <row r="13" spans="1:21" x14ac:dyDescent="0.25">
      <c r="A13" s="19"/>
      <c r="B13" s="21">
        <v>5</v>
      </c>
      <c r="C13" s="45">
        <f>Electricity!C12</f>
        <v>8</v>
      </c>
      <c r="D13" s="46">
        <f>Electricity!D12</f>
        <v>41</v>
      </c>
      <c r="E13" s="79">
        <v>8835.14</v>
      </c>
      <c r="F13" s="23">
        <v>40.481399999997066</v>
      </c>
      <c r="G13" s="48">
        <f t="shared" si="2"/>
        <v>641225.37599995348</v>
      </c>
      <c r="H13" s="47"/>
      <c r="I13" s="48">
        <v>0</v>
      </c>
      <c r="J13" s="48">
        <f t="shared" si="3"/>
        <v>0</v>
      </c>
      <c r="K13" s="47"/>
      <c r="L13" s="23">
        <v>0</v>
      </c>
      <c r="M13" s="24">
        <f t="shared" si="0"/>
        <v>0</v>
      </c>
      <c r="N13" s="47"/>
      <c r="O13" s="23">
        <v>7.14</v>
      </c>
      <c r="P13" s="49">
        <f t="shared" si="4"/>
        <v>113097.59999999999</v>
      </c>
      <c r="Q13" s="50">
        <f t="shared" si="5"/>
        <v>754322.97599995346</v>
      </c>
      <c r="R13" s="51">
        <f t="shared" si="1"/>
        <v>52.45274848758455</v>
      </c>
      <c r="S13" s="20"/>
    </row>
    <row r="14" spans="1:21" x14ac:dyDescent="0.25">
      <c r="A14" s="19"/>
      <c r="B14" s="21">
        <v>6</v>
      </c>
      <c r="C14" s="45">
        <f>Electricity!C13</f>
        <v>2</v>
      </c>
      <c r="D14" s="46">
        <f>Electricity!D13</f>
        <v>22</v>
      </c>
      <c r="E14" s="79">
        <v>8846.0499999999993</v>
      </c>
      <c r="F14" s="23">
        <v>43.945479999999407</v>
      </c>
      <c r="G14" s="48">
        <f t="shared" si="2"/>
        <v>696096.40319999063</v>
      </c>
      <c r="H14" s="47"/>
      <c r="I14" s="48">
        <v>0</v>
      </c>
      <c r="J14" s="48">
        <f t="shared" si="3"/>
        <v>0</v>
      </c>
      <c r="K14" s="47"/>
      <c r="L14" s="23">
        <v>0</v>
      </c>
      <c r="M14" s="24">
        <f t="shared" si="0"/>
        <v>0</v>
      </c>
      <c r="N14" s="47"/>
      <c r="O14" s="23">
        <v>7.14</v>
      </c>
      <c r="P14" s="49">
        <f t="shared" si="4"/>
        <v>113097.59999999999</v>
      </c>
      <c r="Q14" s="50">
        <f t="shared" si="5"/>
        <v>809194.00319999061</v>
      </c>
      <c r="R14" s="51">
        <f t="shared" si="1"/>
        <v>56.268270857380614</v>
      </c>
      <c r="S14" s="20"/>
    </row>
    <row r="15" spans="1:21" x14ac:dyDescent="0.25">
      <c r="A15" s="19"/>
      <c r="B15" s="21">
        <v>7</v>
      </c>
      <c r="C15" s="45">
        <f>Electricity!C14</f>
        <v>2</v>
      </c>
      <c r="D15" s="46">
        <f>Electricity!D14</f>
        <v>20</v>
      </c>
      <c r="E15" s="79">
        <v>8854.65</v>
      </c>
      <c r="F15" s="23">
        <v>34.640800000001462</v>
      </c>
      <c r="G15" s="48">
        <f t="shared" si="2"/>
        <v>548710.27200002316</v>
      </c>
      <c r="H15" s="47"/>
      <c r="I15" s="48">
        <v>0</v>
      </c>
      <c r="J15" s="48">
        <f t="shared" si="3"/>
        <v>0</v>
      </c>
      <c r="K15" s="47"/>
      <c r="L15" s="23">
        <v>0</v>
      </c>
      <c r="M15" s="24">
        <f t="shared" si="0"/>
        <v>0</v>
      </c>
      <c r="N15" s="47"/>
      <c r="O15" s="23">
        <v>7.14</v>
      </c>
      <c r="P15" s="49">
        <f t="shared" si="4"/>
        <v>113097.59999999999</v>
      </c>
      <c r="Q15" s="50">
        <f t="shared" si="5"/>
        <v>661807.87200002314</v>
      </c>
      <c r="R15" s="51">
        <f t="shared" si="1"/>
        <v>46.019600305960864</v>
      </c>
      <c r="S15" s="20"/>
    </row>
    <row r="16" spans="1:21" x14ac:dyDescent="0.25">
      <c r="A16" s="19"/>
      <c r="B16" s="21">
        <v>8</v>
      </c>
      <c r="C16" s="45">
        <f>Electricity!C15</f>
        <v>2</v>
      </c>
      <c r="D16" s="46">
        <f>Electricity!D15</f>
        <v>20</v>
      </c>
      <c r="E16" s="79">
        <v>8864.25</v>
      </c>
      <c r="F16" s="23">
        <v>38.668800000001461</v>
      </c>
      <c r="G16" s="48">
        <f t="shared" si="2"/>
        <v>612513.79200002318</v>
      </c>
      <c r="H16" s="47"/>
      <c r="I16" s="48">
        <v>0</v>
      </c>
      <c r="J16" s="48">
        <f t="shared" si="3"/>
        <v>0</v>
      </c>
      <c r="K16" s="47"/>
      <c r="L16" s="23">
        <v>0</v>
      </c>
      <c r="M16" s="24">
        <f t="shared" si="0"/>
        <v>0</v>
      </c>
      <c r="N16" s="47"/>
      <c r="O16" s="23">
        <v>7.14</v>
      </c>
      <c r="P16" s="49">
        <f t="shared" si="4"/>
        <v>113097.59999999999</v>
      </c>
      <c r="Q16" s="50">
        <f t="shared" si="5"/>
        <v>725611.39200002316</v>
      </c>
      <c r="R16" s="51">
        <f t="shared" si="1"/>
        <v>50.45625422432537</v>
      </c>
      <c r="S16" s="20"/>
    </row>
    <row r="17" spans="1:19" x14ac:dyDescent="0.25">
      <c r="A17" s="19"/>
      <c r="B17" s="21">
        <v>9</v>
      </c>
      <c r="C17" s="45">
        <f>Electricity!C16</f>
        <v>3</v>
      </c>
      <c r="D17" s="46">
        <f>Electricity!D16</f>
        <v>14</v>
      </c>
      <c r="E17" s="80">
        <v>8872.99</v>
      </c>
      <c r="F17" s="23">
        <v>35.204719999999114</v>
      </c>
      <c r="G17" s="48">
        <f t="shared" si="2"/>
        <v>557642.76479998592</v>
      </c>
      <c r="H17" s="47"/>
      <c r="I17" s="48">
        <v>0</v>
      </c>
      <c r="J17" s="48">
        <f t="shared" si="3"/>
        <v>0</v>
      </c>
      <c r="K17" s="47"/>
      <c r="L17" s="23">
        <v>0</v>
      </c>
      <c r="M17" s="24">
        <f t="shared" si="0"/>
        <v>0</v>
      </c>
      <c r="N17" s="47"/>
      <c r="O17" s="23">
        <v>7.14</v>
      </c>
      <c r="P17" s="49">
        <f t="shared" si="4"/>
        <v>113097.59999999999</v>
      </c>
      <c r="Q17" s="50">
        <f t="shared" si="5"/>
        <v>670740.36479998589</v>
      </c>
      <c r="R17" s="51">
        <f t="shared" si="1"/>
        <v>46.640731854529299</v>
      </c>
      <c r="S17" s="20"/>
    </row>
    <row r="18" spans="1:19" x14ac:dyDescent="0.25">
      <c r="A18" s="19"/>
      <c r="B18" s="21">
        <v>10</v>
      </c>
      <c r="C18" s="45">
        <f>Electricity!C17</f>
        <v>5</v>
      </c>
      <c r="D18" s="46">
        <f>Electricity!D17</f>
        <v>8</v>
      </c>
      <c r="E18" s="79">
        <v>8882.66</v>
      </c>
      <c r="F18" s="23">
        <v>38.950760000000287</v>
      </c>
      <c r="G18" s="48">
        <f t="shared" si="2"/>
        <v>616980.0384000045</v>
      </c>
      <c r="H18" s="47"/>
      <c r="I18" s="48">
        <f t="shared" ref="I18:I39" si="6">H18-H17</f>
        <v>0</v>
      </c>
      <c r="J18" s="48">
        <f t="shared" si="3"/>
        <v>0</v>
      </c>
      <c r="K18" s="47"/>
      <c r="L18" s="23">
        <v>0</v>
      </c>
      <c r="M18" s="24">
        <f t="shared" si="0"/>
        <v>0</v>
      </c>
      <c r="N18" s="47"/>
      <c r="O18" s="23">
        <v>7.14</v>
      </c>
      <c r="P18" s="49">
        <f t="shared" si="4"/>
        <v>113097.59999999999</v>
      </c>
      <c r="Q18" s="50">
        <f t="shared" si="5"/>
        <v>730077.63840000448</v>
      </c>
      <c r="R18" s="51">
        <f t="shared" si="1"/>
        <v>50.766819998609584</v>
      </c>
      <c r="S18" s="20"/>
    </row>
    <row r="19" spans="1:19" x14ac:dyDescent="0.25">
      <c r="A19" s="19"/>
      <c r="B19" s="21">
        <v>11</v>
      </c>
      <c r="C19" s="45">
        <f>Electricity!C18</f>
        <v>4</v>
      </c>
      <c r="D19" s="46">
        <f>Electricity!D18</f>
        <v>25</v>
      </c>
      <c r="E19" s="79">
        <v>8891.49</v>
      </c>
      <c r="F19" s="23">
        <v>35.5672399999997</v>
      </c>
      <c r="G19" s="48">
        <f t="shared" si="2"/>
        <v>563385.08159999526</v>
      </c>
      <c r="H19" s="47"/>
      <c r="I19" s="48">
        <f t="shared" si="6"/>
        <v>0</v>
      </c>
      <c r="J19" s="48">
        <f t="shared" si="3"/>
        <v>0</v>
      </c>
      <c r="K19" s="47"/>
      <c r="L19" s="23">
        <v>0</v>
      </c>
      <c r="M19" s="24">
        <f t="shared" si="0"/>
        <v>0</v>
      </c>
      <c r="N19" s="47"/>
      <c r="O19" s="23">
        <v>7.14</v>
      </c>
      <c r="P19" s="49">
        <f t="shared" si="4"/>
        <v>113097.59999999999</v>
      </c>
      <c r="Q19" s="50">
        <f t="shared" si="5"/>
        <v>676482.68159999524</v>
      </c>
      <c r="R19" s="51">
        <f t="shared" si="1"/>
        <v>47.040030707182758</v>
      </c>
      <c r="S19" s="20"/>
    </row>
    <row r="20" spans="1:19" x14ac:dyDescent="0.25">
      <c r="A20" s="19"/>
      <c r="B20" s="21">
        <v>12</v>
      </c>
      <c r="C20" s="45">
        <f>Electricity!C19</f>
        <v>5</v>
      </c>
      <c r="D20" s="46">
        <f>Electricity!D19</f>
        <v>36</v>
      </c>
      <c r="E20" s="79">
        <v>8901.32</v>
      </c>
      <c r="F20" s="23">
        <v>39.595239999999706</v>
      </c>
      <c r="G20" s="48">
        <f t="shared" si="2"/>
        <v>627188.60159999528</v>
      </c>
      <c r="H20" s="47"/>
      <c r="I20" s="48">
        <f t="shared" si="6"/>
        <v>0</v>
      </c>
      <c r="J20" s="48">
        <f t="shared" si="3"/>
        <v>0</v>
      </c>
      <c r="K20" s="47"/>
      <c r="L20" s="23">
        <v>0</v>
      </c>
      <c r="M20" s="24">
        <f t="shared" si="0"/>
        <v>0</v>
      </c>
      <c r="N20" s="47"/>
      <c r="O20" s="23">
        <v>7.14</v>
      </c>
      <c r="P20" s="49">
        <f t="shared" si="4"/>
        <v>113097.59999999999</v>
      </c>
      <c r="Q20" s="50">
        <f t="shared" si="5"/>
        <v>740286.20159999526</v>
      </c>
      <c r="R20" s="51">
        <f t="shared" si="1"/>
        <v>51.476684625547264</v>
      </c>
      <c r="S20" s="20"/>
    </row>
    <row r="21" spans="1:19" x14ac:dyDescent="0.25">
      <c r="A21" s="19"/>
      <c r="B21" s="21">
        <v>13</v>
      </c>
      <c r="C21" s="45">
        <f>Electricity!C20</f>
        <v>9</v>
      </c>
      <c r="D21" s="46">
        <f>Electricity!D20</f>
        <v>42</v>
      </c>
      <c r="E21" s="79">
        <v>8911.1200000000008</v>
      </c>
      <c r="F21" s="23">
        <v>39.474400000004394</v>
      </c>
      <c r="G21" s="48">
        <f t="shared" si="2"/>
        <v>625274.49600006954</v>
      </c>
      <c r="H21" s="47"/>
      <c r="I21" s="48">
        <f t="shared" si="6"/>
        <v>0</v>
      </c>
      <c r="J21" s="48">
        <f t="shared" si="3"/>
        <v>0</v>
      </c>
      <c r="K21" s="47"/>
      <c r="L21" s="23">
        <v>0</v>
      </c>
      <c r="M21" s="24">
        <f t="shared" si="0"/>
        <v>0</v>
      </c>
      <c r="N21" s="47"/>
      <c r="O21" s="23">
        <v>7.14</v>
      </c>
      <c r="P21" s="49">
        <f t="shared" si="4"/>
        <v>113097.59999999999</v>
      </c>
      <c r="Q21" s="50">
        <f t="shared" si="5"/>
        <v>738372.09600006952</v>
      </c>
      <c r="R21" s="51">
        <f t="shared" si="1"/>
        <v>51.343585008001497</v>
      </c>
      <c r="S21" s="20"/>
    </row>
    <row r="22" spans="1:19" x14ac:dyDescent="0.25">
      <c r="A22" s="19"/>
      <c r="B22" s="21">
        <v>14</v>
      </c>
      <c r="C22" s="45">
        <f>Electricity!C21</f>
        <v>6</v>
      </c>
      <c r="D22" s="46">
        <f>Electricity!D21</f>
        <v>32</v>
      </c>
      <c r="E22" s="79">
        <v>8921.7800000000007</v>
      </c>
      <c r="F22" s="23">
        <v>42.938479999999409</v>
      </c>
      <c r="G22" s="48">
        <f t="shared" si="2"/>
        <v>680145.52319999062</v>
      </c>
      <c r="H22" s="47"/>
      <c r="I22" s="48">
        <f t="shared" si="6"/>
        <v>0</v>
      </c>
      <c r="J22" s="48">
        <f t="shared" si="3"/>
        <v>0</v>
      </c>
      <c r="K22" s="47"/>
      <c r="L22" s="23">
        <v>0</v>
      </c>
      <c r="M22" s="24">
        <f t="shared" si="0"/>
        <v>0</v>
      </c>
      <c r="N22" s="47"/>
      <c r="O22" s="23">
        <v>7.14</v>
      </c>
      <c r="P22" s="49">
        <f t="shared" si="4"/>
        <v>113097.59999999999</v>
      </c>
      <c r="Q22" s="50">
        <f t="shared" si="5"/>
        <v>793243.1231999906</v>
      </c>
      <c r="R22" s="51">
        <f t="shared" si="1"/>
        <v>55.159107377789489</v>
      </c>
      <c r="S22" s="20"/>
    </row>
    <row r="23" spans="1:19" x14ac:dyDescent="0.25">
      <c r="A23" s="19"/>
      <c r="B23" s="21">
        <v>15</v>
      </c>
      <c r="C23" s="45">
        <f>Electricity!C22</f>
        <v>6</v>
      </c>
      <c r="D23" s="46">
        <f>Electricity!D22</f>
        <v>43</v>
      </c>
      <c r="E23" s="79">
        <v>8932.6</v>
      </c>
      <c r="F23" s="23">
        <v>43.58295999999882</v>
      </c>
      <c r="G23" s="48">
        <f t="shared" si="2"/>
        <v>690354.08639998129</v>
      </c>
      <c r="H23" s="47"/>
      <c r="I23" s="48">
        <f t="shared" si="6"/>
        <v>0</v>
      </c>
      <c r="J23" s="48">
        <f t="shared" si="3"/>
        <v>0</v>
      </c>
      <c r="K23" s="47"/>
      <c r="L23" s="23">
        <v>0</v>
      </c>
      <c r="M23" s="24">
        <f t="shared" si="0"/>
        <v>0</v>
      </c>
      <c r="N23" s="47"/>
      <c r="O23" s="23">
        <v>7.14</v>
      </c>
      <c r="P23" s="49">
        <f t="shared" si="4"/>
        <v>113097.59999999999</v>
      </c>
      <c r="Q23" s="50">
        <f t="shared" si="5"/>
        <v>803451.68639998126</v>
      </c>
      <c r="R23" s="51">
        <f t="shared" si="1"/>
        <v>55.868972004727155</v>
      </c>
      <c r="S23" s="20"/>
    </row>
    <row r="24" spans="1:19" x14ac:dyDescent="0.25">
      <c r="A24" s="19"/>
      <c r="B24" s="21">
        <v>16</v>
      </c>
      <c r="C24" s="45">
        <f>Electricity!C23</f>
        <v>6</v>
      </c>
      <c r="D24" s="46">
        <f>Electricity!D23</f>
        <v>23</v>
      </c>
      <c r="E24" s="79">
        <v>8943.6</v>
      </c>
      <c r="F24" s="23">
        <v>44.307999999999993</v>
      </c>
      <c r="G24" s="48">
        <f t="shared" si="2"/>
        <v>701838.71999999986</v>
      </c>
      <c r="H24" s="47"/>
      <c r="I24" s="48">
        <f t="shared" si="6"/>
        <v>0</v>
      </c>
      <c r="J24" s="48">
        <f t="shared" si="3"/>
        <v>0</v>
      </c>
      <c r="K24" s="47"/>
      <c r="L24" s="23">
        <v>0</v>
      </c>
      <c r="M24" s="24">
        <f t="shared" si="0"/>
        <v>0</v>
      </c>
      <c r="N24" s="47"/>
      <c r="O24" s="23">
        <v>7.14</v>
      </c>
      <c r="P24" s="49">
        <f t="shared" si="4"/>
        <v>113097.59999999999</v>
      </c>
      <c r="Q24" s="50">
        <f t="shared" si="5"/>
        <v>814936.31999999983</v>
      </c>
      <c r="R24" s="51">
        <f t="shared" si="1"/>
        <v>56.667569710034059</v>
      </c>
      <c r="S24" s="20"/>
    </row>
    <row r="25" spans="1:19" x14ac:dyDescent="0.25">
      <c r="A25" s="19"/>
      <c r="B25" s="21">
        <v>17</v>
      </c>
      <c r="C25" s="45">
        <f>Electricity!C24</f>
        <v>10</v>
      </c>
      <c r="D25" s="46">
        <f>Electricity!D24</f>
        <v>29</v>
      </c>
      <c r="E25" s="79">
        <v>8957.18</v>
      </c>
      <c r="F25" s="23">
        <v>54.700239999999702</v>
      </c>
      <c r="G25" s="48">
        <f t="shared" si="2"/>
        <v>866451.80159999523</v>
      </c>
      <c r="H25" s="47"/>
      <c r="I25" s="48">
        <f t="shared" si="6"/>
        <v>0</v>
      </c>
      <c r="J25" s="48">
        <f t="shared" si="3"/>
        <v>0</v>
      </c>
      <c r="K25" s="47"/>
      <c r="L25" s="23">
        <v>0</v>
      </c>
      <c r="M25" s="24">
        <f t="shared" si="0"/>
        <v>0</v>
      </c>
      <c r="N25" s="47"/>
      <c r="O25" s="23">
        <v>7.14</v>
      </c>
      <c r="P25" s="49">
        <f t="shared" si="4"/>
        <v>113097.59999999999</v>
      </c>
      <c r="Q25" s="50">
        <f t="shared" si="5"/>
        <v>979549.40159999521</v>
      </c>
      <c r="R25" s="51">
        <f t="shared" si="1"/>
        <v>68.114136819414171</v>
      </c>
      <c r="S25" s="20"/>
    </row>
    <row r="26" spans="1:19" x14ac:dyDescent="0.25">
      <c r="A26" s="19"/>
      <c r="B26" s="21">
        <v>18</v>
      </c>
      <c r="C26" s="45">
        <f>Electricity!C25</f>
        <v>10</v>
      </c>
      <c r="D26" s="46">
        <f>Electricity!D25</f>
        <v>35</v>
      </c>
      <c r="E26" s="79">
        <v>8966.85</v>
      </c>
      <c r="F26" s="23">
        <v>38.950760000000287</v>
      </c>
      <c r="G26" s="48">
        <f t="shared" si="2"/>
        <v>616980.0384000045</v>
      </c>
      <c r="H26" s="47"/>
      <c r="I26" s="48">
        <f t="shared" si="6"/>
        <v>0</v>
      </c>
      <c r="J26" s="48">
        <f t="shared" si="3"/>
        <v>0</v>
      </c>
      <c r="K26" s="47"/>
      <c r="L26" s="23">
        <v>0</v>
      </c>
      <c r="M26" s="24">
        <f t="shared" si="0"/>
        <v>0</v>
      </c>
      <c r="N26" s="47"/>
      <c r="O26" s="23">
        <v>7.14</v>
      </c>
      <c r="P26" s="49">
        <f t="shared" si="4"/>
        <v>113097.59999999999</v>
      </c>
      <c r="Q26" s="50">
        <f t="shared" si="5"/>
        <v>730077.63840000448</v>
      </c>
      <c r="R26" s="51">
        <f t="shared" si="1"/>
        <v>50.766819998609584</v>
      </c>
      <c r="S26" s="20"/>
    </row>
    <row r="27" spans="1:19" x14ac:dyDescent="0.25">
      <c r="A27" s="19"/>
      <c r="B27" s="21">
        <v>19</v>
      </c>
      <c r="C27" s="45">
        <f>Electricity!C26</f>
        <v>9</v>
      </c>
      <c r="D27" s="46">
        <f>Electricity!D26</f>
        <v>47</v>
      </c>
      <c r="E27" s="79">
        <v>8977.4699999999993</v>
      </c>
      <c r="F27" s="23">
        <v>42.777359999995895</v>
      </c>
      <c r="G27" s="48">
        <f t="shared" si="2"/>
        <v>677593.38239993493</v>
      </c>
      <c r="H27" s="47"/>
      <c r="I27" s="48">
        <f t="shared" si="6"/>
        <v>0</v>
      </c>
      <c r="J27" s="48">
        <f t="shared" si="3"/>
        <v>0</v>
      </c>
      <c r="K27" s="47"/>
      <c r="L27" s="23">
        <v>0</v>
      </c>
      <c r="M27" s="24">
        <f t="shared" si="0"/>
        <v>0</v>
      </c>
      <c r="N27" s="47"/>
      <c r="O27" s="23">
        <v>7.14</v>
      </c>
      <c r="P27" s="49">
        <f t="shared" si="4"/>
        <v>113097.59999999999</v>
      </c>
      <c r="Q27" s="50">
        <f t="shared" si="5"/>
        <v>790690.9823999349</v>
      </c>
      <c r="R27" s="51">
        <f t="shared" si="1"/>
        <v>54.981641221051035</v>
      </c>
      <c r="S27" s="20"/>
    </row>
    <row r="28" spans="1:19" x14ac:dyDescent="0.25">
      <c r="A28" s="19"/>
      <c r="B28" s="21">
        <v>20</v>
      </c>
      <c r="C28" s="45">
        <f>Electricity!C27</f>
        <v>6</v>
      </c>
      <c r="D28" s="46">
        <f>Electricity!D27</f>
        <v>67</v>
      </c>
      <c r="E28" s="79">
        <v>8989.61</v>
      </c>
      <c r="F28" s="23">
        <v>48.899920000004975</v>
      </c>
      <c r="G28" s="48">
        <f t="shared" si="2"/>
        <v>774574.73280007881</v>
      </c>
      <c r="H28" s="47"/>
      <c r="I28" s="48">
        <f t="shared" si="6"/>
        <v>0</v>
      </c>
      <c r="J28" s="48">
        <f t="shared" si="3"/>
        <v>0</v>
      </c>
      <c r="K28" s="47"/>
      <c r="L28" s="23">
        <v>0</v>
      </c>
      <c r="M28" s="24">
        <f t="shared" si="0"/>
        <v>0</v>
      </c>
      <c r="N28" s="47"/>
      <c r="O28" s="23">
        <v>7.14</v>
      </c>
      <c r="P28" s="49">
        <f t="shared" si="4"/>
        <v>113097.59999999999</v>
      </c>
      <c r="Q28" s="50">
        <f t="shared" si="5"/>
        <v>887672.33280007879</v>
      </c>
      <c r="R28" s="51">
        <f t="shared" si="1"/>
        <v>61.725355176975093</v>
      </c>
      <c r="S28" s="20"/>
    </row>
    <row r="29" spans="1:19" x14ac:dyDescent="0.25">
      <c r="A29" s="19"/>
      <c r="B29" s="21">
        <v>21</v>
      </c>
      <c r="C29" s="45">
        <f>Electricity!C28</f>
        <v>5</v>
      </c>
      <c r="D29" s="46">
        <f>Electricity!D28</f>
        <v>42</v>
      </c>
      <c r="E29" s="79">
        <v>9000.41</v>
      </c>
      <c r="F29" s="23">
        <v>43.502399999997067</v>
      </c>
      <c r="G29" s="48">
        <f t="shared" si="2"/>
        <v>689078.0159999535</v>
      </c>
      <c r="H29" s="47"/>
      <c r="I29" s="48">
        <f t="shared" si="6"/>
        <v>0</v>
      </c>
      <c r="J29" s="48">
        <f t="shared" si="3"/>
        <v>0</v>
      </c>
      <c r="K29" s="47"/>
      <c r="L29" s="23">
        <v>0</v>
      </c>
      <c r="M29" s="24">
        <f t="shared" si="0"/>
        <v>0</v>
      </c>
      <c r="N29" s="47"/>
      <c r="O29" s="23">
        <v>7.14</v>
      </c>
      <c r="P29" s="49">
        <f t="shared" si="4"/>
        <v>113097.59999999999</v>
      </c>
      <c r="Q29" s="50">
        <f t="shared" si="5"/>
        <v>802175.61599995347</v>
      </c>
      <c r="R29" s="51">
        <f t="shared" si="1"/>
        <v>55.780238926357939</v>
      </c>
      <c r="S29" s="20"/>
    </row>
    <row r="30" spans="1:19" x14ac:dyDescent="0.25">
      <c r="A30" s="19"/>
      <c r="B30" s="21">
        <v>22</v>
      </c>
      <c r="C30" s="45">
        <f>Electricity!C29</f>
        <v>9</v>
      </c>
      <c r="D30" s="46">
        <f>Electricity!D29</f>
        <v>55</v>
      </c>
      <c r="E30" s="79">
        <v>9012.32</v>
      </c>
      <c r="F30" s="23">
        <v>47.973479999999412</v>
      </c>
      <c r="G30" s="48">
        <f t="shared" si="2"/>
        <v>759899.92319999065</v>
      </c>
      <c r="H30" s="47"/>
      <c r="I30" s="48">
        <f t="shared" si="6"/>
        <v>0</v>
      </c>
      <c r="J30" s="48">
        <f t="shared" si="3"/>
        <v>0</v>
      </c>
      <c r="K30" s="47"/>
      <c r="L30" s="23">
        <v>0</v>
      </c>
      <c r="M30" s="24">
        <f t="shared" si="0"/>
        <v>0</v>
      </c>
      <c r="N30" s="47"/>
      <c r="O30" s="23">
        <v>7.14</v>
      </c>
      <c r="P30" s="49">
        <f t="shared" si="4"/>
        <v>113097.59999999999</v>
      </c>
      <c r="Q30" s="50">
        <f t="shared" si="5"/>
        <v>872997.52319999062</v>
      </c>
      <c r="R30" s="51">
        <f t="shared" si="1"/>
        <v>60.704924775745127</v>
      </c>
      <c r="S30" s="20"/>
    </row>
    <row r="31" spans="1:19" x14ac:dyDescent="0.25">
      <c r="A31" s="19"/>
      <c r="B31" s="21">
        <v>23</v>
      </c>
      <c r="C31" s="45">
        <f>Electricity!C30</f>
        <v>13</v>
      </c>
      <c r="D31" s="46">
        <f>Electricity!D30</f>
        <v>43</v>
      </c>
      <c r="E31" s="79">
        <v>9024.36</v>
      </c>
      <c r="F31" s="23">
        <v>48.497120000003513</v>
      </c>
      <c r="G31" s="48">
        <f t="shared" si="2"/>
        <v>768194.38080005569</v>
      </c>
      <c r="H31" s="47"/>
      <c r="I31" s="48">
        <f t="shared" si="6"/>
        <v>0</v>
      </c>
      <c r="J31" s="48">
        <f t="shared" si="3"/>
        <v>0</v>
      </c>
      <c r="K31" s="47"/>
      <c r="L31" s="23">
        <v>0</v>
      </c>
      <c r="M31" s="24">
        <f t="shared" si="0"/>
        <v>0</v>
      </c>
      <c r="N31" s="47"/>
      <c r="O31" s="23">
        <v>7.14</v>
      </c>
      <c r="P31" s="49">
        <f t="shared" si="4"/>
        <v>113097.59999999999</v>
      </c>
      <c r="Q31" s="50">
        <f t="shared" si="5"/>
        <v>881291.98080005567</v>
      </c>
      <c r="R31" s="51">
        <f t="shared" si="1"/>
        <v>61.281689785137033</v>
      </c>
      <c r="S31" s="20"/>
    </row>
    <row r="32" spans="1:19" x14ac:dyDescent="0.25">
      <c r="A32" s="19"/>
      <c r="B32" s="21">
        <v>24</v>
      </c>
      <c r="C32" s="45">
        <f>Electricity!C31</f>
        <v>16</v>
      </c>
      <c r="D32" s="46">
        <f>Electricity!D31</f>
        <v>79</v>
      </c>
      <c r="E32" s="79">
        <v>9036.6299999999992</v>
      </c>
      <c r="F32" s="78">
        <v>49.423559999994424</v>
      </c>
      <c r="G32" s="48">
        <f t="shared" si="2"/>
        <v>782869.19039991172</v>
      </c>
      <c r="H32" s="47"/>
      <c r="I32" s="48">
        <f t="shared" si="6"/>
        <v>0</v>
      </c>
      <c r="J32" s="48">
        <f t="shared" si="3"/>
        <v>0</v>
      </c>
      <c r="K32" s="47"/>
      <c r="L32" s="23">
        <v>0</v>
      </c>
      <c r="M32" s="24">
        <f t="shared" si="0"/>
        <v>0</v>
      </c>
      <c r="N32" s="47"/>
      <c r="O32" s="23">
        <v>7.14</v>
      </c>
      <c r="P32" s="49">
        <f t="shared" si="4"/>
        <v>113097.59999999999</v>
      </c>
      <c r="Q32" s="50">
        <f t="shared" si="5"/>
        <v>895966.7903999117</v>
      </c>
      <c r="R32" s="51">
        <f t="shared" si="1"/>
        <v>62.302120186350855</v>
      </c>
      <c r="S32" s="20"/>
    </row>
    <row r="33" spans="1:21" x14ac:dyDescent="0.25">
      <c r="A33" s="19"/>
      <c r="B33" s="21">
        <v>25</v>
      </c>
      <c r="C33" s="45">
        <f>Electricity!C32</f>
        <v>19</v>
      </c>
      <c r="D33" s="46">
        <f>Electricity!D32</f>
        <v>74</v>
      </c>
      <c r="E33" s="79">
        <v>9049.9599999999991</v>
      </c>
      <c r="F33" s="78">
        <v>53.693239999999705</v>
      </c>
      <c r="G33" s="48">
        <f t="shared" si="2"/>
        <v>850500.92159999534</v>
      </c>
      <c r="H33" s="47"/>
      <c r="I33" s="48">
        <f t="shared" si="6"/>
        <v>0</v>
      </c>
      <c r="J33" s="48">
        <f t="shared" si="3"/>
        <v>0</v>
      </c>
      <c r="K33" s="47"/>
      <c r="L33" s="23">
        <v>0</v>
      </c>
      <c r="M33" s="24">
        <f t="shared" si="0"/>
        <v>0</v>
      </c>
      <c r="N33" s="47"/>
      <c r="O33" s="23">
        <v>7.14</v>
      </c>
      <c r="P33" s="49">
        <f t="shared" si="4"/>
        <v>113097.59999999999</v>
      </c>
      <c r="Q33" s="50">
        <f t="shared" si="5"/>
        <v>963598.52159999532</v>
      </c>
      <c r="R33" s="51">
        <f t="shared" si="1"/>
        <v>67.004973339823053</v>
      </c>
      <c r="S33" s="20"/>
    </row>
    <row r="34" spans="1:21" x14ac:dyDescent="0.25">
      <c r="A34" s="19"/>
      <c r="B34" s="21">
        <v>26</v>
      </c>
      <c r="C34" s="45">
        <f>Electricity!C33</f>
        <v>15</v>
      </c>
      <c r="D34" s="46">
        <f>Electricity!D33</f>
        <v>71</v>
      </c>
      <c r="E34" s="79">
        <v>9061.48</v>
      </c>
      <c r="F34" s="78">
        <v>46.402560000001756</v>
      </c>
      <c r="G34" s="48">
        <f t="shared" ref="G34:G36" si="7">F34*$G$8</f>
        <v>735016.55040002777</v>
      </c>
      <c r="H34" s="47"/>
      <c r="I34" s="48">
        <f>H34-H30</f>
        <v>0</v>
      </c>
      <c r="J34" s="48">
        <f t="shared" ref="J34:J36" si="8">I34*$J$8</f>
        <v>0</v>
      </c>
      <c r="K34" s="47"/>
      <c r="L34" s="23">
        <v>0</v>
      </c>
      <c r="M34" s="24">
        <f t="shared" ref="M34:M36" si="9">L34*$M$8</f>
        <v>0</v>
      </c>
      <c r="N34" s="47"/>
      <c r="O34" s="23">
        <v>7.14</v>
      </c>
      <c r="P34" s="49">
        <f t="shared" ref="P34:P36" si="10">O34*$P$8</f>
        <v>113097.59999999999</v>
      </c>
      <c r="Q34" s="50">
        <f t="shared" ref="Q34:Q36" si="11">J34+M34+G34+P34</f>
        <v>848114.15040002775</v>
      </c>
      <c r="R34" s="51">
        <f t="shared" ref="R34:R36" si="12">Q34/14381</f>
        <v>58.974629747585546</v>
      </c>
      <c r="S34" s="20"/>
    </row>
    <row r="35" spans="1:21" x14ac:dyDescent="0.25">
      <c r="A35" s="19"/>
      <c r="B35" s="21">
        <v>27</v>
      </c>
      <c r="C35" s="45">
        <f>Electricity!C34</f>
        <v>10</v>
      </c>
      <c r="D35" s="46">
        <f>Electricity!D34</f>
        <v>75</v>
      </c>
      <c r="E35" s="79">
        <v>9074.26</v>
      </c>
      <c r="F35" s="78">
        <v>51.477840000002629</v>
      </c>
      <c r="G35" s="48">
        <f t="shared" si="7"/>
        <v>815408.98560004169</v>
      </c>
      <c r="H35" s="47"/>
      <c r="I35" s="48">
        <f t="shared" ref="I35:I36" si="13">H35-H34</f>
        <v>0</v>
      </c>
      <c r="J35" s="48">
        <f t="shared" si="8"/>
        <v>0</v>
      </c>
      <c r="K35" s="47"/>
      <c r="L35" s="23">
        <v>0</v>
      </c>
      <c r="M35" s="24">
        <f t="shared" si="9"/>
        <v>0</v>
      </c>
      <c r="N35" s="47"/>
      <c r="O35" s="23">
        <v>7.14</v>
      </c>
      <c r="P35" s="49">
        <f t="shared" si="10"/>
        <v>113097.59999999999</v>
      </c>
      <c r="Q35" s="50">
        <f t="shared" si="11"/>
        <v>928506.58560004167</v>
      </c>
      <c r="R35" s="51">
        <f t="shared" si="12"/>
        <v>64.564813684725792</v>
      </c>
      <c r="S35" s="20"/>
    </row>
    <row r="36" spans="1:21" x14ac:dyDescent="0.25">
      <c r="A36" s="19"/>
      <c r="B36" s="21">
        <v>28</v>
      </c>
      <c r="C36" s="45">
        <f>Electricity!C35</f>
        <v>7</v>
      </c>
      <c r="D36" s="46">
        <f>Electricity!D35</f>
        <v>21</v>
      </c>
      <c r="E36" s="79">
        <v>9086.73</v>
      </c>
      <c r="F36" s="78">
        <v>50.229159999997357</v>
      </c>
      <c r="G36" s="48">
        <f t="shared" si="7"/>
        <v>795629.89439995808</v>
      </c>
      <c r="H36" s="47"/>
      <c r="I36" s="48">
        <f t="shared" si="13"/>
        <v>0</v>
      </c>
      <c r="J36" s="48">
        <f t="shared" si="8"/>
        <v>0</v>
      </c>
      <c r="K36" s="47"/>
      <c r="L36" s="23">
        <v>0</v>
      </c>
      <c r="M36" s="24">
        <f t="shared" si="9"/>
        <v>0</v>
      </c>
      <c r="N36" s="47"/>
      <c r="O36" s="23">
        <v>7.14</v>
      </c>
      <c r="P36" s="49">
        <f t="shared" si="10"/>
        <v>113097.59999999999</v>
      </c>
      <c r="Q36" s="50">
        <f t="shared" si="11"/>
        <v>908727.49439995806</v>
      </c>
      <c r="R36" s="51">
        <f t="shared" si="12"/>
        <v>63.189450970026982</v>
      </c>
      <c r="S36" s="20"/>
    </row>
    <row r="37" spans="1:21" x14ac:dyDescent="0.25">
      <c r="A37" s="19"/>
      <c r="B37" s="21">
        <v>29</v>
      </c>
      <c r="C37" s="45">
        <f>Electricity!C36</f>
        <v>12</v>
      </c>
      <c r="D37" s="46">
        <f>Electricity!D36</f>
        <v>43</v>
      </c>
      <c r="E37" s="79">
        <v>9098.4500000000007</v>
      </c>
      <c r="F37" s="78">
        <v>47.208160000004682</v>
      </c>
      <c r="G37" s="48">
        <f t="shared" si="2"/>
        <v>747777.25440007413</v>
      </c>
      <c r="H37" s="47"/>
      <c r="I37" s="48">
        <f>H37-H33</f>
        <v>0</v>
      </c>
      <c r="J37" s="48">
        <f t="shared" si="3"/>
        <v>0</v>
      </c>
      <c r="K37" s="47"/>
      <c r="L37" s="23">
        <v>0</v>
      </c>
      <c r="M37" s="24">
        <f t="shared" si="0"/>
        <v>0</v>
      </c>
      <c r="N37" s="47"/>
      <c r="O37" s="23">
        <v>7.14</v>
      </c>
      <c r="P37" s="49">
        <f t="shared" si="4"/>
        <v>113097.59999999999</v>
      </c>
      <c r="Q37" s="50">
        <f t="shared" si="5"/>
        <v>860874.85440007411</v>
      </c>
      <c r="R37" s="51">
        <f t="shared" si="1"/>
        <v>59.861960531261673</v>
      </c>
      <c r="S37" s="20"/>
    </row>
    <row r="38" spans="1:21" x14ac:dyDescent="0.25">
      <c r="A38" s="19"/>
      <c r="B38" s="21">
        <v>30</v>
      </c>
      <c r="C38" s="45">
        <f>Electricity!C37</f>
        <v>14</v>
      </c>
      <c r="D38" s="46">
        <f>Electricity!D37</f>
        <v>51</v>
      </c>
      <c r="E38" s="79">
        <v>9111.5300000000007</v>
      </c>
      <c r="F38" s="78">
        <v>52.6862399999997</v>
      </c>
      <c r="G38" s="48">
        <f t="shared" si="2"/>
        <v>834550.04159999522</v>
      </c>
      <c r="H38" s="47"/>
      <c r="I38" s="48">
        <f t="shared" si="6"/>
        <v>0</v>
      </c>
      <c r="J38" s="48">
        <f t="shared" si="3"/>
        <v>0</v>
      </c>
      <c r="K38" s="47"/>
      <c r="L38" s="23">
        <v>0</v>
      </c>
      <c r="M38" s="24">
        <f t="shared" si="0"/>
        <v>0</v>
      </c>
      <c r="N38" s="47"/>
      <c r="O38" s="23">
        <v>7.14</v>
      </c>
      <c r="P38" s="49">
        <f t="shared" si="4"/>
        <v>113097.59999999999</v>
      </c>
      <c r="Q38" s="50">
        <f t="shared" si="5"/>
        <v>947647.6415999952</v>
      </c>
      <c r="R38" s="51">
        <f t="shared" si="1"/>
        <v>65.895809860231921</v>
      </c>
      <c r="S38" s="20"/>
    </row>
    <row r="39" spans="1:21" x14ac:dyDescent="0.25">
      <c r="A39" s="19"/>
      <c r="B39" s="21">
        <v>31</v>
      </c>
      <c r="C39" s="45">
        <f>Electricity!C38</f>
        <v>7</v>
      </c>
      <c r="D39" s="46">
        <f>Electricity!D38</f>
        <v>65</v>
      </c>
      <c r="E39" s="79">
        <v>9123.98</v>
      </c>
      <c r="F39" s="78">
        <v>50.148599999995596</v>
      </c>
      <c r="G39" s="48">
        <f t="shared" si="2"/>
        <v>794353.82399993029</v>
      </c>
      <c r="H39" s="47"/>
      <c r="I39" s="48">
        <f t="shared" si="6"/>
        <v>0</v>
      </c>
      <c r="J39" s="48">
        <f t="shared" si="3"/>
        <v>0</v>
      </c>
      <c r="K39" s="47"/>
      <c r="L39" s="23">
        <v>0</v>
      </c>
      <c r="M39" s="24">
        <f t="shared" si="0"/>
        <v>0</v>
      </c>
      <c r="N39" s="47"/>
      <c r="O39" s="23">
        <v>7.14</v>
      </c>
      <c r="P39" s="49">
        <f t="shared" si="4"/>
        <v>113097.59999999999</v>
      </c>
      <c r="Q39" s="50">
        <f t="shared" si="5"/>
        <v>907451.42399993027</v>
      </c>
      <c r="R39" s="51">
        <f t="shared" si="1"/>
        <v>63.100717891657759</v>
      </c>
      <c r="S39" s="20"/>
    </row>
    <row r="40" spans="1:21" x14ac:dyDescent="0.25">
      <c r="C40" s="52">
        <f>SUM(C9:C39)</f>
        <v>280</v>
      </c>
      <c r="D40" s="52">
        <f>SUM(D9:D39)</f>
        <v>1381</v>
      </c>
      <c r="E40" s="29"/>
      <c r="F40" s="29">
        <f>SUM(F9:F39)</f>
        <v>1408.8332800000005</v>
      </c>
      <c r="G40" s="39"/>
      <c r="H40" s="39"/>
      <c r="I40" s="29" t="s">
        <v>43</v>
      </c>
      <c r="J40" s="39"/>
      <c r="K40" s="39"/>
      <c r="L40" s="29" t="s">
        <v>43</v>
      </c>
      <c r="M40" s="39"/>
      <c r="N40" s="38"/>
      <c r="O40" s="29">
        <f>SUM(O9:O39)</f>
        <v>221.3399999999998</v>
      </c>
      <c r="P40" s="39"/>
      <c r="Q40"/>
      <c r="R40" s="90">
        <f>SUM(R9:R39)</f>
        <v>1795.5597493359301</v>
      </c>
      <c r="U40" s="34"/>
    </row>
    <row r="41" spans="1:21" x14ac:dyDescent="0.25">
      <c r="E41" s="53"/>
      <c r="F41" s="54"/>
      <c r="G41" s="40"/>
      <c r="H41" s="40"/>
      <c r="I41" s="40"/>
      <c r="J41" s="40"/>
      <c r="K41" s="40"/>
      <c r="L41" s="40"/>
      <c r="M41" s="40"/>
      <c r="N41" s="58" t="s">
        <v>44</v>
      </c>
      <c r="O41" s="62">
        <f>F40+O40</f>
        <v>1630.1732800000004</v>
      </c>
      <c r="P41" s="55"/>
      <c r="Q41" s="29"/>
      <c r="R41" s="40"/>
      <c r="U41" s="36"/>
    </row>
    <row r="42" spans="1:21" x14ac:dyDescent="0.25">
      <c r="B42" s="56"/>
      <c r="E42" s="38"/>
      <c r="F42" s="39"/>
      <c r="G42" s="39"/>
      <c r="H42" s="39"/>
      <c r="I42" s="39"/>
      <c r="J42" s="39"/>
      <c r="K42" s="39"/>
      <c r="L42" s="39"/>
      <c r="M42" s="40"/>
      <c r="N42" s="38"/>
      <c r="O42" s="39"/>
      <c r="P42" s="39"/>
      <c r="Q42" s="41"/>
      <c r="R42" s="57"/>
    </row>
    <row r="43" spans="1:21" x14ac:dyDescent="0.25">
      <c r="E43" s="58"/>
      <c r="F43" s="58"/>
      <c r="G43" s="58"/>
      <c r="H43" s="58"/>
      <c r="I43" s="58"/>
      <c r="J43" s="58"/>
      <c r="K43" s="58"/>
      <c r="L43" s="58"/>
      <c r="M43" s="59"/>
      <c r="N43" s="58"/>
      <c r="O43" s="58"/>
      <c r="Q43" s="58"/>
      <c r="R43" s="60"/>
    </row>
    <row r="44" spans="1:21" x14ac:dyDescent="0.25">
      <c r="R44" s="60"/>
    </row>
  </sheetData>
  <mergeCells count="20"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  <mergeCell ref="H7:H8"/>
    <mergeCell ref="I7:I8"/>
    <mergeCell ref="K7:K8"/>
    <mergeCell ref="L7:L8"/>
    <mergeCell ref="N7:N8"/>
    <mergeCell ref="O7:O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opLeftCell="A16" workbookViewId="0">
      <selection activeCell="H11" sqref="H11"/>
    </sheetView>
  </sheetViews>
  <sheetFormatPr defaultRowHeight="15" x14ac:dyDescent="0.25"/>
  <cols>
    <col min="1" max="1" width="2.5703125" customWidth="1"/>
    <col min="2" max="2" width="5.42578125" customWidth="1"/>
    <col min="3" max="3" width="6.42578125" customWidth="1"/>
    <col min="4" max="4" width="8.42578125" style="18" customWidth="1"/>
    <col min="5" max="5" width="9.85546875" style="18" customWidth="1"/>
    <col min="6" max="6" width="8" style="74" bestFit="1" customWidth="1"/>
    <col min="7" max="7" width="13.28515625" style="74" bestFit="1" customWidth="1"/>
    <col min="8" max="8" width="16.28515625" style="30" customWidth="1"/>
    <col min="9" max="9" width="2.5703125" customWidth="1"/>
    <col min="11" max="11" width="21.5703125" customWidth="1"/>
  </cols>
  <sheetData>
    <row r="1" spans="1:9" ht="15.75" x14ac:dyDescent="0.25">
      <c r="B1" s="94" t="s">
        <v>45</v>
      </c>
      <c r="C1" s="94"/>
      <c r="D1" s="94"/>
      <c r="E1" s="94"/>
      <c r="F1" s="94"/>
      <c r="G1" s="94"/>
      <c r="H1" s="94"/>
    </row>
    <row r="2" spans="1:9" ht="15.75" x14ac:dyDescent="0.25">
      <c r="B2" s="94" t="s">
        <v>16</v>
      </c>
      <c r="C2" s="94"/>
      <c r="D2" s="94"/>
      <c r="E2" s="94"/>
      <c r="F2" s="94"/>
      <c r="G2" s="94"/>
      <c r="H2" s="94"/>
    </row>
    <row r="3" spans="1:9" x14ac:dyDescent="0.25">
      <c r="B3" s="12"/>
      <c r="C3" s="13"/>
      <c r="D3" s="14"/>
      <c r="E3" s="14"/>
      <c r="F3" s="63"/>
      <c r="G3" s="63"/>
      <c r="H3" s="13"/>
    </row>
    <row r="4" spans="1:9" x14ac:dyDescent="0.25">
      <c r="A4" s="64"/>
      <c r="B4" s="98">
        <v>44593</v>
      </c>
      <c r="C4" s="98"/>
      <c r="D4" s="98"/>
      <c r="E4" s="98"/>
      <c r="F4" s="98"/>
      <c r="G4" s="98"/>
      <c r="H4" s="98"/>
      <c r="I4" s="15"/>
    </row>
    <row r="5" spans="1:9" x14ac:dyDescent="0.25">
      <c r="A5" s="65"/>
      <c r="B5" s="93" t="s">
        <v>46</v>
      </c>
      <c r="C5" s="93" t="s">
        <v>18</v>
      </c>
      <c r="D5" s="93" t="s">
        <v>13</v>
      </c>
      <c r="E5" s="93" t="s">
        <v>47</v>
      </c>
      <c r="F5" s="93"/>
      <c r="G5" s="93"/>
      <c r="H5" s="93" t="s">
        <v>23</v>
      </c>
      <c r="I5" s="17"/>
    </row>
    <row r="6" spans="1:9" x14ac:dyDescent="0.25">
      <c r="A6" s="65"/>
      <c r="B6" s="93"/>
      <c r="C6" s="93"/>
      <c r="D6" s="93"/>
      <c r="E6" s="93"/>
      <c r="F6" s="93"/>
      <c r="G6" s="93"/>
      <c r="H6" s="93"/>
      <c r="I6" s="17"/>
    </row>
    <row r="7" spans="1:9" s="18" customFormat="1" ht="22.5" x14ac:dyDescent="0.25">
      <c r="A7" s="65"/>
      <c r="B7" s="93"/>
      <c r="C7" s="93"/>
      <c r="D7" s="93"/>
      <c r="E7" s="42" t="s">
        <v>36</v>
      </c>
      <c r="F7" s="104" t="s">
        <v>48</v>
      </c>
      <c r="G7" s="66" t="s">
        <v>40</v>
      </c>
      <c r="H7" s="93"/>
      <c r="I7" s="17"/>
    </row>
    <row r="8" spans="1:9" s="18" customFormat="1" x14ac:dyDescent="0.25">
      <c r="A8" s="65"/>
      <c r="B8" s="93"/>
      <c r="C8" s="93"/>
      <c r="D8" s="93"/>
      <c r="E8" s="67"/>
      <c r="F8" s="104"/>
      <c r="G8" s="66">
        <v>10700</v>
      </c>
      <c r="H8" s="93"/>
      <c r="I8" s="17"/>
    </row>
    <row r="9" spans="1:9" x14ac:dyDescent="0.25">
      <c r="A9" s="68"/>
      <c r="B9" s="21">
        <v>1</v>
      </c>
      <c r="C9" s="22">
        <f>Gas!C9</f>
        <v>5</v>
      </c>
      <c r="D9" s="22">
        <f>Gas!D9</f>
        <v>32</v>
      </c>
      <c r="E9" s="69">
        <v>3098</v>
      </c>
      <c r="F9" s="92">
        <v>0</v>
      </c>
      <c r="G9" s="92">
        <f>F9*$G$8</f>
        <v>0</v>
      </c>
      <c r="H9" s="82">
        <f>G9/14381</f>
        <v>0</v>
      </c>
      <c r="I9" s="20"/>
    </row>
    <row r="10" spans="1:9" x14ac:dyDescent="0.25">
      <c r="A10" s="68"/>
      <c r="B10" s="21">
        <v>2</v>
      </c>
      <c r="C10" s="22">
        <f>Gas!C10</f>
        <v>22</v>
      </c>
      <c r="D10" s="22">
        <f>Gas!D10</f>
        <v>60</v>
      </c>
      <c r="E10" s="69">
        <v>3098</v>
      </c>
      <c r="F10" s="70">
        <f t="shared" ref="F10:F39" si="0">E10-E9</f>
        <v>0</v>
      </c>
      <c r="G10" s="92">
        <f>F10*$G$8</f>
        <v>0</v>
      </c>
      <c r="H10" s="82">
        <f t="shared" ref="H10:H39" si="1">G10/14381</f>
        <v>0</v>
      </c>
      <c r="I10" s="20"/>
    </row>
    <row r="11" spans="1:9" x14ac:dyDescent="0.25">
      <c r="A11" s="68"/>
      <c r="B11" s="21">
        <v>3</v>
      </c>
      <c r="C11" s="22">
        <f>Gas!C11</f>
        <v>22</v>
      </c>
      <c r="D11" s="22">
        <f>Gas!D11</f>
        <v>120</v>
      </c>
      <c r="E11" s="69">
        <v>3098</v>
      </c>
      <c r="F11" s="70">
        <f t="shared" si="0"/>
        <v>0</v>
      </c>
      <c r="G11" s="92">
        <f t="shared" ref="G11:G39" si="2">F11*$G$8</f>
        <v>0</v>
      </c>
      <c r="H11" s="82">
        <f t="shared" si="1"/>
        <v>0</v>
      </c>
      <c r="I11" s="20"/>
    </row>
    <row r="12" spans="1:9" x14ac:dyDescent="0.25">
      <c r="A12" s="68"/>
      <c r="B12" s="21">
        <v>4</v>
      </c>
      <c r="C12" s="22">
        <f>Gas!C12</f>
        <v>11</v>
      </c>
      <c r="D12" s="22">
        <f>Gas!D12</f>
        <v>46</v>
      </c>
      <c r="E12" s="69">
        <v>3098</v>
      </c>
      <c r="F12" s="70">
        <f t="shared" si="0"/>
        <v>0</v>
      </c>
      <c r="G12" s="92">
        <f t="shared" si="2"/>
        <v>0</v>
      </c>
      <c r="H12" s="82">
        <f t="shared" si="1"/>
        <v>0</v>
      </c>
      <c r="I12" s="20"/>
    </row>
    <row r="13" spans="1:9" x14ac:dyDescent="0.25">
      <c r="A13" s="68"/>
      <c r="B13" s="21">
        <v>5</v>
      </c>
      <c r="C13" s="22">
        <f>Gas!C13</f>
        <v>8</v>
      </c>
      <c r="D13" s="22">
        <f>Gas!D13</f>
        <v>41</v>
      </c>
      <c r="E13" s="69">
        <v>3098</v>
      </c>
      <c r="F13" s="70">
        <f t="shared" si="0"/>
        <v>0</v>
      </c>
      <c r="G13" s="92">
        <f t="shared" si="2"/>
        <v>0</v>
      </c>
      <c r="H13" s="82">
        <f t="shared" si="1"/>
        <v>0</v>
      </c>
      <c r="I13" s="20"/>
    </row>
    <row r="14" spans="1:9" x14ac:dyDescent="0.25">
      <c r="A14" s="68"/>
      <c r="B14" s="21">
        <v>6</v>
      </c>
      <c r="C14" s="22">
        <f>Gas!C14</f>
        <v>2</v>
      </c>
      <c r="D14" s="22">
        <f>Gas!D14</f>
        <v>22</v>
      </c>
      <c r="E14" s="69">
        <v>3098</v>
      </c>
      <c r="F14" s="70">
        <f t="shared" si="0"/>
        <v>0</v>
      </c>
      <c r="G14" s="92">
        <f t="shared" si="2"/>
        <v>0</v>
      </c>
      <c r="H14" s="82">
        <f t="shared" si="1"/>
        <v>0</v>
      </c>
      <c r="I14" s="20"/>
    </row>
    <row r="15" spans="1:9" x14ac:dyDescent="0.25">
      <c r="A15" s="68"/>
      <c r="B15" s="21">
        <v>7</v>
      </c>
      <c r="C15" s="22">
        <f>Gas!C15</f>
        <v>2</v>
      </c>
      <c r="D15" s="22">
        <f>Gas!D15</f>
        <v>20</v>
      </c>
      <c r="E15" s="69">
        <v>3098</v>
      </c>
      <c r="F15" s="70">
        <f t="shared" si="0"/>
        <v>0</v>
      </c>
      <c r="G15" s="92">
        <f t="shared" si="2"/>
        <v>0</v>
      </c>
      <c r="H15" s="82">
        <f t="shared" si="1"/>
        <v>0</v>
      </c>
      <c r="I15" s="20"/>
    </row>
    <row r="16" spans="1:9" x14ac:dyDescent="0.25">
      <c r="A16" s="68"/>
      <c r="B16" s="21">
        <v>8</v>
      </c>
      <c r="C16" s="22">
        <f>Gas!C16</f>
        <v>2</v>
      </c>
      <c r="D16" s="22">
        <f>Gas!D16</f>
        <v>20</v>
      </c>
      <c r="E16" s="69">
        <v>3098</v>
      </c>
      <c r="F16" s="70">
        <f t="shared" si="0"/>
        <v>0</v>
      </c>
      <c r="G16" s="92">
        <f t="shared" si="2"/>
        <v>0</v>
      </c>
      <c r="H16" s="82">
        <f t="shared" si="1"/>
        <v>0</v>
      </c>
      <c r="I16" s="20"/>
    </row>
    <row r="17" spans="1:9" x14ac:dyDescent="0.25">
      <c r="A17" s="68"/>
      <c r="B17" s="21">
        <v>9</v>
      </c>
      <c r="C17" s="22">
        <f>Gas!C17</f>
        <v>3</v>
      </c>
      <c r="D17" s="22">
        <f>Gas!D17</f>
        <v>14</v>
      </c>
      <c r="E17" s="69">
        <v>3111</v>
      </c>
      <c r="F17" s="70">
        <f t="shared" si="0"/>
        <v>13</v>
      </c>
      <c r="G17" s="92">
        <f t="shared" si="2"/>
        <v>139100</v>
      </c>
      <c r="H17" s="82">
        <f t="shared" si="1"/>
        <v>9.6724845281969269</v>
      </c>
      <c r="I17" s="20"/>
    </row>
    <row r="18" spans="1:9" x14ac:dyDescent="0.25">
      <c r="A18" s="68"/>
      <c r="B18" s="21">
        <v>10</v>
      </c>
      <c r="C18" s="22">
        <f>Gas!C18</f>
        <v>5</v>
      </c>
      <c r="D18" s="22">
        <f>Gas!D18</f>
        <v>8</v>
      </c>
      <c r="E18" s="69">
        <v>3112</v>
      </c>
      <c r="F18" s="70">
        <f t="shared" si="0"/>
        <v>1</v>
      </c>
      <c r="G18" s="92">
        <f t="shared" si="2"/>
        <v>10700</v>
      </c>
      <c r="H18" s="82">
        <f t="shared" si="1"/>
        <v>0.74403727139976361</v>
      </c>
      <c r="I18" s="20"/>
    </row>
    <row r="19" spans="1:9" x14ac:dyDescent="0.25">
      <c r="A19" s="68"/>
      <c r="B19" s="21">
        <v>11</v>
      </c>
      <c r="C19" s="22">
        <f>Gas!C19</f>
        <v>4</v>
      </c>
      <c r="D19" s="22">
        <f>Gas!D19</f>
        <v>25</v>
      </c>
      <c r="E19" s="69">
        <v>3112</v>
      </c>
      <c r="F19" s="70">
        <f t="shared" si="0"/>
        <v>0</v>
      </c>
      <c r="G19" s="92">
        <f t="shared" si="2"/>
        <v>0</v>
      </c>
      <c r="H19" s="82">
        <f t="shared" si="1"/>
        <v>0</v>
      </c>
      <c r="I19" s="20"/>
    </row>
    <row r="20" spans="1:9" x14ac:dyDescent="0.25">
      <c r="A20" s="68"/>
      <c r="B20" s="21">
        <v>12</v>
      </c>
      <c r="C20" s="22">
        <f>Gas!C20</f>
        <v>5</v>
      </c>
      <c r="D20" s="22">
        <f>Gas!D20</f>
        <v>36</v>
      </c>
      <c r="E20" s="69">
        <v>3112</v>
      </c>
      <c r="F20" s="70">
        <f t="shared" si="0"/>
        <v>0</v>
      </c>
      <c r="G20" s="92">
        <f t="shared" si="2"/>
        <v>0</v>
      </c>
      <c r="H20" s="82">
        <f t="shared" si="1"/>
        <v>0</v>
      </c>
      <c r="I20" s="20"/>
    </row>
    <row r="21" spans="1:9" x14ac:dyDescent="0.25">
      <c r="A21" s="68"/>
      <c r="B21" s="21">
        <v>13</v>
      </c>
      <c r="C21" s="22">
        <f>Gas!C21</f>
        <v>9</v>
      </c>
      <c r="D21" s="22">
        <f>Gas!D21</f>
        <v>42</v>
      </c>
      <c r="E21" s="69">
        <v>3112</v>
      </c>
      <c r="F21" s="70">
        <f t="shared" si="0"/>
        <v>0</v>
      </c>
      <c r="G21" s="92">
        <f t="shared" si="2"/>
        <v>0</v>
      </c>
      <c r="H21" s="82">
        <f t="shared" si="1"/>
        <v>0</v>
      </c>
      <c r="I21" s="20"/>
    </row>
    <row r="22" spans="1:9" x14ac:dyDescent="0.25">
      <c r="A22" s="68"/>
      <c r="B22" s="21">
        <v>14</v>
      </c>
      <c r="C22" s="22">
        <f>Gas!C22</f>
        <v>6</v>
      </c>
      <c r="D22" s="22">
        <f>Gas!D22</f>
        <v>32</v>
      </c>
      <c r="E22" s="69">
        <v>3112</v>
      </c>
      <c r="F22" s="70">
        <f t="shared" si="0"/>
        <v>0</v>
      </c>
      <c r="G22" s="92">
        <f t="shared" si="2"/>
        <v>0</v>
      </c>
      <c r="H22" s="82">
        <f t="shared" si="1"/>
        <v>0</v>
      </c>
      <c r="I22" s="20"/>
    </row>
    <row r="23" spans="1:9" x14ac:dyDescent="0.25">
      <c r="A23" s="68"/>
      <c r="B23" s="21">
        <v>15</v>
      </c>
      <c r="C23" s="22">
        <f>Gas!C23</f>
        <v>6</v>
      </c>
      <c r="D23" s="22">
        <f>Gas!D23</f>
        <v>43</v>
      </c>
      <c r="E23" s="69">
        <v>3124</v>
      </c>
      <c r="F23" s="70">
        <f t="shared" si="0"/>
        <v>12</v>
      </c>
      <c r="G23" s="92">
        <f t="shared" si="2"/>
        <v>128400</v>
      </c>
      <c r="H23" s="82">
        <f t="shared" si="1"/>
        <v>8.9284472567971633</v>
      </c>
      <c r="I23" s="20"/>
    </row>
    <row r="24" spans="1:9" x14ac:dyDescent="0.25">
      <c r="A24" s="68"/>
      <c r="B24" s="21">
        <v>16</v>
      </c>
      <c r="C24" s="22">
        <f>Gas!C24</f>
        <v>6</v>
      </c>
      <c r="D24" s="22">
        <f>Gas!D24</f>
        <v>23</v>
      </c>
      <c r="E24" s="69">
        <v>3124</v>
      </c>
      <c r="F24" s="70">
        <f t="shared" si="0"/>
        <v>0</v>
      </c>
      <c r="G24" s="92">
        <f t="shared" si="2"/>
        <v>0</v>
      </c>
      <c r="H24" s="82">
        <f t="shared" si="1"/>
        <v>0</v>
      </c>
      <c r="I24" s="20"/>
    </row>
    <row r="25" spans="1:9" x14ac:dyDescent="0.25">
      <c r="A25" s="68"/>
      <c r="B25" s="21">
        <v>17</v>
      </c>
      <c r="C25" s="22">
        <f>Gas!C25</f>
        <v>10</v>
      </c>
      <c r="D25" s="22">
        <f>Gas!D25</f>
        <v>29</v>
      </c>
      <c r="E25" s="69">
        <v>3124</v>
      </c>
      <c r="F25" s="70">
        <f t="shared" si="0"/>
        <v>0</v>
      </c>
      <c r="G25" s="92">
        <f t="shared" si="2"/>
        <v>0</v>
      </c>
      <c r="H25" s="82">
        <f t="shared" si="1"/>
        <v>0</v>
      </c>
      <c r="I25" s="20"/>
    </row>
    <row r="26" spans="1:9" x14ac:dyDescent="0.25">
      <c r="A26" s="68"/>
      <c r="B26" s="21">
        <v>18</v>
      </c>
      <c r="C26" s="22">
        <f>Gas!C26</f>
        <v>10</v>
      </c>
      <c r="D26" s="22">
        <f>Gas!D26</f>
        <v>35</v>
      </c>
      <c r="E26" s="69">
        <v>3124</v>
      </c>
      <c r="F26" s="70">
        <f t="shared" si="0"/>
        <v>0</v>
      </c>
      <c r="G26" s="92">
        <f t="shared" si="2"/>
        <v>0</v>
      </c>
      <c r="H26" s="82">
        <f t="shared" si="1"/>
        <v>0</v>
      </c>
      <c r="I26" s="20"/>
    </row>
    <row r="27" spans="1:9" x14ac:dyDescent="0.25">
      <c r="A27" s="68"/>
      <c r="B27" s="21">
        <v>19</v>
      </c>
      <c r="C27" s="22">
        <f>Gas!C27</f>
        <v>9</v>
      </c>
      <c r="D27" s="22">
        <f>Gas!D27</f>
        <v>47</v>
      </c>
      <c r="E27" s="69">
        <v>3124</v>
      </c>
      <c r="F27" s="70">
        <f t="shared" si="0"/>
        <v>0</v>
      </c>
      <c r="G27" s="92">
        <f t="shared" si="2"/>
        <v>0</v>
      </c>
      <c r="H27" s="82">
        <f t="shared" si="1"/>
        <v>0</v>
      </c>
      <c r="I27" s="20"/>
    </row>
    <row r="28" spans="1:9" x14ac:dyDescent="0.25">
      <c r="A28" s="68"/>
      <c r="B28" s="21">
        <v>20</v>
      </c>
      <c r="C28" s="22">
        <f>Gas!C28</f>
        <v>6</v>
      </c>
      <c r="D28" s="22">
        <f>Gas!D28</f>
        <v>67</v>
      </c>
      <c r="E28" s="69">
        <v>3124</v>
      </c>
      <c r="F28" s="70">
        <f t="shared" si="0"/>
        <v>0</v>
      </c>
      <c r="G28" s="92">
        <f t="shared" si="2"/>
        <v>0</v>
      </c>
      <c r="H28" s="82">
        <f t="shared" si="1"/>
        <v>0</v>
      </c>
      <c r="I28" s="20"/>
    </row>
    <row r="29" spans="1:9" x14ac:dyDescent="0.25">
      <c r="A29" s="68"/>
      <c r="B29" s="21">
        <v>21</v>
      </c>
      <c r="C29" s="22">
        <f>Gas!C29</f>
        <v>5</v>
      </c>
      <c r="D29" s="22">
        <f>Gas!D29</f>
        <v>42</v>
      </c>
      <c r="E29" s="69">
        <v>3153</v>
      </c>
      <c r="F29" s="70">
        <f t="shared" si="0"/>
        <v>29</v>
      </c>
      <c r="G29" s="92">
        <f t="shared" si="2"/>
        <v>310300</v>
      </c>
      <c r="H29" s="82">
        <f t="shared" si="1"/>
        <v>21.577080870593143</v>
      </c>
      <c r="I29" s="20"/>
    </row>
    <row r="30" spans="1:9" x14ac:dyDescent="0.25">
      <c r="A30" s="68"/>
      <c r="B30" s="21">
        <v>22</v>
      </c>
      <c r="C30" s="22">
        <f>Gas!C30</f>
        <v>9</v>
      </c>
      <c r="D30" s="22">
        <f>Gas!D30</f>
        <v>55</v>
      </c>
      <c r="E30" s="69">
        <v>3153</v>
      </c>
      <c r="F30" s="70">
        <f t="shared" si="0"/>
        <v>0</v>
      </c>
      <c r="G30" s="92">
        <f t="shared" si="2"/>
        <v>0</v>
      </c>
      <c r="H30" s="82">
        <f t="shared" si="1"/>
        <v>0</v>
      </c>
      <c r="I30" s="20"/>
    </row>
    <row r="31" spans="1:9" x14ac:dyDescent="0.25">
      <c r="A31" s="68"/>
      <c r="B31" s="21">
        <v>23</v>
      </c>
      <c r="C31" s="22">
        <f>Gas!C31</f>
        <v>13</v>
      </c>
      <c r="D31" s="22">
        <f>Gas!D31</f>
        <v>43</v>
      </c>
      <c r="E31" s="69">
        <v>3153</v>
      </c>
      <c r="F31" s="70">
        <f t="shared" si="0"/>
        <v>0</v>
      </c>
      <c r="G31" s="92">
        <f t="shared" si="2"/>
        <v>0</v>
      </c>
      <c r="H31" s="82">
        <f t="shared" si="1"/>
        <v>0</v>
      </c>
      <c r="I31" s="20"/>
    </row>
    <row r="32" spans="1:9" x14ac:dyDescent="0.25">
      <c r="A32" s="68"/>
      <c r="B32" s="21">
        <v>24</v>
      </c>
      <c r="C32" s="22">
        <f>Gas!C32</f>
        <v>16</v>
      </c>
      <c r="D32" s="22">
        <f>Gas!D32</f>
        <v>79</v>
      </c>
      <c r="E32" s="69">
        <v>3153</v>
      </c>
      <c r="F32" s="70">
        <f t="shared" si="0"/>
        <v>0</v>
      </c>
      <c r="G32" s="92"/>
      <c r="H32" s="82">
        <f t="shared" si="1"/>
        <v>0</v>
      </c>
      <c r="I32" s="20"/>
    </row>
    <row r="33" spans="1:11" x14ac:dyDescent="0.25">
      <c r="A33" s="68"/>
      <c r="B33" s="21">
        <v>25</v>
      </c>
      <c r="C33" s="22">
        <f>Gas!C33</f>
        <v>19</v>
      </c>
      <c r="D33" s="22">
        <f>Gas!D33</f>
        <v>74</v>
      </c>
      <c r="E33" s="69">
        <v>3153</v>
      </c>
      <c r="F33" s="70">
        <f t="shared" si="0"/>
        <v>0</v>
      </c>
      <c r="G33" s="92">
        <f t="shared" si="2"/>
        <v>0</v>
      </c>
      <c r="H33" s="82">
        <f t="shared" si="1"/>
        <v>0</v>
      </c>
      <c r="I33" s="20"/>
    </row>
    <row r="34" spans="1:11" x14ac:dyDescent="0.25">
      <c r="A34" s="68"/>
      <c r="B34" s="21">
        <v>26</v>
      </c>
      <c r="C34" s="22">
        <f>Gas!C34</f>
        <v>15</v>
      </c>
      <c r="D34" s="22">
        <f>Gas!D34</f>
        <v>71</v>
      </c>
      <c r="E34" s="69">
        <v>3153</v>
      </c>
      <c r="F34" s="70">
        <f t="shared" si="0"/>
        <v>0</v>
      </c>
      <c r="G34" s="92">
        <f t="shared" ref="G34:G36" si="3">F34*$G$8</f>
        <v>0</v>
      </c>
      <c r="H34" s="82">
        <f t="shared" ref="H34:H36" si="4">G34/14381</f>
        <v>0</v>
      </c>
      <c r="I34" s="20"/>
    </row>
    <row r="35" spans="1:11" x14ac:dyDescent="0.25">
      <c r="A35" s="68"/>
      <c r="B35" s="21">
        <v>27</v>
      </c>
      <c r="C35" s="22">
        <f>Gas!C35</f>
        <v>10</v>
      </c>
      <c r="D35" s="22">
        <f>Gas!D35</f>
        <v>75</v>
      </c>
      <c r="E35" s="69">
        <v>3153</v>
      </c>
      <c r="F35" s="70">
        <f t="shared" si="0"/>
        <v>0</v>
      </c>
      <c r="G35" s="92">
        <f t="shared" si="3"/>
        <v>0</v>
      </c>
      <c r="H35" s="82">
        <f t="shared" si="4"/>
        <v>0</v>
      </c>
      <c r="I35" s="20"/>
    </row>
    <row r="36" spans="1:11" x14ac:dyDescent="0.25">
      <c r="A36" s="68"/>
      <c r="B36" s="21">
        <v>28</v>
      </c>
      <c r="C36" s="22">
        <f>Gas!C36</f>
        <v>7</v>
      </c>
      <c r="D36" s="22">
        <f>Gas!D36</f>
        <v>21</v>
      </c>
      <c r="E36" s="69">
        <v>3153</v>
      </c>
      <c r="F36" s="70">
        <f t="shared" si="0"/>
        <v>0</v>
      </c>
      <c r="G36" s="92">
        <f t="shared" si="3"/>
        <v>0</v>
      </c>
      <c r="H36" s="82">
        <f t="shared" si="4"/>
        <v>0</v>
      </c>
      <c r="I36" s="20"/>
    </row>
    <row r="37" spans="1:11" x14ac:dyDescent="0.25">
      <c r="A37" s="68"/>
      <c r="B37" s="21">
        <v>29</v>
      </c>
      <c r="C37" s="22">
        <f>Gas!C37</f>
        <v>12</v>
      </c>
      <c r="D37" s="22">
        <f>Gas!D37</f>
        <v>43</v>
      </c>
      <c r="E37" s="69">
        <v>3170</v>
      </c>
      <c r="F37" s="70">
        <f t="shared" si="0"/>
        <v>17</v>
      </c>
      <c r="G37" s="92">
        <f t="shared" si="2"/>
        <v>181900</v>
      </c>
      <c r="H37" s="82">
        <f t="shared" si="1"/>
        <v>12.648633613795981</v>
      </c>
      <c r="I37" s="20"/>
    </row>
    <row r="38" spans="1:11" x14ac:dyDescent="0.25">
      <c r="A38" s="68"/>
      <c r="B38" s="21">
        <v>30</v>
      </c>
      <c r="C38" s="22">
        <f>Gas!C38</f>
        <v>14</v>
      </c>
      <c r="D38" s="22">
        <f>Gas!D38</f>
        <v>51</v>
      </c>
      <c r="E38" s="69">
        <v>3170</v>
      </c>
      <c r="F38" s="70">
        <f t="shared" si="0"/>
        <v>0</v>
      </c>
      <c r="G38" s="92">
        <f t="shared" si="2"/>
        <v>0</v>
      </c>
      <c r="H38" s="82">
        <f t="shared" si="1"/>
        <v>0</v>
      </c>
      <c r="I38" s="20"/>
    </row>
    <row r="39" spans="1:11" x14ac:dyDescent="0.25">
      <c r="A39" s="68"/>
      <c r="B39" s="21">
        <v>31</v>
      </c>
      <c r="C39" s="22">
        <f>Gas!C39</f>
        <v>7</v>
      </c>
      <c r="D39" s="22">
        <f>Gas!D39</f>
        <v>65</v>
      </c>
      <c r="E39" s="69">
        <v>3170</v>
      </c>
      <c r="F39" s="70">
        <f t="shared" si="0"/>
        <v>0</v>
      </c>
      <c r="G39" s="92">
        <f t="shared" si="2"/>
        <v>0</v>
      </c>
      <c r="H39" s="82">
        <f t="shared" si="1"/>
        <v>0</v>
      </c>
      <c r="I39" s="20"/>
    </row>
    <row r="40" spans="1:11" x14ac:dyDescent="0.25">
      <c r="C40" s="29">
        <f>SUM(C9:C39)</f>
        <v>280</v>
      </c>
      <c r="D40" s="29">
        <f>SUM(D9:D39)</f>
        <v>1381</v>
      </c>
      <c r="E40" s="29"/>
      <c r="F40" s="29">
        <f>SUM(F9:F39)</f>
        <v>72</v>
      </c>
      <c r="G40" s="29"/>
      <c r="H40" s="71">
        <f>SUM(H9:H39)</f>
        <v>53.57068354078298</v>
      </c>
      <c r="K40" s="34"/>
    </row>
    <row r="41" spans="1:11" x14ac:dyDescent="0.25">
      <c r="E41" s="29"/>
      <c r="F41" s="72"/>
      <c r="G41" s="72"/>
      <c r="H41" s="40"/>
    </row>
    <row r="42" spans="1:11" x14ac:dyDescent="0.25">
      <c r="E42" s="58"/>
      <c r="F42" s="73"/>
      <c r="G42" s="73"/>
    </row>
    <row r="43" spans="1:11" x14ac:dyDescent="0.25">
      <c r="E43" s="58"/>
      <c r="F43" s="73"/>
      <c r="G43" s="73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3"/>
  <sheetViews>
    <sheetView topLeftCell="A10" workbookViewId="0">
      <selection activeCell="L21" sqref="L21"/>
    </sheetView>
  </sheetViews>
  <sheetFormatPr defaultRowHeight="15" x14ac:dyDescent="0.25"/>
  <cols>
    <col min="1" max="1" width="2.5703125" customWidth="1"/>
    <col min="2" max="2" width="4.7109375" customWidth="1"/>
    <col min="3" max="3" width="6.42578125" customWidth="1"/>
    <col min="4" max="4" width="6.42578125" style="18" customWidth="1"/>
    <col min="5" max="5" width="9.42578125" style="30" customWidth="1"/>
    <col min="6" max="6" width="16.5703125" style="30" customWidth="1"/>
    <col min="7" max="7" width="10.28515625" style="30" customWidth="1"/>
    <col min="8" max="8" width="16.7109375" style="30" customWidth="1"/>
    <col min="9" max="9" width="10.28515625" style="30" customWidth="1"/>
    <col min="10" max="10" width="16.7109375" style="30" customWidth="1"/>
    <col min="11" max="11" width="16.28515625" style="30" customWidth="1"/>
    <col min="12" max="12" width="19.7109375" customWidth="1"/>
    <col min="13" max="13" width="2.5703125" customWidth="1"/>
    <col min="15" max="15" width="20.5703125" customWidth="1"/>
  </cols>
  <sheetData>
    <row r="2" spans="1:13" ht="15.75" x14ac:dyDescent="0.25">
      <c r="B2" s="94" t="s">
        <v>49</v>
      </c>
      <c r="C2" s="94"/>
      <c r="D2" s="94"/>
      <c r="E2" s="94"/>
      <c r="F2" s="94"/>
      <c r="G2" s="94"/>
      <c r="H2" s="94"/>
      <c r="I2" s="94"/>
      <c r="J2" s="94"/>
      <c r="K2" s="94"/>
      <c r="L2" s="94"/>
    </row>
    <row r="3" spans="1:13" ht="15.75" x14ac:dyDescent="0.25">
      <c r="B3" s="94" t="s">
        <v>16</v>
      </c>
      <c r="C3" s="94"/>
      <c r="D3" s="94"/>
      <c r="E3" s="94"/>
      <c r="F3" s="94"/>
      <c r="G3" s="94"/>
      <c r="H3" s="94"/>
      <c r="I3" s="94"/>
      <c r="J3" s="94"/>
      <c r="K3" s="94"/>
      <c r="L3" s="94"/>
    </row>
    <row r="4" spans="1:13" ht="8.25" customHeight="1" x14ac:dyDescent="0.25">
      <c r="B4" s="12"/>
      <c r="C4" s="13"/>
      <c r="D4" s="14"/>
      <c r="E4" s="13"/>
      <c r="F4" s="13"/>
      <c r="G4" s="13"/>
      <c r="H4" s="13"/>
      <c r="I4" s="13"/>
      <c r="J4" s="13"/>
      <c r="K4" s="13"/>
    </row>
    <row r="5" spans="1:13" x14ac:dyDescent="0.25">
      <c r="A5" s="15"/>
      <c r="B5" s="95">
        <v>44593</v>
      </c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5"/>
    </row>
    <row r="6" spans="1:13" x14ac:dyDescent="0.25">
      <c r="A6" s="16"/>
      <c r="B6" s="93" t="s">
        <v>17</v>
      </c>
      <c r="C6" s="93" t="s">
        <v>50</v>
      </c>
      <c r="D6" s="93" t="s">
        <v>13</v>
      </c>
      <c r="E6" s="99" t="s">
        <v>51</v>
      </c>
      <c r="F6" s="99"/>
      <c r="G6" s="101" t="s">
        <v>52</v>
      </c>
      <c r="H6" s="101"/>
      <c r="I6" s="101"/>
      <c r="J6" s="101"/>
      <c r="K6" s="93" t="s">
        <v>53</v>
      </c>
      <c r="L6" s="93" t="s">
        <v>54</v>
      </c>
      <c r="M6" s="17"/>
    </row>
    <row r="7" spans="1:13" s="18" customFormat="1" x14ac:dyDescent="0.25">
      <c r="A7" s="16"/>
      <c r="B7" s="93"/>
      <c r="C7" s="93"/>
      <c r="D7" s="93"/>
      <c r="E7" s="93" t="s">
        <v>55</v>
      </c>
      <c r="F7" s="93" t="s">
        <v>56</v>
      </c>
      <c r="G7" s="93" t="s">
        <v>55</v>
      </c>
      <c r="H7" s="93" t="s">
        <v>57</v>
      </c>
      <c r="I7" s="93" t="s">
        <v>55</v>
      </c>
      <c r="J7" s="93" t="s">
        <v>58</v>
      </c>
      <c r="K7" s="93"/>
      <c r="L7" s="93"/>
      <c r="M7" s="17"/>
    </row>
    <row r="8" spans="1:13" x14ac:dyDescent="0.25">
      <c r="A8" s="19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20"/>
    </row>
    <row r="9" spans="1:13" x14ac:dyDescent="0.25">
      <c r="A9" s="19"/>
      <c r="B9" s="21">
        <v>1</v>
      </c>
      <c r="C9" s="22">
        <f>'Fuel Diesel'!C9</f>
        <v>5</v>
      </c>
      <c r="D9" s="22">
        <f>'Fuel Diesel'!D9</f>
        <v>32</v>
      </c>
      <c r="E9" s="23">
        <v>0</v>
      </c>
      <c r="F9" s="25">
        <f>E9*13582</f>
        <v>0</v>
      </c>
      <c r="G9" s="23">
        <v>52</v>
      </c>
      <c r="H9" s="25">
        <f>G9*4000</f>
        <v>208000</v>
      </c>
      <c r="I9" s="23">
        <v>88</v>
      </c>
      <c r="J9" s="25">
        <f>I9*4000</f>
        <v>352000</v>
      </c>
      <c r="K9" s="23">
        <f t="shared" ref="K9:K39" si="0">F9+H9+J9</f>
        <v>560000</v>
      </c>
      <c r="L9" s="75">
        <f>K9/14381</f>
        <v>38.940268409707251</v>
      </c>
      <c r="M9" s="20"/>
    </row>
    <row r="10" spans="1:13" x14ac:dyDescent="0.25">
      <c r="A10" s="19"/>
      <c r="B10" s="21">
        <v>2</v>
      </c>
      <c r="C10" s="22">
        <f>'Fuel Diesel'!C10</f>
        <v>22</v>
      </c>
      <c r="D10" s="22">
        <f>'Fuel Diesel'!D10</f>
        <v>60</v>
      </c>
      <c r="E10" s="23">
        <v>0</v>
      </c>
      <c r="F10" s="25">
        <f>E10*13582</f>
        <v>0</v>
      </c>
      <c r="G10" s="23">
        <v>60</v>
      </c>
      <c r="H10" s="25">
        <f>G10*4000</f>
        <v>240000</v>
      </c>
      <c r="I10" s="23">
        <v>100</v>
      </c>
      <c r="J10" s="25">
        <f>I10*4000</f>
        <v>400000</v>
      </c>
      <c r="K10" s="23">
        <f t="shared" si="0"/>
        <v>640000</v>
      </c>
      <c r="L10" s="75">
        <f t="shared" ref="L10:L39" si="1">K10/14381</f>
        <v>44.503163896808289</v>
      </c>
      <c r="M10" s="20"/>
    </row>
    <row r="11" spans="1:13" x14ac:dyDescent="0.25">
      <c r="A11" s="19"/>
      <c r="B11" s="21">
        <v>3</v>
      </c>
      <c r="C11" s="22">
        <f>'Fuel Diesel'!C11</f>
        <v>22</v>
      </c>
      <c r="D11" s="22">
        <f>'Fuel Diesel'!D11</f>
        <v>120</v>
      </c>
      <c r="E11" s="23">
        <v>0</v>
      </c>
      <c r="F11" s="25">
        <f t="shared" ref="F11:F39" si="2">E11*13582</f>
        <v>0</v>
      </c>
      <c r="G11" s="23">
        <v>48</v>
      </c>
      <c r="H11" s="25">
        <f t="shared" ref="H11:H39" si="3">G11*4000</f>
        <v>192000</v>
      </c>
      <c r="I11" s="23">
        <v>85</v>
      </c>
      <c r="J11" s="25">
        <f t="shared" ref="J11:J39" si="4">I11*4000</f>
        <v>340000</v>
      </c>
      <c r="K11" s="23">
        <f t="shared" si="0"/>
        <v>532000</v>
      </c>
      <c r="L11" s="75">
        <f t="shared" si="1"/>
        <v>36.993254989221889</v>
      </c>
      <c r="M11" s="20"/>
    </row>
    <row r="12" spans="1:13" x14ac:dyDescent="0.25">
      <c r="A12" s="19"/>
      <c r="B12" s="21">
        <v>4</v>
      </c>
      <c r="C12" s="22">
        <f>'Fuel Diesel'!C12</f>
        <v>11</v>
      </c>
      <c r="D12" s="22">
        <f>'Fuel Diesel'!D12</f>
        <v>46</v>
      </c>
      <c r="E12" s="23">
        <v>0</v>
      </c>
      <c r="F12" s="25">
        <f t="shared" si="2"/>
        <v>0</v>
      </c>
      <c r="G12" s="23">
        <v>53</v>
      </c>
      <c r="H12" s="25">
        <f t="shared" si="3"/>
        <v>212000</v>
      </c>
      <c r="I12" s="23">
        <v>85</v>
      </c>
      <c r="J12" s="25">
        <f t="shared" si="4"/>
        <v>340000</v>
      </c>
      <c r="K12" s="23">
        <f t="shared" si="0"/>
        <v>552000</v>
      </c>
      <c r="L12" s="75">
        <f t="shared" si="1"/>
        <v>38.383978860997146</v>
      </c>
      <c r="M12" s="20"/>
    </row>
    <row r="13" spans="1:13" x14ac:dyDescent="0.25">
      <c r="A13" s="19"/>
      <c r="B13" s="21">
        <v>5</v>
      </c>
      <c r="C13" s="22">
        <f>'Fuel Diesel'!C13</f>
        <v>8</v>
      </c>
      <c r="D13" s="22">
        <f>'Fuel Diesel'!D13</f>
        <v>41</v>
      </c>
      <c r="E13" s="23">
        <v>0</v>
      </c>
      <c r="F13" s="25">
        <f t="shared" si="2"/>
        <v>0</v>
      </c>
      <c r="G13" s="23">
        <v>57</v>
      </c>
      <c r="H13" s="25">
        <f t="shared" si="3"/>
        <v>228000</v>
      </c>
      <c r="I13" s="23">
        <v>96</v>
      </c>
      <c r="J13" s="25">
        <f t="shared" si="4"/>
        <v>384000</v>
      </c>
      <c r="K13" s="23">
        <f t="shared" si="0"/>
        <v>612000</v>
      </c>
      <c r="L13" s="75">
        <f t="shared" si="1"/>
        <v>42.556150476322927</v>
      </c>
      <c r="M13" s="20"/>
    </row>
    <row r="14" spans="1:13" x14ac:dyDescent="0.25">
      <c r="A14" s="19"/>
      <c r="B14" s="21">
        <v>6</v>
      </c>
      <c r="C14" s="22">
        <f>'Fuel Diesel'!C14</f>
        <v>2</v>
      </c>
      <c r="D14" s="22">
        <f>'Fuel Diesel'!D14</f>
        <v>22</v>
      </c>
      <c r="E14" s="23">
        <v>0</v>
      </c>
      <c r="F14" s="25">
        <f t="shared" si="2"/>
        <v>0</v>
      </c>
      <c r="G14" s="23">
        <v>40</v>
      </c>
      <c r="H14" s="25">
        <f t="shared" si="3"/>
        <v>160000</v>
      </c>
      <c r="I14" s="23">
        <v>67</v>
      </c>
      <c r="J14" s="25">
        <f t="shared" si="4"/>
        <v>268000</v>
      </c>
      <c r="K14" s="23">
        <f t="shared" si="0"/>
        <v>428000</v>
      </c>
      <c r="L14" s="75">
        <f t="shared" si="1"/>
        <v>29.761490855990544</v>
      </c>
      <c r="M14" s="20"/>
    </row>
    <row r="15" spans="1:13" x14ac:dyDescent="0.25">
      <c r="A15" s="19"/>
      <c r="B15" s="21">
        <v>7</v>
      </c>
      <c r="C15" s="22">
        <f>'Fuel Diesel'!C15</f>
        <v>2</v>
      </c>
      <c r="D15" s="22">
        <f>'Fuel Diesel'!D15</f>
        <v>20</v>
      </c>
      <c r="E15" s="23">
        <v>0</v>
      </c>
      <c r="F15" s="25">
        <f t="shared" si="2"/>
        <v>0</v>
      </c>
      <c r="G15" s="23">
        <v>37</v>
      </c>
      <c r="H15" s="25">
        <f t="shared" si="3"/>
        <v>148000</v>
      </c>
      <c r="I15" s="23">
        <v>64</v>
      </c>
      <c r="J15" s="25">
        <f t="shared" si="4"/>
        <v>256000</v>
      </c>
      <c r="K15" s="23">
        <f t="shared" si="0"/>
        <v>404000</v>
      </c>
      <c r="L15" s="75">
        <f t="shared" si="1"/>
        <v>28.092622209860231</v>
      </c>
      <c r="M15" s="20"/>
    </row>
    <row r="16" spans="1:13" x14ac:dyDescent="0.25">
      <c r="A16" s="19"/>
      <c r="B16" s="21">
        <v>8</v>
      </c>
      <c r="C16" s="22">
        <f>'Fuel Diesel'!C16</f>
        <v>2</v>
      </c>
      <c r="D16" s="22">
        <f>'Fuel Diesel'!D16</f>
        <v>20</v>
      </c>
      <c r="E16" s="23">
        <v>0</v>
      </c>
      <c r="F16" s="25">
        <f t="shared" si="2"/>
        <v>0</v>
      </c>
      <c r="G16" s="23">
        <v>33</v>
      </c>
      <c r="H16" s="25">
        <f t="shared" si="3"/>
        <v>132000</v>
      </c>
      <c r="I16" s="23">
        <v>55</v>
      </c>
      <c r="J16" s="25">
        <f t="shared" si="4"/>
        <v>220000</v>
      </c>
      <c r="K16" s="23">
        <f t="shared" si="0"/>
        <v>352000</v>
      </c>
      <c r="L16" s="75">
        <f t="shared" si="1"/>
        <v>24.476740143244559</v>
      </c>
      <c r="M16" s="20"/>
    </row>
    <row r="17" spans="1:13" x14ac:dyDescent="0.25">
      <c r="A17" s="19"/>
      <c r="B17" s="21">
        <v>9</v>
      </c>
      <c r="C17" s="22">
        <f>'Fuel Diesel'!C17</f>
        <v>3</v>
      </c>
      <c r="D17" s="22">
        <f>'Fuel Diesel'!D17</f>
        <v>14</v>
      </c>
      <c r="E17" s="23">
        <v>0</v>
      </c>
      <c r="F17" s="25">
        <f t="shared" si="2"/>
        <v>0</v>
      </c>
      <c r="G17" s="23">
        <v>39</v>
      </c>
      <c r="H17" s="25">
        <f t="shared" si="3"/>
        <v>156000</v>
      </c>
      <c r="I17" s="23">
        <v>68</v>
      </c>
      <c r="J17" s="25">
        <f t="shared" si="4"/>
        <v>272000</v>
      </c>
      <c r="K17" s="23">
        <f t="shared" si="0"/>
        <v>428000</v>
      </c>
      <c r="L17" s="75">
        <f t="shared" si="1"/>
        <v>29.761490855990544</v>
      </c>
      <c r="M17" s="20"/>
    </row>
    <row r="18" spans="1:13" x14ac:dyDescent="0.25">
      <c r="A18" s="19"/>
      <c r="B18" s="21">
        <v>10</v>
      </c>
      <c r="C18" s="22">
        <f>'Fuel Diesel'!C18</f>
        <v>5</v>
      </c>
      <c r="D18" s="22">
        <f>'Fuel Diesel'!D18</f>
        <v>8</v>
      </c>
      <c r="E18" s="23">
        <v>0</v>
      </c>
      <c r="F18" s="25">
        <f t="shared" si="2"/>
        <v>0</v>
      </c>
      <c r="G18" s="23">
        <v>38</v>
      </c>
      <c r="H18" s="25">
        <f t="shared" si="3"/>
        <v>152000</v>
      </c>
      <c r="I18" s="23">
        <v>63</v>
      </c>
      <c r="J18" s="25">
        <f t="shared" si="4"/>
        <v>252000</v>
      </c>
      <c r="K18" s="23">
        <f t="shared" si="0"/>
        <v>404000</v>
      </c>
      <c r="L18" s="75">
        <f t="shared" si="1"/>
        <v>28.092622209860231</v>
      </c>
      <c r="M18" s="20"/>
    </row>
    <row r="19" spans="1:13" x14ac:dyDescent="0.25">
      <c r="A19" s="19"/>
      <c r="B19" s="21">
        <v>11</v>
      </c>
      <c r="C19" s="22">
        <f>'Fuel Diesel'!C19</f>
        <v>4</v>
      </c>
      <c r="D19" s="22">
        <f>'Fuel Diesel'!D19</f>
        <v>25</v>
      </c>
      <c r="E19" s="23">
        <v>0</v>
      </c>
      <c r="F19" s="25">
        <f t="shared" si="2"/>
        <v>0</v>
      </c>
      <c r="G19" s="23">
        <v>36</v>
      </c>
      <c r="H19" s="25">
        <f t="shared" si="3"/>
        <v>144000</v>
      </c>
      <c r="I19" s="23">
        <v>60</v>
      </c>
      <c r="J19" s="25">
        <f t="shared" si="4"/>
        <v>240000</v>
      </c>
      <c r="K19" s="23">
        <f t="shared" si="0"/>
        <v>384000</v>
      </c>
      <c r="L19" s="75">
        <f t="shared" si="1"/>
        <v>26.701898338084973</v>
      </c>
      <c r="M19" s="20"/>
    </row>
    <row r="20" spans="1:13" x14ac:dyDescent="0.25">
      <c r="A20" s="19"/>
      <c r="B20" s="21">
        <v>12</v>
      </c>
      <c r="C20" s="22">
        <f>'Fuel Diesel'!C20</f>
        <v>5</v>
      </c>
      <c r="D20" s="22">
        <f>'Fuel Diesel'!D20</f>
        <v>36</v>
      </c>
      <c r="E20" s="23">
        <v>0</v>
      </c>
      <c r="F20" s="25">
        <f t="shared" si="2"/>
        <v>0</v>
      </c>
      <c r="G20" s="23">
        <v>40</v>
      </c>
      <c r="H20" s="25">
        <f>G20*4000</f>
        <v>160000</v>
      </c>
      <c r="I20" s="23">
        <v>68</v>
      </c>
      <c r="J20" s="25">
        <f t="shared" si="4"/>
        <v>272000</v>
      </c>
      <c r="K20" s="23">
        <f t="shared" si="0"/>
        <v>432000</v>
      </c>
      <c r="L20" s="75">
        <f t="shared" si="1"/>
        <v>30.039635630345593</v>
      </c>
      <c r="M20" s="20"/>
    </row>
    <row r="21" spans="1:13" x14ac:dyDescent="0.25">
      <c r="A21" s="19"/>
      <c r="B21" s="21">
        <v>13</v>
      </c>
      <c r="C21" s="22">
        <f>'Fuel Diesel'!C21</f>
        <v>9</v>
      </c>
      <c r="D21" s="22">
        <f>'Fuel Diesel'!D21</f>
        <v>42</v>
      </c>
      <c r="E21" s="23">
        <v>0</v>
      </c>
      <c r="F21" s="25">
        <f t="shared" si="2"/>
        <v>0</v>
      </c>
      <c r="G21" s="23">
        <v>34</v>
      </c>
      <c r="H21" s="25">
        <f t="shared" si="3"/>
        <v>136000</v>
      </c>
      <c r="I21" s="23">
        <v>59</v>
      </c>
      <c r="J21" s="25">
        <f t="shared" si="4"/>
        <v>236000</v>
      </c>
      <c r="K21" s="23">
        <f t="shared" si="0"/>
        <v>372000</v>
      </c>
      <c r="L21" s="75">
        <f t="shared" si="1"/>
        <v>25.867464015019817</v>
      </c>
      <c r="M21" s="20"/>
    </row>
    <row r="22" spans="1:13" x14ac:dyDescent="0.25">
      <c r="A22" s="19"/>
      <c r="B22" s="21">
        <v>14</v>
      </c>
      <c r="C22" s="22">
        <f>'Fuel Diesel'!C22</f>
        <v>6</v>
      </c>
      <c r="D22" s="22">
        <f>'Fuel Diesel'!D22</f>
        <v>32</v>
      </c>
      <c r="E22" s="23">
        <v>0</v>
      </c>
      <c r="F22" s="25">
        <f t="shared" si="2"/>
        <v>0</v>
      </c>
      <c r="G22" s="23">
        <v>43</v>
      </c>
      <c r="H22" s="25">
        <f t="shared" si="3"/>
        <v>172000</v>
      </c>
      <c r="I22" s="23">
        <v>71</v>
      </c>
      <c r="J22" s="25">
        <f t="shared" si="4"/>
        <v>284000</v>
      </c>
      <c r="K22" s="23">
        <f t="shared" si="0"/>
        <v>456000</v>
      </c>
      <c r="L22" s="75">
        <f t="shared" si="1"/>
        <v>31.708504276475907</v>
      </c>
      <c r="M22" s="20"/>
    </row>
    <row r="23" spans="1:13" x14ac:dyDescent="0.25">
      <c r="A23" s="19"/>
      <c r="B23" s="21">
        <v>15</v>
      </c>
      <c r="C23" s="22">
        <f>'Fuel Diesel'!C23</f>
        <v>6</v>
      </c>
      <c r="D23" s="22">
        <f>'Fuel Diesel'!D23</f>
        <v>43</v>
      </c>
      <c r="E23" s="23">
        <v>0</v>
      </c>
      <c r="F23" s="25">
        <f t="shared" si="2"/>
        <v>0</v>
      </c>
      <c r="G23" s="23">
        <v>45</v>
      </c>
      <c r="H23" s="25">
        <f t="shared" si="3"/>
        <v>180000</v>
      </c>
      <c r="I23" s="23">
        <v>76</v>
      </c>
      <c r="J23" s="25">
        <f t="shared" si="4"/>
        <v>304000</v>
      </c>
      <c r="K23" s="23">
        <f t="shared" si="0"/>
        <v>484000</v>
      </c>
      <c r="L23" s="75">
        <f t="shared" si="1"/>
        <v>33.655517696961269</v>
      </c>
      <c r="M23" s="20"/>
    </row>
    <row r="24" spans="1:13" x14ac:dyDescent="0.25">
      <c r="A24" s="19"/>
      <c r="B24" s="21">
        <v>16</v>
      </c>
      <c r="C24" s="22">
        <f>'Fuel Diesel'!C24</f>
        <v>6</v>
      </c>
      <c r="D24" s="22">
        <f>'Fuel Diesel'!D24</f>
        <v>23</v>
      </c>
      <c r="E24" s="23">
        <v>0</v>
      </c>
      <c r="F24" s="25">
        <f t="shared" si="2"/>
        <v>0</v>
      </c>
      <c r="G24" s="23">
        <v>47</v>
      </c>
      <c r="H24" s="25">
        <f t="shared" si="3"/>
        <v>188000</v>
      </c>
      <c r="I24" s="23">
        <v>78</v>
      </c>
      <c r="J24" s="25">
        <f t="shared" si="4"/>
        <v>312000</v>
      </c>
      <c r="K24" s="23">
        <f t="shared" si="0"/>
        <v>500000</v>
      </c>
      <c r="L24" s="75">
        <f t="shared" si="1"/>
        <v>34.768096794381478</v>
      </c>
      <c r="M24" s="20"/>
    </row>
    <row r="25" spans="1:13" x14ac:dyDescent="0.25">
      <c r="A25" s="19"/>
      <c r="B25" s="21">
        <v>17</v>
      </c>
      <c r="C25" s="22">
        <f>'Fuel Diesel'!C25</f>
        <v>10</v>
      </c>
      <c r="D25" s="22">
        <f>'Fuel Diesel'!D25</f>
        <v>29</v>
      </c>
      <c r="E25" s="23">
        <v>0</v>
      </c>
      <c r="F25" s="25">
        <f t="shared" si="2"/>
        <v>0</v>
      </c>
      <c r="G25" s="23">
        <v>56</v>
      </c>
      <c r="H25" s="25">
        <f t="shared" si="3"/>
        <v>224000</v>
      </c>
      <c r="I25" s="23">
        <v>94</v>
      </c>
      <c r="J25" s="25">
        <f t="shared" si="4"/>
        <v>376000</v>
      </c>
      <c r="K25" s="23">
        <f t="shared" si="0"/>
        <v>600000</v>
      </c>
      <c r="L25" s="75">
        <f t="shared" si="1"/>
        <v>41.721716153257773</v>
      </c>
      <c r="M25" s="20"/>
    </row>
    <row r="26" spans="1:13" x14ac:dyDescent="0.25">
      <c r="A26" s="19"/>
      <c r="B26" s="21">
        <v>18</v>
      </c>
      <c r="C26" s="22">
        <f>'Fuel Diesel'!C26</f>
        <v>10</v>
      </c>
      <c r="D26" s="22">
        <f>'Fuel Diesel'!D26</f>
        <v>35</v>
      </c>
      <c r="E26" s="23">
        <v>0</v>
      </c>
      <c r="F26" s="25">
        <f t="shared" si="2"/>
        <v>0</v>
      </c>
      <c r="G26" s="23">
        <v>44</v>
      </c>
      <c r="H26" s="25">
        <f t="shared" si="3"/>
        <v>176000</v>
      </c>
      <c r="I26" s="23">
        <v>73</v>
      </c>
      <c r="J26" s="25">
        <f t="shared" si="4"/>
        <v>292000</v>
      </c>
      <c r="K26" s="23">
        <f t="shared" si="0"/>
        <v>468000</v>
      </c>
      <c r="L26" s="75">
        <f t="shared" si="1"/>
        <v>32.54293859954106</v>
      </c>
      <c r="M26" s="20"/>
    </row>
    <row r="27" spans="1:13" x14ac:dyDescent="0.25">
      <c r="A27" s="19"/>
      <c r="B27" s="21">
        <v>19</v>
      </c>
      <c r="C27" s="22">
        <f>'Fuel Diesel'!C27</f>
        <v>9</v>
      </c>
      <c r="D27" s="22">
        <f>'Fuel Diesel'!D27</f>
        <v>47</v>
      </c>
      <c r="E27" s="23">
        <v>0</v>
      </c>
      <c r="F27" s="25">
        <f t="shared" si="2"/>
        <v>0</v>
      </c>
      <c r="G27" s="23">
        <v>38</v>
      </c>
      <c r="H27" s="25">
        <f t="shared" si="3"/>
        <v>152000</v>
      </c>
      <c r="I27" s="23">
        <v>65</v>
      </c>
      <c r="J27" s="25">
        <f t="shared" si="4"/>
        <v>260000</v>
      </c>
      <c r="K27" s="23">
        <f t="shared" si="0"/>
        <v>412000</v>
      </c>
      <c r="L27" s="75">
        <f t="shared" si="1"/>
        <v>28.648911758570335</v>
      </c>
      <c r="M27" s="20"/>
    </row>
    <row r="28" spans="1:13" x14ac:dyDescent="0.25">
      <c r="A28" s="19"/>
      <c r="B28" s="21">
        <v>20</v>
      </c>
      <c r="C28" s="22">
        <f>'Fuel Diesel'!C28</f>
        <v>6</v>
      </c>
      <c r="D28" s="22">
        <f>'Fuel Diesel'!D28</f>
        <v>67</v>
      </c>
      <c r="E28" s="23">
        <v>0</v>
      </c>
      <c r="F28" s="25">
        <f t="shared" si="2"/>
        <v>0</v>
      </c>
      <c r="G28" s="23">
        <v>33</v>
      </c>
      <c r="H28" s="25">
        <f t="shared" si="3"/>
        <v>132000</v>
      </c>
      <c r="I28" s="23">
        <v>54</v>
      </c>
      <c r="J28" s="25">
        <f t="shared" si="4"/>
        <v>216000</v>
      </c>
      <c r="K28" s="23">
        <f t="shared" si="0"/>
        <v>348000</v>
      </c>
      <c r="L28" s="75">
        <f t="shared" si="1"/>
        <v>24.198595368889507</v>
      </c>
      <c r="M28" s="20"/>
    </row>
    <row r="29" spans="1:13" x14ac:dyDescent="0.25">
      <c r="A29" s="19"/>
      <c r="B29" s="21">
        <v>21</v>
      </c>
      <c r="C29" s="22">
        <f>'Fuel Diesel'!C29</f>
        <v>5</v>
      </c>
      <c r="D29" s="22">
        <f>'Fuel Diesel'!D29</f>
        <v>42</v>
      </c>
      <c r="E29" s="23">
        <v>0</v>
      </c>
      <c r="F29" s="25">
        <f t="shared" si="2"/>
        <v>0</v>
      </c>
      <c r="G29" s="23">
        <v>33</v>
      </c>
      <c r="H29" s="25">
        <f t="shared" si="3"/>
        <v>132000</v>
      </c>
      <c r="I29" s="23">
        <v>55</v>
      </c>
      <c r="J29" s="25">
        <f t="shared" si="4"/>
        <v>220000</v>
      </c>
      <c r="K29" s="23">
        <f t="shared" si="0"/>
        <v>352000</v>
      </c>
      <c r="L29" s="75">
        <f t="shared" si="1"/>
        <v>24.476740143244559</v>
      </c>
      <c r="M29" s="20"/>
    </row>
    <row r="30" spans="1:13" x14ac:dyDescent="0.25">
      <c r="A30" s="19"/>
      <c r="B30" s="21">
        <v>22</v>
      </c>
      <c r="C30" s="22">
        <f>'Fuel Diesel'!C30</f>
        <v>9</v>
      </c>
      <c r="D30" s="22">
        <f>'Fuel Diesel'!D30</f>
        <v>55</v>
      </c>
      <c r="E30" s="23">
        <v>0</v>
      </c>
      <c r="F30" s="25">
        <f t="shared" si="2"/>
        <v>0</v>
      </c>
      <c r="G30" s="23">
        <v>45</v>
      </c>
      <c r="H30" s="25">
        <f t="shared" si="3"/>
        <v>180000</v>
      </c>
      <c r="I30" s="23">
        <v>73</v>
      </c>
      <c r="J30" s="25">
        <f t="shared" si="4"/>
        <v>292000</v>
      </c>
      <c r="K30" s="23">
        <f t="shared" si="0"/>
        <v>472000</v>
      </c>
      <c r="L30" s="75">
        <f t="shared" si="1"/>
        <v>32.821083373896116</v>
      </c>
      <c r="M30" s="20"/>
    </row>
    <row r="31" spans="1:13" x14ac:dyDescent="0.25">
      <c r="A31" s="19"/>
      <c r="B31" s="21">
        <v>23</v>
      </c>
      <c r="C31" s="22">
        <f>'Fuel Diesel'!C31</f>
        <v>13</v>
      </c>
      <c r="D31" s="22">
        <f>'Fuel Diesel'!D31</f>
        <v>43</v>
      </c>
      <c r="E31" s="23">
        <v>0</v>
      </c>
      <c r="F31" s="25">
        <f t="shared" si="2"/>
        <v>0</v>
      </c>
      <c r="G31" s="23">
        <v>46</v>
      </c>
      <c r="H31" s="25">
        <f t="shared" si="3"/>
        <v>184000</v>
      </c>
      <c r="I31" s="23">
        <v>79</v>
      </c>
      <c r="J31" s="25">
        <f t="shared" si="4"/>
        <v>316000</v>
      </c>
      <c r="K31" s="23">
        <f t="shared" si="0"/>
        <v>500000</v>
      </c>
      <c r="L31" s="75">
        <f t="shared" si="1"/>
        <v>34.768096794381478</v>
      </c>
      <c r="M31" s="20"/>
    </row>
    <row r="32" spans="1:13" x14ac:dyDescent="0.25">
      <c r="A32" s="19"/>
      <c r="B32" s="21">
        <v>24</v>
      </c>
      <c r="C32" s="22">
        <f>'Fuel Diesel'!C32</f>
        <v>16</v>
      </c>
      <c r="D32" s="22">
        <f>'Fuel Diesel'!D32</f>
        <v>79</v>
      </c>
      <c r="E32" s="23">
        <v>0</v>
      </c>
      <c r="F32" s="25">
        <f t="shared" si="2"/>
        <v>0</v>
      </c>
      <c r="G32" s="23">
        <v>68</v>
      </c>
      <c r="H32" s="25">
        <f t="shared" si="3"/>
        <v>272000</v>
      </c>
      <c r="I32" s="23">
        <v>110</v>
      </c>
      <c r="J32" s="25">
        <f t="shared" si="4"/>
        <v>440000</v>
      </c>
      <c r="K32" s="23">
        <f t="shared" si="0"/>
        <v>712000</v>
      </c>
      <c r="L32" s="75">
        <f t="shared" si="1"/>
        <v>49.509769835199222</v>
      </c>
      <c r="M32" s="20"/>
    </row>
    <row r="33" spans="1:15" x14ac:dyDescent="0.25">
      <c r="A33" s="19"/>
      <c r="B33" s="21">
        <v>25</v>
      </c>
      <c r="C33" s="22">
        <f>'Fuel Diesel'!C33</f>
        <v>19</v>
      </c>
      <c r="D33" s="22">
        <f>'Fuel Diesel'!D33</f>
        <v>74</v>
      </c>
      <c r="E33" s="23">
        <v>0</v>
      </c>
      <c r="F33" s="25">
        <f t="shared" ref="F33:F35" si="5">E33*13582</f>
        <v>0</v>
      </c>
      <c r="G33" s="23">
        <v>48</v>
      </c>
      <c r="H33" s="25">
        <f t="shared" ref="H33:H35" si="6">G33*4000</f>
        <v>192000</v>
      </c>
      <c r="I33" s="23">
        <v>81</v>
      </c>
      <c r="J33" s="25">
        <f t="shared" ref="J33:J35" si="7">I33*4000</f>
        <v>324000</v>
      </c>
      <c r="K33" s="23">
        <f t="shared" ref="K33:K35" si="8">F33+H33+J33</f>
        <v>516000</v>
      </c>
      <c r="L33" s="75">
        <f t="shared" ref="L33:L35" si="9">K33/14381</f>
        <v>35.88067589180168</v>
      </c>
      <c r="M33" s="20"/>
    </row>
    <row r="34" spans="1:15" x14ac:dyDescent="0.25">
      <c r="A34" s="19"/>
      <c r="B34" s="21">
        <v>26</v>
      </c>
      <c r="C34" s="22">
        <f>'Fuel Diesel'!C34</f>
        <v>15</v>
      </c>
      <c r="D34" s="22">
        <f>'Fuel Diesel'!D34</f>
        <v>71</v>
      </c>
      <c r="E34" s="23">
        <v>0</v>
      </c>
      <c r="F34" s="25">
        <f t="shared" si="5"/>
        <v>0</v>
      </c>
      <c r="G34" s="23">
        <v>43</v>
      </c>
      <c r="H34" s="25">
        <f t="shared" si="6"/>
        <v>172000</v>
      </c>
      <c r="I34" s="23">
        <v>73</v>
      </c>
      <c r="J34" s="25">
        <f t="shared" si="7"/>
        <v>292000</v>
      </c>
      <c r="K34" s="23">
        <f t="shared" si="8"/>
        <v>464000</v>
      </c>
      <c r="L34" s="75">
        <f t="shared" si="9"/>
        <v>32.264793825186011</v>
      </c>
      <c r="M34" s="20"/>
    </row>
    <row r="35" spans="1:15" x14ac:dyDescent="0.25">
      <c r="A35" s="19"/>
      <c r="B35" s="21">
        <v>27</v>
      </c>
      <c r="C35" s="22">
        <f>'Fuel Diesel'!C35</f>
        <v>10</v>
      </c>
      <c r="D35" s="22">
        <f>'Fuel Diesel'!D35</f>
        <v>75</v>
      </c>
      <c r="E35" s="23">
        <v>0</v>
      </c>
      <c r="F35" s="25">
        <f t="shared" si="5"/>
        <v>0</v>
      </c>
      <c r="G35" s="23">
        <v>42</v>
      </c>
      <c r="H35" s="25">
        <f t="shared" si="6"/>
        <v>168000</v>
      </c>
      <c r="I35" s="23">
        <v>67</v>
      </c>
      <c r="J35" s="25">
        <f t="shared" si="7"/>
        <v>268000</v>
      </c>
      <c r="K35" s="23">
        <f t="shared" si="8"/>
        <v>436000</v>
      </c>
      <c r="L35" s="75">
        <f t="shared" si="9"/>
        <v>30.317780404700645</v>
      </c>
      <c r="M35" s="20"/>
    </row>
    <row r="36" spans="1:15" x14ac:dyDescent="0.25">
      <c r="A36" s="19"/>
      <c r="B36" s="21">
        <v>28</v>
      </c>
      <c r="C36" s="22">
        <f>'Fuel Diesel'!C33</f>
        <v>19</v>
      </c>
      <c r="D36" s="22">
        <f>'Fuel Diesel'!D33</f>
        <v>74</v>
      </c>
      <c r="E36" s="23">
        <v>0</v>
      </c>
      <c r="F36" s="25">
        <f t="shared" si="2"/>
        <v>0</v>
      </c>
      <c r="G36" s="23">
        <v>47</v>
      </c>
      <c r="H36" s="25">
        <f t="shared" si="3"/>
        <v>188000</v>
      </c>
      <c r="I36" s="23">
        <v>77</v>
      </c>
      <c r="J36" s="25">
        <f t="shared" si="4"/>
        <v>308000</v>
      </c>
      <c r="K36" s="23">
        <f t="shared" si="0"/>
        <v>496000</v>
      </c>
      <c r="L36" s="75">
        <f t="shared" si="1"/>
        <v>34.489952020026422</v>
      </c>
      <c r="M36" s="20"/>
    </row>
    <row r="37" spans="1:15" x14ac:dyDescent="0.25">
      <c r="A37" s="19"/>
      <c r="B37" s="21">
        <v>29</v>
      </c>
      <c r="C37" s="22">
        <f>'Fuel Diesel'!C37</f>
        <v>12</v>
      </c>
      <c r="D37" s="22">
        <f>'Fuel Diesel'!D37</f>
        <v>43</v>
      </c>
      <c r="E37" s="23">
        <v>0</v>
      </c>
      <c r="F37" s="25">
        <f t="shared" si="2"/>
        <v>0</v>
      </c>
      <c r="G37" s="23">
        <v>43</v>
      </c>
      <c r="H37" s="25">
        <f t="shared" si="3"/>
        <v>172000</v>
      </c>
      <c r="I37" s="23">
        <v>72</v>
      </c>
      <c r="J37" s="25">
        <f t="shared" si="4"/>
        <v>288000</v>
      </c>
      <c r="K37" s="23">
        <f t="shared" si="0"/>
        <v>460000</v>
      </c>
      <c r="L37" s="75">
        <f t="shared" si="1"/>
        <v>31.986649050830959</v>
      </c>
      <c r="M37" s="20"/>
    </row>
    <row r="38" spans="1:15" x14ac:dyDescent="0.25">
      <c r="A38" s="19"/>
      <c r="B38" s="21">
        <v>30</v>
      </c>
      <c r="C38" s="22">
        <f>'Fuel Diesel'!C38</f>
        <v>14</v>
      </c>
      <c r="D38" s="22">
        <f>'Fuel Diesel'!D38</f>
        <v>51</v>
      </c>
      <c r="E38" s="23">
        <v>0</v>
      </c>
      <c r="F38" s="25">
        <f t="shared" si="2"/>
        <v>0</v>
      </c>
      <c r="G38" s="23">
        <v>56</v>
      </c>
      <c r="H38" s="25">
        <f t="shared" si="3"/>
        <v>224000</v>
      </c>
      <c r="I38" s="23">
        <v>94</v>
      </c>
      <c r="J38" s="25">
        <f t="shared" si="4"/>
        <v>376000</v>
      </c>
      <c r="K38" s="23">
        <f t="shared" si="0"/>
        <v>600000</v>
      </c>
      <c r="L38" s="75">
        <f t="shared" si="1"/>
        <v>41.721716153257773</v>
      </c>
      <c r="M38" s="20"/>
    </row>
    <row r="39" spans="1:15" x14ac:dyDescent="0.25">
      <c r="A39" s="19"/>
      <c r="B39" s="21">
        <v>31</v>
      </c>
      <c r="C39" s="22">
        <f>'Fuel Diesel'!C39</f>
        <v>7</v>
      </c>
      <c r="D39" s="22">
        <f>'Fuel Diesel'!D39</f>
        <v>65</v>
      </c>
      <c r="E39" s="23">
        <v>0</v>
      </c>
      <c r="F39" s="25">
        <f t="shared" si="2"/>
        <v>0</v>
      </c>
      <c r="G39" s="23">
        <v>58</v>
      </c>
      <c r="H39" s="25">
        <f t="shared" si="3"/>
        <v>232000</v>
      </c>
      <c r="I39" s="23">
        <v>95</v>
      </c>
      <c r="J39" s="25">
        <f t="shared" si="4"/>
        <v>380000</v>
      </c>
      <c r="K39" s="23">
        <f t="shared" si="0"/>
        <v>612000</v>
      </c>
      <c r="L39" s="75">
        <f t="shared" si="1"/>
        <v>42.556150476322927</v>
      </c>
      <c r="M39" s="20"/>
    </row>
    <row r="40" spans="1:15" x14ac:dyDescent="0.25">
      <c r="C40" s="29">
        <f>SUM(C9:C39)</f>
        <v>292</v>
      </c>
      <c r="D40" s="29">
        <f>SUM(D9:D39)</f>
        <v>1434</v>
      </c>
      <c r="E40" s="29">
        <v>0</v>
      </c>
      <c r="G40" s="29">
        <f>SUM(G9:G39)</f>
        <v>1402</v>
      </c>
      <c r="I40" s="29">
        <f>SUM(I9:I39)</f>
        <v>2345</v>
      </c>
      <c r="J40" s="89">
        <f>G40+I40</f>
        <v>3747</v>
      </c>
      <c r="K40" s="76"/>
      <c r="L40" s="83">
        <f>SUM(L9:L39)</f>
        <v>1042.208469508379</v>
      </c>
      <c r="O40" s="34"/>
    </row>
    <row r="41" spans="1:15" x14ac:dyDescent="0.25">
      <c r="H41" s="88" t="s">
        <v>59</v>
      </c>
      <c r="I41" s="87">
        <f>G40+I40</f>
        <v>3747</v>
      </c>
      <c r="L41" s="35"/>
    </row>
    <row r="42" spans="1:15" x14ac:dyDescent="0.25">
      <c r="E42" s="18"/>
      <c r="F42" s="18"/>
      <c r="G42" s="18"/>
      <c r="H42" s="18"/>
      <c r="I42" s="77"/>
      <c r="J42" s="77"/>
      <c r="L42" s="37"/>
    </row>
    <row r="43" spans="1:15" x14ac:dyDescent="0.25">
      <c r="E43" s="18"/>
      <c r="F43" s="18"/>
      <c r="G43" s="18"/>
      <c r="H43" s="18"/>
      <c r="I43" s="77"/>
      <c r="J43" s="77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0" ma:contentTypeDescription="Create a new document." ma:contentTypeScope="" ma:versionID="9ef5dea78e23dc44f2aede2b8a39957c">
  <xsd:schema xmlns:xsd="http://www.w3.org/2001/XMLSchema" xmlns:xs="http://www.w3.org/2001/XMLSchema" xmlns:p="http://schemas.microsoft.com/office/2006/metadata/properties" xmlns:ns2="2e11796f-5f26-4c51-a1e5-22e0f1616a71" targetNamespace="http://schemas.microsoft.com/office/2006/metadata/properties" ma:root="true" ma:fieldsID="2e5a7c5e344fbe82f5274f28b139bd3f" ns2:_="">
    <xsd:import namespace="2e11796f-5f26-4c51-a1e5-22e0f1616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7F85B3-2AA0-4B02-A5CD-FFC2F123DB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0DFFFD-CA2B-4F5A-94F9-E6F67A1E67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66FE46-DF59-4487-9D85-CDD90DC296A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Siget Pamungkas</dc:creator>
  <cp:keywords/>
  <dc:description/>
  <cp:lastModifiedBy>Dinna Wiji Safitri Safitri</cp:lastModifiedBy>
  <cp:revision/>
  <dcterms:created xsi:type="dcterms:W3CDTF">2022-01-19T02:48:06Z</dcterms:created>
  <dcterms:modified xsi:type="dcterms:W3CDTF">2022-04-15T11:01:44Z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