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620" documentId="8_{5B502D95-7A37-4D5A-8B6B-374537CC2F26}" xr6:coauthVersionLast="46" xr6:coauthVersionMax="46" xr10:uidLastSave="{E0FBE74D-2A3C-4B30-A23A-3E208F9E9F12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" i="2" l="1"/>
  <c r="V12" i="2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" i="4"/>
  <c r="K12" i="6"/>
  <c r="I12" i="6"/>
  <c r="G12" i="6"/>
  <c r="E12" i="6"/>
  <c r="C12" i="6"/>
  <c r="K11" i="6"/>
  <c r="I11" i="6"/>
  <c r="G11" i="6"/>
  <c r="E11" i="6"/>
  <c r="C11" i="6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11" i="2"/>
  <c r="F12" i="2"/>
  <c r="K10" i="6"/>
  <c r="I10" i="6"/>
  <c r="G10" i="6"/>
  <c r="E10" i="6"/>
  <c r="C10" i="6"/>
  <c r="N10" i="2"/>
  <c r="M10" i="2"/>
  <c r="L10" i="2"/>
  <c r="F10" i="2"/>
  <c r="H37" i="2"/>
  <c r="H38" i="2"/>
  <c r="Q37" i="2"/>
  <c r="Q38" i="2"/>
  <c r="Q39" i="2"/>
  <c r="Q40" i="2"/>
  <c r="X37" i="2"/>
  <c r="X38" i="2"/>
  <c r="X39" i="2"/>
  <c r="X40" i="2"/>
  <c r="F41" i="2"/>
  <c r="I27" i="21"/>
  <c r="I28" i="21"/>
  <c r="I29" i="21"/>
  <c r="I30" i="21"/>
  <c r="I32" i="21"/>
  <c r="H27" i="21"/>
  <c r="H28" i="21"/>
  <c r="H29" i="21"/>
  <c r="H30" i="21"/>
  <c r="H32" i="21"/>
  <c r="G30" i="21"/>
  <c r="G32" i="21"/>
  <c r="F30" i="21"/>
  <c r="F32" i="21"/>
  <c r="E30" i="21"/>
  <c r="E32" i="21"/>
  <c r="B27" i="21"/>
  <c r="B28" i="21"/>
  <c r="B29" i="21"/>
  <c r="B30" i="21"/>
  <c r="B31" i="21"/>
  <c r="B32" i="21"/>
  <c r="L27" i="22"/>
  <c r="L28" i="22"/>
  <c r="L29" i="22"/>
  <c r="L30" i="22"/>
  <c r="L32" i="22"/>
  <c r="K27" i="22"/>
  <c r="K28" i="22"/>
  <c r="K29" i="22"/>
  <c r="K30" i="22"/>
  <c r="K32" i="22"/>
  <c r="I30" i="22"/>
  <c r="I32" i="22"/>
  <c r="G31" i="22"/>
  <c r="G32" i="22"/>
  <c r="E30" i="22"/>
  <c r="E31" i="22"/>
  <c r="E32" i="22"/>
  <c r="B27" i="22"/>
  <c r="B28" i="22"/>
  <c r="B29" i="22"/>
  <c r="B30" i="22"/>
  <c r="B31" i="22"/>
  <c r="B32" i="22"/>
  <c r="G4" i="4"/>
  <c r="E4" i="4"/>
  <c r="C4" i="4"/>
  <c r="G29" i="21"/>
  <c r="F29" i="21"/>
  <c r="E29" i="21"/>
  <c r="I29" i="22"/>
  <c r="G28" i="21"/>
  <c r="F28" i="21"/>
  <c r="E28" i="21"/>
  <c r="I28" i="22"/>
  <c r="G27" i="21"/>
  <c r="F27" i="21"/>
  <c r="E27" i="21"/>
  <c r="I27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O35" i="2"/>
  <c r="O39" i="2"/>
  <c r="H35" i="2"/>
  <c r="H36" i="2"/>
  <c r="H39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40" i="2"/>
  <c r="G25" i="21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O40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P7" i="4" s="1"/>
  <c r="O8" i="4"/>
  <c r="P8" i="4" s="1"/>
  <c r="E3" i="22"/>
  <c r="J3" i="21"/>
  <c r="E26" i="22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1" i="2"/>
  <c r="F31" i="21" s="1"/>
  <c r="I45" i="2"/>
  <c r="L45" i="2"/>
  <c r="E8" i="22"/>
  <c r="N41" i="2"/>
  <c r="G31" i="21" s="1"/>
  <c r="I46" i="2"/>
  <c r="L46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s="1"/>
  <c r="X15" i="2"/>
  <c r="G7" i="22"/>
  <c r="I31" i="21" l="1"/>
  <c r="L31" i="22"/>
  <c r="H31" i="21"/>
  <c r="K31" i="22"/>
  <c r="J32" i="21"/>
  <c r="E29" i="22"/>
  <c r="E27" i="22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G28" i="22" l="1"/>
  <c r="X36" i="2"/>
  <c r="G27" i="22"/>
  <c r="G29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M32" i="22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I48" i="2"/>
  <c r="L48" i="2" s="1"/>
  <c r="N48" i="2" s="1"/>
  <c r="I31" i="22"/>
  <c r="M31" i="22" s="1"/>
  <c r="I44" i="2"/>
  <c r="L44" i="2" s="1"/>
  <c r="N44" i="2" s="1"/>
  <c r="N47" i="2" s="1"/>
  <c r="E31" i="2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1" i="2" s="1"/>
  <c r="J31" i="21" l="1"/>
  <c r="E28" i="22"/>
  <c r="G2" i="22"/>
  <c r="M2" i="22" s="1"/>
  <c r="V41" i="2"/>
  <c r="G30" i="22" s="1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<sst xmlns="http://schemas.openxmlformats.org/spreadsheetml/2006/main" count="478" uniqueCount="184">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</sst>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0" fillId="0" borderId="60" xfId="0" applyBorder="1"/>
    <xf numFmtId="0" fontId="1" fillId="13" borderId="1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444.36</c:v>
                </c:pt>
                <c:pt idx="1">
                  <c:v>481.39000000000004</c:v>
                </c:pt>
                <c:pt idx="2">
                  <c:v>481.39000000000004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7" workbookViewId="0">
      <selection activeCell="L26" sqref="L26:L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5" width="12.5703125" style="139" customWidth="1"/>
    <col min="6" max="6" width="12.5703125" style="47" customWidth="1"/>
    <col min="7" max="10" width="8.85546875" style="47" customWidth="1"/>
    <col min="11" max="12" width="8.85546875" style="139" customWidth="1"/>
    <col min="13" max="13" width="0" hidden="1" customWidth="1"/>
  </cols>
  <sheetData>
    <row r="1" spans="1:13" s="101" customFormat="1" ht="75.75" thickBot="1">
      <c r="A1" s="137" t="s">
        <v>0</v>
      </c>
      <c r="B1" s="140" t="s">
        <v>1</v>
      </c>
      <c r="C1" s="140" t="s">
        <v>2</v>
      </c>
      <c r="D1" s="141" t="s">
        <v>3</v>
      </c>
      <c r="E1" s="148" t="s">
        <v>4</v>
      </c>
      <c r="F1" s="144" t="s">
        <v>5</v>
      </c>
      <c r="G1" s="144" t="s">
        <v>6</v>
      </c>
      <c r="H1" s="144" t="s">
        <v>7</v>
      </c>
      <c r="I1" s="144" t="s">
        <v>8</v>
      </c>
      <c r="J1" s="144" t="s">
        <v>9</v>
      </c>
      <c r="K1" s="148" t="s">
        <v>10</v>
      </c>
      <c r="L1" s="148" t="s">
        <v>11</v>
      </c>
      <c r="M1" s="134" t="s">
        <v>12</v>
      </c>
    </row>
    <row r="2" spans="1:13">
      <c r="A2" s="138" t="s">
        <v>13</v>
      </c>
      <c r="B2" s="142">
        <v>1</v>
      </c>
      <c r="C2" s="142">
        <v>3</v>
      </c>
      <c r="D2" s="143">
        <v>2021</v>
      </c>
      <c r="E2" s="139">
        <f>submetering!E2+submetering!F2+submetering!G2</f>
        <v>8539</v>
      </c>
      <c r="F2" s="136">
        <v>1.05</v>
      </c>
      <c r="G2" s="136">
        <f>'Consommation mensuel énergie'!V10</f>
        <v>444.36</v>
      </c>
      <c r="H2" s="136">
        <v>8.6999999999999993</v>
      </c>
      <c r="I2" s="136">
        <f>'Consommation mensuel énergie'!F10</f>
        <v>77.69999999999709</v>
      </c>
      <c r="J2" s="136">
        <v>11.4</v>
      </c>
      <c r="K2" s="139">
        <f>'Consommation mensuel énergie'!D10</f>
        <v>55</v>
      </c>
      <c r="L2" s="139">
        <f>'Consommation mensuel énergie'!E10</f>
        <v>69</v>
      </c>
      <c r="M2" s="135" t="e">
        <f>E2*F2+G2*H2+#REF!*#REF!+I2*J2</f>
        <v>#REF!</v>
      </c>
    </row>
    <row r="3" spans="1:13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submetering!E3+submetering!F3+submetering!G3</f>
        <v>7708</v>
      </c>
      <c r="F3" s="136">
        <v>1.05</v>
      </c>
      <c r="G3" s="136">
        <f>'Consommation mensuel énergie'!V11</f>
        <v>481.39000000000004</v>
      </c>
      <c r="H3" s="136">
        <v>8.6999999999999993</v>
      </c>
      <c r="I3" s="136">
        <f>'Consommation mensuel énergie'!F11</f>
        <v>67.5</v>
      </c>
      <c r="J3" s="136">
        <v>11.4</v>
      </c>
      <c r="K3" s="139">
        <f>'Consommation mensuel énergie'!D11</f>
        <v>52</v>
      </c>
      <c r="L3" s="139">
        <f>'Consommation mensuel énergie'!E11</f>
        <v>65</v>
      </c>
      <c r="M3" s="135" t="e">
        <f>E3*F3+G3*H3+#REF!*#REF!+I3*J3</f>
        <v>#REF!</v>
      </c>
    </row>
    <row r="4" spans="1:13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submetering!E4+submetering!F4+submetering!G4</f>
        <v>8536</v>
      </c>
      <c r="F4" s="136">
        <v>1.05</v>
      </c>
      <c r="G4" s="136">
        <f>'Consommation mensuel énergie'!V12</f>
        <v>481.39000000000004</v>
      </c>
      <c r="H4" s="136">
        <v>8.6999999999999993</v>
      </c>
      <c r="I4" s="136">
        <f>'Consommation mensuel énergie'!F12</f>
        <v>80</v>
      </c>
      <c r="J4" s="136">
        <v>11.4</v>
      </c>
      <c r="K4" s="139">
        <f>'Consommation mensuel énergie'!D12</f>
        <v>68</v>
      </c>
      <c r="L4" s="139">
        <f>'Consommation mensuel énergie'!E12</f>
        <v>78</v>
      </c>
      <c r="M4" s="135" t="e">
        <f>E4*F4+G4*H4+#REF!*#REF!+I4*J4</f>
        <v>#REF!</v>
      </c>
    </row>
    <row r="5" spans="1:13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submetering!E5+submetering!F5+submetering!G5</f>
        <v>8720</v>
      </c>
      <c r="F5" s="136">
        <v>1.05</v>
      </c>
      <c r="G5" s="136">
        <f>'Consommation mensuel énergie'!V13</f>
        <v>0</v>
      </c>
      <c r="H5" s="136">
        <v>8.6999999999999993</v>
      </c>
      <c r="I5" s="136">
        <f>'Consommation mensuel énergie'!F13</f>
        <v>62.400000000008731</v>
      </c>
      <c r="J5" s="136">
        <v>11.4</v>
      </c>
      <c r="K5" s="139">
        <f>'Consommation mensuel énergie'!D13</f>
        <v>0</v>
      </c>
      <c r="L5" s="139">
        <f>'Consommation mensuel énergie'!E13</f>
        <v>0</v>
      </c>
      <c r="M5" s="135" t="e">
        <f>E5*F5+G5*H5+#REF!*#REF!+I5*J5</f>
        <v>#REF!</v>
      </c>
    </row>
    <row r="6" spans="1:13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submetering!E6+submetering!F6+submetering!G6</f>
        <v>0</v>
      </c>
      <c r="F6" s="136">
        <v>1.05</v>
      </c>
      <c r="G6" s="136">
        <f>'Consommation mensuel énergie'!V14</f>
        <v>0</v>
      </c>
      <c r="H6" s="136">
        <v>8.6999999999999993</v>
      </c>
      <c r="I6" s="136">
        <f>'Consommation mensuel énergie'!F14</f>
        <v>0</v>
      </c>
      <c r="J6" s="136">
        <v>11.4</v>
      </c>
      <c r="K6" s="139">
        <f>'Consommation mensuel énergie'!D14</f>
        <v>0</v>
      </c>
      <c r="L6" s="139">
        <f>'Consommation mensuel énergie'!E14</f>
        <v>0</v>
      </c>
      <c r="M6" s="135" t="e">
        <f>E6*F6+G6*H6+#REF!*#REF!+I6*J6</f>
        <v>#REF!</v>
      </c>
    </row>
    <row r="7" spans="1:13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submetering!E7+submetering!F7+submetering!G7</f>
        <v>0</v>
      </c>
      <c r="F7" s="136">
        <v>1.05</v>
      </c>
      <c r="G7" s="136">
        <f>'Consommation mensuel énergie'!V15</f>
        <v>0</v>
      </c>
      <c r="H7" s="136">
        <v>8.6999999999999993</v>
      </c>
      <c r="I7" s="136">
        <f>'Consommation mensuel énergie'!F15</f>
        <v>0</v>
      </c>
      <c r="J7" s="136">
        <v>11.4</v>
      </c>
      <c r="K7" s="139">
        <f>'Consommation mensuel énergie'!D15</f>
        <v>0</v>
      </c>
      <c r="L7" s="139">
        <f>'Consommation mensuel énergie'!E15</f>
        <v>0</v>
      </c>
      <c r="M7" s="135" t="e">
        <f>E7*F7+G7*H7+#REF!*#REF!+I7*J7</f>
        <v>#REF!</v>
      </c>
    </row>
    <row r="8" spans="1:13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submetering!E8+submetering!F8+submetering!G8</f>
        <v>0</v>
      </c>
      <c r="F8" s="136">
        <v>1.05</v>
      </c>
      <c r="G8" s="136">
        <f>'Consommation mensuel énergie'!V16</f>
        <v>0</v>
      </c>
      <c r="H8" s="136">
        <v>8.6999999999999993</v>
      </c>
      <c r="I8" s="136">
        <f>'Consommation mensuel énergie'!F16</f>
        <v>0</v>
      </c>
      <c r="J8" s="136">
        <v>11.4</v>
      </c>
      <c r="K8" s="139">
        <f>'Consommation mensuel énergie'!D16</f>
        <v>0</v>
      </c>
      <c r="L8" s="139">
        <f>'Consommation mensuel énergie'!E16</f>
        <v>0</v>
      </c>
      <c r="M8" s="135" t="e">
        <f>E8*F8+G8*H8+#REF!*#REF!+I8*J8</f>
        <v>#REF!</v>
      </c>
    </row>
    <row r="9" spans="1:13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submetering!E9+submetering!F9+submetering!G9</f>
        <v>0</v>
      </c>
      <c r="F9" s="136">
        <v>1.05</v>
      </c>
      <c r="G9" s="136">
        <f>'Consommation mensuel énergie'!V17</f>
        <v>0</v>
      </c>
      <c r="H9" s="136">
        <v>8.6999999999999993</v>
      </c>
      <c r="I9" s="136">
        <f>'Consommation mensuel énergie'!F17</f>
        <v>0</v>
      </c>
      <c r="J9" s="136">
        <v>11.4</v>
      </c>
      <c r="K9" s="139">
        <f>'Consommation mensuel énergie'!D17</f>
        <v>0</v>
      </c>
      <c r="L9" s="139">
        <f>'Consommation mensuel énergie'!E17</f>
        <v>0</v>
      </c>
      <c r="M9" s="135" t="e">
        <f>E9*F9+G9*H9+#REF!*#REF!+I9*J9</f>
        <v>#REF!</v>
      </c>
    </row>
    <row r="10" spans="1:13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submetering!E10+submetering!F10+submetering!G10</f>
        <v>0</v>
      </c>
      <c r="F10" s="136">
        <v>1.05</v>
      </c>
      <c r="G10" s="136">
        <f>'Consommation mensuel énergie'!V19</f>
        <v>0</v>
      </c>
      <c r="H10" s="136">
        <v>8.6999999999999993</v>
      </c>
      <c r="I10" s="136">
        <f>'Consommation mensuel énergie'!F18</f>
        <v>0</v>
      </c>
      <c r="J10" s="136">
        <v>11.4</v>
      </c>
      <c r="K10" s="139">
        <f>'Consommation mensuel énergie'!D18</f>
        <v>0</v>
      </c>
      <c r="L10" s="139">
        <f>'Consommation mensuel énergie'!E18</f>
        <v>0</v>
      </c>
      <c r="M10" s="135" t="e">
        <f>E10*F10+G10*H10+#REF!*#REF!+I10*J10</f>
        <v>#REF!</v>
      </c>
    </row>
    <row r="11" spans="1:13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submetering!E11+submetering!F11+submetering!G11</f>
        <v>0</v>
      </c>
      <c r="F11" s="136">
        <v>1.05</v>
      </c>
      <c r="G11" s="136">
        <f>'Consommation mensuel énergie'!V20</f>
        <v>0</v>
      </c>
      <c r="H11" s="136">
        <v>8.6999999999999993</v>
      </c>
      <c r="I11" s="136">
        <f>'Consommation mensuel énergie'!F19</f>
        <v>0</v>
      </c>
      <c r="J11" s="136">
        <v>11.4</v>
      </c>
      <c r="K11" s="139">
        <f>'Consommation mensuel énergie'!D19</f>
        <v>0</v>
      </c>
      <c r="L11" s="139">
        <f>'Consommation mensuel énergie'!E19</f>
        <v>0</v>
      </c>
      <c r="M11" s="135" t="e">
        <f>E11*F11+G11*H11+#REF!*#REF!+I11*J11</f>
        <v>#REF!</v>
      </c>
    </row>
    <row r="12" spans="1:13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submetering!E12+submetering!F12+submetering!G12</f>
        <v>0</v>
      </c>
      <c r="F12" s="136">
        <v>1.05</v>
      </c>
      <c r="G12" s="136">
        <f>'Consommation mensuel énergie'!V21</f>
        <v>0</v>
      </c>
      <c r="H12" s="136">
        <v>8.6999999999999993</v>
      </c>
      <c r="I12" s="136">
        <f>'Consommation mensuel énergie'!F20</f>
        <v>0</v>
      </c>
      <c r="J12" s="136">
        <v>11.4</v>
      </c>
      <c r="K12" s="139">
        <f>'Consommation mensuel énergie'!D20</f>
        <v>0</v>
      </c>
      <c r="L12" s="139">
        <f>'Consommation mensuel énergie'!E20</f>
        <v>0</v>
      </c>
      <c r="M12" s="135" t="e">
        <f>E12*F12+G12*H12+#REF!*#REF!+I12*J12</f>
        <v>#REF!</v>
      </c>
    </row>
    <row r="13" spans="1:13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submetering!E13+submetering!F13+submetering!G13</f>
        <v>0</v>
      </c>
      <c r="F13" s="136">
        <v>1.05</v>
      </c>
      <c r="G13" s="136">
        <f>'Consommation mensuel énergie'!V22</f>
        <v>0</v>
      </c>
      <c r="H13" s="136">
        <v>8.6999999999999993</v>
      </c>
      <c r="I13" s="136">
        <f>'Consommation mensuel énergie'!F21</f>
        <v>0</v>
      </c>
      <c r="J13" s="136">
        <v>11.4</v>
      </c>
      <c r="K13" s="139">
        <f>'Consommation mensuel énergie'!D21</f>
        <v>0</v>
      </c>
      <c r="L13" s="139">
        <f>'Consommation mensuel énergie'!E21</f>
        <v>0</v>
      </c>
      <c r="M13" s="135" t="e">
        <f>E13*F13+G13*H13+#REF!*#REF!+I13*J13</f>
        <v>#REF!</v>
      </c>
    </row>
    <row r="14" spans="1:13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submetering!E14+submetering!F14+submetering!G14</f>
        <v>0</v>
      </c>
      <c r="F14" s="136">
        <v>1.05</v>
      </c>
      <c r="G14" s="136">
        <f>'Consommation mensuel énergie'!V23</f>
        <v>0</v>
      </c>
      <c r="H14" s="136">
        <v>8.6999999999999993</v>
      </c>
      <c r="I14" s="136">
        <f>'Consommation mensuel énergie'!F22</f>
        <v>0</v>
      </c>
      <c r="J14" s="136">
        <v>11.4</v>
      </c>
      <c r="K14" s="139">
        <f>'Consommation mensuel énergie'!D22</f>
        <v>0</v>
      </c>
      <c r="L14" s="139">
        <f>'Consommation mensuel énergie'!E22</f>
        <v>0</v>
      </c>
      <c r="M14" s="135" t="e">
        <f>E14*F14+G14*H14+#REF!*#REF!+I14*J14</f>
        <v>#REF!</v>
      </c>
    </row>
    <row r="15" spans="1:13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submetering!E15+submetering!F15+submetering!G15</f>
        <v>0</v>
      </c>
      <c r="F15" s="136">
        <v>1.05</v>
      </c>
      <c r="G15" s="136">
        <f>'Consommation mensuel énergie'!V24</f>
        <v>0</v>
      </c>
      <c r="H15" s="136">
        <v>8.6999999999999993</v>
      </c>
      <c r="I15" s="136">
        <f>'Consommation mensuel énergie'!F23</f>
        <v>0</v>
      </c>
      <c r="J15" s="136">
        <v>11.4</v>
      </c>
      <c r="K15" s="139">
        <f>'Consommation mensuel énergie'!D23</f>
        <v>0</v>
      </c>
      <c r="L15" s="139">
        <f>'Consommation mensuel énergie'!E23</f>
        <v>0</v>
      </c>
      <c r="M15" s="135" t="e">
        <f>E15*F15+G15*H15+#REF!*#REF!+I15*J15</f>
        <v>#REF!</v>
      </c>
    </row>
    <row r="16" spans="1:13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submetering!E16+submetering!F16+submetering!G16</f>
        <v>0</v>
      </c>
      <c r="F16" s="136">
        <v>1.05</v>
      </c>
      <c r="G16" s="136">
        <f>'Consommation mensuel énergie'!V25</f>
        <v>0</v>
      </c>
      <c r="H16" s="136">
        <v>8.6999999999999993</v>
      </c>
      <c r="I16" s="136">
        <f>'Consommation mensuel énergie'!F24</f>
        <v>0</v>
      </c>
      <c r="J16" s="136">
        <v>11.4</v>
      </c>
      <c r="K16" s="139">
        <f>'Consommation mensuel énergie'!D24</f>
        <v>0</v>
      </c>
      <c r="L16" s="139">
        <f>'Consommation mensuel énergie'!E24</f>
        <v>0</v>
      </c>
      <c r="M16" s="135" t="e">
        <f>E16*F16+G16*H16+#REF!*#REF!+I16*J16</f>
        <v>#REF!</v>
      </c>
    </row>
    <row r="17" spans="1:13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submetering!E17+submetering!F17+submetering!G17</f>
        <v>0</v>
      </c>
      <c r="F17" s="136">
        <v>1.05</v>
      </c>
      <c r="G17" s="136">
        <f>'Consommation mensuel énergie'!V26</f>
        <v>0</v>
      </c>
      <c r="H17" s="136">
        <v>8.6999999999999993</v>
      </c>
      <c r="I17" s="136">
        <f>'Consommation mensuel énergie'!F25</f>
        <v>0</v>
      </c>
      <c r="J17" s="136">
        <v>11.4</v>
      </c>
      <c r="K17" s="139">
        <f>'Consommation mensuel énergie'!D25</f>
        <v>0</v>
      </c>
      <c r="L17" s="139">
        <f>'Consommation mensuel énergie'!E25</f>
        <v>0</v>
      </c>
      <c r="M17" s="135" t="e">
        <f>E17*F17+G17*H17+#REF!*#REF!+I17*J17</f>
        <v>#REF!</v>
      </c>
    </row>
    <row r="18" spans="1:13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submetering!E18+submetering!F18+submetering!G18</f>
        <v>0</v>
      </c>
      <c r="F18" s="136">
        <v>1.05</v>
      </c>
      <c r="G18" s="136">
        <f>'Consommation mensuel énergie'!V27</f>
        <v>0</v>
      </c>
      <c r="H18" s="136">
        <v>8.6999999999999993</v>
      </c>
      <c r="I18" s="136">
        <f>'Consommation mensuel énergie'!F26</f>
        <v>0</v>
      </c>
      <c r="J18" s="136">
        <v>11.4</v>
      </c>
      <c r="K18" s="139">
        <f>'Consommation mensuel énergie'!D26</f>
        <v>0</v>
      </c>
      <c r="L18" s="139">
        <f>'Consommation mensuel énergie'!E26</f>
        <v>0</v>
      </c>
      <c r="M18" s="135" t="e">
        <f>E18*F18+G18*H18+#REF!*#REF!+I18*J18</f>
        <v>#REF!</v>
      </c>
    </row>
    <row r="19" spans="1:13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submetering!E19+submetering!F19+submetering!G19</f>
        <v>0</v>
      </c>
      <c r="F19" s="136">
        <v>1.05</v>
      </c>
      <c r="G19" s="136">
        <f>'Consommation mensuel énergie'!V28</f>
        <v>0</v>
      </c>
      <c r="H19" s="136">
        <v>8.6999999999999993</v>
      </c>
      <c r="I19" s="136">
        <f>'Consommation mensuel énergie'!F27</f>
        <v>0</v>
      </c>
      <c r="J19" s="136">
        <v>11.4</v>
      </c>
      <c r="K19" s="139">
        <f>'Consommation mensuel énergie'!D27</f>
        <v>0</v>
      </c>
      <c r="L19" s="139">
        <f>'Consommation mensuel énergie'!E27</f>
        <v>0</v>
      </c>
      <c r="M19" s="135" t="e">
        <f>E19*F19+G19*H19+#REF!*#REF!+I19*J19</f>
        <v>#REF!</v>
      </c>
    </row>
    <row r="20" spans="1:13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submetering!E20+submetering!F20+submetering!G20</f>
        <v>0</v>
      </c>
      <c r="F20" s="136">
        <v>1.05</v>
      </c>
      <c r="G20" s="136">
        <f>'Consommation mensuel énergie'!V29</f>
        <v>0</v>
      </c>
      <c r="H20" s="136">
        <v>8.6999999999999993</v>
      </c>
      <c r="I20" s="136">
        <f>'Consommation mensuel énergie'!F28</f>
        <v>0</v>
      </c>
      <c r="J20" s="136">
        <v>11.4</v>
      </c>
      <c r="K20" s="139">
        <f>'Consommation mensuel énergie'!D28</f>
        <v>0</v>
      </c>
      <c r="L20" s="139">
        <f>'Consommation mensuel énergie'!E28</f>
        <v>0</v>
      </c>
      <c r="M20" s="135" t="e">
        <f>E20*F20+G20*H20+#REF!*#REF!+I20*J20</f>
        <v>#REF!</v>
      </c>
    </row>
    <row r="21" spans="1:13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submetering!E21+submetering!F21+submetering!G21</f>
        <v>0</v>
      </c>
      <c r="F21" s="136">
        <v>1.05</v>
      </c>
      <c r="G21" s="136">
        <f>'Consommation mensuel énergie'!V30</f>
        <v>0</v>
      </c>
      <c r="H21" s="136">
        <v>8.6999999999999993</v>
      </c>
      <c r="I21" s="136">
        <f>'Consommation mensuel énergie'!F29</f>
        <v>0</v>
      </c>
      <c r="J21" s="136">
        <v>11.4</v>
      </c>
      <c r="K21" s="139">
        <f>'Consommation mensuel énergie'!D29</f>
        <v>0</v>
      </c>
      <c r="L21" s="139">
        <f>'Consommation mensuel énergie'!E29</f>
        <v>0</v>
      </c>
      <c r="M21" s="135" t="e">
        <f>E21*F21+G21*H21+#REF!*#REF!+I21*J21</f>
        <v>#REF!</v>
      </c>
    </row>
    <row r="22" spans="1:13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submetering!E22+submetering!F22+submetering!G22</f>
        <v>0</v>
      </c>
      <c r="F22" s="136">
        <v>1.05</v>
      </c>
      <c r="G22" s="136">
        <f>'Consommation mensuel énergie'!V31</f>
        <v>0</v>
      </c>
      <c r="H22" s="136">
        <v>8.6999999999999993</v>
      </c>
      <c r="I22" s="136">
        <f>'Consommation mensuel énergie'!F30</f>
        <v>0</v>
      </c>
      <c r="J22" s="136">
        <v>11.4</v>
      </c>
      <c r="K22" s="139">
        <f>'Consommation mensuel énergie'!D30</f>
        <v>0</v>
      </c>
      <c r="L22" s="139">
        <f>'Consommation mensuel énergie'!E30</f>
        <v>0</v>
      </c>
      <c r="M22" s="135" t="e">
        <f>E22*F22+G22*H22+#REF!*#REF!+I22*J22</f>
        <v>#REF!</v>
      </c>
    </row>
    <row r="23" spans="1:13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submetering!E23+submetering!F23+submetering!G23</f>
        <v>0</v>
      </c>
      <c r="F23" s="136">
        <v>1.05</v>
      </c>
      <c r="G23" s="136">
        <f>'Consommation mensuel énergie'!V32</f>
        <v>0</v>
      </c>
      <c r="H23" s="136">
        <v>8.6999999999999993</v>
      </c>
      <c r="I23" s="136">
        <f>'Consommation mensuel énergie'!F31</f>
        <v>0</v>
      </c>
      <c r="J23" s="136">
        <v>11.4</v>
      </c>
      <c r="K23" s="139">
        <f>'Consommation mensuel énergie'!D31</f>
        <v>0</v>
      </c>
      <c r="L23" s="139">
        <f>'Consommation mensuel énergie'!E31</f>
        <v>0</v>
      </c>
      <c r="M23" s="135" t="e">
        <f>E23*F23+G23*H23+#REF!*#REF!+I23*J23</f>
        <v>#REF!</v>
      </c>
    </row>
    <row r="24" spans="1:13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submetering!E24+submetering!F24+submetering!G24</f>
        <v>0</v>
      </c>
      <c r="F24" s="136">
        <v>1.05</v>
      </c>
      <c r="G24" s="136">
        <f>'Consommation mensuel énergie'!V33</f>
        <v>0</v>
      </c>
      <c r="H24" s="136">
        <v>8.6999999999999993</v>
      </c>
      <c r="I24" s="136">
        <f>'Consommation mensuel énergie'!F32</f>
        <v>0</v>
      </c>
      <c r="J24" s="136">
        <v>11.4</v>
      </c>
      <c r="K24" s="139">
        <f>'Consommation mensuel énergie'!D32</f>
        <v>0</v>
      </c>
      <c r="L24" s="139">
        <f>'Consommation mensuel énergie'!E32</f>
        <v>0</v>
      </c>
      <c r="M24" s="135" t="e">
        <f>E24*F24+G24*H24+#REF!*#REF!+I24*J24</f>
        <v>#REF!</v>
      </c>
    </row>
    <row r="25" spans="1:13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submetering!E25+submetering!F25+submetering!G25</f>
        <v>0</v>
      </c>
      <c r="F25" s="136">
        <v>1.05</v>
      </c>
      <c r="G25" s="136">
        <f>'Consommation mensuel énergie'!V34</f>
        <v>0</v>
      </c>
      <c r="H25" s="136">
        <v>8.6999999999999993</v>
      </c>
      <c r="I25" s="136">
        <f>'Consommation mensuel énergie'!F33</f>
        <v>0</v>
      </c>
      <c r="J25" s="136">
        <v>11.4</v>
      </c>
      <c r="K25" s="139">
        <f>'Consommation mensuel énergie'!D33</f>
        <v>0</v>
      </c>
      <c r="L25" s="139">
        <f>'Consommation mensuel énergie'!E33</f>
        <v>0</v>
      </c>
      <c r="M25" s="135" t="e">
        <f>E25*F25+G25*H25+#REF!*#REF!+I25*J25</f>
        <v>#REF!</v>
      </c>
    </row>
    <row r="26" spans="1:13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submetering!E26+submetering!F26+submetering!G26</f>
        <v>0</v>
      </c>
      <c r="F26" s="136">
        <v>1.05</v>
      </c>
      <c r="G26" s="136">
        <f>'Consommation mensuel énergie'!V35</f>
        <v>0</v>
      </c>
      <c r="H26" s="136">
        <v>8.6999999999999993</v>
      </c>
      <c r="I26" s="136">
        <f>'Consommation mensuel énergie'!F34</f>
        <v>0</v>
      </c>
      <c r="J26" s="136">
        <v>11.4</v>
      </c>
      <c r="K26" s="139">
        <f>'Consommation mensuel énergie'!D34</f>
        <v>0</v>
      </c>
      <c r="L26" s="139">
        <f>'Consommation mensuel énergie'!E34</f>
        <v>0</v>
      </c>
      <c r="M26" s="135" t="e">
        <f>E26*F26+G26*H26+#REF!*#REF!+I26*J26</f>
        <v>#REF!</v>
      </c>
    </row>
    <row r="27" spans="1:13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submetering!E30+submetering!F30+submetering!G30</f>
        <v>0</v>
      </c>
      <c r="F27" s="136">
        <v>1.05</v>
      </c>
      <c r="G27" s="136">
        <f>'Consommation mensuel énergie'!V36</f>
        <v>0</v>
      </c>
      <c r="H27" s="136">
        <v>8.6999999999999993</v>
      </c>
      <c r="I27" s="136">
        <f>'Consommation mensuel énergie'!F35</f>
        <v>0</v>
      </c>
      <c r="J27" s="136">
        <v>11.4</v>
      </c>
      <c r="K27" s="139">
        <f>'Consommation mensuel énergie'!D35</f>
        <v>0</v>
      </c>
      <c r="L27" s="139">
        <f>'Consommation mensuel énergie'!E35</f>
        <v>0</v>
      </c>
      <c r="M27" s="135"/>
    </row>
    <row r="28" spans="1:13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submetering!E31+submetering!F31+submetering!G31</f>
        <v>33503</v>
      </c>
      <c r="F28" s="136">
        <v>1.05</v>
      </c>
      <c r="G28" s="136">
        <f>'Consommation mensuel énergie'!V39</f>
        <v>0</v>
      </c>
      <c r="H28" s="136">
        <v>8.6999999999999993</v>
      </c>
      <c r="I28" s="136">
        <f>'Consommation mensuel énergie'!F36</f>
        <v>0</v>
      </c>
      <c r="J28" s="136">
        <v>11.4</v>
      </c>
      <c r="K28" s="139">
        <f>'Consommation mensuel énergie'!D36</f>
        <v>0</v>
      </c>
      <c r="L28" s="139">
        <f>'Consommation mensuel énergie'!E36</f>
        <v>0</v>
      </c>
      <c r="M28" s="135"/>
    </row>
    <row r="29" spans="1:13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submetering!E32+submetering!F32+submetering!G32</f>
        <v>0</v>
      </c>
      <c r="F29" s="136">
        <v>1.05</v>
      </c>
      <c r="G29" s="136">
        <f>'Consommation mensuel énergie'!V40</f>
        <v>0</v>
      </c>
      <c r="H29" s="136">
        <v>8.6999999999999993</v>
      </c>
      <c r="I29" s="136">
        <f>'Consommation mensuel énergie'!F39</f>
        <v>0</v>
      </c>
      <c r="J29" s="136">
        <v>11.4</v>
      </c>
      <c r="K29" s="139">
        <f>'Consommation mensuel énergie'!D39</f>
        <v>0</v>
      </c>
      <c r="L29" s="139">
        <f>'Consommation mensuel énergie'!E39</f>
        <v>0</v>
      </c>
      <c r="M29" s="135"/>
    </row>
    <row r="30" spans="1:13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submetering!E33+submetering!F33+submetering!G33</f>
        <v>0</v>
      </c>
      <c r="F30" s="136">
        <v>1.05</v>
      </c>
      <c r="G30" s="136">
        <f>'Consommation mensuel énergie'!V41</f>
        <v>1407.14</v>
      </c>
      <c r="H30" s="136">
        <v>8.6999999999999993</v>
      </c>
      <c r="I30" s="136">
        <f>'Consommation mensuel énergie'!F40</f>
        <v>0</v>
      </c>
      <c r="J30" s="136">
        <v>11.4</v>
      </c>
      <c r="K30" s="139">
        <f>'Consommation mensuel énergie'!D40</f>
        <v>0</v>
      </c>
      <c r="L30" s="139">
        <f>'Consommation mensuel énergie'!E40</f>
        <v>0</v>
      </c>
      <c r="M30" s="135" t="e">
        <f>E30*F30+G30*H30+#REF!*#REF!+I30*J30</f>
        <v>#REF!</v>
      </c>
    </row>
    <row r="31" spans="1:13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submetering!E34+submetering!F34+submetering!G34</f>
        <v>0</v>
      </c>
      <c r="F31" s="136">
        <v>1.05</v>
      </c>
      <c r="G31" s="136">
        <f>'Consommation mensuel énergie'!V42</f>
        <v>0</v>
      </c>
      <c r="H31" s="136">
        <v>8.6999999999999993</v>
      </c>
      <c r="I31" s="136">
        <f>'Consommation mensuel énergie'!F41</f>
        <v>287.60000000000582</v>
      </c>
      <c r="J31" s="136">
        <v>11.4</v>
      </c>
      <c r="K31" s="139">
        <f>'Consommation mensuel énergie'!D41</f>
        <v>175</v>
      </c>
      <c r="L31" s="139">
        <f>'Consommation mensuel énergie'!E41</f>
        <v>212</v>
      </c>
      <c r="M31" s="135" t="e">
        <f>E31*F31+G31*H31+#REF!*#REF!+I31*J31</f>
        <v>#REF!</v>
      </c>
    </row>
    <row r="32" spans="1:13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submetering!E35+submetering!F35+submetering!G35</f>
        <v>0</v>
      </c>
      <c r="F32" s="136">
        <v>1.05</v>
      </c>
      <c r="G32" s="136">
        <f>'Consommation mensuel énergie'!V43</f>
        <v>0</v>
      </c>
      <c r="H32" s="136">
        <v>8.6999999999999993</v>
      </c>
      <c r="I32" s="136">
        <f>'Consommation mensuel énergie'!F42</f>
        <v>0</v>
      </c>
      <c r="J32" s="136">
        <v>11.4</v>
      </c>
      <c r="K32" s="139">
        <f>'Consommation mensuel énergie'!D42</f>
        <v>0</v>
      </c>
      <c r="L32" s="139">
        <f>'Consommation mensuel énergie'!E42</f>
        <v>0</v>
      </c>
      <c r="M32" s="135" t="e">
        <f>E32*F32+G32*H32+#REF!*#REF!+I32*J32</f>
        <v>#REF!</v>
      </c>
    </row>
    <row r="33" spans="1:13">
      <c r="A33" s="138"/>
      <c r="F33" s="136"/>
      <c r="G33" s="136"/>
      <c r="H33" s="136"/>
      <c r="I33" s="136"/>
      <c r="J33" s="136"/>
      <c r="M33" s="135"/>
    </row>
    <row r="34" spans="1:13">
      <c r="A34" s="138"/>
      <c r="F34" s="136"/>
      <c r="G34" s="136"/>
      <c r="H34" s="136"/>
      <c r="I34" s="136"/>
      <c r="J34" s="136"/>
      <c r="M34" s="135"/>
    </row>
    <row r="35" spans="1:13">
      <c r="A35" s="138"/>
      <c r="F35" s="136"/>
      <c r="G35" s="136"/>
      <c r="H35" s="136"/>
      <c r="I35" s="136"/>
      <c r="J35" s="136"/>
      <c r="M35" s="135"/>
    </row>
    <row r="36" spans="1:13">
      <c r="A36" s="174"/>
      <c r="F36" s="136"/>
      <c r="G36" s="136"/>
      <c r="H36" s="136"/>
      <c r="I36" s="136"/>
      <c r="J36" s="136"/>
    </row>
    <row r="37" spans="1:13">
      <c r="A37" s="174"/>
      <c r="F37" s="136"/>
      <c r="G37" s="136"/>
      <c r="H37" s="136"/>
      <c r="I37" s="136"/>
      <c r="J37" s="136"/>
    </row>
    <row r="38" spans="1:13">
      <c r="A38" s="174"/>
      <c r="F38" s="136"/>
      <c r="G38" s="136"/>
      <c r="H38" s="136"/>
      <c r="I38" s="136"/>
      <c r="J38" s="136"/>
    </row>
    <row r="39" spans="1:13">
      <c r="A39" s="174"/>
      <c r="F39" s="136"/>
      <c r="G39" s="136"/>
      <c r="H39" s="136"/>
      <c r="I39" s="136"/>
      <c r="J39" s="136"/>
    </row>
    <row r="40" spans="1:13">
      <c r="A40" s="174"/>
      <c r="F40" s="136"/>
      <c r="G40" s="136"/>
      <c r="H40" s="136"/>
      <c r="I40" s="136"/>
      <c r="J40" s="136"/>
    </row>
    <row r="41" spans="1:13">
      <c r="A41" s="174"/>
      <c r="F41" s="136"/>
      <c r="G41" s="136"/>
      <c r="H41" s="136"/>
      <c r="I41" s="136"/>
      <c r="J41" s="136"/>
    </row>
    <row r="42" spans="1:13">
      <c r="A42" s="174"/>
      <c r="F42" s="136"/>
      <c r="G42" s="136"/>
      <c r="H42" s="136"/>
      <c r="I42" s="136"/>
      <c r="J42" s="1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6" sqref="I26:I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1" customFormat="1" ht="45.75" thickBot="1">
      <c r="A1" s="137" t="s">
        <v>0</v>
      </c>
      <c r="B1" s="140" t="s">
        <v>1</v>
      </c>
      <c r="C1" s="140" t="s">
        <v>2</v>
      </c>
      <c r="D1" s="141" t="s">
        <v>3</v>
      </c>
      <c r="E1" s="144" t="s">
        <v>14</v>
      </c>
      <c r="F1" s="144" t="s">
        <v>15</v>
      </c>
      <c r="G1" s="144" t="s">
        <v>16</v>
      </c>
      <c r="H1" s="133" t="s">
        <v>10</v>
      </c>
      <c r="I1" s="133" t="s">
        <v>11</v>
      </c>
      <c r="J1" s="134" t="s">
        <v>12</v>
      </c>
    </row>
    <row r="2" spans="1:10">
      <c r="A2" s="138" t="s">
        <v>13</v>
      </c>
      <c r="B2" s="142">
        <v>1</v>
      </c>
      <c r="C2" s="142">
        <v>3</v>
      </c>
      <c r="D2" s="143">
        <v>2021</v>
      </c>
      <c r="E2" s="139">
        <f>'Consommation mensuel énergie'!L10</f>
        <v>2502</v>
      </c>
      <c r="F2" s="139">
        <f>'Consommation mensuel énergie'!M10</f>
        <v>4053</v>
      </c>
      <c r="G2" s="139">
        <f>'Consommation mensuel énergie'!N10</f>
        <v>1984</v>
      </c>
      <c r="H2" s="139">
        <f>'Consommation mensuel énergie'!D10</f>
        <v>55</v>
      </c>
      <c r="I2" s="139">
        <f>'Consommation mensuel énergie'!E10</f>
        <v>69</v>
      </c>
      <c r="J2" s="135" t="e">
        <f>E2*F2+G2*#REF!+#REF!*#REF!+#REF!*#REF!</f>
        <v>#REF!</v>
      </c>
    </row>
    <row r="3" spans="1:10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'Consommation mensuel énergie'!L11</f>
        <v>2381</v>
      </c>
      <c r="F3" s="139">
        <f>'Consommation mensuel énergie'!M11</f>
        <v>3616</v>
      </c>
      <c r="G3" s="139">
        <f>'Consommation mensuel énergie'!N11</f>
        <v>1711</v>
      </c>
      <c r="H3" s="139">
        <f>'Consommation mensuel énergie'!D11</f>
        <v>52</v>
      </c>
      <c r="I3" s="139">
        <f>'Consommation mensuel énergie'!E11</f>
        <v>65</v>
      </c>
      <c r="J3" s="135" t="e">
        <f>E3*F3+G3*#REF!+#REF!*#REF!+#REF!*#REF!</f>
        <v>#REF!</v>
      </c>
    </row>
    <row r="4" spans="1:10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'Consommation mensuel énergie'!L12</f>
        <v>2661</v>
      </c>
      <c r="F4" s="139">
        <f>'Consommation mensuel énergie'!M12</f>
        <v>3987</v>
      </c>
      <c r="G4" s="139">
        <f>'Consommation mensuel énergie'!N12</f>
        <v>1888</v>
      </c>
      <c r="H4" s="139">
        <f>'Consommation mensuel énergie'!D12</f>
        <v>68</v>
      </c>
      <c r="I4" s="139">
        <f>'Consommation mensuel énergie'!E12</f>
        <v>78</v>
      </c>
      <c r="J4" s="135" t="e">
        <f>E4*F4+G4*#REF!+#REF!*#REF!+#REF!*#REF!</f>
        <v>#REF!</v>
      </c>
    </row>
    <row r="5" spans="1:10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'Consommation mensuel énergie'!L13</f>
        <v>2735</v>
      </c>
      <c r="F5" s="139">
        <f>'Consommation mensuel énergie'!M13</f>
        <v>3979</v>
      </c>
      <c r="G5" s="139">
        <f>'Consommation mensuel énergie'!N13</f>
        <v>2006</v>
      </c>
      <c r="H5" s="139">
        <f>'Consommation mensuel énergie'!D13</f>
        <v>0</v>
      </c>
      <c r="I5" s="139">
        <f>'Consommation mensuel énergie'!E13</f>
        <v>0</v>
      </c>
      <c r="J5" s="135" t="e">
        <f>E5*F5+G5*#REF!+#REF!*#REF!+#REF!*#REF!</f>
        <v>#REF!</v>
      </c>
    </row>
    <row r="6" spans="1:10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'Consommation mensuel énergie'!L14</f>
        <v>0</v>
      </c>
      <c r="F6" s="139">
        <f>'Consommation mensuel énergie'!M14</f>
        <v>0</v>
      </c>
      <c r="G6" s="139">
        <f>'Consommation mensuel énergie'!N14</f>
        <v>0</v>
      </c>
      <c r="H6" s="139">
        <f>'Consommation mensuel énergie'!D14</f>
        <v>0</v>
      </c>
      <c r="I6" s="139">
        <f>'Consommation mensuel énergie'!E14</f>
        <v>0</v>
      </c>
      <c r="J6" s="135" t="e">
        <f>E6*F6+G6*#REF!+#REF!*#REF!+#REF!*#REF!</f>
        <v>#REF!</v>
      </c>
    </row>
    <row r="7" spans="1:10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'Consommation mensuel énergie'!L15</f>
        <v>0</v>
      </c>
      <c r="F7" s="139">
        <f>'Consommation mensuel énergie'!M15</f>
        <v>0</v>
      </c>
      <c r="G7" s="139">
        <f>'Consommation mensuel énergie'!N15</f>
        <v>0</v>
      </c>
      <c r="H7" s="139">
        <f>'Consommation mensuel énergie'!D15</f>
        <v>0</v>
      </c>
      <c r="I7" s="139">
        <f>'Consommation mensuel énergie'!E15</f>
        <v>0</v>
      </c>
      <c r="J7" s="135" t="e">
        <f>E7*F7+G7*#REF!+#REF!*#REF!+#REF!*#REF!</f>
        <v>#REF!</v>
      </c>
    </row>
    <row r="8" spans="1:10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'Consommation mensuel énergie'!L16</f>
        <v>0</v>
      </c>
      <c r="F8" s="139">
        <f>'Consommation mensuel énergie'!M16</f>
        <v>0</v>
      </c>
      <c r="G8" s="139">
        <f>'Consommation mensuel énergie'!N16</f>
        <v>0</v>
      </c>
      <c r="H8" s="139">
        <f>'Consommation mensuel énergie'!D16</f>
        <v>0</v>
      </c>
      <c r="I8" s="139">
        <f>'Consommation mensuel énergie'!E16</f>
        <v>0</v>
      </c>
      <c r="J8" s="135" t="e">
        <f>E8*F8+G8*#REF!+#REF!*#REF!+#REF!*#REF!</f>
        <v>#REF!</v>
      </c>
    </row>
    <row r="9" spans="1:10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'Consommation mensuel énergie'!L17</f>
        <v>0</v>
      </c>
      <c r="F9" s="139">
        <f>'Consommation mensuel énergie'!M17</f>
        <v>0</v>
      </c>
      <c r="G9" s="139">
        <f>'Consommation mensuel énergie'!N17</f>
        <v>0</v>
      </c>
      <c r="H9" s="139">
        <f>'Consommation mensuel énergie'!D17</f>
        <v>0</v>
      </c>
      <c r="I9" s="139">
        <f>'Consommation mensuel énergie'!E17</f>
        <v>0</v>
      </c>
      <c r="J9" s="135" t="e">
        <f>E9*F9+G9*#REF!+#REF!*#REF!+#REF!*#REF!</f>
        <v>#REF!</v>
      </c>
    </row>
    <row r="10" spans="1:10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'Consommation mensuel énergie'!L18</f>
        <v>0</v>
      </c>
      <c r="F10" s="139">
        <f>'Consommation mensuel énergie'!M18</f>
        <v>0</v>
      </c>
      <c r="G10" s="139">
        <f>'Consommation mensuel énergie'!N18</f>
        <v>0</v>
      </c>
      <c r="H10" s="139">
        <f>'Consommation mensuel énergie'!D18</f>
        <v>0</v>
      </c>
      <c r="I10" s="139">
        <f>'Consommation mensuel énergie'!E18</f>
        <v>0</v>
      </c>
      <c r="J10" s="135" t="e">
        <f>E10*F10+G10*#REF!+#REF!*#REF!+#REF!*#REF!</f>
        <v>#REF!</v>
      </c>
    </row>
    <row r="11" spans="1:10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'Consommation mensuel énergie'!L19</f>
        <v>0</v>
      </c>
      <c r="F11" s="139">
        <f>'Consommation mensuel énergie'!M19</f>
        <v>0</v>
      </c>
      <c r="G11" s="139">
        <f>'Consommation mensuel énergie'!N19</f>
        <v>0</v>
      </c>
      <c r="H11" s="139">
        <f>'Consommation mensuel énergie'!D19</f>
        <v>0</v>
      </c>
      <c r="I11" s="139">
        <f>'Consommation mensuel énergie'!E19</f>
        <v>0</v>
      </c>
      <c r="J11" s="135" t="e">
        <f>E11*F11+G11*#REF!+#REF!*#REF!+#REF!*#REF!</f>
        <v>#REF!</v>
      </c>
    </row>
    <row r="12" spans="1:10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'Consommation mensuel énergie'!L20</f>
        <v>0</v>
      </c>
      <c r="F12" s="139">
        <f>'Consommation mensuel énergie'!M20</f>
        <v>0</v>
      </c>
      <c r="G12" s="139">
        <f>'Consommation mensuel énergie'!N20</f>
        <v>0</v>
      </c>
      <c r="H12" s="139">
        <f>'Consommation mensuel énergie'!D20</f>
        <v>0</v>
      </c>
      <c r="I12" s="139">
        <f>'Consommation mensuel énergie'!E20</f>
        <v>0</v>
      </c>
      <c r="J12" s="135" t="e">
        <f>E12*F12+G12*#REF!+#REF!*#REF!+#REF!*#REF!</f>
        <v>#REF!</v>
      </c>
    </row>
    <row r="13" spans="1:10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'Consommation mensuel énergie'!L21</f>
        <v>0</v>
      </c>
      <c r="F13" s="139">
        <f>'Consommation mensuel énergie'!M21</f>
        <v>0</v>
      </c>
      <c r="G13" s="139">
        <f>'Consommation mensuel énergie'!N21</f>
        <v>0</v>
      </c>
      <c r="H13" s="139">
        <f>'Consommation mensuel énergie'!D21</f>
        <v>0</v>
      </c>
      <c r="I13" s="139">
        <f>'Consommation mensuel énergie'!E21</f>
        <v>0</v>
      </c>
      <c r="J13" s="135" t="e">
        <f>E13*F13+G13*#REF!+#REF!*#REF!+#REF!*#REF!</f>
        <v>#REF!</v>
      </c>
    </row>
    <row r="14" spans="1:10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'Consommation mensuel énergie'!L22</f>
        <v>0</v>
      </c>
      <c r="F14" s="139">
        <f>'Consommation mensuel énergie'!M22</f>
        <v>0</v>
      </c>
      <c r="G14" s="139">
        <f>'Consommation mensuel énergie'!N22</f>
        <v>0</v>
      </c>
      <c r="H14" s="139">
        <f>'Consommation mensuel énergie'!D22</f>
        <v>0</v>
      </c>
      <c r="I14" s="139">
        <f>'Consommation mensuel énergie'!E22</f>
        <v>0</v>
      </c>
      <c r="J14" s="135" t="e">
        <f>E14*F14+G14*#REF!+#REF!*#REF!+#REF!*#REF!</f>
        <v>#REF!</v>
      </c>
    </row>
    <row r="15" spans="1:10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'Consommation mensuel énergie'!L23</f>
        <v>0</v>
      </c>
      <c r="F15" s="139">
        <f>'Consommation mensuel énergie'!M23</f>
        <v>0</v>
      </c>
      <c r="G15" s="139">
        <f>'Consommation mensuel énergie'!N23</f>
        <v>0</v>
      </c>
      <c r="H15" s="139">
        <f>'Consommation mensuel énergie'!D23</f>
        <v>0</v>
      </c>
      <c r="I15" s="139">
        <f>'Consommation mensuel énergie'!E23</f>
        <v>0</v>
      </c>
      <c r="J15" s="135" t="e">
        <f>E15*F15+G15*#REF!+#REF!*#REF!+#REF!*#REF!</f>
        <v>#REF!</v>
      </c>
    </row>
    <row r="16" spans="1:10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'Consommation mensuel énergie'!L24</f>
        <v>0</v>
      </c>
      <c r="F16" s="139">
        <f>'Consommation mensuel énergie'!M24</f>
        <v>0</v>
      </c>
      <c r="G16" s="139">
        <f>'Consommation mensuel énergie'!N24</f>
        <v>0</v>
      </c>
      <c r="H16" s="139">
        <f>'Consommation mensuel énergie'!D24</f>
        <v>0</v>
      </c>
      <c r="I16" s="139">
        <f>'Consommation mensuel énergie'!E24</f>
        <v>0</v>
      </c>
      <c r="J16" s="135" t="e">
        <f>E16*F16+G16*#REF!+#REF!*#REF!+#REF!*#REF!</f>
        <v>#REF!</v>
      </c>
    </row>
    <row r="17" spans="1:10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'Consommation mensuel énergie'!L25</f>
        <v>0</v>
      </c>
      <c r="F17" s="139">
        <f>'Consommation mensuel énergie'!M25</f>
        <v>0</v>
      </c>
      <c r="G17" s="139">
        <f>'Consommation mensuel énergie'!N25</f>
        <v>0</v>
      </c>
      <c r="H17" s="139">
        <f>'Consommation mensuel énergie'!D25</f>
        <v>0</v>
      </c>
      <c r="I17" s="139">
        <f>'Consommation mensuel énergie'!E25</f>
        <v>0</v>
      </c>
      <c r="J17" s="135" t="e">
        <f>E17*F17+G17*#REF!+#REF!*#REF!+#REF!*#REF!</f>
        <v>#REF!</v>
      </c>
    </row>
    <row r="18" spans="1:10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'Consommation mensuel énergie'!L26</f>
        <v>0</v>
      </c>
      <c r="F18" s="139">
        <f>'Consommation mensuel énergie'!M26</f>
        <v>0</v>
      </c>
      <c r="G18" s="139">
        <f>'Consommation mensuel énergie'!N26</f>
        <v>0</v>
      </c>
      <c r="H18" s="139">
        <f>'Consommation mensuel énergie'!D26</f>
        <v>0</v>
      </c>
      <c r="I18" s="139">
        <f>'Consommation mensuel énergie'!E26</f>
        <v>0</v>
      </c>
      <c r="J18" s="135" t="e">
        <f>E18*F18+G18*#REF!+#REF!*#REF!+#REF!*#REF!</f>
        <v>#REF!</v>
      </c>
    </row>
    <row r="19" spans="1:10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'Consommation mensuel énergie'!L27</f>
        <v>0</v>
      </c>
      <c r="F19" s="139">
        <f>'Consommation mensuel énergie'!M27</f>
        <v>0</v>
      </c>
      <c r="G19" s="139">
        <f>'Consommation mensuel énergie'!N27</f>
        <v>0</v>
      </c>
      <c r="H19" s="139">
        <f>'Consommation mensuel énergie'!D27</f>
        <v>0</v>
      </c>
      <c r="I19" s="139">
        <f>'Consommation mensuel énergie'!E27</f>
        <v>0</v>
      </c>
      <c r="J19" s="135" t="e">
        <f>E19*F19+G19*#REF!+#REF!*#REF!+#REF!*#REF!</f>
        <v>#REF!</v>
      </c>
    </row>
    <row r="20" spans="1:10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'Consommation mensuel énergie'!L28</f>
        <v>0</v>
      </c>
      <c r="F20" s="139">
        <f>'Consommation mensuel énergie'!M28</f>
        <v>0</v>
      </c>
      <c r="G20" s="139">
        <f>'Consommation mensuel énergie'!N28</f>
        <v>0</v>
      </c>
      <c r="H20" s="139">
        <f>'Consommation mensuel énergie'!D28</f>
        <v>0</v>
      </c>
      <c r="I20" s="139">
        <f>'Consommation mensuel énergie'!E28</f>
        <v>0</v>
      </c>
      <c r="J20" s="135" t="e">
        <f>E20*F20+G20*#REF!+#REF!*#REF!+#REF!*#REF!</f>
        <v>#REF!</v>
      </c>
    </row>
    <row r="21" spans="1:10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'Consommation mensuel énergie'!L29</f>
        <v>0</v>
      </c>
      <c r="F21" s="139">
        <f>'Consommation mensuel énergie'!M29</f>
        <v>0</v>
      </c>
      <c r="G21" s="139">
        <f>'Consommation mensuel énergie'!N29</f>
        <v>0</v>
      </c>
      <c r="H21" s="139">
        <f>'Consommation mensuel énergie'!D29</f>
        <v>0</v>
      </c>
      <c r="I21" s="139">
        <f>'Consommation mensuel énergie'!E29</f>
        <v>0</v>
      </c>
      <c r="J21" s="135" t="e">
        <f>E21*F21+G21*#REF!+#REF!*#REF!+#REF!*#REF!</f>
        <v>#REF!</v>
      </c>
    </row>
    <row r="22" spans="1:10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'Consommation mensuel énergie'!L30</f>
        <v>0</v>
      </c>
      <c r="F22" s="139">
        <f>'Consommation mensuel énergie'!M30</f>
        <v>0</v>
      </c>
      <c r="G22" s="139">
        <f>'Consommation mensuel énergie'!N30</f>
        <v>0</v>
      </c>
      <c r="H22" s="139">
        <f>'Consommation mensuel énergie'!D30</f>
        <v>0</v>
      </c>
      <c r="I22" s="139">
        <f>'Consommation mensuel énergie'!E30</f>
        <v>0</v>
      </c>
      <c r="J22" s="135" t="e">
        <f>E22*F22+G22*#REF!+#REF!*#REF!+#REF!*#REF!</f>
        <v>#REF!</v>
      </c>
    </row>
    <row r="23" spans="1:10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'Consommation mensuel énergie'!L31</f>
        <v>0</v>
      </c>
      <c r="F23" s="139">
        <f>'Consommation mensuel énergie'!M31</f>
        <v>0</v>
      </c>
      <c r="G23" s="139">
        <f>'Consommation mensuel énergie'!N31</f>
        <v>0</v>
      </c>
      <c r="H23" s="139">
        <f>'Consommation mensuel énergie'!D31</f>
        <v>0</v>
      </c>
      <c r="I23" s="139">
        <f>'Consommation mensuel énergie'!E31</f>
        <v>0</v>
      </c>
      <c r="J23" s="135" t="e">
        <f>E23*F23+G23*#REF!+#REF!*#REF!+#REF!*#REF!</f>
        <v>#REF!</v>
      </c>
    </row>
    <row r="24" spans="1:10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'Consommation mensuel énergie'!L32</f>
        <v>0</v>
      </c>
      <c r="F24" s="139">
        <f>'Consommation mensuel énergie'!M32</f>
        <v>0</v>
      </c>
      <c r="G24" s="139">
        <f>'Consommation mensuel énergie'!N32</f>
        <v>0</v>
      </c>
      <c r="H24" s="139">
        <f>'Consommation mensuel énergie'!D32</f>
        <v>0</v>
      </c>
      <c r="I24" s="139">
        <f>'Consommation mensuel énergie'!E32</f>
        <v>0</v>
      </c>
      <c r="J24" s="135" t="e">
        <f>E24*F24+G24*#REF!+#REF!*#REF!+#REF!*#REF!</f>
        <v>#REF!</v>
      </c>
    </row>
    <row r="25" spans="1:10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'Consommation mensuel énergie'!L33</f>
        <v>0</v>
      </c>
      <c r="F25" s="139">
        <f>'Consommation mensuel énergie'!M33</f>
        <v>0</v>
      </c>
      <c r="G25" s="139">
        <f>'Consommation mensuel énergie'!N33</f>
        <v>0</v>
      </c>
      <c r="H25" s="139">
        <f>'Consommation mensuel énergie'!D33</f>
        <v>0</v>
      </c>
      <c r="I25" s="139">
        <f>'Consommation mensuel énergie'!E33</f>
        <v>0</v>
      </c>
      <c r="J25" s="135" t="e">
        <f>E25*F25+G25*#REF!+#REF!*#REF!+#REF!*#REF!</f>
        <v>#REF!</v>
      </c>
    </row>
    <row r="26" spans="1:10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'Consommation mensuel énergie'!L34</f>
        <v>0</v>
      </c>
      <c r="F26" s="139">
        <f>'Consommation mensuel énergie'!M34</f>
        <v>0</v>
      </c>
      <c r="G26" s="139">
        <f>'Consommation mensuel énergie'!N34</f>
        <v>0</v>
      </c>
      <c r="H26" s="139">
        <f>'Consommation mensuel énergie'!D34</f>
        <v>0</v>
      </c>
      <c r="I26" s="139">
        <f>'Consommation mensuel énergie'!E34</f>
        <v>0</v>
      </c>
      <c r="J26" s="135" t="e">
        <f>E26*F26+G26*#REF!+#REF!*#REF!+#REF!*#REF!</f>
        <v>#REF!</v>
      </c>
    </row>
    <row r="27" spans="1:10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'Consommation mensuel énergie'!L35</f>
        <v>0</v>
      </c>
      <c r="F27" s="139">
        <f>'Consommation mensuel énergie'!M35</f>
        <v>0</v>
      </c>
      <c r="G27" s="139">
        <f>'Consommation mensuel énergie'!N35</f>
        <v>0</v>
      </c>
      <c r="H27" s="139">
        <f>'Consommation mensuel énergie'!D35</f>
        <v>0</v>
      </c>
      <c r="I27" s="139">
        <f>'Consommation mensuel énergie'!E35</f>
        <v>0</v>
      </c>
      <c r="J27" s="135"/>
    </row>
    <row r="28" spans="1:10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'Consommation mensuel énergie'!L36</f>
        <v>0</v>
      </c>
      <c r="F28" s="139">
        <f>'Consommation mensuel énergie'!M36</f>
        <v>0</v>
      </c>
      <c r="G28" s="139">
        <f>'Consommation mensuel énergie'!N36</f>
        <v>0</v>
      </c>
      <c r="H28" s="139">
        <f>'Consommation mensuel énergie'!D36</f>
        <v>0</v>
      </c>
      <c r="I28" s="139">
        <f>'Consommation mensuel énergie'!E36</f>
        <v>0</v>
      </c>
      <c r="J28" s="135"/>
    </row>
    <row r="29" spans="1:10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'Consommation mensuel énergie'!L39</f>
        <v>0</v>
      </c>
      <c r="F29" s="139">
        <f>'Consommation mensuel énergie'!M39</f>
        <v>0</v>
      </c>
      <c r="G29" s="139">
        <f>'Consommation mensuel énergie'!N39</f>
        <v>0</v>
      </c>
      <c r="H29" s="139">
        <f>'Consommation mensuel énergie'!D39</f>
        <v>0</v>
      </c>
      <c r="I29" s="139">
        <f>'Consommation mensuel énergie'!E39</f>
        <v>0</v>
      </c>
      <c r="J29" s="135"/>
    </row>
    <row r="30" spans="1:10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'Consommation mensuel énergie'!L40</f>
        <v>0</v>
      </c>
      <c r="F30" s="139">
        <f>'Consommation mensuel énergie'!M40</f>
        <v>0</v>
      </c>
      <c r="G30" s="139">
        <f>'Consommation mensuel énergie'!N40</f>
        <v>0</v>
      </c>
      <c r="H30" s="139">
        <f>'Consommation mensuel énergie'!D40</f>
        <v>0</v>
      </c>
      <c r="I30" s="139">
        <f>'Consommation mensuel énergie'!E40</f>
        <v>0</v>
      </c>
      <c r="J30" s="135" t="e">
        <f>E30*F30+G30*#REF!+#REF!*#REF!+#REF!*#REF!</f>
        <v>#REF!</v>
      </c>
    </row>
    <row r="31" spans="1:10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'Consommation mensuel énergie'!L41</f>
        <v>10279</v>
      </c>
      <c r="F31" s="139">
        <f>'Consommation mensuel énergie'!M41</f>
        <v>15635</v>
      </c>
      <c r="G31" s="139">
        <f>'Consommation mensuel énergie'!N41</f>
        <v>7589</v>
      </c>
      <c r="H31" s="139">
        <f>'Consommation mensuel énergie'!D41</f>
        <v>175</v>
      </c>
      <c r="I31" s="139">
        <f>'Consommation mensuel énergie'!E41</f>
        <v>212</v>
      </c>
      <c r="J31" s="135" t="e">
        <f>E31*F31+G31*#REF!+#REF!*#REF!+#REF!*#REF!</f>
        <v>#REF!</v>
      </c>
    </row>
    <row r="32" spans="1:10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'Consommation mensuel énergie'!L42</f>
        <v>0</v>
      </c>
      <c r="F32" s="139">
        <f>'Consommation mensuel énergie'!M42</f>
        <v>0</v>
      </c>
      <c r="G32" s="139">
        <f>'Consommation mensuel énergie'!N42</f>
        <v>0</v>
      </c>
      <c r="H32" s="139">
        <f>'Consommation mensuel énergie'!D42</f>
        <v>0</v>
      </c>
      <c r="I32" s="139">
        <f>'Consommation mensuel énergie'!E42</f>
        <v>0</v>
      </c>
      <c r="J32" s="135" t="e">
        <f>E32*F32+G32*#REF!+#REF!*#REF!+#REF!*#REF!</f>
        <v>#REF!</v>
      </c>
    </row>
    <row r="33" spans="1:9">
      <c r="A33" s="174"/>
      <c r="E33" s="136"/>
      <c r="F33" s="136"/>
      <c r="G33" s="136"/>
      <c r="H33" s="135"/>
      <c r="I33" s="135"/>
    </row>
    <row r="34" spans="1:9">
      <c r="A34" s="174"/>
      <c r="E34" s="136"/>
      <c r="F34" s="136"/>
      <c r="G34" s="136"/>
      <c r="H34" s="135"/>
      <c r="I34" s="135"/>
    </row>
    <row r="35" spans="1:9">
      <c r="A35" s="174"/>
      <c r="E35" s="136"/>
      <c r="F35" s="136"/>
      <c r="G35" s="136"/>
      <c r="H35" s="135"/>
      <c r="I35" s="135"/>
    </row>
    <row r="36" spans="1:9">
      <c r="A36" s="174"/>
      <c r="E36" s="136"/>
      <c r="F36" s="136"/>
      <c r="G36" s="136"/>
      <c r="H36" s="135"/>
      <c r="I36" s="135"/>
    </row>
    <row r="37" spans="1:9">
      <c r="A37" s="174"/>
      <c r="E37" s="136"/>
      <c r="F37" s="136"/>
      <c r="G37" s="136"/>
      <c r="H37" s="135"/>
      <c r="I37" s="135"/>
    </row>
    <row r="38" spans="1:9">
      <c r="A38" s="174"/>
      <c r="E38" s="136"/>
      <c r="F38" s="136"/>
      <c r="G38" s="136"/>
      <c r="H38" s="135"/>
      <c r="I38" s="135"/>
    </row>
    <row r="39" spans="1:9">
      <c r="A39" s="174"/>
      <c r="E39" s="136"/>
      <c r="F39" s="136"/>
      <c r="G39" s="136"/>
      <c r="H39" s="135"/>
      <c r="I39" s="135"/>
    </row>
    <row r="40" spans="1:9">
      <c r="A40" s="174"/>
      <c r="E40" s="174"/>
      <c r="F40" s="174"/>
      <c r="G40" s="174"/>
    </row>
    <row r="41" spans="1:9">
      <c r="A41" s="174"/>
      <c r="E41" s="174"/>
      <c r="F41" s="174"/>
      <c r="G41" s="174"/>
    </row>
    <row r="42" spans="1:9">
      <c r="A42" s="174"/>
      <c r="E42" s="174"/>
      <c r="F42" s="174"/>
      <c r="G42" s="17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I10" activePane="bottomRight" state="frozen"/>
      <selection pane="bottomRight" activeCell="V10" sqref="V10:V1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</row>
    <row r="2" spans="1:24" ht="100.5" customHeight="1" thickBot="1">
      <c r="A2" s="192"/>
      <c r="B2" s="193"/>
      <c r="C2" s="193"/>
      <c r="D2" s="193"/>
      <c r="E2" s="193"/>
      <c r="F2" s="193"/>
      <c r="G2" s="193"/>
      <c r="H2" s="194"/>
      <c r="I2" s="203" t="s">
        <v>17</v>
      </c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</row>
    <row r="3" spans="1:24" ht="15" hidden="1" customHeight="1" thickBot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</row>
    <row r="4" spans="1:24" ht="39" hidden="1" customHeight="1" thickBot="1">
      <c r="A4" s="195"/>
      <c r="B4" s="195"/>
      <c r="C4" s="195"/>
      <c r="D4" s="172"/>
      <c r="E4" s="172"/>
      <c r="F4" s="172"/>
      <c r="G4" s="172"/>
      <c r="H4" s="172"/>
      <c r="I4" s="172"/>
      <c r="J4" s="172"/>
      <c r="K4" s="172"/>
      <c r="L4" s="172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5"/>
      <c r="B5" s="195"/>
      <c r="C5" s="195"/>
      <c r="D5" s="172"/>
      <c r="E5" s="172"/>
      <c r="F5" s="172"/>
      <c r="G5" s="172"/>
      <c r="H5" s="172"/>
      <c r="I5" s="172"/>
      <c r="J5" s="172"/>
      <c r="K5" s="172"/>
      <c r="L5" s="172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</row>
    <row r="6" spans="1:24" s="5" customFormat="1" ht="44.25" hidden="1" customHeight="1" thickBot="1">
      <c r="A6" s="3"/>
      <c r="B6" s="3"/>
      <c r="C6" s="3"/>
      <c r="D6" s="172"/>
      <c r="E6" s="172"/>
      <c r="F6" s="172"/>
      <c r="G6" s="172"/>
      <c r="H6" s="172"/>
      <c r="I6" s="172"/>
      <c r="J6" s="172"/>
      <c r="K6" s="172"/>
      <c r="L6" s="172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</row>
    <row r="7" spans="1:24" s="5" customFormat="1" ht="18.75" hidden="1" customHeight="1" thickBot="1">
      <c r="A7" s="172"/>
      <c r="B7" s="172"/>
      <c r="C7" s="172"/>
      <c r="D7" s="172"/>
      <c r="E7" s="172"/>
      <c r="F7" s="196"/>
      <c r="G7" s="196"/>
      <c r="H7" s="196"/>
      <c r="I7" s="196"/>
      <c r="J7" s="196"/>
      <c r="K7" s="196"/>
      <c r="L7" s="196"/>
      <c r="M7" s="196"/>
      <c r="N7" s="205"/>
      <c r="O7" s="205"/>
      <c r="P7" s="196"/>
      <c r="Q7" s="196"/>
      <c r="R7" s="196"/>
      <c r="S7" s="196"/>
      <c r="T7" s="196"/>
      <c r="U7" s="196"/>
      <c r="V7" s="196"/>
      <c r="W7" s="196"/>
      <c r="X7" s="196"/>
    </row>
    <row r="8" spans="1:24" ht="18.75" customHeight="1" thickBot="1">
      <c r="A8" s="196"/>
      <c r="B8" s="207" t="s">
        <v>19</v>
      </c>
      <c r="C8" s="4"/>
      <c r="D8" s="208" t="s">
        <v>20</v>
      </c>
      <c r="E8" s="208" t="s">
        <v>21</v>
      </c>
      <c r="F8" s="188" t="s">
        <v>22</v>
      </c>
      <c r="G8" s="2"/>
      <c r="H8" s="197" t="s">
        <v>23</v>
      </c>
      <c r="I8" s="198"/>
      <c r="J8" s="199"/>
      <c r="K8" s="190" t="s">
        <v>24</v>
      </c>
      <c r="L8" s="187" t="s">
        <v>25</v>
      </c>
      <c r="M8" s="187"/>
      <c r="N8" s="187"/>
      <c r="O8" s="187" t="s">
        <v>26</v>
      </c>
      <c r="P8" s="2"/>
      <c r="Q8" s="185" t="s">
        <v>23</v>
      </c>
      <c r="R8" s="2"/>
      <c r="S8" s="185" t="s">
        <v>27</v>
      </c>
      <c r="T8" s="2"/>
      <c r="U8" s="185" t="s">
        <v>28</v>
      </c>
      <c r="V8" s="210" t="s">
        <v>29</v>
      </c>
      <c r="W8" s="2"/>
      <c r="X8" s="185" t="s">
        <v>23</v>
      </c>
    </row>
    <row r="9" spans="1:24" ht="59.25" customHeight="1" thickBot="1">
      <c r="A9" s="196"/>
      <c r="B9" s="207"/>
      <c r="C9" s="4"/>
      <c r="D9" s="209"/>
      <c r="E9" s="209"/>
      <c r="F9" s="189"/>
      <c r="G9" s="2"/>
      <c r="H9" s="200"/>
      <c r="I9" s="201"/>
      <c r="J9" s="202"/>
      <c r="K9" s="191"/>
      <c r="L9" s="173" t="s">
        <v>30</v>
      </c>
      <c r="M9" s="173" t="s">
        <v>31</v>
      </c>
      <c r="N9" s="173" t="s">
        <v>32</v>
      </c>
      <c r="O9" s="206"/>
      <c r="P9" s="2"/>
      <c r="Q9" s="186"/>
      <c r="R9" s="2"/>
      <c r="S9" s="186"/>
      <c r="T9" s="2"/>
      <c r="U9" s="186"/>
      <c r="V9" s="211"/>
      <c r="W9" s="2"/>
      <c r="X9" s="186"/>
    </row>
    <row r="10" spans="1:24" ht="32.25" customHeight="1">
      <c r="A10" s="2"/>
      <c r="B10" s="6">
        <v>44256</v>
      </c>
      <c r="C10" s="7"/>
      <c r="D10" s="145">
        <v>55</v>
      </c>
      <c r="E10" s="145">
        <v>69</v>
      </c>
      <c r="F10" s="13">
        <f>'Suivi EAU-ELEC'!E9</f>
        <v>77.69999999999709</v>
      </c>
      <c r="G10" s="11"/>
      <c r="H10" s="181">
        <f>F10*8.79</f>
        <v>682.98299999997437</v>
      </c>
      <c r="I10" s="182"/>
      <c r="J10" s="182"/>
      <c r="K10" s="61">
        <v>42278</v>
      </c>
      <c r="L10" s="91">
        <f>'Suivi EAU-ELEC'!G9</f>
        <v>2502</v>
      </c>
      <c r="M10" s="92">
        <f>'Suivi EAU-ELEC'!I9</f>
        <v>4053</v>
      </c>
      <c r="N10" s="92">
        <f>'Suivi EAU-ELEC'!K9</f>
        <v>1984</v>
      </c>
      <c r="O10" s="92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50">
        <f>'Suvi Gaz'!O4</f>
        <v>444.36</v>
      </c>
      <c r="W10" s="11"/>
      <c r="X10" s="34">
        <f>V10*9.8209</f>
        <v>4364.0151240000005</v>
      </c>
    </row>
    <row r="11" spans="1:24" ht="32.25" customHeight="1">
      <c r="A11" s="2"/>
      <c r="B11" s="6">
        <v>44257</v>
      </c>
      <c r="C11" s="7"/>
      <c r="D11" s="145">
        <v>52</v>
      </c>
      <c r="E11" s="145">
        <v>65</v>
      </c>
      <c r="F11" s="13">
        <f>'Suivi EAU-ELEC'!E10</f>
        <v>67.5</v>
      </c>
      <c r="G11" s="11"/>
      <c r="H11" s="181">
        <f t="shared" ref="H11:H21" si="0">F11*8.79</f>
        <v>593.32499999999993</v>
      </c>
      <c r="I11" s="182"/>
      <c r="J11" s="182"/>
      <c r="K11" s="61">
        <v>42279</v>
      </c>
      <c r="L11" s="91">
        <f>'Suivi EAU-ELEC'!G10</f>
        <v>2381</v>
      </c>
      <c r="M11" s="92">
        <f>'Suivi EAU-ELEC'!I10</f>
        <v>3616</v>
      </c>
      <c r="N11" s="92">
        <f>'Suivi EAU-ELEC'!K10</f>
        <v>1711</v>
      </c>
      <c r="O11" s="92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50">
        <f>'Suvi Gaz'!O5</f>
        <v>481.39000000000004</v>
      </c>
      <c r="W11" s="11"/>
      <c r="X11" s="34">
        <f t="shared" ref="X11:X40" si="1">V11*9.8209</f>
        <v>4727.683051</v>
      </c>
    </row>
    <row r="12" spans="1:24" ht="32.25" customHeight="1">
      <c r="A12" s="2"/>
      <c r="B12" s="6">
        <v>44258</v>
      </c>
      <c r="C12" s="7"/>
      <c r="D12" s="145">
        <v>68</v>
      </c>
      <c r="E12" s="145">
        <v>78</v>
      </c>
      <c r="F12" s="13">
        <f>'Suivi EAU-ELEC'!E11</f>
        <v>80</v>
      </c>
      <c r="G12" s="11"/>
      <c r="H12" s="181">
        <f t="shared" si="0"/>
        <v>703.19999999999993</v>
      </c>
      <c r="I12" s="182"/>
      <c r="J12" s="182"/>
      <c r="K12" s="61">
        <v>42280</v>
      </c>
      <c r="L12" s="91">
        <f>'Suivi EAU-ELEC'!G11</f>
        <v>2661</v>
      </c>
      <c r="M12" s="92">
        <f>'Suivi EAU-ELEC'!I11</f>
        <v>3987</v>
      </c>
      <c r="N12" s="92">
        <f>'Suivi EAU-ELEC'!K11</f>
        <v>1888</v>
      </c>
      <c r="O12" s="92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50">
        <f>'Suvi Gaz'!O6</f>
        <v>481.39000000000004</v>
      </c>
      <c r="W12" s="11"/>
      <c r="X12" s="34">
        <f t="shared" si="1"/>
        <v>4727.683051</v>
      </c>
    </row>
    <row r="13" spans="1:24" ht="32.25" customHeight="1">
      <c r="A13" s="2"/>
      <c r="B13" s="6">
        <v>44259</v>
      </c>
      <c r="C13" s="7"/>
      <c r="D13" s="145"/>
      <c r="E13" s="145"/>
      <c r="F13" s="13">
        <f>'Suivi EAU-ELEC'!E12</f>
        <v>62.400000000008731</v>
      </c>
      <c r="G13" s="11"/>
      <c r="H13" s="181">
        <f t="shared" si="0"/>
        <v>548.49600000007672</v>
      </c>
      <c r="I13" s="182"/>
      <c r="J13" s="182"/>
      <c r="K13" s="61">
        <v>42281</v>
      </c>
      <c r="L13" s="91">
        <f>'Suivi EAU-ELEC'!G12</f>
        <v>2735</v>
      </c>
      <c r="M13" s="92">
        <f>'Suivi EAU-ELEC'!I12</f>
        <v>3979</v>
      </c>
      <c r="N13" s="92">
        <f>'Suivi EAU-ELEC'!K12</f>
        <v>2006</v>
      </c>
      <c r="O13" s="92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50"/>
      <c r="W13" s="11"/>
      <c r="X13" s="34">
        <f t="shared" si="1"/>
        <v>0</v>
      </c>
    </row>
    <row r="14" spans="1:24" ht="32.25" customHeight="1">
      <c r="A14" s="2"/>
      <c r="B14" s="6">
        <v>44260</v>
      </c>
      <c r="C14" s="7"/>
      <c r="D14" s="145"/>
      <c r="E14" s="145"/>
      <c r="F14" s="13">
        <f>'Suivi EAU-ELEC'!E13</f>
        <v>0</v>
      </c>
      <c r="G14" s="12"/>
      <c r="H14" s="181">
        <f t="shared" si="0"/>
        <v>0</v>
      </c>
      <c r="I14" s="182"/>
      <c r="J14" s="182"/>
      <c r="K14" s="61">
        <v>42282</v>
      </c>
      <c r="L14" s="91">
        <f>'Suivi EAU-ELEC'!G13</f>
        <v>0</v>
      </c>
      <c r="M14" s="92">
        <f>'Suivi EAU-ELEC'!I13</f>
        <v>0</v>
      </c>
      <c r="N14" s="92">
        <f>'Suivi EAU-ELEC'!K13</f>
        <v>0</v>
      </c>
      <c r="O14" s="92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50"/>
      <c r="W14" s="11"/>
      <c r="X14" s="34">
        <f t="shared" si="1"/>
        <v>0</v>
      </c>
    </row>
    <row r="15" spans="1:24" ht="32.25" customHeight="1">
      <c r="A15" s="172"/>
      <c r="B15" s="6">
        <v>44261</v>
      </c>
      <c r="C15" s="7"/>
      <c r="D15" s="145"/>
      <c r="E15" s="145"/>
      <c r="F15" s="13">
        <f>'Suivi EAU-ELEC'!E14</f>
        <v>0</v>
      </c>
      <c r="G15" s="11"/>
      <c r="H15" s="181">
        <f t="shared" si="0"/>
        <v>0</v>
      </c>
      <c r="I15" s="182"/>
      <c r="J15" s="182"/>
      <c r="K15" s="61">
        <v>42283</v>
      </c>
      <c r="L15" s="91">
        <f>'Suivi EAU-ELEC'!G14</f>
        <v>0</v>
      </c>
      <c r="M15" s="92">
        <f>'Suivi EAU-ELEC'!I14</f>
        <v>0</v>
      </c>
      <c r="N15" s="92">
        <f>'Suivi EAU-ELEC'!K14</f>
        <v>0</v>
      </c>
      <c r="O15" s="92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50"/>
      <c r="W15" s="11"/>
      <c r="X15" s="34">
        <f t="shared" si="1"/>
        <v>0</v>
      </c>
    </row>
    <row r="16" spans="1:24" ht="32.25" customHeight="1">
      <c r="A16" s="172"/>
      <c r="B16" s="6">
        <v>44262</v>
      </c>
      <c r="C16" s="7"/>
      <c r="D16" s="145"/>
      <c r="E16" s="145"/>
      <c r="F16" s="13">
        <f>'Suivi EAU-ELEC'!E15</f>
        <v>0</v>
      </c>
      <c r="G16" s="11"/>
      <c r="H16" s="181">
        <f t="shared" si="0"/>
        <v>0</v>
      </c>
      <c r="I16" s="182"/>
      <c r="J16" s="182"/>
      <c r="K16" s="61">
        <v>42284</v>
      </c>
      <c r="L16" s="91">
        <f>'Suivi EAU-ELEC'!G15</f>
        <v>0</v>
      </c>
      <c r="M16" s="92">
        <f>'Suivi EAU-ELEC'!I15</f>
        <v>0</v>
      </c>
      <c r="N16" s="92">
        <f>'Suivi EAU-ELEC'!K15</f>
        <v>0</v>
      </c>
      <c r="O16" s="92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50"/>
      <c r="W16" s="11"/>
      <c r="X16" s="34">
        <f t="shared" si="1"/>
        <v>0</v>
      </c>
    </row>
    <row r="17" spans="1:24" s="5" customFormat="1" ht="32.25" customHeight="1">
      <c r="A17" s="2"/>
      <c r="B17" s="6">
        <v>44263</v>
      </c>
      <c r="C17" s="7"/>
      <c r="D17" s="145"/>
      <c r="E17" s="145"/>
      <c r="F17" s="13">
        <f>'Suivi EAU-ELEC'!E16</f>
        <v>0</v>
      </c>
      <c r="G17" s="11"/>
      <c r="H17" s="181">
        <f t="shared" si="0"/>
        <v>0</v>
      </c>
      <c r="I17" s="182"/>
      <c r="J17" s="182"/>
      <c r="K17" s="61">
        <v>42285</v>
      </c>
      <c r="L17" s="91">
        <f>'Suivi EAU-ELEC'!G16</f>
        <v>0</v>
      </c>
      <c r="M17" s="92">
        <f>'Suivi EAU-ELEC'!I16</f>
        <v>0</v>
      </c>
      <c r="N17" s="92">
        <f>'Suivi EAU-ELEC'!K16</f>
        <v>0</v>
      </c>
      <c r="O17" s="92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50"/>
      <c r="W17" s="11"/>
      <c r="X17" s="34">
        <f t="shared" si="1"/>
        <v>0</v>
      </c>
    </row>
    <row r="18" spans="1:24" ht="32.25" customHeight="1">
      <c r="A18" s="2"/>
      <c r="B18" s="6">
        <v>44264</v>
      </c>
      <c r="C18" s="7"/>
      <c r="D18" s="145"/>
      <c r="E18" s="145"/>
      <c r="F18" s="13">
        <f>'Suivi EAU-ELEC'!E17</f>
        <v>0</v>
      </c>
      <c r="G18" s="11"/>
      <c r="H18" s="181">
        <f t="shared" si="0"/>
        <v>0</v>
      </c>
      <c r="I18" s="182"/>
      <c r="J18" s="182"/>
      <c r="K18" s="61">
        <v>42286</v>
      </c>
      <c r="L18" s="91">
        <f>'Suivi EAU-ELEC'!G17</f>
        <v>0</v>
      </c>
      <c r="M18" s="92">
        <f>'Suivi EAU-ELEC'!I17</f>
        <v>0</v>
      </c>
      <c r="N18" s="92">
        <f>'Suivi EAU-ELEC'!K17</f>
        <v>0</v>
      </c>
      <c r="O18" s="92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50"/>
      <c r="W18" s="11"/>
      <c r="X18" s="34">
        <f t="shared" si="1"/>
        <v>0</v>
      </c>
    </row>
    <row r="19" spans="1:24" ht="32.25" customHeight="1">
      <c r="A19" s="2"/>
      <c r="B19" s="6">
        <v>44265</v>
      </c>
      <c r="C19" s="7"/>
      <c r="D19" s="145"/>
      <c r="E19" s="145"/>
      <c r="F19" s="13">
        <f>'Suivi EAU-ELEC'!E18</f>
        <v>0</v>
      </c>
      <c r="G19" s="12"/>
      <c r="H19" s="181">
        <f t="shared" si="0"/>
        <v>0</v>
      </c>
      <c r="I19" s="182"/>
      <c r="J19" s="182"/>
      <c r="K19" s="61">
        <v>42287</v>
      </c>
      <c r="L19" s="91">
        <f>'Suivi EAU-ELEC'!G18</f>
        <v>0</v>
      </c>
      <c r="M19" s="92">
        <f>'Suivi EAU-ELEC'!I18</f>
        <v>0</v>
      </c>
      <c r="N19" s="92">
        <f>'Suivi EAU-ELEC'!K18</f>
        <v>0</v>
      </c>
      <c r="O19" s="92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50"/>
      <c r="W19" s="11"/>
      <c r="X19" s="34">
        <f t="shared" si="1"/>
        <v>0</v>
      </c>
    </row>
    <row r="20" spans="1:24" ht="32.25" customHeight="1">
      <c r="A20" s="2"/>
      <c r="B20" s="6">
        <v>44266</v>
      </c>
      <c r="C20" s="7"/>
      <c r="D20" s="145"/>
      <c r="E20" s="145"/>
      <c r="F20" s="13">
        <f>'Suivi EAU-ELEC'!E19</f>
        <v>0</v>
      </c>
      <c r="G20" s="12"/>
      <c r="H20" s="181">
        <f t="shared" si="0"/>
        <v>0</v>
      </c>
      <c r="I20" s="182"/>
      <c r="J20" s="182"/>
      <c r="K20" s="61">
        <v>42288</v>
      </c>
      <c r="L20" s="91">
        <f>'Suivi EAU-ELEC'!G19</f>
        <v>0</v>
      </c>
      <c r="M20" s="92">
        <f>'Suivi EAU-ELEC'!I19</f>
        <v>0</v>
      </c>
      <c r="N20" s="92">
        <f>'Suivi EAU-ELEC'!K19</f>
        <v>0</v>
      </c>
      <c r="O20" s="92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50"/>
      <c r="W20" s="11"/>
      <c r="X20" s="34">
        <f t="shared" si="1"/>
        <v>0</v>
      </c>
    </row>
    <row r="21" spans="1:24" ht="32.25" customHeight="1">
      <c r="A21" s="2"/>
      <c r="B21" s="6">
        <v>44267</v>
      </c>
      <c r="C21" s="7"/>
      <c r="D21" s="145"/>
      <c r="E21" s="145"/>
      <c r="F21" s="13">
        <f>'Suivi EAU-ELEC'!E20</f>
        <v>0</v>
      </c>
      <c r="G21" s="12"/>
      <c r="H21" s="181">
        <f t="shared" si="0"/>
        <v>0</v>
      </c>
      <c r="I21" s="182"/>
      <c r="J21" s="182"/>
      <c r="K21" s="61">
        <v>42289</v>
      </c>
      <c r="L21" s="91">
        <f>'Suivi EAU-ELEC'!G20</f>
        <v>0</v>
      </c>
      <c r="M21" s="92">
        <f>'Suivi EAU-ELEC'!I20</f>
        <v>0</v>
      </c>
      <c r="N21" s="92">
        <f>'Suivi EAU-ELEC'!K20</f>
        <v>0</v>
      </c>
      <c r="O21" s="92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50"/>
      <c r="W21" s="11"/>
      <c r="X21" s="34">
        <f t="shared" si="1"/>
        <v>0</v>
      </c>
    </row>
    <row r="22" spans="1:24" ht="32.25" customHeight="1">
      <c r="A22" s="2"/>
      <c r="B22" s="6">
        <v>44268</v>
      </c>
      <c r="C22" s="7"/>
      <c r="D22" s="145"/>
      <c r="E22" s="145"/>
      <c r="F22" s="13">
        <f>'Suivi EAU-ELEC'!E21</f>
        <v>0</v>
      </c>
      <c r="G22" s="12"/>
      <c r="H22" s="181">
        <f t="shared" ref="H22:H35" si="4">F22*8.79</f>
        <v>0</v>
      </c>
      <c r="I22" s="182"/>
      <c r="J22" s="182"/>
      <c r="K22" s="61">
        <v>42290</v>
      </c>
      <c r="L22" s="91">
        <f>'Suivi EAU-ELEC'!G21</f>
        <v>0</v>
      </c>
      <c r="M22" s="92">
        <f>'Suivi EAU-ELEC'!I21</f>
        <v>0</v>
      </c>
      <c r="N22" s="92">
        <f>'Suivi EAU-ELEC'!K21</f>
        <v>0</v>
      </c>
      <c r="O22" s="92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50"/>
      <c r="W22" s="11"/>
      <c r="X22" s="34">
        <f t="shared" si="1"/>
        <v>0</v>
      </c>
    </row>
    <row r="23" spans="1:24" ht="32.25" customHeight="1">
      <c r="A23" s="2"/>
      <c r="B23" s="6">
        <v>44269</v>
      </c>
      <c r="C23" s="7"/>
      <c r="D23" s="145"/>
      <c r="E23" s="145"/>
      <c r="F23" s="13">
        <f>'Suivi EAU-ELEC'!E22</f>
        <v>0</v>
      </c>
      <c r="G23" s="14"/>
      <c r="H23" s="181">
        <f t="shared" si="4"/>
        <v>0</v>
      </c>
      <c r="I23" s="182"/>
      <c r="J23" s="182"/>
      <c r="K23" s="61">
        <v>42291</v>
      </c>
      <c r="L23" s="91">
        <f>'Suivi EAU-ELEC'!G22</f>
        <v>0</v>
      </c>
      <c r="M23" s="92">
        <f>'Suivi EAU-ELEC'!I22</f>
        <v>0</v>
      </c>
      <c r="N23" s="92">
        <f>'Suivi EAU-ELEC'!K22</f>
        <v>0</v>
      </c>
      <c r="O23" s="92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50"/>
      <c r="W23" s="11"/>
      <c r="X23" s="34">
        <f t="shared" si="1"/>
        <v>0</v>
      </c>
    </row>
    <row r="24" spans="1:24" ht="32.25" customHeight="1">
      <c r="A24" s="2"/>
      <c r="B24" s="6">
        <v>44270</v>
      </c>
      <c r="C24" s="7"/>
      <c r="D24" s="145"/>
      <c r="E24" s="145"/>
      <c r="F24" s="13">
        <f>'Suivi EAU-ELEC'!E23</f>
        <v>0</v>
      </c>
      <c r="G24" s="14"/>
      <c r="H24" s="181">
        <f t="shared" si="4"/>
        <v>0</v>
      </c>
      <c r="I24" s="182"/>
      <c r="J24" s="182"/>
      <c r="K24" s="61">
        <v>42292</v>
      </c>
      <c r="L24" s="91">
        <f>'Suivi EAU-ELEC'!G23</f>
        <v>0</v>
      </c>
      <c r="M24" s="92">
        <f>'Suivi EAU-ELEC'!I23</f>
        <v>0</v>
      </c>
      <c r="N24" s="92">
        <f>'Suivi EAU-ELEC'!K23</f>
        <v>0</v>
      </c>
      <c r="O24" s="92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50"/>
      <c r="W24" s="11"/>
      <c r="X24" s="34">
        <f t="shared" si="1"/>
        <v>0</v>
      </c>
    </row>
    <row r="25" spans="1:24" ht="32.25" customHeight="1">
      <c r="A25" s="2"/>
      <c r="B25" s="6">
        <v>44271</v>
      </c>
      <c r="C25" s="7"/>
      <c r="D25" s="145"/>
      <c r="E25" s="145"/>
      <c r="F25" s="13">
        <f>'Suivi EAU-ELEC'!E24</f>
        <v>0</v>
      </c>
      <c r="G25" s="14"/>
      <c r="H25" s="181">
        <f t="shared" si="4"/>
        <v>0</v>
      </c>
      <c r="I25" s="182"/>
      <c r="J25" s="182"/>
      <c r="K25" s="61">
        <v>42293</v>
      </c>
      <c r="L25" s="91">
        <f>'Suivi EAU-ELEC'!G24</f>
        <v>0</v>
      </c>
      <c r="M25" s="92">
        <f>'Suivi EAU-ELEC'!I24</f>
        <v>0</v>
      </c>
      <c r="N25" s="92">
        <f>'Suivi EAU-ELEC'!K24</f>
        <v>0</v>
      </c>
      <c r="O25" s="92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50"/>
      <c r="W25" s="11"/>
      <c r="X25" s="34">
        <f t="shared" si="1"/>
        <v>0</v>
      </c>
    </row>
    <row r="26" spans="1:24" ht="32.25" customHeight="1">
      <c r="A26" s="2"/>
      <c r="B26" s="6">
        <v>44272</v>
      </c>
      <c r="C26" s="7"/>
      <c r="D26" s="145"/>
      <c r="E26" s="145"/>
      <c r="F26" s="13">
        <f>'Suivi EAU-ELEC'!E25</f>
        <v>0</v>
      </c>
      <c r="G26" s="14"/>
      <c r="H26" s="181">
        <f t="shared" si="4"/>
        <v>0</v>
      </c>
      <c r="I26" s="182"/>
      <c r="J26" s="182"/>
      <c r="K26" s="61">
        <v>42294</v>
      </c>
      <c r="L26" s="91">
        <f>'Suivi EAU-ELEC'!G25</f>
        <v>0</v>
      </c>
      <c r="M26" s="92">
        <f>'Suivi EAU-ELEC'!I25</f>
        <v>0</v>
      </c>
      <c r="N26" s="92">
        <f>'Suivi EAU-ELEC'!K25</f>
        <v>0</v>
      </c>
      <c r="O26" s="92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50"/>
      <c r="W26" s="11"/>
      <c r="X26" s="34">
        <f t="shared" si="1"/>
        <v>0</v>
      </c>
    </row>
    <row r="27" spans="1:24" ht="32.25" customHeight="1">
      <c r="A27" s="2"/>
      <c r="B27" s="6">
        <v>44273</v>
      </c>
      <c r="C27" s="7"/>
      <c r="D27" s="145"/>
      <c r="E27" s="145"/>
      <c r="F27" s="13">
        <f>'Suivi EAU-ELEC'!E26</f>
        <v>0</v>
      </c>
      <c r="G27" s="14"/>
      <c r="H27" s="181">
        <f t="shared" si="4"/>
        <v>0</v>
      </c>
      <c r="I27" s="182"/>
      <c r="J27" s="182"/>
      <c r="K27" s="61">
        <v>42295</v>
      </c>
      <c r="L27" s="91">
        <f>'Suivi EAU-ELEC'!G26</f>
        <v>0</v>
      </c>
      <c r="M27" s="92">
        <f>'Suivi EAU-ELEC'!I26</f>
        <v>0</v>
      </c>
      <c r="N27" s="92">
        <f>'Suivi EAU-ELEC'!K26</f>
        <v>0</v>
      </c>
      <c r="O27" s="92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50"/>
      <c r="W27" s="11"/>
      <c r="X27" s="34">
        <f t="shared" si="1"/>
        <v>0</v>
      </c>
    </row>
    <row r="28" spans="1:24" ht="32.25" customHeight="1">
      <c r="A28" s="2"/>
      <c r="B28" s="6">
        <v>44274</v>
      </c>
      <c r="C28" s="7"/>
      <c r="D28" s="145"/>
      <c r="E28" s="145"/>
      <c r="F28" s="13">
        <f>'Suivi EAU-ELEC'!E27</f>
        <v>0</v>
      </c>
      <c r="G28" s="11"/>
      <c r="H28" s="181">
        <f t="shared" si="4"/>
        <v>0</v>
      </c>
      <c r="I28" s="182"/>
      <c r="J28" s="182"/>
      <c r="K28" s="61">
        <v>42296</v>
      </c>
      <c r="L28" s="91">
        <f>'Suivi EAU-ELEC'!G27</f>
        <v>0</v>
      </c>
      <c r="M28" s="92">
        <f>'Suivi EAU-ELEC'!I27</f>
        <v>0</v>
      </c>
      <c r="N28" s="92">
        <f>'Suivi EAU-ELEC'!K27</f>
        <v>0</v>
      </c>
      <c r="O28" s="92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50"/>
      <c r="W28" s="11"/>
      <c r="X28" s="34">
        <f t="shared" si="1"/>
        <v>0</v>
      </c>
    </row>
    <row r="29" spans="1:24" ht="32.25" customHeight="1">
      <c r="A29" s="2"/>
      <c r="B29" s="6">
        <v>44275</v>
      </c>
      <c r="C29" s="7"/>
      <c r="D29" s="145"/>
      <c r="E29" s="145"/>
      <c r="F29" s="13">
        <f>'Suivi EAU-ELEC'!E28</f>
        <v>0</v>
      </c>
      <c r="G29" s="11"/>
      <c r="H29" s="181">
        <f t="shared" si="4"/>
        <v>0</v>
      </c>
      <c r="I29" s="182"/>
      <c r="J29" s="182"/>
      <c r="K29" s="61">
        <v>42297</v>
      </c>
      <c r="L29" s="91">
        <f>'Suivi EAU-ELEC'!G28</f>
        <v>0</v>
      </c>
      <c r="M29" s="92">
        <f>'Suivi EAU-ELEC'!I28</f>
        <v>0</v>
      </c>
      <c r="N29" s="92">
        <f>'Suivi EAU-ELEC'!K28</f>
        <v>0</v>
      </c>
      <c r="O29" s="92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50"/>
      <c r="W29" s="11"/>
      <c r="X29" s="34">
        <f t="shared" si="1"/>
        <v>0</v>
      </c>
    </row>
    <row r="30" spans="1:24" ht="32.25" customHeight="1">
      <c r="A30" s="2"/>
      <c r="B30" s="6">
        <v>44276</v>
      </c>
      <c r="C30" s="7"/>
      <c r="D30" s="145"/>
      <c r="E30" s="145"/>
      <c r="F30" s="13">
        <f>'Suivi EAU-ELEC'!E29</f>
        <v>0</v>
      </c>
      <c r="G30" s="11"/>
      <c r="H30" s="181">
        <f t="shared" si="4"/>
        <v>0</v>
      </c>
      <c r="I30" s="182"/>
      <c r="J30" s="182"/>
      <c r="K30" s="61">
        <v>42298</v>
      </c>
      <c r="L30" s="91">
        <f>'Suivi EAU-ELEC'!G29</f>
        <v>0</v>
      </c>
      <c r="M30" s="92">
        <f>'Suivi EAU-ELEC'!I29</f>
        <v>0</v>
      </c>
      <c r="N30" s="92">
        <f>'Suivi EAU-ELEC'!K29</f>
        <v>0</v>
      </c>
      <c r="O30" s="92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50"/>
      <c r="W30" s="11"/>
      <c r="X30" s="34">
        <f t="shared" si="1"/>
        <v>0</v>
      </c>
    </row>
    <row r="31" spans="1:24" ht="27.75" customHeight="1">
      <c r="A31" s="2"/>
      <c r="B31" s="6">
        <v>44277</v>
      </c>
      <c r="C31" s="7"/>
      <c r="D31" s="145"/>
      <c r="E31" s="145"/>
      <c r="F31" s="13">
        <f>'Suivi EAU-ELEC'!E30</f>
        <v>0</v>
      </c>
      <c r="G31" s="11"/>
      <c r="H31" s="181">
        <f t="shared" si="4"/>
        <v>0</v>
      </c>
      <c r="I31" s="182"/>
      <c r="J31" s="182"/>
      <c r="K31" s="61">
        <v>42299</v>
      </c>
      <c r="L31" s="91">
        <f>'Suivi EAU-ELEC'!G30</f>
        <v>0</v>
      </c>
      <c r="M31" s="92">
        <f>'Suivi EAU-ELEC'!I30</f>
        <v>0</v>
      </c>
      <c r="N31" s="92">
        <f>'Suivi EAU-ELEC'!K30</f>
        <v>0</v>
      </c>
      <c r="O31" s="92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50"/>
      <c r="W31" s="11"/>
      <c r="X31" s="34">
        <f t="shared" si="1"/>
        <v>0</v>
      </c>
    </row>
    <row r="32" spans="1:24" ht="37.5" customHeight="1">
      <c r="A32" s="2"/>
      <c r="B32" s="6">
        <v>44278</v>
      </c>
      <c r="C32" s="7"/>
      <c r="D32" s="145"/>
      <c r="E32" s="145"/>
      <c r="F32" s="13">
        <f>'Suivi EAU-ELEC'!E31</f>
        <v>0</v>
      </c>
      <c r="G32" s="11"/>
      <c r="H32" s="181">
        <f t="shared" si="4"/>
        <v>0</v>
      </c>
      <c r="I32" s="182"/>
      <c r="J32" s="182"/>
      <c r="K32" s="61">
        <v>42300</v>
      </c>
      <c r="L32" s="91">
        <f>'Suivi EAU-ELEC'!G31</f>
        <v>0</v>
      </c>
      <c r="M32" s="92">
        <f>'Suivi EAU-ELEC'!I31</f>
        <v>0</v>
      </c>
      <c r="N32" s="92">
        <f>'Suivi EAU-ELEC'!K31</f>
        <v>0</v>
      </c>
      <c r="O32" s="92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0"/>
      <c r="W32" s="11"/>
      <c r="X32" s="34">
        <f t="shared" si="1"/>
        <v>0</v>
      </c>
    </row>
    <row r="33" spans="1:24" ht="37.5" customHeight="1">
      <c r="A33" s="2"/>
      <c r="B33" s="6">
        <v>44279</v>
      </c>
      <c r="C33" s="7"/>
      <c r="D33" s="145"/>
      <c r="E33" s="145"/>
      <c r="F33" s="13">
        <f>'Suivi EAU-ELEC'!E32</f>
        <v>0</v>
      </c>
      <c r="G33" s="11"/>
      <c r="H33" s="181">
        <f t="shared" si="4"/>
        <v>0</v>
      </c>
      <c r="I33" s="182"/>
      <c r="J33" s="182"/>
      <c r="K33" s="61">
        <v>42301</v>
      </c>
      <c r="L33" s="91">
        <f>'Suivi EAU-ELEC'!G32</f>
        <v>0</v>
      </c>
      <c r="M33" s="92">
        <f>'Suivi EAU-ELEC'!I32</f>
        <v>0</v>
      </c>
      <c r="N33" s="92">
        <f>'Suivi EAU-ELEC'!K32</f>
        <v>0</v>
      </c>
      <c r="O33" s="92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0"/>
      <c r="W33" s="11"/>
      <c r="X33" s="34">
        <f t="shared" si="1"/>
        <v>0</v>
      </c>
    </row>
    <row r="34" spans="1:24" ht="37.5" customHeight="1">
      <c r="A34" s="2"/>
      <c r="B34" s="6">
        <v>44280</v>
      </c>
      <c r="C34" s="7"/>
      <c r="D34" s="145"/>
      <c r="E34" s="145"/>
      <c r="F34" s="13">
        <f>'Suivi EAU-ELEC'!E33</f>
        <v>0</v>
      </c>
      <c r="G34" s="11"/>
      <c r="H34" s="181">
        <f t="shared" si="4"/>
        <v>0</v>
      </c>
      <c r="I34" s="182"/>
      <c r="J34" s="182"/>
      <c r="K34" s="61">
        <v>42302</v>
      </c>
      <c r="L34" s="91">
        <f>'Suivi EAU-ELEC'!G33</f>
        <v>0</v>
      </c>
      <c r="M34" s="92">
        <f>'Suivi EAU-ELEC'!I33</f>
        <v>0</v>
      </c>
      <c r="N34" s="92">
        <f>'Suivi EAU-ELEC'!K33</f>
        <v>0</v>
      </c>
      <c r="O34" s="92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0"/>
      <c r="W34" s="11"/>
      <c r="X34" s="34">
        <f t="shared" si="1"/>
        <v>0</v>
      </c>
    </row>
    <row r="35" spans="1:24" ht="33.75" customHeight="1">
      <c r="A35" s="2"/>
      <c r="B35" s="6">
        <v>44281</v>
      </c>
      <c r="C35" s="7"/>
      <c r="D35" s="145"/>
      <c r="E35" s="145"/>
      <c r="F35" s="13">
        <f>'Suivi EAU-ELEC'!E34</f>
        <v>0</v>
      </c>
      <c r="G35" s="11"/>
      <c r="H35" s="181">
        <f t="shared" si="4"/>
        <v>0</v>
      </c>
      <c r="I35" s="182"/>
      <c r="J35" s="182"/>
      <c r="K35" s="61">
        <v>42303</v>
      </c>
      <c r="L35" s="91">
        <f>'Suivi EAU-ELEC'!G34</f>
        <v>0</v>
      </c>
      <c r="M35" s="92">
        <f>'Suivi EAU-ELEC'!I34</f>
        <v>0</v>
      </c>
      <c r="N35" s="92">
        <f>'Suivi EAU-ELEC'!K34</f>
        <v>0</v>
      </c>
      <c r="O35" s="92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0"/>
      <c r="W35" s="11"/>
      <c r="X35" s="34">
        <f t="shared" si="1"/>
        <v>0</v>
      </c>
    </row>
    <row r="36" spans="1:24" ht="33.75" customHeight="1">
      <c r="A36" s="2"/>
      <c r="B36" s="6">
        <v>44282</v>
      </c>
      <c r="C36" s="7"/>
      <c r="D36" s="145"/>
      <c r="E36" s="145"/>
      <c r="F36" s="13">
        <f>'Suivi EAU-ELEC'!E35</f>
        <v>0</v>
      </c>
      <c r="G36" s="11"/>
      <c r="H36" s="181">
        <f>F36*8.79</f>
        <v>0</v>
      </c>
      <c r="I36" s="182"/>
      <c r="J36" s="182"/>
      <c r="K36" s="61">
        <v>42304</v>
      </c>
      <c r="L36" s="91">
        <f>'Suivi EAU-ELEC'!G35</f>
        <v>0</v>
      </c>
      <c r="M36" s="92">
        <f>'Suivi EAU-ELEC'!I35</f>
        <v>0</v>
      </c>
      <c r="N36" s="92">
        <f>'Suivi EAU-ELEC'!K35</f>
        <v>0</v>
      </c>
      <c r="O36" s="92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0"/>
      <c r="W36" s="11"/>
      <c r="X36" s="34">
        <f t="shared" si="1"/>
        <v>0</v>
      </c>
    </row>
    <row r="37" spans="1:24" s="156" customFormat="1" ht="33.75" customHeight="1">
      <c r="A37" s="2"/>
      <c r="B37" s="6">
        <v>44283</v>
      </c>
      <c r="C37" s="7"/>
      <c r="D37" s="145"/>
      <c r="E37" s="145"/>
      <c r="F37" s="13">
        <f>'Suivi EAU-ELEC'!E36</f>
        <v>0</v>
      </c>
      <c r="G37" s="11"/>
      <c r="H37" s="181">
        <f t="shared" ref="H37:H38" si="5">F37*8.79</f>
        <v>0</v>
      </c>
      <c r="I37" s="182"/>
      <c r="J37" s="182"/>
      <c r="K37" s="61"/>
      <c r="L37" s="91">
        <f>'Suivi EAU-ELEC'!G36</f>
        <v>0</v>
      </c>
      <c r="M37" s="92">
        <f>'Suivi EAU-ELEC'!I36</f>
        <v>0</v>
      </c>
      <c r="N37" s="92">
        <f>'Suivi EAU-ELEC'!K36</f>
        <v>0</v>
      </c>
      <c r="O37" s="92"/>
      <c r="P37" s="11"/>
      <c r="Q37" s="34">
        <f t="shared" si="3"/>
        <v>0</v>
      </c>
      <c r="R37" s="11"/>
      <c r="S37" s="28"/>
      <c r="T37" s="11"/>
      <c r="U37" s="28"/>
      <c r="V37" s="150"/>
      <c r="W37" s="11"/>
      <c r="X37" s="34">
        <f t="shared" si="1"/>
        <v>0</v>
      </c>
    </row>
    <row r="38" spans="1:24" s="156" customFormat="1" ht="33.75" customHeight="1">
      <c r="A38" s="2"/>
      <c r="B38" s="6">
        <v>44284</v>
      </c>
      <c r="C38" s="7"/>
      <c r="D38" s="145"/>
      <c r="E38" s="145"/>
      <c r="F38" s="13">
        <f>'Suivi EAU-ELEC'!E37</f>
        <v>0</v>
      </c>
      <c r="G38" s="11"/>
      <c r="H38" s="181">
        <f t="shared" si="5"/>
        <v>0</v>
      </c>
      <c r="I38" s="182"/>
      <c r="J38" s="182"/>
      <c r="K38" s="61"/>
      <c r="L38" s="91">
        <f>'Suivi EAU-ELEC'!G37</f>
        <v>0</v>
      </c>
      <c r="M38" s="92">
        <f>'Suivi EAU-ELEC'!I37</f>
        <v>0</v>
      </c>
      <c r="N38" s="92">
        <f>'Suivi EAU-ELEC'!K37</f>
        <v>0</v>
      </c>
      <c r="O38" s="92"/>
      <c r="P38" s="11"/>
      <c r="Q38" s="34">
        <f t="shared" si="3"/>
        <v>0</v>
      </c>
      <c r="R38" s="11"/>
      <c r="S38" s="28"/>
      <c r="T38" s="11"/>
      <c r="U38" s="28"/>
      <c r="V38" s="150"/>
      <c r="W38" s="11"/>
      <c r="X38" s="34">
        <f t="shared" si="1"/>
        <v>0</v>
      </c>
    </row>
    <row r="39" spans="1:24" ht="33.75" customHeight="1">
      <c r="A39" s="2"/>
      <c r="B39" s="6">
        <v>44285</v>
      </c>
      <c r="C39" s="7"/>
      <c r="D39" s="145"/>
      <c r="E39" s="145"/>
      <c r="F39" s="13">
        <f>'Suivi EAU-ELEC'!E38</f>
        <v>0</v>
      </c>
      <c r="G39" s="11"/>
      <c r="H39" s="181">
        <f>F39*8.79</f>
        <v>0</v>
      </c>
      <c r="I39" s="182"/>
      <c r="J39" s="182"/>
      <c r="K39" s="61">
        <v>42305</v>
      </c>
      <c r="L39" s="91">
        <f>'Suivi EAU-ELEC'!G38</f>
        <v>0</v>
      </c>
      <c r="M39" s="92">
        <f>'Suivi EAU-ELEC'!I38</f>
        <v>0</v>
      </c>
      <c r="N39" s="92">
        <f>'Suivi EAU-ELEC'!K38</f>
        <v>0</v>
      </c>
      <c r="O39" s="92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50"/>
      <c r="W39" s="11"/>
      <c r="X39" s="34">
        <f t="shared" si="1"/>
        <v>0</v>
      </c>
    </row>
    <row r="40" spans="1:24" ht="33.75" customHeight="1">
      <c r="A40" s="2"/>
      <c r="B40" s="6">
        <v>44286</v>
      </c>
      <c r="C40" s="7"/>
      <c r="D40" s="145"/>
      <c r="E40" s="145"/>
      <c r="F40" s="13">
        <f>'Suivi EAU-ELEC'!E39</f>
        <v>0</v>
      </c>
      <c r="G40" s="11"/>
      <c r="H40" s="181">
        <f>F40*8.79</f>
        <v>0</v>
      </c>
      <c r="I40" s="182"/>
      <c r="J40" s="182"/>
      <c r="K40" s="61"/>
      <c r="L40" s="91">
        <f>'Suivi EAU-ELEC'!G39</f>
        <v>0</v>
      </c>
      <c r="M40" s="92">
        <f>'Suivi EAU-ELEC'!I39</f>
        <v>0</v>
      </c>
      <c r="N40" s="92">
        <f>'Suivi EAU-ELEC'!K39</f>
        <v>0</v>
      </c>
      <c r="O40" s="92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50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175</v>
      </c>
      <c r="E41" s="8">
        <f>SUM(E10:E40)</f>
        <v>212</v>
      </c>
      <c r="F41" s="447">
        <f>SUM(F10:F40)</f>
        <v>287.60000000000582</v>
      </c>
      <c r="G41" s="1"/>
      <c r="H41" s="178">
        <f>SUM(H10:H40)</f>
        <v>2528.0040000000508</v>
      </c>
      <c r="I41" s="179"/>
      <c r="J41" s="180"/>
      <c r="K41" s="1"/>
      <c r="L41" s="54">
        <f>SUM(L10:L40)</f>
        <v>10279</v>
      </c>
      <c r="M41" s="54">
        <f>SUM(M10:M40)</f>
        <v>15635</v>
      </c>
      <c r="N41" s="55">
        <f>SUM(N10:N40)</f>
        <v>7589</v>
      </c>
      <c r="O41" s="56">
        <f>SUM(O10:O40)</f>
        <v>33503</v>
      </c>
      <c r="P41" s="31"/>
      <c r="Q41" s="32">
        <f>SUM(Q10:Q40)</f>
        <v>32151.426100000001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1407.14</v>
      </c>
      <c r="W41" s="31"/>
      <c r="X41" s="32">
        <f>SUM(X10:X40)</f>
        <v>13819.381226000001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72"/>
      <c r="M42" s="172"/>
      <c r="N42" s="17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7" t="s">
        <v>33</v>
      </c>
      <c r="B43" s="218"/>
      <c r="C43" s="218"/>
      <c r="D43" s="218"/>
      <c r="E43" s="218"/>
      <c r="F43" s="219"/>
      <c r="G43" s="26"/>
      <c r="H43" s="27" t="s">
        <v>34</v>
      </c>
      <c r="I43" s="256" t="s">
        <v>35</v>
      </c>
      <c r="J43" s="257"/>
      <c r="K43" s="258"/>
      <c r="L43" s="231" t="s">
        <v>36</v>
      </c>
      <c r="M43" s="232"/>
      <c r="N43" s="217" t="s">
        <v>37</v>
      </c>
      <c r="O43" s="218"/>
      <c r="P43" s="218"/>
      <c r="Q43" s="218"/>
      <c r="R43" s="218"/>
      <c r="S43" s="218"/>
      <c r="T43" s="218"/>
      <c r="U43" s="218"/>
      <c r="V43" s="218"/>
      <c r="W43" s="218"/>
      <c r="X43" s="219"/>
    </row>
    <row r="44" spans="1:24" s="18" customFormat="1" ht="29.25" customHeight="1" thickBot="1">
      <c r="A44" s="225" t="s">
        <v>38</v>
      </c>
      <c r="B44" s="226"/>
      <c r="C44" s="227"/>
      <c r="D44" s="169" t="s">
        <v>30</v>
      </c>
      <c r="E44" s="169" t="s">
        <v>30</v>
      </c>
      <c r="F44" s="169" t="s">
        <v>30</v>
      </c>
      <c r="G44" s="16"/>
      <c r="H44" s="17">
        <v>0.69850000000000001</v>
      </c>
      <c r="I44" s="222">
        <f>L41</f>
        <v>10279</v>
      </c>
      <c r="J44" s="223"/>
      <c r="K44" s="224"/>
      <c r="L44" s="183">
        <f>I44*H44</f>
        <v>7179.8815000000004</v>
      </c>
      <c r="M44" s="184"/>
      <c r="N44" s="240">
        <f>L44+L45+L46</f>
        <v>32151.426100000004</v>
      </c>
      <c r="O44" s="241"/>
      <c r="P44" s="241"/>
      <c r="Q44" s="241"/>
      <c r="R44" s="241"/>
      <c r="S44" s="241"/>
      <c r="T44" s="241"/>
      <c r="U44" s="241"/>
      <c r="V44" s="241"/>
      <c r="W44" s="241"/>
      <c r="X44" s="242"/>
    </row>
    <row r="45" spans="1:24" s="18" customFormat="1" ht="29.25" customHeight="1" thickBot="1">
      <c r="A45" s="228"/>
      <c r="B45" s="229"/>
      <c r="C45" s="230"/>
      <c r="D45" s="168" t="s">
        <v>31</v>
      </c>
      <c r="E45" s="168" t="s">
        <v>31</v>
      </c>
      <c r="F45" s="168" t="s">
        <v>31</v>
      </c>
      <c r="G45" s="16"/>
      <c r="H45" s="19">
        <v>0.95140000000000002</v>
      </c>
      <c r="I45" s="222">
        <f>M41</f>
        <v>15635</v>
      </c>
      <c r="J45" s="223"/>
      <c r="K45" s="224"/>
      <c r="L45" s="183">
        <f>I45*H45</f>
        <v>14875.139000000001</v>
      </c>
      <c r="M45" s="184"/>
      <c r="N45" s="243"/>
      <c r="O45" s="244"/>
      <c r="P45" s="244"/>
      <c r="Q45" s="244"/>
      <c r="R45" s="244"/>
      <c r="S45" s="244"/>
      <c r="T45" s="244"/>
      <c r="U45" s="244"/>
      <c r="V45" s="244"/>
      <c r="W45" s="244"/>
      <c r="X45" s="245"/>
    </row>
    <row r="46" spans="1:24" s="18" customFormat="1" ht="24.75" customHeight="1" thickBot="1">
      <c r="A46" s="228"/>
      <c r="B46" s="229"/>
      <c r="C46" s="230"/>
      <c r="D46" s="165" t="s">
        <v>32</v>
      </c>
      <c r="E46" s="165" t="s">
        <v>32</v>
      </c>
      <c r="F46" s="165" t="s">
        <v>32</v>
      </c>
      <c r="G46" s="20"/>
      <c r="H46" s="20">
        <v>1.3304</v>
      </c>
      <c r="I46" s="253">
        <f>N41</f>
        <v>7589</v>
      </c>
      <c r="J46" s="254"/>
      <c r="K46" s="255"/>
      <c r="L46" s="183">
        <f>I46*H46</f>
        <v>10096.4056</v>
      </c>
      <c r="M46" s="184"/>
      <c r="N46" s="246"/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18" customFormat="1" ht="43.5" customHeight="1" thickBot="1">
      <c r="A47" s="170"/>
      <c r="B47" s="171"/>
      <c r="C47" s="171"/>
      <c r="D47" s="165"/>
      <c r="E47" s="165"/>
      <c r="F47" s="165"/>
      <c r="G47" s="16"/>
      <c r="H47" s="16"/>
      <c r="I47" s="163"/>
      <c r="J47" s="164"/>
      <c r="K47" s="165"/>
      <c r="L47" s="166"/>
      <c r="M47" s="167"/>
      <c r="N47" s="259">
        <f>N44*1.3</f>
        <v>41796.853930000005</v>
      </c>
      <c r="O47" s="260"/>
      <c r="P47" s="260"/>
      <c r="Q47" s="260"/>
      <c r="R47" s="260"/>
      <c r="S47" s="260"/>
      <c r="T47" s="260"/>
      <c r="U47" s="260"/>
      <c r="V47" s="260"/>
      <c r="W47" s="260"/>
      <c r="X47" s="261"/>
    </row>
    <row r="48" spans="1:24" s="23" customFormat="1" ht="32.25" customHeight="1" thickBot="1">
      <c r="A48" s="214" t="s">
        <v>39</v>
      </c>
      <c r="B48" s="215"/>
      <c r="C48" s="215"/>
      <c r="D48" s="215"/>
      <c r="E48" s="215"/>
      <c r="F48" s="216"/>
      <c r="G48" s="21"/>
      <c r="H48" s="22">
        <v>8.7899999999999991</v>
      </c>
      <c r="I48" s="214">
        <f>F41</f>
        <v>287.60000000000582</v>
      </c>
      <c r="J48" s="215"/>
      <c r="K48" s="216"/>
      <c r="L48" s="220">
        <f>I48*H48</f>
        <v>2528.0040000000508</v>
      </c>
      <c r="M48" s="221"/>
      <c r="N48" s="237">
        <f>L48</f>
        <v>2528.0040000000508</v>
      </c>
      <c r="O48" s="238"/>
      <c r="P48" s="238"/>
      <c r="Q48" s="238"/>
      <c r="R48" s="238"/>
      <c r="S48" s="238"/>
      <c r="T48" s="238"/>
      <c r="U48" s="238"/>
      <c r="V48" s="238"/>
      <c r="W48" s="238"/>
      <c r="X48" s="239"/>
    </row>
    <row r="49" spans="1:24" s="23" customFormat="1" ht="36.75" customHeight="1">
      <c r="A49" s="249" t="s">
        <v>40</v>
      </c>
      <c r="B49" s="250"/>
      <c r="C49" s="250"/>
      <c r="D49" s="250"/>
      <c r="E49" s="250"/>
      <c r="F49" s="251"/>
      <c r="G49" s="24"/>
      <c r="H49" s="25">
        <v>9.8209</v>
      </c>
      <c r="I49" s="212">
        <f>V41</f>
        <v>1407.14</v>
      </c>
      <c r="J49" s="252"/>
      <c r="K49" s="213"/>
      <c r="L49" s="212">
        <f>I49*H49</f>
        <v>13819.381226000001</v>
      </c>
      <c r="M49" s="213"/>
      <c r="N49" s="234">
        <f>L49</f>
        <v>13819.381226000001</v>
      </c>
      <c r="O49" s="235"/>
      <c r="P49" s="235"/>
      <c r="Q49" s="235"/>
      <c r="R49" s="235"/>
      <c r="S49" s="235"/>
      <c r="T49" s="235"/>
      <c r="U49" s="235"/>
      <c r="V49" s="235"/>
      <c r="W49" s="235"/>
      <c r="X49" s="236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</row>
    <row r="55" spans="1:24" ht="39" customHeight="1">
      <c r="A55" s="162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</row>
    <row r="56" spans="1:24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</row>
    <row r="57" spans="1:24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9" activePane="bottomRight" state="frozen"/>
      <selection pane="bottomRight" activeCell="B12" sqref="B12:K1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6" customWidth="1"/>
    <col min="6" max="11" width="16.7109375" customWidth="1"/>
    <col min="12" max="12" width="24.28515625" customWidth="1"/>
  </cols>
  <sheetData>
    <row r="1" spans="1:12" ht="12.75" customHeight="1">
      <c r="A1" s="281"/>
      <c r="B1" s="282"/>
      <c r="C1" s="282"/>
      <c r="D1" s="283"/>
      <c r="E1" s="264" t="s">
        <v>41</v>
      </c>
      <c r="F1" s="265"/>
      <c r="G1" s="265"/>
      <c r="H1" s="265"/>
      <c r="I1" s="266"/>
      <c r="J1" s="273" t="s">
        <v>42</v>
      </c>
      <c r="K1" s="274"/>
      <c r="L1" s="49"/>
    </row>
    <row r="2" spans="1:12" ht="16.5" customHeight="1">
      <c r="A2" s="284"/>
      <c r="B2" s="285"/>
      <c r="C2" s="285"/>
      <c r="D2" s="286"/>
      <c r="E2" s="267"/>
      <c r="F2" s="268"/>
      <c r="G2" s="268"/>
      <c r="H2" s="268"/>
      <c r="I2" s="269"/>
      <c r="J2" s="275"/>
      <c r="K2" s="276"/>
      <c r="L2" s="49"/>
    </row>
    <row r="3" spans="1:12" ht="48" customHeight="1">
      <c r="A3" s="287"/>
      <c r="B3" s="288"/>
      <c r="C3" s="288"/>
      <c r="D3" s="289"/>
      <c r="E3" s="270"/>
      <c r="F3" s="271"/>
      <c r="G3" s="271"/>
      <c r="H3" s="271"/>
      <c r="I3" s="272"/>
      <c r="J3" s="277"/>
      <c r="K3" s="278"/>
      <c r="L3" s="49"/>
    </row>
    <row r="6" spans="1:12" ht="10.5" customHeight="1">
      <c r="A6" s="174"/>
      <c r="B6" s="174"/>
      <c r="C6" s="174"/>
    </row>
    <row r="7" spans="1:12" ht="16.5" customHeight="1">
      <c r="A7" s="262" t="s">
        <v>43</v>
      </c>
      <c r="B7" s="290" t="s">
        <v>44</v>
      </c>
      <c r="C7" s="291"/>
      <c r="D7" s="279" t="s">
        <v>45</v>
      </c>
      <c r="E7" s="279"/>
      <c r="F7" s="280" t="s">
        <v>46</v>
      </c>
      <c r="G7" s="280"/>
      <c r="H7" s="280"/>
      <c r="I7" s="280"/>
      <c r="J7" s="280"/>
      <c r="K7" s="280"/>
    </row>
    <row r="8" spans="1:12" s="29" customFormat="1" ht="28.5" customHeight="1">
      <c r="A8" s="263"/>
      <c r="B8" s="116" t="s">
        <v>47</v>
      </c>
      <c r="C8" s="116" t="s">
        <v>48</v>
      </c>
      <c r="D8" s="57" t="s">
        <v>47</v>
      </c>
      <c r="E8" s="57" t="s">
        <v>49</v>
      </c>
      <c r="F8" s="59" t="s">
        <v>50</v>
      </c>
      <c r="G8" s="59" t="s">
        <v>51</v>
      </c>
      <c r="H8" s="59" t="s">
        <v>52</v>
      </c>
      <c r="I8" s="59" t="s">
        <v>53</v>
      </c>
      <c r="J8" s="59" t="s">
        <v>54</v>
      </c>
      <c r="K8" s="59" t="s">
        <v>55</v>
      </c>
    </row>
    <row r="9" spans="1:12" ht="19.5">
      <c r="A9" s="60">
        <v>44256</v>
      </c>
      <c r="B9" s="118">
        <v>2559</v>
      </c>
      <c r="C9" s="117">
        <v>0</v>
      </c>
      <c r="D9" s="58">
        <v>103904.7</v>
      </c>
      <c r="E9" s="149">
        <v>77.69999999999709</v>
      </c>
      <c r="F9" s="52">
        <v>10376672</v>
      </c>
      <c r="G9" s="51">
        <v>2502</v>
      </c>
      <c r="H9" s="52">
        <v>17427936</v>
      </c>
      <c r="I9" s="51">
        <v>4053</v>
      </c>
      <c r="J9" s="52">
        <v>7720843</v>
      </c>
      <c r="K9" s="51">
        <v>1984</v>
      </c>
    </row>
    <row r="10" spans="1:12" ht="19.5">
      <c r="A10" s="60">
        <v>44257</v>
      </c>
      <c r="B10" s="118">
        <v>2559</v>
      </c>
      <c r="C10" s="117">
        <f>B10-B9</f>
        <v>0</v>
      </c>
      <c r="D10" s="58">
        <v>103972.2</v>
      </c>
      <c r="E10" s="149">
        <f>D10-D9</f>
        <v>67.5</v>
      </c>
      <c r="F10" s="52">
        <v>10379053</v>
      </c>
      <c r="G10" s="51">
        <f>F10-F9</f>
        <v>2381</v>
      </c>
      <c r="H10" s="52">
        <v>17431552</v>
      </c>
      <c r="I10" s="51">
        <f>H10-H9</f>
        <v>3616</v>
      </c>
      <c r="J10" s="52">
        <v>7722554</v>
      </c>
      <c r="K10" s="51">
        <f>J10-J9</f>
        <v>1711</v>
      </c>
    </row>
    <row r="11" spans="1:12" ht="19.5">
      <c r="A11" s="60">
        <v>44258</v>
      </c>
      <c r="B11" s="118">
        <v>2559</v>
      </c>
      <c r="C11" s="117">
        <f>B11-B10</f>
        <v>0</v>
      </c>
      <c r="D11" s="58">
        <v>104052.2</v>
      </c>
      <c r="E11" s="149">
        <f>D11-D10</f>
        <v>80</v>
      </c>
      <c r="F11" s="52">
        <v>10381714</v>
      </c>
      <c r="G11" s="51">
        <f>F11-F10</f>
        <v>2661</v>
      </c>
      <c r="H11" s="52">
        <v>17435539</v>
      </c>
      <c r="I11" s="51">
        <f>H11-H10</f>
        <v>3987</v>
      </c>
      <c r="J11" s="52">
        <v>7724442</v>
      </c>
      <c r="K11" s="51">
        <f>J11-J10</f>
        <v>1888</v>
      </c>
    </row>
    <row r="12" spans="1:12" ht="19.5">
      <c r="A12" s="60">
        <v>44259</v>
      </c>
      <c r="B12" s="118">
        <v>2559</v>
      </c>
      <c r="C12" s="117">
        <f>B12-B11</f>
        <v>0</v>
      </c>
      <c r="D12" s="58">
        <v>104114.6</v>
      </c>
      <c r="E12" s="149">
        <f>D12-D11</f>
        <v>62.400000000008731</v>
      </c>
      <c r="F12" s="52">
        <v>10384449</v>
      </c>
      <c r="G12" s="51">
        <f>F12-F11</f>
        <v>2735</v>
      </c>
      <c r="H12" s="52">
        <v>17439518</v>
      </c>
      <c r="I12" s="51">
        <f>H12-H11</f>
        <v>3979</v>
      </c>
      <c r="J12" s="52">
        <v>7726448</v>
      </c>
      <c r="K12" s="51">
        <f>J12-J11</f>
        <v>2006</v>
      </c>
    </row>
    <row r="13" spans="1:12" ht="19.5">
      <c r="A13" s="60">
        <v>44260</v>
      </c>
      <c r="B13" s="118"/>
      <c r="C13" s="117"/>
      <c r="D13" s="58"/>
      <c r="E13" s="149"/>
      <c r="F13" s="52"/>
      <c r="G13" s="51"/>
      <c r="H13" s="52"/>
      <c r="I13" s="51"/>
      <c r="J13" s="52"/>
      <c r="K13" s="51"/>
    </row>
    <row r="14" spans="1:12" ht="19.5">
      <c r="A14" s="60">
        <v>44261</v>
      </c>
      <c r="B14" s="118"/>
      <c r="C14" s="117"/>
      <c r="D14" s="58"/>
      <c r="E14" s="149"/>
      <c r="F14" s="52"/>
      <c r="G14" s="51"/>
      <c r="H14" s="52"/>
      <c r="I14" s="51"/>
      <c r="J14" s="52"/>
      <c r="K14" s="51"/>
    </row>
    <row r="15" spans="1:12" ht="19.5">
      <c r="A15" s="60">
        <v>44262</v>
      </c>
      <c r="B15" s="118"/>
      <c r="C15" s="117"/>
      <c r="D15" s="58"/>
      <c r="E15" s="149"/>
      <c r="F15" s="52"/>
      <c r="G15" s="51"/>
      <c r="H15" s="52"/>
      <c r="I15" s="51"/>
      <c r="J15" s="52"/>
      <c r="K15" s="51"/>
    </row>
    <row r="16" spans="1:12" ht="19.5">
      <c r="A16" s="60">
        <v>44263</v>
      </c>
      <c r="B16" s="118"/>
      <c r="C16" s="117"/>
      <c r="D16" s="58"/>
      <c r="E16" s="149"/>
      <c r="F16" s="52"/>
      <c r="G16" s="51"/>
      <c r="H16" s="52"/>
      <c r="I16" s="51"/>
      <c r="J16" s="52"/>
      <c r="K16" s="51"/>
    </row>
    <row r="17" spans="1:29" ht="19.5">
      <c r="A17" s="60">
        <v>44264</v>
      </c>
      <c r="B17" s="118"/>
      <c r="C17" s="117"/>
      <c r="D17" s="58"/>
      <c r="E17" s="149"/>
      <c r="F17" s="52"/>
      <c r="G17" s="51"/>
      <c r="H17" s="52"/>
      <c r="I17" s="51"/>
      <c r="J17" s="52"/>
      <c r="K17" s="51"/>
    </row>
    <row r="18" spans="1:29" ht="19.5">
      <c r="A18" s="60">
        <v>44265</v>
      </c>
      <c r="B18" s="118"/>
      <c r="C18" s="117"/>
      <c r="D18" s="58"/>
      <c r="E18" s="149"/>
      <c r="F18" s="52"/>
      <c r="G18" s="51"/>
      <c r="H18" s="52"/>
      <c r="I18" s="51"/>
      <c r="J18" s="52"/>
      <c r="K18" s="51"/>
    </row>
    <row r="19" spans="1:29" ht="19.5">
      <c r="A19" s="60">
        <v>44266</v>
      </c>
      <c r="B19" s="118"/>
      <c r="C19" s="117"/>
      <c r="D19" s="58"/>
      <c r="E19" s="149"/>
      <c r="F19" s="52"/>
      <c r="G19" s="51"/>
      <c r="H19" s="52"/>
      <c r="I19" s="51"/>
      <c r="J19" s="52"/>
      <c r="K19" s="51"/>
    </row>
    <row r="20" spans="1:29" ht="25.5">
      <c r="A20" s="60">
        <v>44267</v>
      </c>
      <c r="B20" s="118"/>
      <c r="C20" s="117"/>
      <c r="D20" s="58"/>
      <c r="E20" s="149"/>
      <c r="F20" s="52"/>
      <c r="G20" s="51"/>
      <c r="H20" s="52"/>
      <c r="I20" s="51"/>
      <c r="J20" s="52"/>
      <c r="K20" s="51"/>
      <c r="L20" s="119" t="s">
        <v>18</v>
      </c>
      <c r="AC20" t="s">
        <v>56</v>
      </c>
    </row>
    <row r="21" spans="1:29" ht="19.5">
      <c r="A21" s="60">
        <v>44268</v>
      </c>
      <c r="B21" s="118"/>
      <c r="C21" s="117"/>
      <c r="D21" s="58"/>
      <c r="E21" s="149"/>
      <c r="F21" s="52"/>
      <c r="G21" s="51"/>
      <c r="H21" s="52"/>
      <c r="I21" s="51"/>
      <c r="J21" s="52"/>
      <c r="K21" s="51"/>
    </row>
    <row r="22" spans="1:29" ht="19.5">
      <c r="A22" s="60">
        <v>44269</v>
      </c>
      <c r="B22" s="118"/>
      <c r="C22" s="117"/>
      <c r="D22" s="58"/>
      <c r="E22" s="149"/>
      <c r="F22" s="52"/>
      <c r="G22" s="51"/>
      <c r="H22" s="52"/>
      <c r="I22" s="51"/>
      <c r="J22" s="52"/>
      <c r="K22" s="51"/>
    </row>
    <row r="23" spans="1:29" ht="19.5">
      <c r="A23" s="60">
        <v>44270</v>
      </c>
      <c r="B23" s="118"/>
      <c r="C23" s="117"/>
      <c r="D23" s="58"/>
      <c r="E23" s="149"/>
      <c r="F23" s="52"/>
      <c r="G23" s="51"/>
      <c r="H23" s="52"/>
      <c r="I23" s="51"/>
      <c r="J23" s="52"/>
      <c r="K23" s="51"/>
    </row>
    <row r="24" spans="1:29" ht="19.5">
      <c r="A24" s="60">
        <v>44271</v>
      </c>
      <c r="B24" s="118"/>
      <c r="C24" s="117"/>
      <c r="D24" s="58"/>
      <c r="E24" s="149"/>
      <c r="F24" s="52"/>
      <c r="G24" s="51"/>
      <c r="H24" s="52"/>
      <c r="I24" s="51"/>
      <c r="J24" s="52"/>
      <c r="K24" s="51"/>
    </row>
    <row r="25" spans="1:29" ht="19.5">
      <c r="A25" s="60">
        <v>44272</v>
      </c>
      <c r="B25" s="118"/>
      <c r="C25" s="117"/>
      <c r="D25" s="58"/>
      <c r="E25" s="149"/>
      <c r="F25" s="52"/>
      <c r="G25" s="51"/>
      <c r="H25" s="52"/>
      <c r="I25" s="51"/>
      <c r="J25" s="52"/>
      <c r="K25" s="51"/>
    </row>
    <row r="26" spans="1:29" ht="19.5">
      <c r="A26" s="60">
        <v>44273</v>
      </c>
      <c r="B26" s="118"/>
      <c r="C26" s="117"/>
      <c r="D26" s="58"/>
      <c r="E26" s="149"/>
      <c r="F26" s="52"/>
      <c r="G26" s="51"/>
      <c r="H26" s="52"/>
      <c r="I26" s="51"/>
      <c r="J26" s="52"/>
      <c r="K26" s="51"/>
    </row>
    <row r="27" spans="1:29" ht="19.5">
      <c r="A27" s="60">
        <v>44274</v>
      </c>
      <c r="B27" s="118"/>
      <c r="C27" s="117"/>
      <c r="D27" s="58"/>
      <c r="E27" s="149"/>
      <c r="F27" s="52"/>
      <c r="G27" s="51"/>
      <c r="H27" s="52"/>
      <c r="I27" s="51"/>
      <c r="J27" s="52"/>
      <c r="K27" s="51"/>
    </row>
    <row r="28" spans="1:29" ht="19.5">
      <c r="A28" s="60">
        <v>44275</v>
      </c>
      <c r="B28" s="118"/>
      <c r="C28" s="117"/>
      <c r="D28" s="58"/>
      <c r="E28" s="149"/>
      <c r="F28" s="52"/>
      <c r="G28" s="51"/>
      <c r="H28" s="52"/>
      <c r="I28" s="51"/>
      <c r="J28" s="52"/>
      <c r="K28" s="51"/>
    </row>
    <row r="29" spans="1:29" ht="19.5">
      <c r="A29" s="60">
        <v>44276</v>
      </c>
      <c r="B29" s="118"/>
      <c r="C29" s="117"/>
      <c r="D29" s="58"/>
      <c r="E29" s="149"/>
      <c r="F29" s="52"/>
      <c r="G29" s="51"/>
      <c r="H29" s="52"/>
      <c r="I29" s="51"/>
      <c r="J29" s="52"/>
      <c r="K29" s="51"/>
    </row>
    <row r="30" spans="1:29" ht="19.5">
      <c r="A30" s="60">
        <v>44277</v>
      </c>
      <c r="B30" s="118"/>
      <c r="C30" s="117"/>
      <c r="D30" s="58"/>
      <c r="E30" s="149"/>
      <c r="F30" s="52"/>
      <c r="G30" s="51"/>
      <c r="H30" s="52"/>
      <c r="I30" s="51"/>
      <c r="J30" s="52"/>
      <c r="K30" s="51"/>
    </row>
    <row r="31" spans="1:29" ht="19.5">
      <c r="A31" s="60">
        <v>44278</v>
      </c>
      <c r="B31" s="118"/>
      <c r="C31" s="117"/>
      <c r="D31" s="58"/>
      <c r="E31" s="149"/>
      <c r="F31" s="52"/>
      <c r="G31" s="51"/>
      <c r="H31" s="52"/>
      <c r="I31" s="51"/>
      <c r="J31" s="52"/>
      <c r="K31" s="51"/>
    </row>
    <row r="32" spans="1:29" ht="19.5">
      <c r="A32" s="60">
        <v>44279</v>
      </c>
      <c r="B32" s="118"/>
      <c r="C32" s="117"/>
      <c r="D32" s="58"/>
      <c r="E32" s="149"/>
      <c r="F32" s="52"/>
      <c r="G32" s="51"/>
      <c r="H32" s="52"/>
      <c r="I32" s="51"/>
      <c r="J32" s="52"/>
      <c r="K32" s="51"/>
    </row>
    <row r="33" spans="1:11" ht="19.5">
      <c r="A33" s="60">
        <v>44280</v>
      </c>
      <c r="B33" s="118"/>
      <c r="C33" s="117"/>
      <c r="D33" s="58"/>
      <c r="E33" s="149"/>
      <c r="F33" s="52"/>
      <c r="G33" s="51"/>
      <c r="H33" s="52"/>
      <c r="I33" s="51"/>
      <c r="J33" s="52"/>
      <c r="K33" s="51"/>
    </row>
    <row r="34" spans="1:11" ht="19.5">
      <c r="A34" s="60">
        <v>44281</v>
      </c>
      <c r="B34" s="118"/>
      <c r="C34" s="117"/>
      <c r="D34" s="58"/>
      <c r="E34" s="149"/>
      <c r="F34" s="52"/>
      <c r="G34" s="51"/>
      <c r="H34" s="52"/>
      <c r="I34" s="51"/>
      <c r="J34" s="52"/>
      <c r="K34" s="51"/>
    </row>
    <row r="35" spans="1:11" ht="19.5">
      <c r="A35" s="60">
        <v>44282</v>
      </c>
      <c r="B35" s="118"/>
      <c r="C35" s="117"/>
      <c r="D35" s="58"/>
      <c r="E35" s="149"/>
      <c r="F35" s="52"/>
      <c r="G35" s="51"/>
      <c r="H35" s="52"/>
      <c r="I35" s="51"/>
      <c r="J35" s="52"/>
      <c r="K35" s="51"/>
    </row>
    <row r="36" spans="1:11" ht="19.5">
      <c r="A36" s="60">
        <v>44283</v>
      </c>
      <c r="B36" s="118"/>
      <c r="C36" s="117"/>
      <c r="D36" s="58"/>
      <c r="E36" s="149"/>
      <c r="F36" s="52"/>
      <c r="G36" s="51"/>
      <c r="H36" s="52"/>
      <c r="I36" s="51"/>
      <c r="J36" s="52"/>
      <c r="K36" s="51"/>
    </row>
    <row r="37" spans="1:11" ht="19.5">
      <c r="A37" s="60">
        <v>44284</v>
      </c>
      <c r="B37" s="118"/>
      <c r="C37" s="117"/>
      <c r="D37" s="58"/>
      <c r="E37" s="149"/>
      <c r="F37" s="160"/>
      <c r="G37" s="161"/>
      <c r="H37" s="160"/>
      <c r="I37" s="161"/>
      <c r="J37" s="160"/>
      <c r="K37" s="161"/>
    </row>
    <row r="38" spans="1:11" ht="19.5">
      <c r="A38" s="60">
        <v>44285</v>
      </c>
      <c r="B38" s="118"/>
      <c r="C38" s="50"/>
      <c r="D38" s="58"/>
      <c r="E38" s="158"/>
      <c r="F38" s="160"/>
      <c r="G38" s="157"/>
      <c r="H38" s="160"/>
      <c r="I38" s="157"/>
      <c r="J38" s="160"/>
      <c r="K38" s="157"/>
    </row>
    <row r="39" spans="1:11" ht="19.5">
      <c r="A39" s="60">
        <v>44286</v>
      </c>
      <c r="B39" s="118"/>
      <c r="C39" s="115"/>
      <c r="D39" s="58"/>
      <c r="E39" s="159"/>
      <c r="F39" s="160"/>
      <c r="G39" s="157"/>
      <c r="H39" s="160"/>
      <c r="I39" s="157"/>
      <c r="J39" s="160"/>
      <c r="K39" s="157"/>
    </row>
    <row r="40" spans="1:11" ht="21.75" customHeight="1">
      <c r="A40" s="53"/>
      <c r="B40" s="53"/>
      <c r="C40" s="53"/>
      <c r="E40" s="147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4"/>
      <c r="B44" s="174"/>
      <c r="C44" s="174"/>
    </row>
    <row r="45" spans="1:11">
      <c r="A45" s="174"/>
      <c r="B45" s="174"/>
      <c r="C45" s="174"/>
    </row>
    <row r="46" spans="1:11">
      <c r="A46" s="174"/>
      <c r="B46" s="174"/>
      <c r="C46" s="174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4" priority="53" stopIfTrue="1" operator="lessThanOrEqual">
      <formula>0</formula>
    </cfRule>
  </conditionalFormatting>
  <conditionalFormatting sqref="E15:E37">
    <cfRule type="cellIs" dxfId="3" priority="20" stopIfTrue="1" operator="lessThanOrEqual">
      <formula>0</formula>
    </cfRule>
  </conditionalFormatting>
  <conditionalFormatting sqref="E10:E37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M7" sqref="M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5" t="s">
        <v>57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</row>
    <row r="2" spans="1:31" ht="41.25" customHeight="1" thickBot="1">
      <c r="Q2" s="300">
        <v>803</v>
      </c>
      <c r="R2" s="301"/>
      <c r="S2" s="302"/>
      <c r="T2" s="303">
        <v>519</v>
      </c>
      <c r="U2" s="301"/>
      <c r="V2" s="302"/>
      <c r="W2" s="303">
        <v>800</v>
      </c>
      <c r="X2" s="301"/>
      <c r="Y2" s="302"/>
      <c r="Z2" s="303">
        <v>802</v>
      </c>
      <c r="AA2" s="301"/>
      <c r="AB2" s="304"/>
      <c r="AC2" s="36"/>
    </row>
    <row r="3" spans="1:31" s="132" customFormat="1" ht="50.25" customHeight="1">
      <c r="A3" s="121"/>
      <c r="B3" s="122" t="s">
        <v>58</v>
      </c>
      <c r="C3" s="123" t="s">
        <v>59</v>
      </c>
      <c r="D3" s="122" t="s">
        <v>60</v>
      </c>
      <c r="E3" s="123" t="s">
        <v>61</v>
      </c>
      <c r="F3" s="122" t="s">
        <v>62</v>
      </c>
      <c r="G3" s="123" t="s">
        <v>63</v>
      </c>
      <c r="H3" s="122" t="s">
        <v>64</v>
      </c>
      <c r="I3" s="123" t="s">
        <v>65</v>
      </c>
      <c r="J3" s="124" t="s">
        <v>66</v>
      </c>
      <c r="K3" s="124" t="s">
        <v>67</v>
      </c>
      <c r="L3" s="124" t="s">
        <v>68</v>
      </c>
      <c r="M3" s="124" t="s">
        <v>69</v>
      </c>
      <c r="N3" s="124" t="s">
        <v>70</v>
      </c>
      <c r="O3" s="125" t="s">
        <v>71</v>
      </c>
      <c r="P3" s="125" t="s">
        <v>72</v>
      </c>
      <c r="Q3" s="126" t="s">
        <v>73</v>
      </c>
      <c r="R3" s="126" t="s">
        <v>74</v>
      </c>
      <c r="S3" s="126" t="s">
        <v>75</v>
      </c>
      <c r="T3" s="127" t="s">
        <v>76</v>
      </c>
      <c r="U3" s="128" t="s">
        <v>74</v>
      </c>
      <c r="V3" s="127" t="s">
        <v>75</v>
      </c>
      <c r="W3" s="127" t="s">
        <v>77</v>
      </c>
      <c r="X3" s="127" t="s">
        <v>74</v>
      </c>
      <c r="Y3" s="127" t="s">
        <v>75</v>
      </c>
      <c r="Z3" s="127" t="s">
        <v>78</v>
      </c>
      <c r="AA3" s="127" t="s">
        <v>74</v>
      </c>
      <c r="AB3" s="129" t="s">
        <v>75</v>
      </c>
      <c r="AC3" s="130" t="s">
        <v>79</v>
      </c>
      <c r="AD3" s="131" t="s">
        <v>80</v>
      </c>
      <c r="AE3" s="131" t="s">
        <v>81</v>
      </c>
    </row>
    <row r="4" spans="1:31" ht="32.25" customHeight="1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53">
        <f>7000*4</f>
        <v>28000</v>
      </c>
      <c r="N4" s="39">
        <f>L4*M4/100</f>
        <v>840</v>
      </c>
      <c r="O4" s="39">
        <f>N4*0.529</f>
        <v>444.36</v>
      </c>
      <c r="P4" s="42">
        <f>O4*9.8209</f>
        <v>4364.0151240000005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>IF(AC5&gt;0,((F5-X5)+(Y5-F6)),IF(F6=0, ,(F5-F6)))</f>
        <v>4</v>
      </c>
      <c r="H5" s="41">
        <v>66</v>
      </c>
      <c r="I5" s="39">
        <f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53">
        <f t="shared" ref="M5:M42" si="6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7">O5*9.8209</f>
        <v>4727.683051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44258</v>
      </c>
      <c r="B6" s="41">
        <v>61</v>
      </c>
      <c r="C6" s="39">
        <f t="shared" ref="C6:C19" si="8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ref="G6:G26" si="9">IF(AC6&gt;0,((F6-X6)+(Y6-F7)),IF(F7=0, ,(F6-F7)))</f>
        <v>1</v>
      </c>
      <c r="H6" s="41">
        <v>62</v>
      </c>
      <c r="I6" s="39">
        <f t="shared" ref="I6:I36" si="10">IF(AC6&gt;0,((H6-AA6)+(AB6-H7)),IF(H7=0, ,(H6-H7)))</f>
        <v>6</v>
      </c>
      <c r="J6" s="39">
        <f t="shared" ref="J6:J42" si="11">B6+D6+F6+H6</f>
        <v>247</v>
      </c>
      <c r="K6" s="39">
        <f t="shared" ref="K6:K42" si="12">J6/4</f>
        <v>61.75</v>
      </c>
      <c r="L6" s="39">
        <f t="shared" ref="L6:L19" si="13">IF(AC6&gt;0,((K6-AD6)+(AE6-K7)),IF(K7=0, ,(K6-K7)))</f>
        <v>3.25</v>
      </c>
      <c r="M6" s="153">
        <f t="shared" si="6"/>
        <v>28000</v>
      </c>
      <c r="N6" s="39">
        <f t="shared" ref="N6:N42" si="14">L6*M6/100</f>
        <v>910</v>
      </c>
      <c r="O6" s="39">
        <f>N6*0.529</f>
        <v>481.39000000000004</v>
      </c>
      <c r="P6" s="42">
        <f t="shared" si="7"/>
        <v>4727.683051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44259</v>
      </c>
      <c r="B7" s="41">
        <v>58</v>
      </c>
      <c r="C7" s="39">
        <f t="shared" si="8"/>
        <v>0</v>
      </c>
      <c r="D7" s="41">
        <v>60</v>
      </c>
      <c r="E7" s="39">
        <f>IF(AC7:AC30&gt;0,((D7-U7)+(V7-D8)),IF(D8=0, ,(D7-D8)))</f>
        <v>0</v>
      </c>
      <c r="F7" s="41">
        <v>60</v>
      </c>
      <c r="G7" s="39">
        <f>IF(AC7&gt;0,((F7-X7)+(Y7-F8)),IF(F8=0, ,(F7-F8)))</f>
        <v>0</v>
      </c>
      <c r="H7" s="41">
        <v>56</v>
      </c>
      <c r="I7" s="39">
        <f t="shared" si="10"/>
        <v>0</v>
      </c>
      <c r="J7" s="39">
        <f t="shared" si="11"/>
        <v>234</v>
      </c>
      <c r="K7" s="39">
        <f t="shared" si="12"/>
        <v>58.5</v>
      </c>
      <c r="L7" s="39">
        <f t="shared" si="13"/>
        <v>0</v>
      </c>
      <c r="M7" s="153">
        <f t="shared" si="6"/>
        <v>28000</v>
      </c>
      <c r="N7" s="39">
        <f t="shared" si="14"/>
        <v>0</v>
      </c>
      <c r="O7" s="39">
        <f>N7*0.53</f>
        <v>0</v>
      </c>
      <c r="P7" s="42">
        <f t="shared" si="7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44260</v>
      </c>
      <c r="B8" s="41"/>
      <c r="C8" s="39">
        <f>IF(AC8&gt;0,((B8-R8)+(S8-B9)),IF(B9=0, ,(B8-B9)))</f>
        <v>0</v>
      </c>
      <c r="D8" s="41"/>
      <c r="E8" s="39">
        <f>IF(AC8:AC31&gt;0,((D8-U8)+(V8-D9)),IF(D9=0, ,(D8-D9)))</f>
        <v>0</v>
      </c>
      <c r="F8" s="41"/>
      <c r="G8" s="39">
        <f>IF(AC8&gt;0,((F8-X8)+(Y8-F9)),IF(F9=0, ,(F8-F9)))</f>
        <v>0</v>
      </c>
      <c r="H8" s="41"/>
      <c r="I8" s="39">
        <f t="shared" si="10"/>
        <v>0</v>
      </c>
      <c r="J8" s="39">
        <f t="shared" si="11"/>
        <v>0</v>
      </c>
      <c r="K8" s="39">
        <f t="shared" si="12"/>
        <v>0</v>
      </c>
      <c r="L8" s="39">
        <f t="shared" si="13"/>
        <v>0</v>
      </c>
      <c r="M8" s="153">
        <f t="shared" si="6"/>
        <v>28000</v>
      </c>
      <c r="N8" s="39">
        <f t="shared" si="14"/>
        <v>0</v>
      </c>
      <c r="O8" s="152">
        <f t="shared" ref="O8:O37" si="15">N8*0.529</f>
        <v>0</v>
      </c>
      <c r="P8" s="42">
        <f t="shared" si="7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44261</v>
      </c>
      <c r="B9" s="41"/>
      <c r="C9" s="39">
        <f>IF(AC9&gt;0,((B9-R9)+(S9-B10)),IF(B10=0, ,(B9-B10)))</f>
        <v>0</v>
      </c>
      <c r="D9" s="41"/>
      <c r="E9" s="39">
        <f>IF(AC9&gt;0,((D9-U9)+(V9-D10)),IF(D10=0, ,(D9-D10)))</f>
        <v>0</v>
      </c>
      <c r="F9" s="41"/>
      <c r="G9" s="39">
        <f>IF(AC9&gt;0,((F9-X9)+(Y9-F10)),IF(F10=0, ,(F9-F10)))</f>
        <v>0</v>
      </c>
      <c r="H9" s="41"/>
      <c r="I9" s="39">
        <f t="shared" si="10"/>
        <v>0</v>
      </c>
      <c r="J9" s="39">
        <f t="shared" si="11"/>
        <v>0</v>
      </c>
      <c r="K9" s="39">
        <f t="shared" si="12"/>
        <v>0</v>
      </c>
      <c r="L9" s="39">
        <f t="shared" si="13"/>
        <v>0</v>
      </c>
      <c r="M9" s="153">
        <f t="shared" si="6"/>
        <v>28000</v>
      </c>
      <c r="N9" s="39">
        <f t="shared" si="14"/>
        <v>0</v>
      </c>
      <c r="O9" s="39">
        <f t="shared" si="15"/>
        <v>0</v>
      </c>
      <c r="P9" s="42">
        <f t="shared" si="7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44262</v>
      </c>
      <c r="B10" s="41"/>
      <c r="C10" s="39">
        <f>IF(AC10&gt;0,((B10-R10)+(S10-B11)),IF(B11=0, ,(B10-B11)))</f>
        <v>0</v>
      </c>
      <c r="D10" s="41"/>
      <c r="E10" s="39">
        <f>IF(AC10&gt;0,((D10-U10)+(V10-D11)),IF(D11=0, ,(D10-D11)))</f>
        <v>0</v>
      </c>
      <c r="F10" s="41"/>
      <c r="G10" s="39">
        <f>IF(AC10&gt;0,((F10-X10)+(Y10-F11)),IF(F11=0, ,(F10-F11)))</f>
        <v>0</v>
      </c>
      <c r="H10" s="41"/>
      <c r="I10" s="39">
        <f t="shared" si="10"/>
        <v>0</v>
      </c>
      <c r="J10" s="39">
        <f t="shared" si="11"/>
        <v>0</v>
      </c>
      <c r="K10" s="39">
        <f t="shared" si="12"/>
        <v>0</v>
      </c>
      <c r="L10" s="39">
        <f t="shared" si="13"/>
        <v>0</v>
      </c>
      <c r="M10" s="153">
        <f t="shared" si="6"/>
        <v>28000</v>
      </c>
      <c r="N10" s="39">
        <f t="shared" si="14"/>
        <v>0</v>
      </c>
      <c r="O10" s="152">
        <f t="shared" si="15"/>
        <v>0</v>
      </c>
      <c r="P10" s="42">
        <f t="shared" si="7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44263</v>
      </c>
      <c r="B11" s="41"/>
      <c r="C11" s="39">
        <f t="shared" si="8"/>
        <v>0</v>
      </c>
      <c r="D11" s="41"/>
      <c r="E11" s="39">
        <f t="shared" ref="E11:E26" si="16">IF(AC11&gt;0,((D11-U11)+(V11-D12)),IF(D12=0, ,(D11-D12)))</f>
        <v>0</v>
      </c>
      <c r="F11" s="41"/>
      <c r="G11" s="39">
        <f t="shared" si="9"/>
        <v>0</v>
      </c>
      <c r="H11" s="41"/>
      <c r="I11" s="39">
        <f t="shared" si="10"/>
        <v>0</v>
      </c>
      <c r="J11" s="39">
        <f t="shared" si="11"/>
        <v>0</v>
      </c>
      <c r="K11" s="39">
        <f t="shared" si="12"/>
        <v>0</v>
      </c>
      <c r="L11" s="39">
        <f t="shared" si="13"/>
        <v>0</v>
      </c>
      <c r="M11" s="153">
        <f t="shared" si="6"/>
        <v>28000</v>
      </c>
      <c r="N11" s="39">
        <f t="shared" si="14"/>
        <v>0</v>
      </c>
      <c r="O11" s="39">
        <f t="shared" si="15"/>
        <v>0</v>
      </c>
      <c r="P11" s="42">
        <f t="shared" si="7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44264</v>
      </c>
      <c r="B12" s="41"/>
      <c r="C12" s="39">
        <f t="shared" si="8"/>
        <v>0</v>
      </c>
      <c r="D12" s="41"/>
      <c r="E12" s="39">
        <f t="shared" si="16"/>
        <v>0</v>
      </c>
      <c r="F12" s="41"/>
      <c r="G12" s="39">
        <f t="shared" si="9"/>
        <v>0</v>
      </c>
      <c r="H12" s="41"/>
      <c r="I12" s="39">
        <f t="shared" si="10"/>
        <v>0</v>
      </c>
      <c r="J12" s="39">
        <f t="shared" si="11"/>
        <v>0</v>
      </c>
      <c r="K12" s="39">
        <f t="shared" si="12"/>
        <v>0</v>
      </c>
      <c r="L12" s="39">
        <f t="shared" si="13"/>
        <v>0</v>
      </c>
      <c r="M12" s="153">
        <f t="shared" si="6"/>
        <v>28000</v>
      </c>
      <c r="N12" s="39">
        <f t="shared" si="14"/>
        <v>0</v>
      </c>
      <c r="O12" s="39">
        <f t="shared" si="15"/>
        <v>0</v>
      </c>
      <c r="P12" s="42">
        <f t="shared" si="7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44265</v>
      </c>
      <c r="B13" s="41"/>
      <c r="C13" s="39">
        <f t="shared" si="8"/>
        <v>0</v>
      </c>
      <c r="D13" s="41"/>
      <c r="E13" s="39">
        <f t="shared" si="16"/>
        <v>0</v>
      </c>
      <c r="F13" s="41"/>
      <c r="G13" s="39">
        <f t="shared" si="9"/>
        <v>0</v>
      </c>
      <c r="H13" s="41"/>
      <c r="I13" s="39">
        <f t="shared" si="10"/>
        <v>0</v>
      </c>
      <c r="J13" s="39">
        <f t="shared" si="11"/>
        <v>0</v>
      </c>
      <c r="K13" s="39">
        <f t="shared" si="12"/>
        <v>0</v>
      </c>
      <c r="L13" s="39">
        <f t="shared" si="13"/>
        <v>0</v>
      </c>
      <c r="M13" s="153">
        <f t="shared" si="6"/>
        <v>28000</v>
      </c>
      <c r="N13" s="39">
        <f t="shared" si="14"/>
        <v>0</v>
      </c>
      <c r="O13" s="39">
        <f t="shared" si="15"/>
        <v>0</v>
      </c>
      <c r="P13" s="42">
        <f t="shared" si="7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44266</v>
      </c>
      <c r="B14" s="41"/>
      <c r="C14" s="39">
        <f>IF(AC14&gt;0,((B14-R14)+(S14-B15)),IF(B15=0, ,(B14-B15)))</f>
        <v>0</v>
      </c>
      <c r="D14" s="41"/>
      <c r="E14" s="39">
        <f>IF(AC14&gt;0,((D14-U14)+(V14-D15)),IF(D15=0, ,(D14-D15)))</f>
        <v>0</v>
      </c>
      <c r="F14" s="41"/>
      <c r="G14" s="39">
        <f>IF(AC14&gt;0,((F14-X14)+(Y14-F15)),IF(F15=0, ,(F14-F15)))</f>
        <v>0</v>
      </c>
      <c r="H14" s="41"/>
      <c r="I14" s="39">
        <f>IF(AC14&gt;0,((H14-AA14)+(AB14-H15)),IF(H15=0, ,(H14-H15)))</f>
        <v>0</v>
      </c>
      <c r="J14" s="39">
        <f t="shared" si="11"/>
        <v>0</v>
      </c>
      <c r="K14" s="39">
        <f t="shared" si="12"/>
        <v>0</v>
      </c>
      <c r="L14" s="39">
        <f t="shared" si="13"/>
        <v>0</v>
      </c>
      <c r="M14" s="153">
        <f t="shared" si="6"/>
        <v>28000</v>
      </c>
      <c r="N14" s="39">
        <f t="shared" si="14"/>
        <v>0</v>
      </c>
      <c r="O14" s="39">
        <f t="shared" si="15"/>
        <v>0</v>
      </c>
      <c r="P14" s="42">
        <f t="shared" si="7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44267</v>
      </c>
      <c r="B15" s="41"/>
      <c r="C15" s="39">
        <f>IF(AC15&gt;0,((B15-R15)+(S15-B16)),IF(B16=0, ,(B15-B16)))</f>
        <v>0</v>
      </c>
      <c r="D15" s="41"/>
      <c r="E15" s="39">
        <f>IF(AC15&gt;0,((D15-U15)+(V15-D16)),IF(D16=0, ,(D15-D16)))</f>
        <v>0</v>
      </c>
      <c r="F15" s="41"/>
      <c r="G15" s="39">
        <f>IF(AC15&gt;0,((F15-X15)+(Y15-F16)),IF(F16=0, ,(F15-F16)))</f>
        <v>0</v>
      </c>
      <c r="H15" s="41"/>
      <c r="I15" s="39">
        <f>IF(AC15&gt;0,((H15-AA15)+(AB15-H16)),IF(H16=0, ,(H15-H16)))</f>
        <v>0</v>
      </c>
      <c r="J15" s="39">
        <f t="shared" si="11"/>
        <v>0</v>
      </c>
      <c r="K15" s="39">
        <f t="shared" si="12"/>
        <v>0</v>
      </c>
      <c r="L15" s="39">
        <f t="shared" si="13"/>
        <v>0</v>
      </c>
      <c r="M15" s="153">
        <f t="shared" si="6"/>
        <v>28000</v>
      </c>
      <c r="N15" s="39">
        <f t="shared" si="14"/>
        <v>0</v>
      </c>
      <c r="O15" s="39">
        <f t="shared" si="15"/>
        <v>0</v>
      </c>
      <c r="P15" s="42">
        <f t="shared" si="7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44268</v>
      </c>
      <c r="B16" s="41"/>
      <c r="C16" s="39">
        <f t="shared" si="8"/>
        <v>0</v>
      </c>
      <c r="D16" s="41"/>
      <c r="E16" s="39">
        <f t="shared" si="16"/>
        <v>0</v>
      </c>
      <c r="F16" s="41"/>
      <c r="G16" s="39">
        <f t="shared" si="9"/>
        <v>0</v>
      </c>
      <c r="H16" s="41"/>
      <c r="I16" s="39">
        <f t="shared" si="10"/>
        <v>0</v>
      </c>
      <c r="J16" s="39">
        <f t="shared" si="11"/>
        <v>0</v>
      </c>
      <c r="K16" s="39">
        <f t="shared" si="12"/>
        <v>0</v>
      </c>
      <c r="L16" s="39">
        <f t="shared" si="13"/>
        <v>0</v>
      </c>
      <c r="M16" s="153">
        <f t="shared" si="6"/>
        <v>28000</v>
      </c>
      <c r="N16" s="39">
        <f t="shared" si="14"/>
        <v>0</v>
      </c>
      <c r="O16" s="39">
        <f t="shared" si="15"/>
        <v>0</v>
      </c>
      <c r="P16" s="42">
        <f t="shared" si="7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44269</v>
      </c>
      <c r="B17" s="41"/>
      <c r="C17" s="39">
        <f t="shared" si="8"/>
        <v>0</v>
      </c>
      <c r="D17" s="41"/>
      <c r="E17" s="39">
        <f t="shared" si="16"/>
        <v>0</v>
      </c>
      <c r="F17" s="41"/>
      <c r="G17" s="39">
        <f t="shared" si="9"/>
        <v>0</v>
      </c>
      <c r="H17" s="41"/>
      <c r="I17" s="39">
        <f t="shared" si="10"/>
        <v>0</v>
      </c>
      <c r="J17" s="39">
        <f t="shared" si="11"/>
        <v>0</v>
      </c>
      <c r="K17" s="39">
        <f t="shared" si="12"/>
        <v>0</v>
      </c>
      <c r="L17" s="39">
        <f t="shared" si="13"/>
        <v>0</v>
      </c>
      <c r="M17" s="153">
        <f t="shared" si="6"/>
        <v>28000</v>
      </c>
      <c r="N17" s="39">
        <f t="shared" si="14"/>
        <v>0</v>
      </c>
      <c r="O17" s="39">
        <f t="shared" si="15"/>
        <v>0</v>
      </c>
      <c r="P17" s="42">
        <f t="shared" si="7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44270</v>
      </c>
      <c r="B18" s="41"/>
      <c r="C18" s="39">
        <f t="shared" si="8"/>
        <v>0</v>
      </c>
      <c r="D18" s="41"/>
      <c r="E18" s="39">
        <f t="shared" si="16"/>
        <v>0</v>
      </c>
      <c r="F18" s="41"/>
      <c r="G18" s="39">
        <f t="shared" si="9"/>
        <v>0</v>
      </c>
      <c r="H18" s="41"/>
      <c r="I18" s="39">
        <f t="shared" si="10"/>
        <v>0</v>
      </c>
      <c r="J18" s="39">
        <f t="shared" si="11"/>
        <v>0</v>
      </c>
      <c r="K18" s="39">
        <f t="shared" si="12"/>
        <v>0</v>
      </c>
      <c r="L18" s="39">
        <f t="shared" si="13"/>
        <v>0</v>
      </c>
      <c r="M18" s="153">
        <f t="shared" si="6"/>
        <v>28000</v>
      </c>
      <c r="N18" s="39">
        <f t="shared" si="14"/>
        <v>0</v>
      </c>
      <c r="O18" s="39">
        <f t="shared" si="15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44271</v>
      </c>
      <c r="B19" s="41"/>
      <c r="C19" s="39">
        <f t="shared" si="8"/>
        <v>0</v>
      </c>
      <c r="D19" s="41"/>
      <c r="E19" s="39">
        <f>IF(AC19&gt;0,((D19-U19)+(V19-D20)),IF(D20=0, ,(D19-D20)))</f>
        <v>0</v>
      </c>
      <c r="F19" s="41"/>
      <c r="G19" s="39">
        <f t="shared" si="9"/>
        <v>0</v>
      </c>
      <c r="H19" s="41"/>
      <c r="I19" s="39">
        <f t="shared" si="10"/>
        <v>0</v>
      </c>
      <c r="J19" s="39">
        <f t="shared" si="11"/>
        <v>0</v>
      </c>
      <c r="K19" s="39">
        <f t="shared" si="12"/>
        <v>0</v>
      </c>
      <c r="L19" s="39">
        <f t="shared" si="13"/>
        <v>0</v>
      </c>
      <c r="M19" s="153">
        <f t="shared" si="6"/>
        <v>28000</v>
      </c>
      <c r="N19" s="39">
        <f t="shared" si="14"/>
        <v>0</v>
      </c>
      <c r="O19" s="39">
        <f t="shared" si="15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44272</v>
      </c>
      <c r="B20" s="41"/>
      <c r="C20" s="39">
        <f>IF(AC20&gt;0,((B20-R20)+(S20-B21)),IF(B21=0, ,(B20-B21)))</f>
        <v>0</v>
      </c>
      <c r="D20" s="41"/>
      <c r="E20" s="39">
        <f t="shared" si="16"/>
        <v>0</v>
      </c>
      <c r="F20" s="41"/>
      <c r="G20" s="39">
        <f t="shared" si="9"/>
        <v>0</v>
      </c>
      <c r="H20" s="41"/>
      <c r="I20" s="39">
        <f t="shared" si="10"/>
        <v>0</v>
      </c>
      <c r="J20" s="39">
        <f t="shared" si="11"/>
        <v>0</v>
      </c>
      <c r="K20" s="39">
        <f t="shared" si="12"/>
        <v>0</v>
      </c>
      <c r="L20" s="39">
        <f t="shared" ref="L20:L42" si="17">IF(AC20&gt;0,((K20-AD20)+(AE20-K21)),IF(K21=0, ,(K20-K21)))</f>
        <v>0</v>
      </c>
      <c r="M20" s="153">
        <f t="shared" si="6"/>
        <v>28000</v>
      </c>
      <c r="N20" s="39">
        <f t="shared" si="14"/>
        <v>0</v>
      </c>
      <c r="O20" s="39">
        <f t="shared" si="15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44273</v>
      </c>
      <c r="B21" s="41"/>
      <c r="C21" s="39">
        <f t="shared" ref="C21:C35" si="18">IF(AC21&gt;0,((B21-R21)+(S21-B22)),IF(B22=0, ,(B21-B22)))</f>
        <v>0</v>
      </c>
      <c r="D21" s="41"/>
      <c r="E21" s="39">
        <f t="shared" si="16"/>
        <v>0</v>
      </c>
      <c r="F21" s="41"/>
      <c r="G21" s="39">
        <f>IF(AC21&gt;0,((F21-X21)+(Y21-F22)),IF(F22=0, ,(F21-F22)))</f>
        <v>0</v>
      </c>
      <c r="H21" s="41"/>
      <c r="I21" s="39">
        <f t="shared" si="10"/>
        <v>0</v>
      </c>
      <c r="J21" s="39">
        <f t="shared" si="11"/>
        <v>0</v>
      </c>
      <c r="K21" s="39">
        <f t="shared" si="12"/>
        <v>0</v>
      </c>
      <c r="L21" s="39">
        <f>IF(AC21&gt;0,((K21-AD21)+(AE21-K22)),IF(K22=0, ,(K21-K22)))</f>
        <v>0</v>
      </c>
      <c r="M21" s="153">
        <f t="shared" si="6"/>
        <v>28000</v>
      </c>
      <c r="N21" s="39">
        <f t="shared" si="14"/>
        <v>0</v>
      </c>
      <c r="O21" s="39">
        <f t="shared" si="15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44274</v>
      </c>
      <c r="B22" s="41"/>
      <c r="C22" s="39">
        <f t="shared" si="18"/>
        <v>0</v>
      </c>
      <c r="D22" s="41"/>
      <c r="E22" s="39">
        <f t="shared" si="16"/>
        <v>0</v>
      </c>
      <c r="F22" s="41"/>
      <c r="G22" s="39">
        <f t="shared" si="9"/>
        <v>0</v>
      </c>
      <c r="H22" s="41"/>
      <c r="I22" s="39">
        <f t="shared" si="10"/>
        <v>0</v>
      </c>
      <c r="J22" s="39">
        <f t="shared" si="11"/>
        <v>0</v>
      </c>
      <c r="K22" s="39">
        <f t="shared" si="12"/>
        <v>0</v>
      </c>
      <c r="L22" s="39">
        <f>IF(AC22&gt;0,((K22-AD22)+(AE22-K23)),IF(K23=0, ,(K22-K23)))</f>
        <v>0</v>
      </c>
      <c r="M22" s="153">
        <f t="shared" si="6"/>
        <v>28000</v>
      </c>
      <c r="N22" s="39">
        <f t="shared" si="14"/>
        <v>0</v>
      </c>
      <c r="O22" s="39">
        <f t="shared" si="15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44275</v>
      </c>
      <c r="B23" s="41"/>
      <c r="C23" s="39">
        <f t="shared" si="18"/>
        <v>0</v>
      </c>
      <c r="D23" s="41"/>
      <c r="E23" s="39">
        <f t="shared" si="16"/>
        <v>0</v>
      </c>
      <c r="F23" s="41"/>
      <c r="G23" s="39">
        <f t="shared" si="9"/>
        <v>0</v>
      </c>
      <c r="H23" s="41"/>
      <c r="I23" s="39">
        <f t="shared" si="10"/>
        <v>0</v>
      </c>
      <c r="J23" s="39">
        <f t="shared" si="11"/>
        <v>0</v>
      </c>
      <c r="K23" s="39">
        <f t="shared" si="12"/>
        <v>0</v>
      </c>
      <c r="L23" s="39">
        <f t="shared" si="17"/>
        <v>0</v>
      </c>
      <c r="M23" s="153">
        <f t="shared" si="6"/>
        <v>28000</v>
      </c>
      <c r="N23" s="39">
        <f t="shared" si="14"/>
        <v>0</v>
      </c>
      <c r="O23" s="39">
        <f t="shared" si="15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44276</v>
      </c>
      <c r="B24" s="41"/>
      <c r="C24" s="39">
        <f>IF(AC24&gt;0,((B24-R24)+(S24-B25)),IF(B25=0, ,(B24-B25)))</f>
        <v>0</v>
      </c>
      <c r="D24" s="41"/>
      <c r="E24" s="39">
        <f t="shared" si="16"/>
        <v>0</v>
      </c>
      <c r="F24" s="41"/>
      <c r="G24" s="39">
        <f t="shared" si="9"/>
        <v>0</v>
      </c>
      <c r="H24" s="41"/>
      <c r="I24" s="39">
        <f t="shared" si="10"/>
        <v>0</v>
      </c>
      <c r="J24" s="39">
        <f t="shared" si="11"/>
        <v>0</v>
      </c>
      <c r="K24" s="39">
        <f t="shared" si="12"/>
        <v>0</v>
      </c>
      <c r="L24" s="39">
        <f t="shared" si="17"/>
        <v>0</v>
      </c>
      <c r="M24" s="153">
        <f t="shared" si="6"/>
        <v>28000</v>
      </c>
      <c r="N24" s="39">
        <f t="shared" si="14"/>
        <v>0</v>
      </c>
      <c r="O24" s="39">
        <f t="shared" si="15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44277</v>
      </c>
      <c r="B25" s="41"/>
      <c r="C25" s="39">
        <f>IF(AC25&gt;0,((B25-R25)+(S25-B26)),IF(B26=0, ,(B25-B26)))</f>
        <v>0</v>
      </c>
      <c r="D25" s="41"/>
      <c r="E25" s="39">
        <f t="shared" si="16"/>
        <v>0</v>
      </c>
      <c r="F25" s="41"/>
      <c r="G25" s="39">
        <f t="shared" si="9"/>
        <v>0</v>
      </c>
      <c r="H25" s="41"/>
      <c r="I25" s="39">
        <f t="shared" si="10"/>
        <v>0</v>
      </c>
      <c r="J25" s="39">
        <f t="shared" si="11"/>
        <v>0</v>
      </c>
      <c r="K25" s="39">
        <f t="shared" si="12"/>
        <v>0</v>
      </c>
      <c r="L25" s="39">
        <f t="shared" si="17"/>
        <v>0</v>
      </c>
      <c r="M25" s="153">
        <f t="shared" si="6"/>
        <v>28000</v>
      </c>
      <c r="N25" s="39">
        <f t="shared" si="14"/>
        <v>0</v>
      </c>
      <c r="O25" s="39">
        <f t="shared" si="15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44278</v>
      </c>
      <c r="B26" s="41"/>
      <c r="C26" s="39">
        <f>IF(AC26&gt;0,((B26-R26)+(S26-B27)),IF(B27=0, ,(B26-B27)))</f>
        <v>0</v>
      </c>
      <c r="D26" s="41"/>
      <c r="E26" s="39">
        <f t="shared" si="16"/>
        <v>0</v>
      </c>
      <c r="F26" s="41"/>
      <c r="G26" s="39">
        <f t="shared" si="9"/>
        <v>0</v>
      </c>
      <c r="H26" s="41"/>
      <c r="I26" s="39">
        <f t="shared" si="10"/>
        <v>0</v>
      </c>
      <c r="J26" s="39">
        <f t="shared" si="11"/>
        <v>0</v>
      </c>
      <c r="K26" s="39">
        <f t="shared" si="12"/>
        <v>0</v>
      </c>
      <c r="L26" s="39">
        <f t="shared" si="17"/>
        <v>0</v>
      </c>
      <c r="M26" s="153">
        <f t="shared" si="6"/>
        <v>28000</v>
      </c>
      <c r="N26" s="39">
        <f t="shared" si="14"/>
        <v>0</v>
      </c>
      <c r="O26" s="39">
        <f t="shared" si="15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44279</v>
      </c>
      <c r="B27" s="41"/>
      <c r="C27" s="39">
        <f t="shared" si="18"/>
        <v>0</v>
      </c>
      <c r="D27" s="41"/>
      <c r="E27" s="39">
        <f t="shared" ref="E27:E36" si="21">IF(AC27&gt;0,((D27-U27)+(V27-D28)),IF(D28=0, ,(D27-D28)))</f>
        <v>0</v>
      </c>
      <c r="F27" s="41"/>
      <c r="G27" s="39">
        <f t="shared" ref="G27:G36" si="22">IF(AC27&gt;0,((F27-X27)+(Y27-F28)),IF(F28=0, ,(F27-F28)))</f>
        <v>0</v>
      </c>
      <c r="H27" s="41"/>
      <c r="I27" s="39">
        <f t="shared" si="10"/>
        <v>0</v>
      </c>
      <c r="J27" s="39">
        <f t="shared" si="11"/>
        <v>0</v>
      </c>
      <c r="K27" s="39">
        <f t="shared" si="12"/>
        <v>0</v>
      </c>
      <c r="L27" s="39">
        <f t="shared" si="17"/>
        <v>0</v>
      </c>
      <c r="M27" s="153">
        <f t="shared" si="6"/>
        <v>28000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44280</v>
      </c>
      <c r="B28" s="41"/>
      <c r="C28" s="39">
        <f t="shared" si="18"/>
        <v>0</v>
      </c>
      <c r="D28" s="41"/>
      <c r="E28" s="39">
        <f t="shared" si="21"/>
        <v>0</v>
      </c>
      <c r="F28" s="41"/>
      <c r="G28" s="39">
        <f t="shared" si="22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7"/>
        <v>0</v>
      </c>
      <c r="M28" s="153">
        <f t="shared" si="6"/>
        <v>28000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44281</v>
      </c>
      <c r="B29" s="41"/>
      <c r="C29" s="39">
        <f t="shared" si="18"/>
        <v>0</v>
      </c>
      <c r="D29" s="41"/>
      <c r="E29" s="39">
        <f t="shared" si="21"/>
        <v>0</v>
      </c>
      <c r="F29" s="41"/>
      <c r="G29" s="39">
        <f t="shared" si="22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7"/>
        <v>0</v>
      </c>
      <c r="M29" s="153">
        <f t="shared" si="6"/>
        <v>28000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44282</v>
      </c>
      <c r="B30" s="41"/>
      <c r="C30" s="39">
        <f t="shared" si="18"/>
        <v>0</v>
      </c>
      <c r="D30" s="41"/>
      <c r="E30" s="39">
        <f t="shared" si="21"/>
        <v>0</v>
      </c>
      <c r="F30" s="41"/>
      <c r="G30" s="39">
        <f t="shared" si="22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7"/>
        <v>0</v>
      </c>
      <c r="M30" s="153">
        <f t="shared" si="6"/>
        <v>28000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>
      <c r="A31" s="40">
        <v>44283</v>
      </c>
      <c r="B31" s="41"/>
      <c r="C31" s="39">
        <f t="shared" si="18"/>
        <v>0</v>
      </c>
      <c r="D31" s="41"/>
      <c r="E31" s="39">
        <f t="shared" si="21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7"/>
        <v>0</v>
      </c>
      <c r="M31" s="153">
        <f t="shared" si="6"/>
        <v>28000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>
      <c r="A32" s="40">
        <v>44284</v>
      </c>
      <c r="B32" s="41"/>
      <c r="C32" s="39">
        <f t="shared" si="18"/>
        <v>0</v>
      </c>
      <c r="D32" s="41"/>
      <c r="E32" s="39">
        <f t="shared" si="21"/>
        <v>0</v>
      </c>
      <c r="F32" s="41"/>
      <c r="G32" s="39">
        <f t="shared" si="22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7"/>
        <v>0</v>
      </c>
      <c r="M32" s="153">
        <f t="shared" si="6"/>
        <v>28000</v>
      </c>
      <c r="N32" s="39">
        <f t="shared" si="14"/>
        <v>0</v>
      </c>
      <c r="O32" s="153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>
      <c r="A33" s="40">
        <v>44285</v>
      </c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7"/>
        <v>0</v>
      </c>
      <c r="M33" s="153">
        <f t="shared" si="6"/>
        <v>28000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>
      <c r="A34" s="40">
        <v>44286</v>
      </c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3">
        <f t="shared" si="6"/>
        <v>28000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>
      <c r="A35" s="40">
        <v>44287</v>
      </c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153">
        <f t="shared" si="6"/>
        <v>28000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7"/>
        <v>0</v>
      </c>
      <c r="M36" s="153">
        <f t="shared" si="6"/>
        <v>28000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7"/>
        <v>0</v>
      </c>
      <c r="M37" s="153">
        <f t="shared" si="6"/>
        <v>28000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1"/>
        <v>0</v>
      </c>
      <c r="K38" s="39">
        <f t="shared" si="12"/>
        <v>0</v>
      </c>
      <c r="L38" s="39">
        <f t="shared" si="17"/>
        <v>0</v>
      </c>
      <c r="M38" s="153">
        <f t="shared" si="6"/>
        <v>28000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1"/>
        <v>0</v>
      </c>
      <c r="K39" s="39">
        <f t="shared" si="12"/>
        <v>0</v>
      </c>
      <c r="L39" s="39">
        <f t="shared" si="17"/>
        <v>0</v>
      </c>
      <c r="M39" s="153">
        <f t="shared" si="6"/>
        <v>28000</v>
      </c>
      <c r="N39" s="39">
        <f t="shared" si="14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1"/>
        <v>0</v>
      </c>
      <c r="K40" s="39">
        <f t="shared" si="12"/>
        <v>0</v>
      </c>
      <c r="L40" s="39">
        <f t="shared" si="17"/>
        <v>0</v>
      </c>
      <c r="M40" s="153">
        <f t="shared" si="6"/>
        <v>28000</v>
      </c>
      <c r="N40" s="39">
        <f t="shared" si="14"/>
        <v>0</v>
      </c>
      <c r="O40" s="39">
        <f>N40*0.53</f>
        <v>0</v>
      </c>
      <c r="P40" s="42">
        <f t="shared" ref="P5:P40" si="27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1"/>
        <v>0</v>
      </c>
      <c r="K41" s="39">
        <f t="shared" si="12"/>
        <v>0</v>
      </c>
      <c r="L41" s="39">
        <f t="shared" si="17"/>
        <v>0</v>
      </c>
      <c r="M41" s="153">
        <f t="shared" si="6"/>
        <v>28000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1"/>
        <v>0</v>
      </c>
      <c r="K42" s="39">
        <f t="shared" si="12"/>
        <v>0</v>
      </c>
      <c r="L42" s="39">
        <f t="shared" si="17"/>
        <v>0</v>
      </c>
      <c r="M42" s="153">
        <f t="shared" si="6"/>
        <v>28000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2660</v>
      </c>
      <c r="O43" s="39">
        <f>N43*0.529</f>
        <v>1407.14</v>
      </c>
      <c r="P43" s="42">
        <f>O43*9.8209</f>
        <v>13819.381226000001</v>
      </c>
      <c r="Q43" s="296">
        <f>SUM(Q4:Q42)</f>
        <v>0</v>
      </c>
      <c r="R43" s="297"/>
      <c r="S43" s="298"/>
      <c r="T43" s="299">
        <f>SUM(T4:T42)</f>
        <v>0</v>
      </c>
      <c r="U43" s="297"/>
      <c r="V43" s="298"/>
      <c r="W43" s="299">
        <f>SUM(W4:W42)</f>
        <v>0</v>
      </c>
      <c r="X43" s="297"/>
      <c r="Y43" s="298"/>
      <c r="Z43" s="299">
        <f>SUM(Z4:Z42)</f>
        <v>0</v>
      </c>
      <c r="AA43" s="297"/>
      <c r="AB43" s="298"/>
      <c r="AC43" s="39">
        <f t="shared" si="20"/>
        <v>0</v>
      </c>
    </row>
    <row r="44" spans="1:31" ht="35.25" customHeight="1" thickBot="1">
      <c r="B44" s="305"/>
      <c r="C44" s="306"/>
      <c r="D44" s="306"/>
      <c r="E44" s="306"/>
      <c r="F44" s="306"/>
      <c r="G44" s="306"/>
      <c r="H44" s="306"/>
      <c r="I44" s="307"/>
      <c r="J44" s="37"/>
      <c r="K44" s="37"/>
      <c r="L44" s="37"/>
      <c r="M44" s="37"/>
      <c r="N44" s="37"/>
      <c r="O44" s="37"/>
      <c r="P44" s="37"/>
      <c r="Q44" s="308">
        <f>Q43+T43+W43+Z43</f>
        <v>0</v>
      </c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1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2" t="s">
        <v>85</v>
      </c>
      <c r="I47" s="293"/>
      <c r="J47" s="294"/>
      <c r="K47" s="45">
        <f>N43</f>
        <v>2660</v>
      </c>
      <c r="L47" s="46">
        <f>O43</f>
        <v>1407.14</v>
      </c>
      <c r="M47" s="46">
        <f>P43</f>
        <v>13819.381226000001</v>
      </c>
    </row>
    <row r="48" spans="1:31" ht="54.75" customHeight="1" thickBot="1">
      <c r="H48" s="292" t="s">
        <v>86</v>
      </c>
      <c r="I48" s="293"/>
      <c r="J48" s="294"/>
      <c r="K48" s="43">
        <f>AC44</f>
        <v>0</v>
      </c>
      <c r="L48" s="44">
        <f>K48*0.529</f>
        <v>0</v>
      </c>
      <c r="M48" s="44">
        <f>L48*9.8209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8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1"/>
      <c r="B1" s="283"/>
      <c r="C1" s="369" t="s">
        <v>87</v>
      </c>
      <c r="D1" s="370"/>
      <c r="E1" s="370"/>
      <c r="F1" s="370"/>
      <c r="G1" s="370"/>
      <c r="H1" s="375" t="s">
        <v>88</v>
      </c>
      <c r="I1" s="376"/>
      <c r="J1" s="377"/>
    </row>
    <row r="2" spans="1:10" ht="16.5" customHeight="1" thickBot="1">
      <c r="A2" s="284"/>
      <c r="B2" s="286"/>
      <c r="C2" s="371"/>
      <c r="D2" s="372"/>
      <c r="E2" s="372"/>
      <c r="F2" s="372"/>
      <c r="G2" s="372"/>
      <c r="H2" s="378"/>
      <c r="I2" s="379"/>
      <c r="J2" s="380"/>
    </row>
    <row r="3" spans="1:10" ht="15" customHeight="1">
      <c r="A3" s="284"/>
      <c r="B3" s="286"/>
      <c r="C3" s="371"/>
      <c r="D3" s="372"/>
      <c r="E3" s="372"/>
      <c r="F3" s="372"/>
      <c r="G3" s="372"/>
      <c r="H3" s="381" t="s">
        <v>89</v>
      </c>
      <c r="I3" s="382"/>
      <c r="J3" s="383"/>
    </row>
    <row r="4" spans="1:10" ht="15.75" customHeight="1" thickBot="1">
      <c r="A4" s="287"/>
      <c r="B4" s="289"/>
      <c r="C4" s="373"/>
      <c r="D4" s="374"/>
      <c r="E4" s="374"/>
      <c r="F4" s="374"/>
      <c r="G4" s="374"/>
      <c r="H4" s="384"/>
      <c r="I4" s="385"/>
      <c r="J4" s="386"/>
    </row>
    <row r="6" spans="1:10" ht="33" customHeight="1" thickBot="1"/>
    <row r="7" spans="1:10" ht="36.75" thickTop="1">
      <c r="A7" s="387" t="s">
        <v>90</v>
      </c>
      <c r="B7" s="387"/>
      <c r="C7" s="388" t="s">
        <v>91</v>
      </c>
      <c r="D7" s="389"/>
      <c r="E7" s="62" t="s">
        <v>92</v>
      </c>
      <c r="F7" s="62" t="s">
        <v>93</v>
      </c>
      <c r="G7" s="62" t="s">
        <v>94</v>
      </c>
      <c r="H7" s="62" t="s">
        <v>95</v>
      </c>
      <c r="I7" s="390" t="s">
        <v>96</v>
      </c>
      <c r="J7" s="391"/>
    </row>
    <row r="8" spans="1:10">
      <c r="A8" s="359">
        <v>95670781</v>
      </c>
      <c r="B8" s="359"/>
      <c r="C8" s="360">
        <v>44258</v>
      </c>
      <c r="D8" s="361"/>
      <c r="E8" s="114">
        <v>44289</v>
      </c>
      <c r="F8" s="175" t="s">
        <v>97</v>
      </c>
      <c r="G8" s="63"/>
      <c r="H8" s="63"/>
      <c r="I8" s="362"/>
      <c r="J8" s="363"/>
    </row>
    <row r="10" spans="1:10" ht="23.25" customHeight="1" thickBot="1"/>
    <row r="11" spans="1:10" ht="24.75" customHeight="1" thickTop="1">
      <c r="A11" s="347" t="s">
        <v>98</v>
      </c>
      <c r="B11" s="347"/>
      <c r="C11" s="364" t="s">
        <v>99</v>
      </c>
      <c r="D11" s="365"/>
      <c r="E11" s="347" t="s">
        <v>100</v>
      </c>
      <c r="F11" s="347"/>
      <c r="G11" s="364" t="s">
        <v>101</v>
      </c>
      <c r="H11" s="365"/>
      <c r="I11" s="366" t="s">
        <v>102</v>
      </c>
      <c r="J11" s="366"/>
    </row>
    <row r="12" spans="1:10">
      <c r="A12" s="359" t="s">
        <v>103</v>
      </c>
      <c r="B12" s="359"/>
      <c r="C12" s="359">
        <v>3750</v>
      </c>
      <c r="D12" s="359"/>
      <c r="E12" s="359">
        <v>1000</v>
      </c>
      <c r="F12" s="359"/>
      <c r="G12" s="367">
        <v>1070</v>
      </c>
      <c r="H12" s="367"/>
      <c r="I12" s="368"/>
      <c r="J12" s="368"/>
    </row>
    <row r="13" spans="1:10">
      <c r="A13" s="357"/>
      <c r="B13" s="358"/>
      <c r="C13" s="358"/>
      <c r="D13" s="358"/>
      <c r="E13" s="358"/>
      <c r="F13" s="358"/>
      <c r="G13" s="358"/>
      <c r="H13" s="358"/>
      <c r="I13" s="358"/>
      <c r="J13" s="358"/>
    </row>
    <row r="15" spans="1:10" ht="13.5" thickBot="1"/>
    <row r="16" spans="1:10" ht="26.25" thickTop="1">
      <c r="A16" s="347" t="s">
        <v>104</v>
      </c>
      <c r="B16" s="347"/>
      <c r="C16" s="64" t="s">
        <v>105</v>
      </c>
      <c r="D16" s="65" t="s">
        <v>106</v>
      </c>
      <c r="E16" s="65" t="s">
        <v>48</v>
      </c>
      <c r="F16" s="65" t="s">
        <v>107</v>
      </c>
      <c r="G16" s="354" t="s">
        <v>108</v>
      </c>
      <c r="H16" s="354"/>
      <c r="I16" s="355" t="s">
        <v>109</v>
      </c>
      <c r="J16" s="356"/>
    </row>
    <row r="17" spans="1:10">
      <c r="A17" s="337" t="s">
        <v>110</v>
      </c>
      <c r="B17" s="338"/>
      <c r="C17" s="67">
        <v>17439518</v>
      </c>
      <c r="D17" s="67">
        <v>17435539</v>
      </c>
      <c r="E17" s="68">
        <f>MIN(C17-D17)</f>
        <v>3979</v>
      </c>
      <c r="F17" s="68">
        <f>+E17</f>
        <v>3979</v>
      </c>
      <c r="G17" s="339"/>
      <c r="H17" s="340"/>
      <c r="I17" s="339">
        <f>+E17</f>
        <v>3979</v>
      </c>
      <c r="J17" s="340"/>
    </row>
    <row r="18" spans="1:10">
      <c r="A18" s="337" t="s">
        <v>111</v>
      </c>
      <c r="B18" s="338"/>
      <c r="C18" s="67">
        <v>10384449</v>
      </c>
      <c r="D18" s="67">
        <v>10381714</v>
      </c>
      <c r="E18" s="68">
        <f>MIN(C18-D18)</f>
        <v>2735</v>
      </c>
      <c r="F18" s="68">
        <f>+E18</f>
        <v>2735</v>
      </c>
      <c r="G18" s="339"/>
      <c r="H18" s="340"/>
      <c r="I18" s="339">
        <f>+E18</f>
        <v>2735</v>
      </c>
      <c r="J18" s="340"/>
    </row>
    <row r="19" spans="1:10">
      <c r="A19" s="337" t="s">
        <v>112</v>
      </c>
      <c r="B19" s="338"/>
      <c r="C19" s="67">
        <v>7726448</v>
      </c>
      <c r="D19" s="67">
        <v>7724442</v>
      </c>
      <c r="E19" s="68">
        <f>AVERAGE(C19-D19)</f>
        <v>2006</v>
      </c>
      <c r="F19" s="68">
        <f>+E19</f>
        <v>2006</v>
      </c>
      <c r="G19" s="339"/>
      <c r="H19" s="340"/>
      <c r="I19" s="339">
        <f>+E19</f>
        <v>2006</v>
      </c>
      <c r="J19" s="340"/>
    </row>
    <row r="20" spans="1:10" ht="15">
      <c r="A20" s="352" t="s">
        <v>113</v>
      </c>
      <c r="B20" s="353"/>
      <c r="C20" s="69"/>
      <c r="D20" s="70"/>
      <c r="E20" s="69">
        <f>SUM(E17:E19)</f>
        <v>8720</v>
      </c>
      <c r="F20" s="71"/>
      <c r="G20" s="329"/>
      <c r="H20" s="330"/>
      <c r="I20" s="329"/>
      <c r="J20" s="330"/>
    </row>
    <row r="21" spans="1:10">
      <c r="C21" s="111" t="s">
        <v>18</v>
      </c>
      <c r="D21" t="s">
        <v>114</v>
      </c>
      <c r="G21" s="331"/>
      <c r="H21" s="331"/>
    </row>
    <row r="22" spans="1:10" ht="13.5" thickBot="1">
      <c r="G22" s="332"/>
      <c r="H22" s="332"/>
    </row>
    <row r="23" spans="1:10" ht="13.5" thickTop="1">
      <c r="A23" s="341" t="s">
        <v>115</v>
      </c>
      <c r="B23" s="342"/>
      <c r="C23" s="343"/>
      <c r="D23" s="347" t="s">
        <v>116</v>
      </c>
      <c r="E23" s="347" t="s">
        <v>117</v>
      </c>
      <c r="F23" s="349" t="s">
        <v>118</v>
      </c>
      <c r="G23" s="351" t="s">
        <v>119</v>
      </c>
      <c r="H23" s="351"/>
      <c r="I23" s="333" t="s">
        <v>120</v>
      </c>
      <c r="J23" s="333"/>
    </row>
    <row r="24" spans="1:10">
      <c r="A24" s="344"/>
      <c r="B24" s="345"/>
      <c r="C24" s="346"/>
      <c r="D24" s="348"/>
      <c r="E24" s="348"/>
      <c r="F24" s="350"/>
      <c r="G24" s="176" t="s">
        <v>121</v>
      </c>
      <c r="H24" s="72" t="s">
        <v>122</v>
      </c>
      <c r="I24" s="333"/>
      <c r="J24" s="333"/>
    </row>
    <row r="25" spans="1:10" ht="15">
      <c r="A25" s="334" t="s">
        <v>123</v>
      </c>
      <c r="B25" s="335"/>
      <c r="C25" s="336"/>
      <c r="D25" s="68">
        <f>+E17</f>
        <v>3979</v>
      </c>
      <c r="E25" s="73">
        <v>0.95140000000000002</v>
      </c>
      <c r="F25" s="74">
        <f>PRODUCT(D25*E25)</f>
        <v>3785.6206000000002</v>
      </c>
      <c r="G25" s="155">
        <v>14</v>
      </c>
      <c r="H25" s="66">
        <f>PRODUCT(0.14,F25)</f>
        <v>529.98688400000003</v>
      </c>
      <c r="I25" s="314">
        <f>SUM(H25,F25)</f>
        <v>4315.6074840000001</v>
      </c>
      <c r="J25" s="315"/>
    </row>
    <row r="26" spans="1:10" ht="15">
      <c r="A26" s="311" t="s">
        <v>124</v>
      </c>
      <c r="B26" s="312"/>
      <c r="C26" s="313"/>
      <c r="D26" s="68">
        <f>+E18</f>
        <v>2735</v>
      </c>
      <c r="E26" s="75">
        <v>0.69850000000000001</v>
      </c>
      <c r="F26" s="74">
        <f>PRODUCT(D26*E26)</f>
        <v>1910.3975</v>
      </c>
      <c r="G26">
        <v>14</v>
      </c>
      <c r="H26" s="68">
        <f>PRODUCT(0.14,F26)</f>
        <v>267.45565000000005</v>
      </c>
      <c r="I26" s="314">
        <f t="shared" ref="I26:I31" si="0">SUM(H26,F26)</f>
        <v>2177.8531499999999</v>
      </c>
      <c r="J26" s="315"/>
    </row>
    <row r="27" spans="1:10" ht="15">
      <c r="A27" s="311" t="s">
        <v>125</v>
      </c>
      <c r="B27" s="312"/>
      <c r="C27" s="313"/>
      <c r="D27" s="68">
        <f>+E19</f>
        <v>2006</v>
      </c>
      <c r="E27" s="75">
        <v>1.3304</v>
      </c>
      <c r="F27" s="74">
        <f>PRODUCT(D27*E27)</f>
        <v>2668.7824000000001</v>
      </c>
      <c r="G27">
        <v>14</v>
      </c>
      <c r="H27" s="68">
        <f>PRODUCT(0.14,F27)</f>
        <v>373.62953600000003</v>
      </c>
      <c r="I27" s="314">
        <f>SUM(H27,F27)</f>
        <v>3042.411936</v>
      </c>
      <c r="J27" s="315"/>
    </row>
    <row r="28" spans="1:10" ht="15">
      <c r="A28" s="311" t="s">
        <v>126</v>
      </c>
      <c r="B28" s="312"/>
      <c r="C28" s="313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14">
        <f t="shared" si="0"/>
        <v>50025.103799999997</v>
      </c>
      <c r="J28" s="315"/>
    </row>
    <row r="29" spans="1:10" ht="15">
      <c r="A29" s="324" t="s">
        <v>127</v>
      </c>
      <c r="B29" s="325"/>
      <c r="C29" s="326"/>
      <c r="D29" s="76">
        <f>G12-E12</f>
        <v>70</v>
      </c>
      <c r="E29" s="77">
        <v>48.972490000000001</v>
      </c>
      <c r="F29" s="78">
        <f>PRODUCT(D29,E29)</f>
        <v>3428.0743000000002</v>
      </c>
      <c r="G29" s="79">
        <v>14</v>
      </c>
      <c r="H29" s="76">
        <f>PRODUCT(0.14,F29)</f>
        <v>479.93040200000007</v>
      </c>
      <c r="I29" s="327">
        <f t="shared" si="0"/>
        <v>3908.0047020000002</v>
      </c>
      <c r="J29" s="328"/>
    </row>
    <row r="30" spans="1:10" ht="15">
      <c r="A30" s="311" t="s">
        <v>128</v>
      </c>
      <c r="B30" s="312"/>
      <c r="C30" s="313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14">
        <f>SUM(H30,F30)</f>
        <v>1009.2</v>
      </c>
      <c r="J30" s="315"/>
    </row>
    <row r="31" spans="1:10" ht="15.75" thickBot="1">
      <c r="A31" s="316" t="s">
        <v>129</v>
      </c>
      <c r="B31" s="317"/>
      <c r="C31" s="318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14">
        <f t="shared" si="0"/>
        <v>1596.44</v>
      </c>
      <c r="J31" s="315"/>
    </row>
    <row r="32" spans="1:10" ht="21">
      <c r="A32" s="319" t="s">
        <v>130</v>
      </c>
      <c r="B32" s="320"/>
      <c r="C32" s="320"/>
      <c r="D32" s="320"/>
      <c r="E32" s="320"/>
      <c r="F32" s="85">
        <f>SUM(F25:F31)</f>
        <v>58007.544799999996</v>
      </c>
      <c r="G32" s="86"/>
      <c r="H32" s="87"/>
      <c r="I32" s="323">
        <f>SUM(I25:J31)</f>
        <v>66074.621071999994</v>
      </c>
      <c r="J32" s="323"/>
    </row>
    <row r="33" spans="1:10" ht="21.75" thickBot="1">
      <c r="A33" s="321"/>
      <c r="B33" s="322"/>
      <c r="C33" s="322"/>
      <c r="D33" s="322"/>
      <c r="E33" s="322"/>
      <c r="F33" s="88"/>
      <c r="G33" s="89"/>
      <c r="H33" s="90"/>
      <c r="I33" s="323"/>
      <c r="J33" s="32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E11" sqref="E11:F11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1"/>
      <c r="B1" s="283"/>
      <c r="C1" s="369" t="s">
        <v>87</v>
      </c>
      <c r="D1" s="370"/>
      <c r="E1" s="370"/>
      <c r="F1" s="370"/>
      <c r="G1" s="370"/>
      <c r="H1" s="375" t="s">
        <v>88</v>
      </c>
      <c r="I1" s="376"/>
      <c r="J1" s="377"/>
    </row>
    <row r="2" spans="1:10" ht="16.5" customHeight="1" thickBot="1">
      <c r="A2" s="284"/>
      <c r="B2" s="286"/>
      <c r="C2" s="371"/>
      <c r="D2" s="372"/>
      <c r="E2" s="372"/>
      <c r="F2" s="372"/>
      <c r="G2" s="372"/>
      <c r="H2" s="378"/>
      <c r="I2" s="379"/>
      <c r="J2" s="380"/>
    </row>
    <row r="3" spans="1:10" ht="15" customHeight="1">
      <c r="A3" s="284"/>
      <c r="B3" s="286"/>
      <c r="C3" s="371"/>
      <c r="D3" s="372"/>
      <c r="E3" s="372"/>
      <c r="F3" s="372"/>
      <c r="G3" s="372"/>
      <c r="H3" s="381" t="s">
        <v>89</v>
      </c>
      <c r="I3" s="382"/>
      <c r="J3" s="383"/>
    </row>
    <row r="4" spans="1:10" ht="15.75" customHeight="1" thickBot="1">
      <c r="A4" s="287"/>
      <c r="B4" s="289"/>
      <c r="C4" s="373"/>
      <c r="D4" s="374"/>
      <c r="E4" s="374"/>
      <c r="F4" s="374"/>
      <c r="G4" s="374"/>
      <c r="H4" s="384"/>
      <c r="I4" s="385"/>
      <c r="J4" s="386"/>
    </row>
    <row r="6" spans="1:10" ht="33" customHeight="1" thickBot="1"/>
    <row r="7" spans="1:10" ht="36.75" thickTop="1">
      <c r="A7" s="387" t="s">
        <v>90</v>
      </c>
      <c r="B7" s="387"/>
      <c r="C7" s="388" t="s">
        <v>91</v>
      </c>
      <c r="D7" s="389"/>
      <c r="E7" s="62" t="s">
        <v>92</v>
      </c>
      <c r="F7" s="62" t="s">
        <v>93</v>
      </c>
      <c r="G7" s="62" t="s">
        <v>94</v>
      </c>
      <c r="H7" s="62" t="s">
        <v>95</v>
      </c>
      <c r="I7" s="390" t="s">
        <v>96</v>
      </c>
      <c r="J7" s="391"/>
    </row>
    <row r="8" spans="1:10">
      <c r="A8" s="359">
        <v>95670781</v>
      </c>
      <c r="B8" s="359"/>
      <c r="C8" s="360">
        <v>44224</v>
      </c>
      <c r="D8" s="361"/>
      <c r="E8" s="114">
        <v>44255</v>
      </c>
      <c r="F8" s="175" t="s">
        <v>97</v>
      </c>
      <c r="G8" s="63"/>
      <c r="H8" s="63"/>
      <c r="I8" s="362"/>
      <c r="J8" s="363"/>
    </row>
    <row r="10" spans="1:10" ht="23.25" customHeight="1" thickBot="1"/>
    <row r="11" spans="1:10" ht="24.75" customHeight="1" thickTop="1">
      <c r="A11" s="347" t="s">
        <v>98</v>
      </c>
      <c r="B11" s="347"/>
      <c r="C11" s="364" t="s">
        <v>99</v>
      </c>
      <c r="D11" s="365"/>
      <c r="E11" s="347" t="s">
        <v>100</v>
      </c>
      <c r="F11" s="347"/>
      <c r="G11" s="364" t="s">
        <v>101</v>
      </c>
      <c r="H11" s="365"/>
      <c r="I11" s="366" t="s">
        <v>102</v>
      </c>
      <c r="J11" s="366"/>
    </row>
    <row r="12" spans="1:10">
      <c r="A12" s="359" t="s">
        <v>103</v>
      </c>
      <c r="B12" s="359"/>
      <c r="C12" s="359">
        <v>3750</v>
      </c>
      <c r="D12" s="359"/>
      <c r="E12" s="359">
        <v>1000</v>
      </c>
      <c r="F12" s="359"/>
      <c r="G12" s="367">
        <v>596</v>
      </c>
      <c r="H12" s="367"/>
      <c r="I12" s="368"/>
      <c r="J12" s="368"/>
    </row>
    <row r="13" spans="1:10">
      <c r="A13" s="357"/>
      <c r="B13" s="358"/>
      <c r="C13" s="358"/>
      <c r="D13" s="358"/>
      <c r="E13" s="358"/>
      <c r="F13" s="358"/>
      <c r="G13" s="358"/>
      <c r="H13" s="358"/>
      <c r="I13" s="358"/>
      <c r="J13" s="358"/>
    </row>
    <row r="15" spans="1:10" ht="13.5" thickBot="1"/>
    <row r="16" spans="1:10" ht="26.25" thickTop="1">
      <c r="A16" s="347" t="s">
        <v>104</v>
      </c>
      <c r="B16" s="347"/>
      <c r="C16" s="64" t="s">
        <v>105</v>
      </c>
      <c r="D16" s="65" t="s">
        <v>106</v>
      </c>
      <c r="E16" s="65" t="s">
        <v>48</v>
      </c>
      <c r="F16" s="65" t="s">
        <v>107</v>
      </c>
      <c r="G16" s="354" t="s">
        <v>108</v>
      </c>
      <c r="H16" s="354"/>
      <c r="I16" s="355" t="s">
        <v>109</v>
      </c>
      <c r="J16" s="356"/>
    </row>
    <row r="17" spans="1:10">
      <c r="A17" s="337" t="s">
        <v>110</v>
      </c>
      <c r="B17" s="338"/>
      <c r="C17" s="67">
        <v>17423883</v>
      </c>
      <c r="D17" s="67">
        <v>17306409</v>
      </c>
      <c r="E17" s="68">
        <f>MIN(C17-D17)</f>
        <v>117474</v>
      </c>
      <c r="F17" s="68">
        <f>+E17</f>
        <v>117474</v>
      </c>
      <c r="G17" s="339"/>
      <c r="H17" s="340"/>
      <c r="I17" s="339">
        <f>+E17</f>
        <v>117474</v>
      </c>
      <c r="J17" s="340"/>
    </row>
    <row r="18" spans="1:10">
      <c r="A18" s="337" t="s">
        <v>111</v>
      </c>
      <c r="B18" s="338"/>
      <c r="C18" s="67">
        <v>10372574</v>
      </c>
      <c r="D18" s="67">
        <v>10297358</v>
      </c>
      <c r="E18" s="68">
        <f>MIN(C18-D18)</f>
        <v>75216</v>
      </c>
      <c r="F18" s="68">
        <f>+E18</f>
        <v>75216</v>
      </c>
      <c r="G18" s="339"/>
      <c r="H18" s="340"/>
      <c r="I18" s="339">
        <f>+E18</f>
        <v>75216</v>
      </c>
      <c r="J18" s="340"/>
    </row>
    <row r="19" spans="1:10">
      <c r="A19" s="337" t="s">
        <v>112</v>
      </c>
      <c r="B19" s="338"/>
      <c r="C19" s="67">
        <v>7718859</v>
      </c>
      <c r="D19" s="67">
        <v>7663857</v>
      </c>
      <c r="E19" s="68">
        <f>AVERAGE(C19-D19)</f>
        <v>55002</v>
      </c>
      <c r="F19" s="68">
        <f>+E19</f>
        <v>55002</v>
      </c>
      <c r="G19" s="339"/>
      <c r="H19" s="340"/>
      <c r="I19" s="339">
        <f>+E19</f>
        <v>55002</v>
      </c>
      <c r="J19" s="340"/>
    </row>
    <row r="20" spans="1:10" ht="15">
      <c r="A20" s="352" t="s">
        <v>113</v>
      </c>
      <c r="B20" s="353"/>
      <c r="C20" s="69"/>
      <c r="D20" s="70"/>
      <c r="E20" s="69">
        <f>SUM(E17:E19)</f>
        <v>247692</v>
      </c>
      <c r="F20" s="71"/>
      <c r="G20" s="329"/>
      <c r="H20" s="330"/>
      <c r="I20" s="329"/>
      <c r="J20" s="330"/>
    </row>
    <row r="21" spans="1:10">
      <c r="C21" s="111" t="s">
        <v>18</v>
      </c>
      <c r="D21" t="s">
        <v>114</v>
      </c>
      <c r="G21" s="331"/>
      <c r="H21" s="331"/>
    </row>
    <row r="22" spans="1:10" ht="13.5" thickBot="1">
      <c r="G22" s="332"/>
      <c r="H22" s="332"/>
    </row>
    <row r="23" spans="1:10" ht="13.5" thickTop="1">
      <c r="A23" s="341" t="s">
        <v>115</v>
      </c>
      <c r="B23" s="342"/>
      <c r="C23" s="343"/>
      <c r="D23" s="347" t="s">
        <v>116</v>
      </c>
      <c r="E23" s="347" t="s">
        <v>117</v>
      </c>
      <c r="F23" s="349" t="s">
        <v>118</v>
      </c>
      <c r="G23" s="351" t="s">
        <v>119</v>
      </c>
      <c r="H23" s="351"/>
      <c r="I23" s="333" t="s">
        <v>120</v>
      </c>
      <c r="J23" s="333"/>
    </row>
    <row r="24" spans="1:10">
      <c r="A24" s="344"/>
      <c r="B24" s="345"/>
      <c r="C24" s="346"/>
      <c r="D24" s="348"/>
      <c r="E24" s="348"/>
      <c r="F24" s="350"/>
      <c r="G24" s="176" t="s">
        <v>121</v>
      </c>
      <c r="H24" s="72" t="s">
        <v>122</v>
      </c>
      <c r="I24" s="333"/>
      <c r="J24" s="333"/>
    </row>
    <row r="25" spans="1:10" ht="15">
      <c r="A25" s="334" t="s">
        <v>123</v>
      </c>
      <c r="B25" s="335"/>
      <c r="C25" s="336"/>
      <c r="D25" s="68">
        <f>+E17</f>
        <v>117474</v>
      </c>
      <c r="E25" s="73">
        <v>0.95140000000000002</v>
      </c>
      <c r="F25" s="74">
        <f>PRODUCT(D25*E25)</f>
        <v>111764.76360000001</v>
      </c>
      <c r="G25" s="155">
        <v>14</v>
      </c>
      <c r="H25" s="66">
        <f>PRODUCT(0.14,F25)</f>
        <v>15647.066904000003</v>
      </c>
      <c r="I25" s="314">
        <f>SUM(H25,F25)</f>
        <v>127411.83050400001</v>
      </c>
      <c r="J25" s="315"/>
    </row>
    <row r="26" spans="1:10" ht="15">
      <c r="A26" s="311" t="s">
        <v>124</v>
      </c>
      <c r="B26" s="312"/>
      <c r="C26" s="313"/>
      <c r="D26" s="68">
        <f>+E18</f>
        <v>75216</v>
      </c>
      <c r="E26" s="75">
        <v>0.69850000000000001</v>
      </c>
      <c r="F26" s="74">
        <f>PRODUCT(D26*E26)</f>
        <v>52538.376000000004</v>
      </c>
      <c r="G26">
        <v>14</v>
      </c>
      <c r="H26" s="68">
        <f>PRODUCT(0.14,F26)</f>
        <v>7355.3726400000014</v>
      </c>
      <c r="I26" s="314">
        <f t="shared" ref="I26:I31" si="0">SUM(H26,F26)</f>
        <v>59893.748640000005</v>
      </c>
      <c r="J26" s="315"/>
    </row>
    <row r="27" spans="1:10" ht="15">
      <c r="A27" s="311" t="s">
        <v>125</v>
      </c>
      <c r="B27" s="312"/>
      <c r="C27" s="313"/>
      <c r="D27" s="68">
        <f>+E19</f>
        <v>55002</v>
      </c>
      <c r="E27" s="75">
        <v>1.3304</v>
      </c>
      <c r="F27" s="74">
        <f>PRODUCT(D27*E27)</f>
        <v>73174.660799999998</v>
      </c>
      <c r="G27">
        <v>14</v>
      </c>
      <c r="H27" s="68">
        <f>PRODUCT(0.14,F27)</f>
        <v>10244.452512</v>
      </c>
      <c r="I27" s="314">
        <f>SUM(H27,F27)</f>
        <v>83419.113312000001</v>
      </c>
      <c r="J27" s="315"/>
    </row>
    <row r="28" spans="1:10" ht="15">
      <c r="A28" s="311" t="s">
        <v>126</v>
      </c>
      <c r="B28" s="312"/>
      <c r="C28" s="313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14">
        <f t="shared" si="0"/>
        <v>50025.103799999997</v>
      </c>
      <c r="J28" s="315"/>
    </row>
    <row r="29" spans="1:10" ht="15">
      <c r="A29" s="324" t="s">
        <v>127</v>
      </c>
      <c r="B29" s="325"/>
      <c r="C29" s="326"/>
      <c r="D29" s="76">
        <v>0</v>
      </c>
      <c r="E29" s="77">
        <f>E28*1.5</f>
        <v>65.822505000000007</v>
      </c>
      <c r="F29" s="78">
        <f>PRODUCT(D29,E29)</f>
        <v>0</v>
      </c>
      <c r="G29" s="79">
        <v>14</v>
      </c>
      <c r="H29" s="76">
        <f>PRODUCT(0.14,F29)</f>
        <v>0</v>
      </c>
      <c r="I29" s="327">
        <f t="shared" si="0"/>
        <v>0</v>
      </c>
      <c r="J29" s="328"/>
    </row>
    <row r="30" spans="1:10" ht="15">
      <c r="A30" s="311" t="s">
        <v>128</v>
      </c>
      <c r="B30" s="312"/>
      <c r="C30" s="313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14">
        <f>SUM(H30,F30)</f>
        <v>1009.2</v>
      </c>
      <c r="J30" s="315"/>
    </row>
    <row r="31" spans="1:10" ht="15.75" thickBot="1">
      <c r="A31" s="316" t="s">
        <v>129</v>
      </c>
      <c r="B31" s="317"/>
      <c r="C31" s="318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14">
        <f t="shared" si="0"/>
        <v>1596.44</v>
      </c>
      <c r="J31" s="315"/>
    </row>
    <row r="32" spans="1:10" ht="21">
      <c r="A32" s="319" t="s">
        <v>130</v>
      </c>
      <c r="B32" s="320"/>
      <c r="C32" s="320"/>
      <c r="D32" s="320"/>
      <c r="E32" s="320"/>
      <c r="F32" s="85">
        <f>SUM(F25:F31)</f>
        <v>283692.47039999999</v>
      </c>
      <c r="G32" s="86"/>
      <c r="H32" s="87"/>
      <c r="I32" s="323">
        <f>SUM(I25:J31)</f>
        <v>323355.43625600002</v>
      </c>
      <c r="J32" s="323"/>
    </row>
    <row r="33" spans="1:10" ht="21.75" thickBot="1">
      <c r="A33" s="321"/>
      <c r="B33" s="322"/>
      <c r="C33" s="322"/>
      <c r="D33" s="322"/>
      <c r="E33" s="322"/>
      <c r="F33" s="88"/>
      <c r="G33" s="89"/>
      <c r="H33" s="90"/>
      <c r="I33" s="323"/>
      <c r="J33" s="32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I14" sqref="I14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2"/>
      <c r="B1" s="369" t="s">
        <v>131</v>
      </c>
      <c r="C1" s="370"/>
      <c r="D1" s="370"/>
      <c r="E1" s="370"/>
      <c r="F1" s="395" t="s">
        <v>88</v>
      </c>
      <c r="G1" s="396"/>
      <c r="H1" s="397"/>
    </row>
    <row r="2" spans="1:8" ht="15.75" customHeight="1" thickBot="1">
      <c r="A2" s="393"/>
      <c r="B2" s="371"/>
      <c r="C2" s="372"/>
      <c r="D2" s="372"/>
      <c r="E2" s="372"/>
      <c r="F2" s="398"/>
      <c r="G2" s="399"/>
      <c r="H2" s="400"/>
    </row>
    <row r="3" spans="1:8" ht="15" customHeight="1">
      <c r="A3" s="393"/>
      <c r="B3" s="371"/>
      <c r="C3" s="372"/>
      <c r="D3" s="372"/>
      <c r="E3" s="372"/>
      <c r="F3" s="395" t="s">
        <v>89</v>
      </c>
      <c r="G3" s="396"/>
      <c r="H3" s="397"/>
    </row>
    <row r="4" spans="1:8" ht="15.75" customHeight="1" thickBot="1">
      <c r="A4" s="394"/>
      <c r="B4" s="373"/>
      <c r="C4" s="374"/>
      <c r="D4" s="374"/>
      <c r="E4" s="374"/>
      <c r="F4" s="401"/>
      <c r="G4" s="402"/>
      <c r="H4" s="403"/>
    </row>
    <row r="6" spans="1:8" ht="42.75" customHeight="1"/>
    <row r="7" spans="1:8" ht="42.75" customHeight="1">
      <c r="A7" s="93" t="s">
        <v>90</v>
      </c>
      <c r="B7" s="93" t="s">
        <v>132</v>
      </c>
      <c r="C7" s="93" t="s">
        <v>133</v>
      </c>
      <c r="D7" s="95" t="s">
        <v>91</v>
      </c>
      <c r="E7" s="93" t="s">
        <v>134</v>
      </c>
      <c r="F7" s="95" t="s">
        <v>92</v>
      </c>
      <c r="G7" s="95" t="s">
        <v>135</v>
      </c>
      <c r="H7" s="94" t="s">
        <v>93</v>
      </c>
    </row>
    <row r="8" spans="1:8" ht="15">
      <c r="A8" s="177"/>
      <c r="B8" s="96" t="s">
        <v>136</v>
      </c>
      <c r="C8" s="97">
        <v>101789.4</v>
      </c>
      <c r="D8" s="98">
        <v>43862</v>
      </c>
      <c r="E8" s="97">
        <v>103904.7</v>
      </c>
      <c r="F8" s="98">
        <v>44256</v>
      </c>
      <c r="G8" s="99">
        <f>E8-C8</f>
        <v>2115.3000000000029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04" t="s">
        <v>116</v>
      </c>
      <c r="C10" s="405"/>
      <c r="D10" s="406" t="s">
        <v>137</v>
      </c>
      <c r="E10" s="406"/>
      <c r="F10" s="404" t="s">
        <v>138</v>
      </c>
      <c r="G10" s="407"/>
      <c r="H10" s="405"/>
    </row>
    <row r="11" spans="1:8" ht="15">
      <c r="A11" s="103" t="s">
        <v>139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09" t="s">
        <v>140</v>
      </c>
      <c r="B12" s="409"/>
      <c r="C12" s="409"/>
      <c r="D12" s="409"/>
      <c r="E12" s="409"/>
      <c r="F12" s="409"/>
      <c r="G12" s="409"/>
      <c r="H12" s="409"/>
    </row>
    <row r="13" spans="1:8" ht="15">
      <c r="A13" s="103" t="s">
        <v>141</v>
      </c>
      <c r="B13" s="408">
        <f>G8</f>
        <v>2115.3000000000029</v>
      </c>
      <c r="C13" s="408"/>
      <c r="D13" s="408">
        <v>8.7899999999999991</v>
      </c>
      <c r="E13" s="408"/>
      <c r="F13" s="410">
        <f>PRODUCT(D13,B13)</f>
        <v>18593.487000000023</v>
      </c>
      <c r="G13" s="410"/>
      <c r="H13" s="410"/>
    </row>
    <row r="14" spans="1:8" ht="45" customHeight="1">
      <c r="A14" s="411" t="s">
        <v>142</v>
      </c>
      <c r="B14" s="411"/>
      <c r="C14" s="411"/>
      <c r="D14" s="411"/>
      <c r="E14" s="411"/>
      <c r="F14" s="411"/>
      <c r="G14" s="411"/>
      <c r="H14" s="411"/>
    </row>
    <row r="15" spans="1:8">
      <c r="A15" s="412"/>
      <c r="B15" s="412"/>
      <c r="C15" s="412"/>
      <c r="D15" s="412"/>
      <c r="E15" s="412"/>
      <c r="F15" s="412"/>
      <c r="G15" s="412"/>
      <c r="H15" s="412"/>
    </row>
    <row r="16" spans="1:8" ht="15">
      <c r="A16" s="104" t="s">
        <v>143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144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145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146</v>
      </c>
      <c r="B19" s="408">
        <f>G8</f>
        <v>2115.3000000000029</v>
      </c>
      <c r="C19" s="408"/>
      <c r="D19" s="408">
        <v>2.61</v>
      </c>
      <c r="E19" s="408"/>
      <c r="F19" s="408">
        <f>PRODUCT(D19,B19)</f>
        <v>5520.9330000000073</v>
      </c>
      <c r="G19" s="408"/>
      <c r="H19" s="408"/>
    </row>
    <row r="20" spans="1:8" ht="18.75">
      <c r="A20" s="424" t="s">
        <v>147</v>
      </c>
      <c r="B20" s="425"/>
      <c r="C20" s="425"/>
      <c r="D20" s="425"/>
      <c r="E20" s="426"/>
      <c r="F20" s="427">
        <f>SUM(F11+F13+F16+F17+F18+F19)</f>
        <v>24137.420000000031</v>
      </c>
      <c r="G20" s="427"/>
      <c r="H20" s="427"/>
    </row>
    <row r="21" spans="1:8" ht="15">
      <c r="A21" s="413" t="s">
        <v>148</v>
      </c>
      <c r="B21" s="414"/>
      <c r="C21" s="414"/>
      <c r="D21" s="414"/>
      <c r="E21" s="415"/>
      <c r="F21" s="408">
        <f>PRODUCT(F20,0.07)</f>
        <v>1689.6194000000023</v>
      </c>
      <c r="G21" s="408"/>
      <c r="H21" s="408"/>
    </row>
    <row r="22" spans="1:8" ht="15">
      <c r="A22" s="428" t="s">
        <v>149</v>
      </c>
      <c r="B22" s="429"/>
      <c r="C22" s="429"/>
      <c r="D22" s="429"/>
      <c r="E22" s="430"/>
      <c r="F22" s="408">
        <v>208.26</v>
      </c>
      <c r="G22" s="408"/>
      <c r="H22" s="408"/>
    </row>
    <row r="23" spans="1:8" ht="15.75">
      <c r="A23" s="413" t="s">
        <v>150</v>
      </c>
      <c r="B23" s="414"/>
      <c r="C23" s="414"/>
      <c r="D23" s="414"/>
      <c r="E23" s="415"/>
      <c r="F23" s="416">
        <f>SUM(F21:H22)</f>
        <v>1897.8794000000023</v>
      </c>
      <c r="G23" s="416"/>
      <c r="H23" s="416"/>
    </row>
    <row r="24" spans="1:8">
      <c r="A24" s="417" t="s">
        <v>151</v>
      </c>
      <c r="B24" s="418"/>
      <c r="C24" s="418"/>
      <c r="D24" s="418"/>
      <c r="E24" s="419"/>
      <c r="F24" s="423">
        <f>SUM(F20,F23)</f>
        <v>26035.299400000033</v>
      </c>
      <c r="G24" s="423"/>
      <c r="H24" s="423"/>
    </row>
    <row r="25" spans="1:8">
      <c r="A25" s="420"/>
      <c r="B25" s="421"/>
      <c r="C25" s="421"/>
      <c r="D25" s="421"/>
      <c r="E25" s="422"/>
      <c r="F25" s="423"/>
      <c r="G25" s="423"/>
      <c r="H25" s="423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2"/>
      <c r="B1" s="369" t="s">
        <v>131</v>
      </c>
      <c r="C1" s="370"/>
      <c r="D1" s="370"/>
      <c r="E1" s="370"/>
      <c r="F1" s="395" t="s">
        <v>88</v>
      </c>
      <c r="G1" s="396"/>
      <c r="H1" s="397"/>
    </row>
    <row r="2" spans="1:8" ht="15.75" customHeight="1" thickBot="1">
      <c r="A2" s="393"/>
      <c r="B2" s="371"/>
      <c r="C2" s="372"/>
      <c r="D2" s="372"/>
      <c r="E2" s="372"/>
      <c r="F2" s="398"/>
      <c r="G2" s="399"/>
      <c r="H2" s="400"/>
    </row>
    <row r="3" spans="1:8" ht="15" customHeight="1">
      <c r="A3" s="393"/>
      <c r="B3" s="371"/>
      <c r="C3" s="372"/>
      <c r="D3" s="372"/>
      <c r="E3" s="372"/>
      <c r="F3" s="395" t="s">
        <v>89</v>
      </c>
      <c r="G3" s="396"/>
      <c r="H3" s="397"/>
    </row>
    <row r="4" spans="1:8" ht="15.75" customHeight="1" thickBot="1">
      <c r="A4" s="394"/>
      <c r="B4" s="373"/>
      <c r="C4" s="374"/>
      <c r="D4" s="374"/>
      <c r="E4" s="374"/>
      <c r="F4" s="401"/>
      <c r="G4" s="402"/>
      <c r="H4" s="403"/>
    </row>
    <row r="6" spans="1:8" ht="42.75" customHeight="1"/>
    <row r="7" spans="1:8" ht="42.75" customHeight="1">
      <c r="A7" s="93" t="s">
        <v>90</v>
      </c>
      <c r="B7" s="93" t="s">
        <v>132</v>
      </c>
      <c r="C7" s="93" t="s">
        <v>133</v>
      </c>
      <c r="D7" s="95" t="s">
        <v>91</v>
      </c>
      <c r="E7" s="93" t="s">
        <v>134</v>
      </c>
      <c r="F7" s="95" t="s">
        <v>92</v>
      </c>
      <c r="G7" s="95" t="s">
        <v>135</v>
      </c>
      <c r="H7" s="94" t="s">
        <v>93</v>
      </c>
    </row>
    <row r="8" spans="1:8" ht="15">
      <c r="A8" s="177"/>
      <c r="B8" s="96" t="s">
        <v>136</v>
      </c>
      <c r="C8" s="97">
        <v>104052.2</v>
      </c>
      <c r="D8" s="98">
        <v>44258</v>
      </c>
      <c r="E8" s="97">
        <v>104114.6</v>
      </c>
      <c r="F8" s="98">
        <v>44259</v>
      </c>
      <c r="G8" s="99">
        <f>E8-C8</f>
        <v>62.400000000008731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04" t="s">
        <v>116</v>
      </c>
      <c r="C10" s="405"/>
      <c r="D10" s="406" t="s">
        <v>137</v>
      </c>
      <c r="E10" s="406"/>
      <c r="F10" s="404" t="s">
        <v>138</v>
      </c>
      <c r="G10" s="407"/>
      <c r="H10" s="405"/>
    </row>
    <row r="11" spans="1:8" ht="15">
      <c r="A11" s="103" t="s">
        <v>139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09" t="s">
        <v>140</v>
      </c>
      <c r="B12" s="409"/>
      <c r="C12" s="409"/>
      <c r="D12" s="409"/>
      <c r="E12" s="409"/>
      <c r="F12" s="409"/>
      <c r="G12" s="409"/>
      <c r="H12" s="409"/>
    </row>
    <row r="13" spans="1:8" ht="15">
      <c r="A13" s="103" t="s">
        <v>141</v>
      </c>
      <c r="B13" s="408">
        <f>G8</f>
        <v>62.400000000008731</v>
      </c>
      <c r="C13" s="408"/>
      <c r="D13" s="408">
        <v>8.5</v>
      </c>
      <c r="E13" s="408"/>
      <c r="F13" s="410">
        <f>PRODUCT(D13,B13)</f>
        <v>530.40000000007421</v>
      </c>
      <c r="G13" s="410"/>
      <c r="H13" s="410"/>
    </row>
    <row r="14" spans="1:8" ht="45" customHeight="1">
      <c r="A14" s="411" t="s">
        <v>142</v>
      </c>
      <c r="B14" s="411"/>
      <c r="C14" s="411"/>
      <c r="D14" s="411"/>
      <c r="E14" s="411"/>
      <c r="F14" s="411"/>
      <c r="G14" s="411"/>
      <c r="H14" s="411"/>
    </row>
    <row r="15" spans="1:8">
      <c r="A15" s="412"/>
      <c r="B15" s="412"/>
      <c r="C15" s="412"/>
      <c r="D15" s="412"/>
      <c r="E15" s="412"/>
      <c r="F15" s="412"/>
      <c r="G15" s="412"/>
      <c r="H15" s="412"/>
    </row>
    <row r="16" spans="1:8" ht="15">
      <c r="A16" s="104" t="s">
        <v>143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144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145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146</v>
      </c>
      <c r="B19" s="408">
        <v>0</v>
      </c>
      <c r="C19" s="408"/>
      <c r="D19" s="431">
        <v>0</v>
      </c>
      <c r="E19" s="432"/>
      <c r="F19" s="431">
        <v>0</v>
      </c>
      <c r="G19" s="432"/>
      <c r="H19" s="177"/>
    </row>
    <row r="20" spans="1:8" ht="15">
      <c r="A20" s="104" t="s">
        <v>152</v>
      </c>
      <c r="B20" s="408">
        <f>G8</f>
        <v>62.400000000008731</v>
      </c>
      <c r="C20" s="408"/>
      <c r="D20" s="408">
        <v>2.54</v>
      </c>
      <c r="E20" s="408"/>
      <c r="F20" s="408">
        <f>PRODUCT(D20,B20)</f>
        <v>158.49600000002218</v>
      </c>
      <c r="G20" s="408"/>
      <c r="H20" s="408"/>
    </row>
    <row r="21" spans="1:8" ht="18.75">
      <c r="A21" s="424" t="s">
        <v>147</v>
      </c>
      <c r="B21" s="425"/>
      <c r="C21" s="425"/>
      <c r="D21" s="425"/>
      <c r="E21" s="426"/>
      <c r="F21" s="427">
        <f>SUM(F11+F13+F16+F17+F18+F20)</f>
        <v>711.89600000009636</v>
      </c>
      <c r="G21" s="427"/>
      <c r="H21" s="427"/>
    </row>
    <row r="22" spans="1:8" ht="15">
      <c r="A22" s="413" t="s">
        <v>148</v>
      </c>
      <c r="B22" s="414"/>
      <c r="C22" s="414"/>
      <c r="D22" s="414"/>
      <c r="E22" s="415"/>
      <c r="F22" s="408">
        <f>PRODUCT(F21,0.07)</f>
        <v>49.832720000006752</v>
      </c>
      <c r="G22" s="408"/>
      <c r="H22" s="408"/>
    </row>
    <row r="23" spans="1:8" ht="15">
      <c r="A23" s="428" t="s">
        <v>149</v>
      </c>
      <c r="B23" s="429"/>
      <c r="C23" s="429"/>
      <c r="D23" s="429"/>
      <c r="E23" s="430"/>
      <c r="F23" s="408">
        <v>208.26</v>
      </c>
      <c r="G23" s="408"/>
      <c r="H23" s="408"/>
    </row>
    <row r="24" spans="1:8" ht="15.75">
      <c r="A24" s="413" t="s">
        <v>150</v>
      </c>
      <c r="B24" s="414"/>
      <c r="C24" s="414"/>
      <c r="D24" s="414"/>
      <c r="E24" s="415"/>
      <c r="F24" s="416">
        <f>SUM(F22:H23)</f>
        <v>258.09272000000675</v>
      </c>
      <c r="G24" s="416"/>
      <c r="H24" s="416"/>
    </row>
    <row r="25" spans="1:8">
      <c r="A25" s="417" t="s">
        <v>151</v>
      </c>
      <c r="B25" s="418"/>
      <c r="C25" s="418"/>
      <c r="D25" s="418"/>
      <c r="E25" s="419"/>
      <c r="F25" s="423">
        <f>SUM(F21,F24)</f>
        <v>969.98872000010306</v>
      </c>
      <c r="G25" s="423"/>
      <c r="H25" s="423"/>
    </row>
    <row r="26" spans="1:8">
      <c r="A26" s="420"/>
      <c r="B26" s="421"/>
      <c r="C26" s="421"/>
      <c r="D26" s="421"/>
      <c r="E26" s="422"/>
      <c r="F26" s="423"/>
      <c r="G26" s="423"/>
      <c r="H26" s="423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2"/>
      <c r="B1" s="369" t="s">
        <v>153</v>
      </c>
      <c r="C1" s="370"/>
      <c r="D1" s="370"/>
      <c r="E1" s="370"/>
      <c r="F1" s="395" t="s">
        <v>88</v>
      </c>
      <c r="G1" s="396"/>
      <c r="H1" s="397"/>
    </row>
    <row r="2" spans="1:8" ht="15.75" customHeight="1" thickBot="1">
      <c r="A2" s="393"/>
      <c r="B2" s="371"/>
      <c r="C2" s="372"/>
      <c r="D2" s="372"/>
      <c r="E2" s="372"/>
      <c r="F2" s="398"/>
      <c r="G2" s="399"/>
      <c r="H2" s="400"/>
    </row>
    <row r="3" spans="1:8" ht="15" customHeight="1">
      <c r="A3" s="393"/>
      <c r="B3" s="371"/>
      <c r="C3" s="372"/>
      <c r="D3" s="372"/>
      <c r="E3" s="372"/>
      <c r="F3" s="395" t="s">
        <v>89</v>
      </c>
      <c r="G3" s="396"/>
      <c r="H3" s="397"/>
    </row>
    <row r="4" spans="1:8" ht="15.75" customHeight="1" thickBot="1">
      <c r="A4" s="394"/>
      <c r="B4" s="373"/>
      <c r="C4" s="374"/>
      <c r="D4" s="374"/>
      <c r="E4" s="374"/>
      <c r="F4" s="401"/>
      <c r="G4" s="402"/>
      <c r="H4" s="403"/>
    </row>
    <row r="6" spans="1:8" ht="42.75" customHeight="1"/>
    <row r="7" spans="1:8" ht="42.75" customHeight="1">
      <c r="A7" s="93" t="s">
        <v>90</v>
      </c>
      <c r="B7" s="93" t="s">
        <v>132</v>
      </c>
      <c r="C7" s="93" t="s">
        <v>133</v>
      </c>
      <c r="D7" s="95" t="s">
        <v>91</v>
      </c>
      <c r="E7" s="93" t="s">
        <v>134</v>
      </c>
      <c r="F7" s="95" t="s">
        <v>92</v>
      </c>
      <c r="G7" s="95" t="s">
        <v>135</v>
      </c>
      <c r="H7" s="94" t="s">
        <v>93</v>
      </c>
    </row>
    <row r="8" spans="1:8" ht="15">
      <c r="A8" s="177"/>
      <c r="B8" s="96" t="s">
        <v>136</v>
      </c>
      <c r="C8" s="97">
        <v>2559</v>
      </c>
      <c r="D8" s="98">
        <v>44228</v>
      </c>
      <c r="E8" s="97">
        <v>2559</v>
      </c>
      <c r="F8" s="98">
        <v>44256</v>
      </c>
      <c r="G8" s="99">
        <f>E8-C8</f>
        <v>0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04" t="s">
        <v>116</v>
      </c>
      <c r="C10" s="405"/>
      <c r="D10" s="406" t="s">
        <v>137</v>
      </c>
      <c r="E10" s="406"/>
      <c r="F10" s="404" t="s">
        <v>138</v>
      </c>
      <c r="G10" s="407"/>
      <c r="H10" s="405"/>
    </row>
    <row r="11" spans="1:8" ht="15">
      <c r="A11" s="103" t="s">
        <v>139</v>
      </c>
      <c r="B11" s="408"/>
      <c r="C11" s="408"/>
      <c r="D11" s="408"/>
      <c r="E11" s="408"/>
      <c r="F11" s="408">
        <v>15</v>
      </c>
      <c r="G11" s="408"/>
      <c r="H11" s="408"/>
    </row>
    <row r="12" spans="1:8" ht="21">
      <c r="A12" s="409" t="s">
        <v>140</v>
      </c>
      <c r="B12" s="409"/>
      <c r="C12" s="409"/>
      <c r="D12" s="409"/>
      <c r="E12" s="409"/>
      <c r="F12" s="409"/>
      <c r="G12" s="409"/>
      <c r="H12" s="409"/>
    </row>
    <row r="13" spans="1:8" ht="15">
      <c r="A13" s="103" t="s">
        <v>154</v>
      </c>
      <c r="B13" s="408">
        <f>G8</f>
        <v>0</v>
      </c>
      <c r="C13" s="408"/>
      <c r="D13" s="408">
        <v>16.48</v>
      </c>
      <c r="E13" s="408"/>
      <c r="F13" s="410">
        <f>PRODUCT(D13,B13)</f>
        <v>0</v>
      </c>
      <c r="G13" s="410"/>
      <c r="H13" s="410"/>
    </row>
    <row r="14" spans="1:8" ht="15">
      <c r="A14" s="103" t="s">
        <v>155</v>
      </c>
      <c r="B14" s="431"/>
      <c r="C14" s="432"/>
      <c r="D14" s="431"/>
      <c r="E14" s="432"/>
      <c r="F14" s="431"/>
      <c r="G14" s="432"/>
      <c r="H14" s="112"/>
    </row>
    <row r="15" spans="1:8" ht="15">
      <c r="A15" s="103" t="s">
        <v>156</v>
      </c>
      <c r="B15" s="431"/>
      <c r="C15" s="432"/>
      <c r="D15" s="431"/>
      <c r="E15" s="432"/>
      <c r="F15" s="431"/>
      <c r="G15" s="432"/>
      <c r="H15" s="112"/>
    </row>
    <row r="16" spans="1:8" ht="15">
      <c r="A16" s="103" t="s">
        <v>157</v>
      </c>
      <c r="B16" s="431"/>
      <c r="C16" s="432"/>
      <c r="D16" s="431"/>
      <c r="E16" s="432"/>
      <c r="F16" s="431"/>
      <c r="G16" s="432"/>
      <c r="H16" s="112"/>
    </row>
    <row r="17" spans="1:8" ht="15">
      <c r="A17" s="103" t="s">
        <v>158</v>
      </c>
      <c r="B17" s="431"/>
      <c r="C17" s="432"/>
      <c r="D17" s="431"/>
      <c r="E17" s="432"/>
      <c r="F17" s="431"/>
      <c r="G17" s="432"/>
      <c r="H17" s="112"/>
    </row>
    <row r="18" spans="1:8" ht="45" customHeight="1">
      <c r="A18" s="411" t="s">
        <v>142</v>
      </c>
      <c r="B18" s="411"/>
      <c r="C18" s="411"/>
      <c r="D18" s="411"/>
      <c r="E18" s="411"/>
      <c r="F18" s="411"/>
      <c r="G18" s="411"/>
      <c r="H18" s="411"/>
    </row>
    <row r="19" spans="1:8">
      <c r="A19" s="412"/>
      <c r="B19" s="412"/>
      <c r="C19" s="412"/>
      <c r="D19" s="412"/>
      <c r="E19" s="412"/>
      <c r="F19" s="412"/>
      <c r="G19" s="412"/>
      <c r="H19" s="412"/>
    </row>
    <row r="20" spans="1:8" ht="15">
      <c r="A20" s="104" t="s">
        <v>143</v>
      </c>
      <c r="B20" s="408">
        <v>0</v>
      </c>
      <c r="C20" s="408"/>
      <c r="D20" s="408">
        <v>0</v>
      </c>
      <c r="E20" s="408"/>
      <c r="F20" s="408">
        <f>PRODUCT(D20,B20)</f>
        <v>0</v>
      </c>
      <c r="G20" s="408"/>
      <c r="H20" s="408"/>
    </row>
    <row r="21" spans="1:8" ht="15">
      <c r="A21" s="104" t="s">
        <v>144</v>
      </c>
      <c r="B21" s="408">
        <v>0</v>
      </c>
      <c r="C21" s="408"/>
      <c r="D21" s="408">
        <v>0</v>
      </c>
      <c r="E21" s="408"/>
      <c r="F21" s="408">
        <f>PRODUCT(D21,B21)</f>
        <v>0</v>
      </c>
      <c r="G21" s="408"/>
      <c r="H21" s="408"/>
    </row>
    <row r="22" spans="1:8" ht="15">
      <c r="A22" s="104" t="s">
        <v>145</v>
      </c>
      <c r="B22" s="408">
        <v>0</v>
      </c>
      <c r="C22" s="408"/>
      <c r="D22" s="408">
        <v>0</v>
      </c>
      <c r="E22" s="408"/>
      <c r="F22" s="408">
        <f>PRODUCT(D22,B22)</f>
        <v>0</v>
      </c>
      <c r="G22" s="408"/>
      <c r="H22" s="408"/>
    </row>
    <row r="23" spans="1:8" ht="15">
      <c r="A23" s="104" t="s">
        <v>146</v>
      </c>
      <c r="B23" s="408">
        <f>G8</f>
        <v>0</v>
      </c>
      <c r="C23" s="408"/>
      <c r="D23" s="408">
        <v>0</v>
      </c>
      <c r="E23" s="408"/>
      <c r="F23" s="408">
        <f>PRODUCT(D23,B23)</f>
        <v>0</v>
      </c>
      <c r="G23" s="408"/>
      <c r="H23" s="408"/>
    </row>
    <row r="24" spans="1:8" ht="15">
      <c r="A24" s="104" t="s">
        <v>152</v>
      </c>
      <c r="B24" s="431">
        <v>0</v>
      </c>
      <c r="C24" s="432"/>
      <c r="D24" s="431">
        <v>2.54</v>
      </c>
      <c r="E24" s="432"/>
      <c r="F24" s="431">
        <f>B24*D24</f>
        <v>0</v>
      </c>
      <c r="G24" s="432"/>
      <c r="H24" s="177"/>
    </row>
    <row r="25" spans="1:8" ht="18.75">
      <c r="A25" s="424" t="s">
        <v>147</v>
      </c>
      <c r="B25" s="425"/>
      <c r="C25" s="425"/>
      <c r="D25" s="425"/>
      <c r="E25" s="426"/>
      <c r="F25" s="433">
        <f>SUM(F11+F13+F20+F21+F22+F23)</f>
        <v>15</v>
      </c>
      <c r="G25" s="427"/>
      <c r="H25" s="427"/>
    </row>
    <row r="26" spans="1:8" ht="15">
      <c r="A26" s="413" t="s">
        <v>148</v>
      </c>
      <c r="B26" s="414"/>
      <c r="C26" s="414"/>
      <c r="D26" s="414"/>
      <c r="E26" s="415"/>
      <c r="F26" s="408">
        <v>63.63</v>
      </c>
      <c r="G26" s="408"/>
      <c r="H26" s="408"/>
    </row>
    <row r="27" spans="1:8" ht="15">
      <c r="A27" s="428" t="s">
        <v>149</v>
      </c>
      <c r="B27" s="429"/>
      <c r="C27" s="429"/>
      <c r="D27" s="429"/>
      <c r="E27" s="430"/>
      <c r="F27" s="408">
        <v>2.4300000000000002</v>
      </c>
      <c r="G27" s="408"/>
      <c r="H27" s="408"/>
    </row>
    <row r="28" spans="1:8" ht="15.75">
      <c r="A28" s="413" t="s">
        <v>150</v>
      </c>
      <c r="B28" s="414"/>
      <c r="C28" s="414"/>
      <c r="D28" s="414"/>
      <c r="E28" s="415"/>
      <c r="F28" s="416">
        <f>SUM(F26:H27)</f>
        <v>66.06</v>
      </c>
      <c r="G28" s="416"/>
      <c r="H28" s="416"/>
    </row>
    <row r="29" spans="1:8">
      <c r="A29" s="417" t="s">
        <v>151</v>
      </c>
      <c r="B29" s="418"/>
      <c r="C29" s="418"/>
      <c r="D29" s="418"/>
      <c r="E29" s="419"/>
      <c r="F29" s="423">
        <f>SUM(F25,F28)</f>
        <v>81.06</v>
      </c>
      <c r="G29" s="423"/>
      <c r="H29" s="423"/>
    </row>
    <row r="30" spans="1:8">
      <c r="A30" s="420"/>
      <c r="B30" s="421"/>
      <c r="C30" s="421"/>
      <c r="D30" s="421"/>
      <c r="E30" s="422"/>
      <c r="F30" s="423"/>
      <c r="G30" s="423"/>
      <c r="H30" s="423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4" t="s">
        <v>159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7" spans="2:14">
      <c r="C7" s="106" t="s">
        <v>160</v>
      </c>
      <c r="D7" s="106" t="s">
        <v>161</v>
      </c>
      <c r="E7" s="106" t="s">
        <v>162</v>
      </c>
      <c r="F7" s="106" t="s">
        <v>163</v>
      </c>
      <c r="G7" s="106" t="s">
        <v>164</v>
      </c>
      <c r="H7" s="106" t="s">
        <v>165</v>
      </c>
      <c r="I7" s="106" t="s">
        <v>166</v>
      </c>
      <c r="J7" s="106" t="s">
        <v>167</v>
      </c>
      <c r="K7" s="106" t="s">
        <v>168</v>
      </c>
      <c r="L7" s="106" t="s">
        <v>169</v>
      </c>
      <c r="M7" s="106" t="s">
        <v>170</v>
      </c>
      <c r="N7" s="106" t="s">
        <v>171</v>
      </c>
    </row>
    <row r="8" spans="2:14" ht="32.25" customHeight="1">
      <c r="B8" s="107" t="s">
        <v>172</v>
      </c>
      <c r="C8" s="440"/>
      <c r="D8" s="441"/>
      <c r="E8" s="441"/>
      <c r="F8" s="441"/>
      <c r="G8" s="441"/>
      <c r="H8" s="441"/>
      <c r="I8" s="441"/>
      <c r="J8" s="441"/>
      <c r="K8" s="442"/>
      <c r="L8" s="105">
        <v>544520</v>
      </c>
      <c r="M8" s="105">
        <v>561765</v>
      </c>
      <c r="N8" s="105">
        <v>546771</v>
      </c>
    </row>
    <row r="9" spans="2:14" ht="33" customHeight="1">
      <c r="B9" s="108" t="s">
        <v>173</v>
      </c>
      <c r="C9" s="105">
        <v>564170</v>
      </c>
      <c r="D9" s="105">
        <v>532072</v>
      </c>
      <c r="E9" s="105">
        <v>405239</v>
      </c>
      <c r="F9" s="105">
        <v>469130</v>
      </c>
      <c r="G9" s="105">
        <v>543877</v>
      </c>
      <c r="H9" s="105">
        <v>605744</v>
      </c>
      <c r="I9" s="105">
        <v>722083</v>
      </c>
      <c r="J9" s="105">
        <v>802210</v>
      </c>
      <c r="K9" s="105">
        <v>762933</v>
      </c>
      <c r="L9" s="105">
        <v>670848</v>
      </c>
      <c r="M9" s="105">
        <v>626451</v>
      </c>
      <c r="N9" s="105">
        <v>557392</v>
      </c>
    </row>
    <row r="10" spans="2:14" ht="33" customHeight="1">
      <c r="B10" s="113" t="s">
        <v>174</v>
      </c>
      <c r="C10" s="105">
        <v>520977</v>
      </c>
      <c r="D10" s="105">
        <v>541271</v>
      </c>
      <c r="E10" s="105">
        <v>508392</v>
      </c>
      <c r="F10" s="105">
        <v>659200</v>
      </c>
      <c r="G10" s="105">
        <v>705703</v>
      </c>
      <c r="H10" s="105">
        <v>784214</v>
      </c>
      <c r="I10" s="105">
        <v>823726</v>
      </c>
      <c r="J10" s="105">
        <v>913736</v>
      </c>
      <c r="K10" s="105">
        <v>831734</v>
      </c>
      <c r="L10" s="105">
        <v>794243</v>
      </c>
      <c r="M10" s="105">
        <v>688127</v>
      </c>
      <c r="N10" s="105">
        <v>577067</v>
      </c>
    </row>
    <row r="11" spans="2:14" ht="29.25" customHeight="1">
      <c r="B11" s="109" t="s">
        <v>175</v>
      </c>
      <c r="C11" s="105">
        <v>586355</v>
      </c>
      <c r="D11" s="105">
        <v>563735</v>
      </c>
      <c r="E11" s="105">
        <v>512313</v>
      </c>
      <c r="F11" s="105">
        <v>573440</v>
      </c>
      <c r="G11" s="105">
        <v>535115</v>
      </c>
      <c r="H11" s="105">
        <v>570139</v>
      </c>
      <c r="I11" s="105">
        <v>669302</v>
      </c>
      <c r="J11" s="105">
        <v>704714</v>
      </c>
      <c r="K11" s="105">
        <v>682717</v>
      </c>
      <c r="L11" s="105">
        <v>581239</v>
      </c>
      <c r="M11" s="105">
        <v>438561</v>
      </c>
      <c r="N11" s="105">
        <v>400672</v>
      </c>
    </row>
    <row r="12" spans="2:14" ht="33.75" customHeight="1">
      <c r="B12" s="120" t="s">
        <v>176</v>
      </c>
      <c r="C12" s="105">
        <v>388363</v>
      </c>
      <c r="D12" s="105">
        <v>407737</v>
      </c>
      <c r="E12" s="105">
        <v>392102</v>
      </c>
      <c r="F12" s="105">
        <v>454554</v>
      </c>
      <c r="G12" s="105">
        <v>448580</v>
      </c>
      <c r="H12" s="105">
        <v>535391</v>
      </c>
      <c r="I12" s="105">
        <v>549301</v>
      </c>
      <c r="J12" s="105">
        <v>576078</v>
      </c>
      <c r="K12" s="105">
        <v>612675</v>
      </c>
      <c r="L12" s="105">
        <v>542640</v>
      </c>
      <c r="M12" s="105">
        <v>507495</v>
      </c>
      <c r="N12" s="105">
        <v>444826</v>
      </c>
    </row>
    <row r="13" spans="2:14" ht="33.75" customHeight="1">
      <c r="B13" s="151" t="s">
        <v>177</v>
      </c>
      <c r="C13" s="105">
        <v>417018</v>
      </c>
      <c r="D13" s="105">
        <v>434912</v>
      </c>
      <c r="E13" s="105">
        <v>278008</v>
      </c>
      <c r="F13" s="105">
        <v>90895</v>
      </c>
      <c r="G13" s="105">
        <v>70143</v>
      </c>
      <c r="H13" s="105">
        <v>76577</v>
      </c>
      <c r="I13" s="105">
        <v>238549</v>
      </c>
      <c r="J13" s="105">
        <v>371235</v>
      </c>
      <c r="K13" s="105">
        <v>295161</v>
      </c>
      <c r="L13" s="105">
        <v>318184</v>
      </c>
      <c r="M13" s="105">
        <v>297355</v>
      </c>
      <c r="N13" s="105">
        <v>260661</v>
      </c>
    </row>
    <row r="14" spans="2:14" ht="33.75" customHeight="1">
      <c r="B14" s="154" t="s">
        <v>178</v>
      </c>
      <c r="C14" s="105">
        <v>239911</v>
      </c>
      <c r="D14" s="105">
        <v>247692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7" t="s">
        <v>179</v>
      </c>
      <c r="D15" s="438"/>
      <c r="E15" s="438"/>
      <c r="F15" s="438"/>
      <c r="G15" s="438"/>
      <c r="H15" s="438"/>
      <c r="I15" s="438"/>
      <c r="J15" s="438"/>
      <c r="K15" s="438"/>
      <c r="L15" s="438"/>
      <c r="M15" s="438"/>
      <c r="N15" s="439"/>
    </row>
    <row r="17" spans="2:14">
      <c r="C17" s="106" t="s">
        <v>160</v>
      </c>
      <c r="D17" s="106" t="s">
        <v>161</v>
      </c>
      <c r="E17" s="106" t="s">
        <v>162</v>
      </c>
      <c r="F17" s="106" t="s">
        <v>163</v>
      </c>
      <c r="G17" s="106" t="s">
        <v>164</v>
      </c>
      <c r="H17" s="106" t="s">
        <v>165</v>
      </c>
      <c r="I17" s="106" t="s">
        <v>166</v>
      </c>
      <c r="J17" s="106" t="s">
        <v>167</v>
      </c>
      <c r="K17" s="106" t="s">
        <v>168</v>
      </c>
      <c r="L17" s="106" t="s">
        <v>169</v>
      </c>
      <c r="M17" s="106" t="s">
        <v>170</v>
      </c>
      <c r="N17" s="106" t="s">
        <v>171</v>
      </c>
    </row>
    <row r="18" spans="2:14" ht="28.5" customHeight="1">
      <c r="B18" s="107" t="s">
        <v>172</v>
      </c>
      <c r="C18" s="440"/>
      <c r="D18" s="441"/>
      <c r="E18" s="441"/>
      <c r="F18" s="441"/>
      <c r="G18" s="441"/>
      <c r="H18" s="441"/>
      <c r="I18" s="441"/>
      <c r="J18" s="441"/>
      <c r="K18" s="442"/>
      <c r="L18" s="105">
        <v>527344.76260000002</v>
      </c>
      <c r="M18" s="105">
        <v>542887.95270000002</v>
      </c>
      <c r="N18" s="105">
        <v>530789.10450000002</v>
      </c>
    </row>
    <row r="19" spans="2:14" ht="26.25" customHeight="1">
      <c r="B19" s="108" t="s">
        <v>173</v>
      </c>
      <c r="C19" s="105">
        <v>577599.26069999998</v>
      </c>
      <c r="D19" s="105">
        <v>549500.304</v>
      </c>
      <c r="E19" s="105">
        <v>437038.73300000001</v>
      </c>
      <c r="F19" s="105">
        <v>498381.28909999994</v>
      </c>
      <c r="G19" s="105">
        <v>567710.58700000006</v>
      </c>
      <c r="H19" s="105">
        <v>626665.41229999997</v>
      </c>
      <c r="I19" s="105">
        <v>732996.54229999997</v>
      </c>
      <c r="J19" s="105">
        <v>807380.11509999994</v>
      </c>
      <c r="K19" s="105">
        <v>765103.69790000003</v>
      </c>
      <c r="L19" s="105">
        <v>674808.60869999998</v>
      </c>
      <c r="M19" s="105">
        <v>636029.23249999993</v>
      </c>
      <c r="N19" s="105">
        <v>575999.90890000004</v>
      </c>
    </row>
    <row r="20" spans="2:14" ht="28.5" customHeight="1">
      <c r="B20" s="113" t="s">
        <v>174</v>
      </c>
      <c r="C20" s="105">
        <v>565777.06310000003</v>
      </c>
      <c r="D20" s="105">
        <v>589465.87030000007</v>
      </c>
      <c r="E20" s="105">
        <v>559348.96649999998</v>
      </c>
      <c r="F20" s="105">
        <v>706566.82740000007</v>
      </c>
      <c r="G20" s="105">
        <v>750048.77370000002</v>
      </c>
      <c r="H20" s="105">
        <v>823657.03619999997</v>
      </c>
      <c r="I20" s="105">
        <v>863911.20730000001</v>
      </c>
      <c r="J20" s="105">
        <v>948371.73810000008</v>
      </c>
      <c r="K20" s="105">
        <v>870086.49040000001</v>
      </c>
      <c r="L20" s="105">
        <v>828237.32940000005</v>
      </c>
      <c r="M20" s="105">
        <v>728226.36450000003</v>
      </c>
      <c r="N20" s="105">
        <v>620794.43210000009</v>
      </c>
    </row>
    <row r="21" spans="2:14" ht="30" customHeight="1">
      <c r="B21" s="109" t="s">
        <v>175</v>
      </c>
      <c r="C21" s="105">
        <v>629018.45440000005</v>
      </c>
      <c r="D21" s="105">
        <v>609232.05440000002</v>
      </c>
      <c r="E21" s="105">
        <v>564099.54039999994</v>
      </c>
      <c r="F21" s="105">
        <v>625412.74040000001</v>
      </c>
      <c r="G21" s="105">
        <v>591310.6496</v>
      </c>
      <c r="H21" s="105">
        <v>627578.14100000006</v>
      </c>
      <c r="I21" s="105">
        <v>723790.51</v>
      </c>
      <c r="J21" s="105">
        <v>756208.25020000001</v>
      </c>
      <c r="K21" s="105">
        <v>734211.55240000004</v>
      </c>
      <c r="L21" s="105">
        <v>634725.01650000003</v>
      </c>
      <c r="M21" s="105">
        <v>492313.53600000002</v>
      </c>
      <c r="N21" s="105">
        <v>430486.08379999996</v>
      </c>
    </row>
    <row r="22" spans="2:14" ht="32.25" customHeight="1">
      <c r="B22" s="120" t="s">
        <v>176</v>
      </c>
      <c r="C22" s="105">
        <v>417767.50199999998</v>
      </c>
      <c r="D22" s="105">
        <v>437511.45040000003</v>
      </c>
      <c r="E22" s="105">
        <v>422948.91399999999</v>
      </c>
      <c r="F22" s="105">
        <v>483026.4265</v>
      </c>
      <c r="G22" s="105">
        <v>494466.65997999994</v>
      </c>
      <c r="H22" s="105">
        <v>589026.66199500009</v>
      </c>
      <c r="I22" s="105">
        <v>597445.77220000012</v>
      </c>
      <c r="J22" s="105">
        <v>624719.21129500004</v>
      </c>
      <c r="K22" s="105">
        <v>662255.2733900001</v>
      </c>
      <c r="L22" s="105">
        <v>572138.68634500005</v>
      </c>
      <c r="M22" s="105">
        <v>536725.71495000005</v>
      </c>
      <c r="N22" s="105">
        <v>473017.45039999997</v>
      </c>
    </row>
    <row r="23" spans="2:14" ht="32.25" customHeight="1">
      <c r="B23" s="151" t="s">
        <v>177</v>
      </c>
      <c r="C23" s="105">
        <v>445089.4596</v>
      </c>
      <c r="D23" s="105">
        <v>464838.33001999994</v>
      </c>
      <c r="E23" s="105">
        <v>310234.47700000001</v>
      </c>
      <c r="F23" s="105">
        <v>132086.1189</v>
      </c>
      <c r="G23" s="105">
        <v>81934.237999999998</v>
      </c>
      <c r="H23" s="105">
        <v>88016.122900000017</v>
      </c>
      <c r="I23" s="105">
        <v>290744.43883500004</v>
      </c>
      <c r="J23" s="105">
        <v>372885.53719999996</v>
      </c>
      <c r="K23" s="105">
        <v>328998.32740000001</v>
      </c>
      <c r="L23" s="105">
        <v>350713.83590000001</v>
      </c>
      <c r="M23" s="105">
        <v>329624.08839999995</v>
      </c>
      <c r="N23" s="105">
        <v>294931.19809999998</v>
      </c>
    </row>
    <row r="24" spans="2:14" ht="32.25" customHeight="1">
      <c r="B24" s="154" t="s">
        <v>178</v>
      </c>
      <c r="C24" s="105">
        <v>274561.56439999997</v>
      </c>
      <c r="D24" s="105">
        <v>283692.47039999999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4" t="s">
        <v>180</v>
      </c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4"/>
    </row>
    <row r="6" spans="2:14" ht="21" customHeight="1"/>
    <row r="7" spans="2:14">
      <c r="C7" s="106" t="s">
        <v>160</v>
      </c>
      <c r="D7" s="106" t="s">
        <v>161</v>
      </c>
      <c r="E7" s="106" t="s">
        <v>162</v>
      </c>
      <c r="F7" s="106" t="s">
        <v>163</v>
      </c>
      <c r="G7" s="106" t="s">
        <v>164</v>
      </c>
      <c r="H7" s="106" t="s">
        <v>165</v>
      </c>
      <c r="I7" s="106" t="s">
        <v>166</v>
      </c>
      <c r="J7" s="106" t="s">
        <v>167</v>
      </c>
      <c r="K7" s="106" t="s">
        <v>168</v>
      </c>
      <c r="L7" s="106" t="s">
        <v>169</v>
      </c>
      <c r="M7" s="106" t="s">
        <v>170</v>
      </c>
      <c r="N7" s="106" t="s">
        <v>171</v>
      </c>
    </row>
    <row r="8" spans="2:14" ht="33" customHeight="1">
      <c r="B8" s="107" t="s">
        <v>172</v>
      </c>
      <c r="C8" s="440"/>
      <c r="D8" s="441"/>
      <c r="E8" s="441"/>
      <c r="F8" s="441"/>
      <c r="G8" s="441"/>
      <c r="H8" s="441"/>
      <c r="I8" s="441"/>
      <c r="J8" s="441"/>
      <c r="K8" s="442"/>
      <c r="L8" s="105"/>
      <c r="M8" s="105">
        <v>3298</v>
      </c>
      <c r="N8" s="105">
        <v>3866</v>
      </c>
    </row>
    <row r="9" spans="2:14" ht="39" customHeight="1">
      <c r="B9" s="108" t="s">
        <v>173</v>
      </c>
      <c r="C9" s="105">
        <v>4094</v>
      </c>
      <c r="D9" s="105">
        <v>3691</v>
      </c>
      <c r="E9" s="105">
        <v>3917</v>
      </c>
      <c r="F9" s="105">
        <v>4785</v>
      </c>
      <c r="G9" s="105">
        <v>5213</v>
      </c>
      <c r="H9" s="105">
        <v>4103</v>
      </c>
      <c r="I9" s="105">
        <v>5622</v>
      </c>
      <c r="J9" s="105">
        <v>6568</v>
      </c>
      <c r="K9" s="105">
        <v>4813</v>
      </c>
      <c r="L9" s="105">
        <v>6088</v>
      </c>
      <c r="M9" s="105">
        <v>4819</v>
      </c>
      <c r="N9" s="105">
        <v>5252</v>
      </c>
    </row>
    <row r="10" spans="2:14" ht="36" customHeight="1">
      <c r="B10" s="113" t="s">
        <v>174</v>
      </c>
      <c r="C10" s="105">
        <v>5132</v>
      </c>
      <c r="D10" s="105">
        <v>4589</v>
      </c>
      <c r="E10" s="105">
        <v>6190</v>
      </c>
      <c r="F10" s="105">
        <v>6170</v>
      </c>
      <c r="G10" s="105">
        <v>5980</v>
      </c>
      <c r="H10" s="105">
        <v>6097.8</v>
      </c>
      <c r="I10" s="105">
        <v>7050</v>
      </c>
      <c r="J10" s="105">
        <v>8050</v>
      </c>
      <c r="K10" s="105">
        <v>6678</v>
      </c>
      <c r="L10" s="105">
        <v>6859</v>
      </c>
      <c r="M10" s="105">
        <v>5960</v>
      </c>
      <c r="N10" s="105">
        <v>5210.0999999999985</v>
      </c>
    </row>
    <row r="11" spans="2:14" ht="36.75" customHeight="1">
      <c r="B11" s="109" t="s">
        <v>175</v>
      </c>
      <c r="C11" s="105">
        <v>5598.9000000000015</v>
      </c>
      <c r="D11" s="105">
        <v>5297</v>
      </c>
      <c r="E11" s="105">
        <v>5857</v>
      </c>
      <c r="F11" s="105">
        <v>6284</v>
      </c>
      <c r="G11" s="105">
        <v>5500</v>
      </c>
      <c r="H11" s="105">
        <v>5583.8000000000029</v>
      </c>
      <c r="I11" s="105">
        <v>6266.8999999999942</v>
      </c>
      <c r="J11" s="105">
        <v>6178.3000000000029</v>
      </c>
      <c r="K11" s="105">
        <v>6144.5</v>
      </c>
      <c r="L11" s="105">
        <v>6117.5</v>
      </c>
      <c r="M11" s="105">
        <v>5023</v>
      </c>
      <c r="N11" s="105">
        <v>4767.8</v>
      </c>
    </row>
    <row r="12" spans="2:14" ht="33.75" customHeight="1">
      <c r="B12" s="120" t="s">
        <v>176</v>
      </c>
      <c r="C12" s="105">
        <v>5044.8</v>
      </c>
      <c r="D12" s="105">
        <v>5061</v>
      </c>
      <c r="E12" s="105">
        <v>5504</v>
      </c>
      <c r="F12" s="105">
        <v>5372.2999999999993</v>
      </c>
      <c r="G12" s="105">
        <v>4507.2999999999993</v>
      </c>
      <c r="H12" s="105">
        <v>5269.2000000000044</v>
      </c>
      <c r="I12" s="105">
        <v>5509.1999999999971</v>
      </c>
      <c r="J12" s="105">
        <v>5601</v>
      </c>
      <c r="K12" s="105">
        <v>5387</v>
      </c>
      <c r="L12" s="105">
        <v>6051</v>
      </c>
      <c r="M12" s="105">
        <v>5532</v>
      </c>
      <c r="N12" s="105">
        <v>5565.1999999999971</v>
      </c>
    </row>
    <row r="13" spans="2:14" ht="33.75" customHeight="1">
      <c r="B13" s="151" t="s">
        <v>177</v>
      </c>
      <c r="C13" s="105">
        <v>5763.4000000000087</v>
      </c>
      <c r="D13" s="105">
        <v>5632.3999999999942</v>
      </c>
      <c r="E13" s="105">
        <v>3058.6999999999971</v>
      </c>
      <c r="F13" s="105">
        <v>714.5</v>
      </c>
      <c r="G13" s="105">
        <v>439.80000000000291</v>
      </c>
      <c r="H13" s="105">
        <v>1383.3999999999942</v>
      </c>
      <c r="I13" s="105">
        <v>3491.8000000000029</v>
      </c>
      <c r="J13" s="105">
        <v>2618.6999999999971</v>
      </c>
      <c r="K13" s="105">
        <v>1829.7000000000116</v>
      </c>
      <c r="L13" s="105">
        <v>3000</v>
      </c>
      <c r="M13" s="105">
        <v>1896</v>
      </c>
      <c r="N13" s="105">
        <v>1780.5999999999913</v>
      </c>
    </row>
    <row r="14" spans="2:14" ht="33.75" customHeight="1">
      <c r="B14" s="154" t="s">
        <v>178</v>
      </c>
      <c r="C14" s="105">
        <v>2083.1999999999971</v>
      </c>
      <c r="D14" s="105">
        <v>2115.3000000000029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7" t="s">
        <v>181</v>
      </c>
      <c r="D15" s="445"/>
      <c r="E15" s="445"/>
      <c r="F15" s="445"/>
      <c r="G15" s="445"/>
      <c r="H15" s="445"/>
      <c r="I15" s="445"/>
      <c r="J15" s="445"/>
      <c r="K15" s="445"/>
      <c r="L15" s="445"/>
      <c r="M15" s="445"/>
      <c r="N15" s="446"/>
    </row>
    <row r="17" spans="2:15" ht="18" customHeight="1">
      <c r="C17" s="106" t="s">
        <v>160</v>
      </c>
      <c r="D17" s="106" t="s">
        <v>161</v>
      </c>
      <c r="E17" s="106" t="s">
        <v>162</v>
      </c>
      <c r="F17" s="106" t="s">
        <v>163</v>
      </c>
      <c r="G17" s="106" t="s">
        <v>164</v>
      </c>
      <c r="H17" s="106" t="s">
        <v>165</v>
      </c>
      <c r="I17" s="106" t="s">
        <v>166</v>
      </c>
      <c r="J17" s="106" t="s">
        <v>167</v>
      </c>
      <c r="K17" s="106" t="s">
        <v>168</v>
      </c>
      <c r="L17" s="106" t="s">
        <v>169</v>
      </c>
      <c r="M17" s="106" t="s">
        <v>170</v>
      </c>
      <c r="N17" s="106" t="s">
        <v>171</v>
      </c>
    </row>
    <row r="18" spans="2:15" ht="30" customHeight="1">
      <c r="B18" s="107" t="s">
        <v>172</v>
      </c>
      <c r="C18" s="440"/>
      <c r="D18" s="441"/>
      <c r="E18" s="441"/>
      <c r="F18" s="441"/>
      <c r="G18" s="441"/>
      <c r="H18" s="441"/>
      <c r="I18" s="441"/>
      <c r="J18" s="441"/>
      <c r="K18" s="442"/>
      <c r="L18" s="105"/>
      <c r="M18" s="105">
        <v>43165.84</v>
      </c>
      <c r="N18" s="105">
        <v>50595.28</v>
      </c>
    </row>
    <row r="19" spans="2:15" ht="31.5" customHeight="1">
      <c r="B19" s="108" t="s">
        <v>173</v>
      </c>
      <c r="C19" s="105">
        <v>53565.520000000004</v>
      </c>
      <c r="D19" s="105">
        <v>48294.28</v>
      </c>
      <c r="E19" s="105">
        <v>51250.36</v>
      </c>
      <c r="F19" s="105">
        <v>62603.8</v>
      </c>
      <c r="G19" s="105">
        <v>68202.040000000008</v>
      </c>
      <c r="H19" s="105">
        <v>53683.240000000005</v>
      </c>
      <c r="I19" s="105">
        <v>73551.760000000009</v>
      </c>
      <c r="J19" s="105">
        <v>85925.440000000002</v>
      </c>
      <c r="K19" s="105">
        <v>57158.52</v>
      </c>
      <c r="L19" s="105">
        <v>67234.52</v>
      </c>
      <c r="M19" s="105">
        <v>53224.76</v>
      </c>
      <c r="N19" s="105">
        <v>58005.08</v>
      </c>
    </row>
    <row r="20" spans="2:15" ht="34.5" customHeight="1">
      <c r="B20" s="113" t="s">
        <v>174</v>
      </c>
      <c r="C20" s="105">
        <v>56680.28</v>
      </c>
      <c r="D20" s="105">
        <v>50685.56</v>
      </c>
      <c r="E20" s="105">
        <v>68360.600000000006</v>
      </c>
      <c r="F20" s="105">
        <v>68139.8</v>
      </c>
      <c r="G20" s="105">
        <v>66042.2</v>
      </c>
      <c r="H20" s="105">
        <v>67342.712</v>
      </c>
      <c r="I20" s="105">
        <v>77855</v>
      </c>
      <c r="J20" s="105">
        <v>88895</v>
      </c>
      <c r="K20" s="105">
        <v>73748.12</v>
      </c>
      <c r="L20" s="105">
        <v>75746.36</v>
      </c>
      <c r="M20" s="105">
        <v>65821.399999999994</v>
      </c>
      <c r="N20" s="105">
        <v>57542.503999999986</v>
      </c>
    </row>
    <row r="21" spans="2:15" ht="36" customHeight="1">
      <c r="B21" s="109" t="s">
        <v>175</v>
      </c>
      <c r="C21" s="105">
        <v>61834.856000000014</v>
      </c>
      <c r="D21" s="105">
        <v>58501.880000000005</v>
      </c>
      <c r="E21" s="105">
        <v>64684.28</v>
      </c>
      <c r="F21" s="105">
        <v>69398.36</v>
      </c>
      <c r="G21" s="105">
        <v>60743</v>
      </c>
      <c r="H21" s="105">
        <v>61668.152000000031</v>
      </c>
      <c r="I21" s="105">
        <v>69209.575999999943</v>
      </c>
      <c r="J21" s="105">
        <v>68231.43200000003</v>
      </c>
      <c r="K21" s="105">
        <v>67858.28</v>
      </c>
      <c r="L21" s="105">
        <v>67560.2</v>
      </c>
      <c r="M21" s="105">
        <v>55476.92</v>
      </c>
      <c r="N21" s="105">
        <v>52659.512000000002</v>
      </c>
    </row>
    <row r="22" spans="2:15" ht="32.25" customHeight="1">
      <c r="B22" s="120" t="s">
        <v>176</v>
      </c>
      <c r="C22" s="105">
        <v>55717.592000000004</v>
      </c>
      <c r="D22" s="105">
        <v>57718.399999999994</v>
      </c>
      <c r="E22" s="105">
        <v>62768.599999999991</v>
      </c>
      <c r="F22" s="105">
        <v>61267.219999999987</v>
      </c>
      <c r="G22" s="105">
        <v>51406.219999999987</v>
      </c>
      <c r="H22" s="105">
        <v>60091.880000000041</v>
      </c>
      <c r="I22" s="105">
        <v>62827.879999999961</v>
      </c>
      <c r="J22" s="105">
        <v>63874.400000000001</v>
      </c>
      <c r="K22" s="105">
        <v>61434.799999999996</v>
      </c>
      <c r="L22" s="105">
        <v>69004.399999999994</v>
      </c>
      <c r="M22" s="105">
        <v>63087.799999999996</v>
      </c>
      <c r="N22" s="105">
        <v>63466.279999999962</v>
      </c>
    </row>
    <row r="23" spans="2:15" ht="32.25" customHeight="1">
      <c r="B23" s="151" t="s">
        <v>177</v>
      </c>
      <c r="C23" s="105">
        <v>65725.760000000097</v>
      </c>
      <c r="D23" s="105">
        <v>64232.359999999928</v>
      </c>
      <c r="E23" s="105">
        <v>34892.179999999964</v>
      </c>
      <c r="F23" s="105">
        <v>8168.2999999999993</v>
      </c>
      <c r="G23" s="105">
        <v>5036.7200000000321</v>
      </c>
      <c r="H23" s="105">
        <v>15793.759999999933</v>
      </c>
      <c r="I23" s="105">
        <v>39829.519999999997</v>
      </c>
      <c r="J23" s="105">
        <v>29876.179999999964</v>
      </c>
      <c r="K23" s="105">
        <v>20881.580000000129</v>
      </c>
      <c r="L23" s="105">
        <v>34223</v>
      </c>
      <c r="M23" s="105">
        <v>21637.4</v>
      </c>
      <c r="N23" s="105">
        <v>20321.839999999898</v>
      </c>
    </row>
    <row r="24" spans="2:15" ht="32.25" customHeight="1">
      <c r="B24" s="154" t="s">
        <v>178</v>
      </c>
      <c r="C24" s="105">
        <v>23771.479999999963</v>
      </c>
      <c r="D24" s="105">
        <v>24137.420000000031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4" t="s">
        <v>182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3.25" customHeight="1"/>
    <row r="7" spans="2:14">
      <c r="C7" s="106" t="s">
        <v>160</v>
      </c>
      <c r="D7" s="106" t="s">
        <v>161</v>
      </c>
      <c r="E7" s="106" t="s">
        <v>162</v>
      </c>
      <c r="F7" s="106" t="s">
        <v>163</v>
      </c>
      <c r="G7" s="106" t="s">
        <v>164</v>
      </c>
      <c r="H7" s="106" t="s">
        <v>165</v>
      </c>
      <c r="I7" s="106" t="s">
        <v>166</v>
      </c>
      <c r="J7" s="106" t="s">
        <v>167</v>
      </c>
      <c r="K7" s="106" t="s">
        <v>168</v>
      </c>
      <c r="L7" s="106" t="s">
        <v>169</v>
      </c>
      <c r="M7" s="106" t="s">
        <v>170</v>
      </c>
      <c r="N7" s="106" t="s">
        <v>171</v>
      </c>
    </row>
    <row r="8" spans="2:14" ht="33.75" customHeight="1">
      <c r="B8" s="107" t="s">
        <v>172</v>
      </c>
      <c r="C8" s="440"/>
      <c r="D8" s="441"/>
      <c r="E8" s="441"/>
      <c r="F8" s="441"/>
      <c r="G8" s="441"/>
      <c r="H8" s="441"/>
      <c r="I8" s="441"/>
      <c r="J8" s="441"/>
      <c r="K8" s="442"/>
      <c r="L8" s="105">
        <v>19365</v>
      </c>
      <c r="M8" s="105">
        <v>21235</v>
      </c>
      <c r="N8" s="105">
        <v>34053</v>
      </c>
    </row>
    <row r="9" spans="2:14" ht="35.25" customHeight="1">
      <c r="B9" s="108" t="s">
        <v>173</v>
      </c>
      <c r="C9" s="105">
        <v>23598</v>
      </c>
      <c r="D9" s="105">
        <v>28302</v>
      </c>
      <c r="E9" s="105">
        <v>23000</v>
      </c>
      <c r="F9" s="105">
        <v>28601</v>
      </c>
      <c r="G9" s="105">
        <v>24612</v>
      </c>
      <c r="H9" s="105">
        <v>16695</v>
      </c>
      <c r="I9" s="105">
        <v>10756</v>
      </c>
      <c r="J9" s="105">
        <v>14749</v>
      </c>
      <c r="K9" s="105">
        <v>18297</v>
      </c>
      <c r="L9" s="105">
        <v>20801</v>
      </c>
      <c r="M9" s="105">
        <v>22927</v>
      </c>
      <c r="N9" s="105">
        <v>38265</v>
      </c>
    </row>
    <row r="10" spans="2:14" ht="32.25" customHeight="1">
      <c r="B10" s="113" t="s">
        <v>174</v>
      </c>
      <c r="C10" s="105">
        <v>39843</v>
      </c>
      <c r="D10" s="105">
        <v>27644</v>
      </c>
      <c r="E10" s="105">
        <v>31207</v>
      </c>
      <c r="F10" s="105">
        <v>34231</v>
      </c>
      <c r="G10" s="105">
        <v>21149.420000000002</v>
      </c>
      <c r="H10" s="105">
        <v>19502</v>
      </c>
      <c r="I10" s="105">
        <v>22293</v>
      </c>
      <c r="J10" s="105">
        <v>21244</v>
      </c>
      <c r="K10" s="105">
        <v>20201</v>
      </c>
      <c r="L10" s="105">
        <v>21000</v>
      </c>
      <c r="M10" s="105">
        <v>30135</v>
      </c>
      <c r="N10" s="105">
        <v>28841</v>
      </c>
    </row>
    <row r="11" spans="2:14" ht="34.5" customHeight="1">
      <c r="B11" s="109" t="s">
        <v>175</v>
      </c>
      <c r="C11" s="105">
        <v>33210.620000000003</v>
      </c>
      <c r="D11" s="105">
        <v>27328.669000000002</v>
      </c>
      <c r="E11" s="105">
        <v>22296.292000000001</v>
      </c>
      <c r="F11" s="105">
        <v>18205.006000000001</v>
      </c>
      <c r="G11" s="105">
        <v>16641.811000000002</v>
      </c>
      <c r="H11" s="105">
        <v>17087.758000000002</v>
      </c>
      <c r="I11" s="105">
        <v>13220.239000000001</v>
      </c>
      <c r="J11" s="105">
        <v>15457.909000000001</v>
      </c>
      <c r="K11" s="105">
        <v>10651.944000000001</v>
      </c>
      <c r="L11" s="105">
        <v>13951.846000000001</v>
      </c>
      <c r="M11" s="105">
        <v>24676.263000000003</v>
      </c>
      <c r="N11" s="105">
        <v>21781.575000000001</v>
      </c>
    </row>
    <row r="12" spans="2:14" ht="36.75" customHeight="1">
      <c r="B12" s="120" t="s">
        <v>176</v>
      </c>
      <c r="C12" s="105">
        <v>26669.535</v>
      </c>
      <c r="D12" s="105">
        <v>26601.294000000002</v>
      </c>
      <c r="E12" s="105">
        <v>23114.126</v>
      </c>
      <c r="F12" s="105">
        <v>20873.811000000002</v>
      </c>
      <c r="G12" s="105">
        <v>14596.168000000001</v>
      </c>
      <c r="H12" s="105">
        <v>10659.35</v>
      </c>
      <c r="I12" s="105">
        <v>18584.299000000003</v>
      </c>
      <c r="J12" s="105">
        <v>10559.897999999999</v>
      </c>
      <c r="K12" s="105">
        <v>8546.5240000000013</v>
      </c>
      <c r="L12" s="105">
        <v>17517.306</v>
      </c>
      <c r="M12" s="105">
        <v>20452.198</v>
      </c>
      <c r="N12" s="105">
        <v>27341.365000000002</v>
      </c>
    </row>
    <row r="13" spans="2:14" ht="36.75" customHeight="1">
      <c r="B13" s="151" t="s">
        <v>177</v>
      </c>
      <c r="C13" s="105">
        <v>30735.958000000002</v>
      </c>
      <c r="D13" s="105">
        <v>21724.442999999999</v>
      </c>
      <c r="E13" s="105">
        <v>11128.573</v>
      </c>
      <c r="F13" s="105">
        <v>4506.0219999999999</v>
      </c>
      <c r="G13" s="105">
        <v>0</v>
      </c>
      <c r="H13" s="105">
        <v>2998.3720000000003</v>
      </c>
      <c r="I13" s="105">
        <v>8663.5590000000011</v>
      </c>
      <c r="J13" s="105">
        <v>4731.9050000000007</v>
      </c>
      <c r="K13" s="105">
        <v>4832.415</v>
      </c>
      <c r="L13" s="105">
        <v>13092.221000000001</v>
      </c>
      <c r="M13" s="105">
        <v>17284.017</v>
      </c>
      <c r="N13" s="105">
        <v>16432.856</v>
      </c>
    </row>
    <row r="14" spans="2:14" ht="36.75" customHeight="1">
      <c r="B14" s="154" t="s">
        <v>178</v>
      </c>
      <c r="C14" s="105">
        <v>16222.314</v>
      </c>
      <c r="D14" s="105">
        <v>13578.901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7" t="s">
        <v>183</v>
      </c>
      <c r="D15" s="438"/>
      <c r="E15" s="438"/>
      <c r="F15" s="438"/>
      <c r="G15" s="438"/>
      <c r="H15" s="438"/>
      <c r="I15" s="438"/>
      <c r="J15" s="438"/>
      <c r="K15" s="438"/>
      <c r="L15" s="438"/>
      <c r="M15" s="438"/>
      <c r="N15" s="439"/>
    </row>
    <row r="17" spans="2:14" ht="17.25" customHeight="1">
      <c r="C17" s="106" t="s">
        <v>160</v>
      </c>
      <c r="D17" s="106" t="s">
        <v>161</v>
      </c>
      <c r="E17" s="106" t="s">
        <v>162</v>
      </c>
      <c r="F17" s="106" t="s">
        <v>163</v>
      </c>
      <c r="G17" s="106" t="s">
        <v>164</v>
      </c>
      <c r="H17" s="106" t="s">
        <v>165</v>
      </c>
      <c r="I17" s="106" t="s">
        <v>166</v>
      </c>
      <c r="J17" s="106" t="s">
        <v>167</v>
      </c>
      <c r="K17" s="106" t="s">
        <v>168</v>
      </c>
      <c r="L17" s="106" t="s">
        <v>169</v>
      </c>
      <c r="M17" s="106" t="s">
        <v>170</v>
      </c>
      <c r="N17" s="106" t="s">
        <v>171</v>
      </c>
    </row>
    <row r="18" spans="2:14" ht="30" customHeight="1">
      <c r="B18" s="107" t="s">
        <v>172</v>
      </c>
      <c r="C18" s="440"/>
      <c r="D18" s="441"/>
      <c r="E18" s="441"/>
      <c r="F18" s="441"/>
      <c r="G18" s="441"/>
      <c r="H18" s="441"/>
      <c r="I18" s="441"/>
      <c r="J18" s="441"/>
      <c r="K18" s="442"/>
      <c r="L18" s="105">
        <v>222503.85</v>
      </c>
      <c r="M18" s="105">
        <v>248385.8</v>
      </c>
      <c r="N18" s="105">
        <v>412790.47</v>
      </c>
    </row>
    <row r="19" spans="2:14" ht="30" customHeight="1">
      <c r="B19" s="108" t="s">
        <v>173</v>
      </c>
      <c r="C19" s="105">
        <v>281335.36</v>
      </c>
      <c r="D19" s="105">
        <v>329491.88</v>
      </c>
      <c r="E19" s="110">
        <v>263166</v>
      </c>
      <c r="F19" s="105">
        <v>334402.89</v>
      </c>
      <c r="G19" s="105">
        <v>287763.5</v>
      </c>
      <c r="H19" s="105">
        <v>200206.44</v>
      </c>
      <c r="I19" s="105">
        <v>128985.95</v>
      </c>
      <c r="J19" s="105">
        <v>174687.16</v>
      </c>
      <c r="K19" s="105">
        <v>221708.41</v>
      </c>
      <c r="L19" s="105">
        <v>257125.33</v>
      </c>
      <c r="M19" s="105">
        <v>290283.33</v>
      </c>
      <c r="N19" s="105">
        <v>491751.17</v>
      </c>
    </row>
    <row r="20" spans="2:14" ht="38.25" customHeight="1">
      <c r="B20" s="113" t="s">
        <v>174</v>
      </c>
      <c r="C20" s="105">
        <v>534222.91</v>
      </c>
      <c r="D20" s="105">
        <v>397841.39</v>
      </c>
      <c r="E20" s="110">
        <v>463317.85</v>
      </c>
      <c r="F20" s="105">
        <v>473982.96</v>
      </c>
      <c r="G20" s="105">
        <v>288617.67497200001</v>
      </c>
      <c r="H20" s="105">
        <v>262138.08</v>
      </c>
      <c r="I20" s="105">
        <v>290959.32</v>
      </c>
      <c r="J20" s="105">
        <v>277268.19</v>
      </c>
      <c r="K20" s="105">
        <v>269109.64</v>
      </c>
      <c r="L20" s="105">
        <v>279753.59999999998</v>
      </c>
      <c r="M20" s="105">
        <v>411233.26</v>
      </c>
      <c r="N20" s="105">
        <v>393575.4632766</v>
      </c>
    </row>
    <row r="21" spans="2:14" ht="36" customHeight="1">
      <c r="B21" s="109" t="s">
        <v>175</v>
      </c>
      <c r="C21" s="105">
        <v>433913.35561000003</v>
      </c>
      <c r="D21" s="105">
        <v>365261.32551950007</v>
      </c>
      <c r="E21" s="105">
        <v>291312.20312600001</v>
      </c>
      <c r="F21" s="105">
        <v>213834.17997540004</v>
      </c>
      <c r="G21" s="105">
        <v>197886.11041990001</v>
      </c>
      <c r="H21" s="105">
        <v>143537.16720000003</v>
      </c>
      <c r="I21" s="105">
        <v>111050.00760000001</v>
      </c>
      <c r="J21" s="105">
        <v>129846.43560000001</v>
      </c>
      <c r="K21" s="105">
        <v>97997.8848</v>
      </c>
      <c r="L21" s="105">
        <v>117195.50640000001</v>
      </c>
      <c r="M21" s="105">
        <v>207280.60920000004</v>
      </c>
      <c r="N21" s="105">
        <v>182965.23</v>
      </c>
    </row>
    <row r="22" spans="2:14" ht="36.75" customHeight="1">
      <c r="B22" s="120" t="s">
        <v>176</v>
      </c>
      <c r="C22" s="105">
        <v>224024.09400000001</v>
      </c>
      <c r="D22" s="105">
        <v>223450.86960000003</v>
      </c>
      <c r="E22" s="105">
        <v>209182.84030000001</v>
      </c>
      <c r="F22" s="105">
        <v>188907.98955000003</v>
      </c>
      <c r="G22" s="105">
        <v>129176.0868</v>
      </c>
      <c r="H22" s="105">
        <v>94335.247499999998</v>
      </c>
      <c r="I22" s="105">
        <v>144957.53220000002</v>
      </c>
      <c r="J22" s="105">
        <v>77405.108330000003</v>
      </c>
      <c r="K22" s="105">
        <v>62646.875572400008</v>
      </c>
      <c r="L22" s="105">
        <v>128403.6047106</v>
      </c>
      <c r="M22" s="105">
        <v>149916.6565598</v>
      </c>
      <c r="N22" s="105">
        <v>217831.38909150002</v>
      </c>
    </row>
    <row r="23" spans="2:14" ht="36.75" customHeight="1">
      <c r="B23" s="151" t="s">
        <v>177</v>
      </c>
      <c r="C23" s="105">
        <v>244876.45098180004</v>
      </c>
      <c r="D23" s="105">
        <v>193260.64492800002</v>
      </c>
      <c r="E23" s="105">
        <v>87871.212408000007</v>
      </c>
      <c r="F23" s="105">
        <v>35579.549712</v>
      </c>
      <c r="G23" s="105">
        <v>0</v>
      </c>
      <c r="H23" s="105">
        <v>23675.145312000001</v>
      </c>
      <c r="I23" s="105">
        <v>72782.559159000011</v>
      </c>
      <c r="J23" s="105">
        <v>40462.519659999998</v>
      </c>
      <c r="K23" s="105">
        <v>41321.980665000003</v>
      </c>
      <c r="L23" s="105">
        <v>111951.58177100001</v>
      </c>
      <c r="M23" s="105">
        <v>151252.43276699999</v>
      </c>
      <c r="N23" s="105">
        <v>147090.494056</v>
      </c>
    </row>
    <row r="24" spans="2:14" ht="36.75" customHeight="1">
      <c r="B24" s="154" t="s">
        <v>178</v>
      </c>
      <c r="C24" s="105">
        <v>175249.65814200003</v>
      </c>
      <c r="D24" s="105">
        <v>133357.0288309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2021-03-04T08:18:37Z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