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G27"/>
  <c r="F27"/>
  <c r="G26"/>
  <c r="F26"/>
  <c r="G25"/>
  <c r="H25" s="1"/>
  <c r="F25"/>
  <c r="G24"/>
  <c r="F24"/>
  <c r="G23"/>
  <c r="F23"/>
  <c r="G22"/>
  <c r="F22"/>
  <c r="G21"/>
  <c r="H21" s="1"/>
  <c r="F21"/>
  <c r="G20"/>
  <c r="F20"/>
  <c r="G19"/>
  <c r="F19"/>
  <c r="G18"/>
  <c r="F18"/>
  <c r="G17"/>
  <c r="H17" s="1"/>
  <c r="F17"/>
  <c r="G16"/>
  <c r="F16"/>
  <c r="G15"/>
  <c r="H15" s="1"/>
  <c r="F15"/>
  <c r="G14"/>
  <c r="F14"/>
  <c r="G13"/>
  <c r="H13" s="1"/>
  <c r="F13"/>
  <c r="G12"/>
  <c r="H12" s="1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H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H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H24"/>
  <c r="E24"/>
  <c r="X23"/>
  <c r="T23"/>
  <c r="P23"/>
  <c r="M23"/>
  <c r="L23"/>
  <c r="I23"/>
  <c r="H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H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12"/>
  <c r="F13" s="1"/>
  <c r="F14" s="1"/>
  <c r="F15" s="1"/>
  <c r="F16" s="1"/>
  <c r="F17" s="1"/>
  <c r="F18" s="1"/>
  <c r="F19" s="1"/>
  <c r="F20" s="1"/>
  <c r="F21" s="1"/>
  <c r="F22" s="1"/>
  <c r="S3"/>
  <c r="Q3"/>
  <c r="N3"/>
  <c r="M3"/>
  <c r="L3"/>
  <c r="K3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I3"/>
  <c r="H12"/>
  <c r="H13" s="1"/>
  <c r="H14" s="1"/>
  <c r="H15" s="1"/>
  <c r="H16" s="1"/>
  <c r="H17" s="1"/>
  <c r="H18" s="1"/>
  <c r="H19" s="1"/>
  <c r="H20" s="1"/>
  <c r="H21" s="1"/>
  <c r="H22" s="1"/>
  <c r="G3"/>
  <c r="E3"/>
  <c r="D3"/>
  <c r="C3"/>
  <c r="B12"/>
  <c r="B13" s="1"/>
  <c r="B14" s="1"/>
  <c r="B15" s="1"/>
  <c r="B16" s="1"/>
  <c r="B17" s="1"/>
  <c r="B18" s="1"/>
  <c r="B19" s="1"/>
  <c r="B20" s="1"/>
  <c r="B21" s="1"/>
  <c r="B22" s="1"/>
  <c r="D11" i="3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B11"/>
  <c r="B12" s="1"/>
  <c r="B13" s="1"/>
  <c r="B14" s="1"/>
  <c r="B15" s="1"/>
  <c r="B16" s="1"/>
  <c r="B17" s="1"/>
  <c r="B18" s="1"/>
  <c r="B19" s="1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14" i="5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14"/>
  <c r="AX15" s="1"/>
  <c r="AX16" s="1"/>
  <c r="AX17" s="1"/>
  <c r="AX18" s="1"/>
  <c r="AX19" s="1"/>
  <c r="AX20" s="1"/>
  <c r="AX21" s="1"/>
  <c r="AX22" s="1"/>
  <c r="AX23" s="1"/>
  <c r="AX24" s="1"/>
  <c r="AT9"/>
  <c r="AT11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4" s="1"/>
  <c r="H15" s="1"/>
  <c r="H16" s="1"/>
  <c r="H17" s="1"/>
  <c r="H18" s="1"/>
  <c r="H19" s="1"/>
  <c r="H20" s="1"/>
  <c r="H21" s="1"/>
  <c r="H22" s="1"/>
  <c r="H23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11" s="1"/>
  <c r="M13" s="1"/>
  <c r="M14" s="1"/>
  <c r="M15" s="1"/>
  <c r="M16" s="1"/>
  <c r="M17" s="1"/>
  <c r="M18" s="1"/>
  <c r="M19" s="1"/>
  <c r="M20" s="1"/>
  <c r="M21" s="1"/>
  <c r="M22" s="1"/>
  <c r="M23" s="1"/>
  <c r="L4"/>
  <c r="K4"/>
  <c r="K5" s="1"/>
  <c r="K8" s="1"/>
  <c r="K11" s="1"/>
  <c r="K13" s="1"/>
  <c r="K14" s="1"/>
  <c r="K15" s="1"/>
  <c r="K16" s="1"/>
  <c r="K17" s="1"/>
  <c r="K18" s="1"/>
  <c r="K19" s="1"/>
  <c r="K20" s="1"/>
  <c r="K21" s="1"/>
  <c r="K22" s="1"/>
  <c r="K23" s="1"/>
  <c r="J4"/>
  <c r="I4"/>
  <c r="H4"/>
  <c r="G4"/>
  <c r="F4"/>
  <c r="F7" s="1"/>
  <c r="F10" s="1"/>
  <c r="F13" s="1"/>
  <c r="F14" s="1"/>
  <c r="F15" s="1"/>
  <c r="F16" s="1"/>
  <c r="F17" s="1"/>
  <c r="F18" s="1"/>
  <c r="F19" s="1"/>
  <c r="F20" s="1"/>
  <c r="F21" s="1"/>
  <c r="F22" s="1"/>
  <c r="F23" s="1"/>
  <c r="E4"/>
  <c r="D4"/>
  <c r="C4"/>
  <c r="C13" s="1"/>
  <c r="C14" s="1"/>
  <c r="C15" s="1"/>
  <c r="C16" s="1"/>
  <c r="C17" s="1"/>
  <c r="C18" s="1"/>
  <c r="C19" s="1"/>
  <c r="C20" s="1"/>
  <c r="C21" s="1"/>
  <c r="C22" s="1"/>
  <c r="B4"/>
  <c r="L11" i="2"/>
  <c r="L12" s="1"/>
  <c r="L13" s="1"/>
  <c r="L14" s="1"/>
  <c r="L15" s="1"/>
  <c r="L16" s="1"/>
  <c r="L17" s="1"/>
  <c r="L18" s="1"/>
  <c r="L19" s="1"/>
  <c r="L20" s="1"/>
  <c r="L21" s="1"/>
  <c r="AG2"/>
  <c r="AF2"/>
  <c r="AE2"/>
  <c r="AD2"/>
  <c r="AC2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R2"/>
  <c r="Q2"/>
  <c r="P2"/>
  <c r="P11" s="1"/>
  <c r="P12" s="1"/>
  <c r="P13" s="1"/>
  <c r="P14" s="1"/>
  <c r="P15" s="1"/>
  <c r="P16" s="1"/>
  <c r="P17" s="1"/>
  <c r="P18" s="1"/>
  <c r="P19" s="1"/>
  <c r="P20" s="1"/>
  <c r="P21" s="1"/>
  <c r="O2"/>
  <c r="N2"/>
  <c r="M2"/>
  <c r="L2"/>
  <c r="K2"/>
  <c r="J2"/>
  <c r="J11" s="1"/>
  <c r="J12" s="1"/>
  <c r="J13" s="1"/>
  <c r="J14" s="1"/>
  <c r="J15" s="1"/>
  <c r="J16" s="1"/>
  <c r="J17" s="1"/>
  <c r="J18" s="1"/>
  <c r="J19" s="1"/>
  <c r="J20" s="1"/>
  <c r="J21" s="1"/>
  <c r="I2"/>
  <c r="H2"/>
  <c r="H11" s="1"/>
  <c r="H12" s="1"/>
  <c r="H13" s="1"/>
  <c r="H14" s="1"/>
  <c r="H15" s="1"/>
  <c r="H16" s="1"/>
  <c r="H17" s="1"/>
  <c r="H18" s="1"/>
  <c r="H19" s="1"/>
  <c r="H20" s="1"/>
  <c r="H21" s="1"/>
  <c r="G2"/>
  <c r="F2"/>
  <c r="F11" s="1"/>
  <c r="F12" s="1"/>
  <c r="F13" s="1"/>
  <c r="F14" s="1"/>
  <c r="F15" s="1"/>
  <c r="F16" s="1"/>
  <c r="F17" s="1"/>
  <c r="F18" s="1"/>
  <c r="F19" s="1"/>
  <c r="F20" s="1"/>
  <c r="F21" s="1"/>
  <c r="E2"/>
  <c r="D2"/>
  <c r="D11" s="1"/>
  <c r="D12" s="1"/>
  <c r="D13" s="1"/>
  <c r="D14" s="1"/>
  <c r="D15" s="1"/>
  <c r="D16" s="1"/>
  <c r="D17" s="1"/>
  <c r="D18" s="1"/>
  <c r="D19" s="1"/>
  <c r="D20" s="1"/>
  <c r="D21" s="1"/>
  <c r="C2"/>
  <c r="D24" i="73"/>
  <c r="AP24" i="5"/>
  <c r="AN24"/>
  <c r="AM24"/>
  <c r="K24"/>
  <c r="AJ23" i="1"/>
  <c r="A23"/>
  <c r="H37" i="74" l="1"/>
  <c r="H16"/>
  <c r="H10"/>
  <c r="H8" i="79"/>
  <c r="H9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K36" s="1"/>
  <c r="AJ36"/>
  <c r="AM36" s="1"/>
  <c r="I35"/>
  <c r="G36"/>
  <c r="F6" i="77" l="1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<sst xmlns="http://schemas.openxmlformats.org/spreadsheetml/2006/main" count="646" uniqueCount="418">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</sst>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2519808"/>
        <c:axId val="158019584"/>
      </c:lineChart>
      <c:catAx>
        <c:axId val="13251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9584"/>
        <c:crosses val="autoZero"/>
        <c:auto val="1"/>
        <c:lblAlgn val="ctr"/>
        <c:lblOffset val="100"/>
      </c:catAx>
      <c:valAx>
        <c:axId val="158019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7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74686976"/>
        <c:axId val="174688512"/>
      </c:lineChart>
      <c:catAx>
        <c:axId val="1746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88512"/>
        <c:crosses val="autoZero"/>
        <c:auto val="1"/>
        <c:lblAlgn val="ctr"/>
        <c:lblOffset val="100"/>
      </c:catAx>
      <c:valAx>
        <c:axId val="17468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39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545984"/>
        <c:axId val="95756672"/>
      </c:lineChart>
      <c:catAx>
        <c:axId val="955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56672"/>
        <c:crosses val="autoZero"/>
        <c:auto val="1"/>
        <c:lblAlgn val="ctr"/>
        <c:lblOffset val="100"/>
      </c:catAx>
      <c:valAx>
        <c:axId val="95756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946"/>
          <c:y val="0.62975887529635965"/>
          <c:w val="7.9124755870162669E-2"/>
          <c:h val="4.49826989619497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768576"/>
        <c:axId val="95770112"/>
      </c:lineChart>
      <c:catAx>
        <c:axId val="9576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0112"/>
        <c:crosses val="autoZero"/>
        <c:auto val="1"/>
        <c:lblAlgn val="ctr"/>
        <c:lblOffset val="100"/>
      </c:catAx>
      <c:valAx>
        <c:axId val="95770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6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2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782016"/>
        <c:axId val="95783552"/>
      </c:lineChart>
      <c:catAx>
        <c:axId val="957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3552"/>
        <c:crosses val="autoZero"/>
        <c:auto val="1"/>
        <c:lblAlgn val="ctr"/>
        <c:lblOffset val="100"/>
      </c:catAx>
      <c:valAx>
        <c:axId val="95783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39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-4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570368"/>
        <c:axId val="96576256"/>
      </c:lineChart>
      <c:catAx>
        <c:axId val="9657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6256"/>
        <c:crosses val="autoZero"/>
        <c:auto val="1"/>
        <c:lblAlgn val="ctr"/>
        <c:lblOffset val="100"/>
      </c:catAx>
      <c:valAx>
        <c:axId val="9657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592256"/>
        <c:axId val="96593792"/>
      </c:lineChart>
      <c:catAx>
        <c:axId val="965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3792"/>
        <c:crosses val="autoZero"/>
        <c:auto val="1"/>
        <c:lblAlgn val="ctr"/>
        <c:lblOffset val="100"/>
      </c:catAx>
      <c:valAx>
        <c:axId val="9659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609792"/>
        <c:axId val="96611328"/>
      </c:lineChart>
      <c:catAx>
        <c:axId val="9660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11328"/>
        <c:crosses val="autoZero"/>
        <c:auto val="1"/>
        <c:lblAlgn val="ctr"/>
        <c:lblOffset val="100"/>
      </c:catAx>
      <c:valAx>
        <c:axId val="9661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631424"/>
        <c:axId val="96641408"/>
      </c:lineChart>
      <c:catAx>
        <c:axId val="9663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41408"/>
        <c:crosses val="autoZero"/>
        <c:auto val="1"/>
        <c:lblAlgn val="ctr"/>
        <c:lblOffset val="100"/>
      </c:catAx>
      <c:valAx>
        <c:axId val="96641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3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805"/>
          <c:w val="0.1272403315177377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681984"/>
        <c:axId val="96683520"/>
      </c:lineChart>
      <c:catAx>
        <c:axId val="9668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83520"/>
        <c:crosses val="autoZero"/>
        <c:auto val="1"/>
        <c:lblAlgn val="ctr"/>
        <c:lblOffset val="100"/>
      </c:catAx>
      <c:valAx>
        <c:axId val="9668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8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728192"/>
        <c:axId val="96729728"/>
      </c:lineChart>
      <c:catAx>
        <c:axId val="9672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9728"/>
        <c:crosses val="autoZero"/>
        <c:auto val="1"/>
        <c:lblAlgn val="ctr"/>
        <c:lblOffset val="100"/>
      </c:catAx>
      <c:valAx>
        <c:axId val="9672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805"/>
          <c:w val="0.135416885389355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749824"/>
        <c:axId val="96751616"/>
      </c:lineChart>
      <c:catAx>
        <c:axId val="967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1616"/>
        <c:crosses val="autoZero"/>
        <c:auto val="1"/>
        <c:lblAlgn val="ctr"/>
        <c:lblOffset val="100"/>
      </c:catAx>
      <c:valAx>
        <c:axId val="96751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8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837632"/>
        <c:axId val="96839168"/>
      </c:lineChart>
      <c:catAx>
        <c:axId val="9683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9168"/>
        <c:crosses val="autoZero"/>
        <c:auto val="1"/>
        <c:lblAlgn val="ctr"/>
        <c:lblOffset val="100"/>
      </c:catAx>
      <c:valAx>
        <c:axId val="96839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7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859264"/>
        <c:axId val="96860800"/>
      </c:lineChart>
      <c:catAx>
        <c:axId val="9685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0800"/>
        <c:crosses val="autoZero"/>
        <c:auto val="1"/>
        <c:lblAlgn val="ctr"/>
        <c:lblOffset val="100"/>
      </c:catAx>
      <c:valAx>
        <c:axId val="9686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805"/>
          <c:w val="0.135416885389355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889088"/>
        <c:axId val="96899072"/>
      </c:lineChart>
      <c:catAx>
        <c:axId val="9688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9072"/>
        <c:crosses val="autoZero"/>
        <c:auto val="1"/>
        <c:lblAlgn val="ctr"/>
        <c:lblOffset val="100"/>
      </c:catAx>
      <c:valAx>
        <c:axId val="96899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8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7835"/>
          <c:y val="0.54325368498487869"/>
          <c:w val="0.11458355205599259"/>
          <c:h val="4.4982698961949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910720"/>
        <c:axId val="96920704"/>
      </c:lineChart>
      <c:catAx>
        <c:axId val="969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20704"/>
        <c:crosses val="autoZero"/>
        <c:auto val="1"/>
        <c:lblAlgn val="ctr"/>
        <c:lblOffset val="100"/>
      </c:catAx>
      <c:valAx>
        <c:axId val="96920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1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-4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937088"/>
        <c:axId val="96938624"/>
      </c:lineChart>
      <c:catAx>
        <c:axId val="9693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38624"/>
        <c:crosses val="autoZero"/>
        <c:auto val="1"/>
        <c:lblAlgn val="ctr"/>
        <c:lblOffset val="100"/>
      </c:catAx>
      <c:valAx>
        <c:axId val="9693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3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45"/>
          <c:h val="4.49826989619497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971008"/>
        <c:axId val="96976896"/>
      </c:lineChart>
      <c:catAx>
        <c:axId val="9697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6896"/>
        <c:crosses val="autoZero"/>
        <c:auto val="1"/>
        <c:lblAlgn val="ctr"/>
        <c:lblOffset val="100"/>
      </c:catAx>
      <c:valAx>
        <c:axId val="96976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7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3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04928"/>
        <c:axId val="97010816"/>
      </c:lineChart>
      <c:catAx>
        <c:axId val="970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0816"/>
        <c:crosses val="autoZero"/>
        <c:auto val="1"/>
        <c:lblAlgn val="ctr"/>
        <c:lblOffset val="100"/>
      </c:catAx>
      <c:valAx>
        <c:axId val="97010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7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51392"/>
        <c:axId val="97052928"/>
      </c:lineChart>
      <c:catAx>
        <c:axId val="9705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2928"/>
        <c:crosses val="autoZero"/>
        <c:auto val="1"/>
        <c:lblAlgn val="ctr"/>
        <c:lblOffset val="100"/>
      </c:catAx>
      <c:valAx>
        <c:axId val="9705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32"/>
          <c:y val="0.62975887529635965"/>
          <c:w val="0.13250539334757044"/>
          <c:h val="4.49826989619497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77120"/>
        <c:axId val="97078656"/>
      </c:lineChart>
      <c:catAx>
        <c:axId val="970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78656"/>
        <c:crosses val="autoZero"/>
        <c:auto val="1"/>
        <c:lblAlgn val="ctr"/>
        <c:lblOffset val="100"/>
      </c:catAx>
      <c:valAx>
        <c:axId val="970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8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086464"/>
        <c:axId val="97121024"/>
      </c:lineChart>
      <c:catAx>
        <c:axId val="9708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21024"/>
        <c:crosses val="autoZero"/>
        <c:auto val="1"/>
        <c:lblAlgn val="ctr"/>
        <c:lblOffset val="100"/>
      </c:catAx>
      <c:valAx>
        <c:axId val="9712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22"/>
          <c:w val="0.123431181980930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7150080"/>
        <c:axId val="97151616"/>
      </c:lineChart>
      <c:catAx>
        <c:axId val="971500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51616"/>
        <c:crosses val="autoZero"/>
        <c:auto val="1"/>
        <c:lblAlgn val="ctr"/>
        <c:lblOffset val="100"/>
      </c:catAx>
      <c:valAx>
        <c:axId val="971516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5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527"/>
          <c:w val="0.1569039853282193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167232"/>
        <c:axId val="97168768"/>
      </c:lineChart>
      <c:catAx>
        <c:axId val="971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8768"/>
        <c:crosses val="autoZero"/>
        <c:auto val="1"/>
        <c:lblAlgn val="ctr"/>
        <c:lblOffset val="100"/>
      </c:catAx>
      <c:valAx>
        <c:axId val="97168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958"/>
          <c:h val="4.49826989619499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287552"/>
        <c:axId val="97305728"/>
      </c:lineChart>
      <c:catAx>
        <c:axId val="9728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5728"/>
        <c:crosses val="autoZero"/>
        <c:auto val="1"/>
        <c:lblAlgn val="ctr"/>
        <c:lblOffset val="100"/>
      </c:catAx>
      <c:valAx>
        <c:axId val="9730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8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692"/>
          <c:y val="0.62975887529635965"/>
          <c:w val="0.12164948453608219"/>
          <c:h val="4.49826989619499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104064"/>
        <c:axId val="98105600"/>
      </c:lineChart>
      <c:catAx>
        <c:axId val="9810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05600"/>
        <c:crosses val="autoZero"/>
        <c:auto val="1"/>
        <c:lblAlgn val="ctr"/>
        <c:lblOffset val="100"/>
      </c:catAx>
      <c:valAx>
        <c:axId val="981056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0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8167040"/>
        <c:axId val="98181120"/>
      </c:lineChart>
      <c:catAx>
        <c:axId val="981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81120"/>
        <c:crosses val="autoZero"/>
        <c:auto val="1"/>
        <c:lblAlgn val="ctr"/>
        <c:lblOffset val="100"/>
      </c:catAx>
      <c:valAx>
        <c:axId val="9818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57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8489088"/>
        <c:axId val="98490624"/>
      </c:lineChart>
      <c:catAx>
        <c:axId val="984890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90624"/>
        <c:crosses val="autoZero"/>
        <c:auto val="1"/>
        <c:lblAlgn val="ctr"/>
        <c:lblOffset val="100"/>
      </c:catAx>
      <c:valAx>
        <c:axId val="984906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52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9.0126320526160528E-2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8.063624882987365E-2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8.5638238008875073E-2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9.2740571427609275E-2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1.3054020213116909E-2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7.9487953287520591E-2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9.5507718011321172E-2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7.7731310212620044E-2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0.67400000000000004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0.67400000000000004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0.67400000000000004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0.67400000000000004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0.67400000000000004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0.67400000000000004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0.67400000000000004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0.67400000000000004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0.67400000000000004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0.67400000000000004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0.67400000000000004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0.67400000000000004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0.67400000000000004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opLeftCell="A10"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K1" zoomScale="85" zoomScaleNormal="85" zoomScaleSheetLayoutView="100" workbookViewId="0">
      <pane ySplit="1" topLeftCell="A2" activePane="bottomLeft" state="frozen"/>
      <selection activeCell="C1" sqref="C1"/>
      <selection pane="bottomLeft" activeCell="AA10" sqref="AA1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536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44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44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44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44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44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44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44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44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f t="shared" ref="D10:L30" si="23">D10</f>
        <v>32599474</v>
      </c>
      <c r="E11" s="311">
        <f t="shared" si="10"/>
        <v>0</v>
      </c>
      <c r="F11" s="445">
        <f t="shared" si="23"/>
        <v>3959035</v>
      </c>
      <c r="G11" s="312">
        <f t="shared" si="0"/>
        <v>0</v>
      </c>
      <c r="H11" s="445">
        <f t="shared" si="23"/>
        <v>17786186</v>
      </c>
      <c r="I11" s="312">
        <f t="shared" si="11"/>
        <v>0</v>
      </c>
      <c r="J11" s="445">
        <f t="shared" si="23"/>
        <v>28886052</v>
      </c>
      <c r="K11" s="312">
        <f t="shared" si="12"/>
        <v>0</v>
      </c>
      <c r="L11" s="445">
        <f t="shared" si="23"/>
        <v>24012332</v>
      </c>
      <c r="M11" s="312">
        <f t="shared" si="13"/>
        <v>0</v>
      </c>
      <c r="N11" s="310">
        <f>M11+K11+I11+G11+E11</f>
        <v>0</v>
      </c>
      <c r="O11" s="467">
        <f t="shared" si="21"/>
        <v>0</v>
      </c>
      <c r="P11" s="445">
        <f t="shared" ref="P10:P30" si="24">P10</f>
        <v>16593.143</v>
      </c>
      <c r="Q11" s="449">
        <f t="shared" si="2"/>
        <v>0</v>
      </c>
      <c r="R11" s="449">
        <f t="shared" si="18"/>
        <v>0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f t="shared" si="7"/>
        <v>32172</v>
      </c>
      <c r="X11" s="449">
        <f t="shared" si="20"/>
        <v>0</v>
      </c>
      <c r="Y11" s="445">
        <f t="shared" si="7"/>
        <v>697351</v>
      </c>
      <c r="Z11" s="449">
        <f t="shared" si="19"/>
        <v>0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0</v>
      </c>
      <c r="AF11" s="473">
        <f t="shared" si="9"/>
        <v>0</v>
      </c>
      <c r="AG11" s="465">
        <f t="shared" si="22"/>
        <v>0</v>
      </c>
      <c r="AI11" s="466">
        <f>R11-'EDl log'!B9</f>
        <v>-867071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f t="shared" si="23"/>
        <v>32599474</v>
      </c>
      <c r="E12" s="311">
        <f t="shared" si="10"/>
        <v>0</v>
      </c>
      <c r="F12" s="445">
        <f t="shared" si="23"/>
        <v>3959035</v>
      </c>
      <c r="G12" s="312">
        <f t="shared" si="0"/>
        <v>0</v>
      </c>
      <c r="H12" s="445">
        <f t="shared" si="23"/>
        <v>17786186</v>
      </c>
      <c r="I12" s="312">
        <f t="shared" si="11"/>
        <v>0</v>
      </c>
      <c r="J12" s="445">
        <f t="shared" si="23"/>
        <v>28886052</v>
      </c>
      <c r="K12" s="312">
        <f t="shared" si="12"/>
        <v>0</v>
      </c>
      <c r="L12" s="445">
        <f t="shared" si="23"/>
        <v>24012332</v>
      </c>
      <c r="M12" s="312">
        <f t="shared" si="13"/>
        <v>0</v>
      </c>
      <c r="N12" s="310">
        <f>M12+K12+I12+G12+E12</f>
        <v>0</v>
      </c>
      <c r="O12" s="467">
        <f t="shared" si="21"/>
        <v>0</v>
      </c>
      <c r="P12" s="445">
        <f t="shared" si="24"/>
        <v>16593.143</v>
      </c>
      <c r="Q12" s="449">
        <f t="shared" si="2"/>
        <v>0</v>
      </c>
      <c r="R12" s="449">
        <f t="shared" si="18"/>
        <v>0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f t="shared" si="7"/>
        <v>32172</v>
      </c>
      <c r="X12" s="449">
        <f t="shared" si="20"/>
        <v>0</v>
      </c>
      <c r="Y12" s="445">
        <f t="shared" si="7"/>
        <v>697351</v>
      </c>
      <c r="Z12" s="449">
        <f t="shared" si="19"/>
        <v>0</v>
      </c>
      <c r="AA12" s="445">
        <f t="shared" si="7"/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0</v>
      </c>
      <c r="AF12" s="473">
        <f t="shared" si="9"/>
        <v>0</v>
      </c>
      <c r="AG12" s="465">
        <f t="shared" si="22"/>
        <v>0</v>
      </c>
      <c r="AI12" s="466">
        <f>R12-'EDl log'!B10</f>
        <v>-869480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f t="shared" si="23"/>
        <v>32599474</v>
      </c>
      <c r="E13" s="311">
        <f t="shared" si="10"/>
        <v>0</v>
      </c>
      <c r="F13" s="445">
        <f t="shared" si="23"/>
        <v>3959035</v>
      </c>
      <c r="G13" s="312">
        <f t="shared" si="0"/>
        <v>0</v>
      </c>
      <c r="H13" s="445">
        <f t="shared" si="23"/>
        <v>17786186</v>
      </c>
      <c r="I13" s="312">
        <f t="shared" si="11"/>
        <v>0</v>
      </c>
      <c r="J13" s="445">
        <f t="shared" si="23"/>
        <v>28886052</v>
      </c>
      <c r="K13" s="312">
        <f t="shared" si="12"/>
        <v>0</v>
      </c>
      <c r="L13" s="445">
        <f t="shared" si="23"/>
        <v>24012332</v>
      </c>
      <c r="M13" s="312">
        <f t="shared" si="13"/>
        <v>0</v>
      </c>
      <c r="N13" s="310">
        <f t="shared" si="14"/>
        <v>0</v>
      </c>
      <c r="O13" s="467">
        <f t="shared" si="21"/>
        <v>0</v>
      </c>
      <c r="P13" s="445">
        <f t="shared" si="24"/>
        <v>16593.143</v>
      </c>
      <c r="Q13" s="449">
        <f>(P13-P12)*1000</f>
        <v>0</v>
      </c>
      <c r="R13" s="449">
        <f t="shared" ref="R13" si="25">N13-Q13</f>
        <v>0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f t="shared" si="7"/>
        <v>32172</v>
      </c>
      <c r="X13" s="449">
        <f t="shared" si="20"/>
        <v>0</v>
      </c>
      <c r="Y13" s="445">
        <f t="shared" si="7"/>
        <v>697351</v>
      </c>
      <c r="Z13" s="449">
        <f t="shared" si="19"/>
        <v>0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0</v>
      </c>
      <c r="AF13" s="473">
        <f t="shared" si="9"/>
        <v>0</v>
      </c>
      <c r="AG13" s="465">
        <f t="shared" si="22"/>
        <v>0</v>
      </c>
      <c r="AI13" s="466">
        <f>R13-'EDl log'!B11</f>
        <v>-871763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f t="shared" si="23"/>
        <v>32599474</v>
      </c>
      <c r="E14" s="311">
        <f t="shared" si="10"/>
        <v>0</v>
      </c>
      <c r="F14" s="445">
        <f t="shared" si="23"/>
        <v>3959035</v>
      </c>
      <c r="G14" s="312">
        <f t="shared" si="0"/>
        <v>0</v>
      </c>
      <c r="H14" s="445">
        <f t="shared" si="23"/>
        <v>17786186</v>
      </c>
      <c r="I14" s="312">
        <f t="shared" si="11"/>
        <v>0</v>
      </c>
      <c r="J14" s="445">
        <f t="shared" si="23"/>
        <v>28886052</v>
      </c>
      <c r="K14" s="312">
        <f t="shared" si="12"/>
        <v>0</v>
      </c>
      <c r="L14" s="445">
        <f t="shared" si="23"/>
        <v>24012332</v>
      </c>
      <c r="M14" s="312">
        <f t="shared" si="13"/>
        <v>0</v>
      </c>
      <c r="N14" s="310">
        <f t="shared" si="14"/>
        <v>0</v>
      </c>
      <c r="O14" s="467">
        <f t="shared" si="21"/>
        <v>0</v>
      </c>
      <c r="P14" s="445">
        <f t="shared" si="24"/>
        <v>16593.143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f t="shared" si="7"/>
        <v>32172</v>
      </c>
      <c r="X14" s="449">
        <f t="shared" si="20"/>
        <v>0</v>
      </c>
      <c r="Y14" s="445">
        <f t="shared" si="7"/>
        <v>697351</v>
      </c>
      <c r="Z14" s="449">
        <f t="shared" si="19"/>
        <v>0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0</v>
      </c>
      <c r="AF14" s="473">
        <f t="shared" si="9"/>
        <v>0</v>
      </c>
      <c r="AG14" s="465">
        <f t="shared" si="22"/>
        <v>0</v>
      </c>
      <c r="AI14" s="466">
        <f>R14-'EDl log'!B12</f>
        <v>-871763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f t="shared" si="23"/>
        <v>32599474</v>
      </c>
      <c r="E15" s="311">
        <f t="shared" si="10"/>
        <v>0</v>
      </c>
      <c r="F15" s="445">
        <f t="shared" si="23"/>
        <v>3959035</v>
      </c>
      <c r="G15" s="312">
        <f t="shared" si="0"/>
        <v>0</v>
      </c>
      <c r="H15" s="445">
        <f t="shared" si="23"/>
        <v>17786186</v>
      </c>
      <c r="I15" s="312">
        <f t="shared" si="11"/>
        <v>0</v>
      </c>
      <c r="J15" s="445">
        <f t="shared" si="23"/>
        <v>28886052</v>
      </c>
      <c r="K15" s="312">
        <f t="shared" si="12"/>
        <v>0</v>
      </c>
      <c r="L15" s="445">
        <f t="shared" si="23"/>
        <v>24012332</v>
      </c>
      <c r="M15" s="312">
        <f t="shared" si="13"/>
        <v>0</v>
      </c>
      <c r="N15" s="310">
        <f t="shared" si="14"/>
        <v>0</v>
      </c>
      <c r="O15" s="467">
        <f t="shared" si="21"/>
        <v>0</v>
      </c>
      <c r="P15" s="445">
        <f t="shared" si="24"/>
        <v>16593.143</v>
      </c>
      <c r="Q15" s="449">
        <f t="shared" si="26"/>
        <v>0</v>
      </c>
      <c r="R15" s="449">
        <f t="shared" si="27"/>
        <v>0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f t="shared" si="7"/>
        <v>32172</v>
      </c>
      <c r="X15" s="449">
        <f t="shared" si="20"/>
        <v>0</v>
      </c>
      <c r="Y15" s="445">
        <f t="shared" si="7"/>
        <v>697351</v>
      </c>
      <c r="Z15" s="449">
        <f t="shared" si="19"/>
        <v>0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2"/>
        <v>0</v>
      </c>
      <c r="AI15" s="466">
        <f>R15-'EDl log'!B13</f>
        <v>-871763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f t="shared" si="23"/>
        <v>32599474</v>
      </c>
      <c r="E16" s="311">
        <f t="shared" si="10"/>
        <v>0</v>
      </c>
      <c r="F16" s="445">
        <f t="shared" si="23"/>
        <v>3959035</v>
      </c>
      <c r="G16" s="312">
        <f t="shared" si="0"/>
        <v>0</v>
      </c>
      <c r="H16" s="445">
        <f t="shared" si="23"/>
        <v>17786186</v>
      </c>
      <c r="I16" s="312">
        <f t="shared" si="11"/>
        <v>0</v>
      </c>
      <c r="J16" s="445">
        <f t="shared" si="23"/>
        <v>28886052</v>
      </c>
      <c r="K16" s="312">
        <f t="shared" si="12"/>
        <v>0</v>
      </c>
      <c r="L16" s="445">
        <f t="shared" si="23"/>
        <v>24012332</v>
      </c>
      <c r="M16" s="312">
        <f t="shared" si="13"/>
        <v>0</v>
      </c>
      <c r="N16" s="310">
        <f t="shared" si="14"/>
        <v>0</v>
      </c>
      <c r="O16" s="467">
        <f t="shared" si="21"/>
        <v>0</v>
      </c>
      <c r="P16" s="445">
        <f t="shared" si="24"/>
        <v>16593.143</v>
      </c>
      <c r="Q16" s="449">
        <f t="shared" si="26"/>
        <v>0</v>
      </c>
      <c r="R16" s="449">
        <f t="shared" si="27"/>
        <v>0</v>
      </c>
      <c r="S16" s="445">
        <f t="shared" si="7"/>
        <v>10118</v>
      </c>
      <c r="T16" s="469">
        <f t="shared" si="3"/>
        <v>0</v>
      </c>
      <c r="U16" s="445">
        <f t="shared" si="7"/>
        <v>420722</v>
      </c>
      <c r="V16" s="449">
        <f t="shared" si="15"/>
        <v>0</v>
      </c>
      <c r="W16" s="445">
        <f t="shared" si="7"/>
        <v>32172</v>
      </c>
      <c r="X16" s="449">
        <f>W16-W15</f>
        <v>0</v>
      </c>
      <c r="Y16" s="445">
        <f t="shared" si="7"/>
        <v>697351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2"/>
        <v>0</v>
      </c>
      <c r="AI16" s="466">
        <f>R16-'EDl log'!B14</f>
        <v>-871763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f t="shared" si="23"/>
        <v>32599474</v>
      </c>
      <c r="E17" s="311">
        <f t="shared" si="10"/>
        <v>0</v>
      </c>
      <c r="F17" s="445">
        <f t="shared" si="23"/>
        <v>3959035</v>
      </c>
      <c r="G17" s="312">
        <f t="shared" si="0"/>
        <v>0</v>
      </c>
      <c r="H17" s="445">
        <f t="shared" si="23"/>
        <v>17786186</v>
      </c>
      <c r="I17" s="312">
        <f t="shared" si="11"/>
        <v>0</v>
      </c>
      <c r="J17" s="445">
        <f t="shared" si="23"/>
        <v>28886052</v>
      </c>
      <c r="K17" s="312">
        <f t="shared" si="12"/>
        <v>0</v>
      </c>
      <c r="L17" s="445">
        <f t="shared" si="23"/>
        <v>24012332</v>
      </c>
      <c r="M17" s="312">
        <f t="shared" si="13"/>
        <v>0</v>
      </c>
      <c r="N17" s="310">
        <f t="shared" si="14"/>
        <v>0</v>
      </c>
      <c r="O17" s="467">
        <f t="shared" si="21"/>
        <v>0</v>
      </c>
      <c r="P17" s="445">
        <f t="shared" si="24"/>
        <v>16593.143</v>
      </c>
      <c r="Q17" s="449">
        <f t="shared" si="26"/>
        <v>0</v>
      </c>
      <c r="R17" s="449">
        <f t="shared" si="27"/>
        <v>0</v>
      </c>
      <c r="S17" s="445">
        <f t="shared" si="7"/>
        <v>10118</v>
      </c>
      <c r="T17" s="469">
        <f t="shared" si="3"/>
        <v>0</v>
      </c>
      <c r="U17" s="445">
        <f t="shared" si="7"/>
        <v>420722</v>
      </c>
      <c r="V17" s="449">
        <f t="shared" si="15"/>
        <v>0</v>
      </c>
      <c r="W17" s="445">
        <f t="shared" si="7"/>
        <v>32172</v>
      </c>
      <c r="X17" s="449">
        <f t="shared" si="20"/>
        <v>0</v>
      </c>
      <c r="Y17" s="445">
        <f t="shared" si="7"/>
        <v>697351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2"/>
        <v>0</v>
      </c>
      <c r="AI17" s="466">
        <f>R17-'EDl log'!B15</f>
        <v>-871763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f t="shared" si="23"/>
        <v>32599474</v>
      </c>
      <c r="E18" s="311">
        <f t="shared" si="10"/>
        <v>0</v>
      </c>
      <c r="F18" s="445">
        <f t="shared" si="23"/>
        <v>3959035</v>
      </c>
      <c r="G18" s="312">
        <f t="shared" si="0"/>
        <v>0</v>
      </c>
      <c r="H18" s="445">
        <f t="shared" si="23"/>
        <v>17786186</v>
      </c>
      <c r="I18" s="312">
        <f t="shared" si="11"/>
        <v>0</v>
      </c>
      <c r="J18" s="445">
        <f t="shared" si="23"/>
        <v>28886052</v>
      </c>
      <c r="K18" s="312">
        <f t="shared" si="12"/>
        <v>0</v>
      </c>
      <c r="L18" s="445">
        <f t="shared" si="23"/>
        <v>24012332</v>
      </c>
      <c r="M18" s="312">
        <f t="shared" si="13"/>
        <v>0</v>
      </c>
      <c r="N18" s="310">
        <f t="shared" si="14"/>
        <v>0</v>
      </c>
      <c r="O18" s="467">
        <f t="shared" si="21"/>
        <v>0</v>
      </c>
      <c r="P18" s="445">
        <f t="shared" si="24"/>
        <v>16593.143</v>
      </c>
      <c r="Q18" s="449">
        <f t="shared" si="26"/>
        <v>0</v>
      </c>
      <c r="R18" s="449">
        <f t="shared" si="27"/>
        <v>0</v>
      </c>
      <c r="S18" s="445">
        <f t="shared" si="7"/>
        <v>10118</v>
      </c>
      <c r="T18" s="469">
        <f t="shared" si="3"/>
        <v>0</v>
      </c>
      <c r="U18" s="445">
        <f t="shared" si="7"/>
        <v>420722</v>
      </c>
      <c r="V18" s="449">
        <f t="shared" si="15"/>
        <v>0</v>
      </c>
      <c r="W18" s="445">
        <f t="shared" si="7"/>
        <v>32172</v>
      </c>
      <c r="X18" s="449">
        <f t="shared" si="20"/>
        <v>0</v>
      </c>
      <c r="Y18" s="445">
        <f t="shared" si="7"/>
        <v>697351</v>
      </c>
      <c r="Z18" s="449">
        <f t="shared" si="19"/>
        <v>0</v>
      </c>
      <c r="AA18" s="445">
        <f t="shared" si="7"/>
        <v>35689</v>
      </c>
      <c r="AB18" s="449">
        <f t="shared" si="16"/>
        <v>0</v>
      </c>
      <c r="AC18" s="445">
        <f t="shared" si="7"/>
        <v>915313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2"/>
        <v>0</v>
      </c>
      <c r="AI18" s="466">
        <f>R18-'EDl log'!B16</f>
        <v>-871763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si="23"/>
        <v>32599474</v>
      </c>
      <c r="E19" s="311">
        <f t="shared" si="10"/>
        <v>0</v>
      </c>
      <c r="F19" s="445">
        <f t="shared" si="23"/>
        <v>3959035</v>
      </c>
      <c r="G19" s="312">
        <f t="shared" si="0"/>
        <v>0</v>
      </c>
      <c r="H19" s="445">
        <f t="shared" si="23"/>
        <v>17786186</v>
      </c>
      <c r="I19" s="312">
        <f t="shared" si="11"/>
        <v>0</v>
      </c>
      <c r="J19" s="445">
        <f t="shared" si="23"/>
        <v>28886052</v>
      </c>
      <c r="K19" s="312">
        <f t="shared" si="12"/>
        <v>0</v>
      </c>
      <c r="L19" s="445">
        <f t="shared" si="23"/>
        <v>24012332</v>
      </c>
      <c r="M19" s="312">
        <f t="shared" si="13"/>
        <v>0</v>
      </c>
      <c r="N19" s="310">
        <f t="shared" si="14"/>
        <v>0</v>
      </c>
      <c r="O19" s="467">
        <f t="shared" si="21"/>
        <v>0</v>
      </c>
      <c r="P19" s="445">
        <f t="shared" si="24"/>
        <v>16593.143</v>
      </c>
      <c r="Q19" s="449">
        <f t="shared" si="26"/>
        <v>0</v>
      </c>
      <c r="R19" s="449">
        <f t="shared" si="27"/>
        <v>0</v>
      </c>
      <c r="S19" s="445">
        <f t="shared" si="7"/>
        <v>10118</v>
      </c>
      <c r="T19" s="469">
        <f t="shared" si="3"/>
        <v>0</v>
      </c>
      <c r="U19" s="445">
        <f t="shared" si="7"/>
        <v>420722</v>
      </c>
      <c r="V19" s="449">
        <f t="shared" si="15"/>
        <v>0</v>
      </c>
      <c r="W19" s="445">
        <f t="shared" si="7"/>
        <v>32172</v>
      </c>
      <c r="X19" s="449">
        <f t="shared" si="20"/>
        <v>0</v>
      </c>
      <c r="Y19" s="445">
        <f t="shared" si="7"/>
        <v>697351</v>
      </c>
      <c r="Z19" s="449">
        <f t="shared" si="19"/>
        <v>0</v>
      </c>
      <c r="AA19" s="445">
        <f t="shared" si="7"/>
        <v>35689</v>
      </c>
      <c r="AB19" s="449">
        <f t="shared" si="16"/>
        <v>0</v>
      </c>
      <c r="AC19" s="445">
        <f t="shared" si="7"/>
        <v>915313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2"/>
        <v>0</v>
      </c>
      <c r="AI19" s="466">
        <f>R19-'EDl log'!B17</f>
        <v>-871763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23"/>
        <v>32599474</v>
      </c>
      <c r="E20" s="311">
        <f t="shared" si="10"/>
        <v>0</v>
      </c>
      <c r="F20" s="445">
        <f t="shared" si="23"/>
        <v>3959035</v>
      </c>
      <c r="G20" s="312">
        <f t="shared" si="0"/>
        <v>0</v>
      </c>
      <c r="H20" s="445">
        <f t="shared" si="23"/>
        <v>17786186</v>
      </c>
      <c r="I20" s="312">
        <f t="shared" si="11"/>
        <v>0</v>
      </c>
      <c r="J20" s="445">
        <f t="shared" si="23"/>
        <v>28886052</v>
      </c>
      <c r="K20" s="312">
        <f t="shared" si="12"/>
        <v>0</v>
      </c>
      <c r="L20" s="445">
        <f t="shared" si="23"/>
        <v>24012332</v>
      </c>
      <c r="M20" s="312">
        <f t="shared" si="13"/>
        <v>0</v>
      </c>
      <c r="N20" s="310">
        <f t="shared" si="14"/>
        <v>0</v>
      </c>
      <c r="O20" s="467">
        <f t="shared" si="21"/>
        <v>0</v>
      </c>
      <c r="P20" s="445">
        <f t="shared" si="24"/>
        <v>16593.143</v>
      </c>
      <c r="Q20" s="449">
        <f t="shared" si="26"/>
        <v>0</v>
      </c>
      <c r="R20" s="449">
        <f t="shared" si="27"/>
        <v>0</v>
      </c>
      <c r="S20" s="445">
        <f t="shared" si="7"/>
        <v>10118</v>
      </c>
      <c r="T20" s="469">
        <f t="shared" si="3"/>
        <v>0</v>
      </c>
      <c r="U20" s="445">
        <f t="shared" si="7"/>
        <v>420722</v>
      </c>
      <c r="V20" s="449">
        <f t="shared" si="15"/>
        <v>0</v>
      </c>
      <c r="W20" s="445">
        <f t="shared" si="7"/>
        <v>32172</v>
      </c>
      <c r="X20" s="449">
        <f t="shared" si="20"/>
        <v>0</v>
      </c>
      <c r="Y20" s="445">
        <f t="shared" si="7"/>
        <v>697351</v>
      </c>
      <c r="Z20" s="449">
        <f t="shared" si="19"/>
        <v>0</v>
      </c>
      <c r="AA20" s="445">
        <f t="shared" si="7"/>
        <v>35689</v>
      </c>
      <c r="AB20" s="449">
        <f t="shared" si="16"/>
        <v>0</v>
      </c>
      <c r="AC20" s="445">
        <f t="shared" si="7"/>
        <v>915313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2"/>
        <v>0</v>
      </c>
      <c r="AI20" s="466">
        <f>R20-'EDl log'!B18</f>
        <v>-871763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23"/>
        <v>32599474</v>
      </c>
      <c r="E21" s="311">
        <f t="shared" si="10"/>
        <v>0</v>
      </c>
      <c r="F21" s="445">
        <f t="shared" si="23"/>
        <v>3959035</v>
      </c>
      <c r="G21" s="312">
        <f t="shared" si="0"/>
        <v>0</v>
      </c>
      <c r="H21" s="445">
        <f t="shared" si="23"/>
        <v>17786186</v>
      </c>
      <c r="I21" s="312">
        <f t="shared" si="11"/>
        <v>0</v>
      </c>
      <c r="J21" s="445">
        <f t="shared" si="23"/>
        <v>28886052</v>
      </c>
      <c r="K21" s="312">
        <f t="shared" si="12"/>
        <v>0</v>
      </c>
      <c r="L21" s="445">
        <f t="shared" si="23"/>
        <v>24012332</v>
      </c>
      <c r="M21" s="312">
        <f t="shared" si="13"/>
        <v>0</v>
      </c>
      <c r="N21" s="310">
        <f t="shared" si="14"/>
        <v>0</v>
      </c>
      <c r="O21" s="467">
        <f t="shared" si="21"/>
        <v>0</v>
      </c>
      <c r="P21" s="445">
        <f t="shared" si="24"/>
        <v>16593.143</v>
      </c>
      <c r="Q21" s="449">
        <f t="shared" si="26"/>
        <v>0</v>
      </c>
      <c r="R21" s="449">
        <f t="shared" si="27"/>
        <v>0</v>
      </c>
      <c r="S21" s="445">
        <f t="shared" si="7"/>
        <v>10118</v>
      </c>
      <c r="T21" s="469">
        <f t="shared" si="3"/>
        <v>0</v>
      </c>
      <c r="U21" s="445">
        <f t="shared" si="7"/>
        <v>420722</v>
      </c>
      <c r="V21" s="449">
        <f t="shared" si="15"/>
        <v>0</v>
      </c>
      <c r="W21" s="445">
        <f t="shared" si="7"/>
        <v>32172</v>
      </c>
      <c r="X21" s="449">
        <f t="shared" si="20"/>
        <v>0</v>
      </c>
      <c r="Y21" s="445">
        <f t="shared" si="7"/>
        <v>697351</v>
      </c>
      <c r="Z21" s="449">
        <f t="shared" si="19"/>
        <v>0</v>
      </c>
      <c r="AA21" s="445">
        <f t="shared" si="7"/>
        <v>35689</v>
      </c>
      <c r="AB21" s="449">
        <f t="shared" si="16"/>
        <v>0</v>
      </c>
      <c r="AC21" s="445">
        <f t="shared" si="7"/>
        <v>915313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2"/>
        <v>0</v>
      </c>
      <c r="AI21" s="466">
        <f>R21-'EDl log'!B19</f>
        <v>-871763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3"/>
        <v>32599474</v>
      </c>
      <c r="E22" s="311">
        <f t="shared" si="10"/>
        <v>0</v>
      </c>
      <c r="F22" s="445">
        <f t="shared" si="23"/>
        <v>3959035</v>
      </c>
      <c r="G22" s="312">
        <f t="shared" si="0"/>
        <v>0</v>
      </c>
      <c r="H22" s="445">
        <f t="shared" si="23"/>
        <v>17786186</v>
      </c>
      <c r="I22" s="312">
        <f t="shared" si="11"/>
        <v>0</v>
      </c>
      <c r="J22" s="445">
        <f t="shared" si="23"/>
        <v>28886052</v>
      </c>
      <c r="K22" s="312">
        <f t="shared" si="12"/>
        <v>0</v>
      </c>
      <c r="L22" s="445">
        <f t="shared" si="23"/>
        <v>24012332</v>
      </c>
      <c r="M22" s="312">
        <f t="shared" si="13"/>
        <v>0</v>
      </c>
      <c r="N22" s="310">
        <f t="shared" si="14"/>
        <v>0</v>
      </c>
      <c r="O22" s="467">
        <f t="shared" si="21"/>
        <v>0</v>
      </c>
      <c r="P22" s="445">
        <f t="shared" si="24"/>
        <v>16593.143</v>
      </c>
      <c r="Q22" s="449">
        <f t="shared" si="26"/>
        <v>0</v>
      </c>
      <c r="R22" s="449">
        <f t="shared" si="27"/>
        <v>0</v>
      </c>
      <c r="S22" s="445">
        <f t="shared" si="7"/>
        <v>10118</v>
      </c>
      <c r="T22" s="469">
        <f t="shared" si="3"/>
        <v>0</v>
      </c>
      <c r="U22" s="445">
        <f t="shared" si="7"/>
        <v>420722</v>
      </c>
      <c r="V22" s="449">
        <f t="shared" si="15"/>
        <v>0</v>
      </c>
      <c r="W22" s="445">
        <f t="shared" si="7"/>
        <v>32172</v>
      </c>
      <c r="X22" s="449">
        <f t="shared" si="20"/>
        <v>0</v>
      </c>
      <c r="Y22" s="445">
        <f t="shared" si="7"/>
        <v>697351</v>
      </c>
      <c r="Z22" s="449">
        <f t="shared" si="19"/>
        <v>0</v>
      </c>
      <c r="AA22" s="445">
        <f t="shared" si="7"/>
        <v>35689</v>
      </c>
      <c r="AB22" s="449">
        <f t="shared" si="16"/>
        <v>0</v>
      </c>
      <c r="AC22" s="445">
        <f t="shared" si="7"/>
        <v>915313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2"/>
        <v>0</v>
      </c>
      <c r="AI22" s="466">
        <f>R22-'EDl log'!B20</f>
        <v>-871763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3"/>
        <v>32599474</v>
      </c>
      <c r="E23" s="311">
        <f t="shared" si="10"/>
        <v>0</v>
      </c>
      <c r="F23" s="445">
        <f t="shared" si="23"/>
        <v>3959035</v>
      </c>
      <c r="G23" s="312">
        <f t="shared" si="0"/>
        <v>0</v>
      </c>
      <c r="H23" s="445">
        <f t="shared" si="23"/>
        <v>17786186</v>
      </c>
      <c r="I23" s="438">
        <f t="shared" si="11"/>
        <v>0</v>
      </c>
      <c r="J23" s="445">
        <f t="shared" si="23"/>
        <v>28886052</v>
      </c>
      <c r="K23" s="312">
        <f t="shared" si="12"/>
        <v>0</v>
      </c>
      <c r="L23" s="445">
        <f t="shared" si="23"/>
        <v>24012332</v>
      </c>
      <c r="M23" s="312">
        <f t="shared" si="13"/>
        <v>0</v>
      </c>
      <c r="N23" s="310">
        <f t="shared" si="14"/>
        <v>0</v>
      </c>
      <c r="O23" s="467">
        <f t="shared" si="21"/>
        <v>0</v>
      </c>
      <c r="P23" s="445">
        <f t="shared" si="24"/>
        <v>16593.143</v>
      </c>
      <c r="Q23" s="449">
        <f t="shared" si="26"/>
        <v>0</v>
      </c>
      <c r="R23" s="449">
        <f t="shared" si="27"/>
        <v>0</v>
      </c>
      <c r="S23" s="445">
        <f t="shared" si="7"/>
        <v>10118</v>
      </c>
      <c r="T23" s="469">
        <f t="shared" si="3"/>
        <v>0</v>
      </c>
      <c r="U23" s="445">
        <f t="shared" si="7"/>
        <v>420722</v>
      </c>
      <c r="V23" s="449">
        <f t="shared" si="15"/>
        <v>0</v>
      </c>
      <c r="W23" s="445">
        <f t="shared" si="7"/>
        <v>32172</v>
      </c>
      <c r="X23" s="449">
        <f t="shared" si="20"/>
        <v>0</v>
      </c>
      <c r="Y23" s="445">
        <f t="shared" si="7"/>
        <v>697351</v>
      </c>
      <c r="Z23" s="449">
        <f t="shared" si="19"/>
        <v>0</v>
      </c>
      <c r="AA23" s="445">
        <f t="shared" si="7"/>
        <v>35689</v>
      </c>
      <c r="AB23" s="449">
        <f t="shared" si="16"/>
        <v>0</v>
      </c>
      <c r="AC23" s="445">
        <f t="shared" si="7"/>
        <v>915313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2"/>
        <v>0</v>
      </c>
      <c r="AI23" s="466">
        <f>R23-'EDl log'!B21</f>
        <v>-871763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3"/>
        <v>32599474</v>
      </c>
      <c r="E24" s="311">
        <f t="shared" si="10"/>
        <v>0</v>
      </c>
      <c r="F24" s="445">
        <f t="shared" si="23"/>
        <v>3959035</v>
      </c>
      <c r="G24" s="312">
        <f t="shared" si="0"/>
        <v>0</v>
      </c>
      <c r="H24" s="445">
        <f t="shared" si="23"/>
        <v>17786186</v>
      </c>
      <c r="I24" s="312">
        <f t="shared" si="11"/>
        <v>0</v>
      </c>
      <c r="J24" s="445">
        <f t="shared" si="23"/>
        <v>28886052</v>
      </c>
      <c r="K24" s="312">
        <f t="shared" si="12"/>
        <v>0</v>
      </c>
      <c r="L24" s="445">
        <f t="shared" si="23"/>
        <v>24012332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445">
        <f t="shared" si="24"/>
        <v>16593.143</v>
      </c>
      <c r="Q24" s="449">
        <f t="shared" si="26"/>
        <v>0</v>
      </c>
      <c r="R24" s="449">
        <f t="shared" si="27"/>
        <v>0</v>
      </c>
      <c r="S24" s="445">
        <f t="shared" si="7"/>
        <v>10118</v>
      </c>
      <c r="T24" s="469">
        <f t="shared" si="3"/>
        <v>0</v>
      </c>
      <c r="U24" s="445">
        <f t="shared" si="7"/>
        <v>420722</v>
      </c>
      <c r="V24" s="449">
        <f t="shared" si="15"/>
        <v>0</v>
      </c>
      <c r="W24" s="445">
        <f t="shared" si="7"/>
        <v>32172</v>
      </c>
      <c r="X24" s="449">
        <f t="shared" si="20"/>
        <v>0</v>
      </c>
      <c r="Y24" s="445">
        <f t="shared" si="7"/>
        <v>697351</v>
      </c>
      <c r="Z24" s="449">
        <f t="shared" si="19"/>
        <v>0</v>
      </c>
      <c r="AA24" s="445">
        <f t="shared" si="7"/>
        <v>35689</v>
      </c>
      <c r="AB24" s="449">
        <f t="shared" si="16"/>
        <v>0</v>
      </c>
      <c r="AC24" s="445">
        <f t="shared" si="7"/>
        <v>915313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-871763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3"/>
        <v>32599474</v>
      </c>
      <c r="E25" s="311">
        <f t="shared" si="10"/>
        <v>0</v>
      </c>
      <c r="F25" s="445">
        <f t="shared" si="23"/>
        <v>3959035</v>
      </c>
      <c r="G25" s="312">
        <f t="shared" si="0"/>
        <v>0</v>
      </c>
      <c r="H25" s="445">
        <f t="shared" si="23"/>
        <v>17786186</v>
      </c>
      <c r="I25" s="312">
        <f t="shared" si="11"/>
        <v>0</v>
      </c>
      <c r="J25" s="445">
        <f t="shared" si="23"/>
        <v>28886052</v>
      </c>
      <c r="K25" s="312">
        <f t="shared" si="12"/>
        <v>0</v>
      </c>
      <c r="L25" s="445">
        <f t="shared" si="23"/>
        <v>24012332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445">
        <f t="shared" si="24"/>
        <v>16593.143</v>
      </c>
      <c r="Q25" s="449">
        <f t="shared" si="26"/>
        <v>0</v>
      </c>
      <c r="R25" s="449">
        <f t="shared" si="27"/>
        <v>0</v>
      </c>
      <c r="S25" s="445">
        <f t="shared" si="7"/>
        <v>10118</v>
      </c>
      <c r="T25" s="469">
        <f t="shared" si="3"/>
        <v>0</v>
      </c>
      <c r="U25" s="445">
        <f t="shared" si="7"/>
        <v>420722</v>
      </c>
      <c r="V25" s="449">
        <f t="shared" si="15"/>
        <v>0</v>
      </c>
      <c r="W25" s="445">
        <f t="shared" si="7"/>
        <v>32172</v>
      </c>
      <c r="X25" s="449">
        <f t="shared" si="20"/>
        <v>0</v>
      </c>
      <c r="Y25" s="445">
        <f t="shared" si="7"/>
        <v>697351</v>
      </c>
      <c r="Z25" s="449">
        <f t="shared" si="19"/>
        <v>0</v>
      </c>
      <c r="AA25" s="445">
        <f t="shared" si="7"/>
        <v>35689</v>
      </c>
      <c r="AB25" s="449">
        <f t="shared" si="16"/>
        <v>0</v>
      </c>
      <c r="AC25" s="445">
        <f t="shared" si="7"/>
        <v>915313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-871763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3"/>
        <v>32599474</v>
      </c>
      <c r="E26" s="311">
        <f t="shared" si="10"/>
        <v>0</v>
      </c>
      <c r="F26" s="445">
        <f t="shared" si="23"/>
        <v>3959035</v>
      </c>
      <c r="G26" s="312">
        <f t="shared" si="0"/>
        <v>0</v>
      </c>
      <c r="H26" s="445">
        <f t="shared" si="23"/>
        <v>17786186</v>
      </c>
      <c r="I26" s="312">
        <f t="shared" si="11"/>
        <v>0</v>
      </c>
      <c r="J26" s="445">
        <f t="shared" si="23"/>
        <v>28886052</v>
      </c>
      <c r="K26" s="312">
        <f t="shared" si="12"/>
        <v>0</v>
      </c>
      <c r="L26" s="445">
        <f t="shared" si="23"/>
        <v>24012332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445">
        <f t="shared" si="24"/>
        <v>16593.143</v>
      </c>
      <c r="Q26" s="449">
        <f t="shared" si="26"/>
        <v>0</v>
      </c>
      <c r="R26" s="449">
        <f t="shared" si="27"/>
        <v>0</v>
      </c>
      <c r="S26" s="445">
        <f t="shared" si="7"/>
        <v>10118</v>
      </c>
      <c r="T26" s="469">
        <f t="shared" si="3"/>
        <v>0</v>
      </c>
      <c r="U26" s="445">
        <f t="shared" si="7"/>
        <v>420722</v>
      </c>
      <c r="V26" s="449">
        <f t="shared" si="15"/>
        <v>0</v>
      </c>
      <c r="W26" s="445">
        <f t="shared" si="7"/>
        <v>32172</v>
      </c>
      <c r="X26" s="449">
        <f t="shared" si="20"/>
        <v>0</v>
      </c>
      <c r="Y26" s="445">
        <f t="shared" si="7"/>
        <v>697351</v>
      </c>
      <c r="Z26" s="449">
        <f t="shared" si="19"/>
        <v>0</v>
      </c>
      <c r="AA26" s="445">
        <f t="shared" si="7"/>
        <v>35689</v>
      </c>
      <c r="AB26" s="449">
        <f t="shared" si="16"/>
        <v>0</v>
      </c>
      <c r="AC26" s="445">
        <f t="shared" si="7"/>
        <v>915313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-871763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3"/>
        <v>32599474</v>
      </c>
      <c r="E27" s="311">
        <f t="shared" si="10"/>
        <v>0</v>
      </c>
      <c r="F27" s="445">
        <f t="shared" si="23"/>
        <v>3959035</v>
      </c>
      <c r="G27" s="312">
        <f>F27-F26</f>
        <v>0</v>
      </c>
      <c r="H27" s="445">
        <f t="shared" si="23"/>
        <v>17786186</v>
      </c>
      <c r="I27" s="312">
        <f t="shared" si="11"/>
        <v>0</v>
      </c>
      <c r="J27" s="445">
        <f t="shared" si="23"/>
        <v>28886052</v>
      </c>
      <c r="K27" s="312">
        <f t="shared" si="12"/>
        <v>0</v>
      </c>
      <c r="L27" s="445">
        <f t="shared" si="23"/>
        <v>24012332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445">
        <f t="shared" si="24"/>
        <v>16593.143</v>
      </c>
      <c r="Q27" s="449">
        <f t="shared" si="26"/>
        <v>0</v>
      </c>
      <c r="R27" s="449">
        <f t="shared" si="27"/>
        <v>0</v>
      </c>
      <c r="S27" s="445">
        <f t="shared" si="7"/>
        <v>10118</v>
      </c>
      <c r="T27" s="469">
        <f t="shared" si="3"/>
        <v>0</v>
      </c>
      <c r="U27" s="445">
        <f t="shared" si="7"/>
        <v>420722</v>
      </c>
      <c r="V27" s="449">
        <f t="shared" si="15"/>
        <v>0</v>
      </c>
      <c r="W27" s="445">
        <f t="shared" si="7"/>
        <v>32172</v>
      </c>
      <c r="X27" s="449">
        <f t="shared" si="20"/>
        <v>0</v>
      </c>
      <c r="Y27" s="445">
        <f t="shared" si="7"/>
        <v>697351</v>
      </c>
      <c r="Z27" s="449">
        <f t="shared" si="19"/>
        <v>0</v>
      </c>
      <c r="AA27" s="445">
        <f t="shared" si="7"/>
        <v>35689</v>
      </c>
      <c r="AB27" s="449">
        <f t="shared" si="16"/>
        <v>0</v>
      </c>
      <c r="AC27" s="445">
        <f t="shared" si="7"/>
        <v>915313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-871763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3"/>
        <v>32599474</v>
      </c>
      <c r="E28" s="311">
        <f t="shared" si="10"/>
        <v>0</v>
      </c>
      <c r="F28" s="445">
        <f t="shared" si="23"/>
        <v>3959035</v>
      </c>
      <c r="G28" s="312">
        <f t="shared" si="0"/>
        <v>0</v>
      </c>
      <c r="H28" s="445">
        <f t="shared" si="23"/>
        <v>17786186</v>
      </c>
      <c r="I28" s="312">
        <f t="shared" si="11"/>
        <v>0</v>
      </c>
      <c r="J28" s="445">
        <f t="shared" si="23"/>
        <v>28886052</v>
      </c>
      <c r="K28" s="312">
        <f t="shared" si="12"/>
        <v>0</v>
      </c>
      <c r="L28" s="445">
        <f t="shared" si="23"/>
        <v>24012332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445">
        <f t="shared" si="24"/>
        <v>16593.143</v>
      </c>
      <c r="Q28" s="449">
        <f t="shared" si="26"/>
        <v>0</v>
      </c>
      <c r="R28" s="449">
        <f t="shared" si="27"/>
        <v>0</v>
      </c>
      <c r="S28" s="445">
        <f t="shared" si="7"/>
        <v>10118</v>
      </c>
      <c r="T28" s="469">
        <f t="shared" si="3"/>
        <v>0</v>
      </c>
      <c r="U28" s="445">
        <f t="shared" si="7"/>
        <v>420722</v>
      </c>
      <c r="V28" s="449">
        <f t="shared" si="15"/>
        <v>0</v>
      </c>
      <c r="W28" s="445">
        <f t="shared" si="7"/>
        <v>32172</v>
      </c>
      <c r="X28" s="449">
        <f t="shared" si="20"/>
        <v>0</v>
      </c>
      <c r="Y28" s="445">
        <f t="shared" si="7"/>
        <v>697351</v>
      </c>
      <c r="Z28" s="449">
        <f t="shared" si="19"/>
        <v>0</v>
      </c>
      <c r="AA28" s="445">
        <f t="shared" si="7"/>
        <v>35689</v>
      </c>
      <c r="AB28" s="449">
        <f t="shared" si="16"/>
        <v>0</v>
      </c>
      <c r="AC28" s="445">
        <f t="shared" si="7"/>
        <v>915313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-871763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3"/>
        <v>32599474</v>
      </c>
      <c r="E29" s="311">
        <f t="shared" si="10"/>
        <v>0</v>
      </c>
      <c r="F29" s="445">
        <f t="shared" si="23"/>
        <v>3959035</v>
      </c>
      <c r="G29" s="312">
        <f t="shared" si="0"/>
        <v>0</v>
      </c>
      <c r="H29" s="445">
        <f t="shared" si="23"/>
        <v>17786186</v>
      </c>
      <c r="I29" s="312">
        <f t="shared" si="11"/>
        <v>0</v>
      </c>
      <c r="J29" s="445">
        <f t="shared" si="23"/>
        <v>28886052</v>
      </c>
      <c r="K29" s="312">
        <f t="shared" si="12"/>
        <v>0</v>
      </c>
      <c r="L29" s="445">
        <f t="shared" si="23"/>
        <v>24012332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445">
        <f t="shared" si="24"/>
        <v>16593.143</v>
      </c>
      <c r="Q29" s="449">
        <f t="shared" si="26"/>
        <v>0</v>
      </c>
      <c r="R29" s="449">
        <f t="shared" si="27"/>
        <v>0</v>
      </c>
      <c r="S29" s="445">
        <f t="shared" si="7"/>
        <v>10118</v>
      </c>
      <c r="T29" s="469">
        <f t="shared" si="3"/>
        <v>0</v>
      </c>
      <c r="U29" s="445">
        <f t="shared" si="7"/>
        <v>420722</v>
      </c>
      <c r="V29" s="449">
        <f t="shared" si="15"/>
        <v>0</v>
      </c>
      <c r="W29" s="445">
        <f t="shared" si="7"/>
        <v>32172</v>
      </c>
      <c r="X29" s="449">
        <f t="shared" si="20"/>
        <v>0</v>
      </c>
      <c r="Y29" s="445">
        <f t="shared" si="7"/>
        <v>697351</v>
      </c>
      <c r="Z29" s="449">
        <f t="shared" si="19"/>
        <v>0</v>
      </c>
      <c r="AA29" s="445">
        <f t="shared" si="7"/>
        <v>35689</v>
      </c>
      <c r="AB29" s="449">
        <f t="shared" si="16"/>
        <v>0</v>
      </c>
      <c r="AC29" s="445">
        <f t="shared" si="7"/>
        <v>915313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-871763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3"/>
        <v>32599474</v>
      </c>
      <c r="E30" s="311">
        <f t="shared" si="10"/>
        <v>0</v>
      </c>
      <c r="F30" s="445">
        <f t="shared" si="23"/>
        <v>3959035</v>
      </c>
      <c r="G30" s="312">
        <f t="shared" si="0"/>
        <v>0</v>
      </c>
      <c r="H30" s="445">
        <f t="shared" si="23"/>
        <v>17786186</v>
      </c>
      <c r="I30" s="312">
        <f t="shared" si="11"/>
        <v>0</v>
      </c>
      <c r="J30" s="445">
        <f t="shared" si="23"/>
        <v>28886052</v>
      </c>
      <c r="K30" s="312">
        <f t="shared" si="12"/>
        <v>0</v>
      </c>
      <c r="L30" s="445">
        <f t="shared" si="23"/>
        <v>24012332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445">
        <f t="shared" si="24"/>
        <v>16593.143</v>
      </c>
      <c r="Q30" s="449">
        <f t="shared" si="26"/>
        <v>0</v>
      </c>
      <c r="R30" s="449">
        <f t="shared" si="27"/>
        <v>0</v>
      </c>
      <c r="S30" s="445">
        <f t="shared" si="7"/>
        <v>10118</v>
      </c>
      <c r="T30" s="469">
        <f t="shared" si="3"/>
        <v>0</v>
      </c>
      <c r="U30" s="445">
        <f t="shared" si="7"/>
        <v>420722</v>
      </c>
      <c r="V30" s="449">
        <f t="shared" si="15"/>
        <v>0</v>
      </c>
      <c r="W30" s="445">
        <f t="shared" si="7"/>
        <v>32172</v>
      </c>
      <c r="X30" s="470">
        <f t="shared" si="20"/>
        <v>0</v>
      </c>
      <c r="Y30" s="445">
        <f t="shared" si="7"/>
        <v>697351</v>
      </c>
      <c r="Z30" s="449">
        <f t="shared" si="19"/>
        <v>0</v>
      </c>
      <c r="AA30" s="445">
        <f t="shared" si="7"/>
        <v>35689</v>
      </c>
      <c r="AB30" s="449">
        <f t="shared" si="16"/>
        <v>0</v>
      </c>
      <c r="AC30" s="445">
        <f t="shared" si="7"/>
        <v>915313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-871763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F1" zoomScale="90" zoomScaleNormal="90" workbookViewId="0">
      <pane ySplit="1" topLeftCell="A2" activePane="bottomLeft" state="frozen"/>
      <selection activeCell="K1" sqref="K1"/>
      <selection pane="bottomLeft" activeCell="AE12" sqref="AE1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45.75" thickBot="1">
      <c r="F1" s="612" t="s">
        <v>2</v>
      </c>
      <c r="G1" s="613"/>
      <c r="H1" s="613"/>
      <c r="I1" s="614"/>
      <c r="J1" s="282">
        <f>J33</f>
        <v>62.666666666666664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f t="shared" ref="B12:C32" si="59">B12</f>
        <v>237</v>
      </c>
      <c r="C13" s="589">
        <f t="shared" si="59"/>
        <v>243</v>
      </c>
      <c r="D13" s="45">
        <f t="shared" si="28"/>
        <v>0</v>
      </c>
      <c r="E13" s="45">
        <f t="shared" si="8"/>
        <v>0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f t="shared" si="40"/>
        <v>2225</v>
      </c>
      <c r="L13" s="52">
        <f t="shared" si="10"/>
        <v>0</v>
      </c>
      <c r="M13" s="589">
        <f t="shared" si="40"/>
        <v>163585</v>
      </c>
      <c r="N13" s="396">
        <f t="shared" si="2"/>
        <v>0</v>
      </c>
      <c r="O13" s="64">
        <f t="shared" si="11"/>
        <v>1869</v>
      </c>
      <c r="P13" s="589">
        <f t="shared" si="11"/>
        <v>1975</v>
      </c>
      <c r="Q13" s="589">
        <f t="shared" ref="Q13" si="60">Q12</f>
        <v>167024</v>
      </c>
      <c r="R13" s="395">
        <f t="shared" si="51"/>
        <v>0</v>
      </c>
      <c r="S13" s="52">
        <f t="shared" si="4"/>
        <v>0</v>
      </c>
      <c r="T13" s="67">
        <f t="shared" si="30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61">AC12</f>
        <v>1934</v>
      </c>
      <c r="AD13" s="45">
        <f t="shared" si="6"/>
        <v>0</v>
      </c>
      <c r="AE13" s="589">
        <f t="shared" si="61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89">
        <f t="shared" ref="AN13:AP13" si="62">AN12</f>
        <v>67</v>
      </c>
      <c r="AO13" s="320">
        <f t="shared" si="24"/>
        <v>2010.0000000000002</v>
      </c>
      <c r="AP13" s="589">
        <f t="shared" si="62"/>
        <v>55</v>
      </c>
      <c r="AQ13" s="320">
        <f t="shared" si="25"/>
        <v>1650.0000000000002</v>
      </c>
      <c r="AR13" s="589">
        <f t="shared" ref="AR13" si="63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f t="shared" si="59"/>
        <v>237</v>
      </c>
      <c r="C14" s="589">
        <f t="shared" si="59"/>
        <v>243</v>
      </c>
      <c r="D14" s="45">
        <f t="shared" si="28"/>
        <v>0</v>
      </c>
      <c r="E14" s="45">
        <f t="shared" si="8"/>
        <v>0</v>
      </c>
      <c r="F14" s="589">
        <f t="shared" si="29"/>
        <v>1727</v>
      </c>
      <c r="G14" s="52">
        <f t="shared" si="0"/>
        <v>0</v>
      </c>
      <c r="H14" s="589">
        <f t="shared" si="29"/>
        <v>4872</v>
      </c>
      <c r="I14" s="396">
        <f t="shared" si="1"/>
        <v>0</v>
      </c>
      <c r="J14" s="66">
        <f t="shared" si="9"/>
        <v>0</v>
      </c>
      <c r="K14" s="589">
        <f t="shared" si="40"/>
        <v>2225</v>
      </c>
      <c r="L14" s="52">
        <f t="shared" si="10"/>
        <v>0</v>
      </c>
      <c r="M14" s="589">
        <f t="shared" si="40"/>
        <v>163585</v>
      </c>
      <c r="N14" s="396">
        <f t="shared" si="2"/>
        <v>0</v>
      </c>
      <c r="O14" s="64">
        <f t="shared" si="11"/>
        <v>1869</v>
      </c>
      <c r="P14" s="589">
        <f t="shared" si="11"/>
        <v>1975</v>
      </c>
      <c r="Q14" s="589">
        <f t="shared" ref="Q14" si="64">Q13</f>
        <v>167024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5">AC13</f>
        <v>1934</v>
      </c>
      <c r="AD14" s="45">
        <f t="shared" si="6"/>
        <v>0</v>
      </c>
      <c r="AE14" s="589">
        <f t="shared" si="65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89">
        <f t="shared" ref="AN14:AP14" si="66">AN13</f>
        <v>67</v>
      </c>
      <c r="AO14" s="320">
        <f t="shared" si="24"/>
        <v>2010.0000000000002</v>
      </c>
      <c r="AP14" s="589">
        <f t="shared" si="66"/>
        <v>55</v>
      </c>
      <c r="AQ14" s="320">
        <f t="shared" si="25"/>
        <v>1650.0000000000002</v>
      </c>
      <c r="AR14" s="589">
        <f t="shared" ref="AR14" si="67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f t="shared" si="59"/>
        <v>237</v>
      </c>
      <c r="C15" s="589">
        <f t="shared" si="59"/>
        <v>243</v>
      </c>
      <c r="D15" s="45">
        <f t="shared" si="28"/>
        <v>0</v>
      </c>
      <c r="E15" s="45">
        <f t="shared" si="8"/>
        <v>0</v>
      </c>
      <c r="F15" s="589">
        <f t="shared" si="29"/>
        <v>1727</v>
      </c>
      <c r="G15" s="52">
        <f t="shared" si="0"/>
        <v>0</v>
      </c>
      <c r="H15" s="589">
        <f t="shared" si="29"/>
        <v>4872</v>
      </c>
      <c r="I15" s="396">
        <f t="shared" si="1"/>
        <v>0</v>
      </c>
      <c r="J15" s="66">
        <f t="shared" si="9"/>
        <v>0</v>
      </c>
      <c r="K15" s="589">
        <f t="shared" si="40"/>
        <v>2225</v>
      </c>
      <c r="L15" s="52">
        <f t="shared" si="10"/>
        <v>0</v>
      </c>
      <c r="M15" s="589">
        <f t="shared" si="40"/>
        <v>163585</v>
      </c>
      <c r="N15" s="396">
        <f t="shared" si="2"/>
        <v>0</v>
      </c>
      <c r="O15" s="64">
        <f t="shared" si="11"/>
        <v>1869</v>
      </c>
      <c r="P15" s="589">
        <f t="shared" si="11"/>
        <v>1975</v>
      </c>
      <c r="Q15" s="589">
        <f t="shared" ref="Q15" si="68">Q14</f>
        <v>167024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9">AC14</f>
        <v>1934</v>
      </c>
      <c r="AD15" s="45">
        <f t="shared" si="6"/>
        <v>0</v>
      </c>
      <c r="AE15" s="589">
        <f t="shared" si="69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89">
        <f t="shared" ref="AN15:AP15" si="70">AN14</f>
        <v>67</v>
      </c>
      <c r="AO15" s="320">
        <f t="shared" si="24"/>
        <v>2010.0000000000002</v>
      </c>
      <c r="AP15" s="589">
        <f t="shared" si="70"/>
        <v>55</v>
      </c>
      <c r="AQ15" s="320">
        <f t="shared" si="25"/>
        <v>1650.0000000000002</v>
      </c>
      <c r="AR15" s="589">
        <f t="shared" ref="AR15" si="71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f t="shared" si="59"/>
        <v>237</v>
      </c>
      <c r="C16" s="589">
        <f t="shared" si="59"/>
        <v>243</v>
      </c>
      <c r="D16" s="45">
        <f t="shared" si="28"/>
        <v>0</v>
      </c>
      <c r="E16" s="45">
        <f t="shared" si="8"/>
        <v>0</v>
      </c>
      <c r="F16" s="589">
        <f t="shared" si="29"/>
        <v>1727</v>
      </c>
      <c r="G16" s="52">
        <f t="shared" si="0"/>
        <v>0</v>
      </c>
      <c r="H16" s="589">
        <f t="shared" si="29"/>
        <v>4872</v>
      </c>
      <c r="I16" s="396">
        <f t="shared" si="1"/>
        <v>0</v>
      </c>
      <c r="J16" s="66">
        <f t="shared" si="9"/>
        <v>0</v>
      </c>
      <c r="K16" s="589">
        <f t="shared" si="40"/>
        <v>2225</v>
      </c>
      <c r="L16" s="52">
        <f t="shared" si="10"/>
        <v>0</v>
      </c>
      <c r="M16" s="589">
        <f t="shared" si="40"/>
        <v>163585</v>
      </c>
      <c r="N16" s="396">
        <f t="shared" si="2"/>
        <v>0</v>
      </c>
      <c r="O16" s="64">
        <f t="shared" si="11"/>
        <v>1869</v>
      </c>
      <c r="P16" s="589">
        <f t="shared" si="11"/>
        <v>1975</v>
      </c>
      <c r="Q16" s="589">
        <f t="shared" ref="Q16" si="72">Q15</f>
        <v>167024</v>
      </c>
      <c r="R16" s="395">
        <f t="shared" si="51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73">AC15</f>
        <v>1934</v>
      </c>
      <c r="AD16" s="45">
        <f t="shared" si="6"/>
        <v>0</v>
      </c>
      <c r="AE16" s="589">
        <f t="shared" si="73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89">
        <f t="shared" ref="AN16:AP16" si="74">AN15</f>
        <v>67</v>
      </c>
      <c r="AO16" s="320">
        <f t="shared" si="24"/>
        <v>2010.0000000000002</v>
      </c>
      <c r="AP16" s="589">
        <f t="shared" si="74"/>
        <v>55</v>
      </c>
      <c r="AQ16" s="320">
        <f t="shared" si="25"/>
        <v>1650.0000000000002</v>
      </c>
      <c r="AR16" s="589">
        <f t="shared" ref="AR16" si="75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f t="shared" si="59"/>
        <v>237</v>
      </c>
      <c r="C17" s="589">
        <f t="shared" si="59"/>
        <v>243</v>
      </c>
      <c r="D17" s="45">
        <f t="shared" si="28"/>
        <v>0</v>
      </c>
      <c r="E17" s="45">
        <f t="shared" si="8"/>
        <v>0</v>
      </c>
      <c r="F17" s="589">
        <f t="shared" si="29"/>
        <v>1727</v>
      </c>
      <c r="G17" s="52">
        <f t="shared" si="0"/>
        <v>0</v>
      </c>
      <c r="H17" s="589">
        <f t="shared" si="29"/>
        <v>4872</v>
      </c>
      <c r="I17" s="396">
        <f t="shared" si="1"/>
        <v>0</v>
      </c>
      <c r="J17" s="66">
        <f t="shared" si="9"/>
        <v>0</v>
      </c>
      <c r="K17" s="589">
        <f t="shared" si="40"/>
        <v>2225</v>
      </c>
      <c r="L17" s="52">
        <f t="shared" si="10"/>
        <v>0</v>
      </c>
      <c r="M17" s="589">
        <f t="shared" si="40"/>
        <v>163585</v>
      </c>
      <c r="N17" s="396">
        <f t="shared" si="2"/>
        <v>0</v>
      </c>
      <c r="O17" s="64">
        <f t="shared" si="11"/>
        <v>1869</v>
      </c>
      <c r="P17" s="589">
        <f t="shared" si="11"/>
        <v>1975</v>
      </c>
      <c r="Q17" s="589">
        <f t="shared" ref="Q17" si="76">Q16</f>
        <v>167024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89">
        <f t="shared" si="16"/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7">AC16</f>
        <v>1934</v>
      </c>
      <c r="AD17" s="45">
        <f t="shared" si="6"/>
        <v>0</v>
      </c>
      <c r="AE17" s="589">
        <f t="shared" si="77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89">
        <f t="shared" ref="AN17:AP17" si="78">AN16</f>
        <v>67</v>
      </c>
      <c r="AO17" s="320">
        <f t="shared" si="24"/>
        <v>2010.0000000000002</v>
      </c>
      <c r="AP17" s="589">
        <f t="shared" si="78"/>
        <v>55</v>
      </c>
      <c r="AQ17" s="320">
        <f t="shared" si="25"/>
        <v>1650.0000000000002</v>
      </c>
      <c r="AR17" s="589">
        <f t="shared" ref="AR17" si="79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f t="shared" si="59"/>
        <v>237</v>
      </c>
      <c r="C18" s="589">
        <f t="shared" si="59"/>
        <v>243</v>
      </c>
      <c r="D18" s="45">
        <f t="shared" si="28"/>
        <v>0</v>
      </c>
      <c r="E18" s="45">
        <f t="shared" si="8"/>
        <v>0</v>
      </c>
      <c r="F18" s="589">
        <f t="shared" si="29"/>
        <v>1727</v>
      </c>
      <c r="G18" s="52">
        <f t="shared" si="0"/>
        <v>0</v>
      </c>
      <c r="H18" s="589">
        <f t="shared" si="29"/>
        <v>4872</v>
      </c>
      <c r="I18" s="396">
        <f t="shared" si="1"/>
        <v>0</v>
      </c>
      <c r="J18" s="66">
        <f t="shared" si="9"/>
        <v>0</v>
      </c>
      <c r="K18" s="589">
        <f t="shared" si="40"/>
        <v>2225</v>
      </c>
      <c r="L18" s="52">
        <f t="shared" si="10"/>
        <v>0</v>
      </c>
      <c r="M18" s="589">
        <f t="shared" si="40"/>
        <v>163585</v>
      </c>
      <c r="N18" s="396">
        <f t="shared" si="2"/>
        <v>0</v>
      </c>
      <c r="O18" s="64">
        <v>1869</v>
      </c>
      <c r="P18" s="589">
        <f t="shared" si="11"/>
        <v>1975</v>
      </c>
      <c r="Q18" s="589">
        <f t="shared" ref="Q18" si="80">Q17</f>
        <v>167024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81">SUM(Y18*$AB$2)</f>
        <v>0</v>
      </c>
      <c r="AC18" s="589">
        <f t="shared" ref="AC18:AE18" si="82">AC17</f>
        <v>1934</v>
      </c>
      <c r="AD18" s="45">
        <f t="shared" si="6"/>
        <v>0</v>
      </c>
      <c r="AE18" s="589">
        <f t="shared" si="82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89">
        <f t="shared" ref="AN18:AP18" si="83">AN17</f>
        <v>67</v>
      </c>
      <c r="AO18" s="320">
        <f t="shared" si="24"/>
        <v>2010.0000000000002</v>
      </c>
      <c r="AP18" s="589">
        <f t="shared" si="83"/>
        <v>55</v>
      </c>
      <c r="AQ18" s="320">
        <f t="shared" si="25"/>
        <v>1650.0000000000002</v>
      </c>
      <c r="AR18" s="589">
        <f t="shared" ref="AR18" si="84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f t="shared" si="59"/>
        <v>237</v>
      </c>
      <c r="C19" s="589">
        <f t="shared" si="59"/>
        <v>243</v>
      </c>
      <c r="D19" s="45">
        <f t="shared" si="28"/>
        <v>0</v>
      </c>
      <c r="E19" s="45">
        <f t="shared" si="8"/>
        <v>0</v>
      </c>
      <c r="F19" s="589">
        <f t="shared" si="29"/>
        <v>1727</v>
      </c>
      <c r="G19" s="52">
        <f t="shared" si="0"/>
        <v>0</v>
      </c>
      <c r="H19" s="589">
        <f t="shared" si="29"/>
        <v>4872</v>
      </c>
      <c r="I19" s="396">
        <f t="shared" si="1"/>
        <v>0</v>
      </c>
      <c r="J19" s="66">
        <f t="shared" si="9"/>
        <v>0</v>
      </c>
      <c r="K19" s="589">
        <f t="shared" si="40"/>
        <v>2225</v>
      </c>
      <c r="L19" s="52">
        <f t="shared" si="10"/>
        <v>0</v>
      </c>
      <c r="M19" s="589">
        <f t="shared" si="40"/>
        <v>163585</v>
      </c>
      <c r="N19" s="396">
        <f t="shared" si="2"/>
        <v>0</v>
      </c>
      <c r="O19" s="64">
        <f t="shared" si="11"/>
        <v>1869</v>
      </c>
      <c r="P19" s="589">
        <f t="shared" si="11"/>
        <v>1975</v>
      </c>
      <c r="Q19" s="589">
        <f t="shared" ref="Q19" si="85">Q18</f>
        <v>167024</v>
      </c>
      <c r="R19" s="395">
        <f t="shared" si="51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81"/>
        <v>0</v>
      </c>
      <c r="AC19" s="589">
        <f t="shared" ref="AC19:AE19" si="86">AC18</f>
        <v>1934</v>
      </c>
      <c r="AD19" s="45">
        <f t="shared" si="6"/>
        <v>0</v>
      </c>
      <c r="AE19" s="589">
        <f t="shared" si="86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89">
        <f t="shared" ref="AN19:AP19" si="87">AN18</f>
        <v>67</v>
      </c>
      <c r="AO19" s="320">
        <f t="shared" si="24"/>
        <v>2010.0000000000002</v>
      </c>
      <c r="AP19" s="589">
        <f t="shared" si="87"/>
        <v>55</v>
      </c>
      <c r="AQ19" s="320">
        <f t="shared" si="25"/>
        <v>1650.0000000000002</v>
      </c>
      <c r="AR19" s="589">
        <f t="shared" ref="AR19" si="88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f t="shared" si="59"/>
        <v>237</v>
      </c>
      <c r="C20" s="589">
        <f t="shared" si="59"/>
        <v>243</v>
      </c>
      <c r="D20" s="45">
        <f>C19-C20</f>
        <v>0</v>
      </c>
      <c r="E20" s="45">
        <f t="shared" si="8"/>
        <v>0</v>
      </c>
      <c r="F20" s="589">
        <f t="shared" si="29"/>
        <v>1727</v>
      </c>
      <c r="G20" s="52">
        <f t="shared" si="0"/>
        <v>0</v>
      </c>
      <c r="H20" s="589">
        <f t="shared" si="29"/>
        <v>4872</v>
      </c>
      <c r="I20" s="396">
        <f t="shared" si="1"/>
        <v>0</v>
      </c>
      <c r="J20" s="66">
        <f t="shared" si="9"/>
        <v>0</v>
      </c>
      <c r="K20" s="589">
        <f t="shared" si="40"/>
        <v>2225</v>
      </c>
      <c r="L20" s="52">
        <f t="shared" si="10"/>
        <v>0</v>
      </c>
      <c r="M20" s="589">
        <f t="shared" si="40"/>
        <v>163585</v>
      </c>
      <c r="N20" s="396">
        <f t="shared" si="2"/>
        <v>0</v>
      </c>
      <c r="O20" s="64">
        <f t="shared" si="11"/>
        <v>1869</v>
      </c>
      <c r="P20" s="589">
        <f t="shared" si="11"/>
        <v>1975</v>
      </c>
      <c r="Q20" s="589">
        <f t="shared" ref="Q20" si="89">Q19</f>
        <v>167024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81"/>
        <v>0</v>
      </c>
      <c r="AC20" s="589">
        <f t="shared" ref="AC20:AE20" si="90">AC19</f>
        <v>1934</v>
      </c>
      <c r="AD20" s="45">
        <f t="shared" si="6"/>
        <v>0</v>
      </c>
      <c r="AE20" s="589">
        <f t="shared" si="90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89">
        <f t="shared" ref="AN20:AP20" si="91">AN19</f>
        <v>67</v>
      </c>
      <c r="AO20" s="320">
        <f t="shared" si="24"/>
        <v>2010.0000000000002</v>
      </c>
      <c r="AP20" s="589">
        <f t="shared" si="91"/>
        <v>55</v>
      </c>
      <c r="AQ20" s="320">
        <f t="shared" si="25"/>
        <v>1650.0000000000002</v>
      </c>
      <c r="AR20" s="589">
        <f t="shared" ref="AR20" si="92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f t="shared" si="59"/>
        <v>237</v>
      </c>
      <c r="C21" s="589">
        <f t="shared" si="59"/>
        <v>243</v>
      </c>
      <c r="D21" s="45">
        <f t="shared" ref="D21:D31" si="93">C20-C21</f>
        <v>0</v>
      </c>
      <c r="E21" s="45">
        <f t="shared" si="8"/>
        <v>0</v>
      </c>
      <c r="F21" s="589">
        <f t="shared" si="29"/>
        <v>1727</v>
      </c>
      <c r="G21" s="52">
        <f t="shared" si="0"/>
        <v>0</v>
      </c>
      <c r="H21" s="589">
        <f t="shared" si="29"/>
        <v>4872</v>
      </c>
      <c r="I21" s="396">
        <f t="shared" si="1"/>
        <v>0</v>
      </c>
      <c r="J21" s="66">
        <f t="shared" si="9"/>
        <v>0</v>
      </c>
      <c r="K21" s="589">
        <f t="shared" si="40"/>
        <v>2225</v>
      </c>
      <c r="L21" s="52">
        <f t="shared" si="10"/>
        <v>0</v>
      </c>
      <c r="M21" s="589">
        <f t="shared" si="40"/>
        <v>163585</v>
      </c>
      <c r="N21" s="396">
        <f t="shared" si="2"/>
        <v>0</v>
      </c>
      <c r="O21" s="64">
        <f t="shared" si="11"/>
        <v>1869</v>
      </c>
      <c r="P21" s="589">
        <f t="shared" si="11"/>
        <v>1975</v>
      </c>
      <c r="Q21" s="589">
        <f t="shared" ref="Q21" si="94">Q20</f>
        <v>167024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81"/>
        <v>0</v>
      </c>
      <c r="AC21" s="589">
        <f t="shared" ref="AC21:AE21" si="95">AC20</f>
        <v>1934</v>
      </c>
      <c r="AD21" s="45">
        <f t="shared" si="6"/>
        <v>0</v>
      </c>
      <c r="AE21" s="589">
        <f t="shared" si="95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89">
        <f t="shared" ref="AN21:AP21" si="96">AN20</f>
        <v>67</v>
      </c>
      <c r="AO21" s="320">
        <f t="shared" si="24"/>
        <v>2010.0000000000002</v>
      </c>
      <c r="AP21" s="589">
        <f t="shared" si="96"/>
        <v>55</v>
      </c>
      <c r="AQ21" s="320">
        <f t="shared" si="25"/>
        <v>1650.0000000000002</v>
      </c>
      <c r="AR21" s="589">
        <f t="shared" ref="AR21" si="97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si="59"/>
        <v>237</v>
      </c>
      <c r="C22" s="589">
        <f t="shared" si="59"/>
        <v>243</v>
      </c>
      <c r="D22" s="45">
        <f t="shared" si="93"/>
        <v>0</v>
      </c>
      <c r="E22" s="45">
        <f t="shared" si="8"/>
        <v>0</v>
      </c>
      <c r="F22" s="589">
        <f t="shared" si="29"/>
        <v>1727</v>
      </c>
      <c r="G22" s="52">
        <f t="shared" si="0"/>
        <v>0</v>
      </c>
      <c r="H22" s="589">
        <f t="shared" si="29"/>
        <v>4872</v>
      </c>
      <c r="I22" s="396">
        <f t="shared" si="1"/>
        <v>0</v>
      </c>
      <c r="J22" s="66">
        <f t="shared" si="9"/>
        <v>0</v>
      </c>
      <c r="K22" s="589">
        <f t="shared" si="40"/>
        <v>2225</v>
      </c>
      <c r="L22" s="52">
        <f t="shared" si="10"/>
        <v>0</v>
      </c>
      <c r="M22" s="589">
        <f t="shared" si="40"/>
        <v>163585</v>
      </c>
      <c r="N22" s="396">
        <f t="shared" si="2"/>
        <v>0</v>
      </c>
      <c r="O22" s="64">
        <f t="shared" si="11"/>
        <v>1869</v>
      </c>
      <c r="P22" s="589">
        <f t="shared" si="11"/>
        <v>1975</v>
      </c>
      <c r="Q22" s="589">
        <f t="shared" ref="Q22" si="98">Q21</f>
        <v>167024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2454</v>
      </c>
      <c r="Y22" s="52">
        <f t="shared" si="17"/>
        <v>0</v>
      </c>
      <c r="Z22" s="589">
        <f t="shared" si="16"/>
        <v>138028.1</v>
      </c>
      <c r="AA22" s="65">
        <f t="shared" si="5"/>
        <v>0</v>
      </c>
      <c r="AB22" s="284">
        <f t="shared" si="81"/>
        <v>0</v>
      </c>
      <c r="AC22" s="589">
        <f t="shared" ref="AC22:AE22" si="99">AC21</f>
        <v>1934</v>
      </c>
      <c r="AD22" s="45">
        <f t="shared" si="6"/>
        <v>0</v>
      </c>
      <c r="AE22" s="589">
        <f t="shared" si="99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100">AN21</f>
        <v>67</v>
      </c>
      <c r="AO22" s="320">
        <f t="shared" si="24"/>
        <v>2010.0000000000002</v>
      </c>
      <c r="AP22" s="589">
        <f t="shared" si="100"/>
        <v>55</v>
      </c>
      <c r="AQ22" s="320">
        <f t="shared" si="25"/>
        <v>1650.0000000000002</v>
      </c>
      <c r="AR22" s="589">
        <f t="shared" ref="AR22" si="101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59"/>
        <v>237</v>
      </c>
      <c r="C23" s="589">
        <f t="shared" si="59"/>
        <v>243</v>
      </c>
      <c r="D23" s="45">
        <f t="shared" si="93"/>
        <v>0</v>
      </c>
      <c r="E23" s="45">
        <f t="shared" si="8"/>
        <v>0</v>
      </c>
      <c r="F23" s="589">
        <f t="shared" si="29"/>
        <v>1727</v>
      </c>
      <c r="G23" s="52">
        <f t="shared" si="0"/>
        <v>0</v>
      </c>
      <c r="H23" s="589">
        <f t="shared" si="29"/>
        <v>4872</v>
      </c>
      <c r="I23" s="396">
        <f t="shared" si="1"/>
        <v>0</v>
      </c>
      <c r="J23" s="66">
        <f t="shared" si="9"/>
        <v>0</v>
      </c>
      <c r="K23" s="589">
        <f t="shared" si="40"/>
        <v>2225</v>
      </c>
      <c r="L23" s="52">
        <f t="shared" si="10"/>
        <v>0</v>
      </c>
      <c r="M23" s="589">
        <f t="shared" si="40"/>
        <v>163585</v>
      </c>
      <c r="N23" s="396">
        <f t="shared" si="2"/>
        <v>0</v>
      </c>
      <c r="O23" s="64">
        <f t="shared" si="11"/>
        <v>1869</v>
      </c>
      <c r="P23" s="589">
        <f t="shared" si="11"/>
        <v>1975</v>
      </c>
      <c r="Q23" s="589">
        <f t="shared" ref="Q23" si="102">Q22</f>
        <v>167024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2454</v>
      </c>
      <c r="Y23" s="52">
        <f t="shared" si="17"/>
        <v>0</v>
      </c>
      <c r="Z23" s="589">
        <f t="shared" si="16"/>
        <v>138028.1</v>
      </c>
      <c r="AA23" s="65">
        <f t="shared" si="5"/>
        <v>0</v>
      </c>
      <c r="AB23" s="284">
        <f t="shared" si="81"/>
        <v>0</v>
      </c>
      <c r="AC23" s="589">
        <f t="shared" ref="AC23:AE23" si="103">AC22</f>
        <v>1934</v>
      </c>
      <c r="AD23" s="45">
        <f t="shared" si="6"/>
        <v>0</v>
      </c>
      <c r="AE23" s="589">
        <f t="shared" si="103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104">AN22</f>
        <v>67</v>
      </c>
      <c r="AO23" s="320">
        <f t="shared" si="24"/>
        <v>2010.0000000000002</v>
      </c>
      <c r="AP23" s="589">
        <f t="shared" si="104"/>
        <v>55</v>
      </c>
      <c r="AQ23" s="320">
        <f t="shared" si="25"/>
        <v>1650.0000000000002</v>
      </c>
      <c r="AR23" s="589">
        <f t="shared" ref="AR23" si="105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59"/>
        <v>237</v>
      </c>
      <c r="C24" s="589">
        <f t="shared" si="59"/>
        <v>243</v>
      </c>
      <c r="D24" s="45">
        <f t="shared" si="93"/>
        <v>0</v>
      </c>
      <c r="E24" s="45">
        <f t="shared" si="8"/>
        <v>0</v>
      </c>
      <c r="F24" s="589">
        <f t="shared" si="29"/>
        <v>1727</v>
      </c>
      <c r="G24" s="52">
        <f t="shared" si="0"/>
        <v>0</v>
      </c>
      <c r="H24" s="589">
        <f t="shared" si="29"/>
        <v>4872</v>
      </c>
      <c r="I24" s="396">
        <f t="shared" si="1"/>
        <v>0</v>
      </c>
      <c r="J24" s="66">
        <f t="shared" si="9"/>
        <v>0</v>
      </c>
      <c r="K24" s="589">
        <f t="shared" si="40"/>
        <v>2225</v>
      </c>
      <c r="L24" s="52">
        <f t="shared" si="10"/>
        <v>0</v>
      </c>
      <c r="M24" s="589">
        <f t="shared" si="40"/>
        <v>163585</v>
      </c>
      <c r="N24" s="396">
        <f t="shared" si="2"/>
        <v>0</v>
      </c>
      <c r="O24" s="64">
        <f t="shared" si="11"/>
        <v>1869</v>
      </c>
      <c r="P24" s="589">
        <f t="shared" si="11"/>
        <v>1975</v>
      </c>
      <c r="Q24" s="589">
        <f t="shared" ref="Q24" si="106">Q23</f>
        <v>167024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2454</v>
      </c>
      <c r="Y24" s="52">
        <f t="shared" si="17"/>
        <v>0</v>
      </c>
      <c r="Z24" s="589">
        <f t="shared" si="16"/>
        <v>138028.1</v>
      </c>
      <c r="AA24" s="65">
        <f t="shared" si="5"/>
        <v>0</v>
      </c>
      <c r="AB24" s="284">
        <f t="shared" ref="AB24:AB32" si="107">SUM(Y24*$AB$2)</f>
        <v>0</v>
      </c>
      <c r="AC24" s="589">
        <f t="shared" ref="AC24:AE24" si="108">AC23</f>
        <v>1934</v>
      </c>
      <c r="AD24" s="45">
        <f t="shared" si="6"/>
        <v>0</v>
      </c>
      <c r="AE24" s="589">
        <f t="shared" si="10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09">AN23</f>
        <v>67</v>
      </c>
      <c r="AO24" s="320">
        <f t="shared" si="24"/>
        <v>2010.0000000000002</v>
      </c>
      <c r="AP24" s="589">
        <f t="shared" si="109"/>
        <v>55</v>
      </c>
      <c r="AQ24" s="320">
        <f t="shared" si="25"/>
        <v>1650.0000000000002</v>
      </c>
      <c r="AR24" s="589">
        <f t="shared" ref="AR24" si="110">AR23</f>
        <v>61</v>
      </c>
      <c r="AS24" s="320">
        <f t="shared" si="37"/>
        <v>1830</v>
      </c>
      <c r="AT24" s="320">
        <f t="shared" ref="AT24:AT32" si="11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59"/>
        <v>237</v>
      </c>
      <c r="C25" s="589">
        <f t="shared" si="59"/>
        <v>243</v>
      </c>
      <c r="D25" s="45">
        <f t="shared" si="93"/>
        <v>0</v>
      </c>
      <c r="E25" s="45">
        <f t="shared" si="8"/>
        <v>0</v>
      </c>
      <c r="F25" s="589">
        <f t="shared" si="29"/>
        <v>1727</v>
      </c>
      <c r="G25" s="52">
        <f t="shared" si="0"/>
        <v>0</v>
      </c>
      <c r="H25" s="589">
        <f t="shared" si="29"/>
        <v>4872</v>
      </c>
      <c r="I25" s="396">
        <f t="shared" si="1"/>
        <v>0</v>
      </c>
      <c r="J25" s="66">
        <f t="shared" si="9"/>
        <v>0</v>
      </c>
      <c r="K25" s="589">
        <f t="shared" si="40"/>
        <v>2225</v>
      </c>
      <c r="L25" s="52">
        <f t="shared" si="10"/>
        <v>0</v>
      </c>
      <c r="M25" s="589">
        <f t="shared" si="40"/>
        <v>163585</v>
      </c>
      <c r="N25" s="396">
        <f t="shared" si="2"/>
        <v>0</v>
      </c>
      <c r="O25" s="64">
        <f t="shared" si="11"/>
        <v>1869</v>
      </c>
      <c r="P25" s="589">
        <f t="shared" si="11"/>
        <v>1975</v>
      </c>
      <c r="Q25" s="589">
        <f t="shared" ref="Q25" si="112">Q24</f>
        <v>167024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2454</v>
      </c>
      <c r="Y25" s="52">
        <f t="shared" si="17"/>
        <v>0</v>
      </c>
      <c r="Z25" s="589">
        <f t="shared" si="16"/>
        <v>138028.1</v>
      </c>
      <c r="AA25" s="65">
        <f t="shared" si="5"/>
        <v>0</v>
      </c>
      <c r="AB25" s="284">
        <f t="shared" si="107"/>
        <v>0</v>
      </c>
      <c r="AC25" s="589">
        <f t="shared" ref="AC25:AE25" si="113">AC24</f>
        <v>1934</v>
      </c>
      <c r="AD25" s="45">
        <f t="shared" si="6"/>
        <v>0</v>
      </c>
      <c r="AE25" s="589">
        <f t="shared" si="11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14">AN24</f>
        <v>67</v>
      </c>
      <c r="AO25" s="320">
        <f t="shared" si="24"/>
        <v>2010.0000000000002</v>
      </c>
      <c r="AP25" s="589">
        <f t="shared" si="114"/>
        <v>55</v>
      </c>
      <c r="AQ25" s="320">
        <f t="shared" ref="AQ25:AQ32" si="115">(AP25/100)*3000</f>
        <v>1650.0000000000002</v>
      </c>
      <c r="AR25" s="589">
        <f t="shared" ref="AR25" si="116">AR24</f>
        <v>61</v>
      </c>
      <c r="AS25" s="320">
        <f t="shared" si="37"/>
        <v>1830</v>
      </c>
      <c r="AT25" s="320">
        <f t="shared" si="11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59"/>
        <v>237</v>
      </c>
      <c r="C26" s="589">
        <f t="shared" si="59"/>
        <v>243</v>
      </c>
      <c r="D26" s="45">
        <f t="shared" si="93"/>
        <v>0</v>
      </c>
      <c r="E26" s="45">
        <f t="shared" si="8"/>
        <v>0</v>
      </c>
      <c r="F26" s="589">
        <f t="shared" si="29"/>
        <v>1727</v>
      </c>
      <c r="G26" s="52">
        <f t="shared" si="0"/>
        <v>0</v>
      </c>
      <c r="H26" s="589">
        <f t="shared" si="29"/>
        <v>4872</v>
      </c>
      <c r="I26" s="396">
        <f t="shared" si="1"/>
        <v>0</v>
      </c>
      <c r="J26" s="66">
        <f t="shared" si="9"/>
        <v>0</v>
      </c>
      <c r="K26" s="589">
        <f t="shared" si="40"/>
        <v>2225</v>
      </c>
      <c r="L26" s="52">
        <f t="shared" si="10"/>
        <v>0</v>
      </c>
      <c r="M26" s="589">
        <f t="shared" si="40"/>
        <v>163585</v>
      </c>
      <c r="N26" s="396">
        <f t="shared" si="2"/>
        <v>0</v>
      </c>
      <c r="O26" s="64">
        <f t="shared" si="11"/>
        <v>1869</v>
      </c>
      <c r="P26" s="589">
        <f t="shared" si="11"/>
        <v>1975</v>
      </c>
      <c r="Q26" s="589">
        <f t="shared" ref="Q26" si="117">Q25</f>
        <v>167024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2454</v>
      </c>
      <c r="Y26" s="52">
        <f t="shared" si="17"/>
        <v>0</v>
      </c>
      <c r="Z26" s="589">
        <f t="shared" si="16"/>
        <v>138028.1</v>
      </c>
      <c r="AA26" s="65">
        <f t="shared" si="5"/>
        <v>0</v>
      </c>
      <c r="AB26" s="284">
        <f t="shared" si="107"/>
        <v>0</v>
      </c>
      <c r="AC26" s="589">
        <f t="shared" ref="AC26:AE26" si="118">AC25</f>
        <v>1934</v>
      </c>
      <c r="AD26" s="45">
        <f t="shared" si="6"/>
        <v>0</v>
      </c>
      <c r="AE26" s="589">
        <f t="shared" si="118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19">AN25</f>
        <v>67</v>
      </c>
      <c r="AO26" s="320">
        <f t="shared" si="24"/>
        <v>2010.0000000000002</v>
      </c>
      <c r="AP26" s="589">
        <f t="shared" si="119"/>
        <v>55</v>
      </c>
      <c r="AQ26" s="320">
        <f t="shared" si="115"/>
        <v>1650.0000000000002</v>
      </c>
      <c r="AR26" s="589">
        <f t="shared" ref="AR26" si="120">AR25</f>
        <v>61</v>
      </c>
      <c r="AS26" s="320">
        <f t="shared" si="37"/>
        <v>1830</v>
      </c>
      <c r="AT26" s="320">
        <f t="shared" si="11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59"/>
        <v>237</v>
      </c>
      <c r="C27" s="589">
        <f t="shared" si="59"/>
        <v>243</v>
      </c>
      <c r="D27" s="45">
        <f t="shared" si="93"/>
        <v>0</v>
      </c>
      <c r="E27" s="45">
        <f t="shared" si="8"/>
        <v>0</v>
      </c>
      <c r="F27" s="589">
        <f t="shared" si="29"/>
        <v>1727</v>
      </c>
      <c r="G27" s="52">
        <f t="shared" si="0"/>
        <v>0</v>
      </c>
      <c r="H27" s="589">
        <f t="shared" si="29"/>
        <v>4872</v>
      </c>
      <c r="I27" s="396">
        <f t="shared" si="1"/>
        <v>0</v>
      </c>
      <c r="J27" s="66">
        <f t="shared" si="9"/>
        <v>0</v>
      </c>
      <c r="K27" s="589">
        <f t="shared" si="40"/>
        <v>2225</v>
      </c>
      <c r="L27" s="52">
        <f t="shared" si="10"/>
        <v>0</v>
      </c>
      <c r="M27" s="589">
        <f t="shared" si="40"/>
        <v>163585</v>
      </c>
      <c r="N27" s="396">
        <f t="shared" si="2"/>
        <v>0</v>
      </c>
      <c r="O27" s="64">
        <f t="shared" si="11"/>
        <v>1869</v>
      </c>
      <c r="P27" s="589">
        <f t="shared" si="11"/>
        <v>1975</v>
      </c>
      <c r="Q27" s="589">
        <f t="shared" ref="Q27" si="121">Q26</f>
        <v>167024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2454</v>
      </c>
      <c r="Y27" s="52">
        <f t="shared" si="17"/>
        <v>0</v>
      </c>
      <c r="Z27" s="589">
        <f t="shared" si="16"/>
        <v>138028.1</v>
      </c>
      <c r="AA27" s="65">
        <f t="shared" si="5"/>
        <v>0</v>
      </c>
      <c r="AB27" s="284">
        <f t="shared" si="107"/>
        <v>0</v>
      </c>
      <c r="AC27" s="589">
        <f t="shared" ref="AC27:AE27" si="122">AC26</f>
        <v>1934</v>
      </c>
      <c r="AD27" s="45">
        <f t="shared" si="6"/>
        <v>0</v>
      </c>
      <c r="AE27" s="589">
        <f t="shared" si="122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23">AN26</f>
        <v>67</v>
      </c>
      <c r="AO27" s="320">
        <f>(AN27/100)*3000</f>
        <v>2010.0000000000002</v>
      </c>
      <c r="AP27" s="589">
        <f t="shared" si="123"/>
        <v>55</v>
      </c>
      <c r="AQ27" s="320">
        <f t="shared" si="115"/>
        <v>1650.0000000000002</v>
      </c>
      <c r="AR27" s="589">
        <f t="shared" ref="AR27" si="124">AR26</f>
        <v>61</v>
      </c>
      <c r="AS27" s="320">
        <f t="shared" si="37"/>
        <v>1830</v>
      </c>
      <c r="AT27" s="320">
        <f t="shared" si="11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59"/>
        <v>237</v>
      </c>
      <c r="C28" s="589">
        <f t="shared" si="59"/>
        <v>243</v>
      </c>
      <c r="D28" s="45">
        <f t="shared" si="93"/>
        <v>0</v>
      </c>
      <c r="E28" s="45">
        <f t="shared" si="8"/>
        <v>0</v>
      </c>
      <c r="F28" s="589">
        <f t="shared" si="29"/>
        <v>1727</v>
      </c>
      <c r="G28" s="52">
        <f t="shared" si="0"/>
        <v>0</v>
      </c>
      <c r="H28" s="589">
        <f t="shared" si="29"/>
        <v>4872</v>
      </c>
      <c r="I28" s="396">
        <f t="shared" si="1"/>
        <v>0</v>
      </c>
      <c r="J28" s="66">
        <f t="shared" si="9"/>
        <v>0</v>
      </c>
      <c r="K28" s="589">
        <f t="shared" si="40"/>
        <v>2225</v>
      </c>
      <c r="L28" s="52">
        <f t="shared" si="10"/>
        <v>0</v>
      </c>
      <c r="M28" s="589">
        <f t="shared" si="40"/>
        <v>163585</v>
      </c>
      <c r="N28" s="396">
        <f t="shared" si="2"/>
        <v>0</v>
      </c>
      <c r="O28" s="64">
        <f t="shared" si="11"/>
        <v>1869</v>
      </c>
      <c r="P28" s="589">
        <f t="shared" si="11"/>
        <v>1975</v>
      </c>
      <c r="Q28" s="589">
        <f t="shared" ref="Q28" si="125">Q27</f>
        <v>167024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2454</v>
      </c>
      <c r="Y28" s="52">
        <f t="shared" si="17"/>
        <v>0</v>
      </c>
      <c r="Z28" s="589">
        <f t="shared" si="16"/>
        <v>138028.1</v>
      </c>
      <c r="AA28" s="65">
        <f t="shared" si="5"/>
        <v>0</v>
      </c>
      <c r="AB28" s="284">
        <f t="shared" si="107"/>
        <v>0</v>
      </c>
      <c r="AC28" s="589">
        <f t="shared" ref="AC28:AE28" si="126">AC27</f>
        <v>1934</v>
      </c>
      <c r="AD28" s="45">
        <f t="shared" si="6"/>
        <v>0</v>
      </c>
      <c r="AE28" s="589">
        <f t="shared" si="126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7">AN27</f>
        <v>67</v>
      </c>
      <c r="AO28" s="320">
        <f t="shared" ref="AO28:AO32" si="128">(AN28/100)*3000</f>
        <v>2010.0000000000002</v>
      </c>
      <c r="AP28" s="589">
        <f t="shared" si="127"/>
        <v>55</v>
      </c>
      <c r="AQ28" s="320">
        <f t="shared" si="115"/>
        <v>1650.0000000000002</v>
      </c>
      <c r="AR28" s="589">
        <f t="shared" ref="AR28" si="129">AR27</f>
        <v>61</v>
      </c>
      <c r="AS28" s="320">
        <f t="shared" si="37"/>
        <v>1830</v>
      </c>
      <c r="AT28" s="320">
        <f t="shared" si="11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59"/>
        <v>237</v>
      </c>
      <c r="C29" s="589">
        <f t="shared" si="59"/>
        <v>243</v>
      </c>
      <c r="D29" s="45">
        <f t="shared" si="93"/>
        <v>0</v>
      </c>
      <c r="E29" s="45">
        <f t="shared" si="8"/>
        <v>0</v>
      </c>
      <c r="F29" s="589">
        <f t="shared" si="29"/>
        <v>1727</v>
      </c>
      <c r="G29" s="52">
        <f t="shared" si="0"/>
        <v>0</v>
      </c>
      <c r="H29" s="589">
        <f t="shared" si="29"/>
        <v>4872</v>
      </c>
      <c r="I29" s="396">
        <f t="shared" si="1"/>
        <v>0</v>
      </c>
      <c r="J29" s="66">
        <f t="shared" si="9"/>
        <v>0</v>
      </c>
      <c r="K29" s="589">
        <f t="shared" si="40"/>
        <v>2225</v>
      </c>
      <c r="L29" s="52">
        <f t="shared" si="10"/>
        <v>0</v>
      </c>
      <c r="M29" s="589">
        <f t="shared" si="40"/>
        <v>163585</v>
      </c>
      <c r="N29" s="396">
        <f t="shared" si="2"/>
        <v>0</v>
      </c>
      <c r="O29" s="64">
        <f t="shared" si="11"/>
        <v>1869</v>
      </c>
      <c r="P29" s="589">
        <f t="shared" si="11"/>
        <v>1975</v>
      </c>
      <c r="Q29" s="589">
        <f t="shared" ref="Q29" si="130">Q28</f>
        <v>167024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2454</v>
      </c>
      <c r="Y29" s="52">
        <f t="shared" si="17"/>
        <v>0</v>
      </c>
      <c r="Z29" s="589">
        <f t="shared" si="16"/>
        <v>138028.1</v>
      </c>
      <c r="AA29" s="65">
        <f t="shared" si="5"/>
        <v>0</v>
      </c>
      <c r="AB29" s="284">
        <f t="shared" si="107"/>
        <v>0</v>
      </c>
      <c r="AC29" s="589">
        <f t="shared" ref="AC29:AE29" si="131">AC28</f>
        <v>1934</v>
      </c>
      <c r="AD29" s="45">
        <f t="shared" si="6"/>
        <v>0</v>
      </c>
      <c r="AE29" s="589">
        <f t="shared" si="131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32">AN28</f>
        <v>67</v>
      </c>
      <c r="AO29" s="320">
        <f t="shared" si="128"/>
        <v>2010.0000000000002</v>
      </c>
      <c r="AP29" s="589">
        <f t="shared" si="132"/>
        <v>55</v>
      </c>
      <c r="AQ29" s="320">
        <f t="shared" si="115"/>
        <v>1650.0000000000002</v>
      </c>
      <c r="AR29" s="589">
        <f t="shared" ref="AR29" si="133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59"/>
        <v>237</v>
      </c>
      <c r="C30" s="589">
        <f t="shared" si="59"/>
        <v>243</v>
      </c>
      <c r="D30" s="45">
        <f t="shared" si="93"/>
        <v>0</v>
      </c>
      <c r="E30" s="45">
        <f t="shared" si="8"/>
        <v>0</v>
      </c>
      <c r="F30" s="589">
        <f t="shared" si="29"/>
        <v>1727</v>
      </c>
      <c r="G30" s="52">
        <f t="shared" si="0"/>
        <v>0</v>
      </c>
      <c r="H30" s="589">
        <f t="shared" si="29"/>
        <v>4872</v>
      </c>
      <c r="I30" s="396">
        <f t="shared" si="1"/>
        <v>0</v>
      </c>
      <c r="J30" s="66">
        <f t="shared" si="9"/>
        <v>0</v>
      </c>
      <c r="K30" s="589">
        <f t="shared" si="40"/>
        <v>2225</v>
      </c>
      <c r="L30" s="52">
        <f t="shared" si="10"/>
        <v>0</v>
      </c>
      <c r="M30" s="589">
        <f t="shared" si="40"/>
        <v>163585</v>
      </c>
      <c r="N30" s="396">
        <f t="shared" si="2"/>
        <v>0</v>
      </c>
      <c r="O30" s="64">
        <f t="shared" si="11"/>
        <v>1869</v>
      </c>
      <c r="P30" s="589">
        <f t="shared" si="11"/>
        <v>1975</v>
      </c>
      <c r="Q30" s="589">
        <f t="shared" ref="Q30" si="134">Q29</f>
        <v>167024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2454</v>
      </c>
      <c r="Y30" s="52">
        <f t="shared" si="17"/>
        <v>0</v>
      </c>
      <c r="Z30" s="589">
        <f t="shared" si="16"/>
        <v>138028.1</v>
      </c>
      <c r="AA30" s="65">
        <f t="shared" si="5"/>
        <v>0</v>
      </c>
      <c r="AB30" s="284">
        <f t="shared" si="107"/>
        <v>0</v>
      </c>
      <c r="AC30" s="589">
        <f t="shared" ref="AC30:AE30" si="135">AC29</f>
        <v>1934</v>
      </c>
      <c r="AD30" s="45">
        <f t="shared" si="6"/>
        <v>0</v>
      </c>
      <c r="AE30" s="589">
        <f t="shared" si="135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36">AN29</f>
        <v>67</v>
      </c>
      <c r="AO30" s="320">
        <f t="shared" si="128"/>
        <v>2010.0000000000002</v>
      </c>
      <c r="AP30" s="589">
        <f t="shared" si="136"/>
        <v>55</v>
      </c>
      <c r="AQ30" s="320">
        <f t="shared" si="115"/>
        <v>1650.0000000000002</v>
      </c>
      <c r="AR30" s="589">
        <f t="shared" ref="AR30" si="137">AR29</f>
        <v>61</v>
      </c>
      <c r="AS30" s="320">
        <f t="shared" si="37"/>
        <v>1830</v>
      </c>
      <c r="AT30" s="320">
        <f t="shared" si="11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59"/>
        <v>237</v>
      </c>
      <c r="C31" s="589">
        <f t="shared" si="59"/>
        <v>243</v>
      </c>
      <c r="D31" s="45">
        <f t="shared" si="93"/>
        <v>0</v>
      </c>
      <c r="E31" s="45">
        <f t="shared" si="8"/>
        <v>0</v>
      </c>
      <c r="F31" s="589">
        <f t="shared" si="29"/>
        <v>1727</v>
      </c>
      <c r="G31" s="52">
        <f t="shared" si="0"/>
        <v>0</v>
      </c>
      <c r="H31" s="589">
        <f t="shared" si="29"/>
        <v>4872</v>
      </c>
      <c r="I31" s="396">
        <f t="shared" si="1"/>
        <v>0</v>
      </c>
      <c r="J31" s="66">
        <f t="shared" si="9"/>
        <v>0</v>
      </c>
      <c r="K31" s="589">
        <f t="shared" si="40"/>
        <v>2225</v>
      </c>
      <c r="L31" s="52">
        <f t="shared" si="10"/>
        <v>0</v>
      </c>
      <c r="M31" s="589">
        <f t="shared" si="40"/>
        <v>163585</v>
      </c>
      <c r="N31" s="396">
        <f t="shared" si="2"/>
        <v>0</v>
      </c>
      <c r="O31" s="64">
        <f t="shared" si="11"/>
        <v>1869</v>
      </c>
      <c r="P31" s="589">
        <f t="shared" si="11"/>
        <v>1975</v>
      </c>
      <c r="Q31" s="589">
        <f t="shared" ref="Q31" si="138">Q30</f>
        <v>167024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2454</v>
      </c>
      <c r="Y31" s="52">
        <f t="shared" si="17"/>
        <v>0</v>
      </c>
      <c r="Z31" s="589">
        <f t="shared" si="16"/>
        <v>138028.1</v>
      </c>
      <c r="AA31" s="65">
        <f t="shared" si="5"/>
        <v>0</v>
      </c>
      <c r="AB31" s="284">
        <f t="shared" si="107"/>
        <v>0</v>
      </c>
      <c r="AC31" s="589">
        <f t="shared" ref="AC31:AE31" si="139">AC30</f>
        <v>1934</v>
      </c>
      <c r="AD31" s="269">
        <f t="shared" si="6"/>
        <v>0</v>
      </c>
      <c r="AE31" s="589">
        <f t="shared" si="139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40">AN30</f>
        <v>67</v>
      </c>
      <c r="AO31" s="320">
        <f t="shared" si="128"/>
        <v>2010.0000000000002</v>
      </c>
      <c r="AP31" s="589">
        <f t="shared" si="140"/>
        <v>55</v>
      </c>
      <c r="AQ31" s="320">
        <f t="shared" si="115"/>
        <v>1650.0000000000002</v>
      </c>
      <c r="AR31" s="589">
        <f t="shared" ref="AR31" si="141">AR30</f>
        <v>61</v>
      </c>
      <c r="AS31" s="320">
        <f t="shared" si="37"/>
        <v>1830</v>
      </c>
      <c r="AT31" s="320">
        <f t="shared" si="11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59"/>
        <v>237</v>
      </c>
      <c r="C32" s="589">
        <f t="shared" si="59"/>
        <v>243</v>
      </c>
      <c r="D32" s="45">
        <f t="shared" si="28"/>
        <v>0</v>
      </c>
      <c r="E32" s="45">
        <f t="shared" ref="E32" si="142">D32*8.38</f>
        <v>0</v>
      </c>
      <c r="F32" s="589">
        <f t="shared" si="29"/>
        <v>1727</v>
      </c>
      <c r="G32" s="52">
        <f t="shared" si="0"/>
        <v>0</v>
      </c>
      <c r="H32" s="589">
        <f t="shared" si="29"/>
        <v>4872</v>
      </c>
      <c r="I32" s="396">
        <f t="shared" si="1"/>
        <v>0</v>
      </c>
      <c r="J32" s="66">
        <f t="shared" si="9"/>
        <v>0</v>
      </c>
      <c r="K32" s="589">
        <f t="shared" si="40"/>
        <v>2225</v>
      </c>
      <c r="L32" s="52">
        <f t="shared" si="10"/>
        <v>0</v>
      </c>
      <c r="M32" s="589">
        <f t="shared" si="40"/>
        <v>163585</v>
      </c>
      <c r="N32" s="396">
        <f t="shared" si="2"/>
        <v>0</v>
      </c>
      <c r="O32" s="64">
        <f t="shared" si="11"/>
        <v>1869</v>
      </c>
      <c r="P32" s="589">
        <f t="shared" si="11"/>
        <v>1975</v>
      </c>
      <c r="Q32" s="589">
        <f t="shared" ref="Q32" si="143">Q31</f>
        <v>167024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2454</v>
      </c>
      <c r="Y32" s="52">
        <f t="shared" si="17"/>
        <v>0</v>
      </c>
      <c r="Z32" s="589">
        <f t="shared" si="16"/>
        <v>138028.1</v>
      </c>
      <c r="AA32" s="65">
        <f t="shared" si="5"/>
        <v>0</v>
      </c>
      <c r="AB32" s="284">
        <f t="shared" si="107"/>
        <v>0</v>
      </c>
      <c r="AC32" s="589">
        <f t="shared" ref="AC32:AE32" si="144">AC31</f>
        <v>1934</v>
      </c>
      <c r="AD32" s="269">
        <f t="shared" si="6"/>
        <v>0</v>
      </c>
      <c r="AE32" s="589">
        <f t="shared" si="144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45">AN31</f>
        <v>67</v>
      </c>
      <c r="AO32" s="320">
        <f t="shared" si="128"/>
        <v>2010.0000000000002</v>
      </c>
      <c r="AP32" s="589">
        <f t="shared" si="145"/>
        <v>55</v>
      </c>
      <c r="AQ32" s="320">
        <f t="shared" si="115"/>
        <v>1650.0000000000002</v>
      </c>
      <c r="AR32" s="589">
        <f t="shared" ref="AR32" si="146">AR31</f>
        <v>61</v>
      </c>
      <c r="AS32" s="320">
        <f t="shared" si="37"/>
        <v>1830</v>
      </c>
      <c r="AT32" s="320">
        <f t="shared" si="11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62.666666666666664</v>
      </c>
      <c r="V33" s="62">
        <f>SUM(V5:V32)</f>
        <v>2387</v>
      </c>
      <c r="AE33" s="71" t="s">
        <v>383</v>
      </c>
      <c r="AG33" s="344"/>
      <c r="AH33" s="62">
        <f>SUM(AH5:AH32)</f>
        <v>232</v>
      </c>
      <c r="AL33" s="62">
        <f>SUM(AL5:AL32)</f>
        <v>32</v>
      </c>
      <c r="AM33" s="62">
        <f>SUM(AM5:AM32)</f>
        <v>2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2619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F1" zoomScaleNormal="100" workbookViewId="0">
      <pane ySplit="3" topLeftCell="A7" activePane="bottomLeft" state="frozen"/>
      <selection pane="bottomLeft" activeCell="AY13" sqref="AY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7999862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6717</v>
      </c>
      <c r="L14" s="83">
        <f t="shared" si="33"/>
        <v>0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0</v>
      </c>
      <c r="AL14" s="327">
        <f t="shared" si="24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f t="shared" si="35"/>
        <v>126</v>
      </c>
      <c r="AW14" s="5">
        <v>2.9</v>
      </c>
      <c r="AX14" s="201">
        <f t="shared" ref="AX14" si="39">AX13</f>
        <v>140</v>
      </c>
      <c r="AY14" s="426">
        <f t="shared" si="7"/>
        <v>131.4</v>
      </c>
      <c r="AZ14" s="426">
        <f t="shared" si="26"/>
        <v>138.60000000000002</v>
      </c>
      <c r="BA14" s="426">
        <f t="shared" si="27"/>
        <v>406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6717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f t="shared" si="35"/>
        <v>126</v>
      </c>
      <c r="AW15" s="5">
        <v>2.9</v>
      </c>
      <c r="AX15" s="201">
        <f t="shared" ref="AX15" si="40">AX14</f>
        <v>140</v>
      </c>
      <c r="AY15" s="426">
        <f t="shared" si="7"/>
        <v>131.4</v>
      </c>
      <c r="AZ15" s="426">
        <f t="shared" si="26"/>
        <v>138.60000000000002</v>
      </c>
      <c r="BA15" s="426">
        <f t="shared" si="27"/>
        <v>406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6717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f t="shared" si="35"/>
        <v>126</v>
      </c>
      <c r="AW16" s="5">
        <v>2.9</v>
      </c>
      <c r="AX16" s="201">
        <f t="shared" ref="AX16" si="41">AX15</f>
        <v>140</v>
      </c>
      <c r="AY16" s="426">
        <f t="shared" si="7"/>
        <v>131.4</v>
      </c>
      <c r="AZ16" s="426">
        <f t="shared" si="26"/>
        <v>138.60000000000002</v>
      </c>
      <c r="BA16" s="426">
        <f t="shared" si="27"/>
        <v>406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6717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f t="shared" si="35"/>
        <v>126</v>
      </c>
      <c r="AW17" s="5">
        <v>2.9</v>
      </c>
      <c r="AX17" s="201">
        <f t="shared" ref="AX17" si="42">AX16</f>
        <v>140</v>
      </c>
      <c r="AY17" s="426">
        <f t="shared" si="7"/>
        <v>131.4</v>
      </c>
      <c r="AZ17" s="426">
        <f t="shared" si="26"/>
        <v>138.60000000000002</v>
      </c>
      <c r="BA17" s="426">
        <f t="shared" si="27"/>
        <v>406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6717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f t="shared" si="17"/>
        <v>150077</v>
      </c>
      <c r="Y18" s="324">
        <f t="shared" si="34"/>
        <v>0</v>
      </c>
      <c r="Z18" s="5">
        <f t="shared" si="17"/>
        <v>98262</v>
      </c>
      <c r="AA18" s="83">
        <f t="shared" si="19"/>
        <v>0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0</v>
      </c>
      <c r="AK18" s="327">
        <f>SUM(Y18-L18)</f>
        <v>0</v>
      </c>
      <c r="AL18" s="327">
        <f t="shared" si="24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f t="shared" si="6"/>
        <v>146</v>
      </c>
      <c r="AU18" s="425">
        <f t="shared" si="35"/>
        <v>1.1000000000000001</v>
      </c>
      <c r="AV18" s="201">
        <f t="shared" si="35"/>
        <v>126</v>
      </c>
      <c r="AW18" s="5">
        <v>2.9</v>
      </c>
      <c r="AX18" s="201">
        <f t="shared" ref="AX18" si="43">AX17</f>
        <v>140</v>
      </c>
      <c r="AY18" s="426">
        <f t="shared" si="7"/>
        <v>131.4</v>
      </c>
      <c r="AZ18" s="426">
        <f t="shared" si="26"/>
        <v>138.60000000000002</v>
      </c>
      <c r="BA18" s="426">
        <f t="shared" si="27"/>
        <v>406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f t="shared" si="13"/>
        <v>615374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6717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150077</v>
      </c>
      <c r="Y19" s="324">
        <f t="shared" si="34"/>
        <v>0</v>
      </c>
      <c r="Z19" s="5">
        <f t="shared" si="17"/>
        <v>98262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f t="shared" si="6"/>
        <v>146</v>
      </c>
      <c r="AU19" s="425">
        <f t="shared" si="35"/>
        <v>1.1000000000000001</v>
      </c>
      <c r="AV19" s="201">
        <f t="shared" si="35"/>
        <v>126</v>
      </c>
      <c r="AW19" s="5">
        <v>2.9</v>
      </c>
      <c r="AX19" s="201">
        <f t="shared" ref="AX19" si="44">AX18</f>
        <v>140</v>
      </c>
      <c r="AY19" s="426">
        <f t="shared" ref="AY19:AY21" si="45">AS19*AT19</f>
        <v>131.4</v>
      </c>
      <c r="AZ19" s="426">
        <f t="shared" ref="AZ19:AZ21" si="46">AU19*AV19</f>
        <v>138.60000000000002</v>
      </c>
      <c r="BA19" s="426">
        <f t="shared" ref="BA19:BA21" si="47">AW19*AX19</f>
        <v>406</v>
      </c>
      <c r="BB19" s="21">
        <f t="shared" ref="BB19:BB20" si="48">AY19-AY18</f>
        <v>0</v>
      </c>
      <c r="BC19" s="21">
        <f t="shared" ref="BC19:BC20" si="49">AZ19-AZ18</f>
        <v>0</v>
      </c>
      <c r="BD19" s="21">
        <f t="shared" ref="BD19:BD20" si="50">BA19-BA18</f>
        <v>0</v>
      </c>
      <c r="BE19" s="24">
        <f t="shared" ref="BE19:BE20" si="51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615374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6717</v>
      </c>
      <c r="L20" s="83">
        <f t="shared" si="33"/>
        <v>0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150077</v>
      </c>
      <c r="Y20" s="324">
        <f t="shared" si="34"/>
        <v>0</v>
      </c>
      <c r="Z20" s="5">
        <f t="shared" si="17"/>
        <v>98262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0</v>
      </c>
      <c r="AL20" s="327">
        <f t="shared" si="24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146</v>
      </c>
      <c r="AU20" s="425">
        <f t="shared" si="35"/>
        <v>1.1000000000000001</v>
      </c>
      <c r="AV20" s="201">
        <f t="shared" si="35"/>
        <v>126</v>
      </c>
      <c r="AW20" s="5">
        <v>2.9</v>
      </c>
      <c r="AX20" s="201">
        <f t="shared" ref="AX20" si="52">AX19</f>
        <v>140</v>
      </c>
      <c r="AY20" s="426">
        <f t="shared" si="45"/>
        <v>131.4</v>
      </c>
      <c r="AZ20" s="426">
        <f t="shared" si="46"/>
        <v>138.60000000000002</v>
      </c>
      <c r="BA20" s="426">
        <f t="shared" si="47"/>
        <v>406</v>
      </c>
      <c r="BB20" s="21">
        <f t="shared" si="48"/>
        <v>0</v>
      </c>
      <c r="BC20" s="21">
        <f t="shared" si="49"/>
        <v>0</v>
      </c>
      <c r="BD20" s="21">
        <f t="shared" si="50"/>
        <v>0</v>
      </c>
      <c r="BE20" s="24">
        <f t="shared" si="51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f t="shared" si="13"/>
        <v>615374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6717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f t="shared" si="17"/>
        <v>150077</v>
      </c>
      <c r="Y21" s="324">
        <f>SUM(X21-X20)</f>
        <v>0</v>
      </c>
      <c r="Z21" s="5">
        <f t="shared" si="17"/>
        <v>98262</v>
      </c>
      <c r="AA21" s="83">
        <f t="shared" si="19"/>
        <v>0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0</v>
      </c>
      <c r="AK21" s="327">
        <f>SUM(Y21-L21)</f>
        <v>0</v>
      </c>
      <c r="AL21" s="327">
        <f t="shared" si="24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146</v>
      </c>
      <c r="AU21" s="425">
        <f t="shared" si="35"/>
        <v>1.1000000000000001</v>
      </c>
      <c r="AV21" s="201">
        <f t="shared" si="35"/>
        <v>126</v>
      </c>
      <c r="AW21" s="5">
        <v>2.9</v>
      </c>
      <c r="AX21" s="201">
        <f t="shared" ref="AX21" si="53">AX20</f>
        <v>140</v>
      </c>
      <c r="AY21" s="426">
        <f t="shared" si="45"/>
        <v>131.4</v>
      </c>
      <c r="AZ21" s="426">
        <f t="shared" si="46"/>
        <v>138.60000000000002</v>
      </c>
      <c r="BA21" s="426">
        <f t="shared" si="47"/>
        <v>406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615374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6717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150077</v>
      </c>
      <c r="Y22" s="324">
        <f t="shared" si="34"/>
        <v>0</v>
      </c>
      <c r="Z22" s="5">
        <f t="shared" si="17"/>
        <v>98262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54">AS21</f>
        <v>0.9</v>
      </c>
      <c r="AT22" s="201">
        <f t="shared" si="54"/>
        <v>146</v>
      </c>
      <c r="AU22" s="425">
        <f t="shared" si="35"/>
        <v>1.1000000000000001</v>
      </c>
      <c r="AV22" s="201">
        <f t="shared" si="35"/>
        <v>126</v>
      </c>
      <c r="AW22" s="5">
        <v>2.9</v>
      </c>
      <c r="AX22" s="201">
        <f t="shared" ref="AX22" si="55">AX21</f>
        <v>140</v>
      </c>
      <c r="AY22" s="426">
        <f t="shared" si="7"/>
        <v>131.4</v>
      </c>
      <c r="AZ22" s="426">
        <f t="shared" si="26"/>
        <v>138.60000000000002</v>
      </c>
      <c r="BA22" s="426">
        <f t="shared" si="27"/>
        <v>406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615374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6717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150077</v>
      </c>
      <c r="Y23" s="324">
        <f t="shared" si="34"/>
        <v>0</v>
      </c>
      <c r="Z23" s="5">
        <f t="shared" si="17"/>
        <v>98262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54"/>
        <v>0.9</v>
      </c>
      <c r="AT23" s="201">
        <f t="shared" si="54"/>
        <v>146</v>
      </c>
      <c r="AU23" s="425">
        <f t="shared" si="35"/>
        <v>1.1000000000000001</v>
      </c>
      <c r="AV23" s="201">
        <f t="shared" si="35"/>
        <v>126</v>
      </c>
      <c r="AW23" s="5">
        <v>2.9</v>
      </c>
      <c r="AX23" s="201">
        <f t="shared" ref="AX23" si="56">AX22</f>
        <v>140</v>
      </c>
      <c r="AY23" s="426">
        <f t="shared" si="7"/>
        <v>131.4</v>
      </c>
      <c r="AZ23" s="426">
        <f t="shared" si="26"/>
        <v>138.60000000000002</v>
      </c>
      <c r="BA23" s="426">
        <f t="shared" si="27"/>
        <v>406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615374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-4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150077</v>
      </c>
      <c r="Y24" s="324">
        <f t="shared" si="34"/>
        <v>0</v>
      </c>
      <c r="Z24" s="5">
        <f t="shared" si="17"/>
        <v>98262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4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54"/>
        <v>0.9</v>
      </c>
      <c r="AT24" s="201">
        <f t="shared" si="54"/>
        <v>146</v>
      </c>
      <c r="AU24" s="425">
        <f t="shared" si="35"/>
        <v>1.1000000000000001</v>
      </c>
      <c r="AV24" s="201">
        <f t="shared" si="35"/>
        <v>126</v>
      </c>
      <c r="AW24" s="5">
        <v>2.9</v>
      </c>
      <c r="AX24" s="201">
        <f t="shared" ref="AX24" si="57">AX23</f>
        <v>140</v>
      </c>
      <c r="AY24" s="426">
        <f t="shared" si="7"/>
        <v>131.4</v>
      </c>
      <c r="AZ24" s="426">
        <f t="shared" si="26"/>
        <v>138.60000000000002</v>
      </c>
      <c r="BA24" s="426">
        <f t="shared" si="27"/>
        <v>406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615374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6717</v>
      </c>
      <c r="L25" s="274">
        <f t="shared" si="33"/>
        <v>4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150077</v>
      </c>
      <c r="Y25" s="324">
        <f t="shared" si="34"/>
        <v>0</v>
      </c>
      <c r="Z25" s="5">
        <f t="shared" si="17"/>
        <v>98262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-4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54"/>
        <v>0.9</v>
      </c>
      <c r="AT25" s="201">
        <f t="shared" si="54"/>
        <v>146</v>
      </c>
      <c r="AU25" s="425">
        <f t="shared" si="35"/>
        <v>1.1000000000000001</v>
      </c>
      <c r="AV25" s="201">
        <f t="shared" si="35"/>
        <v>126</v>
      </c>
      <c r="AW25" s="5">
        <v>2.9</v>
      </c>
      <c r="AX25" s="201">
        <f t="shared" ref="AX25" si="58">AX24</f>
        <v>140</v>
      </c>
      <c r="AY25" s="426">
        <f t="shared" si="7"/>
        <v>131.4</v>
      </c>
      <c r="AZ25" s="426">
        <f t="shared" si="26"/>
        <v>138.60000000000002</v>
      </c>
      <c r="BA25" s="426">
        <f t="shared" si="27"/>
        <v>406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615374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6717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150077</v>
      </c>
      <c r="Y26" s="324">
        <f t="shared" si="34"/>
        <v>0</v>
      </c>
      <c r="Z26" s="5">
        <f t="shared" si="17"/>
        <v>98262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54"/>
        <v>0.9</v>
      </c>
      <c r="AT26" s="201">
        <f t="shared" si="54"/>
        <v>146</v>
      </c>
      <c r="AU26" s="425">
        <f t="shared" si="35"/>
        <v>1.1000000000000001</v>
      </c>
      <c r="AV26" s="201">
        <f t="shared" si="35"/>
        <v>126</v>
      </c>
      <c r="AW26" s="5">
        <v>2.9</v>
      </c>
      <c r="AX26" s="201">
        <f t="shared" ref="AX26" si="59">AX25</f>
        <v>140</v>
      </c>
      <c r="AY26" s="426">
        <f t="shared" si="7"/>
        <v>131.4</v>
      </c>
      <c r="AZ26" s="426">
        <f t="shared" si="26"/>
        <v>138.60000000000002</v>
      </c>
      <c r="BA26" s="426">
        <f t="shared" si="27"/>
        <v>406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615374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6717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150077</v>
      </c>
      <c r="Y27" s="324">
        <f>SUM(X27-X26)</f>
        <v>0</v>
      </c>
      <c r="Z27" s="5">
        <f t="shared" si="17"/>
        <v>98262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54"/>
        <v>0.9</v>
      </c>
      <c r="AT27" s="201">
        <f t="shared" si="54"/>
        <v>146</v>
      </c>
      <c r="AU27" s="425">
        <f t="shared" si="35"/>
        <v>1.1000000000000001</v>
      </c>
      <c r="AV27" s="201">
        <f t="shared" si="35"/>
        <v>126</v>
      </c>
      <c r="AW27" s="5">
        <v>2.9</v>
      </c>
      <c r="AX27" s="201">
        <f t="shared" ref="AX27" si="60">AX26</f>
        <v>140</v>
      </c>
      <c r="AY27" s="426">
        <f t="shared" si="7"/>
        <v>131.4</v>
      </c>
      <c r="AZ27" s="426">
        <f t="shared" si="26"/>
        <v>138.60000000000002</v>
      </c>
      <c r="BA27" s="426">
        <f t="shared" si="27"/>
        <v>406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615374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6717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150077</v>
      </c>
      <c r="Y28" s="324">
        <f t="shared" si="34"/>
        <v>0</v>
      </c>
      <c r="Z28" s="5">
        <f t="shared" si="17"/>
        <v>98262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54"/>
        <v>0.9</v>
      </c>
      <c r="AT28" s="201">
        <f t="shared" si="54"/>
        <v>146</v>
      </c>
      <c r="AU28" s="425">
        <f t="shared" si="35"/>
        <v>1.1000000000000001</v>
      </c>
      <c r="AV28" s="201">
        <f t="shared" si="35"/>
        <v>126</v>
      </c>
      <c r="AW28" s="5">
        <v>2.9</v>
      </c>
      <c r="AX28" s="201">
        <f t="shared" ref="AX28" si="61">AX27</f>
        <v>140</v>
      </c>
      <c r="AY28" s="426">
        <f t="shared" si="7"/>
        <v>131.4</v>
      </c>
      <c r="AZ28" s="426">
        <f t="shared" si="26"/>
        <v>138.60000000000002</v>
      </c>
      <c r="BA28" s="426">
        <f t="shared" si="27"/>
        <v>406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615374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6717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150077</v>
      </c>
      <c r="Y29" s="324">
        <f t="shared" si="34"/>
        <v>0</v>
      </c>
      <c r="Z29" s="5">
        <f t="shared" si="17"/>
        <v>98262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54"/>
        <v>0.9</v>
      </c>
      <c r="AT29" s="201">
        <f t="shared" si="54"/>
        <v>146</v>
      </c>
      <c r="AU29" s="425">
        <f t="shared" si="35"/>
        <v>1.1000000000000001</v>
      </c>
      <c r="AV29" s="201">
        <f t="shared" si="35"/>
        <v>126</v>
      </c>
      <c r="AW29" s="5">
        <v>2.9</v>
      </c>
      <c r="AX29" s="201">
        <f t="shared" ref="AX29" si="62">AX28</f>
        <v>140</v>
      </c>
      <c r="AY29" s="426">
        <f t="shared" si="7"/>
        <v>131.4</v>
      </c>
      <c r="AZ29" s="426">
        <f t="shared" si="26"/>
        <v>138.60000000000002</v>
      </c>
      <c r="BA29" s="426">
        <f t="shared" si="27"/>
        <v>406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615374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6717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150077</v>
      </c>
      <c r="Y30" s="324">
        <f t="shared" si="34"/>
        <v>0</v>
      </c>
      <c r="Z30" s="5">
        <f t="shared" si="17"/>
        <v>98262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54"/>
        <v>0.9</v>
      </c>
      <c r="AT30" s="201">
        <f t="shared" si="54"/>
        <v>146</v>
      </c>
      <c r="AU30" s="425">
        <f t="shared" si="35"/>
        <v>1.1000000000000001</v>
      </c>
      <c r="AV30" s="201">
        <f t="shared" si="35"/>
        <v>126</v>
      </c>
      <c r="AW30" s="5">
        <v>2.9</v>
      </c>
      <c r="AX30" s="201">
        <f t="shared" ref="AX30" si="63">AX29</f>
        <v>140</v>
      </c>
      <c r="AY30" s="426">
        <f t="shared" si="7"/>
        <v>131.4</v>
      </c>
      <c r="AZ30" s="426">
        <f t="shared" si="26"/>
        <v>138.60000000000002</v>
      </c>
      <c r="BA30" s="426">
        <f t="shared" si="27"/>
        <v>406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615374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6717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150077</v>
      </c>
      <c r="Y31" s="324">
        <f t="shared" si="34"/>
        <v>0</v>
      </c>
      <c r="Z31" s="5">
        <f t="shared" si="17"/>
        <v>98262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54"/>
        <v>0.9</v>
      </c>
      <c r="AT31" s="201">
        <f t="shared" si="54"/>
        <v>146</v>
      </c>
      <c r="AU31" s="425">
        <f t="shared" si="35"/>
        <v>1.1000000000000001</v>
      </c>
      <c r="AV31" s="201">
        <f t="shared" si="35"/>
        <v>126</v>
      </c>
      <c r="AW31" s="5">
        <v>2.9</v>
      </c>
      <c r="AX31" s="201">
        <f t="shared" ref="AX31" si="64">AX30</f>
        <v>140</v>
      </c>
      <c r="AY31" s="426">
        <f t="shared" si="7"/>
        <v>131.4</v>
      </c>
      <c r="AZ31" s="426">
        <f t="shared" si="26"/>
        <v>138.60000000000002</v>
      </c>
      <c r="BA31" s="426">
        <f t="shared" si="27"/>
        <v>406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615374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6717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150077</v>
      </c>
      <c r="Y32" s="324">
        <f t="shared" si="34"/>
        <v>0</v>
      </c>
      <c r="Z32" s="5">
        <f t="shared" si="17"/>
        <v>98262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54"/>
        <v>0.9</v>
      </c>
      <c r="AT32" s="201">
        <f t="shared" si="54"/>
        <v>146</v>
      </c>
      <c r="AU32" s="425">
        <f t="shared" si="35"/>
        <v>1.1000000000000001</v>
      </c>
      <c r="AV32" s="201">
        <f t="shared" si="35"/>
        <v>126</v>
      </c>
      <c r="AW32" s="5">
        <v>2.9</v>
      </c>
      <c r="AX32" s="201">
        <f t="shared" ref="AX32" si="65">AX31</f>
        <v>140</v>
      </c>
      <c r="AY32" s="426">
        <f t="shared" si="7"/>
        <v>131.4</v>
      </c>
      <c r="AZ32" s="426">
        <f t="shared" si="26"/>
        <v>138.60000000000002</v>
      </c>
      <c r="BA32" s="426">
        <f t="shared" si="27"/>
        <v>406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615374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6717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150077</v>
      </c>
      <c r="Y33" s="324">
        <f t="shared" si="34"/>
        <v>0</v>
      </c>
      <c r="Z33" s="5">
        <f t="shared" si="17"/>
        <v>98262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54"/>
        <v>0.9</v>
      </c>
      <c r="AT33" s="201">
        <f t="shared" si="54"/>
        <v>146</v>
      </c>
      <c r="AU33" s="425">
        <f t="shared" si="35"/>
        <v>1.1000000000000001</v>
      </c>
      <c r="AV33" s="201">
        <f t="shared" si="35"/>
        <v>126</v>
      </c>
      <c r="AW33" s="5">
        <v>2.9</v>
      </c>
      <c r="AX33" s="201">
        <f t="shared" ref="AX33" si="66">AX32</f>
        <v>140</v>
      </c>
      <c r="AY33" s="426">
        <f t="shared" si="7"/>
        <v>131.4</v>
      </c>
      <c r="AZ33" s="426">
        <f t="shared" si="26"/>
        <v>138.60000000000002</v>
      </c>
      <c r="BA33" s="426">
        <f t="shared" si="27"/>
        <v>406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0</v>
      </c>
      <c r="I34" s="412">
        <f>SUM(I6:I33)</f>
        <v>0</v>
      </c>
      <c r="L34" s="268">
        <f>SUM(L7:L33)</f>
        <v>1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0</v>
      </c>
      <c r="AK34" s="327" t="e">
        <f>SUM(Y34-L34)</f>
        <v>#REF!</v>
      </c>
      <c r="AL34" s="322">
        <f>SUM(AL6:AL33)</f>
        <v>-1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 t="e">
        <f>SUM('General information '!G34/WATER!I34)</f>
        <v>#DIV/0!</v>
      </c>
      <c r="L35" s="157"/>
      <c r="O35" s="492">
        <f>SUM(Q34+I34)</f>
        <v>0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0</v>
      </c>
      <c r="H36" s="1">
        <f>SUM(H35+C35)</f>
        <v>7500</v>
      </c>
      <c r="K36" s="1" t="e">
        <f>SUM(H36/G36)</f>
        <v>#DIV/0!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zoomScaleNormal="100" workbookViewId="0">
      <pane ySplit="4" topLeftCell="A5" activePane="bottomLeft" state="frozen"/>
      <selection pane="bottomLeft" activeCell="G13" sqref="G1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18.5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E1" activePane="topRight" state="frozen"/>
      <selection pane="topRight" activeCell="AU18" sqref="AU1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237</v>
      </c>
      <c r="C14" s="203">
        <f t="shared" si="18"/>
        <v>5099.322580645161</v>
      </c>
      <c r="D14">
        <f t="shared" si="19"/>
        <v>237</v>
      </c>
      <c r="E14" s="203">
        <f t="shared" si="18"/>
        <v>5099.322580645161</v>
      </c>
      <c r="F14">
        <f t="shared" si="20"/>
        <v>237</v>
      </c>
      <c r="G14" s="203">
        <f t="shared" si="1"/>
        <v>5099.322580645161</v>
      </c>
      <c r="H14" s="203">
        <f t="shared" si="21"/>
        <v>237</v>
      </c>
      <c r="I14" s="203">
        <f t="shared" si="2"/>
        <v>5099.322580645161</v>
      </c>
      <c r="J14" s="203">
        <f t="shared" si="22"/>
        <v>237</v>
      </c>
      <c r="K14" s="203">
        <f t="shared" si="3"/>
        <v>5099.322580645161</v>
      </c>
      <c r="L14" s="203">
        <f t="shared" si="23"/>
        <v>237</v>
      </c>
      <c r="M14" s="203">
        <f t="shared" si="4"/>
        <v>5099.322580645161</v>
      </c>
      <c r="N14" s="203">
        <f t="shared" si="24"/>
        <v>237</v>
      </c>
      <c r="O14" s="203">
        <f t="shared" si="5"/>
        <v>5099.322580645161</v>
      </c>
      <c r="P14" s="203">
        <f t="shared" si="25"/>
        <v>237</v>
      </c>
      <c r="Q14" s="203">
        <f t="shared" si="6"/>
        <v>5099.322580645161</v>
      </c>
      <c r="R14" s="203">
        <f t="shared" si="26"/>
        <v>237</v>
      </c>
      <c r="S14" s="203">
        <f t="shared" si="7"/>
        <v>5099.322580645161</v>
      </c>
      <c r="T14" s="203">
        <f t="shared" si="27"/>
        <v>237</v>
      </c>
      <c r="U14" s="203">
        <f t="shared" si="8"/>
        <v>5099.322580645161</v>
      </c>
      <c r="V14" s="203">
        <f t="shared" si="28"/>
        <v>237</v>
      </c>
      <c r="W14" s="203">
        <f t="shared" si="9"/>
        <v>5099.322580645161</v>
      </c>
      <c r="X14" s="35">
        <f t="shared" si="10"/>
        <v>0.76451612903225785</v>
      </c>
      <c r="Y14" s="36">
        <f t="shared" si="29"/>
        <v>56092.548387096758</v>
      </c>
      <c r="Z14" s="203">
        <f>'B5'!C13</f>
        <v>243</v>
      </c>
      <c r="AA14" s="203">
        <f t="shared" si="30"/>
        <v>2430</v>
      </c>
      <c r="AB14" s="203">
        <f t="shared" si="31"/>
        <v>243</v>
      </c>
      <c r="AC14" s="203">
        <f t="shared" si="30"/>
        <v>2430</v>
      </c>
      <c r="AD14" s="203">
        <f t="shared" si="32"/>
        <v>243</v>
      </c>
      <c r="AE14" s="203">
        <f t="shared" si="11"/>
        <v>2430</v>
      </c>
      <c r="AF14" s="203">
        <f t="shared" si="33"/>
        <v>243</v>
      </c>
      <c r="AG14" s="203">
        <f t="shared" si="12"/>
        <v>2430</v>
      </c>
      <c r="AH14" s="203">
        <f t="shared" si="34"/>
        <v>243</v>
      </c>
      <c r="AI14" s="203">
        <f t="shared" si="13"/>
        <v>2430</v>
      </c>
      <c r="AJ14" s="203">
        <f t="shared" si="35"/>
        <v>243</v>
      </c>
      <c r="AK14" s="203">
        <f t="shared" si="14"/>
        <v>2430</v>
      </c>
      <c r="AL14" s="203">
        <f t="shared" si="36"/>
        <v>243</v>
      </c>
      <c r="AM14" s="203">
        <f t="shared" si="15"/>
        <v>2430</v>
      </c>
      <c r="AN14" s="35">
        <f t="shared" si="16"/>
        <v>0.86785714285714288</v>
      </c>
      <c r="AO14" s="36">
        <f t="shared" si="17"/>
        <v>17010</v>
      </c>
      <c r="AQ14" s="223">
        <f t="shared" si="37"/>
        <v>0.78630255337309629</v>
      </c>
      <c r="AR14" s="38">
        <f t="shared" si="41"/>
        <v>73102.548387096758</v>
      </c>
      <c r="AS14" s="197">
        <f>SUM(AR14-AR13-AT14)</f>
        <v>0</v>
      </c>
      <c r="AT14" s="271"/>
      <c r="AU14" s="478"/>
      <c r="AV14" s="518">
        <f t="shared" si="42"/>
        <v>0.67400000000000004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237</v>
      </c>
      <c r="C15" s="203">
        <f t="shared" si="18"/>
        <v>5099.322580645161</v>
      </c>
      <c r="D15">
        <f t="shared" si="19"/>
        <v>237</v>
      </c>
      <c r="E15" s="203">
        <f t="shared" si="18"/>
        <v>5099.322580645161</v>
      </c>
      <c r="F15">
        <f t="shared" si="20"/>
        <v>237</v>
      </c>
      <c r="G15" s="203">
        <f t="shared" si="1"/>
        <v>5099.322580645161</v>
      </c>
      <c r="H15" s="203">
        <f t="shared" si="21"/>
        <v>237</v>
      </c>
      <c r="I15" s="203">
        <f t="shared" si="2"/>
        <v>5099.322580645161</v>
      </c>
      <c r="J15" s="203">
        <f t="shared" si="22"/>
        <v>237</v>
      </c>
      <c r="K15" s="203">
        <f t="shared" si="3"/>
        <v>5099.322580645161</v>
      </c>
      <c r="L15" s="203">
        <f t="shared" si="23"/>
        <v>237</v>
      </c>
      <c r="M15" s="203">
        <f t="shared" si="4"/>
        <v>5099.322580645161</v>
      </c>
      <c r="N15" s="203">
        <f t="shared" si="24"/>
        <v>237</v>
      </c>
      <c r="O15" s="203">
        <f t="shared" si="5"/>
        <v>5099.322580645161</v>
      </c>
      <c r="P15" s="203">
        <f t="shared" si="25"/>
        <v>237</v>
      </c>
      <c r="Q15" s="203">
        <f t="shared" si="6"/>
        <v>5099.322580645161</v>
      </c>
      <c r="R15" s="203">
        <f t="shared" si="26"/>
        <v>237</v>
      </c>
      <c r="S15" s="203">
        <f t="shared" si="7"/>
        <v>5099.322580645161</v>
      </c>
      <c r="T15" s="203">
        <f t="shared" si="27"/>
        <v>237</v>
      </c>
      <c r="U15" s="203">
        <f t="shared" si="8"/>
        <v>5099.322580645161</v>
      </c>
      <c r="V15" s="203">
        <f t="shared" si="28"/>
        <v>237</v>
      </c>
      <c r="W15" s="203">
        <f t="shared" si="9"/>
        <v>5099.322580645161</v>
      </c>
      <c r="X15" s="35">
        <f t="shared" si="10"/>
        <v>0.76451612903225785</v>
      </c>
      <c r="Y15" s="36">
        <f t="shared" si="29"/>
        <v>56092.548387096758</v>
      </c>
      <c r="Z15" s="203">
        <f>'B5'!C14</f>
        <v>243</v>
      </c>
      <c r="AA15" s="203">
        <f t="shared" si="30"/>
        <v>2430</v>
      </c>
      <c r="AB15" s="203">
        <f t="shared" si="31"/>
        <v>243</v>
      </c>
      <c r="AC15" s="203">
        <f t="shared" si="30"/>
        <v>2430</v>
      </c>
      <c r="AD15" s="203">
        <f t="shared" si="32"/>
        <v>243</v>
      </c>
      <c r="AE15" s="203">
        <f t="shared" si="11"/>
        <v>2430</v>
      </c>
      <c r="AF15" s="203">
        <f t="shared" si="33"/>
        <v>243</v>
      </c>
      <c r="AG15" s="203">
        <f t="shared" si="12"/>
        <v>2430</v>
      </c>
      <c r="AH15" s="203">
        <f t="shared" si="34"/>
        <v>243</v>
      </c>
      <c r="AI15" s="203">
        <f t="shared" si="13"/>
        <v>2430</v>
      </c>
      <c r="AJ15" s="203">
        <f t="shared" si="35"/>
        <v>243</v>
      </c>
      <c r="AK15" s="203">
        <f t="shared" si="14"/>
        <v>2430</v>
      </c>
      <c r="AL15" s="203">
        <f t="shared" si="36"/>
        <v>243</v>
      </c>
      <c r="AM15" s="203">
        <f t="shared" si="15"/>
        <v>2430</v>
      </c>
      <c r="AN15" s="35">
        <f t="shared" si="16"/>
        <v>0.86785714285714288</v>
      </c>
      <c r="AO15" s="36">
        <f t="shared" si="17"/>
        <v>17010</v>
      </c>
      <c r="AQ15" s="223">
        <f t="shared" si="37"/>
        <v>0.78630255337309629</v>
      </c>
      <c r="AR15" s="38">
        <f t="shared" si="41"/>
        <v>73102.548387096758</v>
      </c>
      <c r="AS15" s="197">
        <f>SUM(AR15-AR14-AT15)</f>
        <v>0</v>
      </c>
      <c r="AT15" s="271"/>
      <c r="AU15" s="436"/>
      <c r="AV15" s="518">
        <f>IF(AT15&gt;0,AU15,AV14)</f>
        <v>0.67400000000000004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243</v>
      </c>
      <c r="AA16" s="203">
        <f t="shared" si="30"/>
        <v>2430</v>
      </c>
      <c r="AB16" s="203">
        <f t="shared" si="31"/>
        <v>243</v>
      </c>
      <c r="AC16" s="203">
        <f t="shared" si="30"/>
        <v>2430</v>
      </c>
      <c r="AD16" s="203">
        <f t="shared" si="32"/>
        <v>243</v>
      </c>
      <c r="AE16" s="203">
        <f t="shared" si="11"/>
        <v>2430</v>
      </c>
      <c r="AF16" s="203">
        <f t="shared" si="33"/>
        <v>243</v>
      </c>
      <c r="AG16" s="203">
        <f t="shared" si="12"/>
        <v>2430</v>
      </c>
      <c r="AH16" s="203">
        <f t="shared" si="34"/>
        <v>243</v>
      </c>
      <c r="AI16" s="203">
        <f t="shared" si="13"/>
        <v>2430</v>
      </c>
      <c r="AJ16" s="203">
        <f t="shared" si="35"/>
        <v>243</v>
      </c>
      <c r="AK16" s="203">
        <f t="shared" si="14"/>
        <v>2430</v>
      </c>
      <c r="AL16" s="203">
        <f t="shared" si="36"/>
        <v>243</v>
      </c>
      <c r="AM16" s="203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3">
        <f t="shared" si="37"/>
        <v>0.78630255337309629</v>
      </c>
      <c r="AR16" s="38">
        <f t="shared" si="41"/>
        <v>73102.548387096758</v>
      </c>
      <c r="AS16" s="197">
        <f>SUM(AR16-AR15-AT16)</f>
        <v>0</v>
      </c>
      <c r="AT16" s="355"/>
      <c r="AU16" s="436"/>
      <c r="AV16" s="518">
        <f>IF(AT16&gt;0,AU16,AV15)</f>
        <v>0.67400000000000004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237</v>
      </c>
      <c r="C17" s="203">
        <f t="shared" si="18"/>
        <v>5099.322580645161</v>
      </c>
      <c r="D17">
        <f t="shared" si="19"/>
        <v>237</v>
      </c>
      <c r="E17" s="203">
        <f t="shared" si="18"/>
        <v>5099.322580645161</v>
      </c>
      <c r="F17">
        <f t="shared" si="20"/>
        <v>237</v>
      </c>
      <c r="G17" s="203">
        <f t="shared" si="1"/>
        <v>5099.322580645161</v>
      </c>
      <c r="H17" s="203">
        <f t="shared" si="21"/>
        <v>237</v>
      </c>
      <c r="I17" s="203">
        <f t="shared" si="2"/>
        <v>5099.322580645161</v>
      </c>
      <c r="J17" s="203">
        <f t="shared" si="22"/>
        <v>237</v>
      </c>
      <c r="K17" s="203">
        <f t="shared" si="3"/>
        <v>5099.322580645161</v>
      </c>
      <c r="L17" s="203">
        <f t="shared" si="23"/>
        <v>237</v>
      </c>
      <c r="M17" s="203">
        <f t="shared" si="4"/>
        <v>5099.322580645161</v>
      </c>
      <c r="N17" s="203">
        <f t="shared" si="24"/>
        <v>237</v>
      </c>
      <c r="O17" s="203">
        <f t="shared" si="5"/>
        <v>5099.322580645161</v>
      </c>
      <c r="P17" s="203">
        <f t="shared" si="25"/>
        <v>237</v>
      </c>
      <c r="Q17" s="203">
        <f t="shared" si="6"/>
        <v>5099.322580645161</v>
      </c>
      <c r="R17" s="203">
        <f t="shared" si="26"/>
        <v>237</v>
      </c>
      <c r="S17" s="203">
        <f t="shared" si="7"/>
        <v>5099.322580645161</v>
      </c>
      <c r="T17" s="203">
        <f t="shared" si="27"/>
        <v>237</v>
      </c>
      <c r="U17" s="203">
        <f t="shared" si="8"/>
        <v>5099.322580645161</v>
      </c>
      <c r="V17" s="203">
        <f t="shared" si="28"/>
        <v>237</v>
      </c>
      <c r="W17" s="203">
        <f t="shared" si="9"/>
        <v>5099.322580645161</v>
      </c>
      <c r="X17" s="35">
        <f t="shared" si="10"/>
        <v>0.76451612903225785</v>
      </c>
      <c r="Y17" s="36">
        <f t="shared" si="29"/>
        <v>56092.548387096758</v>
      </c>
      <c r="Z17" s="203">
        <f>'B5'!C16</f>
        <v>243</v>
      </c>
      <c r="AA17" s="203">
        <f t="shared" si="30"/>
        <v>2430</v>
      </c>
      <c r="AB17" s="203">
        <f t="shared" si="31"/>
        <v>243</v>
      </c>
      <c r="AC17" s="203">
        <f t="shared" si="30"/>
        <v>2430</v>
      </c>
      <c r="AD17" s="203">
        <f t="shared" si="32"/>
        <v>243</v>
      </c>
      <c r="AE17" s="203">
        <f t="shared" si="11"/>
        <v>2430</v>
      </c>
      <c r="AF17" s="203">
        <f t="shared" si="33"/>
        <v>243</v>
      </c>
      <c r="AG17" s="203">
        <f t="shared" si="12"/>
        <v>2430</v>
      </c>
      <c r="AH17" s="203">
        <f t="shared" si="34"/>
        <v>243</v>
      </c>
      <c r="AI17" s="203">
        <f t="shared" si="13"/>
        <v>2430</v>
      </c>
      <c r="AJ17" s="203">
        <f t="shared" si="35"/>
        <v>243</v>
      </c>
      <c r="AK17" s="203">
        <f t="shared" si="14"/>
        <v>2430</v>
      </c>
      <c r="AL17" s="203">
        <f t="shared" si="36"/>
        <v>243</v>
      </c>
      <c r="AM17" s="203">
        <f t="shared" si="15"/>
        <v>2430</v>
      </c>
      <c r="AN17" s="35">
        <f t="shared" si="16"/>
        <v>0.86785714285714288</v>
      </c>
      <c r="AO17" s="36">
        <f>SUM(AA17+AC17+AE17+AG17+AI17+AK17+AM17)</f>
        <v>17010</v>
      </c>
      <c r="AQ17" s="223">
        <f t="shared" si="37"/>
        <v>0.78630255337309629</v>
      </c>
      <c r="AR17" s="38">
        <f t="shared" si="41"/>
        <v>73102.548387096758</v>
      </c>
      <c r="AS17" s="197">
        <f t="shared" si="38"/>
        <v>0</v>
      </c>
      <c r="AT17" s="355"/>
      <c r="AU17" s="478"/>
      <c r="AV17" s="518">
        <f t="shared" si="42"/>
        <v>0.67400000000000004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237</v>
      </c>
      <c r="C18" s="203">
        <f t="shared" si="18"/>
        <v>5099.322580645161</v>
      </c>
      <c r="D18">
        <f t="shared" si="19"/>
        <v>237</v>
      </c>
      <c r="E18" s="203">
        <f t="shared" si="18"/>
        <v>5099.322580645161</v>
      </c>
      <c r="F18">
        <f t="shared" si="20"/>
        <v>237</v>
      </c>
      <c r="G18" s="203">
        <f t="shared" si="1"/>
        <v>5099.322580645161</v>
      </c>
      <c r="H18" s="203">
        <f t="shared" si="21"/>
        <v>237</v>
      </c>
      <c r="I18" s="203">
        <f t="shared" si="2"/>
        <v>5099.322580645161</v>
      </c>
      <c r="J18" s="203">
        <f t="shared" si="22"/>
        <v>237</v>
      </c>
      <c r="K18" s="203">
        <f t="shared" si="3"/>
        <v>5099.322580645161</v>
      </c>
      <c r="L18" s="203">
        <f t="shared" si="23"/>
        <v>237</v>
      </c>
      <c r="M18" s="203">
        <f t="shared" si="4"/>
        <v>5099.322580645161</v>
      </c>
      <c r="N18" s="203">
        <f t="shared" si="24"/>
        <v>237</v>
      </c>
      <c r="O18" s="203">
        <f t="shared" si="5"/>
        <v>5099.322580645161</v>
      </c>
      <c r="P18" s="203">
        <f t="shared" si="25"/>
        <v>237</v>
      </c>
      <c r="Q18" s="203">
        <f t="shared" si="6"/>
        <v>5099.322580645161</v>
      </c>
      <c r="R18" s="203">
        <f t="shared" si="26"/>
        <v>237</v>
      </c>
      <c r="S18" s="203">
        <f t="shared" si="7"/>
        <v>5099.322580645161</v>
      </c>
      <c r="T18" s="203">
        <f t="shared" si="27"/>
        <v>237</v>
      </c>
      <c r="U18" s="203">
        <f t="shared" si="8"/>
        <v>5099.322580645161</v>
      </c>
      <c r="V18" s="203">
        <f t="shared" si="28"/>
        <v>237</v>
      </c>
      <c r="W18" s="203">
        <f t="shared" si="9"/>
        <v>5099.322580645161</v>
      </c>
      <c r="X18" s="35">
        <f t="shared" si="10"/>
        <v>0.76451612903225785</v>
      </c>
      <c r="Y18" s="36">
        <f t="shared" si="29"/>
        <v>56092.548387096758</v>
      </c>
      <c r="Z18" s="203">
        <f>'B5'!C17</f>
        <v>243</v>
      </c>
      <c r="AA18" s="203">
        <f t="shared" si="30"/>
        <v>2430</v>
      </c>
      <c r="AB18" s="203">
        <f t="shared" si="31"/>
        <v>243</v>
      </c>
      <c r="AC18" s="203">
        <f t="shared" si="30"/>
        <v>2430</v>
      </c>
      <c r="AD18" s="203">
        <f t="shared" si="32"/>
        <v>243</v>
      </c>
      <c r="AE18" s="203">
        <f t="shared" si="11"/>
        <v>2430</v>
      </c>
      <c r="AF18" s="203">
        <f t="shared" si="33"/>
        <v>243</v>
      </c>
      <c r="AG18" s="203">
        <f t="shared" si="12"/>
        <v>2430</v>
      </c>
      <c r="AH18" s="203">
        <f t="shared" si="34"/>
        <v>243</v>
      </c>
      <c r="AI18" s="203">
        <f t="shared" si="13"/>
        <v>2430</v>
      </c>
      <c r="AJ18" s="203">
        <f t="shared" si="35"/>
        <v>243</v>
      </c>
      <c r="AK18" s="203">
        <f t="shared" si="14"/>
        <v>2430</v>
      </c>
      <c r="AL18" s="203">
        <f t="shared" si="36"/>
        <v>243</v>
      </c>
      <c r="AM18" s="203">
        <f t="shared" si="15"/>
        <v>2430</v>
      </c>
      <c r="AN18" s="35">
        <f t="shared" si="16"/>
        <v>0.86785714285714288</v>
      </c>
      <c r="AO18" s="36">
        <f t="shared" si="17"/>
        <v>17010</v>
      </c>
      <c r="AQ18" s="223">
        <f t="shared" si="37"/>
        <v>0.78630255337309629</v>
      </c>
      <c r="AR18" s="38">
        <f t="shared" si="41"/>
        <v>73102.548387096758</v>
      </c>
      <c r="AS18" s="197">
        <f t="shared" si="38"/>
        <v>0</v>
      </c>
      <c r="AT18" s="271"/>
      <c r="AU18" s="436"/>
      <c r="AV18" s="518">
        <f>IF(AT18&gt;0,AU18,AV17)</f>
        <v>0.67400000000000004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237</v>
      </c>
      <c r="C19" s="203">
        <f t="shared" si="18"/>
        <v>5099.322580645161</v>
      </c>
      <c r="D19">
        <f t="shared" si="19"/>
        <v>237</v>
      </c>
      <c r="E19" s="203">
        <f t="shared" si="18"/>
        <v>5099.322580645161</v>
      </c>
      <c r="F19">
        <f t="shared" si="20"/>
        <v>237</v>
      </c>
      <c r="G19" s="203">
        <f t="shared" si="1"/>
        <v>5099.322580645161</v>
      </c>
      <c r="H19" s="203">
        <f t="shared" si="21"/>
        <v>237</v>
      </c>
      <c r="I19" s="203">
        <f t="shared" si="2"/>
        <v>5099.322580645161</v>
      </c>
      <c r="J19" s="203">
        <f t="shared" si="22"/>
        <v>237</v>
      </c>
      <c r="K19" s="203">
        <f t="shared" si="3"/>
        <v>5099.322580645161</v>
      </c>
      <c r="L19" s="203">
        <f t="shared" si="23"/>
        <v>237</v>
      </c>
      <c r="M19" s="203">
        <f t="shared" si="4"/>
        <v>5099.322580645161</v>
      </c>
      <c r="N19" s="203">
        <f t="shared" si="24"/>
        <v>237</v>
      </c>
      <c r="O19" s="203">
        <f t="shared" si="5"/>
        <v>5099.322580645161</v>
      </c>
      <c r="P19" s="203">
        <f t="shared" si="25"/>
        <v>237</v>
      </c>
      <c r="Q19" s="203">
        <f t="shared" si="6"/>
        <v>5099.322580645161</v>
      </c>
      <c r="R19" s="203">
        <f t="shared" si="26"/>
        <v>237</v>
      </c>
      <c r="S19" s="203">
        <f t="shared" si="7"/>
        <v>5099.322580645161</v>
      </c>
      <c r="T19" s="203">
        <f t="shared" si="27"/>
        <v>237</v>
      </c>
      <c r="U19" s="203">
        <f t="shared" si="8"/>
        <v>5099.322580645161</v>
      </c>
      <c r="V19" s="203">
        <f t="shared" si="28"/>
        <v>237</v>
      </c>
      <c r="W19" s="203">
        <f t="shared" si="9"/>
        <v>5099.322580645161</v>
      </c>
      <c r="X19" s="35">
        <f t="shared" si="10"/>
        <v>0.76451612903225785</v>
      </c>
      <c r="Y19" s="36">
        <f t="shared" si="29"/>
        <v>56092.548387096758</v>
      </c>
      <c r="Z19" s="203">
        <f>'B5'!C18</f>
        <v>243</v>
      </c>
      <c r="AA19" s="203">
        <f t="shared" si="30"/>
        <v>2430</v>
      </c>
      <c r="AB19" s="203">
        <f t="shared" si="31"/>
        <v>243</v>
      </c>
      <c r="AC19" s="203">
        <f t="shared" si="30"/>
        <v>2430</v>
      </c>
      <c r="AD19" s="203">
        <f t="shared" si="32"/>
        <v>243</v>
      </c>
      <c r="AE19" s="203">
        <f t="shared" si="11"/>
        <v>2430</v>
      </c>
      <c r="AF19" s="203">
        <f t="shared" si="33"/>
        <v>243</v>
      </c>
      <c r="AG19" s="203">
        <f t="shared" si="12"/>
        <v>2430</v>
      </c>
      <c r="AH19" s="203">
        <f t="shared" si="34"/>
        <v>243</v>
      </c>
      <c r="AI19" s="203">
        <f t="shared" si="13"/>
        <v>2430</v>
      </c>
      <c r="AJ19" s="203">
        <f t="shared" si="35"/>
        <v>243</v>
      </c>
      <c r="AK19" s="203">
        <f t="shared" si="14"/>
        <v>2430</v>
      </c>
      <c r="AL19" s="203">
        <f t="shared" si="36"/>
        <v>243</v>
      </c>
      <c r="AM19" s="203">
        <f t="shared" si="15"/>
        <v>2430</v>
      </c>
      <c r="AN19" s="35">
        <f t="shared" si="16"/>
        <v>0.86785714285714288</v>
      </c>
      <c r="AO19" s="36">
        <f t="shared" si="17"/>
        <v>17010</v>
      </c>
      <c r="AQ19" s="223">
        <f t="shared" si="37"/>
        <v>0.78630255337309629</v>
      </c>
      <c r="AR19" s="38">
        <f t="shared" si="41"/>
        <v>73102.548387096758</v>
      </c>
      <c r="AS19" s="197">
        <f t="shared" si="38"/>
        <v>0</v>
      </c>
      <c r="AT19" s="271"/>
      <c r="AU19" s="436"/>
      <c r="AV19" s="518">
        <f t="shared" si="42"/>
        <v>0.67400000000000004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237</v>
      </c>
      <c r="C20" s="203">
        <f t="shared" si="18"/>
        <v>5099.322580645161</v>
      </c>
      <c r="D20">
        <f t="shared" si="19"/>
        <v>237</v>
      </c>
      <c r="E20" s="203">
        <f t="shared" si="18"/>
        <v>5099.322580645161</v>
      </c>
      <c r="F20">
        <f t="shared" si="20"/>
        <v>237</v>
      </c>
      <c r="G20" s="203">
        <f t="shared" si="1"/>
        <v>5099.322580645161</v>
      </c>
      <c r="H20" s="203">
        <f t="shared" si="21"/>
        <v>237</v>
      </c>
      <c r="I20" s="203">
        <f t="shared" si="2"/>
        <v>5099.322580645161</v>
      </c>
      <c r="J20" s="203">
        <f t="shared" si="22"/>
        <v>237</v>
      </c>
      <c r="K20" s="203">
        <f t="shared" si="3"/>
        <v>5099.322580645161</v>
      </c>
      <c r="L20" s="203">
        <f t="shared" si="23"/>
        <v>237</v>
      </c>
      <c r="M20" s="203">
        <f t="shared" si="4"/>
        <v>5099.322580645161</v>
      </c>
      <c r="N20" s="203">
        <f t="shared" si="24"/>
        <v>237</v>
      </c>
      <c r="O20" s="203">
        <f t="shared" si="5"/>
        <v>5099.322580645161</v>
      </c>
      <c r="P20" s="203">
        <f t="shared" si="25"/>
        <v>237</v>
      </c>
      <c r="Q20" s="203">
        <f t="shared" si="6"/>
        <v>5099.322580645161</v>
      </c>
      <c r="R20" s="203">
        <f t="shared" si="26"/>
        <v>237</v>
      </c>
      <c r="S20" s="203">
        <f t="shared" si="7"/>
        <v>5099.322580645161</v>
      </c>
      <c r="T20" s="203">
        <f t="shared" si="27"/>
        <v>237</v>
      </c>
      <c r="U20" s="203">
        <f t="shared" si="8"/>
        <v>5099.322580645161</v>
      </c>
      <c r="V20" s="203">
        <f t="shared" si="28"/>
        <v>237</v>
      </c>
      <c r="W20" s="203">
        <f t="shared" si="9"/>
        <v>5099.322580645161</v>
      </c>
      <c r="X20" s="35">
        <f t="shared" si="10"/>
        <v>0.76451612903225785</v>
      </c>
      <c r="Y20" s="36">
        <f t="shared" si="29"/>
        <v>56092.548387096758</v>
      </c>
      <c r="Z20" s="203">
        <f>'B5'!C19</f>
        <v>243</v>
      </c>
      <c r="AA20" s="203">
        <f t="shared" si="30"/>
        <v>2430</v>
      </c>
      <c r="AB20" s="203">
        <f t="shared" si="31"/>
        <v>243</v>
      </c>
      <c r="AC20" s="203">
        <f t="shared" si="30"/>
        <v>2430</v>
      </c>
      <c r="AD20" s="203">
        <f t="shared" si="32"/>
        <v>243</v>
      </c>
      <c r="AE20" s="203">
        <f t="shared" si="11"/>
        <v>2430</v>
      </c>
      <c r="AF20" s="203">
        <f t="shared" si="33"/>
        <v>243</v>
      </c>
      <c r="AG20" s="203">
        <f t="shared" si="12"/>
        <v>2430</v>
      </c>
      <c r="AH20" s="203">
        <f t="shared" si="34"/>
        <v>243</v>
      </c>
      <c r="AI20" s="203">
        <f t="shared" si="13"/>
        <v>2430</v>
      </c>
      <c r="AJ20" s="203">
        <f t="shared" si="35"/>
        <v>243</v>
      </c>
      <c r="AK20" s="203">
        <f t="shared" si="14"/>
        <v>2430</v>
      </c>
      <c r="AL20" s="203">
        <f t="shared" si="36"/>
        <v>243</v>
      </c>
      <c r="AM20" s="203">
        <f t="shared" si="15"/>
        <v>2430</v>
      </c>
      <c r="AN20" s="35">
        <f t="shared" si="16"/>
        <v>0.86785714285714288</v>
      </c>
      <c r="AO20" s="36">
        <f t="shared" si="17"/>
        <v>17010</v>
      </c>
      <c r="AQ20" s="223">
        <f t="shared" si="37"/>
        <v>0.78630255337309629</v>
      </c>
      <c r="AR20" s="38">
        <f t="shared" si="41"/>
        <v>73102.548387096758</v>
      </c>
      <c r="AS20" s="197">
        <f t="shared" si="38"/>
        <v>0</v>
      </c>
      <c r="AT20" s="271"/>
      <c r="AU20" s="436"/>
      <c r="AV20" s="518">
        <f t="shared" si="42"/>
        <v>0.67400000000000004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0</v>
      </c>
      <c r="AT21" s="271"/>
      <c r="AU21" s="436"/>
      <c r="AV21" s="518">
        <f t="shared" si="42"/>
        <v>0.67400000000000004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237</v>
      </c>
      <c r="C22" s="203">
        <f t="shared" si="18"/>
        <v>5099.322580645161</v>
      </c>
      <c r="D22">
        <f t="shared" si="19"/>
        <v>237</v>
      </c>
      <c r="E22" s="203">
        <f t="shared" si="18"/>
        <v>5099.322580645161</v>
      </c>
      <c r="F22">
        <f t="shared" si="20"/>
        <v>237</v>
      </c>
      <c r="G22" s="203">
        <f t="shared" si="1"/>
        <v>5099.322580645161</v>
      </c>
      <c r="H22" s="203">
        <f t="shared" si="21"/>
        <v>237</v>
      </c>
      <c r="I22" s="203">
        <f t="shared" si="2"/>
        <v>5099.322580645161</v>
      </c>
      <c r="J22" s="203">
        <f t="shared" si="22"/>
        <v>237</v>
      </c>
      <c r="K22" s="203">
        <f t="shared" si="3"/>
        <v>5099.322580645161</v>
      </c>
      <c r="L22" s="203">
        <f t="shared" si="23"/>
        <v>237</v>
      </c>
      <c r="M22" s="203">
        <f t="shared" si="4"/>
        <v>5099.322580645161</v>
      </c>
      <c r="N22" s="203">
        <f t="shared" si="24"/>
        <v>237</v>
      </c>
      <c r="O22" s="203">
        <f t="shared" si="5"/>
        <v>5099.322580645161</v>
      </c>
      <c r="P22" s="203">
        <f t="shared" si="25"/>
        <v>237</v>
      </c>
      <c r="Q22" s="203">
        <f t="shared" si="6"/>
        <v>5099.322580645161</v>
      </c>
      <c r="R22" s="203">
        <f t="shared" si="26"/>
        <v>237</v>
      </c>
      <c r="S22" s="203">
        <f t="shared" si="7"/>
        <v>5099.322580645161</v>
      </c>
      <c r="T22" s="203">
        <f t="shared" si="27"/>
        <v>237</v>
      </c>
      <c r="U22" s="203">
        <f t="shared" si="8"/>
        <v>5099.322580645161</v>
      </c>
      <c r="V22" s="203">
        <f t="shared" si="28"/>
        <v>237</v>
      </c>
      <c r="W22" s="203">
        <f t="shared" si="9"/>
        <v>5099.322580645161</v>
      </c>
      <c r="X22" s="35">
        <f t="shared" si="10"/>
        <v>0.76451612903225785</v>
      </c>
      <c r="Y22" s="36">
        <f t="shared" si="29"/>
        <v>56092.548387096758</v>
      </c>
      <c r="Z22" s="203">
        <f>'B5'!C21</f>
        <v>243</v>
      </c>
      <c r="AA22" s="203">
        <f t="shared" si="30"/>
        <v>2430</v>
      </c>
      <c r="AB22" s="203">
        <f t="shared" si="31"/>
        <v>243</v>
      </c>
      <c r="AC22" s="203">
        <f t="shared" si="30"/>
        <v>2430</v>
      </c>
      <c r="AD22" s="203">
        <f t="shared" si="32"/>
        <v>243</v>
      </c>
      <c r="AE22" s="203">
        <f t="shared" si="11"/>
        <v>2430</v>
      </c>
      <c r="AF22" s="203">
        <f t="shared" si="33"/>
        <v>243</v>
      </c>
      <c r="AG22" s="203">
        <f t="shared" si="12"/>
        <v>2430</v>
      </c>
      <c r="AH22" s="203">
        <f t="shared" si="34"/>
        <v>243</v>
      </c>
      <c r="AI22" s="203">
        <f t="shared" si="13"/>
        <v>2430</v>
      </c>
      <c r="AJ22" s="203">
        <f t="shared" si="35"/>
        <v>243</v>
      </c>
      <c r="AK22" s="203">
        <f t="shared" si="14"/>
        <v>2430</v>
      </c>
      <c r="AL22" s="203">
        <f t="shared" si="36"/>
        <v>243</v>
      </c>
      <c r="AM22" s="203">
        <f t="shared" si="15"/>
        <v>2430</v>
      </c>
      <c r="AN22" s="35">
        <f t="shared" si="16"/>
        <v>0.86785714285714288</v>
      </c>
      <c r="AO22" s="36">
        <f t="shared" si="17"/>
        <v>17010</v>
      </c>
      <c r="AQ22" s="223">
        <f t="shared" si="37"/>
        <v>0.78630255337309629</v>
      </c>
      <c r="AR22" s="38">
        <f t="shared" si="41"/>
        <v>73102.548387096758</v>
      </c>
      <c r="AS22" s="197">
        <f t="shared" si="38"/>
        <v>0</v>
      </c>
      <c r="AT22" s="271"/>
      <c r="AU22" s="436"/>
      <c r="AV22" s="518">
        <f t="shared" si="42"/>
        <v>0.67400000000000004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17"/>
        <v>17010</v>
      </c>
      <c r="AQ23" s="223">
        <f t="shared" si="37"/>
        <v>0.78630255337309629</v>
      </c>
      <c r="AR23" s="38">
        <f t="shared" si="41"/>
        <v>73102.548387096758</v>
      </c>
      <c r="AS23" s="197">
        <f t="shared" si="38"/>
        <v>0</v>
      </c>
      <c r="AT23" s="271"/>
      <c r="AU23" s="436"/>
      <c r="AV23" s="518">
        <f t="shared" si="42"/>
        <v>0.67400000000000004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237</v>
      </c>
      <c r="C24" s="203">
        <f t="shared" si="18"/>
        <v>5099.322580645161</v>
      </c>
      <c r="D24">
        <f t="shared" si="19"/>
        <v>237</v>
      </c>
      <c r="E24" s="203">
        <f t="shared" si="18"/>
        <v>5099.322580645161</v>
      </c>
      <c r="F24">
        <f t="shared" si="20"/>
        <v>237</v>
      </c>
      <c r="G24" s="203">
        <f t="shared" si="1"/>
        <v>5099.322580645161</v>
      </c>
      <c r="H24" s="203">
        <f t="shared" si="21"/>
        <v>237</v>
      </c>
      <c r="I24" s="203">
        <f t="shared" si="2"/>
        <v>5099.322580645161</v>
      </c>
      <c r="J24" s="203">
        <f t="shared" si="22"/>
        <v>237</v>
      </c>
      <c r="K24" s="203">
        <f t="shared" si="3"/>
        <v>5099.322580645161</v>
      </c>
      <c r="L24" s="203">
        <f t="shared" si="23"/>
        <v>237</v>
      </c>
      <c r="M24" s="203">
        <f t="shared" si="4"/>
        <v>5099.322580645161</v>
      </c>
      <c r="N24" s="203">
        <f t="shared" si="24"/>
        <v>237</v>
      </c>
      <c r="O24" s="203">
        <f t="shared" si="5"/>
        <v>5099.322580645161</v>
      </c>
      <c r="P24" s="203">
        <f t="shared" si="25"/>
        <v>237</v>
      </c>
      <c r="Q24" s="203">
        <f t="shared" si="6"/>
        <v>5099.322580645161</v>
      </c>
      <c r="R24" s="203">
        <f t="shared" si="26"/>
        <v>237</v>
      </c>
      <c r="S24" s="203">
        <f t="shared" si="7"/>
        <v>5099.322580645161</v>
      </c>
      <c r="T24" s="203">
        <f t="shared" si="27"/>
        <v>237</v>
      </c>
      <c r="U24" s="203">
        <f t="shared" si="8"/>
        <v>5099.322580645161</v>
      </c>
      <c r="V24" s="203">
        <f t="shared" si="28"/>
        <v>237</v>
      </c>
      <c r="W24" s="203">
        <f t="shared" si="9"/>
        <v>5099.322580645161</v>
      </c>
      <c r="X24" s="35">
        <f t="shared" si="10"/>
        <v>0.76451612903225785</v>
      </c>
      <c r="Y24" s="36">
        <f t="shared" si="29"/>
        <v>56092.548387096758</v>
      </c>
      <c r="Z24" s="203">
        <f>'B5'!C23</f>
        <v>243</v>
      </c>
      <c r="AA24" s="203">
        <f t="shared" si="30"/>
        <v>2430</v>
      </c>
      <c r="AB24" s="203">
        <f t="shared" si="31"/>
        <v>243</v>
      </c>
      <c r="AC24" s="203">
        <f t="shared" si="30"/>
        <v>2430</v>
      </c>
      <c r="AD24" s="203">
        <f t="shared" si="32"/>
        <v>243</v>
      </c>
      <c r="AE24" s="203">
        <f t="shared" si="11"/>
        <v>2430</v>
      </c>
      <c r="AF24" s="203">
        <f t="shared" si="33"/>
        <v>243</v>
      </c>
      <c r="AG24" s="203">
        <f t="shared" si="12"/>
        <v>2430</v>
      </c>
      <c r="AH24" s="203">
        <f t="shared" si="34"/>
        <v>243</v>
      </c>
      <c r="AI24" s="203">
        <f t="shared" si="13"/>
        <v>2430</v>
      </c>
      <c r="AJ24" s="203">
        <f t="shared" si="35"/>
        <v>243</v>
      </c>
      <c r="AK24" s="203">
        <f t="shared" si="14"/>
        <v>2430</v>
      </c>
      <c r="AL24" s="203">
        <f t="shared" si="36"/>
        <v>243</v>
      </c>
      <c r="AM24" s="203">
        <f t="shared" si="15"/>
        <v>2430</v>
      </c>
      <c r="AN24" s="35">
        <f t="shared" si="16"/>
        <v>0.86785714285714288</v>
      </c>
      <c r="AO24" s="36">
        <f t="shared" si="17"/>
        <v>17010</v>
      </c>
      <c r="AQ24" s="223">
        <f t="shared" si="37"/>
        <v>0.78630255337309629</v>
      </c>
      <c r="AR24" s="38">
        <f t="shared" si="41"/>
        <v>73102.548387096758</v>
      </c>
      <c r="AS24" s="197">
        <f t="shared" si="38"/>
        <v>0</v>
      </c>
      <c r="AT24" s="271"/>
      <c r="AU24" s="436"/>
      <c r="AV24" s="518">
        <f t="shared" si="42"/>
        <v>0.67400000000000004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237</v>
      </c>
      <c r="C25" s="203">
        <f t="shared" si="18"/>
        <v>5099.322580645161</v>
      </c>
      <c r="D25">
        <f t="shared" si="19"/>
        <v>237</v>
      </c>
      <c r="E25" s="203">
        <f t="shared" si="18"/>
        <v>5099.322580645161</v>
      </c>
      <c r="F25">
        <f t="shared" si="20"/>
        <v>237</v>
      </c>
      <c r="G25" s="203">
        <f t="shared" si="1"/>
        <v>5099.322580645161</v>
      </c>
      <c r="H25" s="203">
        <f t="shared" si="21"/>
        <v>237</v>
      </c>
      <c r="I25" s="203">
        <f t="shared" si="2"/>
        <v>5099.322580645161</v>
      </c>
      <c r="J25" s="203">
        <f t="shared" si="22"/>
        <v>237</v>
      </c>
      <c r="K25" s="203">
        <f t="shared" si="3"/>
        <v>5099.322580645161</v>
      </c>
      <c r="L25" s="203">
        <f t="shared" si="23"/>
        <v>237</v>
      </c>
      <c r="M25" s="203">
        <f t="shared" si="4"/>
        <v>5099.322580645161</v>
      </c>
      <c r="N25" s="203">
        <f t="shared" si="24"/>
        <v>237</v>
      </c>
      <c r="O25" s="203">
        <f t="shared" si="5"/>
        <v>5099.322580645161</v>
      </c>
      <c r="P25" s="203">
        <f t="shared" si="25"/>
        <v>237</v>
      </c>
      <c r="Q25" s="203">
        <f t="shared" si="6"/>
        <v>5099.322580645161</v>
      </c>
      <c r="R25" s="203">
        <f t="shared" si="26"/>
        <v>237</v>
      </c>
      <c r="S25" s="203">
        <f t="shared" si="7"/>
        <v>5099.322580645161</v>
      </c>
      <c r="T25" s="203">
        <f t="shared" si="27"/>
        <v>237</v>
      </c>
      <c r="U25" s="203">
        <f t="shared" si="8"/>
        <v>5099.322580645161</v>
      </c>
      <c r="V25" s="203">
        <f t="shared" si="28"/>
        <v>237</v>
      </c>
      <c r="W25" s="203">
        <f t="shared" si="9"/>
        <v>5099.322580645161</v>
      </c>
      <c r="X25" s="35">
        <f t="shared" si="10"/>
        <v>0.76451612903225785</v>
      </c>
      <c r="Y25" s="36">
        <f t="shared" si="29"/>
        <v>56092.548387096758</v>
      </c>
      <c r="Z25" s="203">
        <f>'B5'!C24</f>
        <v>243</v>
      </c>
      <c r="AA25" s="203">
        <f t="shared" si="30"/>
        <v>2430</v>
      </c>
      <c r="AB25" s="203">
        <f t="shared" si="31"/>
        <v>243</v>
      </c>
      <c r="AC25" s="203">
        <f t="shared" si="30"/>
        <v>2430</v>
      </c>
      <c r="AD25" s="203">
        <f t="shared" si="32"/>
        <v>243</v>
      </c>
      <c r="AE25" s="203">
        <f t="shared" si="11"/>
        <v>2430</v>
      </c>
      <c r="AF25" s="203">
        <f t="shared" si="33"/>
        <v>243</v>
      </c>
      <c r="AG25" s="203">
        <f t="shared" si="12"/>
        <v>2430</v>
      </c>
      <c r="AH25" s="203">
        <f t="shared" si="34"/>
        <v>243</v>
      </c>
      <c r="AI25" s="203">
        <f t="shared" si="13"/>
        <v>2430</v>
      </c>
      <c r="AJ25" s="203">
        <f t="shared" si="35"/>
        <v>243</v>
      </c>
      <c r="AK25" s="203">
        <f t="shared" si="14"/>
        <v>2430</v>
      </c>
      <c r="AL25" s="203">
        <f t="shared" si="36"/>
        <v>243</v>
      </c>
      <c r="AM25" s="203">
        <f t="shared" si="15"/>
        <v>2430</v>
      </c>
      <c r="AN25" s="35">
        <f t="shared" si="16"/>
        <v>0.86785714285714288</v>
      </c>
      <c r="AO25" s="36">
        <f t="shared" si="17"/>
        <v>17010</v>
      </c>
      <c r="AQ25" s="223">
        <f t="shared" si="37"/>
        <v>0.78630255337309629</v>
      </c>
      <c r="AR25" s="38">
        <f t="shared" si="41"/>
        <v>73102.548387096758</v>
      </c>
      <c r="AS25" s="197">
        <f t="shared" si="38"/>
        <v>0</v>
      </c>
      <c r="AT25" s="271"/>
      <c r="AU25" s="436"/>
      <c r="AV25" s="518">
        <f t="shared" si="42"/>
        <v>0.67400000000000004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237</v>
      </c>
      <c r="C26" s="203">
        <f t="shared" si="18"/>
        <v>5099.322580645161</v>
      </c>
      <c r="D26">
        <f t="shared" si="19"/>
        <v>237</v>
      </c>
      <c r="E26" s="203">
        <f t="shared" si="18"/>
        <v>5099.322580645161</v>
      </c>
      <c r="F26">
        <f t="shared" si="20"/>
        <v>237</v>
      </c>
      <c r="G26" s="203">
        <f t="shared" si="1"/>
        <v>5099.322580645161</v>
      </c>
      <c r="H26" s="203">
        <f t="shared" si="21"/>
        <v>237</v>
      </c>
      <c r="I26" s="203">
        <f t="shared" si="2"/>
        <v>5099.322580645161</v>
      </c>
      <c r="J26" s="203">
        <f t="shared" si="22"/>
        <v>237</v>
      </c>
      <c r="K26" s="203">
        <f t="shared" si="3"/>
        <v>5099.322580645161</v>
      </c>
      <c r="L26" s="203">
        <f t="shared" si="23"/>
        <v>237</v>
      </c>
      <c r="M26" s="203">
        <f t="shared" si="4"/>
        <v>5099.322580645161</v>
      </c>
      <c r="N26" s="203">
        <f t="shared" si="24"/>
        <v>237</v>
      </c>
      <c r="O26" s="203">
        <f t="shared" si="5"/>
        <v>5099.322580645161</v>
      </c>
      <c r="P26" s="203">
        <f t="shared" si="25"/>
        <v>237</v>
      </c>
      <c r="Q26" s="203">
        <f t="shared" si="6"/>
        <v>5099.322580645161</v>
      </c>
      <c r="R26" s="203">
        <f t="shared" si="26"/>
        <v>237</v>
      </c>
      <c r="S26" s="203">
        <f t="shared" si="7"/>
        <v>5099.322580645161</v>
      </c>
      <c r="T26" s="203">
        <f t="shared" si="27"/>
        <v>237</v>
      </c>
      <c r="U26" s="203">
        <f t="shared" si="8"/>
        <v>5099.322580645161</v>
      </c>
      <c r="V26" s="203">
        <f t="shared" si="28"/>
        <v>237</v>
      </c>
      <c r="W26" s="203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3">
        <f>'B5'!C25</f>
        <v>243</v>
      </c>
      <c r="AA26" s="203">
        <f t="shared" si="30"/>
        <v>2430</v>
      </c>
      <c r="AB26" s="203">
        <f t="shared" si="31"/>
        <v>243</v>
      </c>
      <c r="AC26" s="203">
        <f t="shared" si="30"/>
        <v>2430</v>
      </c>
      <c r="AD26" s="203">
        <f t="shared" si="32"/>
        <v>243</v>
      </c>
      <c r="AE26" s="203">
        <f t="shared" si="11"/>
        <v>2430</v>
      </c>
      <c r="AF26" s="203">
        <f t="shared" si="33"/>
        <v>243</v>
      </c>
      <c r="AG26" s="203">
        <f t="shared" si="12"/>
        <v>2430</v>
      </c>
      <c r="AH26" s="203">
        <f t="shared" si="34"/>
        <v>243</v>
      </c>
      <c r="AI26" s="203">
        <f t="shared" si="13"/>
        <v>2430</v>
      </c>
      <c r="AJ26" s="203">
        <f t="shared" si="35"/>
        <v>243</v>
      </c>
      <c r="AK26" s="203">
        <f t="shared" si="14"/>
        <v>2430</v>
      </c>
      <c r="AL26" s="203">
        <f t="shared" si="36"/>
        <v>243</v>
      </c>
      <c r="AM26" s="203">
        <f t="shared" si="15"/>
        <v>2430</v>
      </c>
      <c r="AN26" s="35">
        <f t="shared" si="16"/>
        <v>0.86785714285714288</v>
      </c>
      <c r="AO26" s="36">
        <f t="shared" si="17"/>
        <v>17010</v>
      </c>
      <c r="AQ26" s="223">
        <f t="shared" si="37"/>
        <v>0.78630255337309629</v>
      </c>
      <c r="AR26" s="38">
        <f t="shared" si="41"/>
        <v>73102.548387096758</v>
      </c>
      <c r="AS26" s="197">
        <f t="shared" si="38"/>
        <v>0</v>
      </c>
      <c r="AT26" s="271"/>
      <c r="AU26" s="491"/>
      <c r="AV26" s="518">
        <f t="shared" si="42"/>
        <v>0.67400000000000004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237</v>
      </c>
      <c r="C27" s="203">
        <f t="shared" si="18"/>
        <v>5099.322580645161</v>
      </c>
      <c r="D27">
        <f t="shared" si="19"/>
        <v>237</v>
      </c>
      <c r="E27" s="203">
        <f t="shared" si="18"/>
        <v>5099.322580645161</v>
      </c>
      <c r="F27">
        <f t="shared" si="20"/>
        <v>237</v>
      </c>
      <c r="G27" s="203">
        <f t="shared" si="1"/>
        <v>5099.322580645161</v>
      </c>
      <c r="H27" s="203">
        <f t="shared" si="21"/>
        <v>237</v>
      </c>
      <c r="I27" s="203">
        <f t="shared" si="2"/>
        <v>5099.322580645161</v>
      </c>
      <c r="J27" s="203">
        <f t="shared" si="22"/>
        <v>237</v>
      </c>
      <c r="K27" s="203">
        <f t="shared" si="3"/>
        <v>5099.322580645161</v>
      </c>
      <c r="L27" s="203">
        <f t="shared" si="23"/>
        <v>237</v>
      </c>
      <c r="M27" s="203">
        <f t="shared" si="4"/>
        <v>5099.322580645161</v>
      </c>
      <c r="N27" s="203">
        <f t="shared" si="24"/>
        <v>237</v>
      </c>
      <c r="O27" s="203">
        <f t="shared" si="5"/>
        <v>5099.322580645161</v>
      </c>
      <c r="P27" s="203">
        <f t="shared" si="25"/>
        <v>237</v>
      </c>
      <c r="Q27" s="203">
        <f t="shared" si="6"/>
        <v>5099.322580645161</v>
      </c>
      <c r="R27" s="203">
        <f t="shared" si="26"/>
        <v>237</v>
      </c>
      <c r="S27" s="203">
        <f t="shared" si="7"/>
        <v>5099.322580645161</v>
      </c>
      <c r="T27" s="203">
        <f t="shared" si="27"/>
        <v>237</v>
      </c>
      <c r="U27" s="203">
        <f t="shared" si="8"/>
        <v>5099.322580645161</v>
      </c>
      <c r="V27" s="203">
        <f t="shared" si="28"/>
        <v>237</v>
      </c>
      <c r="W27" s="203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3">
        <f>'B5'!C26</f>
        <v>243</v>
      </c>
      <c r="AA27" s="203">
        <f t="shared" si="30"/>
        <v>2430</v>
      </c>
      <c r="AB27" s="203">
        <f t="shared" si="31"/>
        <v>243</v>
      </c>
      <c r="AC27" s="203">
        <f t="shared" si="30"/>
        <v>2430</v>
      </c>
      <c r="AD27" s="203">
        <f t="shared" si="32"/>
        <v>243</v>
      </c>
      <c r="AE27" s="203">
        <f t="shared" si="11"/>
        <v>2430</v>
      </c>
      <c r="AF27" s="203">
        <f t="shared" si="33"/>
        <v>243</v>
      </c>
      <c r="AG27" s="203">
        <f t="shared" si="12"/>
        <v>2430</v>
      </c>
      <c r="AH27" s="203">
        <f t="shared" si="34"/>
        <v>243</v>
      </c>
      <c r="AI27" s="203">
        <f t="shared" si="13"/>
        <v>2430</v>
      </c>
      <c r="AJ27" s="203">
        <f t="shared" si="35"/>
        <v>243</v>
      </c>
      <c r="AK27" s="203">
        <f t="shared" si="14"/>
        <v>2430</v>
      </c>
      <c r="AL27" s="203">
        <f t="shared" si="36"/>
        <v>243</v>
      </c>
      <c r="AM27" s="203">
        <f t="shared" si="15"/>
        <v>2430</v>
      </c>
      <c r="AN27" s="35">
        <f t="shared" si="16"/>
        <v>0.86785714285714288</v>
      </c>
      <c r="AO27" s="36">
        <f t="shared" si="17"/>
        <v>17010</v>
      </c>
      <c r="AQ27" s="223">
        <f t="shared" si="37"/>
        <v>0.78630255337309629</v>
      </c>
      <c r="AR27" s="38">
        <f t="shared" si="41"/>
        <v>73102.548387096758</v>
      </c>
      <c r="AS27" s="197">
        <f t="shared" si="38"/>
        <v>0</v>
      </c>
      <c r="AT27" s="271"/>
      <c r="AU27" s="436"/>
      <c r="AV27" s="518">
        <f t="shared" si="42"/>
        <v>0.67400000000000004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237</v>
      </c>
      <c r="C28" s="203">
        <f t="shared" si="18"/>
        <v>5099.322580645161</v>
      </c>
      <c r="D28">
        <f t="shared" si="19"/>
        <v>237</v>
      </c>
      <c r="E28" s="203">
        <f t="shared" si="18"/>
        <v>5099.322580645161</v>
      </c>
      <c r="F28">
        <f t="shared" si="20"/>
        <v>237</v>
      </c>
      <c r="G28" s="203">
        <f t="shared" si="1"/>
        <v>5099.322580645161</v>
      </c>
      <c r="H28" s="203">
        <f t="shared" si="21"/>
        <v>237</v>
      </c>
      <c r="I28" s="203">
        <f t="shared" si="2"/>
        <v>5099.322580645161</v>
      </c>
      <c r="J28" s="203">
        <f t="shared" si="22"/>
        <v>237</v>
      </c>
      <c r="K28" s="203">
        <f t="shared" si="3"/>
        <v>5099.322580645161</v>
      </c>
      <c r="L28" s="203">
        <f t="shared" si="23"/>
        <v>237</v>
      </c>
      <c r="M28" s="203">
        <f t="shared" si="4"/>
        <v>5099.322580645161</v>
      </c>
      <c r="N28" s="203">
        <f t="shared" si="24"/>
        <v>237</v>
      </c>
      <c r="O28" s="203">
        <f t="shared" si="5"/>
        <v>5099.322580645161</v>
      </c>
      <c r="P28" s="203">
        <f t="shared" si="25"/>
        <v>237</v>
      </c>
      <c r="Q28" s="203">
        <f t="shared" si="6"/>
        <v>5099.322580645161</v>
      </c>
      <c r="R28" s="203">
        <f t="shared" si="26"/>
        <v>237</v>
      </c>
      <c r="S28" s="203">
        <f t="shared" si="7"/>
        <v>5099.322580645161</v>
      </c>
      <c r="T28" s="203">
        <f t="shared" si="27"/>
        <v>237</v>
      </c>
      <c r="U28" s="203">
        <f t="shared" si="8"/>
        <v>5099.322580645161</v>
      </c>
      <c r="V28" s="203">
        <f t="shared" si="28"/>
        <v>237</v>
      </c>
      <c r="W28" s="203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3">
        <f>'B5'!C27</f>
        <v>243</v>
      </c>
      <c r="AA28" s="203">
        <f t="shared" si="30"/>
        <v>2430</v>
      </c>
      <c r="AB28" s="203">
        <f t="shared" si="31"/>
        <v>243</v>
      </c>
      <c r="AC28" s="203">
        <f t="shared" si="30"/>
        <v>2430</v>
      </c>
      <c r="AD28" s="203">
        <f t="shared" si="32"/>
        <v>243</v>
      </c>
      <c r="AE28" s="203">
        <f t="shared" si="11"/>
        <v>2430</v>
      </c>
      <c r="AF28" s="203">
        <f t="shared" si="33"/>
        <v>243</v>
      </c>
      <c r="AG28" s="203">
        <f t="shared" si="12"/>
        <v>2430</v>
      </c>
      <c r="AH28" s="203">
        <f t="shared" si="34"/>
        <v>243</v>
      </c>
      <c r="AI28" s="203">
        <f t="shared" si="13"/>
        <v>2430</v>
      </c>
      <c r="AJ28" s="203">
        <f t="shared" si="35"/>
        <v>243</v>
      </c>
      <c r="AK28" s="203">
        <f t="shared" si="14"/>
        <v>2430</v>
      </c>
      <c r="AL28" s="203">
        <f t="shared" si="36"/>
        <v>243</v>
      </c>
      <c r="AM28" s="203">
        <f t="shared" si="15"/>
        <v>2430</v>
      </c>
      <c r="AN28" s="35">
        <f t="shared" si="16"/>
        <v>0.86785714285714288</v>
      </c>
      <c r="AO28" s="36">
        <f t="shared" si="17"/>
        <v>17010</v>
      </c>
      <c r="AQ28" s="223">
        <f t="shared" si="37"/>
        <v>0.78630255337309629</v>
      </c>
      <c r="AR28" s="38">
        <f t="shared" si="41"/>
        <v>73102.548387096758</v>
      </c>
      <c r="AS28" s="197">
        <f t="shared" si="38"/>
        <v>0</v>
      </c>
      <c r="AT28" s="355"/>
      <c r="AU28" s="436"/>
      <c r="AV28" s="518">
        <f t="shared" si="42"/>
        <v>0.67400000000000004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237</v>
      </c>
      <c r="C29" s="203">
        <f t="shared" si="18"/>
        <v>5099.322580645161</v>
      </c>
      <c r="D29">
        <f t="shared" si="19"/>
        <v>237</v>
      </c>
      <c r="E29" s="203">
        <f t="shared" si="18"/>
        <v>5099.322580645161</v>
      </c>
      <c r="F29">
        <f t="shared" si="20"/>
        <v>237</v>
      </c>
      <c r="G29" s="203">
        <f t="shared" si="1"/>
        <v>5099.322580645161</v>
      </c>
      <c r="H29" s="203">
        <f t="shared" si="21"/>
        <v>237</v>
      </c>
      <c r="I29" s="203">
        <f t="shared" si="2"/>
        <v>5099.322580645161</v>
      </c>
      <c r="J29" s="203">
        <f t="shared" si="22"/>
        <v>237</v>
      </c>
      <c r="K29" s="203">
        <f t="shared" si="3"/>
        <v>5099.322580645161</v>
      </c>
      <c r="L29" s="203">
        <f t="shared" si="23"/>
        <v>237</v>
      </c>
      <c r="M29" s="203">
        <f t="shared" si="4"/>
        <v>5099.322580645161</v>
      </c>
      <c r="N29" s="203">
        <f t="shared" si="24"/>
        <v>237</v>
      </c>
      <c r="O29" s="203">
        <f t="shared" si="5"/>
        <v>5099.322580645161</v>
      </c>
      <c r="P29" s="203">
        <f t="shared" si="25"/>
        <v>237</v>
      </c>
      <c r="Q29" s="203">
        <f t="shared" si="6"/>
        <v>5099.322580645161</v>
      </c>
      <c r="R29" s="203">
        <f t="shared" si="26"/>
        <v>237</v>
      </c>
      <c r="S29" s="203">
        <f t="shared" si="7"/>
        <v>5099.322580645161</v>
      </c>
      <c r="T29" s="203">
        <f t="shared" si="27"/>
        <v>237</v>
      </c>
      <c r="U29" s="203">
        <f t="shared" si="8"/>
        <v>5099.322580645161</v>
      </c>
      <c r="V29" s="203">
        <f t="shared" si="28"/>
        <v>237</v>
      </c>
      <c r="W29" s="203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3">
        <f>'B5'!C28</f>
        <v>243</v>
      </c>
      <c r="AA29" s="203">
        <f t="shared" si="30"/>
        <v>2430</v>
      </c>
      <c r="AB29" s="203">
        <f t="shared" si="31"/>
        <v>243</v>
      </c>
      <c r="AC29" s="203">
        <f t="shared" si="30"/>
        <v>2430</v>
      </c>
      <c r="AD29" s="203">
        <f t="shared" si="32"/>
        <v>243</v>
      </c>
      <c r="AE29" s="203">
        <f t="shared" si="11"/>
        <v>2430</v>
      </c>
      <c r="AF29" s="203">
        <f t="shared" si="33"/>
        <v>243</v>
      </c>
      <c r="AG29" s="203">
        <f t="shared" si="12"/>
        <v>2430</v>
      </c>
      <c r="AH29" s="203">
        <f t="shared" si="34"/>
        <v>243</v>
      </c>
      <c r="AI29" s="203">
        <f t="shared" si="13"/>
        <v>2430</v>
      </c>
      <c r="AJ29" s="203">
        <f t="shared" si="35"/>
        <v>243</v>
      </c>
      <c r="AK29" s="203">
        <f t="shared" si="14"/>
        <v>2430</v>
      </c>
      <c r="AL29" s="203">
        <f t="shared" si="36"/>
        <v>243</v>
      </c>
      <c r="AM29" s="203">
        <f t="shared" si="15"/>
        <v>2430</v>
      </c>
      <c r="AN29" s="35">
        <f t="shared" si="16"/>
        <v>0.86785714285714288</v>
      </c>
      <c r="AO29" s="36">
        <f t="shared" si="17"/>
        <v>17010</v>
      </c>
      <c r="AQ29" s="223">
        <f t="shared" si="37"/>
        <v>0.78630255337309629</v>
      </c>
      <c r="AR29" s="38">
        <f t="shared" si="41"/>
        <v>73102.548387096758</v>
      </c>
      <c r="AS29" s="197">
        <f t="shared" si="38"/>
        <v>0</v>
      </c>
      <c r="AT29" s="355"/>
      <c r="AU29" s="436"/>
      <c r="AV29" s="518">
        <f t="shared" si="42"/>
        <v>0.67400000000000004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237</v>
      </c>
      <c r="C30" s="203">
        <f t="shared" si="18"/>
        <v>5099.322580645161</v>
      </c>
      <c r="D30">
        <f t="shared" ref="D30:D33" si="44">SUM(B30)</f>
        <v>237</v>
      </c>
      <c r="E30" s="203">
        <f t="shared" si="18"/>
        <v>5099.322580645161</v>
      </c>
      <c r="F30">
        <f t="shared" ref="F30:F33" si="45">SUM(D30)</f>
        <v>237</v>
      </c>
      <c r="G30" s="203">
        <f t="shared" si="1"/>
        <v>5099.322580645161</v>
      </c>
      <c r="H30" s="203">
        <f t="shared" ref="H30:H33" si="46">SUM(F30)</f>
        <v>237</v>
      </c>
      <c r="I30" s="203">
        <f t="shared" si="2"/>
        <v>5099.322580645161</v>
      </c>
      <c r="J30" s="203">
        <f t="shared" ref="J30:J33" si="47">SUM(H30)</f>
        <v>237</v>
      </c>
      <c r="K30" s="203">
        <f t="shared" si="3"/>
        <v>5099.322580645161</v>
      </c>
      <c r="L30" s="203">
        <f t="shared" ref="L30:L33" si="48">SUM(J30)</f>
        <v>237</v>
      </c>
      <c r="M30" s="203">
        <f t="shared" si="4"/>
        <v>5099.322580645161</v>
      </c>
      <c r="N30" s="203">
        <f t="shared" ref="N30:N33" si="49">SUM(L30)</f>
        <v>237</v>
      </c>
      <c r="O30" s="203">
        <f t="shared" si="5"/>
        <v>5099.322580645161</v>
      </c>
      <c r="P30" s="203">
        <f t="shared" ref="P30:P33" si="50">SUM(N30)</f>
        <v>237</v>
      </c>
      <c r="Q30" s="203">
        <f t="shared" si="6"/>
        <v>5099.322580645161</v>
      </c>
      <c r="R30" s="203">
        <f t="shared" ref="R30:R33" si="51">SUM(P30)</f>
        <v>237</v>
      </c>
      <c r="S30" s="203">
        <f t="shared" si="7"/>
        <v>5099.322580645161</v>
      </c>
      <c r="T30" s="203">
        <f t="shared" ref="T30:T33" si="52">SUM(R30)</f>
        <v>237</v>
      </c>
      <c r="U30" s="203">
        <f t="shared" si="8"/>
        <v>5099.322580645161</v>
      </c>
      <c r="V30" s="203">
        <f t="shared" ref="V30:V33" si="53">SUM(T30)</f>
        <v>237</v>
      </c>
      <c r="W30" s="203">
        <f t="shared" si="9"/>
        <v>5099.322580645161</v>
      </c>
      <c r="X30" s="35">
        <f t="shared" ref="X30:X33" si="54">SUM(Y30/73370)</f>
        <v>0.76451612903225785</v>
      </c>
      <c r="Y30" s="36">
        <f t="shared" ref="Y30:Y33" si="55">SUM(C30+E30+G30+I30+K30+M30+O30+Q30+S30+U30+W30)</f>
        <v>56092.548387096758</v>
      </c>
      <c r="Z30" s="203">
        <f>'B5'!C29</f>
        <v>243</v>
      </c>
      <c r="AA30" s="203">
        <f t="shared" si="30"/>
        <v>2430</v>
      </c>
      <c r="AB30" s="203">
        <f t="shared" ref="AB30:AB33" si="56">SUM(Z30)</f>
        <v>243</v>
      </c>
      <c r="AC30" s="203">
        <f t="shared" si="30"/>
        <v>2430</v>
      </c>
      <c r="AD30" s="203">
        <f t="shared" ref="AD30:AD33" si="57">SUM(AB30)</f>
        <v>243</v>
      </c>
      <c r="AE30" s="203">
        <f t="shared" si="11"/>
        <v>2430</v>
      </c>
      <c r="AF30" s="203">
        <f t="shared" ref="AF30:AF33" si="58">SUM(AD30)</f>
        <v>243</v>
      </c>
      <c r="AG30" s="203">
        <f t="shared" si="12"/>
        <v>2430</v>
      </c>
      <c r="AH30" s="203">
        <f t="shared" ref="AH30:AH33" si="59">SUM(AF30)</f>
        <v>243</v>
      </c>
      <c r="AI30" s="203">
        <f t="shared" si="13"/>
        <v>2430</v>
      </c>
      <c r="AJ30" s="203">
        <f t="shared" ref="AJ30:AJ33" si="60">SUM(AH30)</f>
        <v>243</v>
      </c>
      <c r="AK30" s="203">
        <f t="shared" si="14"/>
        <v>2430</v>
      </c>
      <c r="AL30" s="203">
        <f t="shared" ref="AL30:AL33" si="61">SUM(AJ30)</f>
        <v>243</v>
      </c>
      <c r="AM30" s="203">
        <f t="shared" si="15"/>
        <v>2430</v>
      </c>
      <c r="AN30" s="35">
        <f t="shared" ref="AN30:AN33" si="62">SUM(AO30/19600)</f>
        <v>0.86785714285714288</v>
      </c>
      <c r="AO30" s="36">
        <f t="shared" ref="AO30:AO33" si="63">SUM(AA30+AC30+AE30+AG30+AI30+AK30+AM30)</f>
        <v>17010</v>
      </c>
      <c r="AQ30" s="223">
        <f t="shared" si="37"/>
        <v>0.78630255337309629</v>
      </c>
      <c r="AR30" s="38">
        <f t="shared" si="41"/>
        <v>73102.548387096758</v>
      </c>
      <c r="AS30" s="197">
        <f t="shared" si="38"/>
        <v>0</v>
      </c>
      <c r="AT30" s="355"/>
      <c r="AU30" s="436"/>
      <c r="AV30" s="518">
        <f t="shared" si="42"/>
        <v>0.67400000000000004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237</v>
      </c>
      <c r="C31" s="203">
        <f t="shared" si="18"/>
        <v>5099.322580645161</v>
      </c>
      <c r="D31">
        <f t="shared" si="44"/>
        <v>237</v>
      </c>
      <c r="E31" s="203">
        <f t="shared" si="18"/>
        <v>5099.322580645161</v>
      </c>
      <c r="F31">
        <f t="shared" si="45"/>
        <v>237</v>
      </c>
      <c r="G31" s="203">
        <f t="shared" si="1"/>
        <v>5099.322580645161</v>
      </c>
      <c r="H31" s="203">
        <f t="shared" si="46"/>
        <v>237</v>
      </c>
      <c r="I31" s="203">
        <f t="shared" si="2"/>
        <v>5099.322580645161</v>
      </c>
      <c r="J31" s="203">
        <f t="shared" si="47"/>
        <v>237</v>
      </c>
      <c r="K31" s="203">
        <f t="shared" si="3"/>
        <v>5099.322580645161</v>
      </c>
      <c r="L31" s="203">
        <f t="shared" si="48"/>
        <v>237</v>
      </c>
      <c r="M31" s="203">
        <f t="shared" si="4"/>
        <v>5099.322580645161</v>
      </c>
      <c r="N31" s="203">
        <f t="shared" si="49"/>
        <v>237</v>
      </c>
      <c r="O31" s="203">
        <f t="shared" si="5"/>
        <v>5099.322580645161</v>
      </c>
      <c r="P31" s="203">
        <f t="shared" si="50"/>
        <v>237</v>
      </c>
      <c r="Q31" s="203">
        <f t="shared" si="6"/>
        <v>5099.322580645161</v>
      </c>
      <c r="R31" s="203">
        <f t="shared" si="51"/>
        <v>237</v>
      </c>
      <c r="S31" s="203">
        <f t="shared" si="7"/>
        <v>5099.322580645161</v>
      </c>
      <c r="T31" s="203">
        <f t="shared" si="52"/>
        <v>237</v>
      </c>
      <c r="U31" s="203">
        <f t="shared" si="8"/>
        <v>5099.322580645161</v>
      </c>
      <c r="V31" s="203">
        <f t="shared" si="53"/>
        <v>237</v>
      </c>
      <c r="W31" s="203">
        <f t="shared" si="9"/>
        <v>5099.322580645161</v>
      </c>
      <c r="X31" s="35">
        <f t="shared" si="54"/>
        <v>0.76451612903225785</v>
      </c>
      <c r="Y31" s="36">
        <f t="shared" si="55"/>
        <v>56092.548387096758</v>
      </c>
      <c r="Z31" s="203">
        <f>'B5'!C30</f>
        <v>243</v>
      </c>
      <c r="AA31" s="203">
        <f t="shared" si="30"/>
        <v>2430</v>
      </c>
      <c r="AB31" s="203">
        <f t="shared" si="56"/>
        <v>243</v>
      </c>
      <c r="AC31" s="203">
        <f t="shared" si="30"/>
        <v>2430</v>
      </c>
      <c r="AD31" s="203">
        <f t="shared" si="57"/>
        <v>243</v>
      </c>
      <c r="AE31" s="203">
        <f t="shared" si="11"/>
        <v>2430</v>
      </c>
      <c r="AF31" s="203">
        <f t="shared" si="58"/>
        <v>243</v>
      </c>
      <c r="AG31" s="203">
        <f t="shared" si="12"/>
        <v>2430</v>
      </c>
      <c r="AH31" s="203">
        <f t="shared" si="59"/>
        <v>243</v>
      </c>
      <c r="AI31" s="203">
        <f t="shared" si="13"/>
        <v>2430</v>
      </c>
      <c r="AJ31" s="203">
        <f t="shared" si="60"/>
        <v>243</v>
      </c>
      <c r="AK31" s="203">
        <f t="shared" si="14"/>
        <v>2430</v>
      </c>
      <c r="AL31" s="203">
        <f t="shared" si="61"/>
        <v>243</v>
      </c>
      <c r="AM31" s="203">
        <f t="shared" si="15"/>
        <v>2430</v>
      </c>
      <c r="AN31" s="35">
        <f t="shared" si="62"/>
        <v>0.86785714285714288</v>
      </c>
      <c r="AO31" s="36">
        <f t="shared" si="63"/>
        <v>17010</v>
      </c>
      <c r="AQ31" s="223">
        <f t="shared" si="37"/>
        <v>0.78630255337309629</v>
      </c>
      <c r="AR31" s="38">
        <f t="shared" si="41"/>
        <v>73102.548387096758</v>
      </c>
      <c r="AS31" s="197">
        <f>SUM(AR31-AR30-AT31)</f>
        <v>0</v>
      </c>
      <c r="AT31" s="355"/>
      <c r="AU31" s="436"/>
      <c r="AV31" s="518">
        <f t="shared" si="42"/>
        <v>0.67400000000000004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237</v>
      </c>
      <c r="C32" s="203">
        <f t="shared" si="18"/>
        <v>5099.322580645161</v>
      </c>
      <c r="D32">
        <f t="shared" si="44"/>
        <v>237</v>
      </c>
      <c r="E32" s="203">
        <f t="shared" si="18"/>
        <v>5099.322580645161</v>
      </c>
      <c r="F32">
        <f t="shared" si="45"/>
        <v>237</v>
      </c>
      <c r="G32" s="203">
        <f t="shared" si="1"/>
        <v>5099.322580645161</v>
      </c>
      <c r="H32" s="203">
        <f t="shared" si="46"/>
        <v>237</v>
      </c>
      <c r="I32" s="203">
        <f t="shared" si="2"/>
        <v>5099.322580645161</v>
      </c>
      <c r="J32" s="203">
        <f t="shared" si="47"/>
        <v>237</v>
      </c>
      <c r="K32" s="203">
        <f t="shared" si="3"/>
        <v>5099.322580645161</v>
      </c>
      <c r="L32" s="203">
        <f t="shared" si="48"/>
        <v>237</v>
      </c>
      <c r="M32" s="203">
        <f t="shared" si="4"/>
        <v>5099.322580645161</v>
      </c>
      <c r="N32" s="203">
        <f t="shared" si="49"/>
        <v>237</v>
      </c>
      <c r="O32" s="203">
        <f t="shared" si="5"/>
        <v>5099.322580645161</v>
      </c>
      <c r="P32" s="203">
        <f t="shared" si="50"/>
        <v>237</v>
      </c>
      <c r="Q32" s="203">
        <f t="shared" si="6"/>
        <v>5099.322580645161</v>
      </c>
      <c r="R32" s="203">
        <f t="shared" si="51"/>
        <v>237</v>
      </c>
      <c r="S32" s="203">
        <f t="shared" si="7"/>
        <v>5099.322580645161</v>
      </c>
      <c r="T32" s="203">
        <f t="shared" si="52"/>
        <v>237</v>
      </c>
      <c r="U32" s="203">
        <f t="shared" si="8"/>
        <v>5099.322580645161</v>
      </c>
      <c r="V32" s="203">
        <f t="shared" si="53"/>
        <v>237</v>
      </c>
      <c r="W32" s="203">
        <f t="shared" si="9"/>
        <v>5099.322580645161</v>
      </c>
      <c r="X32" s="35">
        <f t="shared" si="54"/>
        <v>0.76451612903225785</v>
      </c>
      <c r="Y32" s="36">
        <f t="shared" si="55"/>
        <v>56092.548387096758</v>
      </c>
      <c r="Z32" s="203">
        <f>'B5'!C31</f>
        <v>243</v>
      </c>
      <c r="AA32" s="203">
        <f t="shared" si="30"/>
        <v>2430</v>
      </c>
      <c r="AB32" s="203">
        <f t="shared" si="56"/>
        <v>243</v>
      </c>
      <c r="AC32" s="203">
        <f t="shared" si="30"/>
        <v>2430</v>
      </c>
      <c r="AD32" s="203">
        <f t="shared" si="57"/>
        <v>243</v>
      </c>
      <c r="AE32" s="203">
        <f t="shared" si="11"/>
        <v>2430</v>
      </c>
      <c r="AF32" s="203">
        <f t="shared" si="58"/>
        <v>243</v>
      </c>
      <c r="AG32" s="203">
        <f t="shared" si="12"/>
        <v>2430</v>
      </c>
      <c r="AH32" s="203">
        <f t="shared" si="59"/>
        <v>243</v>
      </c>
      <c r="AI32" s="203">
        <f t="shared" si="13"/>
        <v>2430</v>
      </c>
      <c r="AJ32" s="203">
        <f t="shared" si="60"/>
        <v>243</v>
      </c>
      <c r="AK32" s="203">
        <f t="shared" si="14"/>
        <v>2430</v>
      </c>
      <c r="AL32" s="203">
        <f t="shared" si="61"/>
        <v>243</v>
      </c>
      <c r="AM32" s="203">
        <f t="shared" si="15"/>
        <v>2430</v>
      </c>
      <c r="AN32" s="35">
        <f t="shared" si="62"/>
        <v>0.86785714285714288</v>
      </c>
      <c r="AO32" s="36">
        <f t="shared" si="63"/>
        <v>17010</v>
      </c>
      <c r="AQ32" s="223">
        <f t="shared" si="37"/>
        <v>0.78630255337309629</v>
      </c>
      <c r="AR32" s="38">
        <f t="shared" si="41"/>
        <v>73102.548387096758</v>
      </c>
      <c r="AS32" s="197">
        <f t="shared" si="38"/>
        <v>0</v>
      </c>
      <c r="AT32" s="355"/>
      <c r="AU32" s="436"/>
      <c r="AV32" s="518">
        <f>IF(AT32&gt;0,AU32,AV31)</f>
        <v>0.67400000000000004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237</v>
      </c>
      <c r="C33" s="203">
        <f t="shared" si="18"/>
        <v>5099.322580645161</v>
      </c>
      <c r="D33">
        <f t="shared" si="44"/>
        <v>237</v>
      </c>
      <c r="E33" s="203">
        <f t="shared" si="18"/>
        <v>5099.322580645161</v>
      </c>
      <c r="F33">
        <f t="shared" si="45"/>
        <v>237</v>
      </c>
      <c r="G33" s="203">
        <f t="shared" si="1"/>
        <v>5099.322580645161</v>
      </c>
      <c r="H33" s="203">
        <f t="shared" si="46"/>
        <v>237</v>
      </c>
      <c r="I33" s="203">
        <f t="shared" si="2"/>
        <v>5099.322580645161</v>
      </c>
      <c r="J33" s="203">
        <f t="shared" si="47"/>
        <v>237</v>
      </c>
      <c r="K33" s="203">
        <f t="shared" si="3"/>
        <v>5099.322580645161</v>
      </c>
      <c r="L33" s="203">
        <f t="shared" si="48"/>
        <v>237</v>
      </c>
      <c r="M33" s="203">
        <f t="shared" si="4"/>
        <v>5099.322580645161</v>
      </c>
      <c r="N33" s="203">
        <f t="shared" si="49"/>
        <v>237</v>
      </c>
      <c r="O33" s="203">
        <f t="shared" si="5"/>
        <v>5099.322580645161</v>
      </c>
      <c r="P33" s="203">
        <f t="shared" si="50"/>
        <v>237</v>
      </c>
      <c r="Q33" s="203">
        <f t="shared" si="6"/>
        <v>5099.322580645161</v>
      </c>
      <c r="R33" s="203">
        <f t="shared" si="51"/>
        <v>237</v>
      </c>
      <c r="S33" s="203">
        <f t="shared" si="7"/>
        <v>5099.322580645161</v>
      </c>
      <c r="T33" s="203">
        <f t="shared" si="52"/>
        <v>237</v>
      </c>
      <c r="U33" s="203">
        <f t="shared" si="8"/>
        <v>5099.322580645161</v>
      </c>
      <c r="V33" s="203">
        <f t="shared" si="53"/>
        <v>237</v>
      </c>
      <c r="W33" s="203">
        <f t="shared" si="9"/>
        <v>5099.322580645161</v>
      </c>
      <c r="X33" s="35">
        <f t="shared" si="54"/>
        <v>0.76451612903225785</v>
      </c>
      <c r="Y33" s="36">
        <f t="shared" si="55"/>
        <v>56092.548387096758</v>
      </c>
      <c r="Z33" s="203">
        <f>'B5'!C32</f>
        <v>243</v>
      </c>
      <c r="AA33" s="203">
        <f t="shared" si="30"/>
        <v>2430</v>
      </c>
      <c r="AB33" s="203">
        <f t="shared" si="56"/>
        <v>243</v>
      </c>
      <c r="AC33" s="203">
        <f t="shared" si="30"/>
        <v>2430</v>
      </c>
      <c r="AD33" s="203">
        <f t="shared" si="57"/>
        <v>243</v>
      </c>
      <c r="AE33" s="203">
        <f t="shared" si="11"/>
        <v>2430</v>
      </c>
      <c r="AF33" s="203">
        <f t="shared" si="58"/>
        <v>243</v>
      </c>
      <c r="AG33" s="203">
        <f t="shared" si="12"/>
        <v>2430</v>
      </c>
      <c r="AH33" s="203">
        <f t="shared" si="59"/>
        <v>243</v>
      </c>
      <c r="AI33" s="203">
        <f t="shared" si="13"/>
        <v>2430</v>
      </c>
      <c r="AJ33" s="203">
        <f t="shared" si="60"/>
        <v>243</v>
      </c>
      <c r="AK33" s="203">
        <f t="shared" si="14"/>
        <v>2430</v>
      </c>
      <c r="AL33" s="203">
        <f t="shared" si="61"/>
        <v>243</v>
      </c>
      <c r="AM33" s="203">
        <f t="shared" si="15"/>
        <v>2430</v>
      </c>
      <c r="AN33" s="35">
        <f t="shared" si="62"/>
        <v>0.86785714285714288</v>
      </c>
      <c r="AO33" s="36">
        <f t="shared" si="63"/>
        <v>17010</v>
      </c>
      <c r="AQ33" s="223">
        <f t="shared" si="37"/>
        <v>0.78630255337309629</v>
      </c>
      <c r="AR33" s="38">
        <f t="shared" si="41"/>
        <v>73102.548387096758</v>
      </c>
      <c r="AS33" s="197">
        <f t="shared" si="38"/>
        <v>0</v>
      </c>
      <c r="AT33" s="355"/>
      <c r="AU33" s="436"/>
      <c r="AV33" s="518">
        <f>IF(AT33&gt;0,AU33,AV32)</f>
        <v>0.67400000000000004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2</v>
      </c>
      <c r="AT34" s="203">
        <f>SUM(AT6:AT33)</f>
        <v>7850.1</v>
      </c>
      <c r="AU34">
        <f>SUM(AU6:AU33)/AS34</f>
        <v>0.38700000000000001</v>
      </c>
      <c r="AX34" s="203">
        <f>SUM(AX6:AX33)</f>
        <v>-4924.4225806451668</v>
      </c>
      <c r="AY34" s="203">
        <f>SUM(AY6:AY33)</f>
        <v>-7543.4225806451668</v>
      </c>
    </row>
    <row r="35" spans="1:60">
      <c r="AS35" s="206"/>
      <c r="AT35">
        <f>+AT34*AU34</f>
        <v>3037.9887000000003</v>
      </c>
    </row>
    <row r="37" spans="1:60">
      <c r="AS37" s="165">
        <f>SUM(AS6:AS33)/'EDl log'!A32</f>
        <v>-942.92782258064585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-10.899999999999977</v>
      </c>
      <c r="J10" s="9">
        <f>'B5'!A12</f>
        <v>44235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44236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44237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44238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44239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44240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44241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-4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4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7"/>
      <c r="B1" s="634" t="s">
        <v>119</v>
      </c>
      <c r="C1" s="634" t="s">
        <v>118</v>
      </c>
      <c r="D1" s="639" t="s">
        <v>113</v>
      </c>
      <c r="E1" s="639" t="s">
        <v>114</v>
      </c>
      <c r="F1" s="640" t="s">
        <v>120</v>
      </c>
      <c r="G1" s="641" t="s">
        <v>75</v>
      </c>
      <c r="H1" s="642" t="s">
        <v>115</v>
      </c>
      <c r="I1" s="643" t="s">
        <v>116</v>
      </c>
      <c r="J1" s="642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38"/>
      <c r="B2" s="635"/>
      <c r="C2" s="635"/>
      <c r="D2" s="639"/>
      <c r="E2" s="639"/>
      <c r="F2" s="640"/>
      <c r="G2" s="641"/>
      <c r="H2" s="642"/>
      <c r="I2" s="644"/>
      <c r="J2" s="642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1</v>
      </c>
      <c r="G13" s="78">
        <f>WATER!BG13</f>
        <v>-10.899999999999977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-4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4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2" activePane="bottomLeft" state="frozen"/>
      <selection pane="bottomLeft" activeCell="F10" sqref="F1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.7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.7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.7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.7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.7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.75" thickBot="1">
      <c r="A11" s="4">
        <f>ELEC!C11</f>
        <v>44236</v>
      </c>
      <c r="B11" s="541">
        <f t="shared" ref="B10:B30" si="33">B10</f>
        <v>9565</v>
      </c>
      <c r="C11" s="287">
        <f t="shared" si="11"/>
        <v>0</v>
      </c>
      <c r="D11" s="542">
        <f t="shared" ref="D10:D30" si="34">D10</f>
        <v>315670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9"/>
        <v>0.25738396624472576</v>
      </c>
      <c r="AK11" s="289">
        <f t="shared" si="29"/>
        <v>0</v>
      </c>
    </row>
    <row r="12" spans="1:37" ht="15.75" thickBot="1">
      <c r="A12" s="4">
        <f>ELEC!C12</f>
        <v>44237</v>
      </c>
      <c r="B12" s="541">
        <f t="shared" si="33"/>
        <v>9565</v>
      </c>
      <c r="C12" s="287">
        <f t="shared" si="11"/>
        <v>0</v>
      </c>
      <c r="D12" s="542">
        <f t="shared" si="34"/>
        <v>315670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9"/>
        <v>0.25738396624472576</v>
      </c>
      <c r="AK12" s="289">
        <f t="shared" si="29"/>
        <v>0</v>
      </c>
    </row>
    <row r="13" spans="1:37" ht="15.75" thickBot="1">
      <c r="A13" s="4">
        <f>ELEC!C13</f>
        <v>44238</v>
      </c>
      <c r="B13" s="541">
        <f t="shared" si="33"/>
        <v>9565</v>
      </c>
      <c r="C13" s="287">
        <f t="shared" si="11"/>
        <v>0</v>
      </c>
      <c r="D13" s="542">
        <f t="shared" si="34"/>
        <v>315670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f t="shared" si="17"/>
        <v>11798</v>
      </c>
      <c r="S13" s="287">
        <f t="shared" si="5"/>
        <v>0</v>
      </c>
      <c r="T13" s="542">
        <f t="shared" si="18"/>
        <v>379229</v>
      </c>
      <c r="U13" s="287">
        <f t="shared" si="30"/>
        <v>0</v>
      </c>
      <c r="V13" s="287">
        <f t="shared" si="31"/>
        <v>0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9"/>
        <v>0.25738396624472576</v>
      </c>
      <c r="AK13" s="289">
        <f t="shared" si="29"/>
        <v>0</v>
      </c>
    </row>
    <row r="14" spans="1:37" ht="15.75" thickBot="1">
      <c r="A14" s="4">
        <f>ELEC!C14</f>
        <v>44239</v>
      </c>
      <c r="B14" s="541">
        <f t="shared" si="33"/>
        <v>9565</v>
      </c>
      <c r="C14" s="287">
        <f t="shared" si="11"/>
        <v>0</v>
      </c>
      <c r="D14" s="542">
        <f t="shared" si="34"/>
        <v>315670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f t="shared" si="17"/>
        <v>11798</v>
      </c>
      <c r="S14" s="287">
        <f t="shared" si="5"/>
        <v>0</v>
      </c>
      <c r="T14" s="542">
        <f t="shared" si="18"/>
        <v>379229</v>
      </c>
      <c r="U14" s="287">
        <f t="shared" si="30"/>
        <v>0</v>
      </c>
      <c r="V14" s="287">
        <f t="shared" si="31"/>
        <v>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9"/>
        <v>0.25738396624472576</v>
      </c>
      <c r="AK14" s="289">
        <f t="shared" si="29"/>
        <v>0</v>
      </c>
    </row>
    <row r="15" spans="1:37" ht="15.75" thickBot="1">
      <c r="A15" s="4">
        <f>ELEC!C15</f>
        <v>44240</v>
      </c>
      <c r="B15" s="541">
        <f t="shared" si="33"/>
        <v>9565</v>
      </c>
      <c r="C15" s="287">
        <f t="shared" si="11"/>
        <v>0</v>
      </c>
      <c r="D15" s="542">
        <f t="shared" si="34"/>
        <v>315670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11798</v>
      </c>
      <c r="S15" s="287">
        <f t="shared" si="5"/>
        <v>0</v>
      </c>
      <c r="T15" s="542">
        <f t="shared" si="18"/>
        <v>379229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9"/>
        <v>0.25738396624472576</v>
      </c>
      <c r="AK15" s="289">
        <f t="shared" si="29"/>
        <v>0</v>
      </c>
    </row>
    <row r="16" spans="1:37" ht="15.75" thickBot="1">
      <c r="A16" s="4">
        <f>ELEC!C16</f>
        <v>44241</v>
      </c>
      <c r="B16" s="541">
        <f t="shared" si="33"/>
        <v>9565</v>
      </c>
      <c r="C16" s="287">
        <f t="shared" si="11"/>
        <v>0</v>
      </c>
      <c r="D16" s="542">
        <f t="shared" si="34"/>
        <v>315670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11798</v>
      </c>
      <c r="S16" s="287">
        <f t="shared" si="5"/>
        <v>0</v>
      </c>
      <c r="T16" s="542">
        <f t="shared" si="18"/>
        <v>379229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9"/>
        <v>0.25738396624472576</v>
      </c>
      <c r="AK16" s="289">
        <f t="shared" si="29"/>
        <v>0</v>
      </c>
    </row>
    <row r="17" spans="1:37" ht="15.75" thickBot="1">
      <c r="A17" s="4">
        <f>ELEC!C17</f>
        <v>44242</v>
      </c>
      <c r="B17" s="541">
        <f t="shared" si="33"/>
        <v>9565</v>
      </c>
      <c r="C17" s="287">
        <f t="shared" si="11"/>
        <v>0</v>
      </c>
      <c r="D17" s="542">
        <f t="shared" si="34"/>
        <v>315670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11798</v>
      </c>
      <c r="S17" s="287">
        <f t="shared" si="5"/>
        <v>0</v>
      </c>
      <c r="T17" s="542">
        <f t="shared" si="18"/>
        <v>379229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9"/>
        <v>0.25738396624472576</v>
      </c>
      <c r="AK17" s="289">
        <f t="shared" ref="AK17:AK30" si="35">IF(Z17&gt;0,AI17/Z17,0)</f>
        <v>0</v>
      </c>
    </row>
    <row r="18" spans="1:37" ht="15.75" thickBot="1">
      <c r="A18" s="4">
        <f>ELEC!C18</f>
        <v>44243</v>
      </c>
      <c r="B18" s="541">
        <f t="shared" si="33"/>
        <v>9565</v>
      </c>
      <c r="C18" s="287">
        <f t="shared" si="11"/>
        <v>0</v>
      </c>
      <c r="D18" s="542">
        <f t="shared" si="34"/>
        <v>315670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11798</v>
      </c>
      <c r="S18" s="287">
        <f t="shared" si="5"/>
        <v>0</v>
      </c>
      <c r="T18" s="542">
        <f t="shared" si="18"/>
        <v>379229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9"/>
        <v>0.25738396624472576</v>
      </c>
      <c r="AK18" s="289">
        <f t="shared" si="35"/>
        <v>0</v>
      </c>
    </row>
    <row r="19" spans="1:37" ht="15.75" thickBot="1">
      <c r="A19" s="4">
        <f>ELEC!C19</f>
        <v>44244</v>
      </c>
      <c r="B19" s="541">
        <f t="shared" si="33"/>
        <v>9565</v>
      </c>
      <c r="C19" s="287">
        <f t="shared" si="11"/>
        <v>0</v>
      </c>
      <c r="D19" s="542">
        <f t="shared" si="34"/>
        <v>315670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6">IF(J19-P19&lt;=0,"ok","oil change")</f>
        <v>ok</v>
      </c>
      <c r="R19" s="542">
        <f t="shared" si="17"/>
        <v>11798</v>
      </c>
      <c r="S19" s="287">
        <f t="shared" si="5"/>
        <v>0</v>
      </c>
      <c r="T19" s="542">
        <f t="shared" si="18"/>
        <v>379229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9"/>
        <v>0.25738396624472576</v>
      </c>
      <c r="AK19" s="289">
        <f t="shared" si="35"/>
        <v>0</v>
      </c>
    </row>
    <row r="20" spans="1:37" ht="15.75" thickBot="1">
      <c r="A20" s="4">
        <f>ELEC!C20</f>
        <v>44245</v>
      </c>
      <c r="B20" s="541">
        <f t="shared" si="33"/>
        <v>9565</v>
      </c>
      <c r="C20" s="287">
        <f>B20-B19</f>
        <v>0</v>
      </c>
      <c r="D20" s="542">
        <f t="shared" si="34"/>
        <v>315670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6"/>
        <v>ok</v>
      </c>
      <c r="R20" s="542">
        <f t="shared" si="17"/>
        <v>11798</v>
      </c>
      <c r="S20" s="287">
        <f t="shared" si="5"/>
        <v>0</v>
      </c>
      <c r="T20" s="542">
        <f t="shared" si="18"/>
        <v>379229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5"/>
        <v>0</v>
      </c>
    </row>
    <row r="21" spans="1:37" ht="15.75" thickBot="1">
      <c r="A21" s="4">
        <f>ELEC!C21</f>
        <v>44246</v>
      </c>
      <c r="B21" s="541">
        <f t="shared" si="33"/>
        <v>9565</v>
      </c>
      <c r="C21" s="287">
        <f t="shared" ref="C21" si="37">B21-B20</f>
        <v>0</v>
      </c>
      <c r="D21" s="542">
        <f t="shared" si="34"/>
        <v>315670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6"/>
        <v>ok</v>
      </c>
      <c r="R21" s="542">
        <f t="shared" si="17"/>
        <v>11798</v>
      </c>
      <c r="S21" s="287">
        <f t="shared" si="5"/>
        <v>0</v>
      </c>
      <c r="T21" s="542">
        <f t="shared" si="18"/>
        <v>379229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5"/>
        <v>0</v>
      </c>
    </row>
    <row r="22" spans="1:37" ht="15.75" thickBot="1">
      <c r="A22" s="4">
        <f>ELEC!C22</f>
        <v>44247</v>
      </c>
      <c r="B22" s="541">
        <f t="shared" si="33"/>
        <v>9565</v>
      </c>
      <c r="C22" s="287">
        <f t="shared" si="11"/>
        <v>0</v>
      </c>
      <c r="D22" s="542">
        <f t="shared" si="34"/>
        <v>315670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6"/>
        <v>ok</v>
      </c>
      <c r="R22" s="542">
        <f t="shared" si="17"/>
        <v>11798</v>
      </c>
      <c r="S22" s="287">
        <f t="shared" si="5"/>
        <v>0</v>
      </c>
      <c r="T22" s="542">
        <f t="shared" si="18"/>
        <v>379229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5"/>
        <v>0</v>
      </c>
    </row>
    <row r="23" spans="1:37" ht="15.75" thickBot="1">
      <c r="A23" s="4">
        <f>ELEC!C23</f>
        <v>44248</v>
      </c>
      <c r="B23" s="541">
        <f t="shared" si="33"/>
        <v>9565</v>
      </c>
      <c r="C23" s="287">
        <f t="shared" si="11"/>
        <v>0</v>
      </c>
      <c r="D23" s="542">
        <f t="shared" si="34"/>
        <v>315670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6"/>
        <v>ok</v>
      </c>
      <c r="R23" s="542">
        <f t="shared" si="17"/>
        <v>11798</v>
      </c>
      <c r="S23" s="287">
        <f t="shared" si="5"/>
        <v>0</v>
      </c>
      <c r="T23" s="542">
        <f t="shared" si="18"/>
        <v>379229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5"/>
        <v>0</v>
      </c>
    </row>
    <row r="24" spans="1:37" ht="15.75" thickBot="1">
      <c r="A24" s="4">
        <f>ELEC!C24</f>
        <v>44249</v>
      </c>
      <c r="B24" s="541">
        <f t="shared" si="33"/>
        <v>9565</v>
      </c>
      <c r="C24" s="287">
        <f t="shared" si="11"/>
        <v>0</v>
      </c>
      <c r="D24" s="542">
        <f t="shared" si="34"/>
        <v>315670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6"/>
        <v>ok</v>
      </c>
      <c r="R24" s="542">
        <f t="shared" si="17"/>
        <v>11798</v>
      </c>
      <c r="S24" s="287">
        <f t="shared" si="5"/>
        <v>0</v>
      </c>
      <c r="T24" s="542">
        <f t="shared" si="18"/>
        <v>379229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5"/>
        <v>0</v>
      </c>
    </row>
    <row r="25" spans="1:37" ht="15.75" thickBot="1">
      <c r="A25" s="4">
        <f>ELEC!C25</f>
        <v>44250</v>
      </c>
      <c r="B25" s="541">
        <f t="shared" si="33"/>
        <v>9565</v>
      </c>
      <c r="C25" s="287">
        <f t="shared" si="11"/>
        <v>0</v>
      </c>
      <c r="D25" s="542">
        <f t="shared" si="34"/>
        <v>315670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6"/>
        <v>ok</v>
      </c>
      <c r="R25" s="542">
        <f t="shared" si="17"/>
        <v>11798</v>
      </c>
      <c r="S25" s="287">
        <f t="shared" si="5"/>
        <v>0</v>
      </c>
      <c r="T25" s="542">
        <f t="shared" si="18"/>
        <v>379229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5"/>
        <v>0</v>
      </c>
    </row>
    <row r="26" spans="1:37" ht="15.75" thickBot="1">
      <c r="A26" s="4">
        <f>ELEC!C26</f>
        <v>44251</v>
      </c>
      <c r="B26" s="541">
        <f t="shared" si="33"/>
        <v>9565</v>
      </c>
      <c r="C26" s="287">
        <f t="shared" si="11"/>
        <v>0</v>
      </c>
      <c r="D26" s="542">
        <f t="shared" si="34"/>
        <v>315670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6"/>
        <v>ok</v>
      </c>
      <c r="R26" s="542">
        <f t="shared" si="17"/>
        <v>11798</v>
      </c>
      <c r="S26" s="287">
        <f t="shared" si="5"/>
        <v>0</v>
      </c>
      <c r="T26" s="542">
        <f t="shared" si="18"/>
        <v>379229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5"/>
        <v>0</v>
      </c>
    </row>
    <row r="27" spans="1:37" ht="15.75" thickBot="1">
      <c r="A27" s="4">
        <f>ELEC!C27</f>
        <v>44252</v>
      </c>
      <c r="B27" s="541">
        <f t="shared" si="33"/>
        <v>9565</v>
      </c>
      <c r="C27" s="287">
        <f t="shared" si="11"/>
        <v>0</v>
      </c>
      <c r="D27" s="542">
        <f t="shared" si="34"/>
        <v>315670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6"/>
        <v>ok</v>
      </c>
      <c r="R27" s="542">
        <f t="shared" si="17"/>
        <v>11798</v>
      </c>
      <c r="S27" s="287">
        <f t="shared" si="5"/>
        <v>0</v>
      </c>
      <c r="T27" s="542">
        <f t="shared" si="18"/>
        <v>379229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5"/>
        <v>0</v>
      </c>
    </row>
    <row r="28" spans="1:37" ht="15.75" thickBot="1">
      <c r="A28" s="4">
        <f>ELEC!C28</f>
        <v>44253</v>
      </c>
      <c r="B28" s="541">
        <f t="shared" si="33"/>
        <v>9565</v>
      </c>
      <c r="C28" s="287">
        <f t="shared" si="11"/>
        <v>0</v>
      </c>
      <c r="D28" s="542">
        <f t="shared" si="34"/>
        <v>315670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6"/>
        <v>ok</v>
      </c>
      <c r="R28" s="542">
        <f t="shared" si="17"/>
        <v>11798</v>
      </c>
      <c r="S28" s="287">
        <f t="shared" si="5"/>
        <v>0</v>
      </c>
      <c r="T28" s="542">
        <f t="shared" si="18"/>
        <v>379229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5"/>
        <v>0</v>
      </c>
    </row>
    <row r="29" spans="1:37" ht="15.75" thickBot="1">
      <c r="A29" s="4">
        <f>ELEC!C29</f>
        <v>44254</v>
      </c>
      <c r="B29" s="541">
        <f t="shared" si="33"/>
        <v>9565</v>
      </c>
      <c r="C29" s="287">
        <f t="shared" si="11"/>
        <v>0</v>
      </c>
      <c r="D29" s="542">
        <f t="shared" si="34"/>
        <v>315670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6"/>
        <v>ok</v>
      </c>
      <c r="R29" s="542">
        <f t="shared" si="17"/>
        <v>11798</v>
      </c>
      <c r="S29" s="287">
        <f t="shared" si="5"/>
        <v>0</v>
      </c>
      <c r="T29" s="542">
        <f t="shared" si="18"/>
        <v>379229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5"/>
        <v>0</v>
      </c>
    </row>
    <row r="30" spans="1:37">
      <c r="A30" s="4">
        <f>ELEC!C30</f>
        <v>44255</v>
      </c>
      <c r="B30" s="541">
        <f t="shared" si="33"/>
        <v>9565</v>
      </c>
      <c r="C30" s="287">
        <f t="shared" si="11"/>
        <v>0</v>
      </c>
      <c r="D30" s="542">
        <f t="shared" si="34"/>
        <v>315670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6"/>
        <v>ok</v>
      </c>
      <c r="R30" s="542">
        <f t="shared" si="17"/>
        <v>11798</v>
      </c>
      <c r="S30" s="287">
        <f t="shared" si="5"/>
        <v>0</v>
      </c>
      <c r="T30" s="542">
        <f t="shared" si="18"/>
        <v>379229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5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27</v>
      </c>
      <c r="V31" s="40"/>
      <c r="X31">
        <v>341</v>
      </c>
      <c r="Z31" s="421">
        <f>SUM(Z3:Z30)</f>
        <v>27</v>
      </c>
    </row>
    <row r="32" spans="1:37">
      <c r="C32" s="40">
        <f>SUM(C3:C30)</f>
        <v>27</v>
      </c>
      <c r="K32" s="40">
        <f>SUM(K3:K30)</f>
        <v>0</v>
      </c>
      <c r="S32" s="40">
        <f>SUM(S3:S30)</f>
        <v>0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zoomScale="80" zoomScaleNormal="80" workbookViewId="0">
      <selection activeCell="K11" sqref="K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48.968308119267604</v>
      </c>
      <c r="P4" s="297">
        <f>SUM(L4:O4)</f>
        <v>283.39086201644835</v>
      </c>
      <c r="Q4" s="297">
        <f>SUM(-tanks!AX6*tanks!$AU$34)</f>
        <v>293.81414516128569</v>
      </c>
      <c r="R4" s="297">
        <f>SUM(P4:Q4)</f>
        <v>577.20500717773405</v>
      </c>
      <c r="S4" s="299">
        <f>SUM(ELEC!N3)</f>
        <v>6404.3999999999069</v>
      </c>
      <c r="T4" s="336">
        <f>IF(S4&gt;0,R4/S4,0)</f>
        <v>9.0126320526160528E-2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9"/>
      <c r="AC4" s="660"/>
    </row>
    <row r="5" spans="1:32" ht="15.7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48.968308119267604</v>
      </c>
      <c r="P5" s="297">
        <f t="shared" ref="P5:P31" si="9">SUM(L5:O5)</f>
        <v>268.47875588046162</v>
      </c>
      <c r="Q5" s="297">
        <f>SUM(-tanks!AX7*tanks!$AU$34)</f>
        <v>265.49448387096174</v>
      </c>
      <c r="R5" s="297">
        <f t="shared" ref="R5:R31" si="10">SUM(P5:Q5)</f>
        <v>533.97323975142331</v>
      </c>
      <c r="S5" s="299">
        <f>SUM(ELEC!N4)</f>
        <v>6622</v>
      </c>
      <c r="T5" s="336">
        <f>IF(S5&gt;0,R5/S5,0)</f>
        <v>8.063624882987365E-2</v>
      </c>
      <c r="U5" s="250"/>
      <c r="V5" s="653"/>
      <c r="W5" s="654"/>
      <c r="X5" s="654"/>
      <c r="Y5" s="655"/>
      <c r="Z5" s="26" t="s">
        <v>203</v>
      </c>
      <c r="AA5" s="264">
        <f>'[7]EDl log'!AA22</f>
        <v>5000</v>
      </c>
      <c r="AB5" s="661"/>
      <c r="AC5" s="662"/>
    </row>
    <row r="6" spans="1:32" ht="15.7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48.968308119267604</v>
      </c>
      <c r="P6" s="297">
        <f t="shared" si="9"/>
        <v>215.42137611263411</v>
      </c>
      <c r="Q6" s="297">
        <f>SUM(-tanks!AX8*tanks!$AU$34)</f>
        <v>362.89364516129922</v>
      </c>
      <c r="R6" s="297">
        <f t="shared" si="10"/>
        <v>578.31502127393333</v>
      </c>
      <c r="S6" s="299">
        <f>SUM(ELEC!N5)</f>
        <v>6753</v>
      </c>
      <c r="T6" s="336">
        <f t="shared" ref="T6:T31" si="12">IF(S6&gt;0,R6/S6,0)</f>
        <v>8.5638238008875073E-2</v>
      </c>
      <c r="V6" s="656"/>
      <c r="W6" s="657"/>
      <c r="X6" s="657"/>
      <c r="Y6" s="658"/>
      <c r="Z6" s="3"/>
      <c r="AA6" s="3"/>
      <c r="AB6" s="661"/>
      <c r="AC6" s="662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48.968308119267604</v>
      </c>
      <c r="P7" s="297">
        <f t="shared" si="9"/>
        <v>257.66349883236876</v>
      </c>
      <c r="Q7" s="297">
        <f>SUM(-tanks!AX9*tanks!$AU$34)</f>
        <v>353.21864516129358</v>
      </c>
      <c r="R7" s="297">
        <f t="shared" si="10"/>
        <v>610.88214399366234</v>
      </c>
      <c r="S7" s="299">
        <f>SUM(ELEC!N6)</f>
        <v>6587</v>
      </c>
      <c r="T7" s="336">
        <f t="shared" si="12"/>
        <v>9.2740571427609275E-2</v>
      </c>
      <c r="V7" s="649" t="s">
        <v>204</v>
      </c>
      <c r="W7" s="650"/>
      <c r="X7" s="651" t="s">
        <v>205</v>
      </c>
      <c r="Y7" s="652"/>
      <c r="Z7" s="650"/>
      <c r="AA7" s="26"/>
      <c r="AB7" s="663"/>
      <c r="AC7" s="664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48.968308119267604</v>
      </c>
      <c r="P8" s="297">
        <f t="shared" si="9"/>
        <v>249.50164145260095</v>
      </c>
      <c r="Q8" s="297">
        <f>SUM(-tanks!AX10*tanks!$AU$34)</f>
        <v>-172.06519354839145</v>
      </c>
      <c r="R8" s="297">
        <f t="shared" si="10"/>
        <v>77.436447904209501</v>
      </c>
      <c r="S8" s="299">
        <f>SUM(ELEC!N7)</f>
        <v>5932</v>
      </c>
      <c r="T8" s="336">
        <f>IF(S8&gt;0,R8/S8,0)</f>
        <v>1.3054020213116909E-2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48.968308119267604</v>
      </c>
      <c r="P9" s="297">
        <f t="shared" si="9"/>
        <v>266.49401292855447</v>
      </c>
      <c r="Q9" s="297">
        <f>SUM(-tanks!AX11*tanks!$AU$34)</f>
        <v>208.60548387095614</v>
      </c>
      <c r="R9" s="297">
        <f>SUM(P9:Q9)</f>
        <v>475.09949679951058</v>
      </c>
      <c r="S9" s="299">
        <f>SUM(ELEC!N8)</f>
        <v>5977</v>
      </c>
      <c r="T9" s="336">
        <f t="shared" si="12"/>
        <v>7.9487953287520591E-2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.7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48.968308119267604</v>
      </c>
      <c r="P10" s="297">
        <f t="shared" si="9"/>
        <v>258.92651707449147</v>
      </c>
      <c r="Q10" s="297">
        <f>SUM(-tanks!AX12*tanks!$AU$34)</f>
        <v>366.7636451612936</v>
      </c>
      <c r="R10" s="297">
        <f t="shared" si="10"/>
        <v>625.69016223578501</v>
      </c>
      <c r="S10" s="299">
        <f>SUM(ELEC!N9)</f>
        <v>6551.2000000001863</v>
      </c>
      <c r="T10" s="336">
        <f t="shared" si="12"/>
        <v>9.5507718011321172E-2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.7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48.968308119267604</v>
      </c>
      <c r="P11" s="297">
        <f t="shared" si="9"/>
        <v>261.8877111043422</v>
      </c>
      <c r="Q11" s="297">
        <f>SUM(-tanks!AX13*tanks!$AU$34)</f>
        <v>227.02668387098089</v>
      </c>
      <c r="R11" s="297">
        <f t="shared" si="10"/>
        <v>488.91439497532309</v>
      </c>
      <c r="S11" s="299">
        <f>SUM(ELEC!N10)</f>
        <v>6289.7999999998137</v>
      </c>
      <c r="T11" s="336">
        <f t="shared" si="12"/>
        <v>7.7731310212620044E-2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40">
        <f t="shared" ref="B11:B31" si="13">B11</f>
        <v>871763</v>
      </c>
      <c r="C12" s="264">
        <f t="shared" si="0"/>
        <v>0</v>
      </c>
      <c r="D12" s="308">
        <f t="shared" si="8"/>
        <v>0</v>
      </c>
      <c r="E12" s="308">
        <f t="shared" si="11"/>
        <v>871763</v>
      </c>
      <c r="F12" s="540">
        <f t="shared" ref="F11:J31" si="14">F11</f>
        <v>132118</v>
      </c>
      <c r="G12" s="160">
        <f t="shared" si="1"/>
        <v>0</v>
      </c>
      <c r="H12" s="540">
        <f t="shared" si="14"/>
        <v>433933</v>
      </c>
      <c r="I12" s="161">
        <f t="shared" si="2"/>
        <v>0</v>
      </c>
      <c r="J12" s="540">
        <f t="shared" si="14"/>
        <v>305721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48.968308119267604</v>
      </c>
      <c r="P12" s="297">
        <f t="shared" si="9"/>
        <v>48.968308119267604</v>
      </c>
      <c r="Q12" s="297">
        <f>SUM(-tanks!AX14*tanks!$AU$34)</f>
        <v>0</v>
      </c>
      <c r="R12" s="297">
        <f t="shared" si="10"/>
        <v>48.968308119267604</v>
      </c>
      <c r="S12" s="299">
        <f>SUM(ELEC!N11)</f>
        <v>0</v>
      </c>
      <c r="T12" s="336">
        <f t="shared" si="12"/>
        <v>0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.75" thickBot="1">
      <c r="A13" s="163">
        <f>ELEC!C12</f>
        <v>44237</v>
      </c>
      <c r="B13" s="540">
        <f t="shared" si="13"/>
        <v>871763</v>
      </c>
      <c r="C13" s="264">
        <f t="shared" si="0"/>
        <v>0</v>
      </c>
      <c r="D13" s="308">
        <f t="shared" si="8"/>
        <v>0</v>
      </c>
      <c r="E13" s="308">
        <f t="shared" si="11"/>
        <v>871763</v>
      </c>
      <c r="F13" s="540">
        <f t="shared" si="14"/>
        <v>132118</v>
      </c>
      <c r="G13" s="160">
        <f t="shared" si="1"/>
        <v>0</v>
      </c>
      <c r="H13" s="540">
        <f t="shared" si="14"/>
        <v>433933</v>
      </c>
      <c r="I13" s="161">
        <f t="shared" si="2"/>
        <v>0</v>
      </c>
      <c r="J13" s="540">
        <f t="shared" si="14"/>
        <v>305721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48.968308119267604</v>
      </c>
      <c r="P13" s="297">
        <f t="shared" si="9"/>
        <v>48.968308119267604</v>
      </c>
      <c r="Q13" s="297">
        <f>SUM(-tanks!AX15*tanks!$AU$34)</f>
        <v>0</v>
      </c>
      <c r="R13" s="297">
        <f t="shared" si="10"/>
        <v>48.968308119267604</v>
      </c>
      <c r="S13" s="299">
        <f>SUM(ELEC!N12)</f>
        <v>0</v>
      </c>
      <c r="T13" s="336">
        <f>IF(S13&gt;0,R13/S13,0)</f>
        <v>0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.75" thickBot="1">
      <c r="A14" s="163">
        <f>ELEC!C13</f>
        <v>44238</v>
      </c>
      <c r="B14" s="540">
        <f t="shared" si="13"/>
        <v>871763</v>
      </c>
      <c r="C14" s="264">
        <f t="shared" si="0"/>
        <v>0</v>
      </c>
      <c r="D14" s="308">
        <f t="shared" si="8"/>
        <v>0</v>
      </c>
      <c r="E14" s="308">
        <f t="shared" si="11"/>
        <v>871763</v>
      </c>
      <c r="F14" s="540">
        <f t="shared" si="14"/>
        <v>132118</v>
      </c>
      <c r="G14" s="160">
        <f t="shared" si="1"/>
        <v>0</v>
      </c>
      <c r="H14" s="540">
        <f t="shared" si="14"/>
        <v>433933</v>
      </c>
      <c r="I14" s="161">
        <f t="shared" si="2"/>
        <v>0</v>
      </c>
      <c r="J14" s="540">
        <f t="shared" si="14"/>
        <v>305721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7"/>
        <v>48.968308119267604</v>
      </c>
      <c r="P14" s="297">
        <f t="shared" ref="P14:P17" si="19">SUM(L14:O14)</f>
        <v>48.968308119267604</v>
      </c>
      <c r="Q14" s="297">
        <f>SUM(-tanks!AX16*tanks!$AU$34)</f>
        <v>0</v>
      </c>
      <c r="R14" s="297">
        <f t="shared" ref="R14:R17" si="20">SUM(P14:Q14)</f>
        <v>48.968308119267604</v>
      </c>
      <c r="S14" s="299">
        <f>SUM(ELEC!N13)</f>
        <v>0</v>
      </c>
      <c r="T14" s="336">
        <f t="shared" ref="T14:T17" si="21">IF(S14&gt;0,R14/S14,0)</f>
        <v>0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.75" thickBot="1">
      <c r="A15" s="163">
        <f>ELEC!C14</f>
        <v>44239</v>
      </c>
      <c r="B15" s="540">
        <f t="shared" si="13"/>
        <v>871763</v>
      </c>
      <c r="C15" s="264">
        <f t="shared" si="0"/>
        <v>0</v>
      </c>
      <c r="D15" s="308">
        <f t="shared" si="8"/>
        <v>0</v>
      </c>
      <c r="E15" s="308">
        <f t="shared" si="11"/>
        <v>871763</v>
      </c>
      <c r="F15" s="540">
        <f t="shared" si="14"/>
        <v>132118</v>
      </c>
      <c r="G15" s="160">
        <f t="shared" si="1"/>
        <v>0</v>
      </c>
      <c r="H15" s="540">
        <f t="shared" si="14"/>
        <v>433933</v>
      </c>
      <c r="I15" s="161">
        <f t="shared" si="2"/>
        <v>0</v>
      </c>
      <c r="J15" s="540">
        <f t="shared" si="14"/>
        <v>305721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7"/>
        <v>48.968308119267604</v>
      </c>
      <c r="P15" s="297">
        <f t="shared" si="19"/>
        <v>48.968308119267604</v>
      </c>
      <c r="Q15" s="297">
        <f>SUM(-tanks!AX17*tanks!$AU$34)</f>
        <v>0</v>
      </c>
      <c r="R15" s="297">
        <f t="shared" si="20"/>
        <v>48.968308119267604</v>
      </c>
      <c r="S15" s="299">
        <f>SUM(ELEC!N14)</f>
        <v>0</v>
      </c>
      <c r="T15" s="336">
        <f t="shared" si="21"/>
        <v>0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.75" thickBot="1">
      <c r="A16" s="163">
        <f>ELEC!C15</f>
        <v>44240</v>
      </c>
      <c r="B16" s="540">
        <f t="shared" si="13"/>
        <v>871763</v>
      </c>
      <c r="C16" s="264">
        <f t="shared" si="0"/>
        <v>0</v>
      </c>
      <c r="D16" s="308">
        <f t="shared" si="8"/>
        <v>0</v>
      </c>
      <c r="E16" s="308">
        <f t="shared" si="11"/>
        <v>871763</v>
      </c>
      <c r="F16" s="540">
        <f t="shared" si="14"/>
        <v>132118</v>
      </c>
      <c r="G16" s="160">
        <f t="shared" si="1"/>
        <v>0</v>
      </c>
      <c r="H16" s="540">
        <f t="shared" si="14"/>
        <v>433933</v>
      </c>
      <c r="I16" s="161">
        <f t="shared" si="2"/>
        <v>0</v>
      </c>
      <c r="J16" s="540">
        <f t="shared" si="14"/>
        <v>305721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7"/>
        <v>48.968308119267604</v>
      </c>
      <c r="P16" s="297">
        <f t="shared" si="19"/>
        <v>48.968308119267604</v>
      </c>
      <c r="Q16" s="297">
        <f>SUM(-tanks!AX18*tanks!$AU$34)</f>
        <v>0</v>
      </c>
      <c r="R16" s="297">
        <f t="shared" si="20"/>
        <v>48.968308119267604</v>
      </c>
      <c r="S16" s="299">
        <f>SUM(ELEC!N15)</f>
        <v>0</v>
      </c>
      <c r="T16" s="336">
        <f t="shared" si="21"/>
        <v>0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.75" thickBot="1">
      <c r="A17" s="163">
        <f>ELEC!C16</f>
        <v>44241</v>
      </c>
      <c r="B17" s="540">
        <f t="shared" si="13"/>
        <v>871763</v>
      </c>
      <c r="C17" s="264">
        <f t="shared" si="0"/>
        <v>0</v>
      </c>
      <c r="D17" s="308">
        <f t="shared" si="8"/>
        <v>0</v>
      </c>
      <c r="E17" s="308">
        <f t="shared" si="11"/>
        <v>871763</v>
      </c>
      <c r="F17" s="540">
        <f t="shared" si="14"/>
        <v>132118</v>
      </c>
      <c r="G17" s="160">
        <f t="shared" si="1"/>
        <v>0</v>
      </c>
      <c r="H17" s="540">
        <f t="shared" si="14"/>
        <v>433933</v>
      </c>
      <c r="I17" s="161">
        <f t="shared" si="2"/>
        <v>0</v>
      </c>
      <c r="J17" s="540">
        <f t="shared" si="14"/>
        <v>305721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7"/>
        <v>48.968308119267604</v>
      </c>
      <c r="P17" s="297">
        <f t="shared" si="19"/>
        <v>48.968308119267604</v>
      </c>
      <c r="Q17" s="297">
        <f>SUM(-tanks!AX19*tanks!$AU$34)</f>
        <v>0</v>
      </c>
      <c r="R17" s="297">
        <f t="shared" si="20"/>
        <v>48.968308119267604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.75" thickBot="1">
      <c r="A18" s="163">
        <f>ELEC!C17</f>
        <v>44242</v>
      </c>
      <c r="B18" s="540">
        <f t="shared" si="13"/>
        <v>871763</v>
      </c>
      <c r="C18" s="264">
        <f t="shared" si="0"/>
        <v>0</v>
      </c>
      <c r="D18" s="308">
        <f t="shared" si="8"/>
        <v>0</v>
      </c>
      <c r="E18" s="308">
        <f t="shared" si="11"/>
        <v>871763</v>
      </c>
      <c r="F18" s="540">
        <f t="shared" si="14"/>
        <v>132118</v>
      </c>
      <c r="G18" s="160">
        <f t="shared" si="1"/>
        <v>0</v>
      </c>
      <c r="H18" s="540">
        <f t="shared" si="14"/>
        <v>433933</v>
      </c>
      <c r="I18" s="161">
        <f t="shared" si="2"/>
        <v>0</v>
      </c>
      <c r="J18" s="540">
        <f t="shared" si="14"/>
        <v>305721</v>
      </c>
      <c r="K18" s="162">
        <f t="shared" si="3"/>
        <v>0</v>
      </c>
      <c r="L18" s="296">
        <f t="shared" ref="L18:L31" si="22">SUM(G18*$Y$28)/1507.5</f>
        <v>0</v>
      </c>
      <c r="M18" s="296">
        <f t="shared" ref="M18:M31" si="23">SUM(I18*$Y$27)/1507.5</f>
        <v>0</v>
      </c>
      <c r="N18" s="296">
        <f t="shared" ref="N18:N31" si="24">SUM(K18*$Y$26)/1507.5</f>
        <v>0</v>
      </c>
      <c r="O18" s="296">
        <f t="shared" si="7"/>
        <v>48.968308119267604</v>
      </c>
      <c r="P18" s="297">
        <f t="shared" si="9"/>
        <v>48.968308119267604</v>
      </c>
      <c r="Q18" s="297">
        <f>SUM(-tanks!AX20*tanks!$AU$34)</f>
        <v>0</v>
      </c>
      <c r="R18" s="297">
        <f t="shared" si="10"/>
        <v>48.968308119267604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.75" thickBot="1">
      <c r="A19" s="163">
        <f>ELEC!C18</f>
        <v>44243</v>
      </c>
      <c r="B19" s="540">
        <f t="shared" si="13"/>
        <v>871763</v>
      </c>
      <c r="C19" s="264">
        <f t="shared" si="0"/>
        <v>0</v>
      </c>
      <c r="D19" s="308">
        <f t="shared" si="8"/>
        <v>0</v>
      </c>
      <c r="E19" s="308">
        <f t="shared" si="11"/>
        <v>871763</v>
      </c>
      <c r="F19" s="540">
        <f t="shared" si="14"/>
        <v>132118</v>
      </c>
      <c r="G19" s="160">
        <f t="shared" si="1"/>
        <v>0</v>
      </c>
      <c r="H19" s="540">
        <f t="shared" si="14"/>
        <v>433933</v>
      </c>
      <c r="I19" s="161">
        <f t="shared" si="2"/>
        <v>0</v>
      </c>
      <c r="J19" s="540">
        <f t="shared" si="14"/>
        <v>305721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7"/>
        <v>48.968308119267604</v>
      </c>
      <c r="P19" s="297">
        <f t="shared" si="9"/>
        <v>48.968308119267604</v>
      </c>
      <c r="Q19" s="297">
        <f>SUM(-tanks!AX21*tanks!$AU$34)</f>
        <v>0</v>
      </c>
      <c r="R19" s="297">
        <f t="shared" si="10"/>
        <v>48.968308119267604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.75" thickBot="1">
      <c r="A20" s="163">
        <f>ELEC!C19</f>
        <v>44244</v>
      </c>
      <c r="B20" s="540">
        <f t="shared" si="13"/>
        <v>871763</v>
      </c>
      <c r="C20" s="264">
        <f t="shared" si="0"/>
        <v>0</v>
      </c>
      <c r="D20" s="308">
        <f t="shared" si="8"/>
        <v>0</v>
      </c>
      <c r="E20" s="308">
        <f t="shared" si="11"/>
        <v>871763</v>
      </c>
      <c r="F20" s="540">
        <f t="shared" si="14"/>
        <v>132118</v>
      </c>
      <c r="G20" s="160">
        <f t="shared" si="1"/>
        <v>0</v>
      </c>
      <c r="H20" s="540">
        <f t="shared" si="14"/>
        <v>433933</v>
      </c>
      <c r="I20" s="161">
        <f t="shared" si="2"/>
        <v>0</v>
      </c>
      <c r="J20" s="540">
        <f t="shared" si="14"/>
        <v>305721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7"/>
        <v>48.968308119267604</v>
      </c>
      <c r="P20" s="297">
        <f t="shared" si="9"/>
        <v>48.968308119267604</v>
      </c>
      <c r="Q20" s="297">
        <f>SUM(-tanks!AX22*tanks!$AU$34)</f>
        <v>0</v>
      </c>
      <c r="R20" s="297">
        <f t="shared" si="10"/>
        <v>48.968308119267604</v>
      </c>
      <c r="S20" s="299">
        <f>SUM(ELEC!N19)</f>
        <v>0</v>
      </c>
      <c r="T20" s="336">
        <f t="shared" si="12"/>
        <v>0</v>
      </c>
      <c r="V20" t="s">
        <v>412</v>
      </c>
      <c r="AB20" s="571"/>
    </row>
    <row r="21" spans="1:32" ht="15.75" thickBot="1">
      <c r="A21" s="163">
        <f>ELEC!C20</f>
        <v>44245</v>
      </c>
      <c r="B21" s="540">
        <f t="shared" si="13"/>
        <v>871763</v>
      </c>
      <c r="C21" s="264">
        <f t="shared" si="0"/>
        <v>0</v>
      </c>
      <c r="D21" s="308">
        <f t="shared" si="8"/>
        <v>0</v>
      </c>
      <c r="E21" s="308">
        <f t="shared" si="11"/>
        <v>871763</v>
      </c>
      <c r="F21" s="540">
        <f t="shared" si="14"/>
        <v>132118</v>
      </c>
      <c r="G21" s="160">
        <f t="shared" si="1"/>
        <v>0</v>
      </c>
      <c r="H21" s="540">
        <f t="shared" si="14"/>
        <v>433933</v>
      </c>
      <c r="I21" s="161">
        <f t="shared" si="2"/>
        <v>0</v>
      </c>
      <c r="J21" s="540">
        <f t="shared" si="14"/>
        <v>305721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7"/>
        <v>48.968308119267604</v>
      </c>
      <c r="P21" s="297">
        <f t="shared" si="9"/>
        <v>48.968308119267604</v>
      </c>
      <c r="Q21" s="297">
        <f>SUM(-tanks!AX23*tanks!$AU$34)</f>
        <v>0</v>
      </c>
      <c r="R21" s="297">
        <f t="shared" si="10"/>
        <v>48.968308119267604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9"/>
      <c r="AC21" s="660"/>
    </row>
    <row r="22" spans="1:32" ht="15.75" thickBot="1">
      <c r="A22" s="163">
        <f>ELEC!C21</f>
        <v>44246</v>
      </c>
      <c r="B22" s="540">
        <f t="shared" si="13"/>
        <v>871763</v>
      </c>
      <c r="C22" s="264">
        <f t="shared" si="0"/>
        <v>0</v>
      </c>
      <c r="D22" s="308">
        <f t="shared" si="8"/>
        <v>0</v>
      </c>
      <c r="E22" s="308">
        <f t="shared" si="11"/>
        <v>871763</v>
      </c>
      <c r="F22" s="540">
        <f t="shared" si="14"/>
        <v>132118</v>
      </c>
      <c r="G22" s="160">
        <f t="shared" si="1"/>
        <v>0</v>
      </c>
      <c r="H22" s="540">
        <f t="shared" si="14"/>
        <v>433933</v>
      </c>
      <c r="I22" s="161">
        <f t="shared" si="2"/>
        <v>0</v>
      </c>
      <c r="J22" s="540">
        <f t="shared" si="14"/>
        <v>305721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7"/>
        <v>48.968308119267604</v>
      </c>
      <c r="P22" s="297">
        <f t="shared" si="9"/>
        <v>48.968308119267604</v>
      </c>
      <c r="Q22" s="297">
        <f>SUM(-tanks!AX24*tanks!$AU$34)</f>
        <v>0</v>
      </c>
      <c r="R22" s="297">
        <f t="shared" si="10"/>
        <v>48.968308119267604</v>
      </c>
      <c r="S22" s="299">
        <f>SUM(ELEC!N21)</f>
        <v>0</v>
      </c>
      <c r="T22" s="336">
        <f t="shared" si="12"/>
        <v>0</v>
      </c>
      <c r="V22" s="665"/>
      <c r="W22" s="666"/>
      <c r="X22" s="666"/>
      <c r="Y22" s="667"/>
      <c r="Z22" s="26" t="s">
        <v>203</v>
      </c>
      <c r="AA22" s="26">
        <v>5000</v>
      </c>
      <c r="AB22" s="661"/>
      <c r="AC22" s="662"/>
    </row>
    <row r="23" spans="1:32" ht="15.75" thickBot="1">
      <c r="A23" s="163">
        <f>ELEC!C22</f>
        <v>44247</v>
      </c>
      <c r="B23" s="540">
        <f t="shared" si="13"/>
        <v>871763</v>
      </c>
      <c r="C23" s="264">
        <f t="shared" si="0"/>
        <v>0</v>
      </c>
      <c r="D23" s="308">
        <f t="shared" si="8"/>
        <v>0</v>
      </c>
      <c r="E23" s="308">
        <f t="shared" si="11"/>
        <v>871763</v>
      </c>
      <c r="F23" s="540">
        <f t="shared" si="14"/>
        <v>132118</v>
      </c>
      <c r="G23" s="160">
        <f t="shared" si="1"/>
        <v>0</v>
      </c>
      <c r="H23" s="540">
        <f t="shared" si="14"/>
        <v>433933</v>
      </c>
      <c r="I23" s="161">
        <f t="shared" si="2"/>
        <v>0</v>
      </c>
      <c r="J23" s="540">
        <f t="shared" si="14"/>
        <v>305721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7"/>
        <v>48.968308119267604</v>
      </c>
      <c r="P23" s="297">
        <f t="shared" si="9"/>
        <v>48.968308119267604</v>
      </c>
      <c r="Q23" s="297">
        <f>SUM(-tanks!AX25*tanks!$AU$34)</f>
        <v>0</v>
      </c>
      <c r="R23" s="297">
        <f t="shared" si="10"/>
        <v>48.968308119267604</v>
      </c>
      <c r="S23" s="299">
        <f>SUM(ELEC!N22)</f>
        <v>0</v>
      </c>
      <c r="T23" s="336">
        <f t="shared" si="12"/>
        <v>0</v>
      </c>
      <c r="V23" s="668"/>
      <c r="W23" s="669"/>
      <c r="X23" s="669"/>
      <c r="Y23" s="670"/>
      <c r="Z23" s="671"/>
      <c r="AA23" s="672"/>
      <c r="AB23" s="661"/>
      <c r="AC23" s="662"/>
    </row>
    <row r="24" spans="1:32" ht="15" customHeight="1" thickBot="1">
      <c r="A24" s="163">
        <f>ELEC!C23</f>
        <v>44248</v>
      </c>
      <c r="B24" s="540">
        <f t="shared" si="13"/>
        <v>871763</v>
      </c>
      <c r="C24" s="264">
        <f t="shared" si="0"/>
        <v>0</v>
      </c>
      <c r="D24" s="308">
        <f t="shared" si="8"/>
        <v>0</v>
      </c>
      <c r="E24" s="308">
        <f t="shared" si="11"/>
        <v>871763</v>
      </c>
      <c r="F24" s="540">
        <f t="shared" si="14"/>
        <v>132118</v>
      </c>
      <c r="G24" s="160">
        <f t="shared" si="1"/>
        <v>0</v>
      </c>
      <c r="H24" s="540">
        <f t="shared" si="14"/>
        <v>433933</v>
      </c>
      <c r="I24" s="161">
        <f t="shared" si="2"/>
        <v>0</v>
      </c>
      <c r="J24" s="540">
        <f t="shared" si="14"/>
        <v>305721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7"/>
        <v>48.968308119267604</v>
      </c>
      <c r="P24" s="297">
        <f t="shared" si="9"/>
        <v>48.968308119267604</v>
      </c>
      <c r="Q24" s="297">
        <f>SUM(-tanks!AX26*tanks!$AU$34)</f>
        <v>0</v>
      </c>
      <c r="R24" s="297">
        <f t="shared" si="10"/>
        <v>48.968308119267604</v>
      </c>
      <c r="S24" s="299">
        <f>SUM(ELEC!N23)</f>
        <v>0</v>
      </c>
      <c r="T24" s="336">
        <f t="shared" si="12"/>
        <v>0</v>
      </c>
      <c r="V24" s="673" t="s">
        <v>204</v>
      </c>
      <c r="W24" s="674"/>
      <c r="X24" s="675" t="s">
        <v>205</v>
      </c>
      <c r="Y24" s="676"/>
      <c r="Z24" s="677"/>
      <c r="AA24" s="170"/>
      <c r="AB24" s="663"/>
      <c r="AC24" s="664"/>
    </row>
    <row r="25" spans="1:32" ht="17.25" customHeight="1" thickBot="1">
      <c r="A25" s="163">
        <f>ELEC!C24</f>
        <v>44249</v>
      </c>
      <c r="B25" s="540">
        <f t="shared" si="13"/>
        <v>871763</v>
      </c>
      <c r="C25" s="264">
        <f t="shared" si="0"/>
        <v>0</v>
      </c>
      <c r="D25" s="308">
        <f t="shared" si="8"/>
        <v>0</v>
      </c>
      <c r="E25" s="308">
        <f t="shared" si="11"/>
        <v>871763</v>
      </c>
      <c r="F25" s="540">
        <f t="shared" si="14"/>
        <v>132118</v>
      </c>
      <c r="G25" s="160">
        <f t="shared" si="1"/>
        <v>0</v>
      </c>
      <c r="H25" s="540">
        <f t="shared" si="14"/>
        <v>433933</v>
      </c>
      <c r="I25" s="161">
        <f t="shared" si="2"/>
        <v>0</v>
      </c>
      <c r="J25" s="540">
        <f t="shared" si="14"/>
        <v>305721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7"/>
        <v>48.968308119267604</v>
      </c>
      <c r="P25" s="297">
        <f t="shared" si="9"/>
        <v>48.968308119267604</v>
      </c>
      <c r="Q25" s="297">
        <f>SUM(-tanks!AX27*tanks!$AU$34)</f>
        <v>0</v>
      </c>
      <c r="R25" s="297">
        <f t="shared" si="10"/>
        <v>48.968308119267604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40">
        <f t="shared" si="13"/>
        <v>871763</v>
      </c>
      <c r="C26" s="264">
        <f t="shared" si="0"/>
        <v>0</v>
      </c>
      <c r="D26" s="308">
        <f t="shared" si="8"/>
        <v>0</v>
      </c>
      <c r="E26" s="308">
        <f t="shared" si="11"/>
        <v>871763</v>
      </c>
      <c r="F26" s="540">
        <f t="shared" si="14"/>
        <v>132118</v>
      </c>
      <c r="G26" s="160">
        <f t="shared" si="1"/>
        <v>0</v>
      </c>
      <c r="H26" s="540">
        <f t="shared" si="14"/>
        <v>433933</v>
      </c>
      <c r="I26" s="161">
        <f t="shared" si="2"/>
        <v>0</v>
      </c>
      <c r="J26" s="540">
        <f t="shared" si="14"/>
        <v>305721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7"/>
        <v>48.968308119267604</v>
      </c>
      <c r="P26" s="297">
        <f t="shared" si="9"/>
        <v>48.968308119267604</v>
      </c>
      <c r="Q26" s="297">
        <f>SUM(-tanks!AX28*tanks!$AU$34)</f>
        <v>0</v>
      </c>
      <c r="R26" s="297">
        <f t="shared" si="10"/>
        <v>48.968308119267604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305721</v>
      </c>
      <c r="X26" s="172" t="s">
        <v>199</v>
      </c>
      <c r="Y26" s="172">
        <v>80</v>
      </c>
      <c r="Z26" s="172">
        <v>1</v>
      </c>
      <c r="AA26" s="338">
        <f>(W26-V26)*Z26</f>
        <v>7831</v>
      </c>
      <c r="AB26" s="338">
        <f>AA26*Y26</f>
        <v>626480</v>
      </c>
      <c r="AC26" s="249">
        <f>AC9</f>
        <v>1033333</v>
      </c>
      <c r="AD26" s="212">
        <f>SUM(K33)</f>
        <v>0.37856315818492586</v>
      </c>
    </row>
    <row r="27" spans="1:32" ht="15.75" thickBot="1">
      <c r="A27" s="163">
        <f>ELEC!C26</f>
        <v>44251</v>
      </c>
      <c r="B27" s="540">
        <f t="shared" si="13"/>
        <v>871763</v>
      </c>
      <c r="C27" s="264">
        <f t="shared" si="0"/>
        <v>0</v>
      </c>
      <c r="D27" s="308">
        <f t="shared" si="8"/>
        <v>0</v>
      </c>
      <c r="E27" s="308">
        <f t="shared" si="11"/>
        <v>871763</v>
      </c>
      <c r="F27" s="540">
        <f t="shared" si="14"/>
        <v>132118</v>
      </c>
      <c r="G27" s="160">
        <f t="shared" si="1"/>
        <v>0</v>
      </c>
      <c r="H27" s="540">
        <f t="shared" si="14"/>
        <v>433933</v>
      </c>
      <c r="I27" s="161">
        <f t="shared" si="2"/>
        <v>0</v>
      </c>
      <c r="J27" s="540">
        <f t="shared" si="14"/>
        <v>305721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7"/>
        <v>48.968308119267604</v>
      </c>
      <c r="P27" s="297">
        <f t="shared" si="9"/>
        <v>48.968308119267604</v>
      </c>
      <c r="Q27" s="297">
        <f>SUM(-tanks!AX29*tanks!$AU$34)</f>
        <v>0</v>
      </c>
      <c r="R27" s="297">
        <f t="shared" si="10"/>
        <v>48.968308119267604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433933</v>
      </c>
      <c r="X27" s="172" t="s">
        <v>213</v>
      </c>
      <c r="Y27" s="172">
        <v>112</v>
      </c>
      <c r="Z27" s="172">
        <v>1</v>
      </c>
      <c r="AA27" s="338">
        <f>(W27-V27)*Z27</f>
        <v>8826</v>
      </c>
      <c r="AB27" s="338">
        <f>SUM(AA27*Y27)</f>
        <v>988512</v>
      </c>
      <c r="AC27" s="249">
        <f>AC10</f>
        <v>6200000</v>
      </c>
      <c r="AD27" s="212">
        <f>SUM(I33)</f>
        <v>0.43507746595357555</v>
      </c>
    </row>
    <row r="28" spans="1:32" ht="15.75" thickBot="1">
      <c r="A28" s="163">
        <f>ELEC!C27</f>
        <v>44252</v>
      </c>
      <c r="B28" s="540">
        <f t="shared" si="13"/>
        <v>871763</v>
      </c>
      <c r="C28" s="264">
        <f t="shared" si="0"/>
        <v>0</v>
      </c>
      <c r="D28" s="308">
        <f t="shared" si="8"/>
        <v>0</v>
      </c>
      <c r="E28" s="308">
        <f t="shared" si="11"/>
        <v>871763</v>
      </c>
      <c r="F28" s="540">
        <f t="shared" si="14"/>
        <v>132118</v>
      </c>
      <c r="G28" s="160">
        <f t="shared" si="1"/>
        <v>0</v>
      </c>
      <c r="H28" s="540">
        <f t="shared" si="14"/>
        <v>433933</v>
      </c>
      <c r="I28" s="161">
        <f t="shared" si="2"/>
        <v>0</v>
      </c>
      <c r="J28" s="540">
        <f t="shared" si="14"/>
        <v>305721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7"/>
        <v>48.968308119267604</v>
      </c>
      <c r="P28" s="297">
        <f t="shared" si="9"/>
        <v>48.968308119267604</v>
      </c>
      <c r="Q28" s="297">
        <f>SUM(-tanks!AX30*tanks!$AU$34)</f>
        <v>0</v>
      </c>
      <c r="R28" s="297">
        <f t="shared" si="10"/>
        <v>48.968308119267604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132118</v>
      </c>
      <c r="X28" s="172" t="s">
        <v>197</v>
      </c>
      <c r="Y28" s="172">
        <v>320</v>
      </c>
      <c r="Z28" s="172">
        <v>1</v>
      </c>
      <c r="AA28" s="338">
        <f>(W28-V28)*Z28</f>
        <v>3835</v>
      </c>
      <c r="AB28" s="338">
        <f>SUM(AA28*Y28)</f>
        <v>1227200</v>
      </c>
      <c r="AC28" s="249">
        <f>AC11</f>
        <v>1000</v>
      </c>
      <c r="AD28" s="212">
        <f>SUM(G33)</f>
        <v>0.18685559905166235</v>
      </c>
      <c r="AE28" s="40">
        <f>SUM(AB28*5%)</f>
        <v>61360</v>
      </c>
      <c r="AF28" s="82">
        <f>SUM(AE28/7)*31</f>
        <v>271737.1428571429</v>
      </c>
    </row>
    <row r="29" spans="1:32" ht="15.75" thickBot="1">
      <c r="A29" s="163">
        <f>ELEC!C28</f>
        <v>44253</v>
      </c>
      <c r="B29" s="540">
        <f t="shared" si="13"/>
        <v>871763</v>
      </c>
      <c r="C29" s="264">
        <f t="shared" si="0"/>
        <v>0</v>
      </c>
      <c r="D29" s="308">
        <f t="shared" si="8"/>
        <v>0</v>
      </c>
      <c r="E29" s="308">
        <f t="shared" si="11"/>
        <v>871763</v>
      </c>
      <c r="F29" s="540">
        <f t="shared" si="14"/>
        <v>132118</v>
      </c>
      <c r="G29" s="160">
        <f t="shared" si="1"/>
        <v>0</v>
      </c>
      <c r="H29" s="540">
        <f t="shared" si="14"/>
        <v>433933</v>
      </c>
      <c r="I29" s="161">
        <f t="shared" si="2"/>
        <v>0</v>
      </c>
      <c r="J29" s="540">
        <f t="shared" si="14"/>
        <v>305721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7"/>
        <v>48.968308119267604</v>
      </c>
      <c r="P29" s="297">
        <f t="shared" si="9"/>
        <v>48.968308119267604</v>
      </c>
      <c r="Q29" s="297">
        <f>SUM(-tanks!AX31*tanks!$AU$34)</f>
        <v>0</v>
      </c>
      <c r="R29" s="297">
        <f t="shared" si="10"/>
        <v>48.968308119267604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20492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13"/>
        <v>871763</v>
      </c>
      <c r="C30" s="264">
        <f t="shared" si="0"/>
        <v>0</v>
      </c>
      <c r="D30" s="308">
        <f t="shared" si="8"/>
        <v>0</v>
      </c>
      <c r="E30" s="308">
        <f t="shared" si="11"/>
        <v>871763</v>
      </c>
      <c r="F30" s="540">
        <f t="shared" si="14"/>
        <v>132118</v>
      </c>
      <c r="G30" s="160">
        <f t="shared" si="1"/>
        <v>0</v>
      </c>
      <c r="H30" s="540">
        <f t="shared" si="14"/>
        <v>433933</v>
      </c>
      <c r="I30" s="161">
        <f t="shared" si="2"/>
        <v>0</v>
      </c>
      <c r="J30" s="540">
        <f t="shared" si="14"/>
        <v>305721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7"/>
        <v>48.968308119267604</v>
      </c>
      <c r="P30" s="297">
        <f t="shared" si="9"/>
        <v>48.968308119267604</v>
      </c>
      <c r="Q30" s="297">
        <f>SUM(-tanks!AX32*tanks!$AU$34)</f>
        <v>0</v>
      </c>
      <c r="R30" s="297">
        <f t="shared" si="10"/>
        <v>48.968308119267604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2842192</v>
      </c>
      <c r="AC30" s="249">
        <f>SUM(AC26:AC29)/A34*A32</f>
        <v>2066952.2857142857</v>
      </c>
    </row>
    <row r="31" spans="1:32">
      <c r="A31" s="163">
        <f>ELEC!C30</f>
        <v>44255</v>
      </c>
      <c r="B31" s="540">
        <f t="shared" si="13"/>
        <v>871763</v>
      </c>
      <c r="C31" s="264">
        <f t="shared" si="0"/>
        <v>0</v>
      </c>
      <c r="D31" s="308">
        <f t="shared" si="8"/>
        <v>0</v>
      </c>
      <c r="E31" s="308">
        <f t="shared" si="11"/>
        <v>871763</v>
      </c>
      <c r="F31" s="540">
        <f t="shared" si="14"/>
        <v>132118</v>
      </c>
      <c r="G31" s="160">
        <f t="shared" si="1"/>
        <v>0</v>
      </c>
      <c r="H31" s="540">
        <f t="shared" si="14"/>
        <v>433933</v>
      </c>
      <c r="I31" s="161">
        <f t="shared" si="2"/>
        <v>0</v>
      </c>
      <c r="J31" s="540">
        <f t="shared" si="14"/>
        <v>305721</v>
      </c>
      <c r="K31" s="162">
        <f t="shared" si="3"/>
        <v>0</v>
      </c>
      <c r="L31" s="296">
        <f t="shared" si="22"/>
        <v>0</v>
      </c>
      <c r="M31" s="296">
        <f t="shared" si="23"/>
        <v>0</v>
      </c>
      <c r="N31" s="296">
        <f t="shared" si="24"/>
        <v>0</v>
      </c>
      <c r="O31" s="296">
        <f t="shared" si="7"/>
        <v>48.968308119267604</v>
      </c>
      <c r="P31" s="297">
        <f t="shared" si="9"/>
        <v>48.968308119267604</v>
      </c>
      <c r="Q31" s="297">
        <f>SUM(-tanks!AX33*tanks!$AU$34)</f>
        <v>0</v>
      </c>
      <c r="R31" s="297">
        <f t="shared" si="10"/>
        <v>48.968308119267604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27</v>
      </c>
      <c r="X31" s="222">
        <f>SUM(W31/A32)</f>
        <v>3.375</v>
      </c>
      <c r="Y31" s="260">
        <f>SUM(X31/2)</f>
        <v>1.6875</v>
      </c>
      <c r="Z31" s="3"/>
      <c r="AA31" s="3"/>
      <c r="AB31" s="543">
        <f>SUM(AB30+AC31)</f>
        <v>4909144.2857142854</v>
      </c>
      <c r="AC31" s="249">
        <f>SUM(AC30)</f>
        <v>2066952.2857142857</v>
      </c>
    </row>
    <row r="32" spans="1:32" ht="15.75" thickBot="1">
      <c r="A32" s="539">
        <f>A34-COUNTIF(C4:C31,0)</f>
        <v>8</v>
      </c>
      <c r="C32" s="173">
        <f>SUM(C4:C31)/A32</f>
        <v>2267.125</v>
      </c>
      <c r="D32" s="173"/>
      <c r="E32" s="173"/>
      <c r="G32" s="173">
        <f>SUM(G4:G31)/A32</f>
        <v>423.625</v>
      </c>
      <c r="I32" s="173">
        <f>SUM(I4:I31)/A32</f>
        <v>986.375</v>
      </c>
      <c r="K32" s="173">
        <f>SUM(K4:K31)/A32</f>
        <v>858.25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73819.724489795917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.75" thickBot="1">
      <c r="A33" s="210"/>
      <c r="C33" s="212">
        <f>SUM(G33:K33)</f>
        <v>1.0004962231901637</v>
      </c>
      <c r="G33" s="225">
        <f>IF(C32&gt;0,G32/C32,0)</f>
        <v>0.18685559905166235</v>
      </c>
      <c r="H33" s="212"/>
      <c r="I33" s="225">
        <f>SUM(I32/C32)</f>
        <v>0.43507746595357555</v>
      </c>
      <c r="J33" s="212"/>
      <c r="K33" s="225">
        <f>SUM(K32/C32)</f>
        <v>0.37856315818492586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3256.4804548685142</v>
      </c>
      <c r="AC33" s="579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1371.112627339493</v>
      </c>
      <c r="Z35" s="40"/>
      <c r="AA35" s="292" t="s">
        <v>215</v>
      </c>
      <c r="AB35" s="293">
        <f>SUM(AB33)</f>
        <v>3256.4804548685142</v>
      </c>
    </row>
    <row r="36" spans="1:32">
      <c r="V36" s="217"/>
      <c r="W36" s="82">
        <f>(AB30+AB51)/1507.5</f>
        <v>1885.3678275290215</v>
      </c>
      <c r="X36" s="544"/>
      <c r="Z36" s="294">
        <f>SUM(AB35)</f>
        <v>3256.4804548685142</v>
      </c>
      <c r="AA36" s="293"/>
      <c r="AB36" s="293"/>
    </row>
    <row r="37" spans="1:32">
      <c r="V37" s="17"/>
      <c r="W37" s="82">
        <f>SUM(W35:W36)</f>
        <v>3256.4804548685142</v>
      </c>
      <c r="X37" s="544"/>
      <c r="Y37" s="82"/>
      <c r="Z37" s="294">
        <f>SUM(-tanks!AX34)*tanks!AU34</f>
        <v>1905.7515387096796</v>
      </c>
      <c r="AA37" s="101">
        <f>SUM(AB31/A32)</f>
        <v>613643.03571428568</v>
      </c>
      <c r="AB37" s="348">
        <f>SUM(AA37*A34)</f>
        <v>17182005</v>
      </c>
    </row>
    <row r="38" spans="1:32" ht="18.75">
      <c r="W38" s="82">
        <f>(AB30+AB51)/1507.5</f>
        <v>1885.3678275290215</v>
      </c>
      <c r="Z38" s="276">
        <f>SUM(Z36:Z37)</f>
        <v>5162.2319935781943</v>
      </c>
      <c r="AA38" s="293">
        <f>SUM(AA37/1507.5)</f>
        <v>407.06005685856428</v>
      </c>
      <c r="AB38" s="347">
        <f>SUM(AB37/1507.5)</f>
        <v>11397.6815920398</v>
      </c>
    </row>
    <row r="39" spans="1:32">
      <c r="D39" s="519"/>
      <c r="E39" s="519"/>
      <c r="F39" s="519"/>
      <c r="W39" s="82">
        <f>SUM(W37:W38)</f>
        <v>5141.8482823975355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46"/>
      <c r="AC42" s="646"/>
      <c r="AD42" s="17"/>
      <c r="AE42" s="17"/>
      <c r="AF42" s="17"/>
    </row>
    <row r="43" spans="1:32">
      <c r="V43" s="646"/>
      <c r="W43" s="646"/>
      <c r="X43" s="646"/>
      <c r="Y43" s="646"/>
      <c r="Z43" s="548"/>
      <c r="AA43" s="548"/>
      <c r="AB43" s="646"/>
      <c r="AC43" s="646"/>
      <c r="AD43" s="17"/>
      <c r="AE43" s="17"/>
      <c r="AF43" s="17"/>
    </row>
    <row r="44" spans="1:32">
      <c r="V44" s="646"/>
      <c r="W44" s="646"/>
      <c r="X44" s="646"/>
      <c r="Y44" s="646"/>
      <c r="Z44" s="646"/>
      <c r="AA44" s="646"/>
      <c r="AB44" s="646"/>
      <c r="AC44" s="646"/>
      <c r="AD44" s="17"/>
      <c r="AE44" s="17"/>
      <c r="AF44" s="17"/>
    </row>
    <row r="45" spans="1:32">
      <c r="V45" s="647"/>
      <c r="W45" s="647"/>
      <c r="X45" s="648"/>
      <c r="Y45" s="648"/>
      <c r="Z45" s="648"/>
      <c r="AA45" s="549"/>
      <c r="AB45" s="646"/>
      <c r="AC45" s="646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7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2:AC45"/>
    <mergeCell ref="V43:Y44"/>
    <mergeCell ref="Z44:AA44"/>
    <mergeCell ref="V45:W45"/>
    <mergeCell ref="X45:Z45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2" activePane="bottomLeft" state="frozen"/>
      <selection pane="bottomLeft" activeCell="J13" sqref="J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8.2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.5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/>
      <c r="C14" s="590"/>
      <c r="D14" s="170"/>
      <c r="E14" s="170"/>
      <c r="F14" s="170"/>
      <c r="G14" s="170"/>
      <c r="H14" s="597">
        <f t="shared" si="2"/>
        <v>6717</v>
      </c>
      <c r="I14" s="509">
        <f t="shared" si="3"/>
        <v>0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/>
      <c r="C15" s="591"/>
      <c r="D15" s="591"/>
      <c r="E15" s="591"/>
      <c r="F15" s="591"/>
      <c r="G15" s="591"/>
      <c r="H15" s="597">
        <f t="shared" si="2"/>
        <v>6717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/>
      <c r="C16" s="591"/>
      <c r="D16" s="591"/>
      <c r="E16" s="591"/>
      <c r="F16" s="591"/>
      <c r="G16" s="591"/>
      <c r="H16" s="597">
        <f t="shared" si="2"/>
        <v>6717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/>
      <c r="C17" s="537"/>
      <c r="D17" s="537"/>
      <c r="E17" s="537"/>
      <c r="F17" s="537"/>
      <c r="G17" s="537"/>
      <c r="H17" s="597">
        <f t="shared" si="2"/>
        <v>6717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/>
      <c r="C18" s="592"/>
      <c r="D18" s="170"/>
      <c r="E18" s="170"/>
      <c r="F18" s="170"/>
      <c r="G18" s="537"/>
      <c r="H18" s="597">
        <f t="shared" si="2"/>
        <v>6717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/>
      <c r="C19" s="593"/>
      <c r="D19" s="170"/>
      <c r="E19" s="170"/>
      <c r="F19" s="170"/>
      <c r="G19" s="537"/>
      <c r="H19" s="597">
        <f t="shared" si="2"/>
        <v>6717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/>
      <c r="C20" s="537"/>
      <c r="D20" s="537"/>
      <c r="E20" s="537"/>
      <c r="F20" s="537"/>
      <c r="G20" s="537"/>
      <c r="H20" s="597">
        <f t="shared" si="2"/>
        <v>6717</v>
      </c>
      <c r="I20" s="509">
        <f t="shared" si="3"/>
        <v>0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/>
      <c r="C21" s="594"/>
      <c r="D21" s="170"/>
      <c r="E21" s="170"/>
      <c r="F21" s="170"/>
      <c r="G21" s="537"/>
      <c r="H21" s="597">
        <f t="shared" si="2"/>
        <v>6717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6717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6717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6717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6717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6717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6717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6717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6717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6717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6717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6717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6717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4" t="s">
        <v>161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</row>
    <row r="2" spans="1:28" ht="19.5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5"/>
      <c r="V2" s="695"/>
      <c r="W2" s="695"/>
      <c r="X2" s="695"/>
    </row>
    <row r="3" spans="1:28" ht="19.5">
      <c r="A3" s="695" t="s">
        <v>162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695"/>
      <c r="O3" s="695"/>
      <c r="P3" s="695"/>
      <c r="Q3" s="695"/>
      <c r="R3" s="695"/>
      <c r="S3" s="695"/>
      <c r="T3" s="695"/>
      <c r="U3" s="695"/>
      <c r="V3" s="695"/>
      <c r="W3" s="695"/>
      <c r="X3" s="69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5" t="s">
        <v>409</v>
      </c>
      <c r="B5" s="695"/>
      <c r="C5" s="695"/>
      <c r="D5" s="695"/>
      <c r="E5" s="695"/>
      <c r="F5" s="695"/>
      <c r="G5" s="695"/>
      <c r="H5" s="695"/>
      <c r="I5" s="695"/>
      <c r="J5" s="695"/>
      <c r="K5" s="695"/>
      <c r="L5" s="695"/>
      <c r="M5" s="695"/>
      <c r="N5" s="695"/>
      <c r="O5" s="695"/>
      <c r="P5" s="695"/>
      <c r="Q5" s="695"/>
      <c r="R5" s="695"/>
      <c r="S5" s="695"/>
      <c r="T5" s="695"/>
      <c r="U5" s="695"/>
      <c r="V5" s="695"/>
      <c r="W5" s="695"/>
      <c r="X5" s="695"/>
    </row>
    <row r="6" spans="1:28" ht="15.75" thickBot="1">
      <c r="A6" s="696"/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  <c r="M6" s="696"/>
      <c r="N6" s="696"/>
      <c r="O6" s="696"/>
      <c r="P6" s="696"/>
      <c r="Q6" s="696"/>
      <c r="R6" s="696"/>
      <c r="S6" s="696"/>
      <c r="T6" s="696"/>
      <c r="U6" s="696"/>
      <c r="V6" s="696"/>
      <c r="W6" s="696"/>
      <c r="X6" s="696"/>
    </row>
    <row r="7" spans="1:28" ht="15.7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0</v>
      </c>
      <c r="G18" s="272">
        <f>'General information '!C14</f>
        <v>0</v>
      </c>
      <c r="H18" s="272">
        <f t="shared" si="0"/>
        <v>-18.3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0</v>
      </c>
      <c r="G19" s="272">
        <f>'General information '!C15</f>
        <v>0</v>
      </c>
      <c r="H19" s="272">
        <f t="shared" si="0"/>
        <v>-18.3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0</v>
      </c>
      <c r="G20" s="272">
        <f>'General information '!C16</f>
        <v>0</v>
      </c>
      <c r="H20" s="272">
        <f t="shared" si="0"/>
        <v>-18.3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0</v>
      </c>
      <c r="G21" s="272">
        <f>'General information '!C17</f>
        <v>0</v>
      </c>
      <c r="H21" s="272">
        <f t="shared" si="0"/>
        <v>-18.3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0</v>
      </c>
      <c r="G22" s="272">
        <f>'General information '!C18</f>
        <v>0</v>
      </c>
      <c r="H22" s="272">
        <f t="shared" si="0"/>
        <v>-18.3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0</v>
      </c>
      <c r="G23" s="272">
        <f>'General information '!C19</f>
        <v>0</v>
      </c>
      <c r="H23" s="272">
        <f t="shared" si="0"/>
        <v>-18.3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0</v>
      </c>
      <c r="G24" s="272">
        <f>'General information '!C20</f>
        <v>0</v>
      </c>
      <c r="H24" s="272">
        <f t="shared" si="0"/>
        <v>-18.3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0</v>
      </c>
      <c r="G25" s="272">
        <f>'General information '!C21</f>
        <v>0</v>
      </c>
      <c r="H25" s="272">
        <f t="shared" si="0"/>
        <v>-18.3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-369.70000000000016</v>
      </c>
      <c r="G43" s="119">
        <f>SUMIF(H10:H37,"&gt;0")</f>
        <v>5.2999999999999972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.25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.75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-5879.1000000000013</v>
      </c>
      <c r="O86" s="142">
        <f>C43+G43+K43+O43+S43+W43+C81+G81+K81+O81+S81+W81</f>
        <v>8.0999999999999908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8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0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2342.8571428571427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7850.1</v>
      </c>
      <c r="C8" s="493">
        <f>SUM(tanks!AU34)</f>
        <v>0.38700000000000001</v>
      </c>
      <c r="D8" s="191">
        <f>SUM(B8*C8)*D4</f>
        <v>4579767.9652500004</v>
      </c>
      <c r="E8" s="192">
        <f>SUM(D8/D4/F4)</f>
        <v>379.74858750000004</v>
      </c>
      <c r="F8" s="192">
        <f>SUM(E8*F4)</f>
        <v>3037.9887000000003</v>
      </c>
      <c r="G8" s="510">
        <f>E8*$F$4</f>
        <v>3037.9887000000003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4909144.2857142854</v>
      </c>
      <c r="E10" s="182">
        <f>SUM(D10/D4/F4)</f>
        <v>407.06005685856428</v>
      </c>
      <c r="F10" s="182">
        <f>SUM(E10*F4)</f>
        <v>3256.4804548685142</v>
      </c>
      <c r="G10" s="510">
        <f>E10*$G$4</f>
        <v>11397.6815920398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1079.665787215707</v>
      </c>
      <c r="F12" s="180">
        <f>SUM(F6:F10)</f>
        <v>8637.3262977256563</v>
      </c>
      <c r="G12" s="179">
        <f>SUM(G6:G10)</f>
        <v>22635.670292039802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45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-32659.768095056956</v>
      </c>
      <c r="I14" s="423">
        <f>SUM(G12-I12)</f>
        <v>-32659.768095056956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18.5</v>
      </c>
      <c r="C16" s="433">
        <f>'[13]Utility Cost '!B16</f>
        <v>14.293103448275861</v>
      </c>
      <c r="D16" s="432"/>
      <c r="E16" s="433">
        <f t="shared" si="0"/>
        <v>4.2068965517241388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27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-88.420000000000073</v>
      </c>
      <c r="F18" s="528">
        <f>B18-D18</f>
        <v>-145.73885330486587</v>
      </c>
    </row>
    <row r="19" spans="1:10">
      <c r="A19" s="522" t="s">
        <v>411</v>
      </c>
      <c r="B19" s="520">
        <f>SUM(B18/$F$4)</f>
        <v>3.375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9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2021-02-09T11:10:14Z</dcterms:modified>
</cp:coreProperties>
</file>