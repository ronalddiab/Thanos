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R14" i="7" l="1"/>
  <c r="AR15" i="7"/>
  <c r="AR16" i="7"/>
  <c r="AR17" i="7"/>
  <c r="CS15" i="7" l="1"/>
  <c r="X15" i="7"/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<sst xmlns="http://schemas.openxmlformats.org/spreadsheetml/2006/main" count="315" uniqueCount="148">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</sst>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13099.999999999558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117.29999999999927</v>
      </c>
      <c r="J11" s="11">
        <f t="shared" si="2"/>
        <v>10.487297712684205</v>
      </c>
      <c r="K11" s="13">
        <f>'FS Desroches Daily'!CN13</f>
        <v>44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13600.000000000915</v>
      </c>
      <c r="F12" s="11">
        <f t="shared" si="0"/>
        <v>0.58765030286592534</v>
      </c>
      <c r="G12" s="12">
        <f>(Submetering!AX12+Submetering!AY12+Submetering!AZ12+Submetering!BA12+Submetering!BB12)</f>
        <v>16.483499999999999</v>
      </c>
      <c r="H12" s="11">
        <f t="shared" si="1"/>
        <v>0.99</v>
      </c>
      <c r="I12" s="12">
        <f>'FS Desroches Daily'!CM14</f>
        <v>126</v>
      </c>
      <c r="J12" s="11">
        <f t="shared" si="2"/>
        <v>10.487297712684205</v>
      </c>
      <c r="K12" s="13">
        <f>'FS Desroches Daily'!CN14</f>
        <v>42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12999.999999999347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105.10000000000218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13900.000000000802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117.69999999999709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13499.999999998625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114.30000000000291</v>
      </c>
      <c r="J15" s="11">
        <f t="shared" si="2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 t="e">
        <f>Submetering!E16+Submetering!F16+Submetering!G16+Submetering!H16+Submetering!J16-Submetering!AV16</f>
        <v>#VALUE!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 t="e">
        <f>'FS Desroches Daily'!CM18</f>
        <v>#VALUE!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2599.9999999997135</v>
      </c>
      <c r="F11" s="32">
        <f>'FS Desroches Daily'!F13</f>
        <v>3600.0000000004916</v>
      </c>
      <c r="G11" s="31">
        <f>'FS Desroches Daily'!H13</f>
        <v>3899.9999999997926</v>
      </c>
      <c r="H11" s="32">
        <f>'FS Desroches Daily'!J13</f>
        <v>1799.9999999998017</v>
      </c>
      <c r="I11" s="31">
        <f>'FS Desroches Daily'!L13</f>
        <v>2599.9999999997135</v>
      </c>
      <c r="J11" s="32">
        <f>'FS Desroches Daily'!N13</f>
        <v>2199.9999999997576</v>
      </c>
      <c r="K11" s="13">
        <f>'FS Desroches Daily'!P13</f>
        <v>66</v>
      </c>
      <c r="L11" s="31">
        <f>'FS Desroches Daily'!R13</f>
        <v>7</v>
      </c>
      <c r="M11" s="31">
        <f>'FS Desroches Daily'!T13</f>
        <v>1299.9999999999545</v>
      </c>
      <c r="N11" s="31">
        <f>'FS Desroches Daily'!V13</f>
        <v>505.59999999997672</v>
      </c>
      <c r="O11" s="31">
        <f>'FS Desroches Daily'!X13</f>
        <v>429.99999999994998</v>
      </c>
      <c r="P11" s="31">
        <f>'FS Desroches Daily'!Z13</f>
        <v>3199.9999999996476</v>
      </c>
      <c r="Q11" s="31">
        <f>'FS Desroches Daily'!AB13</f>
        <v>449.99999999993179</v>
      </c>
      <c r="R11" s="31">
        <f>'FS Desroches Daily'!AD13</f>
        <v>459.99999999992269</v>
      </c>
      <c r="S11" s="31">
        <f>'FS Desroches Daily'!AF13</f>
        <v>1150.0000000000909</v>
      </c>
      <c r="T11" s="31">
        <f>'FS Desroches Daily'!AH13</f>
        <v>46</v>
      </c>
      <c r="U11" s="35">
        <f>'FS Desroches Daily'!AJ13</f>
        <v>799.99999999991189</v>
      </c>
      <c r="V11" s="35">
        <f>'FS Desroches Daily'!AL13</f>
        <v>339.99999999997499</v>
      </c>
      <c r="W11" s="35">
        <f>'FS Desroches Daily'!AN13</f>
        <v>329.99999999998408</v>
      </c>
      <c r="X11" s="35">
        <f>'FS Desroches Daily'!AP13</f>
        <v>160.00000000002501</v>
      </c>
      <c r="Y11" s="35">
        <f>'FS Desroches Daily'!AR13</f>
        <v>150.00000000003411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50.000000000011369</v>
      </c>
      <c r="AC11" s="35">
        <f>'FS Desroches Daily'!AZ13</f>
        <v>79.999999999984084</v>
      </c>
      <c r="AD11" s="35">
        <f>'FS Desroches Daily'!BB13</f>
        <v>60.000000000002274</v>
      </c>
      <c r="AE11" s="35">
        <f>'FS Desroches Daily'!BD13</f>
        <v>120.00000000000455</v>
      </c>
      <c r="AF11" s="31">
        <f>'FS Desroches Daily'!BF13</f>
        <v>37</v>
      </c>
      <c r="AG11" s="32">
        <f>'FS Desroches Daily'!BH13</f>
        <v>50.000000000011369</v>
      </c>
      <c r="AH11" s="32">
        <f>'FS Desroches Daily'!BJ13</f>
        <v>49.999999999954525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50</v>
      </c>
      <c r="AM11" s="32">
        <f>'FS Desroches Daily'!BT13</f>
        <v>50.000000000011369</v>
      </c>
      <c r="AN11" s="32">
        <f>'FS Desroches Daily'!BV13</f>
        <v>48</v>
      </c>
      <c r="AO11" s="32">
        <f>'FS Desroches Daily'!BX13</f>
        <v>50.000000000011369</v>
      </c>
      <c r="AP11" s="32">
        <f>'FS Desroches Daily'!BZ13</f>
        <v>60</v>
      </c>
      <c r="AQ11" s="31">
        <f>'FS Desroches Daily'!CB13</f>
        <v>66.899999999994179</v>
      </c>
      <c r="AR11" s="31">
        <f>'FS Desroches Daily'!CD13</f>
        <v>10</v>
      </c>
      <c r="AS11" s="31">
        <f>'FS Desroches Daily'!CF13</f>
        <v>3.6000000000003638</v>
      </c>
      <c r="AT11" s="31">
        <f>'FS Desroches Daily'!CH13</f>
        <v>42.30000000000291</v>
      </c>
      <c r="AU11" s="31">
        <f>'FS Desroches Daily'!CJ13</f>
        <v>345</v>
      </c>
      <c r="AV11" s="31">
        <f>'FS Desroches Daily'!CL13</f>
        <v>1000</v>
      </c>
      <c r="AW11" s="31">
        <f>'FS Desroches Daily'!CM13</f>
        <v>117.29999999999927</v>
      </c>
      <c r="AX11" s="31">
        <f>IF(LPG!F18-LPG!F17&lt;0,"0",(LPG!F18-LPG!F17)*1.8315)</f>
        <v>0</v>
      </c>
      <c r="AY11" s="31">
        <f>IF(LPG!H18-LPG!H17&lt;0,"0",(LPG!H18-LPG!H17)*1.8315)</f>
        <v>7.3259999999999996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2600.0000000001578</v>
      </c>
      <c r="F12" s="32">
        <f>'FS Desroches Daily'!F14</f>
        <v>3700.0000000002588</v>
      </c>
      <c r="G12" s="31">
        <f>'FS Desroches Daily'!H14</f>
        <v>4400.0000000004038</v>
      </c>
      <c r="H12" s="32">
        <f>'FS Desroches Daily'!J14</f>
        <v>1900.0000000000127</v>
      </c>
      <c r="I12" s="31">
        <f>'FS Desroches Daily'!L14</f>
        <v>2699.9999999999245</v>
      </c>
      <c r="J12" s="32">
        <f>'FS Desroches Daily'!N14</f>
        <v>2099.9999999999909</v>
      </c>
      <c r="K12" s="13">
        <f>'FS Desroches Daily'!P14</f>
        <v>42</v>
      </c>
      <c r="L12" s="31">
        <f>'FS Desroches Daily'!R14</f>
        <v>5</v>
      </c>
      <c r="M12" s="31">
        <f>'FS Desroches Daily'!T14</f>
        <v>1800.0000000001819</v>
      </c>
      <c r="N12" s="31">
        <f>'FS Desroches Daily'!V14</f>
        <v>660.80000000004657</v>
      </c>
      <c r="O12" s="31">
        <f>'FS Desroches Daily'!X14</f>
        <v>480.00000000001819</v>
      </c>
      <c r="P12" s="31">
        <f>'FS Desroches Daily'!Z14</f>
        <v>3400.0000000000696</v>
      </c>
      <c r="Q12" s="31">
        <f>'FS Desroches Daily'!AB14</f>
        <v>450.00000000004547</v>
      </c>
      <c r="R12" s="31">
        <f>'FS Desroches Daily'!AD14</f>
        <v>480.00000000001819</v>
      </c>
      <c r="S12" s="31">
        <f>'FS Desroches Daily'!AF14</f>
        <v>1099.9999999999091</v>
      </c>
      <c r="T12" s="31">
        <f>'FS Desroches Daily'!AH14</f>
        <v>50</v>
      </c>
      <c r="U12" s="35">
        <f>'FS Desroches Daily'!AJ14</f>
        <v>800.00000000013392</v>
      </c>
      <c r="V12" s="35">
        <f>'FS Desroches Daily'!AL14</f>
        <v>340.00000000003183</v>
      </c>
      <c r="W12" s="35">
        <f>'FS Desroches Daily'!AN14</f>
        <v>310.00000000000227</v>
      </c>
      <c r="X12" s="35">
        <f>'FS Desroches Daily'!AP14</f>
        <v>159.99999999996817</v>
      </c>
      <c r="Y12" s="35">
        <f>'FS Desroches Daily'!AR14</f>
        <v>99.999999999965894</v>
      </c>
      <c r="Z12" s="35">
        <f>'FS Desroches Daily'!AT14</f>
        <v>139.99999999998636</v>
      </c>
      <c r="AA12" s="35">
        <f>'FS Desroches Daily'!AT14</f>
        <v>139.99999999998636</v>
      </c>
      <c r="AB12" s="35">
        <f>'FS Desroches Daily'!AV14</f>
        <v>110.00000000001364</v>
      </c>
      <c r="AC12" s="35">
        <f>'FS Desroches Daily'!AZ14</f>
        <v>139.99999999998636</v>
      </c>
      <c r="AD12" s="35">
        <f>'FS Desroches Daily'!BB14</f>
        <v>60.000000000002274</v>
      </c>
      <c r="AE12" s="35">
        <f>'FS Desroches Daily'!BD14</f>
        <v>109.9999999999568</v>
      </c>
      <c r="AF12" s="31">
        <f>'FS Desroches Daily'!BF14</f>
        <v>48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60.000000000002274</v>
      </c>
      <c r="AL12" s="32">
        <f>'FS Desroches Daily'!BR14</f>
        <v>46</v>
      </c>
      <c r="AM12" s="32">
        <f>'FS Desroches Daily'!BT14</f>
        <v>69.999999999993179</v>
      </c>
      <c r="AN12" s="32">
        <f>'FS Desroches Daily'!BV14</f>
        <v>44</v>
      </c>
      <c r="AO12" s="32">
        <f>'FS Desroches Daily'!BX14</f>
        <v>49.999999999954525</v>
      </c>
      <c r="AP12" s="32">
        <f>'FS Desroches Daily'!BZ14</f>
        <v>56</v>
      </c>
      <c r="AQ12" s="31">
        <f>'FS Desroches Daily'!CB14</f>
        <v>69.69999999999709</v>
      </c>
      <c r="AR12" s="31">
        <f>'FS Desroches Daily'!CD14</f>
        <v>15.599999999998545</v>
      </c>
      <c r="AS12" s="31">
        <f>'FS Desroches Daily'!CF14</f>
        <v>5.2999999999992724</v>
      </c>
      <c r="AT12" s="31">
        <f>'FS Desroches Daily'!CH14</f>
        <v>41.399999999994179</v>
      </c>
      <c r="AU12" s="31">
        <f>'FS Desroches Daily'!CJ14</f>
        <v>332</v>
      </c>
      <c r="AV12" s="31">
        <f>'FS Desroches Daily'!CL14</f>
        <v>1099.9999999999091</v>
      </c>
      <c r="AW12" s="31">
        <f>'FS Desroches Daily'!CM14</f>
        <v>126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42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2600.0000000001578</v>
      </c>
      <c r="F13" s="32">
        <f>'FS Desroches Daily'!F15</f>
        <v>3699.9999999993706</v>
      </c>
      <c r="G13" s="31">
        <f>'FS Desroches Daily'!H15</f>
        <v>3800.0000000000255</v>
      </c>
      <c r="H13" s="32">
        <f>'FS Desroches Daily'!J15</f>
        <v>1999.9999999997797</v>
      </c>
      <c r="I13" s="31">
        <f>'FS Desroches Daily'!L15</f>
        <v>2499.9999999999468</v>
      </c>
      <c r="J13" s="32">
        <f>'FS Desroches Daily'!N15</f>
        <v>1900.0000000000127</v>
      </c>
      <c r="K13" s="13">
        <f>'FS Desroches Daily'!P15</f>
        <v>79</v>
      </c>
      <c r="L13" s="31">
        <f>'FS Desroches Daily'!R15</f>
        <v>6</v>
      </c>
      <c r="M13" s="31">
        <f>'FS Desroches Daily'!T15</f>
        <v>1399.9999999998636</v>
      </c>
      <c r="N13" s="31">
        <f>'FS Desroches Daily'!V15</f>
        <v>479.59999999997672</v>
      </c>
      <c r="O13" s="31">
        <f>'FS Desroches Daily'!X15</f>
        <v>379.99999999999545</v>
      </c>
      <c r="P13" s="31">
        <f>'FS Desroches Daily'!Z15</f>
        <v>3199.9999999996476</v>
      </c>
      <c r="Q13" s="31">
        <f>'FS Desroches Daily'!AB15</f>
        <v>320.00000000005002</v>
      </c>
      <c r="R13" s="31">
        <f>'FS Desroches Daily'!AD15</f>
        <v>440.00000000005457</v>
      </c>
      <c r="S13" s="31">
        <f>'FS Desroches Daily'!AF15</f>
        <v>1070.00000000005</v>
      </c>
      <c r="T13" s="31">
        <f>'FS Desroches Daily'!AH15</f>
        <v>47</v>
      </c>
      <c r="U13" s="35">
        <f>'FS Desroches Daily'!AJ15</f>
        <v>699.99999999992292</v>
      </c>
      <c r="V13" s="35">
        <f>'FS Desroches Daily'!AL15</f>
        <v>289.99999999996362</v>
      </c>
      <c r="W13" s="35">
        <f>'FS Desroches Daily'!AN15</f>
        <v>310.00000000000227</v>
      </c>
      <c r="X13" s="35">
        <f>'FS Desroches Daily'!AP15</f>
        <v>120.00000000000455</v>
      </c>
      <c r="Y13" s="35">
        <f>'FS Desroches Daily'!AR15</f>
        <v>80.000000000040927</v>
      </c>
      <c r="Z13" s="35">
        <f>'FS Desroches Daily'!AT15</f>
        <v>100.00000000002274</v>
      </c>
      <c r="AA13" s="35">
        <f>'FS Desroches Daily'!AT15</f>
        <v>100.00000000002274</v>
      </c>
      <c r="AB13" s="35">
        <f>'FS Desroches Daily'!AV15</f>
        <v>89.999999999974989</v>
      </c>
      <c r="AC13" s="35">
        <f>'FS Desroches Daily'!AZ15</f>
        <v>180.00000000000682</v>
      </c>
      <c r="AD13" s="35">
        <f>'FS Desroches Daily'!BB15</f>
        <v>50.000000000011369</v>
      </c>
      <c r="AE13" s="35">
        <f>'FS Desroches Daily'!BD15</f>
        <v>100.00000000002274</v>
      </c>
      <c r="AF13" s="31">
        <f>'FS Desroches Daily'!BF15</f>
        <v>32</v>
      </c>
      <c r="AG13" s="32">
        <f>'FS Desroches Daily'!BH15</f>
        <v>60.000000000002274</v>
      </c>
      <c r="AH13" s="32">
        <f>'FS Desroches Daily'!BJ15</f>
        <v>50.000000000011369</v>
      </c>
      <c r="AI13" s="32">
        <f>'FS Desroches Daily'!BL15</f>
        <v>69.999999999993179</v>
      </c>
      <c r="AJ13" s="32">
        <f>'FS Desroches Daily'!BN15</f>
        <v>69.999999999993179</v>
      </c>
      <c r="AK13" s="32">
        <f>'FS Desroches Daily'!BP15</f>
        <v>69.999999999993179</v>
      </c>
      <c r="AL13" s="32">
        <f>'FS Desroches Daily'!BR15</f>
        <v>56</v>
      </c>
      <c r="AM13" s="32">
        <f>'FS Desroches Daily'!BT15</f>
        <v>60.000000000002274</v>
      </c>
      <c r="AN13" s="32">
        <f>'FS Desroches Daily'!BV15</f>
        <v>52</v>
      </c>
      <c r="AO13" s="32">
        <f>'FS Desroches Daily'!BX15</f>
        <v>60.000000000002274</v>
      </c>
      <c r="AP13" s="32">
        <f>'FS Desroches Daily'!BZ15</f>
        <v>68</v>
      </c>
      <c r="AQ13" s="31">
        <f>'FS Desroches Daily'!CB15</f>
        <v>50.700000000011642</v>
      </c>
      <c r="AR13" s="31">
        <f>'FS Desroches Daily'!CD15</f>
        <v>10.100000000002183</v>
      </c>
      <c r="AS13" s="31">
        <f>'FS Desroches Daily'!CF15</f>
        <v>3.5</v>
      </c>
      <c r="AT13" s="31">
        <f>'FS Desroches Daily'!CH15</f>
        <v>47</v>
      </c>
      <c r="AU13" s="31">
        <f>'FS Desroches Daily'!CJ15</f>
        <v>372</v>
      </c>
      <c r="AV13" s="31">
        <f>'FS Desroches Daily'!CL15</f>
        <v>1000</v>
      </c>
      <c r="AW13" s="31">
        <f>'FS Desroches Daily'!CM15</f>
        <v>105.10000000000218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3099.9999999998809</v>
      </c>
      <c r="F14" s="32">
        <f>'FS Desroches Daily'!F16</f>
        <v>3600.0000000004916</v>
      </c>
      <c r="G14" s="31">
        <f>'FS Desroches Daily'!H16</f>
        <v>4100.0000000002146</v>
      </c>
      <c r="H14" s="32">
        <f>'FS Desroches Daily'!J16</f>
        <v>1900.0000000000127</v>
      </c>
      <c r="I14" s="31">
        <f>'FS Desroches Daily'!L16</f>
        <v>2400.0000000006239</v>
      </c>
      <c r="J14" s="32">
        <f>'FS Desroches Daily'!N16</f>
        <v>2200.0000000002019</v>
      </c>
      <c r="K14" s="13">
        <f>'FS Desroches Daily'!P16</f>
        <v>63</v>
      </c>
      <c r="L14" s="31">
        <f>'FS Desroches Daily'!R16</f>
        <v>12</v>
      </c>
      <c r="M14" s="31">
        <f>'FS Desroches Daily'!T16</f>
        <v>1400.0000000000909</v>
      </c>
      <c r="N14" s="31">
        <f>'FS Desroches Daily'!V16</f>
        <v>563.5</v>
      </c>
      <c r="O14" s="31">
        <f>'FS Desroches Daily'!X16</f>
        <v>389.99999999998636</v>
      </c>
      <c r="P14" s="31">
        <f>'FS Desroches Daily'!Z16</f>
        <v>3200.0000000005357</v>
      </c>
      <c r="Q14" s="31">
        <f>'FS Desroches Daily'!AB16</f>
        <v>509.99999999999091</v>
      </c>
      <c r="R14" s="31">
        <f>'FS Desroches Daily'!AD16</f>
        <v>480.00000000001819</v>
      </c>
      <c r="S14" s="31">
        <f>'FS Desroches Daily'!AF16</f>
        <v>1019.9999999999818</v>
      </c>
      <c r="T14" s="31">
        <f>'FS Desroches Daily'!AH16</f>
        <v>46</v>
      </c>
      <c r="U14" s="35">
        <f>'FS Desroches Daily'!AJ16</f>
        <v>799.99999999991189</v>
      </c>
      <c r="V14" s="35">
        <f>'FS Desroches Daily'!AL16</f>
        <v>330.00000000004093</v>
      </c>
      <c r="W14" s="35">
        <f>'FS Desroches Daily'!AN16</f>
        <v>350.00000000002274</v>
      </c>
      <c r="X14" s="35">
        <f>'FS Desroches Daily'!AP16</f>
        <v>160.00000000002501</v>
      </c>
      <c r="Y14" s="35">
        <f>'FS Desroches Daily'!AR16</f>
        <v>239.99999999995225</v>
      </c>
      <c r="Z14" s="35">
        <f>'FS Desroches Daily'!AT16</f>
        <v>120.00000000000455</v>
      </c>
      <c r="AA14" s="35">
        <f>'FS Desroches Daily'!AT16</f>
        <v>120.00000000000455</v>
      </c>
      <c r="AB14" s="35">
        <f>'FS Desroches Daily'!AV16</f>
        <v>150.00000000003411</v>
      </c>
      <c r="AC14" s="35">
        <f>'FS Desroches Daily'!AZ16</f>
        <v>210.00000000003638</v>
      </c>
      <c r="AD14" s="35">
        <f>'FS Desroches Daily'!BB16</f>
        <v>139.99999999998636</v>
      </c>
      <c r="AE14" s="35">
        <f>'FS Desroches Daily'!BD16</f>
        <v>100.00000000002274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40.000000000020464</v>
      </c>
      <c r="AI14" s="32">
        <f>'FS Desroches Daily'!BL16</f>
        <v>80.000000000040927</v>
      </c>
      <c r="AJ14" s="32">
        <f>'FS Desroches Daily'!BN16</f>
        <v>60.000000000002274</v>
      </c>
      <c r="AK14" s="32">
        <f>'FS Desroches Daily'!BP16</f>
        <v>60.000000000002274</v>
      </c>
      <c r="AL14" s="32">
        <f>'FS Desroches Daily'!BR16</f>
        <v>50</v>
      </c>
      <c r="AM14" s="32">
        <f>'FS Desroches Daily'!BT16</f>
        <v>69.999999999993179</v>
      </c>
      <c r="AN14" s="32">
        <f>'FS Desroches Daily'!BV16</f>
        <v>54</v>
      </c>
      <c r="AO14" s="32">
        <f>'FS Desroches Daily'!BX16</f>
        <v>60.000000000002274</v>
      </c>
      <c r="AP14" s="32">
        <f>'FS Desroches Daily'!BZ16</f>
        <v>63</v>
      </c>
      <c r="AQ14" s="31">
        <f>'FS Desroches Daily'!CB16</f>
        <v>53.399999999994179</v>
      </c>
      <c r="AR14" s="31">
        <f>'FS Desroches Daily'!CD16</f>
        <v>10.099999999998545</v>
      </c>
      <c r="AS14" s="31">
        <f>'FS Desroches Daily'!CF16</f>
        <v>8.6000000000003638</v>
      </c>
      <c r="AT14" s="31">
        <f>'FS Desroches Daily'!CH16</f>
        <v>35.5</v>
      </c>
      <c r="AU14" s="31">
        <f>'FS Desroches Daily'!CJ16</f>
        <v>332</v>
      </c>
      <c r="AV14" s="31">
        <f>'FS Desroches Daily'!CL16</f>
        <v>1000</v>
      </c>
      <c r="AW14" s="31">
        <f>'FS Desroches Daily'!CM16</f>
        <v>117.69999999999709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2800.0000000001355</v>
      </c>
      <c r="F15" s="32">
        <f>'FS Desroches Daily'!F17</f>
        <v>3699.9999999993706</v>
      </c>
      <c r="G15" s="31">
        <f>'FS Desroches Daily'!H17</f>
        <v>4099.9999999993261</v>
      </c>
      <c r="H15" s="32">
        <f>'FS Desroches Daily'!J17</f>
        <v>1900.0000000000127</v>
      </c>
      <c r="I15" s="31">
        <f>'FS Desroches Daily'!L17</f>
        <v>2499.9999999995025</v>
      </c>
      <c r="J15" s="32">
        <f>'FS Desroches Daily'!N17</f>
        <v>1999.9999999997797</v>
      </c>
      <c r="K15" s="13">
        <f>'FS Desroches Daily'!P17</f>
        <v>63</v>
      </c>
      <c r="L15" s="31">
        <f>'FS Desroches Daily'!R17</f>
        <v>7</v>
      </c>
      <c r="M15" s="31">
        <f>'FS Desroches Daily'!T17</f>
        <v>1599.9999999999091</v>
      </c>
      <c r="N15" s="31">
        <f>'FS Desroches Daily'!V17</f>
        <v>595.69999999995343</v>
      </c>
      <c r="O15" s="31">
        <f>'FS Desroches Daily'!X17</f>
        <v>400.00000000009095</v>
      </c>
      <c r="P15" s="31">
        <f>'FS Desroches Daily'!Z17</f>
        <v>3199.9999999996476</v>
      </c>
      <c r="Q15" s="31">
        <f>'FS Desroches Daily'!AB17</f>
        <v>309.99999999994543</v>
      </c>
      <c r="R15" s="31">
        <f>'FS Desroches Daily'!AD17</f>
        <v>539.99999999996362</v>
      </c>
      <c r="S15" s="31">
        <f>'FS Desroches Daily'!AF17</f>
        <v>1129.9999999999955</v>
      </c>
      <c r="T15" s="31">
        <f>'FS Desroches Daily'!AH17</f>
        <v>46</v>
      </c>
      <c r="U15" s="35">
        <f>'FS Desroches Daily'!AJ17</f>
        <v>700.00000000014495</v>
      </c>
      <c r="V15" s="35">
        <f>'FS Desroches Daily'!AL17</f>
        <v>329.99999999998408</v>
      </c>
      <c r="W15" s="35">
        <f>'FS Desroches Daily'!AN17</f>
        <v>339.99999999997499</v>
      </c>
      <c r="X15" s="35">
        <f>'FS Desroches Daily'!AP17</f>
        <v>100.00000000002274</v>
      </c>
      <c r="Y15" s="35">
        <f>'FS Desroches Daily'!AR17</f>
        <v>180.00000000000682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99.999999999965894</v>
      </c>
      <c r="AC15" s="35">
        <f>'FS Desroches Daily'!AZ17</f>
        <v>179.99999999994998</v>
      </c>
      <c r="AD15" s="35">
        <f>'FS Desroches Daily'!BB17</f>
        <v>129.99999999999545</v>
      </c>
      <c r="AE15" s="35">
        <f>'FS Desroches Daily'!BD17</f>
        <v>129.99999999999545</v>
      </c>
      <c r="AF15" s="31">
        <f>'FS Desroches Daily'!BF17</f>
        <v>42</v>
      </c>
      <c r="AG15" s="32">
        <f>'FS Desroches Daily'!BH17</f>
        <v>60.000000000002274</v>
      </c>
      <c r="AH15" s="32">
        <f>'FS Desroches Daily'!BJ17</f>
        <v>49.999999999954525</v>
      </c>
      <c r="AI15" s="32">
        <f>'FS Desroches Daily'!BL17</f>
        <v>69.999999999993179</v>
      </c>
      <c r="AJ15" s="32">
        <f>'FS Desroches Daily'!BN17</f>
        <v>60.000000000002274</v>
      </c>
      <c r="AK15" s="32">
        <f>'FS Desroches Daily'!BP17</f>
        <v>60.000000000002274</v>
      </c>
      <c r="AL15" s="32">
        <f>'FS Desroches Daily'!BR17</f>
        <v>57</v>
      </c>
      <c r="AM15" s="32">
        <f>'FS Desroches Daily'!BT17</f>
        <v>60.000000000002274</v>
      </c>
      <c r="AN15" s="32">
        <f>'FS Desroches Daily'!BV17</f>
        <v>49</v>
      </c>
      <c r="AO15" s="32">
        <f>'FS Desroches Daily'!BX17</f>
        <v>70.000000000050022</v>
      </c>
      <c r="AP15" s="32">
        <f>'FS Desroches Daily'!BZ17</f>
        <v>62</v>
      </c>
      <c r="AQ15" s="31">
        <f>'FS Desroches Daily'!CB17</f>
        <v>61.399999999994179</v>
      </c>
      <c r="AR15" s="31">
        <f>'FS Desroches Daily'!CD17</f>
        <v>22.400000000001455</v>
      </c>
      <c r="AS15" s="31">
        <f>'FS Desroches Daily'!CF17</f>
        <v>1.3999999999996362</v>
      </c>
      <c r="AT15" s="31">
        <f>'FS Desroches Daily'!CH17</f>
        <v>27.700000000011642</v>
      </c>
      <c r="AU15" s="31">
        <f>'FS Desroches Daily'!CJ17</f>
        <v>352</v>
      </c>
      <c r="AV15" s="31">
        <f>'FS Desroches Daily'!CL17</f>
        <v>1000</v>
      </c>
      <c r="AW15" s="31">
        <f>'FS Desroches Daily'!CM17</f>
        <v>114.30000000000291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34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e">
        <f>'FS Desroches Daily'!T18</f>
        <v>#VALUE!</v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36900.000000000153</v>
      </c>
      <c r="F33" s="17">
        <f t="shared" ref="F33:BC33" si="0">SUM(F2:F32)</f>
        <v>50399.999999999796</v>
      </c>
      <c r="G33" s="17">
        <f t="shared" si="0"/>
        <v>55099.999999999498</v>
      </c>
      <c r="H33" s="17">
        <f t="shared" si="0"/>
        <v>25399.999999999862</v>
      </c>
      <c r="I33" s="17">
        <f t="shared" si="0"/>
        <v>36399.999999999978</v>
      </c>
      <c r="J33" s="17">
        <f t="shared" si="0"/>
        <v>26699.999999999945</v>
      </c>
      <c r="K33" s="17">
        <f t="shared" si="0"/>
        <v>709</v>
      </c>
      <c r="L33" s="17">
        <f t="shared" si="0"/>
        <v>101</v>
      </c>
      <c r="M33" s="17" t="e">
        <f t="shared" si="0"/>
        <v>#VALUE!</v>
      </c>
      <c r="N33" s="17">
        <f t="shared" si="0"/>
        <v>7775.6999999999534</v>
      </c>
      <c r="O33" s="17">
        <f t="shared" si="0"/>
        <v>5860.0000000001273</v>
      </c>
      <c r="P33" s="17">
        <f t="shared" si="0"/>
        <v>44399.999999999556</v>
      </c>
      <c r="Q33" s="17">
        <f t="shared" si="0"/>
        <v>5159.9999999999682</v>
      </c>
      <c r="R33" s="17">
        <f t="shared" si="0"/>
        <v>6490.0000000000091</v>
      </c>
      <c r="S33" s="17">
        <f t="shared" si="0"/>
        <v>13559.999999999945</v>
      </c>
      <c r="T33" s="17">
        <f t="shared" si="0"/>
        <v>633</v>
      </c>
      <c r="U33" s="35">
        <f t="shared" si="0"/>
        <v>10700.000000000156</v>
      </c>
      <c r="V33" s="35">
        <f t="shared" si="0"/>
        <v>4209.99999999998</v>
      </c>
      <c r="W33" s="35">
        <f t="shared" si="0"/>
        <v>3069.9999999999932</v>
      </c>
      <c r="X33" s="35">
        <f t="shared" si="0"/>
        <v>2210.0000000000364</v>
      </c>
      <c r="Y33" s="35">
        <f t="shared" si="0"/>
        <v>2649.9999999999773</v>
      </c>
      <c r="Z33" s="35">
        <f t="shared" si="0"/>
        <v>1300.0000000000114</v>
      </c>
      <c r="AA33" s="35">
        <f t="shared" si="0"/>
        <v>1300.0000000000114</v>
      </c>
      <c r="AB33" s="35">
        <f t="shared" si="0"/>
        <v>1680.0000000000068</v>
      </c>
      <c r="AC33" s="35">
        <f t="shared" si="0"/>
        <v>2169.9999999999591</v>
      </c>
      <c r="AD33" s="35">
        <f t="shared" si="0"/>
        <v>1459.9999999999795</v>
      </c>
      <c r="AE33" s="35">
        <f t="shared" si="0"/>
        <v>1379.9999999999955</v>
      </c>
      <c r="AF33" s="17">
        <f t="shared" si="0"/>
        <v>598</v>
      </c>
      <c r="AG33" s="32">
        <f t="shared" si="0"/>
        <v>730.00000000001819</v>
      </c>
      <c r="AH33" s="32">
        <f t="shared" si="0"/>
        <v>599.99999999996589</v>
      </c>
      <c r="AI33" s="32">
        <f t="shared" si="0"/>
        <v>900.00000000003411</v>
      </c>
      <c r="AJ33" s="32">
        <f t="shared" si="0"/>
        <v>750</v>
      </c>
      <c r="AK33" s="32">
        <f t="shared" si="0"/>
        <v>780.00000000002956</v>
      </c>
      <c r="AL33" s="32">
        <f t="shared" si="0"/>
        <v>662</v>
      </c>
      <c r="AM33" s="32">
        <f t="shared" si="0"/>
        <v>859.99999999998522</v>
      </c>
      <c r="AN33" s="32">
        <f t="shared" si="0"/>
        <v>636</v>
      </c>
      <c r="AO33" s="32">
        <f t="shared" si="0"/>
        <v>810.0000000000307</v>
      </c>
      <c r="AP33" s="32">
        <f t="shared" si="0"/>
        <v>838</v>
      </c>
      <c r="AQ33" s="17">
        <f t="shared" si="0"/>
        <v>918.09999999999127</v>
      </c>
      <c r="AR33" s="17">
        <f t="shared" si="0"/>
        <v>206.90000000000146</v>
      </c>
      <c r="AS33" s="17">
        <f t="shared" si="0"/>
        <v>46.199999999998909</v>
      </c>
      <c r="AT33" s="17">
        <f t="shared" si="0"/>
        <v>635.60000000000582</v>
      </c>
      <c r="AU33" s="17">
        <f t="shared" si="0"/>
        <v>4660</v>
      </c>
      <c r="AV33" s="17">
        <f t="shared" si="0"/>
        <v>13699.999999999818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75.091499999999996</v>
      </c>
      <c r="BC33" s="17">
        <f t="shared" si="0"/>
        <v>517</v>
      </c>
    </row>
    <row r="35" spans="5:55" x14ac:dyDescent="0.25">
      <c r="E35" s="38">
        <f>E33/E37</f>
        <v>0.19877395791810029</v>
      </c>
      <c r="G35" s="29" t="e">
        <f>G33-M36</f>
        <v>#VALUE!</v>
      </c>
      <c r="AE35" s="35">
        <f>SUM(U33:AE33)</f>
        <v>32130.000000000109</v>
      </c>
      <c r="AG35" s="32">
        <f>SUM(AG33:AP33)</f>
        <v>7566.0000000000637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185637.99999999924</v>
      </c>
      <c r="G37" s="37" t="e">
        <f>M36/E37</f>
        <v>#VALUE!</v>
      </c>
      <c r="M37" s="35">
        <f>AE35</f>
        <v>32130.000000000109</v>
      </c>
    </row>
    <row r="38" spans="5:55" x14ac:dyDescent="0.25">
      <c r="L38" s="27">
        <f>M38/E37</f>
        <v>4.0756741615402527E-2</v>
      </c>
      <c r="M38" s="29">
        <f>AG35</f>
        <v>7566.0000000000637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M1" zoomScale="82" zoomScaleNormal="82" workbookViewId="0">
      <pane ySplit="1" topLeftCell="A2" activePane="bottomLeft" state="frozen"/>
      <selection pane="bottomLeft" activeCell="CJ17" sqref="CJ1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>
        <v>3.9550999999999998</v>
      </c>
      <c r="D13" s="64">
        <f t="shared" si="0"/>
        <v>2599.9999999997135</v>
      </c>
      <c r="E13" s="58">
        <v>5.2568000000000001</v>
      </c>
      <c r="F13" s="64">
        <f t="shared" si="1"/>
        <v>3600.0000000004916</v>
      </c>
      <c r="G13" s="58">
        <v>5.3007999999999997</v>
      </c>
      <c r="H13" s="64">
        <f t="shared" si="2"/>
        <v>3899.9999999997926</v>
      </c>
      <c r="I13" s="58">
        <v>2.6109</v>
      </c>
      <c r="J13" s="64">
        <f t="shared" si="3"/>
        <v>1799.9999999998017</v>
      </c>
      <c r="K13" s="58">
        <v>3.9948999999999999</v>
      </c>
      <c r="L13" s="64">
        <f t="shared" si="4"/>
        <v>2599.9999999997135</v>
      </c>
      <c r="M13" s="58">
        <v>2.4217</v>
      </c>
      <c r="N13" s="64">
        <f t="shared" si="5"/>
        <v>2199.9999999997576</v>
      </c>
      <c r="O13" s="58">
        <v>29827</v>
      </c>
      <c r="P13" s="67">
        <f t="shared" si="6"/>
        <v>66</v>
      </c>
      <c r="Q13" s="58">
        <v>3765</v>
      </c>
      <c r="R13" s="67">
        <f t="shared" si="7"/>
        <v>7</v>
      </c>
      <c r="S13" s="58">
        <v>1722.6</v>
      </c>
      <c r="T13" s="67">
        <f t="shared" si="49"/>
        <v>1299.9999999999545</v>
      </c>
      <c r="U13" s="58">
        <v>679224.5</v>
      </c>
      <c r="V13" s="67">
        <f t="shared" si="8"/>
        <v>505.59999999997672</v>
      </c>
      <c r="W13" s="58">
        <v>609.17999999999995</v>
      </c>
      <c r="X13" s="65">
        <f t="shared" si="9"/>
        <v>429.99999999994998</v>
      </c>
      <c r="Y13" s="58">
        <v>4.6387</v>
      </c>
      <c r="Z13" s="65">
        <f t="shared" si="10"/>
        <v>3199.9999999996476</v>
      </c>
      <c r="AA13" s="58">
        <v>615.16999999999996</v>
      </c>
      <c r="AB13" s="65">
        <f t="shared" si="11"/>
        <v>449.99999999993179</v>
      </c>
      <c r="AC13" s="58">
        <v>623.29999999999995</v>
      </c>
      <c r="AD13" s="65">
        <f t="shared" si="12"/>
        <v>459.99999999992269</v>
      </c>
      <c r="AE13" s="58">
        <v>994.71</v>
      </c>
      <c r="AF13" s="65">
        <f t="shared" si="13"/>
        <v>1150.0000000000909</v>
      </c>
      <c r="AG13" s="58">
        <v>28489</v>
      </c>
      <c r="AH13" s="67">
        <f t="shared" si="14"/>
        <v>46</v>
      </c>
      <c r="AI13" s="58">
        <v>1.0587</v>
      </c>
      <c r="AJ13" s="65">
        <f t="shared" si="15"/>
        <v>799.99999999991189</v>
      </c>
      <c r="AK13" s="58">
        <v>350.46</v>
      </c>
      <c r="AL13" s="65">
        <f t="shared" si="16"/>
        <v>339.99999999997499</v>
      </c>
      <c r="AM13" s="58">
        <v>320.38</v>
      </c>
      <c r="AN13" s="65">
        <f t="shared" si="17"/>
        <v>329.99999999998408</v>
      </c>
      <c r="AO13" s="58">
        <v>308.37</v>
      </c>
      <c r="AP13" s="65">
        <f t="shared" si="18"/>
        <v>160.00000000002501</v>
      </c>
      <c r="AQ13" s="58">
        <v>362.36</v>
      </c>
      <c r="AR13" s="65">
        <f t="shared" si="19"/>
        <v>150.00000000003411</v>
      </c>
      <c r="AS13" s="58">
        <v>486.49</v>
      </c>
      <c r="AT13" s="65">
        <f t="shared" si="20"/>
        <v>69.999999999993179</v>
      </c>
      <c r="AU13" s="58">
        <v>390.07</v>
      </c>
      <c r="AV13" s="65">
        <f t="shared" si="21"/>
        <v>50.000000000011369</v>
      </c>
      <c r="AW13" s="58">
        <v>418.56</v>
      </c>
      <c r="AX13" s="65">
        <f t="shared" si="22"/>
        <v>180.00000000000682</v>
      </c>
      <c r="AY13" s="58">
        <v>453.32</v>
      </c>
      <c r="AZ13" s="65">
        <f t="shared" si="23"/>
        <v>79.999999999984084</v>
      </c>
      <c r="BA13" s="58">
        <v>470.25</v>
      </c>
      <c r="BB13" s="65">
        <f t="shared" si="24"/>
        <v>60.000000000002274</v>
      </c>
      <c r="BC13" s="58">
        <v>302.60000000000002</v>
      </c>
      <c r="BD13" s="65">
        <f t="shared" si="25"/>
        <v>120.00000000000455</v>
      </c>
      <c r="BE13" s="59">
        <v>63069</v>
      </c>
      <c r="BF13" s="67">
        <f t="shared" si="26"/>
        <v>37</v>
      </c>
      <c r="BG13" s="60">
        <v>259.69</v>
      </c>
      <c r="BH13" s="65">
        <f t="shared" si="27"/>
        <v>50.000000000011369</v>
      </c>
      <c r="BI13" s="60">
        <v>313.58999999999997</v>
      </c>
      <c r="BJ13" s="65">
        <f t="shared" si="28"/>
        <v>49.999999999954525</v>
      </c>
      <c r="BK13" s="60">
        <v>266.64</v>
      </c>
      <c r="BL13" s="65">
        <f t="shared" si="29"/>
        <v>60.000000000002274</v>
      </c>
      <c r="BM13" s="60">
        <v>249.68</v>
      </c>
      <c r="BN13" s="65">
        <f t="shared" si="30"/>
        <v>50.000000000011369</v>
      </c>
      <c r="BO13" s="60">
        <v>317.93</v>
      </c>
      <c r="BP13" s="65">
        <f t="shared" si="31"/>
        <v>50.000000000011369</v>
      </c>
      <c r="BQ13" s="60">
        <v>67923</v>
      </c>
      <c r="BR13" s="65">
        <f t="shared" si="32"/>
        <v>50</v>
      </c>
      <c r="BS13" s="60">
        <v>228.28</v>
      </c>
      <c r="BT13" s="65">
        <f t="shared" si="33"/>
        <v>50.000000000011369</v>
      </c>
      <c r="BU13" s="60">
        <v>65149</v>
      </c>
      <c r="BV13" s="65">
        <f t="shared" si="34"/>
        <v>48</v>
      </c>
      <c r="BW13" s="60">
        <v>256.23</v>
      </c>
      <c r="BX13" s="65">
        <f t="shared" si="35"/>
        <v>50.000000000011369</v>
      </c>
      <c r="BY13" s="60">
        <v>87605</v>
      </c>
      <c r="BZ13" s="67">
        <f t="shared" si="36"/>
        <v>60</v>
      </c>
      <c r="CA13" s="60">
        <v>65561.7</v>
      </c>
      <c r="CB13" s="67">
        <f t="shared" si="37"/>
        <v>66.899999999994179</v>
      </c>
      <c r="CC13" s="60">
        <v>19328.2</v>
      </c>
      <c r="CD13" s="67">
        <f t="shared" si="38"/>
        <v>10</v>
      </c>
      <c r="CE13" s="60">
        <v>9181.5</v>
      </c>
      <c r="CF13" s="67">
        <f t="shared" si="39"/>
        <v>3.6000000000003638</v>
      </c>
      <c r="CG13" s="60">
        <v>88449</v>
      </c>
      <c r="CH13" s="67">
        <f t="shared" si="40"/>
        <v>42.30000000000291</v>
      </c>
      <c r="CI13" s="60">
        <v>1136312</v>
      </c>
      <c r="CJ13" s="67">
        <f t="shared" si="41"/>
        <v>345</v>
      </c>
      <c r="CK13" s="60">
        <v>1263</v>
      </c>
      <c r="CL13" s="64">
        <f t="shared" si="42"/>
        <v>1000</v>
      </c>
      <c r="CM13" s="65">
        <f t="shared" si="43"/>
        <v>117.29999999999927</v>
      </c>
      <c r="CN13" s="62">
        <v>44</v>
      </c>
      <c r="CO13" s="62">
        <v>91</v>
      </c>
      <c r="CP13" s="68">
        <v>56624</v>
      </c>
      <c r="CQ13" s="67">
        <f t="shared" si="44"/>
        <v>105</v>
      </c>
      <c r="CR13" s="68">
        <v>28885.3</v>
      </c>
      <c r="CS13" s="67">
        <f t="shared" si="45"/>
        <v>12.299999999999272</v>
      </c>
      <c r="CT13" s="75">
        <v>13766</v>
      </c>
      <c r="CU13" s="67">
        <f t="shared" si="46"/>
        <v>9</v>
      </c>
      <c r="CV13" s="68">
        <v>32913</v>
      </c>
      <c r="CW13" s="67">
        <f t="shared" si="47"/>
        <v>13</v>
      </c>
      <c r="CX13" s="58">
        <v>6323.2</v>
      </c>
      <c r="CY13" s="67">
        <f t="shared" si="48"/>
        <v>13.300000000000182</v>
      </c>
    </row>
    <row r="14" spans="1:103" ht="25.5" customHeight="1" thickBot="1" x14ac:dyDescent="0.45">
      <c r="A14" s="63">
        <v>44996</v>
      </c>
      <c r="B14" s="44"/>
      <c r="C14" s="58">
        <v>3.9577</v>
      </c>
      <c r="D14" s="64">
        <f t="shared" si="0"/>
        <v>2600.0000000001578</v>
      </c>
      <c r="E14" s="58">
        <v>5.2605000000000004</v>
      </c>
      <c r="F14" s="64">
        <f t="shared" si="1"/>
        <v>3700.0000000002588</v>
      </c>
      <c r="G14" s="58">
        <v>5.3052000000000001</v>
      </c>
      <c r="H14" s="64">
        <f t="shared" si="2"/>
        <v>4400.0000000004038</v>
      </c>
      <c r="I14" s="58">
        <v>2.6128</v>
      </c>
      <c r="J14" s="64">
        <f t="shared" si="3"/>
        <v>1900.0000000000127</v>
      </c>
      <c r="K14" s="58">
        <v>3.9975999999999998</v>
      </c>
      <c r="L14" s="64">
        <f t="shared" si="4"/>
        <v>2699.9999999999245</v>
      </c>
      <c r="M14" s="58">
        <v>2.4238</v>
      </c>
      <c r="N14" s="64">
        <f t="shared" si="5"/>
        <v>2099.9999999999909</v>
      </c>
      <c r="O14" s="58">
        <v>29869</v>
      </c>
      <c r="P14" s="67">
        <f t="shared" si="6"/>
        <v>42</v>
      </c>
      <c r="Q14" s="58">
        <v>3770</v>
      </c>
      <c r="R14" s="67">
        <f t="shared" si="7"/>
        <v>5</v>
      </c>
      <c r="S14" s="58">
        <v>1724.4</v>
      </c>
      <c r="T14" s="67">
        <f t="shared" si="49"/>
        <v>1800.0000000001819</v>
      </c>
      <c r="U14" s="58">
        <v>679885.3</v>
      </c>
      <c r="V14" s="67">
        <f t="shared" si="8"/>
        <v>660.80000000004657</v>
      </c>
      <c r="W14" s="58">
        <v>609.66</v>
      </c>
      <c r="X14" s="65">
        <f t="shared" si="9"/>
        <v>480.00000000001819</v>
      </c>
      <c r="Y14" s="58">
        <v>4.6421000000000001</v>
      </c>
      <c r="Z14" s="65">
        <f t="shared" si="10"/>
        <v>3400.0000000000696</v>
      </c>
      <c r="AA14" s="58">
        <v>615.62</v>
      </c>
      <c r="AB14" s="65">
        <f t="shared" si="11"/>
        <v>450.00000000004547</v>
      </c>
      <c r="AC14" s="58">
        <v>623.78</v>
      </c>
      <c r="AD14" s="65">
        <f t="shared" si="12"/>
        <v>480.00000000001819</v>
      </c>
      <c r="AE14" s="58">
        <v>995.81</v>
      </c>
      <c r="AF14" s="65">
        <f t="shared" si="13"/>
        <v>1099.9999999999091</v>
      </c>
      <c r="AG14" s="58">
        <v>28539</v>
      </c>
      <c r="AH14" s="67">
        <f t="shared" si="14"/>
        <v>50</v>
      </c>
      <c r="AI14" s="58">
        <v>1.0595000000000001</v>
      </c>
      <c r="AJ14" s="65">
        <f t="shared" si="15"/>
        <v>800.00000000013392</v>
      </c>
      <c r="AK14" s="58">
        <v>350.8</v>
      </c>
      <c r="AL14" s="65">
        <f t="shared" si="16"/>
        <v>340.00000000003183</v>
      </c>
      <c r="AM14" s="58">
        <v>320.69</v>
      </c>
      <c r="AN14" s="65">
        <f t="shared" si="17"/>
        <v>310.00000000000227</v>
      </c>
      <c r="AO14" s="58">
        <v>308.52999999999997</v>
      </c>
      <c r="AP14" s="65">
        <f t="shared" si="18"/>
        <v>159.99999999996817</v>
      </c>
      <c r="AQ14" s="58">
        <v>362.46</v>
      </c>
      <c r="AR14" s="65">
        <f t="shared" si="19"/>
        <v>99.999999999965894</v>
      </c>
      <c r="AS14" s="58">
        <v>486.63</v>
      </c>
      <c r="AT14" s="65">
        <f t="shared" si="20"/>
        <v>139.99999999998636</v>
      </c>
      <c r="AU14" s="58">
        <v>390.18</v>
      </c>
      <c r="AV14" s="65">
        <f t="shared" si="21"/>
        <v>110.00000000001364</v>
      </c>
      <c r="AW14" s="58">
        <v>418.77</v>
      </c>
      <c r="AX14" s="65">
        <f t="shared" si="22"/>
        <v>209.99999999997954</v>
      </c>
      <c r="AY14" s="58">
        <v>453.46</v>
      </c>
      <c r="AZ14" s="65">
        <f t="shared" si="23"/>
        <v>139.99999999998636</v>
      </c>
      <c r="BA14" s="58">
        <v>470.31</v>
      </c>
      <c r="BB14" s="65">
        <f t="shared" si="24"/>
        <v>60.000000000002274</v>
      </c>
      <c r="BC14" s="58">
        <v>302.70999999999998</v>
      </c>
      <c r="BD14" s="65">
        <f t="shared" si="25"/>
        <v>109.9999999999568</v>
      </c>
      <c r="BE14" s="59">
        <v>63117</v>
      </c>
      <c r="BF14" s="67">
        <f t="shared" si="26"/>
        <v>48</v>
      </c>
      <c r="BG14" s="60">
        <v>259.74</v>
      </c>
      <c r="BH14" s="65">
        <f t="shared" si="27"/>
        <v>50.000000000011369</v>
      </c>
      <c r="BI14" s="60">
        <v>313.63</v>
      </c>
      <c r="BJ14" s="65">
        <f t="shared" si="28"/>
        <v>40.000000000020464</v>
      </c>
      <c r="BK14" s="60">
        <v>266.7</v>
      </c>
      <c r="BL14" s="65">
        <f t="shared" si="29"/>
        <v>60.000000000002274</v>
      </c>
      <c r="BM14" s="60">
        <v>249.72</v>
      </c>
      <c r="BN14" s="65">
        <f t="shared" si="30"/>
        <v>39.999999999992042</v>
      </c>
      <c r="BO14" s="60">
        <v>317.99</v>
      </c>
      <c r="BP14" s="65">
        <f t="shared" si="31"/>
        <v>60.000000000002274</v>
      </c>
      <c r="BQ14" s="60">
        <v>67969</v>
      </c>
      <c r="BR14" s="65">
        <f t="shared" si="32"/>
        <v>46</v>
      </c>
      <c r="BS14" s="60">
        <v>228.35</v>
      </c>
      <c r="BT14" s="65">
        <f t="shared" si="33"/>
        <v>69.999999999993179</v>
      </c>
      <c r="BU14" s="60">
        <v>65193</v>
      </c>
      <c r="BV14" s="65">
        <f t="shared" si="34"/>
        <v>44</v>
      </c>
      <c r="BW14" s="60">
        <v>256.27999999999997</v>
      </c>
      <c r="BX14" s="65">
        <f t="shared" si="35"/>
        <v>49.999999999954525</v>
      </c>
      <c r="BY14" s="60">
        <v>87661</v>
      </c>
      <c r="BZ14" s="67">
        <f t="shared" si="36"/>
        <v>56</v>
      </c>
      <c r="CA14" s="60">
        <v>65631.399999999994</v>
      </c>
      <c r="CB14" s="67">
        <f t="shared" si="37"/>
        <v>69.69999999999709</v>
      </c>
      <c r="CC14" s="60">
        <v>19343.8</v>
      </c>
      <c r="CD14" s="67">
        <f t="shared" si="38"/>
        <v>15.599999999998545</v>
      </c>
      <c r="CE14" s="60">
        <v>9186.7999999999993</v>
      </c>
      <c r="CF14" s="67">
        <f t="shared" si="39"/>
        <v>5.2999999999992724</v>
      </c>
      <c r="CG14" s="60">
        <v>88490.4</v>
      </c>
      <c r="CH14" s="67">
        <f t="shared" si="40"/>
        <v>41.399999999994179</v>
      </c>
      <c r="CI14" s="60">
        <v>1136644</v>
      </c>
      <c r="CJ14" s="67">
        <f t="shared" si="41"/>
        <v>332</v>
      </c>
      <c r="CK14" s="60">
        <v>1264.0999999999999</v>
      </c>
      <c r="CL14" s="64">
        <f t="shared" si="42"/>
        <v>1099.9999999999091</v>
      </c>
      <c r="CM14" s="65">
        <f t="shared" si="43"/>
        <v>126</v>
      </c>
      <c r="CN14" s="62">
        <v>42</v>
      </c>
      <c r="CO14" s="62">
        <v>84</v>
      </c>
      <c r="CP14" s="68">
        <v>56736</v>
      </c>
      <c r="CQ14" s="67">
        <f t="shared" si="44"/>
        <v>112</v>
      </c>
      <c r="CR14" s="68">
        <v>28899.3</v>
      </c>
      <c r="CS14" s="67">
        <f t="shared" si="45"/>
        <v>14</v>
      </c>
      <c r="CT14" s="75">
        <v>13776</v>
      </c>
      <c r="CU14" s="67">
        <f t="shared" si="46"/>
        <v>10</v>
      </c>
      <c r="CV14" s="68">
        <v>32928</v>
      </c>
      <c r="CW14" s="67">
        <f t="shared" si="47"/>
        <v>15</v>
      </c>
      <c r="CX14" s="58">
        <v>6336.8</v>
      </c>
      <c r="CY14" s="67">
        <f t="shared" si="48"/>
        <v>13.600000000000364</v>
      </c>
    </row>
    <row r="15" spans="1:103" ht="25.5" customHeight="1" thickBot="1" x14ac:dyDescent="0.45">
      <c r="A15" s="63">
        <v>44997</v>
      </c>
      <c r="B15" s="44"/>
      <c r="C15" s="58">
        <v>3.9603000000000002</v>
      </c>
      <c r="D15" s="64">
        <f t="shared" si="0"/>
        <v>2600.0000000001578</v>
      </c>
      <c r="E15" s="58">
        <v>5.2641999999999998</v>
      </c>
      <c r="F15" s="64">
        <f t="shared" si="1"/>
        <v>3699.9999999993706</v>
      </c>
      <c r="G15" s="58">
        <v>5.3090000000000002</v>
      </c>
      <c r="H15" s="64">
        <f t="shared" si="2"/>
        <v>3800.0000000000255</v>
      </c>
      <c r="I15" s="58">
        <v>2.6147999999999998</v>
      </c>
      <c r="J15" s="64">
        <f t="shared" si="3"/>
        <v>1999.9999999997797</v>
      </c>
      <c r="K15" s="58">
        <v>4.0000999999999998</v>
      </c>
      <c r="L15" s="64">
        <f t="shared" si="4"/>
        <v>2499.9999999999468</v>
      </c>
      <c r="M15" s="58">
        <v>2.4257</v>
      </c>
      <c r="N15" s="64">
        <f t="shared" si="5"/>
        <v>1900.0000000000127</v>
      </c>
      <c r="O15" s="58">
        <v>29948</v>
      </c>
      <c r="P15" s="67">
        <f t="shared" si="6"/>
        <v>79</v>
      </c>
      <c r="Q15" s="58">
        <v>3776</v>
      </c>
      <c r="R15" s="67">
        <f>IF((Q15-Q14&lt;0), "",Q15-Q14)</f>
        <v>6</v>
      </c>
      <c r="S15" s="58">
        <v>1725.8</v>
      </c>
      <c r="T15" s="67">
        <f t="shared" si="49"/>
        <v>1399.9999999998636</v>
      </c>
      <c r="U15" s="58">
        <v>680364.9</v>
      </c>
      <c r="V15" s="67">
        <f t="shared" si="8"/>
        <v>479.59999999997672</v>
      </c>
      <c r="W15" s="58">
        <v>610.04</v>
      </c>
      <c r="X15" s="65">
        <f t="shared" si="9"/>
        <v>379.99999999999545</v>
      </c>
      <c r="Y15" s="58">
        <v>4.6452999999999998</v>
      </c>
      <c r="Z15" s="65">
        <f t="shared" si="10"/>
        <v>3199.9999999996476</v>
      </c>
      <c r="AA15" s="58">
        <v>615.94000000000005</v>
      </c>
      <c r="AB15" s="65">
        <f t="shared" si="11"/>
        <v>320.00000000005002</v>
      </c>
      <c r="AC15" s="58">
        <v>624.22</v>
      </c>
      <c r="AD15" s="65">
        <f t="shared" si="12"/>
        <v>440.00000000005457</v>
      </c>
      <c r="AE15" s="58">
        <v>996.88</v>
      </c>
      <c r="AF15" s="65">
        <f t="shared" si="13"/>
        <v>1070.00000000005</v>
      </c>
      <c r="AG15" s="58">
        <v>28586</v>
      </c>
      <c r="AH15" s="67">
        <f t="shared" si="14"/>
        <v>47</v>
      </c>
      <c r="AI15" s="58">
        <v>1.0602</v>
      </c>
      <c r="AJ15" s="65">
        <f t="shared" si="15"/>
        <v>699.99999999992292</v>
      </c>
      <c r="AK15" s="58">
        <v>351.09</v>
      </c>
      <c r="AL15" s="65">
        <f t="shared" si="16"/>
        <v>289.99999999996362</v>
      </c>
      <c r="AM15" s="58">
        <v>321</v>
      </c>
      <c r="AN15" s="65">
        <f t="shared" si="17"/>
        <v>310.00000000000227</v>
      </c>
      <c r="AO15" s="58">
        <v>308.64999999999998</v>
      </c>
      <c r="AP15" s="65">
        <f t="shared" si="18"/>
        <v>120.00000000000455</v>
      </c>
      <c r="AQ15" s="58">
        <v>362.54</v>
      </c>
      <c r="AR15" s="65">
        <f t="shared" si="19"/>
        <v>80.000000000040927</v>
      </c>
      <c r="AS15" s="58">
        <v>486.73</v>
      </c>
      <c r="AT15" s="65">
        <f t="shared" si="20"/>
        <v>100.00000000002274</v>
      </c>
      <c r="AU15" s="58">
        <v>390.27</v>
      </c>
      <c r="AV15" s="65">
        <f t="shared" si="21"/>
        <v>89.999999999974989</v>
      </c>
      <c r="AW15" s="58">
        <v>418.98</v>
      </c>
      <c r="AX15" s="65">
        <f t="shared" si="22"/>
        <v>210.00000000003638</v>
      </c>
      <c r="AY15" s="58">
        <v>453.64</v>
      </c>
      <c r="AZ15" s="65">
        <f t="shared" si="23"/>
        <v>180.00000000000682</v>
      </c>
      <c r="BA15" s="58">
        <v>470.36</v>
      </c>
      <c r="BB15" s="65">
        <f t="shared" si="24"/>
        <v>50.000000000011369</v>
      </c>
      <c r="BC15" s="58">
        <v>302.81</v>
      </c>
      <c r="BD15" s="65">
        <f t="shared" si="25"/>
        <v>100.00000000002274</v>
      </c>
      <c r="BE15" s="59">
        <v>63149</v>
      </c>
      <c r="BF15" s="67">
        <f t="shared" si="26"/>
        <v>32</v>
      </c>
      <c r="BG15" s="60">
        <v>259.8</v>
      </c>
      <c r="BH15" s="65">
        <f t="shared" si="27"/>
        <v>60.000000000002274</v>
      </c>
      <c r="BI15" s="60">
        <v>313.68</v>
      </c>
      <c r="BJ15" s="65">
        <f t="shared" si="28"/>
        <v>50.000000000011369</v>
      </c>
      <c r="BK15" s="60">
        <v>266.77</v>
      </c>
      <c r="BL15" s="65">
        <f t="shared" si="29"/>
        <v>69.999999999993179</v>
      </c>
      <c r="BM15" s="60">
        <v>249.79</v>
      </c>
      <c r="BN15" s="65">
        <f t="shared" si="30"/>
        <v>69.999999999993179</v>
      </c>
      <c r="BO15" s="60">
        <v>318.06</v>
      </c>
      <c r="BP15" s="65">
        <f t="shared" si="31"/>
        <v>69.999999999993179</v>
      </c>
      <c r="BQ15" s="60">
        <v>68025</v>
      </c>
      <c r="BR15" s="65">
        <f t="shared" si="32"/>
        <v>56</v>
      </c>
      <c r="BS15" s="60">
        <v>228.41</v>
      </c>
      <c r="BT15" s="65">
        <f t="shared" si="33"/>
        <v>60.000000000002274</v>
      </c>
      <c r="BU15" s="60">
        <v>65245</v>
      </c>
      <c r="BV15" s="65">
        <f t="shared" si="34"/>
        <v>52</v>
      </c>
      <c r="BW15" s="60">
        <v>256.33999999999997</v>
      </c>
      <c r="BX15" s="65">
        <f t="shared" si="35"/>
        <v>60.000000000002274</v>
      </c>
      <c r="BY15" s="60">
        <v>87729</v>
      </c>
      <c r="BZ15" s="67">
        <f t="shared" si="36"/>
        <v>68</v>
      </c>
      <c r="CA15" s="60">
        <v>65682.100000000006</v>
      </c>
      <c r="CB15" s="67">
        <f t="shared" si="37"/>
        <v>50.700000000011642</v>
      </c>
      <c r="CC15" s="60">
        <v>19353.900000000001</v>
      </c>
      <c r="CD15" s="67">
        <f t="shared" si="38"/>
        <v>10.100000000002183</v>
      </c>
      <c r="CE15" s="60">
        <v>9190.2999999999993</v>
      </c>
      <c r="CF15" s="67">
        <f t="shared" si="39"/>
        <v>3.5</v>
      </c>
      <c r="CG15" s="60">
        <v>88537.4</v>
      </c>
      <c r="CH15" s="67">
        <f t="shared" si="40"/>
        <v>47</v>
      </c>
      <c r="CI15" s="60">
        <v>1137016</v>
      </c>
      <c r="CJ15" s="67">
        <f t="shared" si="41"/>
        <v>372</v>
      </c>
      <c r="CK15" s="60">
        <v>1265.0999999999999</v>
      </c>
      <c r="CL15" s="64">
        <f t="shared" si="42"/>
        <v>1000</v>
      </c>
      <c r="CM15" s="65">
        <f t="shared" si="43"/>
        <v>105.10000000000218</v>
      </c>
      <c r="CN15" s="62">
        <v>37</v>
      </c>
      <c r="CO15" s="62">
        <v>70</v>
      </c>
      <c r="CP15" s="68">
        <v>56834</v>
      </c>
      <c r="CQ15" s="67">
        <f t="shared" si="44"/>
        <v>98</v>
      </c>
      <c r="CR15" s="68">
        <v>28906.400000000001</v>
      </c>
      <c r="CS15" s="67">
        <f t="shared" si="45"/>
        <v>7.1000000000021828</v>
      </c>
      <c r="CT15" s="75">
        <v>13785</v>
      </c>
      <c r="CU15" s="67">
        <f t="shared" si="46"/>
        <v>9</v>
      </c>
      <c r="CV15" s="68">
        <v>32941</v>
      </c>
      <c r="CW15" s="67">
        <f t="shared" si="47"/>
        <v>13</v>
      </c>
      <c r="CX15" s="58">
        <v>6350.2</v>
      </c>
      <c r="CY15" s="67">
        <f t="shared" si="48"/>
        <v>13.399999999999636</v>
      </c>
    </row>
    <row r="16" spans="1:103" ht="25.5" customHeight="1" thickBot="1" x14ac:dyDescent="0.45">
      <c r="A16" s="63">
        <v>44998</v>
      </c>
      <c r="B16" s="44"/>
      <c r="C16" s="58">
        <v>3.9634</v>
      </c>
      <c r="D16" s="64">
        <f t="shared" si="0"/>
        <v>3099.9999999998809</v>
      </c>
      <c r="E16" s="58">
        <v>5.2678000000000003</v>
      </c>
      <c r="F16" s="64">
        <f t="shared" si="1"/>
        <v>3600.0000000004916</v>
      </c>
      <c r="G16" s="58">
        <v>5.3131000000000004</v>
      </c>
      <c r="H16" s="64">
        <f t="shared" si="2"/>
        <v>4100.0000000002146</v>
      </c>
      <c r="I16" s="58">
        <v>2.6166999999999998</v>
      </c>
      <c r="J16" s="64">
        <f>IF((I16-I15&lt;0), "0",(I16-I15)*1000000)</f>
        <v>1900.0000000000127</v>
      </c>
      <c r="K16" s="58">
        <v>4.0025000000000004</v>
      </c>
      <c r="L16" s="64">
        <f t="shared" si="4"/>
        <v>2400.0000000006239</v>
      </c>
      <c r="M16" s="58">
        <v>2.4279000000000002</v>
      </c>
      <c r="N16" s="64">
        <f t="shared" si="5"/>
        <v>2200.0000000002019</v>
      </c>
      <c r="O16" s="58">
        <v>30011</v>
      </c>
      <c r="P16" s="67">
        <f t="shared" si="6"/>
        <v>63</v>
      </c>
      <c r="Q16" s="58">
        <v>3788</v>
      </c>
      <c r="R16" s="67">
        <f t="shared" si="7"/>
        <v>12</v>
      </c>
      <c r="S16" s="58">
        <v>1727.2</v>
      </c>
      <c r="T16" s="67">
        <f t="shared" si="49"/>
        <v>1400.0000000000909</v>
      </c>
      <c r="U16" s="58">
        <v>680928.4</v>
      </c>
      <c r="V16" s="67">
        <f t="shared" si="8"/>
        <v>563.5</v>
      </c>
      <c r="W16" s="58">
        <v>610.42999999999995</v>
      </c>
      <c r="X16" s="65">
        <f t="shared" si="9"/>
        <v>389.99999999998636</v>
      </c>
      <c r="Y16" s="58">
        <v>4.6485000000000003</v>
      </c>
      <c r="Z16" s="65">
        <f t="shared" si="10"/>
        <v>3200.0000000005357</v>
      </c>
      <c r="AA16" s="58">
        <v>616.45000000000005</v>
      </c>
      <c r="AB16" s="65">
        <f t="shared" si="11"/>
        <v>509.99999999999091</v>
      </c>
      <c r="AC16" s="58">
        <v>624.70000000000005</v>
      </c>
      <c r="AD16" s="65">
        <f t="shared" si="12"/>
        <v>480.00000000001819</v>
      </c>
      <c r="AE16" s="58">
        <v>997.9</v>
      </c>
      <c r="AF16" s="65">
        <f t="shared" si="13"/>
        <v>1019.9999999999818</v>
      </c>
      <c r="AG16" s="58">
        <v>28632</v>
      </c>
      <c r="AH16" s="67">
        <f t="shared" si="14"/>
        <v>46</v>
      </c>
      <c r="AI16" s="58">
        <v>1.0609999999999999</v>
      </c>
      <c r="AJ16" s="65">
        <f t="shared" si="15"/>
        <v>799.99999999991189</v>
      </c>
      <c r="AK16" s="58">
        <v>351.42</v>
      </c>
      <c r="AL16" s="65">
        <f t="shared" si="16"/>
        <v>330.00000000004093</v>
      </c>
      <c r="AM16" s="58">
        <v>321.35000000000002</v>
      </c>
      <c r="AN16" s="65">
        <f t="shared" si="17"/>
        <v>350.00000000002274</v>
      </c>
      <c r="AO16" s="58">
        <v>308.81</v>
      </c>
      <c r="AP16" s="65">
        <f t="shared" si="18"/>
        <v>160.00000000002501</v>
      </c>
      <c r="AQ16" s="58">
        <v>362.78</v>
      </c>
      <c r="AR16" s="65">
        <f t="shared" si="19"/>
        <v>239.99999999995225</v>
      </c>
      <c r="AS16" s="58">
        <v>486.85</v>
      </c>
      <c r="AT16" s="65">
        <f t="shared" si="20"/>
        <v>120.00000000000455</v>
      </c>
      <c r="AU16" s="58">
        <v>390.42</v>
      </c>
      <c r="AV16" s="65">
        <f t="shared" si="21"/>
        <v>150.00000000003411</v>
      </c>
      <c r="AW16" s="58">
        <v>419.2</v>
      </c>
      <c r="AX16" s="65">
        <f t="shared" si="22"/>
        <v>219.99999999997044</v>
      </c>
      <c r="AY16" s="58">
        <v>453.85</v>
      </c>
      <c r="AZ16" s="65">
        <f t="shared" si="23"/>
        <v>210.00000000003638</v>
      </c>
      <c r="BA16" s="58">
        <v>470.5</v>
      </c>
      <c r="BB16" s="65">
        <f t="shared" si="24"/>
        <v>139.99999999998636</v>
      </c>
      <c r="BC16" s="58">
        <v>302.91000000000003</v>
      </c>
      <c r="BD16" s="65">
        <f t="shared" si="25"/>
        <v>100.00000000002274</v>
      </c>
      <c r="BE16" s="59">
        <v>63192</v>
      </c>
      <c r="BF16" s="67">
        <f t="shared" si="26"/>
        <v>43</v>
      </c>
      <c r="BG16" s="60">
        <v>259.86</v>
      </c>
      <c r="BH16" s="65">
        <f t="shared" si="27"/>
        <v>60.000000000002274</v>
      </c>
      <c r="BI16" s="60">
        <v>313.72000000000003</v>
      </c>
      <c r="BJ16" s="65">
        <f t="shared" si="28"/>
        <v>40.000000000020464</v>
      </c>
      <c r="BK16" s="60">
        <v>266.85000000000002</v>
      </c>
      <c r="BL16" s="65">
        <f t="shared" si="29"/>
        <v>80.000000000040927</v>
      </c>
      <c r="BM16" s="60">
        <v>249.85</v>
      </c>
      <c r="BN16" s="65">
        <f t="shared" si="30"/>
        <v>60.000000000002274</v>
      </c>
      <c r="BO16" s="60">
        <v>318.12</v>
      </c>
      <c r="BP16" s="65">
        <f t="shared" si="31"/>
        <v>60.000000000002274</v>
      </c>
      <c r="BQ16" s="60">
        <v>68075</v>
      </c>
      <c r="BR16" s="65">
        <f t="shared" si="32"/>
        <v>50</v>
      </c>
      <c r="BS16" s="60">
        <v>228.48</v>
      </c>
      <c r="BT16" s="65">
        <f t="shared" si="33"/>
        <v>69.999999999993179</v>
      </c>
      <c r="BU16" s="60">
        <v>65299</v>
      </c>
      <c r="BV16" s="65">
        <f t="shared" si="34"/>
        <v>54</v>
      </c>
      <c r="BW16" s="60">
        <v>256.39999999999998</v>
      </c>
      <c r="BX16" s="65">
        <f t="shared" si="35"/>
        <v>60.000000000002274</v>
      </c>
      <c r="BY16" s="60">
        <v>87792</v>
      </c>
      <c r="BZ16" s="67">
        <f t="shared" si="36"/>
        <v>63</v>
      </c>
      <c r="CA16" s="60">
        <v>65735.5</v>
      </c>
      <c r="CB16" s="67">
        <f t="shared" si="37"/>
        <v>53.399999999994179</v>
      </c>
      <c r="CC16" s="60">
        <v>19364</v>
      </c>
      <c r="CD16" s="67">
        <f t="shared" si="38"/>
        <v>10.099999999998545</v>
      </c>
      <c r="CE16" s="60">
        <v>9198.9</v>
      </c>
      <c r="CF16" s="67">
        <f t="shared" si="39"/>
        <v>8.6000000000003638</v>
      </c>
      <c r="CG16" s="60">
        <v>88572.9</v>
      </c>
      <c r="CH16" s="67">
        <f t="shared" si="40"/>
        <v>35.5</v>
      </c>
      <c r="CI16" s="60">
        <v>1137348</v>
      </c>
      <c r="CJ16" s="67">
        <f t="shared" si="41"/>
        <v>332</v>
      </c>
      <c r="CK16" s="60">
        <v>1266.0999999999999</v>
      </c>
      <c r="CL16" s="64">
        <f t="shared" si="42"/>
        <v>1000</v>
      </c>
      <c r="CM16" s="65">
        <f t="shared" si="43"/>
        <v>117.69999999999709</v>
      </c>
      <c r="CN16" s="62">
        <v>37</v>
      </c>
      <c r="CO16" s="62">
        <v>70</v>
      </c>
      <c r="CP16" s="68">
        <v>56933</v>
      </c>
      <c r="CQ16" s="67">
        <f t="shared" si="44"/>
        <v>99</v>
      </c>
      <c r="CR16" s="68">
        <v>28925.1</v>
      </c>
      <c r="CS16" s="67">
        <f t="shared" si="45"/>
        <v>18.69999999999709</v>
      </c>
      <c r="CT16" s="75">
        <v>13795</v>
      </c>
      <c r="CU16" s="67">
        <f t="shared" si="46"/>
        <v>10</v>
      </c>
      <c r="CV16" s="68">
        <v>32954</v>
      </c>
      <c r="CW16" s="67">
        <f t="shared" si="47"/>
        <v>13</v>
      </c>
      <c r="CX16" s="58">
        <v>6363.6</v>
      </c>
      <c r="CY16" s="67">
        <f t="shared" si="48"/>
        <v>13.400000000000546</v>
      </c>
    </row>
    <row r="17" spans="1:103" ht="25.5" customHeight="1" thickBot="1" x14ac:dyDescent="0.45">
      <c r="A17" s="63">
        <v>44999</v>
      </c>
      <c r="B17" s="44"/>
      <c r="C17" s="58">
        <v>3.9662000000000002</v>
      </c>
      <c r="D17" s="64">
        <f t="shared" si="0"/>
        <v>2800.0000000001355</v>
      </c>
      <c r="E17" s="58">
        <v>5.2714999999999996</v>
      </c>
      <c r="F17" s="64">
        <f t="shared" si="1"/>
        <v>3699.9999999993706</v>
      </c>
      <c r="G17" s="58">
        <v>5.3171999999999997</v>
      </c>
      <c r="H17" s="64">
        <f t="shared" si="2"/>
        <v>4099.9999999993261</v>
      </c>
      <c r="I17" s="58">
        <v>2.6185999999999998</v>
      </c>
      <c r="J17" s="64">
        <f t="shared" si="3"/>
        <v>1900.0000000000127</v>
      </c>
      <c r="K17" s="58">
        <v>4.0049999999999999</v>
      </c>
      <c r="L17" s="64">
        <f t="shared" si="4"/>
        <v>2499.9999999995025</v>
      </c>
      <c r="M17" s="58">
        <v>2.4298999999999999</v>
      </c>
      <c r="N17" s="64">
        <f t="shared" si="5"/>
        <v>1999.9999999997797</v>
      </c>
      <c r="O17" s="58">
        <v>30074</v>
      </c>
      <c r="P17" s="67">
        <f t="shared" si="6"/>
        <v>63</v>
      </c>
      <c r="Q17" s="58">
        <v>3795</v>
      </c>
      <c r="R17" s="67">
        <f t="shared" si="7"/>
        <v>7</v>
      </c>
      <c r="S17" s="58">
        <v>1728.8</v>
      </c>
      <c r="T17" s="67">
        <f t="shared" si="49"/>
        <v>1599.9999999999091</v>
      </c>
      <c r="U17" s="58">
        <v>681524.1</v>
      </c>
      <c r="V17" s="67">
        <f t="shared" si="8"/>
        <v>595.69999999995343</v>
      </c>
      <c r="W17" s="58">
        <v>610.83000000000004</v>
      </c>
      <c r="X17" s="65">
        <f t="shared" si="9"/>
        <v>400.00000000009095</v>
      </c>
      <c r="Y17" s="58">
        <v>4.6516999999999999</v>
      </c>
      <c r="Z17" s="65">
        <f t="shared" si="10"/>
        <v>3199.9999999996476</v>
      </c>
      <c r="AA17" s="58">
        <v>616.76</v>
      </c>
      <c r="AB17" s="65">
        <f t="shared" si="11"/>
        <v>309.99999999994543</v>
      </c>
      <c r="AC17" s="58">
        <v>625.24</v>
      </c>
      <c r="AD17" s="65">
        <f t="shared" si="12"/>
        <v>539.99999999996362</v>
      </c>
      <c r="AE17" s="58">
        <v>999.03</v>
      </c>
      <c r="AF17" s="65">
        <f t="shared" si="13"/>
        <v>1129.9999999999955</v>
      </c>
      <c r="AG17" s="58">
        <v>28678</v>
      </c>
      <c r="AH17" s="67">
        <f t="shared" si="14"/>
        <v>46</v>
      </c>
      <c r="AI17" s="58">
        <v>1.0617000000000001</v>
      </c>
      <c r="AJ17" s="65">
        <f t="shared" si="15"/>
        <v>700.00000000014495</v>
      </c>
      <c r="AK17" s="58">
        <v>351.75</v>
      </c>
      <c r="AL17" s="65">
        <f t="shared" si="16"/>
        <v>329.99999999998408</v>
      </c>
      <c r="AM17" s="58">
        <v>321.69</v>
      </c>
      <c r="AN17" s="65">
        <f t="shared" si="17"/>
        <v>339.99999999997499</v>
      </c>
      <c r="AO17" s="58">
        <v>308.91000000000003</v>
      </c>
      <c r="AP17" s="65">
        <f t="shared" si="18"/>
        <v>100.00000000002274</v>
      </c>
      <c r="AQ17" s="58">
        <v>362.96</v>
      </c>
      <c r="AR17" s="65">
        <f t="shared" si="19"/>
        <v>180.00000000000682</v>
      </c>
      <c r="AS17" s="58">
        <v>486.97</v>
      </c>
      <c r="AT17" s="65">
        <f t="shared" si="20"/>
        <v>120.00000000000455</v>
      </c>
      <c r="AU17" s="58">
        <v>390.52</v>
      </c>
      <c r="AV17" s="65">
        <f t="shared" si="21"/>
        <v>99.999999999965894</v>
      </c>
      <c r="AW17" s="58">
        <v>419.41</v>
      </c>
      <c r="AX17" s="65">
        <f t="shared" si="22"/>
        <v>210.00000000003638</v>
      </c>
      <c r="AY17" s="58">
        <v>454.03</v>
      </c>
      <c r="AZ17" s="65">
        <f t="shared" si="23"/>
        <v>179.99999999994998</v>
      </c>
      <c r="BA17" s="58">
        <v>470.63</v>
      </c>
      <c r="BB17" s="65">
        <f t="shared" si="24"/>
        <v>129.99999999999545</v>
      </c>
      <c r="BC17" s="58">
        <v>303.04000000000002</v>
      </c>
      <c r="BD17" s="65">
        <f t="shared" si="25"/>
        <v>129.99999999999545</v>
      </c>
      <c r="BE17" s="59">
        <v>63234</v>
      </c>
      <c r="BF17" s="67">
        <f t="shared" si="26"/>
        <v>42</v>
      </c>
      <c r="BG17" s="60">
        <v>259.92</v>
      </c>
      <c r="BH17" s="65">
        <f t="shared" si="27"/>
        <v>60.000000000002274</v>
      </c>
      <c r="BI17" s="60">
        <v>313.77</v>
      </c>
      <c r="BJ17" s="65">
        <f t="shared" si="28"/>
        <v>49.999999999954525</v>
      </c>
      <c r="BK17" s="60">
        <v>266.92</v>
      </c>
      <c r="BL17" s="65">
        <f t="shared" si="29"/>
        <v>69.999999999993179</v>
      </c>
      <c r="BM17" s="60">
        <v>249.91</v>
      </c>
      <c r="BN17" s="65">
        <f t="shared" si="30"/>
        <v>60.000000000002274</v>
      </c>
      <c r="BO17" s="60">
        <v>318.18</v>
      </c>
      <c r="BP17" s="65">
        <f t="shared" si="31"/>
        <v>60.000000000002274</v>
      </c>
      <c r="BQ17" s="60">
        <v>68132</v>
      </c>
      <c r="BR17" s="65">
        <f t="shared" si="32"/>
        <v>57</v>
      </c>
      <c r="BS17" s="60">
        <v>228.54</v>
      </c>
      <c r="BT17" s="65">
        <f t="shared" si="33"/>
        <v>60.000000000002274</v>
      </c>
      <c r="BU17" s="60">
        <v>65348</v>
      </c>
      <c r="BV17" s="65">
        <f t="shared" si="34"/>
        <v>49</v>
      </c>
      <c r="BW17" s="60">
        <v>256.47000000000003</v>
      </c>
      <c r="BX17" s="65">
        <f t="shared" si="35"/>
        <v>70.000000000050022</v>
      </c>
      <c r="BY17" s="60">
        <v>87854</v>
      </c>
      <c r="BZ17" s="67">
        <f t="shared" si="36"/>
        <v>62</v>
      </c>
      <c r="CA17" s="60">
        <v>65796.899999999994</v>
      </c>
      <c r="CB17" s="67">
        <f t="shared" si="37"/>
        <v>61.399999999994179</v>
      </c>
      <c r="CC17" s="60">
        <v>19386.400000000001</v>
      </c>
      <c r="CD17" s="67">
        <f t="shared" si="38"/>
        <v>22.400000000001455</v>
      </c>
      <c r="CE17" s="60">
        <v>9200.2999999999993</v>
      </c>
      <c r="CF17" s="67">
        <f t="shared" si="39"/>
        <v>1.3999999999996362</v>
      </c>
      <c r="CG17" s="60">
        <v>88600.6</v>
      </c>
      <c r="CH17" s="67">
        <f t="shared" si="40"/>
        <v>27.700000000011642</v>
      </c>
      <c r="CI17" s="60">
        <v>1137700</v>
      </c>
      <c r="CJ17" s="67">
        <f t="shared" si="41"/>
        <v>352</v>
      </c>
      <c r="CK17" s="60">
        <v>1267.0999999999999</v>
      </c>
      <c r="CL17" s="64">
        <f t="shared" si="42"/>
        <v>1000</v>
      </c>
      <c r="CM17" s="65">
        <f t="shared" si="43"/>
        <v>114.30000000000291</v>
      </c>
      <c r="CN17" s="62">
        <v>34</v>
      </c>
      <c r="CO17" s="62">
        <v>66</v>
      </c>
      <c r="CP17" s="68">
        <v>57031</v>
      </c>
      <c r="CQ17" s="67">
        <f t="shared" si="44"/>
        <v>98</v>
      </c>
      <c r="CR17" s="68">
        <v>28941.4</v>
      </c>
      <c r="CS17" s="67">
        <f t="shared" si="45"/>
        <v>16.30000000000291</v>
      </c>
      <c r="CT17" s="75">
        <v>13804</v>
      </c>
      <c r="CU17" s="67">
        <f t="shared" si="46"/>
        <v>9</v>
      </c>
      <c r="CV17" s="68">
        <v>32968</v>
      </c>
      <c r="CW17" s="67">
        <f t="shared" si="47"/>
        <v>14</v>
      </c>
      <c r="CX17" s="58">
        <v>6376.8</v>
      </c>
      <c r="CY17" s="67">
        <f t="shared" si="48"/>
        <v>13.199999999999818</v>
      </c>
    </row>
    <row r="18" spans="1:103" ht="25.5" customHeight="1" thickBot="1" x14ac:dyDescent="0.45">
      <c r="A18" s="63">
        <v>45000</v>
      </c>
      <c r="B18" s="44"/>
      <c r="C18" s="58"/>
      <c r="D18" s="64" t="str">
        <f t="shared" si="0"/>
        <v>0</v>
      </c>
      <c r="E18" s="58"/>
      <c r="F18" s="64" t="str">
        <f t="shared" si="1"/>
        <v>0</v>
      </c>
      <c r="G18" s="58"/>
      <c r="H18" s="64" t="str">
        <f t="shared" si="2"/>
        <v>0</v>
      </c>
      <c r="I18" s="58"/>
      <c r="J18" s="64" t="str">
        <f t="shared" si="3"/>
        <v>0</v>
      </c>
      <c r="K18" s="58"/>
      <c r="L18" s="64" t="str">
        <f t="shared" si="4"/>
        <v>0</v>
      </c>
      <c r="M18" s="58"/>
      <c r="N18" s="64" t="str">
        <f t="shared" si="5"/>
        <v/>
      </c>
      <c r="O18" s="58"/>
      <c r="P18" s="67" t="str">
        <f t="shared" si="6"/>
        <v/>
      </c>
      <c r="Q18" s="58"/>
      <c r="R18" s="67" t="str">
        <f t="shared" si="7"/>
        <v/>
      </c>
      <c r="S18" s="58"/>
      <c r="T18" s="67" t="e">
        <f t="shared" si="49"/>
        <v>#VALUE!</v>
      </c>
      <c r="U18" s="58"/>
      <c r="V18" s="67" t="str">
        <f t="shared" si="8"/>
        <v/>
      </c>
      <c r="W18" s="58"/>
      <c r="X18" s="65" t="str">
        <f t="shared" si="9"/>
        <v/>
      </c>
      <c r="Y18" s="58"/>
      <c r="Z18" s="65" t="str">
        <f t="shared" si="10"/>
        <v/>
      </c>
      <c r="AA18" s="58"/>
      <c r="AB18" s="65" t="str">
        <f t="shared" si="11"/>
        <v/>
      </c>
      <c r="AC18" s="58"/>
      <c r="AD18" s="65" t="str">
        <f t="shared" si="12"/>
        <v/>
      </c>
      <c r="AE18" s="58"/>
      <c r="AF18" s="65" t="str">
        <f t="shared" si="13"/>
        <v/>
      </c>
      <c r="AG18" s="58"/>
      <c r="AH18" s="67" t="str">
        <f t="shared" si="14"/>
        <v/>
      </c>
      <c r="AI18" s="58"/>
      <c r="AJ18" s="65" t="str">
        <f t="shared" si="15"/>
        <v/>
      </c>
      <c r="AK18" s="58"/>
      <c r="AL18" s="65" t="str">
        <f t="shared" si="16"/>
        <v/>
      </c>
      <c r="AM18" s="58"/>
      <c r="AN18" s="65" t="str">
        <f t="shared" si="17"/>
        <v/>
      </c>
      <c r="AO18" s="58"/>
      <c r="AP18" s="65" t="str">
        <f t="shared" si="18"/>
        <v/>
      </c>
      <c r="AQ18" s="58"/>
      <c r="AR18" s="65" t="str">
        <f t="shared" si="19"/>
        <v/>
      </c>
      <c r="AS18" s="58"/>
      <c r="AT18" s="65" t="str">
        <f t="shared" si="20"/>
        <v/>
      </c>
      <c r="AU18" s="58"/>
      <c r="AV18" s="65" t="str">
        <f t="shared" si="21"/>
        <v/>
      </c>
      <c r="AW18" s="58"/>
      <c r="AX18" s="65" t="str">
        <f t="shared" si="22"/>
        <v/>
      </c>
      <c r="AY18" s="58"/>
      <c r="AZ18" s="65" t="str">
        <f t="shared" si="23"/>
        <v/>
      </c>
      <c r="BA18" s="58"/>
      <c r="BB18" s="65" t="str">
        <f t="shared" si="24"/>
        <v/>
      </c>
      <c r="BC18" s="58"/>
      <c r="BD18" s="65" t="str">
        <f t="shared" si="25"/>
        <v/>
      </c>
      <c r="BE18" s="59"/>
      <c r="BF18" s="67" t="str">
        <f t="shared" si="26"/>
        <v/>
      </c>
      <c r="BG18" s="60"/>
      <c r="BH18" s="65" t="str">
        <f t="shared" si="27"/>
        <v/>
      </c>
      <c r="BI18" s="60"/>
      <c r="BJ18" s="65" t="str">
        <f t="shared" si="28"/>
        <v/>
      </c>
      <c r="BK18" s="60"/>
      <c r="BL18" s="65" t="str">
        <f t="shared" si="29"/>
        <v/>
      </c>
      <c r="BM18" s="60"/>
      <c r="BN18" s="65" t="str">
        <f t="shared" si="30"/>
        <v/>
      </c>
      <c r="BO18" s="60"/>
      <c r="BP18" s="65" t="str">
        <f t="shared" si="31"/>
        <v/>
      </c>
      <c r="BQ18" s="60"/>
      <c r="BR18" s="65" t="str">
        <f t="shared" si="32"/>
        <v/>
      </c>
      <c r="BS18" s="60"/>
      <c r="BT18" s="65" t="str">
        <f t="shared" si="33"/>
        <v/>
      </c>
      <c r="BU18" s="60"/>
      <c r="BV18" s="65" t="str">
        <f t="shared" si="34"/>
        <v/>
      </c>
      <c r="BW18" s="60"/>
      <c r="BX18" s="65" t="str">
        <f t="shared" si="35"/>
        <v/>
      </c>
      <c r="BY18" s="60"/>
      <c r="BZ18" s="67" t="str">
        <f t="shared" si="36"/>
        <v/>
      </c>
      <c r="CA18" s="60"/>
      <c r="CB18" s="67" t="str">
        <f t="shared" si="37"/>
        <v/>
      </c>
      <c r="CC18" s="60"/>
      <c r="CD18" s="67" t="str">
        <f t="shared" si="38"/>
        <v/>
      </c>
      <c r="CE18" s="60"/>
      <c r="CF18" s="67" t="str">
        <f t="shared" si="39"/>
        <v/>
      </c>
      <c r="CG18" s="60"/>
      <c r="CH18" s="67" t="str">
        <f t="shared" si="40"/>
        <v/>
      </c>
      <c r="CI18" s="60"/>
      <c r="CJ18" s="67" t="str">
        <f t="shared" si="41"/>
        <v/>
      </c>
      <c r="CK18" s="60"/>
      <c r="CL18" s="64" t="str">
        <f t="shared" si="42"/>
        <v/>
      </c>
      <c r="CM18" s="65" t="e">
        <f t="shared" si="43"/>
        <v>#VALUE!</v>
      </c>
      <c r="CN18" s="62"/>
      <c r="CO18" s="62"/>
      <c r="CP18" s="68"/>
      <c r="CQ18" s="67" t="str">
        <f t="shared" si="44"/>
        <v/>
      </c>
      <c r="CR18" s="68"/>
      <c r="CS18" s="67" t="str">
        <f t="shared" si="45"/>
        <v/>
      </c>
      <c r="CT18" s="75"/>
      <c r="CU18" s="67" t="str">
        <f t="shared" si="46"/>
        <v/>
      </c>
      <c r="CV18" s="68"/>
      <c r="CW18" s="67" t="str">
        <f t="shared" si="47"/>
        <v/>
      </c>
      <c r="CX18" s="58"/>
      <c r="CY18" s="67" t="str">
        <f t="shared" si="48"/>
        <v/>
      </c>
    </row>
    <row r="19" spans="1:103" ht="25.5" customHeight="1" thickBot="1" x14ac:dyDescent="0.45">
      <c r="A19" s="63">
        <v>45001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49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6"/>
        <v>0</v>
      </c>
      <c r="AM19" s="58"/>
      <c r="AN19" s="65">
        <f t="shared" si="17"/>
        <v>0</v>
      </c>
      <c r="AO19" s="58"/>
      <c r="AP19" s="65">
        <f t="shared" si="18"/>
        <v>0</v>
      </c>
      <c r="AQ19" s="58"/>
      <c r="AR19" s="65">
        <f t="shared" si="19"/>
        <v>0</v>
      </c>
      <c r="AS19" s="58"/>
      <c r="AT19" s="65">
        <f t="shared" si="20"/>
        <v>0</v>
      </c>
      <c r="AU19" s="58"/>
      <c r="AV19" s="65">
        <f t="shared" si="21"/>
        <v>0</v>
      </c>
      <c r="AW19" s="58"/>
      <c r="AX19" s="65">
        <f t="shared" si="22"/>
        <v>0</v>
      </c>
      <c r="AY19" s="58"/>
      <c r="AZ19" s="65">
        <f t="shared" si="23"/>
        <v>0</v>
      </c>
      <c r="BA19" s="58"/>
      <c r="BB19" s="65">
        <f t="shared" si="24"/>
        <v>0</v>
      </c>
      <c r="BC19" s="58"/>
      <c r="BD19" s="65">
        <f t="shared" si="25"/>
        <v>0</v>
      </c>
      <c r="BE19" s="59"/>
      <c r="BF19" s="67">
        <f t="shared" si="26"/>
        <v>0</v>
      </c>
      <c r="BG19" s="60"/>
      <c r="BH19" s="65">
        <f t="shared" si="27"/>
        <v>0</v>
      </c>
      <c r="BI19" s="60"/>
      <c r="BJ19" s="65">
        <f t="shared" si="28"/>
        <v>0</v>
      </c>
      <c r="BK19" s="60"/>
      <c r="BL19" s="65">
        <f t="shared" si="29"/>
        <v>0</v>
      </c>
      <c r="BM19" s="60"/>
      <c r="BN19" s="65">
        <f t="shared" si="30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  <c r="CX19" s="58"/>
      <c r="CY19" s="67">
        <f t="shared" si="48"/>
        <v>0</v>
      </c>
    </row>
    <row r="20" spans="1:103" ht="25.5" customHeight="1" thickBot="1" x14ac:dyDescent="0.45">
      <c r="A20" s="63">
        <v>45002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49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6"/>
        <v>0</v>
      </c>
      <c r="AM20" s="58"/>
      <c r="AN20" s="65">
        <f t="shared" si="17"/>
        <v>0</v>
      </c>
      <c r="AO20" s="58"/>
      <c r="AP20" s="65">
        <f t="shared" si="18"/>
        <v>0</v>
      </c>
      <c r="AQ20" s="58"/>
      <c r="AR20" s="65">
        <f t="shared" si="19"/>
        <v>0</v>
      </c>
      <c r="AS20" s="58"/>
      <c r="AT20" s="65">
        <f t="shared" si="20"/>
        <v>0</v>
      </c>
      <c r="AU20" s="58"/>
      <c r="AV20" s="65">
        <f t="shared" si="21"/>
        <v>0</v>
      </c>
      <c r="AW20" s="58"/>
      <c r="AX20" s="65">
        <f t="shared" si="22"/>
        <v>0</v>
      </c>
      <c r="AY20" s="58"/>
      <c r="AZ20" s="65">
        <f t="shared" si="23"/>
        <v>0</v>
      </c>
      <c r="BA20" s="58"/>
      <c r="BB20" s="65">
        <f t="shared" si="24"/>
        <v>0</v>
      </c>
      <c r="BC20" s="58"/>
      <c r="BD20" s="65">
        <f t="shared" si="25"/>
        <v>0</v>
      </c>
      <c r="BE20" s="59"/>
      <c r="BF20" s="67">
        <f t="shared" si="26"/>
        <v>0</v>
      </c>
      <c r="BG20" s="60"/>
      <c r="BH20" s="65">
        <f t="shared" si="27"/>
        <v>0</v>
      </c>
      <c r="BI20" s="60"/>
      <c r="BJ20" s="65">
        <f t="shared" si="28"/>
        <v>0</v>
      </c>
      <c r="BK20" s="60"/>
      <c r="BL20" s="65">
        <f t="shared" si="29"/>
        <v>0</v>
      </c>
      <c r="BM20" s="60"/>
      <c r="BN20" s="65">
        <f t="shared" si="30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  <c r="CX20" s="58"/>
      <c r="CY20" s="67">
        <f t="shared" si="48"/>
        <v>0</v>
      </c>
    </row>
    <row r="21" spans="1:103" ht="25.5" customHeight="1" thickBot="1" x14ac:dyDescent="0.45">
      <c r="A21" s="63">
        <v>45003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49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6"/>
        <v>0</v>
      </c>
      <c r="AM21" s="58"/>
      <c r="AN21" s="65">
        <f t="shared" si="17"/>
        <v>0</v>
      </c>
      <c r="AO21" s="58"/>
      <c r="AP21" s="65">
        <f t="shared" si="18"/>
        <v>0</v>
      </c>
      <c r="AQ21" s="58"/>
      <c r="AR21" s="65">
        <f t="shared" si="19"/>
        <v>0</v>
      </c>
      <c r="AS21" s="58"/>
      <c r="AT21" s="65">
        <f t="shared" si="20"/>
        <v>0</v>
      </c>
      <c r="AU21" s="58"/>
      <c r="AV21" s="65">
        <f t="shared" si="21"/>
        <v>0</v>
      </c>
      <c r="AW21" s="58"/>
      <c r="AX21" s="65">
        <f t="shared" si="22"/>
        <v>0</v>
      </c>
      <c r="AY21" s="58"/>
      <c r="AZ21" s="65">
        <f t="shared" si="23"/>
        <v>0</v>
      </c>
      <c r="BA21" s="58"/>
      <c r="BB21" s="65">
        <f t="shared" si="24"/>
        <v>0</v>
      </c>
      <c r="BC21" s="58"/>
      <c r="BD21" s="65">
        <f t="shared" si="25"/>
        <v>0</v>
      </c>
      <c r="BE21" s="59"/>
      <c r="BF21" s="67">
        <f t="shared" si="26"/>
        <v>0</v>
      </c>
      <c r="BG21" s="60"/>
      <c r="BH21" s="65">
        <f t="shared" si="27"/>
        <v>0</v>
      </c>
      <c r="BI21" s="60"/>
      <c r="BJ21" s="65">
        <f t="shared" si="28"/>
        <v>0</v>
      </c>
      <c r="BK21" s="60"/>
      <c r="BL21" s="65">
        <f t="shared" si="29"/>
        <v>0</v>
      </c>
      <c r="BM21" s="60"/>
      <c r="BN21" s="65">
        <f t="shared" si="30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  <c r="CX21" s="58"/>
      <c r="CY21" s="67">
        <f t="shared" si="48"/>
        <v>0</v>
      </c>
    </row>
    <row r="22" spans="1:103" ht="25.5" customHeight="1" thickBot="1" x14ac:dyDescent="0.45">
      <c r="A22" s="63">
        <v>45004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49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6"/>
        <v>0</v>
      </c>
      <c r="AM22" s="58"/>
      <c r="AN22" s="65">
        <f t="shared" si="17"/>
        <v>0</v>
      </c>
      <c r="AO22" s="58"/>
      <c r="AP22" s="65">
        <f t="shared" si="18"/>
        <v>0</v>
      </c>
      <c r="AQ22" s="58"/>
      <c r="AR22" s="65">
        <f t="shared" si="19"/>
        <v>0</v>
      </c>
      <c r="AS22" s="58"/>
      <c r="AT22" s="65">
        <f t="shared" si="20"/>
        <v>0</v>
      </c>
      <c r="AU22" s="58"/>
      <c r="AV22" s="65">
        <f t="shared" si="21"/>
        <v>0</v>
      </c>
      <c r="AW22" s="58"/>
      <c r="AX22" s="65">
        <f t="shared" si="22"/>
        <v>0</v>
      </c>
      <c r="AY22" s="58"/>
      <c r="AZ22" s="65">
        <f t="shared" si="23"/>
        <v>0</v>
      </c>
      <c r="BA22" s="58"/>
      <c r="BB22" s="65">
        <f t="shared" si="24"/>
        <v>0</v>
      </c>
      <c r="BC22" s="58"/>
      <c r="BD22" s="65">
        <f t="shared" si="25"/>
        <v>0</v>
      </c>
      <c r="BE22" s="59"/>
      <c r="BF22" s="67">
        <f t="shared" si="26"/>
        <v>0</v>
      </c>
      <c r="BG22" s="60"/>
      <c r="BH22" s="65">
        <f t="shared" si="27"/>
        <v>0</v>
      </c>
      <c r="BI22" s="60"/>
      <c r="BJ22" s="65">
        <f t="shared" si="28"/>
        <v>0</v>
      </c>
      <c r="BK22" s="60"/>
      <c r="BL22" s="65">
        <f t="shared" si="29"/>
        <v>0</v>
      </c>
      <c r="BM22" s="60"/>
      <c r="BN22" s="65">
        <f t="shared" si="30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  <c r="CX22" s="58"/>
      <c r="CY22" s="67">
        <f t="shared" si="48"/>
        <v>0</v>
      </c>
    </row>
    <row r="23" spans="1:103" ht="25.5" customHeight="1" thickBot="1" x14ac:dyDescent="0.45">
      <c r="A23" s="63">
        <v>45005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49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6"/>
        <v>0</v>
      </c>
      <c r="AM23" s="58"/>
      <c r="AN23" s="65">
        <f t="shared" si="17"/>
        <v>0</v>
      </c>
      <c r="AO23" s="58"/>
      <c r="AP23" s="65">
        <f t="shared" si="18"/>
        <v>0</v>
      </c>
      <c r="AQ23" s="58"/>
      <c r="AR23" s="65">
        <f t="shared" si="19"/>
        <v>0</v>
      </c>
      <c r="AS23" s="58"/>
      <c r="AT23" s="65">
        <f t="shared" si="20"/>
        <v>0</v>
      </c>
      <c r="AU23" s="58"/>
      <c r="AV23" s="65">
        <f t="shared" si="21"/>
        <v>0</v>
      </c>
      <c r="AW23" s="58"/>
      <c r="AX23" s="65">
        <f t="shared" si="22"/>
        <v>0</v>
      </c>
      <c r="AY23" s="58"/>
      <c r="AZ23" s="65">
        <f t="shared" si="23"/>
        <v>0</v>
      </c>
      <c r="BA23" s="58"/>
      <c r="BB23" s="65">
        <f t="shared" si="24"/>
        <v>0</v>
      </c>
      <c r="BC23" s="58"/>
      <c r="BD23" s="65">
        <f t="shared" si="25"/>
        <v>0</v>
      </c>
      <c r="BE23" s="59"/>
      <c r="BF23" s="67">
        <f t="shared" si="26"/>
        <v>0</v>
      </c>
      <c r="BG23" s="60"/>
      <c r="BH23" s="65">
        <f t="shared" si="27"/>
        <v>0</v>
      </c>
      <c r="BI23" s="60"/>
      <c r="BJ23" s="65">
        <f t="shared" si="28"/>
        <v>0</v>
      </c>
      <c r="BK23" s="60"/>
      <c r="BL23" s="65">
        <f t="shared" si="29"/>
        <v>0</v>
      </c>
      <c r="BM23" s="60"/>
      <c r="BN23" s="65">
        <f t="shared" si="30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>CQ23+CS23</f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  <c r="CX23" s="58"/>
      <c r="CY23" s="67">
        <f t="shared" si="48"/>
        <v>0</v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1" sqref="C21:Q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>
        <v>44</v>
      </c>
      <c r="D17" s="40">
        <v>91</v>
      </c>
      <c r="E17" s="41">
        <v>85</v>
      </c>
      <c r="F17" s="41">
        <v>6834</v>
      </c>
      <c r="G17" s="41">
        <v>30</v>
      </c>
      <c r="H17" s="41">
        <v>1454</v>
      </c>
      <c r="I17" s="41">
        <v>0</v>
      </c>
      <c r="J17" s="41">
        <v>2212</v>
      </c>
      <c r="K17" s="42">
        <v>85</v>
      </c>
      <c r="L17" s="42">
        <v>70</v>
      </c>
      <c r="M17" s="42">
        <v>1914</v>
      </c>
      <c r="N17" s="39">
        <v>85</v>
      </c>
      <c r="O17" s="39">
        <v>85</v>
      </c>
      <c r="P17" s="39">
        <v>45</v>
      </c>
      <c r="Q17" s="39">
        <v>5915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44996</v>
      </c>
      <c r="B18" s="40"/>
      <c r="C18" s="40">
        <v>42</v>
      </c>
      <c r="D18" s="40">
        <v>84</v>
      </c>
      <c r="E18" s="41">
        <v>85</v>
      </c>
      <c r="F18" s="41">
        <v>6834</v>
      </c>
      <c r="G18" s="41">
        <v>20</v>
      </c>
      <c r="H18" s="41">
        <v>1458</v>
      </c>
      <c r="I18" s="41">
        <v>0</v>
      </c>
      <c r="J18" s="41">
        <v>2212</v>
      </c>
      <c r="K18" s="42">
        <v>85</v>
      </c>
      <c r="L18" s="42">
        <v>60</v>
      </c>
      <c r="M18" s="42">
        <v>1914</v>
      </c>
      <c r="N18" s="39">
        <v>85</v>
      </c>
      <c r="O18" s="39">
        <v>85</v>
      </c>
      <c r="P18" s="39">
        <v>45</v>
      </c>
      <c r="Q18" s="39">
        <v>5918</v>
      </c>
      <c r="R18" s="77">
        <v>60</v>
      </c>
      <c r="S18" s="77">
        <v>223</v>
      </c>
      <c r="T18">
        <f t="shared" si="1"/>
        <v>-10</v>
      </c>
    </row>
    <row r="19" spans="1:20" x14ac:dyDescent="0.25">
      <c r="A19" s="73">
        <v>44997</v>
      </c>
      <c r="B19" s="40"/>
      <c r="C19" s="40">
        <v>37</v>
      </c>
      <c r="D19" s="40">
        <v>70</v>
      </c>
      <c r="E19" s="41">
        <v>85</v>
      </c>
      <c r="F19" s="41">
        <v>6834</v>
      </c>
      <c r="G19" s="41">
        <v>10</v>
      </c>
      <c r="H19" s="41">
        <v>1460</v>
      </c>
      <c r="I19" s="41">
        <v>0</v>
      </c>
      <c r="J19" s="41">
        <v>2212</v>
      </c>
      <c r="K19" s="42">
        <v>85</v>
      </c>
      <c r="L19" s="42">
        <v>60</v>
      </c>
      <c r="M19" s="42">
        <v>1914</v>
      </c>
      <c r="N19" s="39">
        <v>85</v>
      </c>
      <c r="O19" s="39">
        <v>85</v>
      </c>
      <c r="P19" s="39">
        <v>35</v>
      </c>
      <c r="Q19" s="39">
        <v>5923</v>
      </c>
      <c r="R19" s="77">
        <v>60</v>
      </c>
      <c r="S19" s="77">
        <v>233</v>
      </c>
      <c r="T19">
        <f t="shared" si="1"/>
        <v>10</v>
      </c>
    </row>
    <row r="20" spans="1:20" x14ac:dyDescent="0.25">
      <c r="A20" s="73">
        <v>44998</v>
      </c>
      <c r="B20" s="40"/>
      <c r="C20" s="40">
        <v>37</v>
      </c>
      <c r="D20" s="40">
        <v>70</v>
      </c>
      <c r="E20" s="41">
        <v>85</v>
      </c>
      <c r="F20" s="41">
        <v>6834</v>
      </c>
      <c r="G20" s="41">
        <v>0</v>
      </c>
      <c r="H20" s="41">
        <v>1463</v>
      </c>
      <c r="I20" s="41">
        <v>0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32</v>
      </c>
      <c r="Q20" s="39">
        <v>5925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44999</v>
      </c>
      <c r="B21" s="40"/>
      <c r="C21" s="40">
        <v>34</v>
      </c>
      <c r="D21" s="40">
        <v>66</v>
      </c>
      <c r="E21" s="41">
        <v>75</v>
      </c>
      <c r="F21" s="41">
        <v>6834</v>
      </c>
      <c r="G21" s="41">
        <v>0</v>
      </c>
      <c r="H21" s="41">
        <v>1466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30</v>
      </c>
      <c r="Q21" s="39">
        <v>5928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45000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-233</v>
      </c>
    </row>
    <row r="23" spans="1:20" x14ac:dyDescent="0.25">
      <c r="A23" s="73">
        <v>45001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45002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45003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45004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2023-03-15T11:33:58Z</dcterms:modified>
</cp:coreProperties>
</file>