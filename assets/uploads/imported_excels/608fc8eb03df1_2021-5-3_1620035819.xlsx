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filterPrivacy="1" defaultThemeVersion="124226"/>
  <xr:revisionPtr revIDLastSave="0" documentId="13_ncr:1_{96B142BC-81AC-4B45-A52A-E4E00BE6770D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30" i="2"/>
  <c r="K19" i="8" l="1"/>
  <c r="K8" i="8" l="1"/>
  <c r="K9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C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S9" i="8"/>
  <c r="Q9" i="8"/>
  <c r="O9" i="8"/>
  <c r="M9" i="8"/>
  <c r="I9" i="8"/>
  <c r="E9" i="8"/>
  <c r="C9" i="8"/>
  <c r="A9" i="8"/>
  <c r="W8" i="8"/>
  <c r="U8" i="8"/>
  <c r="S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<sst xmlns="http://schemas.openxmlformats.org/spreadsheetml/2006/main" count="201" uniqueCount="128">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</sst>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1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-378950</c:v>
                </c:pt>
                <c:pt idx="1">
                  <c:v>-2158799.9999999995</c:v>
                </c:pt>
                <c:pt idx="2">
                  <c:v>-209570</c:v>
                </c:pt>
                <c:pt idx="3">
                  <c:v>-830880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-48022</c:v>
                </c:pt>
                <c:pt idx="1">
                  <c:v>0.18496962880506584</c:v>
                </c:pt>
                <c:pt idx="2" formatCode="_(* #,##0.00_);_(* \(#,##0.00\);_(* &quot;-&quot;??_);_(@_)">
                  <c:v>-189853</c:v>
                </c:pt>
                <c:pt idx="3">
                  <c:v>0.73126981253442513</c:v>
                </c:pt>
                <c:pt idx="4" formatCode="0.00">
                  <c:v>-26141</c:v>
                </c:pt>
                <c:pt idx="5">
                  <c:v>0.100689081391721</c:v>
                </c:pt>
                <c:pt idx="6" formatCode="0.00">
                  <c:v>-33068</c:v>
                </c:pt>
                <c:pt idx="7">
                  <c:v>0.12737028206501014</c:v>
                </c:pt>
                <c:pt idx="8" formatCode="0.00">
                  <c:v>-5832</c:v>
                </c:pt>
                <c:pt idx="9">
                  <c:v>2.246351412250935E-2</c:v>
                </c:pt>
                <c:pt idx="10" formatCode="0.00">
                  <c:v>-297</c:v>
                </c:pt>
                <c:pt idx="11">
                  <c:v>1.143975256238902E-3</c:v>
                </c:pt>
                <c:pt idx="12" formatCode="0.00">
                  <c:v>-66868</c:v>
                </c:pt>
                <c:pt idx="13">
                  <c:v>0.25756005870095255</c:v>
                </c:pt>
                <c:pt idx="14" formatCode="_(* #,##0.00_);_(* \(#,##0.00\);_(* &quot;-&quot;??_);_(@_)">
                  <c:v>-242368</c:v>
                </c:pt>
                <c:pt idx="15">
                  <c:v>0.93354543738757656</c:v>
                </c:pt>
                <c:pt idx="16" formatCode="0.00">
                  <c:v>-110066</c:v>
                </c:pt>
                <c:pt idx="17">
                  <c:v>0.42394875607135019</c:v>
                </c:pt>
                <c:pt idx="18" formatCode="0.00">
                  <c:v>-19008</c:v>
                </c:pt>
                <c:pt idx="19">
                  <c:v>7.3214416399289731E-2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9756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-259621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-741523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052352"/>
        <c:axId val="224053888"/>
      </c:barChart>
      <c:catAx>
        <c:axId val="224052352"/>
        <c:scaling>
          <c:orientation val="minMax"/>
        </c:scaling>
        <c:delete val="1"/>
        <c:axPos val="b"/>
        <c:majorTickMark val="none"/>
        <c:minorTickMark val="none"/>
        <c:tickLblPos val="nextTo"/>
        <c:crossAx val="224053888"/>
        <c:crosses val="autoZero"/>
        <c:auto val="1"/>
        <c:lblAlgn val="ctr"/>
        <c:lblOffset val="100"/>
        <c:noMultiLvlLbl val="0"/>
      </c:catAx>
      <c:valAx>
        <c:axId val="22405388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40523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31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4</v>
      </c>
      <c r="D2" s="46">
        <v>2021</v>
      </c>
      <c r="E2" s="107">
        <v>25519.999999999527</v>
      </c>
      <c r="F2" s="48">
        <v>0.14000000000000001</v>
      </c>
      <c r="G2" s="107">
        <v>7195</v>
      </c>
      <c r="H2" s="48">
        <v>0.4453480216384178</v>
      </c>
      <c r="I2" s="65">
        <v>349</v>
      </c>
      <c r="J2" s="76">
        <v>0.4</v>
      </c>
      <c r="K2" s="108">
        <v>540</v>
      </c>
      <c r="L2" s="76">
        <v>1.5287027707808565</v>
      </c>
      <c r="M2" s="72">
        <v>61</v>
      </c>
      <c r="N2" s="72">
        <v>168</v>
      </c>
      <c r="O2" s="72">
        <v>434</v>
      </c>
    </row>
    <row r="3" spans="1:15" ht="15" x14ac:dyDescent="0.25">
      <c r="A3" s="45" t="s">
        <v>9</v>
      </c>
      <c r="B3" s="46">
        <f>B2+1</f>
        <v>2</v>
      </c>
      <c r="C3" s="47">
        <v>4</v>
      </c>
      <c r="D3" s="46">
        <v>2021</v>
      </c>
      <c r="E3" s="107">
        <v>25880.00000000056</v>
      </c>
      <c r="F3" s="48">
        <v>0.14000000000000001</v>
      </c>
      <c r="G3" s="107">
        <v>7289</v>
      </c>
      <c r="H3" s="48">
        <v>0.4453480216384178</v>
      </c>
      <c r="I3" s="65">
        <v>296</v>
      </c>
      <c r="J3" s="76">
        <v>0.4</v>
      </c>
      <c r="K3" s="108">
        <v>0</v>
      </c>
      <c r="L3" s="76">
        <v>1.5287027707808565</v>
      </c>
      <c r="M3" s="72">
        <v>67</v>
      </c>
      <c r="N3" s="72">
        <v>182</v>
      </c>
      <c r="O3" s="72">
        <v>486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4</v>
      </c>
      <c r="D4" s="46">
        <v>2021</v>
      </c>
      <c r="E4" s="107">
        <v>25549.999999999498</v>
      </c>
      <c r="F4" s="48">
        <v>0.14000000000000001</v>
      </c>
      <c r="G4" s="107">
        <v>6971</v>
      </c>
      <c r="H4" s="48">
        <v>0.4453480216384178</v>
      </c>
      <c r="I4" s="65">
        <v>381</v>
      </c>
      <c r="J4" s="76">
        <v>0.4</v>
      </c>
      <c r="K4" s="108">
        <v>540</v>
      </c>
      <c r="L4" s="76">
        <v>1.5287027707808565</v>
      </c>
      <c r="M4" s="72">
        <v>65</v>
      </c>
      <c r="N4" s="72">
        <v>176</v>
      </c>
      <c r="O4" s="72">
        <v>535</v>
      </c>
    </row>
    <row r="5" spans="1:15" ht="15" x14ac:dyDescent="0.25">
      <c r="A5" s="45" t="s">
        <v>9</v>
      </c>
      <c r="B5" s="46">
        <f t="shared" si="0"/>
        <v>4</v>
      </c>
      <c r="C5" s="47">
        <v>4</v>
      </c>
      <c r="D5" s="46">
        <v>2021</v>
      </c>
      <c r="E5" s="107">
        <v>26879.99999999988</v>
      </c>
      <c r="F5" s="48">
        <v>0.14000000000000001</v>
      </c>
      <c r="G5" s="107">
        <v>7461</v>
      </c>
      <c r="H5" s="48">
        <v>0.4453480216384178</v>
      </c>
      <c r="I5" s="65">
        <v>370</v>
      </c>
      <c r="J5" s="76">
        <v>0.4</v>
      </c>
      <c r="K5" s="108">
        <v>0</v>
      </c>
      <c r="L5" s="76">
        <v>1.5287027707808565</v>
      </c>
      <c r="M5" s="72">
        <v>62</v>
      </c>
      <c r="N5" s="72">
        <v>172</v>
      </c>
      <c r="O5" s="72">
        <v>452</v>
      </c>
    </row>
    <row r="6" spans="1:15" ht="15" x14ac:dyDescent="0.25">
      <c r="A6" s="45" t="s">
        <v>9</v>
      </c>
      <c r="B6" s="46">
        <f t="shared" si="0"/>
        <v>5</v>
      </c>
      <c r="C6" s="47">
        <v>4</v>
      </c>
      <c r="D6" s="46">
        <v>2021</v>
      </c>
      <c r="E6" s="107">
        <v>25849.999999999909</v>
      </c>
      <c r="F6" s="48">
        <v>0.14000000000000001</v>
      </c>
      <c r="G6" s="107">
        <v>7045</v>
      </c>
      <c r="H6" s="48">
        <v>0.4453480216384178</v>
      </c>
      <c r="I6" s="65">
        <v>350</v>
      </c>
      <c r="J6" s="76">
        <v>0.4</v>
      </c>
      <c r="K6" s="108">
        <v>0</v>
      </c>
      <c r="L6" s="76">
        <v>1.5287027707808565</v>
      </c>
      <c r="M6" s="72">
        <v>53</v>
      </c>
      <c r="N6" s="72">
        <v>148</v>
      </c>
      <c r="O6" s="72">
        <v>419</v>
      </c>
    </row>
    <row r="7" spans="1:15" ht="15" x14ac:dyDescent="0.25">
      <c r="A7" s="45" t="s">
        <v>9</v>
      </c>
      <c r="B7" s="46">
        <f t="shared" si="0"/>
        <v>6</v>
      </c>
      <c r="C7" s="47">
        <v>4</v>
      </c>
      <c r="D7" s="46">
        <v>2021</v>
      </c>
      <c r="E7" s="107">
        <v>25300.000000000637</v>
      </c>
      <c r="F7" s="48">
        <v>0.14000000000000001</v>
      </c>
      <c r="G7" s="107">
        <v>6830</v>
      </c>
      <c r="H7" s="48">
        <v>0.4453480216384178</v>
      </c>
      <c r="I7" s="65">
        <v>309</v>
      </c>
      <c r="J7" s="76">
        <v>0.4</v>
      </c>
      <c r="K7" s="108">
        <v>1035</v>
      </c>
      <c r="L7" s="76">
        <v>1.5287027707808565</v>
      </c>
      <c r="M7" s="72">
        <v>52</v>
      </c>
      <c r="N7" s="72">
        <v>147</v>
      </c>
      <c r="O7" s="72">
        <v>431</v>
      </c>
    </row>
    <row r="8" spans="1:15" ht="15" x14ac:dyDescent="0.25">
      <c r="A8" s="45" t="s">
        <v>9</v>
      </c>
      <c r="B8" s="46">
        <f t="shared" si="0"/>
        <v>7</v>
      </c>
      <c r="C8" s="47">
        <v>4</v>
      </c>
      <c r="D8" s="46">
        <v>2021</v>
      </c>
      <c r="E8" s="107">
        <v>24729.999999999793</v>
      </c>
      <c r="F8" s="48">
        <v>0.14000000000000001</v>
      </c>
      <c r="G8" s="107">
        <v>6845</v>
      </c>
      <c r="H8" s="48">
        <v>0.4453480216384178</v>
      </c>
      <c r="I8" s="65">
        <v>331</v>
      </c>
      <c r="J8" s="76">
        <v>0.4</v>
      </c>
      <c r="K8" s="108">
        <v>0</v>
      </c>
      <c r="L8" s="76">
        <v>1.5287027707808565</v>
      </c>
      <c r="M8" s="72">
        <v>43</v>
      </c>
      <c r="N8" s="72">
        <v>118</v>
      </c>
      <c r="O8" s="72">
        <v>319</v>
      </c>
    </row>
    <row r="9" spans="1:15" ht="15" x14ac:dyDescent="0.25">
      <c r="A9" s="45" t="s">
        <v>9</v>
      </c>
      <c r="B9" s="46">
        <f t="shared" si="0"/>
        <v>8</v>
      </c>
      <c r="C9" s="47">
        <v>4</v>
      </c>
      <c r="D9" s="46">
        <v>2021</v>
      </c>
      <c r="E9" s="107">
        <v>24889.999999999192</v>
      </c>
      <c r="F9" s="48">
        <v>0.14000000000000001</v>
      </c>
      <c r="G9" s="107">
        <v>6819</v>
      </c>
      <c r="H9" s="48">
        <v>0.4453480216384178</v>
      </c>
      <c r="I9" s="65">
        <v>266</v>
      </c>
      <c r="J9" s="76">
        <v>0.4</v>
      </c>
      <c r="K9" s="108">
        <v>0</v>
      </c>
      <c r="L9" s="76">
        <v>1.5287027707808565</v>
      </c>
      <c r="M9" s="72">
        <v>39</v>
      </c>
      <c r="N9" s="72">
        <v>109</v>
      </c>
      <c r="O9" s="72">
        <v>296</v>
      </c>
    </row>
    <row r="10" spans="1:15" ht="15" x14ac:dyDescent="0.25">
      <c r="A10" s="45" t="s">
        <v>9</v>
      </c>
      <c r="B10" s="46">
        <f t="shared" si="0"/>
        <v>9</v>
      </c>
      <c r="C10" s="47">
        <v>4</v>
      </c>
      <c r="D10" s="46">
        <v>2021</v>
      </c>
      <c r="E10" s="107">
        <v>22380.000000000793</v>
      </c>
      <c r="F10" s="48">
        <v>0.14000000000000001</v>
      </c>
      <c r="G10" s="107">
        <v>6513</v>
      </c>
      <c r="H10" s="48">
        <v>0.4453480216384178</v>
      </c>
      <c r="I10" s="65">
        <v>316</v>
      </c>
      <c r="J10" s="76">
        <v>0.4</v>
      </c>
      <c r="K10" s="108">
        <v>0</v>
      </c>
      <c r="L10" s="76">
        <v>1.5287027707808565</v>
      </c>
      <c r="M10" s="72">
        <v>31</v>
      </c>
      <c r="N10" s="72">
        <v>92</v>
      </c>
      <c r="O10" s="72">
        <v>287</v>
      </c>
    </row>
    <row r="11" spans="1:15" ht="15" x14ac:dyDescent="0.25">
      <c r="A11" s="45" t="s">
        <v>9</v>
      </c>
      <c r="B11" s="46">
        <f t="shared" si="0"/>
        <v>10</v>
      </c>
      <c r="C11" s="47">
        <v>4</v>
      </c>
      <c r="D11" s="46">
        <v>2021</v>
      </c>
      <c r="E11" s="107">
        <v>24859.999999999218</v>
      </c>
      <c r="F11" s="48">
        <v>0.14000000000000001</v>
      </c>
      <c r="G11" s="107">
        <v>6382</v>
      </c>
      <c r="H11" s="48">
        <v>0.4453480216384178</v>
      </c>
      <c r="I11" s="65">
        <v>307</v>
      </c>
      <c r="J11" s="76">
        <v>0.4</v>
      </c>
      <c r="K11" s="108">
        <v>1080</v>
      </c>
      <c r="L11" s="76">
        <v>1.5287027707808565</v>
      </c>
      <c r="M11" s="72">
        <v>24</v>
      </c>
      <c r="N11" s="72">
        <v>71</v>
      </c>
      <c r="O11" s="72">
        <v>201</v>
      </c>
    </row>
    <row r="12" spans="1:15" ht="15" x14ac:dyDescent="0.25">
      <c r="A12" s="45" t="s">
        <v>9</v>
      </c>
      <c r="B12" s="46">
        <f t="shared" si="0"/>
        <v>11</v>
      </c>
      <c r="C12" s="47">
        <v>4</v>
      </c>
      <c r="D12" s="46">
        <v>2021</v>
      </c>
      <c r="E12" s="107">
        <v>23700.000000000953</v>
      </c>
      <c r="F12" s="48">
        <v>0.14000000000000001</v>
      </c>
      <c r="G12" s="107">
        <v>6520</v>
      </c>
      <c r="H12" s="48">
        <v>0.4453480216384178</v>
      </c>
      <c r="I12" s="65">
        <v>326</v>
      </c>
      <c r="J12" s="76">
        <v>0.4</v>
      </c>
      <c r="K12" s="108">
        <v>0</v>
      </c>
      <c r="L12" s="76">
        <v>1.5287027707808565</v>
      </c>
      <c r="M12" s="72">
        <v>15</v>
      </c>
      <c r="N12" s="72">
        <v>42</v>
      </c>
      <c r="O12" s="72">
        <v>127</v>
      </c>
    </row>
    <row r="13" spans="1:15" ht="15" x14ac:dyDescent="0.25">
      <c r="A13" s="45" t="s">
        <v>9</v>
      </c>
      <c r="B13" s="46">
        <f t="shared" si="0"/>
        <v>12</v>
      </c>
      <c r="C13" s="47">
        <v>4</v>
      </c>
      <c r="D13" s="46">
        <v>2021</v>
      </c>
      <c r="E13" s="107">
        <v>23129.999999999884</v>
      </c>
      <c r="F13" s="48">
        <v>0.14000000000000001</v>
      </c>
      <c r="G13" s="107">
        <v>6351</v>
      </c>
      <c r="H13" s="48">
        <v>0.4453480216384178</v>
      </c>
      <c r="I13" s="65">
        <v>274</v>
      </c>
      <c r="J13" s="76">
        <v>0.4</v>
      </c>
      <c r="K13" s="108">
        <v>0</v>
      </c>
      <c r="L13" s="76">
        <v>1.5287027707808565</v>
      </c>
      <c r="M13" s="72">
        <v>14</v>
      </c>
      <c r="N13" s="72">
        <v>36</v>
      </c>
      <c r="O13" s="72">
        <v>128</v>
      </c>
    </row>
    <row r="14" spans="1:15" ht="15" x14ac:dyDescent="0.25">
      <c r="A14" s="45" t="s">
        <v>9</v>
      </c>
      <c r="B14" s="46">
        <f t="shared" si="0"/>
        <v>13</v>
      </c>
      <c r="C14" s="47">
        <v>4</v>
      </c>
      <c r="D14" s="46">
        <v>2021</v>
      </c>
      <c r="E14" s="107">
        <v>24079.999999999698</v>
      </c>
      <c r="F14" s="48">
        <v>0.14000000000000001</v>
      </c>
      <c r="G14" s="107">
        <v>6658</v>
      </c>
      <c r="H14" s="48">
        <v>0.4453480216384178</v>
      </c>
      <c r="I14" s="65">
        <v>332</v>
      </c>
      <c r="J14" s="76">
        <v>0.4</v>
      </c>
      <c r="K14" s="108">
        <v>0</v>
      </c>
      <c r="L14" s="76">
        <v>1.5287027707808565</v>
      </c>
      <c r="M14" s="72">
        <v>11</v>
      </c>
      <c r="N14" s="72">
        <v>35</v>
      </c>
      <c r="O14" s="72">
        <v>114</v>
      </c>
    </row>
    <row r="15" spans="1:15" ht="15" x14ac:dyDescent="0.25">
      <c r="A15" s="45" t="s">
        <v>9</v>
      </c>
      <c r="B15" s="46">
        <f t="shared" si="0"/>
        <v>14</v>
      </c>
      <c r="C15" s="47">
        <v>4</v>
      </c>
      <c r="D15" s="46">
        <v>2021</v>
      </c>
      <c r="E15" s="107">
        <v>23059.999999999265</v>
      </c>
      <c r="F15" s="48">
        <v>0.14000000000000001</v>
      </c>
      <c r="G15" s="107">
        <v>6677</v>
      </c>
      <c r="H15" s="48">
        <v>0.4453480216384178</v>
      </c>
      <c r="I15" s="65">
        <v>317</v>
      </c>
      <c r="J15" s="76">
        <v>0.4</v>
      </c>
      <c r="K15" s="108">
        <v>1266</v>
      </c>
      <c r="L15" s="76">
        <v>1.5287027707808565</v>
      </c>
      <c r="M15" s="72">
        <v>10</v>
      </c>
      <c r="N15" s="72">
        <v>32</v>
      </c>
      <c r="O15" s="72">
        <v>85</v>
      </c>
    </row>
    <row r="16" spans="1:15" ht="15" x14ac:dyDescent="0.25">
      <c r="A16" s="45" t="s">
        <v>9</v>
      </c>
      <c r="B16" s="46">
        <f t="shared" si="0"/>
        <v>15</v>
      </c>
      <c r="C16" s="47">
        <v>4</v>
      </c>
      <c r="D16" s="46">
        <v>2021</v>
      </c>
      <c r="E16" s="107">
        <v>23770.000000000211</v>
      </c>
      <c r="F16" s="48">
        <v>0.14000000000000001</v>
      </c>
      <c r="G16" s="107">
        <v>6419</v>
      </c>
      <c r="H16" s="48">
        <v>0.4453480216384178</v>
      </c>
      <c r="I16" s="65">
        <v>376</v>
      </c>
      <c r="J16" s="76">
        <v>0.4</v>
      </c>
      <c r="K16" s="108">
        <v>0</v>
      </c>
      <c r="L16" s="76">
        <v>1.5287027707808565</v>
      </c>
      <c r="M16" s="72">
        <v>12</v>
      </c>
      <c r="N16" s="72">
        <v>34</v>
      </c>
      <c r="O16" s="72">
        <v>100</v>
      </c>
    </row>
    <row r="17" spans="1:15" ht="15" x14ac:dyDescent="0.25">
      <c r="A17" s="45" t="s">
        <v>9</v>
      </c>
      <c r="B17" s="46">
        <f t="shared" si="0"/>
        <v>16</v>
      </c>
      <c r="C17" s="47">
        <v>4</v>
      </c>
      <c r="D17" s="46">
        <v>2021</v>
      </c>
      <c r="E17" s="107">
        <v>21109.999999999898</v>
      </c>
      <c r="F17" s="48">
        <v>0.14000000000000001</v>
      </c>
      <c r="G17" s="107">
        <v>5868</v>
      </c>
      <c r="H17" s="48">
        <v>0.4453480216384178</v>
      </c>
      <c r="I17" s="65">
        <v>322</v>
      </c>
      <c r="J17" s="76">
        <v>0.4</v>
      </c>
      <c r="K17" s="108">
        <v>0</v>
      </c>
      <c r="L17" s="76">
        <v>1.5287027707808565</v>
      </c>
      <c r="M17" s="72">
        <v>11</v>
      </c>
      <c r="N17" s="72">
        <v>30</v>
      </c>
      <c r="O17" s="72">
        <v>91</v>
      </c>
    </row>
    <row r="18" spans="1:15" ht="15" x14ac:dyDescent="0.25">
      <c r="A18" s="45" t="s">
        <v>9</v>
      </c>
      <c r="B18" s="46">
        <f t="shared" si="0"/>
        <v>17</v>
      </c>
      <c r="C18" s="47">
        <v>4</v>
      </c>
      <c r="D18" s="46">
        <v>2021</v>
      </c>
      <c r="E18" s="107">
        <v>21950.000000000728</v>
      </c>
      <c r="F18" s="48">
        <v>0.14000000000000001</v>
      </c>
      <c r="G18" s="107">
        <v>5931</v>
      </c>
      <c r="H18" s="48">
        <v>0.4453480216384178</v>
      </c>
      <c r="I18" s="65">
        <v>268</v>
      </c>
      <c r="J18" s="76">
        <v>0.4</v>
      </c>
      <c r="K18" s="108">
        <v>450</v>
      </c>
      <c r="L18" s="76">
        <v>1.5287027707808565</v>
      </c>
      <c r="M18" s="72">
        <v>11</v>
      </c>
      <c r="N18" s="72">
        <v>35</v>
      </c>
      <c r="O18" s="72">
        <v>98</v>
      </c>
    </row>
    <row r="19" spans="1:15" ht="15" x14ac:dyDescent="0.25">
      <c r="A19" s="45" t="s">
        <v>9</v>
      </c>
      <c r="B19" s="46">
        <f t="shared" si="0"/>
        <v>18</v>
      </c>
      <c r="C19" s="47">
        <v>4</v>
      </c>
      <c r="D19" s="46">
        <v>2021</v>
      </c>
      <c r="E19" s="107">
        <v>21359.999999999218</v>
      </c>
      <c r="F19" s="48">
        <v>0.14000000000000001</v>
      </c>
      <c r="G19" s="107">
        <v>5745</v>
      </c>
      <c r="H19" s="48">
        <v>0.4453480216384178</v>
      </c>
      <c r="I19" s="65">
        <v>242.30000000000291</v>
      </c>
      <c r="J19" s="76">
        <v>0.4</v>
      </c>
      <c r="K19" s="108">
        <v>0</v>
      </c>
      <c r="L19" s="76">
        <v>1.5287027707808565</v>
      </c>
      <c r="M19" s="72">
        <v>11</v>
      </c>
      <c r="N19" s="72">
        <v>35</v>
      </c>
      <c r="O19" s="72">
        <v>84</v>
      </c>
    </row>
    <row r="20" spans="1:15" ht="15" x14ac:dyDescent="0.25">
      <c r="A20" s="45" t="s">
        <v>9</v>
      </c>
      <c r="B20" s="46">
        <f t="shared" si="0"/>
        <v>19</v>
      </c>
      <c r="C20" s="47">
        <v>4</v>
      </c>
      <c r="D20" s="46">
        <v>2021</v>
      </c>
      <c r="E20" s="107">
        <v>21170.000000000528</v>
      </c>
      <c r="F20" s="48">
        <v>0.14000000000000001</v>
      </c>
      <c r="G20" s="107">
        <v>5935</v>
      </c>
      <c r="H20" s="48">
        <v>0.4453480216384178</v>
      </c>
      <c r="I20" s="65">
        <v>235.89999999999418</v>
      </c>
      <c r="J20" s="76">
        <v>0.4</v>
      </c>
      <c r="K20" s="108">
        <v>450</v>
      </c>
      <c r="L20" s="76">
        <v>1.5287027707808565</v>
      </c>
      <c r="M20" s="72">
        <v>10</v>
      </c>
      <c r="N20" s="72">
        <v>30</v>
      </c>
      <c r="O20" s="72">
        <v>106</v>
      </c>
    </row>
    <row r="21" spans="1:15" ht="15" x14ac:dyDescent="0.25">
      <c r="A21" s="45" t="s">
        <v>9</v>
      </c>
      <c r="B21" s="46">
        <f t="shared" si="0"/>
        <v>20</v>
      </c>
      <c r="C21" s="47">
        <v>4</v>
      </c>
      <c r="D21" s="46">
        <v>2021</v>
      </c>
      <c r="E21" s="107">
        <v>21519.999999999302</v>
      </c>
      <c r="F21" s="48">
        <v>0.14000000000000001</v>
      </c>
      <c r="G21" s="107">
        <v>5261</v>
      </c>
      <c r="H21" s="48">
        <v>0.4453480216384178</v>
      </c>
      <c r="I21" s="65">
        <v>317.5</v>
      </c>
      <c r="J21" s="76">
        <v>0.4</v>
      </c>
      <c r="K21" s="108">
        <v>0</v>
      </c>
      <c r="L21" s="76">
        <v>1.5287027707808565</v>
      </c>
      <c r="M21" s="72">
        <v>10</v>
      </c>
      <c r="N21" s="72">
        <v>23</v>
      </c>
      <c r="O21" s="72">
        <v>81</v>
      </c>
    </row>
    <row r="22" spans="1:15" ht="15" x14ac:dyDescent="0.25">
      <c r="A22" s="45" t="s">
        <v>9</v>
      </c>
      <c r="B22" s="46">
        <f t="shared" si="0"/>
        <v>21</v>
      </c>
      <c r="C22" s="47">
        <v>4</v>
      </c>
      <c r="D22" s="46">
        <v>2021</v>
      </c>
      <c r="E22" s="107">
        <v>22850.000000000364</v>
      </c>
      <c r="F22" s="48">
        <v>0.14000000000000001</v>
      </c>
      <c r="G22" s="107">
        <v>6909</v>
      </c>
      <c r="H22" s="48">
        <v>0.4453480216384178</v>
      </c>
      <c r="I22" s="65">
        <v>307.30000000000291</v>
      </c>
      <c r="J22" s="76">
        <v>0.4</v>
      </c>
      <c r="K22" s="108">
        <v>0</v>
      </c>
      <c r="L22" s="76">
        <v>1.5287027707808565</v>
      </c>
      <c r="M22" s="72">
        <v>11</v>
      </c>
      <c r="N22" s="72">
        <v>29</v>
      </c>
      <c r="O22" s="72">
        <v>104</v>
      </c>
    </row>
    <row r="23" spans="1:15" ht="15" x14ac:dyDescent="0.25">
      <c r="A23" s="45" t="s">
        <v>9</v>
      </c>
      <c r="B23" s="46">
        <f t="shared" si="0"/>
        <v>22</v>
      </c>
      <c r="C23" s="47">
        <v>4</v>
      </c>
      <c r="D23" s="46">
        <v>2021</v>
      </c>
      <c r="E23" s="107">
        <v>22410.000000000084</v>
      </c>
      <c r="F23" s="48">
        <v>0.14000000000000001</v>
      </c>
      <c r="G23" s="107">
        <v>6410</v>
      </c>
      <c r="H23" s="48">
        <v>0.4453480216384178</v>
      </c>
      <c r="I23" s="65">
        <v>287</v>
      </c>
      <c r="J23" s="76">
        <v>0.4</v>
      </c>
      <c r="K23" s="108">
        <v>0</v>
      </c>
      <c r="L23" s="76">
        <v>1.5287027707808565</v>
      </c>
      <c r="M23" s="72">
        <v>12</v>
      </c>
      <c r="N23" s="72">
        <v>32</v>
      </c>
      <c r="O23" s="72">
        <v>77</v>
      </c>
    </row>
    <row r="24" spans="1:15" ht="15" x14ac:dyDescent="0.25">
      <c r="A24" s="45" t="s">
        <v>9</v>
      </c>
      <c r="B24" s="46">
        <f t="shared" si="0"/>
        <v>23</v>
      </c>
      <c r="C24" s="47">
        <v>4</v>
      </c>
      <c r="D24" s="46">
        <v>2021</v>
      </c>
      <c r="E24" s="107">
        <v>22340.000000000375</v>
      </c>
      <c r="F24" s="48">
        <v>0.14000000000000001</v>
      </c>
      <c r="G24" s="107">
        <v>5964</v>
      </c>
      <c r="H24" s="48">
        <v>0.4453480216384178</v>
      </c>
      <c r="I24" s="65">
        <v>282</v>
      </c>
      <c r="J24" s="76">
        <v>0.4</v>
      </c>
      <c r="K24" s="108">
        <v>0</v>
      </c>
      <c r="L24" s="76">
        <v>1.5287027707808565</v>
      </c>
      <c r="M24" s="72">
        <v>14</v>
      </c>
      <c r="N24" s="72">
        <v>34</v>
      </c>
      <c r="O24" s="72">
        <v>97</v>
      </c>
    </row>
    <row r="25" spans="1:15" ht="15" x14ac:dyDescent="0.25">
      <c r="A25" s="45" t="s">
        <v>9</v>
      </c>
      <c r="B25" s="46">
        <f t="shared" si="0"/>
        <v>24</v>
      </c>
      <c r="C25" s="47">
        <v>4</v>
      </c>
      <c r="D25" s="46">
        <v>2021</v>
      </c>
      <c r="E25" s="107">
        <v>21949.999999999818</v>
      </c>
      <c r="F25" s="48">
        <v>0.14000000000000001</v>
      </c>
      <c r="G25" s="107">
        <v>6064</v>
      </c>
      <c r="H25" s="48">
        <v>0.4453480216384178</v>
      </c>
      <c r="I25" s="65">
        <v>264</v>
      </c>
      <c r="J25" s="76">
        <v>0.4</v>
      </c>
      <c r="K25" s="108">
        <v>0</v>
      </c>
      <c r="L25" s="76">
        <v>1.5287027707808565</v>
      </c>
      <c r="M25" s="72">
        <v>14</v>
      </c>
      <c r="N25" s="72">
        <v>34</v>
      </c>
      <c r="O25" s="72">
        <v>109</v>
      </c>
    </row>
    <row r="26" spans="1:15" ht="15" x14ac:dyDescent="0.25">
      <c r="A26" s="45" t="s">
        <v>9</v>
      </c>
      <c r="B26" s="46">
        <f>B25+1</f>
        <v>25</v>
      </c>
      <c r="C26" s="47">
        <v>4</v>
      </c>
      <c r="D26" s="46">
        <v>2021</v>
      </c>
      <c r="E26" s="107">
        <v>23159.999999999854</v>
      </c>
      <c r="F26" s="48">
        <v>0.14000000000000001</v>
      </c>
      <c r="G26" s="107">
        <v>6385</v>
      </c>
      <c r="H26" s="48">
        <v>0.4453480216384178</v>
      </c>
      <c r="I26" s="65">
        <v>316</v>
      </c>
      <c r="J26" s="76">
        <v>0.4</v>
      </c>
      <c r="K26" s="108">
        <v>0</v>
      </c>
      <c r="L26" s="76">
        <v>1.5287027707808565</v>
      </c>
      <c r="M26" s="72">
        <v>13</v>
      </c>
      <c r="N26" s="72">
        <v>33</v>
      </c>
      <c r="O26" s="72">
        <v>107</v>
      </c>
    </row>
    <row r="27" spans="1:15" ht="15" x14ac:dyDescent="0.25">
      <c r="A27" s="45" t="s">
        <v>9</v>
      </c>
      <c r="B27" s="46">
        <f t="shared" si="0"/>
        <v>26</v>
      </c>
      <c r="C27" s="47">
        <v>4</v>
      </c>
      <c r="D27" s="46">
        <v>2021</v>
      </c>
      <c r="E27" s="107">
        <v>23849.999999999454</v>
      </c>
      <c r="F27" s="48">
        <v>0.14000000000000001</v>
      </c>
      <c r="G27" s="107">
        <v>6608</v>
      </c>
      <c r="H27" s="48">
        <v>0.4453480216384178</v>
      </c>
      <c r="I27" s="65">
        <v>321</v>
      </c>
      <c r="J27" s="76">
        <v>0.4</v>
      </c>
      <c r="K27" s="108">
        <v>0</v>
      </c>
      <c r="L27" s="76">
        <v>1.5287027707808565</v>
      </c>
      <c r="M27" s="72">
        <v>13</v>
      </c>
      <c r="N27" s="72">
        <v>33</v>
      </c>
      <c r="O27" s="72">
        <v>107</v>
      </c>
    </row>
    <row r="28" spans="1:15" ht="15" x14ac:dyDescent="0.25">
      <c r="A28" s="45" t="s">
        <v>9</v>
      </c>
      <c r="B28" s="46">
        <f t="shared" si="0"/>
        <v>27</v>
      </c>
      <c r="C28" s="47">
        <v>4</v>
      </c>
      <c r="D28" s="46">
        <v>2021</v>
      </c>
      <c r="E28" s="107">
        <v>23780.000000000204</v>
      </c>
      <c r="F28" s="48">
        <v>0.14000000000000001</v>
      </c>
      <c r="G28" s="107">
        <v>5813</v>
      </c>
      <c r="H28" s="48">
        <v>0.4453480216384178</v>
      </c>
      <c r="I28" s="65">
        <v>359</v>
      </c>
      <c r="J28" s="76">
        <v>0.4</v>
      </c>
      <c r="K28" s="108">
        <v>0</v>
      </c>
      <c r="L28" s="76">
        <v>1.5287027707808565</v>
      </c>
      <c r="M28" s="72">
        <v>13</v>
      </c>
      <c r="N28" s="72">
        <v>31</v>
      </c>
      <c r="O28" s="72">
        <v>90</v>
      </c>
    </row>
    <row r="29" spans="1:15" ht="15" x14ac:dyDescent="0.25">
      <c r="A29" s="45" t="s">
        <v>9</v>
      </c>
      <c r="B29" s="46">
        <f t="shared" si="0"/>
        <v>28</v>
      </c>
      <c r="C29" s="47">
        <v>4</v>
      </c>
      <c r="D29" s="46">
        <v>2021</v>
      </c>
      <c r="E29" s="107">
        <v>24210.000000000491</v>
      </c>
      <c r="F29" s="48">
        <v>0.14000000000000001</v>
      </c>
      <c r="G29" s="107">
        <v>7394</v>
      </c>
      <c r="H29" s="48">
        <v>0.4453480216384178</v>
      </c>
      <c r="I29" s="65">
        <v>417</v>
      </c>
      <c r="J29" s="76">
        <v>0.4</v>
      </c>
      <c r="K29" s="108">
        <v>0</v>
      </c>
      <c r="L29" s="76">
        <v>1.5287027707808565</v>
      </c>
      <c r="M29" s="72">
        <v>16</v>
      </c>
      <c r="N29" s="72">
        <v>39</v>
      </c>
      <c r="O29" s="72">
        <v>102</v>
      </c>
    </row>
    <row r="30" spans="1:15" ht="15" x14ac:dyDescent="0.25">
      <c r="A30" s="45" t="s">
        <v>9</v>
      </c>
      <c r="B30" s="46">
        <f t="shared" si="0"/>
        <v>29</v>
      </c>
      <c r="C30" s="47">
        <v>4</v>
      </c>
      <c r="D30" s="46">
        <v>2021</v>
      </c>
      <c r="E30" s="107">
        <v>23849.999999999905</v>
      </c>
      <c r="F30" s="48">
        <v>0.14000000000000001</v>
      </c>
      <c r="G30" s="107">
        <v>6545</v>
      </c>
      <c r="H30" s="48">
        <v>0.4453480216384178</v>
      </c>
      <c r="I30" s="65">
        <v>458</v>
      </c>
      <c r="J30" s="76">
        <v>0.4</v>
      </c>
      <c r="K30" s="108">
        <v>0</v>
      </c>
      <c r="L30" s="76">
        <v>1.5287027707808565</v>
      </c>
      <c r="M30" s="72">
        <v>16</v>
      </c>
      <c r="N30" s="72">
        <v>39</v>
      </c>
      <c r="O30" s="72">
        <v>120</v>
      </c>
    </row>
    <row r="31" spans="1:15" ht="15" x14ac:dyDescent="0.25">
      <c r="A31" s="45" t="s">
        <v>9</v>
      </c>
      <c r="B31" s="46">
        <f t="shared" si="0"/>
        <v>30</v>
      </c>
      <c r="C31" s="47">
        <v>4</v>
      </c>
      <c r="D31" s="46">
        <v>2021</v>
      </c>
      <c r="E31" s="107">
        <v>23140.000000000102</v>
      </c>
      <c r="F31" s="48">
        <v>0.14000000000000001</v>
      </c>
      <c r="G31" s="107">
        <v>6327</v>
      </c>
      <c r="H31" s="48">
        <v>0.4453480216384178</v>
      </c>
      <c r="I31" s="65">
        <v>339</v>
      </c>
      <c r="J31" s="76">
        <v>0.4</v>
      </c>
      <c r="K31" s="108">
        <v>0</v>
      </c>
      <c r="L31" s="76">
        <v>1.5287027707808565</v>
      </c>
      <c r="M31" s="72">
        <v>26</v>
      </c>
      <c r="N31" s="72">
        <v>66</v>
      </c>
      <c r="O31" s="72">
        <v>160</v>
      </c>
    </row>
    <row r="32" spans="1:15" ht="15" x14ac:dyDescent="0.25">
      <c r="A32" s="45" t="s">
        <v>9</v>
      </c>
      <c r="B32" s="46">
        <f t="shared" si="0"/>
        <v>31</v>
      </c>
      <c r="C32" s="47">
        <v>4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11" t="s">
        <v>53</v>
      </c>
      <c r="B33" s="111"/>
      <c r="C33" s="111"/>
      <c r="D33" s="111"/>
      <c r="E33" s="101">
        <f>SUM(E2:E32)</f>
        <v>708229.9999999993</v>
      </c>
      <c r="F33" s="104">
        <v>0</v>
      </c>
      <c r="G33" s="101">
        <f>SUM(G2:G32)</f>
        <v>195134</v>
      </c>
      <c r="H33" s="102">
        <v>0</v>
      </c>
      <c r="I33" s="103">
        <f>SUM(I2:I32)</f>
        <v>9636</v>
      </c>
      <c r="J33" s="104">
        <v>0</v>
      </c>
      <c r="K33" s="105">
        <v>0</v>
      </c>
      <c r="L33" s="102">
        <v>0</v>
      </c>
      <c r="M33" s="106">
        <f t="shared" ref="M33:O33" si="1">SUM(M2:M32)</f>
        <v>760</v>
      </c>
      <c r="N33" s="106">
        <f t="shared" si="1"/>
        <v>2085</v>
      </c>
      <c r="O33" s="106">
        <f t="shared" si="1"/>
        <v>5947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19" zoomScale="78" zoomScaleNormal="78" workbookViewId="0">
      <selection activeCell="V4" sqref="V4:X3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5" t="s">
        <v>10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77"/>
      <c r="V1" s="77"/>
    </row>
    <row r="2" spans="1:25" s="17" customFormat="1" ht="33" customHeight="1" x14ac:dyDescent="0.25">
      <c r="A2" s="29" t="s">
        <v>2</v>
      </c>
      <c r="B2" s="112" t="s">
        <v>11</v>
      </c>
      <c r="C2" s="112" t="s">
        <v>12</v>
      </c>
      <c r="D2" s="112" t="s">
        <v>13</v>
      </c>
      <c r="E2" s="112" t="s">
        <v>14</v>
      </c>
      <c r="F2" s="112" t="s">
        <v>15</v>
      </c>
      <c r="G2" s="117" t="s">
        <v>16</v>
      </c>
      <c r="H2" s="119" t="s">
        <v>17</v>
      </c>
      <c r="I2" s="112" t="s">
        <v>18</v>
      </c>
      <c r="J2" s="122" t="s">
        <v>19</v>
      </c>
      <c r="K2" s="123"/>
      <c r="L2" s="124"/>
      <c r="M2" s="117" t="s">
        <v>20</v>
      </c>
      <c r="N2" s="119" t="s">
        <v>21</v>
      </c>
      <c r="O2" s="120" t="s">
        <v>22</v>
      </c>
      <c r="P2" s="119" t="s">
        <v>23</v>
      </c>
      <c r="Q2" s="125" t="s">
        <v>24</v>
      </c>
      <c r="R2" s="112" t="s">
        <v>25</v>
      </c>
      <c r="S2" s="112" t="s">
        <v>26</v>
      </c>
      <c r="T2" s="112" t="s">
        <v>27</v>
      </c>
      <c r="V2" s="114" t="s">
        <v>6</v>
      </c>
      <c r="W2" s="114" t="s">
        <v>7</v>
      </c>
      <c r="X2" s="114" t="s">
        <v>8</v>
      </c>
    </row>
    <row r="3" spans="1:25" s="17" customFormat="1" ht="45" customHeight="1" x14ac:dyDescent="0.25">
      <c r="A3" s="30"/>
      <c r="B3" s="113"/>
      <c r="C3" s="113"/>
      <c r="D3" s="113"/>
      <c r="E3" s="113"/>
      <c r="F3" s="113"/>
      <c r="G3" s="118"/>
      <c r="H3" s="119"/>
      <c r="I3" s="113"/>
      <c r="J3" s="18" t="s">
        <v>28</v>
      </c>
      <c r="K3" s="18" t="s">
        <v>29</v>
      </c>
      <c r="L3" s="18" t="s">
        <v>30</v>
      </c>
      <c r="M3" s="118"/>
      <c r="N3" s="119"/>
      <c r="O3" s="121"/>
      <c r="P3" s="119"/>
      <c r="Q3" s="126"/>
      <c r="R3" s="113"/>
      <c r="S3" s="113"/>
      <c r="T3" s="113"/>
      <c r="V3" s="114"/>
      <c r="W3" s="114"/>
      <c r="X3" s="114"/>
    </row>
    <row r="4" spans="1:25" ht="21" customHeight="1" x14ac:dyDescent="0.25">
      <c r="A4" s="8">
        <v>44287</v>
      </c>
      <c r="B4" s="1">
        <v>860.77</v>
      </c>
      <c r="C4" s="1">
        <v>209.57</v>
      </c>
      <c r="D4" s="1">
        <v>7259830.0099999998</v>
      </c>
      <c r="E4" s="1">
        <v>7898651.3899999997</v>
      </c>
      <c r="F4" s="1">
        <v>2.1587999999999998</v>
      </c>
      <c r="G4" s="1">
        <v>662.88</v>
      </c>
      <c r="H4" s="1">
        <v>558.29999999999995</v>
      </c>
      <c r="I4" s="1">
        <v>206.17</v>
      </c>
      <c r="J4" s="1">
        <v>298.13</v>
      </c>
      <c r="K4" s="1">
        <v>316.49</v>
      </c>
      <c r="L4" s="1">
        <v>216.26</v>
      </c>
      <c r="M4" s="1">
        <v>448.28</v>
      </c>
      <c r="N4" s="1">
        <v>400.92</v>
      </c>
      <c r="O4" s="1">
        <v>128.63999999999999</v>
      </c>
      <c r="P4" s="1">
        <v>524.32000000000005</v>
      </c>
      <c r="Q4" s="1">
        <v>393.27</v>
      </c>
      <c r="R4" s="1">
        <v>130.52000000000001</v>
      </c>
      <c r="S4" s="1">
        <v>103.33</v>
      </c>
      <c r="T4" s="1">
        <v>378.95</v>
      </c>
      <c r="V4" s="71">
        <v>61</v>
      </c>
      <c r="W4" s="71">
        <v>168</v>
      </c>
      <c r="X4" s="71">
        <v>434</v>
      </c>
      <c r="Y4" s="17"/>
    </row>
    <row r="5" spans="1:25" ht="21" customHeight="1" x14ac:dyDescent="0.25">
      <c r="A5" s="8">
        <v>44288</v>
      </c>
      <c r="B5" s="1">
        <v>862.1</v>
      </c>
      <c r="C5" s="1">
        <v>209.82</v>
      </c>
      <c r="D5" s="1">
        <v>7262447.75</v>
      </c>
      <c r="E5" s="1">
        <v>7902483.6900000004</v>
      </c>
      <c r="F5" s="1">
        <v>2.1614</v>
      </c>
      <c r="G5" s="1">
        <v>663.9</v>
      </c>
      <c r="H5" s="1">
        <v>559.17999999999995</v>
      </c>
      <c r="I5" s="1">
        <v>206.43</v>
      </c>
      <c r="J5" s="1">
        <v>298.45999999999998</v>
      </c>
      <c r="K5" s="1">
        <v>316.93</v>
      </c>
      <c r="L5" s="1">
        <v>216.53</v>
      </c>
      <c r="M5" s="1">
        <v>449.09</v>
      </c>
      <c r="N5" s="1">
        <v>401.76</v>
      </c>
      <c r="O5" s="1">
        <v>128.91</v>
      </c>
      <c r="P5" s="1">
        <v>525.42999999999995</v>
      </c>
      <c r="Q5" s="1">
        <v>394.02</v>
      </c>
      <c r="R5" s="1">
        <v>130.83000000000001</v>
      </c>
      <c r="S5" s="1">
        <v>103.49</v>
      </c>
      <c r="T5" s="1">
        <v>379.49</v>
      </c>
      <c r="V5" s="71">
        <v>67</v>
      </c>
      <c r="W5" s="71">
        <v>182</v>
      </c>
      <c r="X5" s="71">
        <v>486</v>
      </c>
      <c r="Y5" s="17"/>
    </row>
    <row r="6" spans="1:25" ht="21" customHeight="1" x14ac:dyDescent="0.25">
      <c r="A6" s="8">
        <v>44289</v>
      </c>
      <c r="B6" s="1">
        <v>863.48</v>
      </c>
      <c r="C6" s="1">
        <v>210.07</v>
      </c>
      <c r="D6" s="1">
        <v>7265219.9000000004</v>
      </c>
      <c r="E6" s="1">
        <v>7906464.54</v>
      </c>
      <c r="F6" s="1">
        <v>2.1640000000000001</v>
      </c>
      <c r="G6" s="1">
        <v>664.95</v>
      </c>
      <c r="H6" s="1">
        <v>560.12</v>
      </c>
      <c r="I6" s="1">
        <v>206.76</v>
      </c>
      <c r="J6" s="1">
        <v>298.81</v>
      </c>
      <c r="K6" s="1">
        <v>317.39</v>
      </c>
      <c r="L6" s="1">
        <v>216.8</v>
      </c>
      <c r="M6" s="1">
        <v>449.89</v>
      </c>
      <c r="N6" s="1">
        <v>402.71</v>
      </c>
      <c r="O6" s="1">
        <v>129.19</v>
      </c>
      <c r="P6" s="1">
        <v>526.55999999999995</v>
      </c>
      <c r="Q6" s="1">
        <v>394.89</v>
      </c>
      <c r="R6" s="1">
        <v>131.03</v>
      </c>
      <c r="S6" s="1">
        <v>103.63</v>
      </c>
      <c r="T6" s="1">
        <v>380.04</v>
      </c>
      <c r="V6" s="71">
        <v>65</v>
      </c>
      <c r="W6" s="71">
        <v>176</v>
      </c>
      <c r="X6" s="71">
        <v>535</v>
      </c>
      <c r="Y6" s="17"/>
    </row>
    <row r="7" spans="1:25" ht="21" customHeight="1" x14ac:dyDescent="0.25">
      <c r="A7" s="8">
        <v>44290</v>
      </c>
      <c r="B7" s="1">
        <v>864.83</v>
      </c>
      <c r="C7" s="1">
        <v>210.34</v>
      </c>
      <c r="D7" s="109">
        <v>7267990.1100000003</v>
      </c>
      <c r="E7" s="1">
        <v>7910306.6200000001</v>
      </c>
      <c r="F7" s="1">
        <v>2.1667999999999998</v>
      </c>
      <c r="G7" s="1">
        <v>665.96</v>
      </c>
      <c r="H7" s="1">
        <v>561.04999999999995</v>
      </c>
      <c r="I7" s="1">
        <v>207.05</v>
      </c>
      <c r="J7" s="1">
        <v>299.20999999999998</v>
      </c>
      <c r="K7" s="1">
        <v>317.89999999999998</v>
      </c>
      <c r="L7" s="1">
        <v>217.12</v>
      </c>
      <c r="M7" s="1">
        <v>450.65</v>
      </c>
      <c r="N7" s="1">
        <v>403.61</v>
      </c>
      <c r="O7" s="1">
        <v>129.47999999999999</v>
      </c>
      <c r="P7" s="1">
        <v>527.71</v>
      </c>
      <c r="Q7" s="1">
        <v>395.75</v>
      </c>
      <c r="R7" s="1">
        <v>131.27000000000001</v>
      </c>
      <c r="S7" s="1">
        <v>103.75</v>
      </c>
      <c r="T7" s="1">
        <v>380.66</v>
      </c>
      <c r="V7" s="71">
        <v>62</v>
      </c>
      <c r="W7" s="71">
        <v>172</v>
      </c>
      <c r="X7" s="71">
        <v>452</v>
      </c>
      <c r="Y7" s="17"/>
    </row>
    <row r="8" spans="1:25" ht="21" customHeight="1" x14ac:dyDescent="0.25">
      <c r="A8" s="8">
        <v>44291</v>
      </c>
      <c r="B8" s="1">
        <v>866.08</v>
      </c>
      <c r="C8" s="1">
        <v>210.56</v>
      </c>
      <c r="D8" s="1">
        <v>7270854.5999999996</v>
      </c>
      <c r="E8" s="1">
        <v>7914233.3700000001</v>
      </c>
      <c r="F8" s="1">
        <v>2.1692999999999998</v>
      </c>
      <c r="G8" s="1">
        <v>666.94</v>
      </c>
      <c r="H8" s="1">
        <v>562.09</v>
      </c>
      <c r="I8" s="1">
        <v>207.36</v>
      </c>
      <c r="J8" s="1">
        <v>299.56</v>
      </c>
      <c r="K8" s="1">
        <v>318.31</v>
      </c>
      <c r="L8" s="1">
        <v>217.39</v>
      </c>
      <c r="M8" s="1">
        <v>451.42</v>
      </c>
      <c r="N8" s="1">
        <v>404.5</v>
      </c>
      <c r="O8" s="1">
        <v>129.72</v>
      </c>
      <c r="P8" s="1">
        <v>528.76</v>
      </c>
      <c r="Q8" s="1">
        <v>396.63</v>
      </c>
      <c r="R8" s="1">
        <v>131.59</v>
      </c>
      <c r="S8" s="1">
        <v>103.89</v>
      </c>
      <c r="T8" s="1">
        <v>381.23</v>
      </c>
      <c r="V8" s="71">
        <v>53</v>
      </c>
      <c r="W8" s="71">
        <v>148</v>
      </c>
      <c r="X8" s="71">
        <v>419</v>
      </c>
      <c r="Y8" s="17"/>
    </row>
    <row r="9" spans="1:25" ht="21" customHeight="1" x14ac:dyDescent="0.25">
      <c r="A9" s="8">
        <v>44292</v>
      </c>
      <c r="B9" s="1">
        <v>867.44</v>
      </c>
      <c r="C9" s="1">
        <v>210.82</v>
      </c>
      <c r="D9" s="1">
        <v>7273739</v>
      </c>
      <c r="E9" s="1">
        <v>7918241.9400000004</v>
      </c>
      <c r="F9" s="1">
        <v>2.1720999999999999</v>
      </c>
      <c r="G9" s="1">
        <v>667.98</v>
      </c>
      <c r="H9" s="1">
        <v>563.17999999999995</v>
      </c>
      <c r="I9" s="1">
        <v>207.7</v>
      </c>
      <c r="J9" s="1">
        <v>300.02</v>
      </c>
      <c r="K9" s="1">
        <v>318.81</v>
      </c>
      <c r="L9" s="1">
        <v>217.68</v>
      </c>
      <c r="M9" s="1">
        <v>452.23</v>
      </c>
      <c r="N9" s="1">
        <v>405.46</v>
      </c>
      <c r="O9" s="1">
        <v>130</v>
      </c>
      <c r="P9" s="1">
        <v>529.91999999999996</v>
      </c>
      <c r="Q9" s="1">
        <v>397.47</v>
      </c>
      <c r="R9" s="1">
        <v>131.91</v>
      </c>
      <c r="S9" s="1">
        <v>104.02</v>
      </c>
      <c r="T9" s="1">
        <v>381.8</v>
      </c>
      <c r="V9" s="71">
        <v>52</v>
      </c>
      <c r="W9" s="71">
        <v>147</v>
      </c>
      <c r="X9" s="71">
        <v>431</v>
      </c>
      <c r="Y9" s="17"/>
    </row>
    <row r="10" spans="1:25" ht="21" customHeight="1" x14ac:dyDescent="0.25">
      <c r="A10" s="8">
        <v>44293</v>
      </c>
      <c r="B10" s="1">
        <v>868.73</v>
      </c>
      <c r="C10" s="1">
        <v>211.06</v>
      </c>
      <c r="D10" s="1">
        <v>7276083.0499999998</v>
      </c>
      <c r="E10" s="1">
        <v>7921697.7699999996</v>
      </c>
      <c r="F10" s="1">
        <v>2.1745999999999999</v>
      </c>
      <c r="G10" s="1">
        <v>668.87</v>
      </c>
      <c r="H10" s="1">
        <v>564.16</v>
      </c>
      <c r="I10" s="1">
        <v>208.01</v>
      </c>
      <c r="J10" s="1">
        <v>300.33999999999997</v>
      </c>
      <c r="K10" s="1">
        <v>319.19</v>
      </c>
      <c r="L10" s="1">
        <v>217.92</v>
      </c>
      <c r="M10" s="1">
        <v>452.98</v>
      </c>
      <c r="N10" s="1">
        <v>406.27</v>
      </c>
      <c r="O10" s="1">
        <v>130.22999999999999</v>
      </c>
      <c r="P10" s="1">
        <v>530.91</v>
      </c>
      <c r="Q10" s="1">
        <v>398.26</v>
      </c>
      <c r="R10" s="1">
        <v>132.24</v>
      </c>
      <c r="S10" s="1">
        <v>104.14</v>
      </c>
      <c r="T10" s="1">
        <v>382.37</v>
      </c>
      <c r="V10" s="71">
        <v>43</v>
      </c>
      <c r="W10" s="71">
        <v>118</v>
      </c>
      <c r="X10" s="71">
        <v>319</v>
      </c>
      <c r="Y10" s="17"/>
    </row>
    <row r="11" spans="1:25" ht="21" customHeight="1" x14ac:dyDescent="0.25">
      <c r="A11" s="8">
        <v>44294</v>
      </c>
      <c r="B11" s="1">
        <v>870.09</v>
      </c>
      <c r="C11" s="1">
        <v>211.29</v>
      </c>
      <c r="D11" s="1">
        <v>7278703.1900000004</v>
      </c>
      <c r="E11" s="1">
        <v>7925227.9900000002</v>
      </c>
      <c r="F11" s="1">
        <v>2.1770999999999998</v>
      </c>
      <c r="G11" s="1">
        <v>669.79</v>
      </c>
      <c r="H11" s="1">
        <v>565.24</v>
      </c>
      <c r="I11" s="1">
        <v>208.33</v>
      </c>
      <c r="J11" s="1">
        <v>300.69</v>
      </c>
      <c r="K11" s="1">
        <v>319.60000000000002</v>
      </c>
      <c r="L11" s="1">
        <v>218.17</v>
      </c>
      <c r="M11" s="1">
        <v>453.82</v>
      </c>
      <c r="N11" s="1">
        <v>406.95</v>
      </c>
      <c r="O11" s="1">
        <v>130.49</v>
      </c>
      <c r="P11" s="1">
        <v>531.85</v>
      </c>
      <c r="Q11" s="1">
        <v>399.18</v>
      </c>
      <c r="R11" s="1">
        <v>132.54</v>
      </c>
      <c r="S11" s="1">
        <v>104.27</v>
      </c>
      <c r="T11" s="1">
        <v>382.9</v>
      </c>
      <c r="V11" s="71">
        <v>39</v>
      </c>
      <c r="W11" s="71">
        <v>109</v>
      </c>
      <c r="X11" s="71">
        <v>296</v>
      </c>
      <c r="Y11" s="17"/>
    </row>
    <row r="12" spans="1:25" ht="21" customHeight="1" x14ac:dyDescent="0.25">
      <c r="A12" s="8">
        <v>44295</v>
      </c>
      <c r="B12" s="1">
        <v>871.46</v>
      </c>
      <c r="C12" s="1">
        <v>211.53</v>
      </c>
      <c r="D12" s="1">
        <v>7281406.1200000001</v>
      </c>
      <c r="E12" s="1">
        <v>7928757.0800000001</v>
      </c>
      <c r="F12" s="1">
        <v>2.1797</v>
      </c>
      <c r="G12" s="1">
        <v>670.74</v>
      </c>
      <c r="H12" s="1">
        <v>566.30999999999995</v>
      </c>
      <c r="I12" s="1">
        <v>208.64</v>
      </c>
      <c r="J12" s="1">
        <v>300.98</v>
      </c>
      <c r="K12" s="1">
        <v>320</v>
      </c>
      <c r="L12" s="1">
        <v>218.38</v>
      </c>
      <c r="M12" s="1">
        <v>454.73</v>
      </c>
      <c r="N12" s="1">
        <v>407.62</v>
      </c>
      <c r="O12" s="1">
        <v>130.80000000000001</v>
      </c>
      <c r="P12" s="1">
        <v>532.89</v>
      </c>
      <c r="Q12" s="1">
        <v>400.13</v>
      </c>
      <c r="R12" s="1">
        <v>132.87</v>
      </c>
      <c r="S12" s="1">
        <v>104.39</v>
      </c>
      <c r="T12" s="1">
        <v>383.45</v>
      </c>
      <c r="V12" s="71">
        <v>31</v>
      </c>
      <c r="W12" s="71">
        <v>92</v>
      </c>
      <c r="X12" s="71">
        <v>287</v>
      </c>
      <c r="Y12" s="17"/>
    </row>
    <row r="13" spans="1:25" ht="21" customHeight="1" x14ac:dyDescent="0.25">
      <c r="A13" s="8">
        <v>44296</v>
      </c>
      <c r="B13" s="1">
        <v>872.81</v>
      </c>
      <c r="C13" s="1">
        <v>211.76</v>
      </c>
      <c r="D13" s="1">
        <v>7283841.7999999998</v>
      </c>
      <c r="E13" s="1">
        <v>7931531</v>
      </c>
      <c r="F13" s="1">
        <v>2.1821999999999999</v>
      </c>
      <c r="G13" s="1">
        <v>671.61</v>
      </c>
      <c r="H13" s="1">
        <v>567.26</v>
      </c>
      <c r="I13" s="1">
        <v>208.97</v>
      </c>
      <c r="J13" s="1">
        <v>301.31</v>
      </c>
      <c r="K13" s="1">
        <v>320.32</v>
      </c>
      <c r="L13" s="1">
        <v>218.61</v>
      </c>
      <c r="M13" s="1">
        <v>455.61</v>
      </c>
      <c r="N13" s="1">
        <v>408.21</v>
      </c>
      <c r="O13" s="1">
        <v>131.07</v>
      </c>
      <c r="P13" s="1">
        <v>533.80999999999995</v>
      </c>
      <c r="Q13" s="1">
        <v>400.84</v>
      </c>
      <c r="R13" s="1">
        <v>133.19999999999999</v>
      </c>
      <c r="S13" s="1">
        <v>104.52</v>
      </c>
      <c r="T13" s="1">
        <v>383.71</v>
      </c>
      <c r="V13" s="71">
        <v>24</v>
      </c>
      <c r="W13" s="71">
        <v>71</v>
      </c>
      <c r="X13" s="71">
        <v>201</v>
      </c>
      <c r="Y13" s="17"/>
    </row>
    <row r="14" spans="1:25" ht="21" customHeight="1" x14ac:dyDescent="0.25">
      <c r="A14" s="8">
        <v>44297</v>
      </c>
      <c r="B14" s="1">
        <v>874.27</v>
      </c>
      <c r="C14" s="1">
        <v>211.99</v>
      </c>
      <c r="D14" s="1">
        <v>7286342.4900000002</v>
      </c>
      <c r="E14" s="1">
        <v>7934889.8499999996</v>
      </c>
      <c r="F14" s="1">
        <v>2.1846999999999999</v>
      </c>
      <c r="G14" s="1">
        <v>672.65</v>
      </c>
      <c r="H14" s="1">
        <v>568.34</v>
      </c>
      <c r="I14" s="1">
        <v>209.32</v>
      </c>
      <c r="J14" s="1">
        <v>301.64</v>
      </c>
      <c r="K14" s="1">
        <v>320.7</v>
      </c>
      <c r="L14" s="1">
        <v>218.86</v>
      </c>
      <c r="M14" s="1">
        <v>456.53</v>
      </c>
      <c r="N14" s="1">
        <v>409.01</v>
      </c>
      <c r="O14" s="1">
        <v>131.34</v>
      </c>
      <c r="P14" s="1">
        <v>534.79999999999995</v>
      </c>
      <c r="Q14" s="1">
        <v>401.6</v>
      </c>
      <c r="R14" s="1">
        <v>133.53</v>
      </c>
      <c r="S14" s="1">
        <v>104.65</v>
      </c>
      <c r="T14" s="1">
        <v>384.25</v>
      </c>
      <c r="V14" s="71">
        <v>15</v>
      </c>
      <c r="W14" s="71">
        <v>42</v>
      </c>
      <c r="X14" s="71">
        <v>127</v>
      </c>
      <c r="Y14" s="17"/>
    </row>
    <row r="15" spans="1:25" ht="21" customHeight="1" x14ac:dyDescent="0.25">
      <c r="A15" s="8">
        <v>44298</v>
      </c>
      <c r="B15" s="1">
        <v>875.6</v>
      </c>
      <c r="C15" s="1">
        <v>212.19</v>
      </c>
      <c r="D15" s="1">
        <v>7288764.9400000004</v>
      </c>
      <c r="E15" s="1">
        <v>7937789.4100000001</v>
      </c>
      <c r="F15" s="1">
        <v>2.1869999999999998</v>
      </c>
      <c r="G15" s="1">
        <v>673.64</v>
      </c>
      <c r="H15" s="1">
        <v>569.29</v>
      </c>
      <c r="I15" s="1">
        <v>209.66</v>
      </c>
      <c r="J15" s="1">
        <v>301.89</v>
      </c>
      <c r="K15" s="1">
        <v>320.97000000000003</v>
      </c>
      <c r="L15" s="1">
        <v>219.04</v>
      </c>
      <c r="M15" s="1">
        <v>457.38</v>
      </c>
      <c r="N15" s="1">
        <v>409.88</v>
      </c>
      <c r="O15" s="1">
        <v>131.58000000000001</v>
      </c>
      <c r="P15" s="1">
        <v>535.65</v>
      </c>
      <c r="Q15" s="1">
        <v>402.35</v>
      </c>
      <c r="R15" s="1">
        <v>133.81</v>
      </c>
      <c r="S15" s="1">
        <v>104.78</v>
      </c>
      <c r="T15" s="1">
        <v>384.73</v>
      </c>
      <c r="V15" s="71">
        <v>14</v>
      </c>
      <c r="W15" s="71">
        <v>36</v>
      </c>
      <c r="X15" s="71">
        <v>128</v>
      </c>
      <c r="Y15" s="17"/>
    </row>
    <row r="16" spans="1:25" ht="21" customHeight="1" x14ac:dyDescent="0.25">
      <c r="A16" s="8">
        <v>44299</v>
      </c>
      <c r="B16" s="1">
        <v>876.99</v>
      </c>
      <c r="C16" s="1">
        <v>212.42</v>
      </c>
      <c r="D16" s="1">
        <v>7291266.0599999996</v>
      </c>
      <c r="E16" s="1">
        <v>7940809.6299999999</v>
      </c>
      <c r="F16" s="1">
        <v>2.1894999999999998</v>
      </c>
      <c r="G16" s="1">
        <v>674.59</v>
      </c>
      <c r="H16" s="1">
        <v>570.23</v>
      </c>
      <c r="I16" s="1">
        <v>210.03</v>
      </c>
      <c r="J16" s="1">
        <v>302.14</v>
      </c>
      <c r="K16" s="1">
        <v>321.32</v>
      </c>
      <c r="L16" s="1">
        <v>219.24</v>
      </c>
      <c r="M16" s="1">
        <v>458.15</v>
      </c>
      <c r="N16" s="1">
        <v>410.86</v>
      </c>
      <c r="O16" s="1">
        <v>131.82</v>
      </c>
      <c r="P16" s="1">
        <v>536.6</v>
      </c>
      <c r="Q16" s="1">
        <v>403.12</v>
      </c>
      <c r="R16" s="1">
        <v>134.11000000000001</v>
      </c>
      <c r="S16" s="1">
        <v>104.91</v>
      </c>
      <c r="T16" s="1">
        <v>385.23</v>
      </c>
      <c r="V16" s="71">
        <v>11</v>
      </c>
      <c r="W16" s="71">
        <v>35</v>
      </c>
      <c r="X16" s="71">
        <v>114</v>
      </c>
      <c r="Y16" s="17"/>
    </row>
    <row r="17" spans="1:25" ht="21" customHeight="1" x14ac:dyDescent="0.25">
      <c r="A17" s="8">
        <v>44300</v>
      </c>
      <c r="B17" s="1">
        <v>878.33</v>
      </c>
      <c r="C17" s="1">
        <v>212.66</v>
      </c>
      <c r="D17" s="1">
        <v>7293555.9000000004</v>
      </c>
      <c r="E17" s="1">
        <v>7943907.4699999997</v>
      </c>
      <c r="F17" s="1">
        <v>2.1917</v>
      </c>
      <c r="G17" s="1">
        <v>675.45</v>
      </c>
      <c r="H17" s="1">
        <v>571.17999999999995</v>
      </c>
      <c r="I17" s="1">
        <v>210.36</v>
      </c>
      <c r="J17" s="1">
        <v>302.3</v>
      </c>
      <c r="K17" s="1">
        <v>321.60000000000002</v>
      </c>
      <c r="L17" s="1">
        <v>219.42</v>
      </c>
      <c r="M17" s="1">
        <v>458.94</v>
      </c>
      <c r="N17" s="1">
        <v>411.74</v>
      </c>
      <c r="O17" s="1">
        <v>132.04</v>
      </c>
      <c r="P17" s="1">
        <v>537.51</v>
      </c>
      <c r="Q17" s="1">
        <v>403.84</v>
      </c>
      <c r="R17" s="1">
        <v>134.36000000000001</v>
      </c>
      <c r="S17" s="1">
        <v>105.05</v>
      </c>
      <c r="T17" s="1">
        <v>385.72</v>
      </c>
      <c r="V17" s="71">
        <v>10</v>
      </c>
      <c r="W17" s="71">
        <v>32</v>
      </c>
      <c r="X17" s="71">
        <v>85</v>
      </c>
      <c r="Y17" s="17"/>
    </row>
    <row r="18" spans="1:25" ht="21" customHeight="1" x14ac:dyDescent="0.25">
      <c r="A18" s="8">
        <v>44301</v>
      </c>
      <c r="B18" s="1">
        <v>879.73</v>
      </c>
      <c r="C18" s="1">
        <v>212.87</v>
      </c>
      <c r="D18" s="1">
        <v>7295860.0800000001</v>
      </c>
      <c r="E18" s="1">
        <v>7947651.75</v>
      </c>
      <c r="F18" s="1">
        <v>2.1941999999999999</v>
      </c>
      <c r="G18" s="1">
        <v>676.4</v>
      </c>
      <c r="H18" s="1">
        <v>572.16</v>
      </c>
      <c r="I18" s="1">
        <v>210.73</v>
      </c>
      <c r="J18" s="1">
        <v>302.56</v>
      </c>
      <c r="K18" s="1">
        <v>321.88</v>
      </c>
      <c r="L18" s="1">
        <v>219.59</v>
      </c>
      <c r="M18" s="1">
        <v>459.82</v>
      </c>
      <c r="N18" s="1">
        <v>412.64</v>
      </c>
      <c r="O18" s="1">
        <v>132.29</v>
      </c>
      <c r="P18" s="1">
        <v>538.45000000000005</v>
      </c>
      <c r="Q18" s="1">
        <v>404.58</v>
      </c>
      <c r="R18" s="1">
        <v>134.57</v>
      </c>
      <c r="S18" s="1">
        <v>105.14</v>
      </c>
      <c r="T18" s="1">
        <v>386.19</v>
      </c>
      <c r="V18" s="71">
        <v>12</v>
      </c>
      <c r="W18" s="71">
        <v>34</v>
      </c>
      <c r="X18" s="71">
        <v>100</v>
      </c>
      <c r="Y18" s="17"/>
    </row>
    <row r="19" spans="1:25" ht="21" customHeight="1" x14ac:dyDescent="0.25">
      <c r="A19" s="8">
        <v>44302</v>
      </c>
      <c r="B19" s="1">
        <v>881.08</v>
      </c>
      <c r="C19" s="1">
        <v>213.05</v>
      </c>
      <c r="D19" s="1">
        <v>7298075.8700000001</v>
      </c>
      <c r="E19" s="1">
        <v>7950347.8799999999</v>
      </c>
      <c r="F19" s="1">
        <v>2.1966000000000001</v>
      </c>
      <c r="G19" s="1">
        <v>677.36</v>
      </c>
      <c r="H19" s="1">
        <v>573.1</v>
      </c>
      <c r="I19" s="1">
        <v>211.06</v>
      </c>
      <c r="J19" s="1">
        <v>302.73</v>
      </c>
      <c r="K19" s="1">
        <v>322.14</v>
      </c>
      <c r="L19" s="1">
        <v>219.76</v>
      </c>
      <c r="M19" s="1">
        <v>460.58</v>
      </c>
      <c r="N19" s="1">
        <v>413.52</v>
      </c>
      <c r="O19" s="1">
        <v>132.54</v>
      </c>
      <c r="P19" s="1">
        <v>539.44000000000005</v>
      </c>
      <c r="Q19" s="1">
        <v>405.35</v>
      </c>
      <c r="R19" s="1">
        <v>134.81</v>
      </c>
      <c r="S19" s="1">
        <v>105.28</v>
      </c>
      <c r="T19" s="1">
        <v>386.65</v>
      </c>
      <c r="V19" s="71">
        <v>11</v>
      </c>
      <c r="W19" s="71">
        <v>30</v>
      </c>
      <c r="X19" s="71">
        <v>91</v>
      </c>
      <c r="Y19" s="17"/>
    </row>
    <row r="20" spans="1:25" ht="21" customHeight="1" x14ac:dyDescent="0.25">
      <c r="A20" s="8">
        <v>44303</v>
      </c>
      <c r="B20" s="1">
        <v>882.31</v>
      </c>
      <c r="C20" s="1">
        <v>213.22</v>
      </c>
      <c r="D20" s="1">
        <v>7300153.5300000003</v>
      </c>
      <c r="E20" s="1">
        <v>7952941.9100000001</v>
      </c>
      <c r="F20" s="1">
        <v>2.1989000000000001</v>
      </c>
      <c r="G20" s="1">
        <v>678.21</v>
      </c>
      <c r="H20" s="1">
        <v>573.89</v>
      </c>
      <c r="I20" s="1">
        <v>211.34</v>
      </c>
      <c r="J20" s="1">
        <v>302.88</v>
      </c>
      <c r="K20" s="1">
        <v>322.37</v>
      </c>
      <c r="L20" s="1">
        <v>219.94</v>
      </c>
      <c r="M20" s="1">
        <v>461.2</v>
      </c>
      <c r="N20" s="1">
        <v>414.32</v>
      </c>
      <c r="O20" s="1">
        <v>132.78</v>
      </c>
      <c r="P20" s="1">
        <v>540.34</v>
      </c>
      <c r="Q20" s="1">
        <v>406.06</v>
      </c>
      <c r="R20" s="1">
        <v>135.03</v>
      </c>
      <c r="S20" s="1">
        <v>105.41</v>
      </c>
      <c r="T20" s="1">
        <v>386.9</v>
      </c>
      <c r="V20" s="71">
        <v>11</v>
      </c>
      <c r="W20" s="71">
        <v>35</v>
      </c>
      <c r="X20" s="71">
        <v>98</v>
      </c>
      <c r="Y20" s="17"/>
    </row>
    <row r="21" spans="1:25" ht="21" customHeight="1" x14ac:dyDescent="0.25">
      <c r="A21" s="8">
        <v>44304</v>
      </c>
      <c r="B21" s="1">
        <v>883.71</v>
      </c>
      <c r="C21" s="1">
        <v>213.4</v>
      </c>
      <c r="D21" s="1">
        <v>7302428.5899999999</v>
      </c>
      <c r="E21" s="1">
        <v>7955924.21</v>
      </c>
      <c r="F21" s="1">
        <v>2.2012999999999998</v>
      </c>
      <c r="G21" s="1">
        <v>679.15</v>
      </c>
      <c r="H21" s="1">
        <v>574.78</v>
      </c>
      <c r="I21" s="1">
        <v>211.67</v>
      </c>
      <c r="J21" s="1">
        <v>303.02999999999997</v>
      </c>
      <c r="K21" s="1">
        <v>322.62</v>
      </c>
      <c r="L21" s="1">
        <v>220.12</v>
      </c>
      <c r="M21" s="1">
        <v>461.92</v>
      </c>
      <c r="N21" s="1">
        <v>415.13</v>
      </c>
      <c r="O21" s="1">
        <v>133.1</v>
      </c>
      <c r="P21" s="1">
        <v>541.30999999999995</v>
      </c>
      <c r="Q21" s="1">
        <v>406.85</v>
      </c>
      <c r="R21" s="1">
        <v>135.32</v>
      </c>
      <c r="S21" s="1">
        <v>105.54</v>
      </c>
      <c r="T21" s="1">
        <v>387.34</v>
      </c>
      <c r="V21" s="71">
        <v>11</v>
      </c>
      <c r="W21" s="71">
        <v>35</v>
      </c>
      <c r="X21" s="71">
        <v>84</v>
      </c>
      <c r="Y21" s="17"/>
    </row>
    <row r="22" spans="1:25" ht="21" customHeight="1" x14ac:dyDescent="0.25">
      <c r="A22" s="8">
        <v>44305</v>
      </c>
      <c r="B22" s="1">
        <v>885.09</v>
      </c>
      <c r="C22" s="1">
        <v>213.61</v>
      </c>
      <c r="D22" s="1">
        <v>7304504.7199999997</v>
      </c>
      <c r="E22" s="1">
        <v>7958587.6799999997</v>
      </c>
      <c r="F22" s="1">
        <v>2.2038000000000002</v>
      </c>
      <c r="G22" s="1">
        <v>680.07</v>
      </c>
      <c r="H22" s="1">
        <v>575.62</v>
      </c>
      <c r="I22" s="1">
        <v>211.98</v>
      </c>
      <c r="J22" s="1">
        <v>303.27</v>
      </c>
      <c r="K22" s="1">
        <v>322.91000000000003</v>
      </c>
      <c r="L22" s="1">
        <v>220.32</v>
      </c>
      <c r="M22" s="1">
        <v>462.6</v>
      </c>
      <c r="N22" s="1">
        <v>415.92</v>
      </c>
      <c r="O22" s="1">
        <v>133.32</v>
      </c>
      <c r="P22" s="1">
        <v>542.21</v>
      </c>
      <c r="Q22" s="1">
        <v>407.62</v>
      </c>
      <c r="R22" s="28">
        <v>135.62</v>
      </c>
      <c r="S22" s="28">
        <v>105.68</v>
      </c>
      <c r="T22" s="1">
        <v>387.79</v>
      </c>
      <c r="V22" s="71">
        <v>10</v>
      </c>
      <c r="W22" s="71">
        <v>30</v>
      </c>
      <c r="X22" s="71">
        <v>106</v>
      </c>
      <c r="Y22" s="17"/>
    </row>
    <row r="23" spans="1:25" ht="21" customHeight="1" x14ac:dyDescent="0.25">
      <c r="A23" s="8">
        <v>44306</v>
      </c>
      <c r="B23" s="1">
        <v>886.39</v>
      </c>
      <c r="C23" s="1">
        <v>213.8</v>
      </c>
      <c r="D23" s="1">
        <v>7306554.3200000003</v>
      </c>
      <c r="E23" s="1">
        <v>7961421.0599999996</v>
      </c>
      <c r="F23" s="1">
        <v>2.2061000000000002</v>
      </c>
      <c r="G23" s="1">
        <v>681</v>
      </c>
      <c r="H23" s="1">
        <v>576.39</v>
      </c>
      <c r="I23" s="1">
        <v>212.29</v>
      </c>
      <c r="J23" s="1">
        <v>303.33</v>
      </c>
      <c r="K23" s="1">
        <v>323.11</v>
      </c>
      <c r="L23" s="1">
        <v>220.51</v>
      </c>
      <c r="M23" s="1">
        <v>463.29</v>
      </c>
      <c r="N23" s="1">
        <v>416.62</v>
      </c>
      <c r="O23" s="1">
        <v>133.58000000000001</v>
      </c>
      <c r="P23" s="1">
        <v>543.11</v>
      </c>
      <c r="Q23" s="1">
        <v>408.38</v>
      </c>
      <c r="R23" s="1">
        <v>135.9</v>
      </c>
      <c r="S23" s="1">
        <v>105.8</v>
      </c>
      <c r="T23" s="1">
        <v>388.24</v>
      </c>
      <c r="V23" s="71">
        <v>10</v>
      </c>
      <c r="W23" s="71">
        <v>23</v>
      </c>
      <c r="X23" s="71">
        <v>81</v>
      </c>
      <c r="Y23" s="17"/>
    </row>
    <row r="24" spans="1:25" ht="21" customHeight="1" x14ac:dyDescent="0.25">
      <c r="A24" s="8">
        <v>44307</v>
      </c>
      <c r="B24" s="1">
        <v>887.65</v>
      </c>
      <c r="C24" s="1">
        <v>213.97</v>
      </c>
      <c r="D24" s="1">
        <v>7308591.2699999996</v>
      </c>
      <c r="E24" s="1">
        <v>7964281.0899999999</v>
      </c>
      <c r="F24" s="1">
        <v>2.2082999999999999</v>
      </c>
      <c r="G24" s="1">
        <v>681.89</v>
      </c>
      <c r="H24" s="1">
        <v>577.26</v>
      </c>
      <c r="I24" s="1">
        <v>212.57</v>
      </c>
      <c r="J24" s="1">
        <v>303.37</v>
      </c>
      <c r="K24" s="1">
        <v>323.23</v>
      </c>
      <c r="L24" s="1">
        <v>220.63</v>
      </c>
      <c r="M24" s="1">
        <v>464</v>
      </c>
      <c r="N24" s="1">
        <v>417.33</v>
      </c>
      <c r="O24" s="1">
        <v>133.82</v>
      </c>
      <c r="P24" s="1">
        <v>544.02</v>
      </c>
      <c r="Q24" s="1">
        <v>409.16</v>
      </c>
      <c r="R24" s="1">
        <v>136.19999999999999</v>
      </c>
      <c r="S24" s="1">
        <v>105.94</v>
      </c>
      <c r="T24" s="1">
        <v>388.73</v>
      </c>
      <c r="V24" s="71">
        <v>11</v>
      </c>
      <c r="W24" s="71">
        <v>29</v>
      </c>
      <c r="X24" s="71">
        <v>104</v>
      </c>
      <c r="Y24" s="17"/>
    </row>
    <row r="25" spans="1:25" ht="21" customHeight="1" x14ac:dyDescent="0.25">
      <c r="A25" s="8">
        <v>44308</v>
      </c>
      <c r="B25" s="1">
        <v>888.94</v>
      </c>
      <c r="C25" s="1">
        <v>214.17</v>
      </c>
      <c r="D25" s="1">
        <v>7310972.0800000001</v>
      </c>
      <c r="E25" s="1">
        <v>7967335.3099999996</v>
      </c>
      <c r="F25" s="1">
        <v>2.2107999999999999</v>
      </c>
      <c r="G25" s="1">
        <v>682.81</v>
      </c>
      <c r="H25" s="1">
        <v>578.14</v>
      </c>
      <c r="I25" s="1">
        <v>212.9</v>
      </c>
      <c r="J25" s="1">
        <v>303.47000000000003</v>
      </c>
      <c r="K25" s="1">
        <v>323.44</v>
      </c>
      <c r="L25" s="1">
        <v>220.8</v>
      </c>
      <c r="M25" s="1">
        <v>464.77</v>
      </c>
      <c r="N25" s="1">
        <v>418.08</v>
      </c>
      <c r="O25" s="1">
        <v>134.06</v>
      </c>
      <c r="P25" s="1">
        <v>544.97</v>
      </c>
      <c r="Q25" s="1">
        <v>409.91</v>
      </c>
      <c r="R25" s="1">
        <v>136.44999999999999</v>
      </c>
      <c r="S25" s="1">
        <v>106.07</v>
      </c>
      <c r="T25" s="1">
        <v>389.24</v>
      </c>
      <c r="V25" s="71">
        <v>12</v>
      </c>
      <c r="W25" s="71">
        <v>32</v>
      </c>
      <c r="X25" s="71">
        <v>77</v>
      </c>
      <c r="Y25" s="17"/>
    </row>
    <row r="26" spans="1:25" ht="21" customHeight="1" x14ac:dyDescent="0.25">
      <c r="A26" s="8">
        <v>44309</v>
      </c>
      <c r="B26" s="1">
        <v>890.31</v>
      </c>
      <c r="C26" s="1">
        <v>214.37</v>
      </c>
      <c r="D26" s="1">
        <v>7313266.5800000001</v>
      </c>
      <c r="E26" s="1">
        <v>7970518.2999999998</v>
      </c>
      <c r="F26" s="1">
        <v>2.2132000000000001</v>
      </c>
      <c r="G26" s="1">
        <v>683.79</v>
      </c>
      <c r="H26" s="1">
        <v>579.02</v>
      </c>
      <c r="I26" s="1">
        <v>213.26</v>
      </c>
      <c r="J26" s="1">
        <v>303.56</v>
      </c>
      <c r="K26" s="1">
        <v>323.64999999999998</v>
      </c>
      <c r="L26" s="1">
        <v>220.97</v>
      </c>
      <c r="M26" s="1">
        <v>465.53</v>
      </c>
      <c r="N26" s="1">
        <v>418.85</v>
      </c>
      <c r="O26" s="1">
        <v>134.36000000000001</v>
      </c>
      <c r="P26" s="1">
        <v>545.97</v>
      </c>
      <c r="Q26" s="1">
        <v>410.69</v>
      </c>
      <c r="R26" s="1">
        <v>136.74</v>
      </c>
      <c r="S26" s="1">
        <v>106.2</v>
      </c>
      <c r="T26" s="1">
        <v>389.71</v>
      </c>
      <c r="V26" s="71">
        <v>14</v>
      </c>
      <c r="W26" s="71">
        <v>34</v>
      </c>
      <c r="X26" s="71">
        <v>97</v>
      </c>
      <c r="Y26" s="17"/>
    </row>
    <row r="27" spans="1:25" ht="21" customHeight="1" x14ac:dyDescent="0.25">
      <c r="A27" s="8">
        <v>44310</v>
      </c>
      <c r="B27" s="1">
        <v>891.75</v>
      </c>
      <c r="C27" s="1">
        <v>214.6</v>
      </c>
      <c r="D27" s="1">
        <v>7315686.5800000001</v>
      </c>
      <c r="E27" s="1">
        <v>7973637.1299999999</v>
      </c>
      <c r="F27" s="1">
        <v>2.2157</v>
      </c>
      <c r="G27" s="1">
        <v>684.79</v>
      </c>
      <c r="H27" s="1">
        <v>579.94000000000005</v>
      </c>
      <c r="I27" s="1">
        <v>213.62</v>
      </c>
      <c r="J27" s="1">
        <v>303.75</v>
      </c>
      <c r="K27" s="1">
        <v>323.91000000000003</v>
      </c>
      <c r="L27" s="1">
        <v>221.13</v>
      </c>
      <c r="M27" s="1">
        <v>466.34</v>
      </c>
      <c r="N27" s="1">
        <v>419.65</v>
      </c>
      <c r="O27" s="1">
        <v>134.65</v>
      </c>
      <c r="P27" s="1">
        <v>547.01</v>
      </c>
      <c r="Q27" s="1">
        <v>411.51</v>
      </c>
      <c r="R27" s="1">
        <v>137.03</v>
      </c>
      <c r="S27" s="1">
        <v>106.33</v>
      </c>
      <c r="T27" s="1">
        <v>389.98</v>
      </c>
      <c r="V27" s="71">
        <v>14</v>
      </c>
      <c r="W27" s="71">
        <v>34</v>
      </c>
      <c r="X27" s="71">
        <v>109</v>
      </c>
      <c r="Y27" s="17"/>
    </row>
    <row r="28" spans="1:25" ht="21" customHeight="1" x14ac:dyDescent="0.25">
      <c r="A28" s="8">
        <v>44311</v>
      </c>
      <c r="B28" s="1">
        <v>893.11</v>
      </c>
      <c r="C28" s="1">
        <v>214.8</v>
      </c>
      <c r="D28" s="1">
        <v>7317917.4299999997</v>
      </c>
      <c r="E28" s="1">
        <v>7976720.8399999999</v>
      </c>
      <c r="F28" s="1">
        <v>2.2181000000000002</v>
      </c>
      <c r="G28" s="1">
        <v>685.66</v>
      </c>
      <c r="H28" s="1">
        <v>580.71</v>
      </c>
      <c r="I28" s="1">
        <v>213.92</v>
      </c>
      <c r="J28" s="1">
        <v>303.99</v>
      </c>
      <c r="K28" s="1">
        <v>324.14999999999998</v>
      </c>
      <c r="L28" s="1">
        <v>221.35</v>
      </c>
      <c r="M28" s="1">
        <v>467.02</v>
      </c>
      <c r="N28" s="1">
        <v>420.3</v>
      </c>
      <c r="O28" s="1">
        <v>134.88</v>
      </c>
      <c r="P28" s="1">
        <v>547.9</v>
      </c>
      <c r="Q28" s="1">
        <v>412.23</v>
      </c>
      <c r="R28" s="1">
        <v>137.33000000000001</v>
      </c>
      <c r="S28" s="1">
        <v>106.46</v>
      </c>
      <c r="T28" s="1">
        <v>390.45</v>
      </c>
      <c r="V28" s="71">
        <v>13</v>
      </c>
      <c r="W28" s="71">
        <v>33</v>
      </c>
      <c r="X28" s="71">
        <v>107</v>
      </c>
      <c r="Y28" s="17"/>
    </row>
    <row r="29" spans="1:25" ht="21" customHeight="1" x14ac:dyDescent="0.25">
      <c r="A29" s="8">
        <v>44312</v>
      </c>
      <c r="B29" s="1">
        <v>894.57</v>
      </c>
      <c r="C29" s="1">
        <v>215.03</v>
      </c>
      <c r="D29" s="1">
        <v>7320209.3099999996</v>
      </c>
      <c r="E29" s="1">
        <v>7979939.1600000001</v>
      </c>
      <c r="F29" s="1">
        <v>2.2206999999999999</v>
      </c>
      <c r="G29" s="1">
        <v>686.63</v>
      </c>
      <c r="H29" s="1">
        <v>581.58000000000004</v>
      </c>
      <c r="I29" s="1">
        <v>214.24</v>
      </c>
      <c r="J29" s="1">
        <v>304.18</v>
      </c>
      <c r="K29" s="1">
        <v>324.27999999999997</v>
      </c>
      <c r="L29" s="1">
        <v>221.54</v>
      </c>
      <c r="M29" s="1">
        <v>467.73</v>
      </c>
      <c r="N29" s="1">
        <v>421.09</v>
      </c>
      <c r="O29" s="1">
        <v>135.13</v>
      </c>
      <c r="P29" s="1">
        <v>548.73</v>
      </c>
      <c r="Q29" s="1">
        <v>412.97</v>
      </c>
      <c r="R29" s="1">
        <v>137.58000000000001</v>
      </c>
      <c r="S29" s="1">
        <v>106.58</v>
      </c>
      <c r="T29" s="1">
        <v>390.94</v>
      </c>
      <c r="V29" s="71">
        <v>13</v>
      </c>
      <c r="W29" s="71">
        <v>33</v>
      </c>
      <c r="X29" s="71">
        <v>107</v>
      </c>
      <c r="Y29" s="17"/>
    </row>
    <row r="30" spans="1:25" ht="21" customHeight="1" x14ac:dyDescent="0.25">
      <c r="A30" s="8">
        <v>44313</v>
      </c>
      <c r="B30" s="1">
        <v>896.03</v>
      </c>
      <c r="C30" s="1">
        <v>215.26</v>
      </c>
      <c r="D30" s="1">
        <v>7322592.1699999999</v>
      </c>
      <c r="E30" s="1">
        <v>7983137.2300000004</v>
      </c>
      <c r="F30" s="1">
        <v>2.2233000000000001</v>
      </c>
      <c r="G30" s="1">
        <v>687.67</v>
      </c>
      <c r="H30" s="1">
        <v>582.46</v>
      </c>
      <c r="I30" s="1">
        <v>214.54</v>
      </c>
      <c r="J30" s="1">
        <v>304.36</v>
      </c>
      <c r="K30" s="1">
        <v>324.64999999999998</v>
      </c>
      <c r="L30" s="1">
        <v>221.75</v>
      </c>
      <c r="M30" s="1">
        <v>468.47</v>
      </c>
      <c r="N30" s="1">
        <v>421.91</v>
      </c>
      <c r="O30" s="1">
        <v>135.36000000000001</v>
      </c>
      <c r="P30" s="1">
        <v>549.59</v>
      </c>
      <c r="Q30" s="1">
        <v>413.74</v>
      </c>
      <c r="R30" s="1">
        <v>137.87</v>
      </c>
      <c r="S30" s="1">
        <v>106.72</v>
      </c>
      <c r="T30" s="1">
        <v>391.41</v>
      </c>
      <c r="V30" s="71">
        <v>13</v>
      </c>
      <c r="W30" s="71">
        <v>31</v>
      </c>
      <c r="X30" s="71">
        <v>90</v>
      </c>
      <c r="Y30" s="17"/>
    </row>
    <row r="31" spans="1:25" ht="21" customHeight="1" x14ac:dyDescent="0.25">
      <c r="A31" s="8">
        <v>44314</v>
      </c>
      <c r="B31" s="1">
        <v>897.47</v>
      </c>
      <c r="C31" s="1">
        <v>215.43</v>
      </c>
      <c r="D31" s="1">
        <v>7324910.25</v>
      </c>
      <c r="E31" s="1">
        <v>7986283.96</v>
      </c>
      <c r="F31" s="1">
        <v>2.2256</v>
      </c>
      <c r="G31" s="1">
        <v>688.66</v>
      </c>
      <c r="H31" s="1">
        <v>583.30999999999995</v>
      </c>
      <c r="I31" s="1">
        <v>214.81</v>
      </c>
      <c r="J31" s="1">
        <v>304.44</v>
      </c>
      <c r="K31" s="1">
        <v>324.82</v>
      </c>
      <c r="L31" s="1">
        <v>221.89</v>
      </c>
      <c r="M31" s="1">
        <v>469.25</v>
      </c>
      <c r="N31" s="1">
        <v>422.71</v>
      </c>
      <c r="O31" s="1">
        <v>135.59</v>
      </c>
      <c r="P31" s="1">
        <v>550.45000000000005</v>
      </c>
      <c r="Q31" s="1">
        <v>414.15</v>
      </c>
      <c r="R31" s="1">
        <v>138.18</v>
      </c>
      <c r="S31" s="1">
        <v>106.85</v>
      </c>
      <c r="T31" s="1">
        <v>391.61</v>
      </c>
      <c r="V31" s="71">
        <v>16</v>
      </c>
      <c r="W31" s="71">
        <v>39</v>
      </c>
      <c r="X31" s="71">
        <v>102</v>
      </c>
      <c r="Y31" s="17"/>
    </row>
    <row r="32" spans="1:25" ht="21" customHeight="1" x14ac:dyDescent="0.25">
      <c r="A32" s="8">
        <v>44315</v>
      </c>
      <c r="B32" s="1">
        <v>898.93</v>
      </c>
      <c r="C32" s="1">
        <v>215.64</v>
      </c>
      <c r="D32" s="1">
        <v>7327248.4199999999</v>
      </c>
      <c r="E32" s="1">
        <v>7989736.7699999996</v>
      </c>
      <c r="F32" s="1">
        <v>2.2281</v>
      </c>
      <c r="G32" s="1">
        <v>689.65</v>
      </c>
      <c r="H32" s="1">
        <v>584.30999999999995</v>
      </c>
      <c r="I32" s="1">
        <v>215.17</v>
      </c>
      <c r="J32" s="1">
        <v>304.57</v>
      </c>
      <c r="K32" s="1">
        <v>325.04000000000002</v>
      </c>
      <c r="L32" s="1">
        <v>222.06</v>
      </c>
      <c r="M32" s="1">
        <v>470.11</v>
      </c>
      <c r="N32" s="1">
        <v>423.51</v>
      </c>
      <c r="O32" s="1">
        <v>135.86000000000001</v>
      </c>
      <c r="P32" s="1">
        <v>551.33000000000004</v>
      </c>
      <c r="Q32" s="1">
        <v>415.32</v>
      </c>
      <c r="R32" s="1">
        <v>138.46</v>
      </c>
      <c r="S32" s="1">
        <v>106.96</v>
      </c>
      <c r="T32" s="1">
        <v>392.44</v>
      </c>
      <c r="V32" s="71">
        <v>16</v>
      </c>
      <c r="W32" s="71">
        <v>39</v>
      </c>
      <c r="X32" s="71">
        <v>120</v>
      </c>
      <c r="Y32" s="17"/>
    </row>
    <row r="33" spans="1:25" ht="19.5" customHeight="1" x14ac:dyDescent="0.25">
      <c r="A33" s="8">
        <v>44316</v>
      </c>
      <c r="B33" s="1">
        <v>900.32</v>
      </c>
      <c r="C33" s="1">
        <v>215.86</v>
      </c>
      <c r="D33" s="1">
        <v>7329590.6100000003</v>
      </c>
      <c r="E33" s="1">
        <v>7993048.2000000002</v>
      </c>
      <c r="F33" s="1">
        <v>2.2366000000000001</v>
      </c>
      <c r="G33" s="1">
        <v>690.65</v>
      </c>
      <c r="H33" s="1">
        <v>585.30999999999995</v>
      </c>
      <c r="I33" s="1">
        <v>215.57</v>
      </c>
      <c r="J33" s="1">
        <v>304.77999999999997</v>
      </c>
      <c r="K33" s="1">
        <v>325.27</v>
      </c>
      <c r="L33" s="1">
        <v>222.24</v>
      </c>
      <c r="M33" s="1">
        <v>470.89</v>
      </c>
      <c r="N33" s="1">
        <v>424.34</v>
      </c>
      <c r="O33" s="1">
        <v>136.11000000000001</v>
      </c>
      <c r="P33" s="1">
        <v>552.20000000000005</v>
      </c>
      <c r="Q33" s="1">
        <v>416.1</v>
      </c>
      <c r="R33" s="1">
        <v>138.72</v>
      </c>
      <c r="S33" s="1">
        <v>107.1</v>
      </c>
      <c r="T33" s="1">
        <v>392.92</v>
      </c>
      <c r="V33" s="71">
        <v>26</v>
      </c>
      <c r="W33" s="71">
        <v>66</v>
      </c>
      <c r="X33" s="71">
        <v>160</v>
      </c>
      <c r="Y33" s="17"/>
    </row>
    <row r="34" spans="1:25" ht="19.5" customHeight="1" x14ac:dyDescent="0.25">
      <c r="A34" s="8">
        <v>44317</v>
      </c>
      <c r="B34" s="1">
        <v>901.74</v>
      </c>
      <c r="C34" s="1">
        <v>216.09</v>
      </c>
      <c r="D34" s="1">
        <v>7332163.1799999997</v>
      </c>
      <c r="E34" s="1">
        <v>7996109.6100000003</v>
      </c>
      <c r="F34" s="1">
        <v>2.2332000000000001</v>
      </c>
      <c r="G34" s="1">
        <v>691.69</v>
      </c>
      <c r="H34" s="1">
        <v>586.33000000000004</v>
      </c>
      <c r="I34" s="1">
        <v>215.95</v>
      </c>
      <c r="J34" s="1">
        <v>304.91000000000003</v>
      </c>
      <c r="K34" s="1">
        <v>325.52999999999997</v>
      </c>
      <c r="L34" s="1">
        <v>222.46</v>
      </c>
      <c r="M34" s="1">
        <v>471.63</v>
      </c>
      <c r="N34" s="1">
        <v>425.19</v>
      </c>
      <c r="O34" s="1">
        <v>136.34</v>
      </c>
      <c r="P34" s="1">
        <v>553.29</v>
      </c>
      <c r="Q34" s="1">
        <v>416.93</v>
      </c>
      <c r="R34" s="1">
        <v>139.01</v>
      </c>
      <c r="S34" s="1">
        <v>107.22</v>
      </c>
      <c r="T34" s="1">
        <v>393.19</v>
      </c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760</v>
      </c>
      <c r="W35" s="78">
        <f>SUM(W4:W34)</f>
        <v>2085</v>
      </c>
      <c r="X35" s="78">
        <f>SUM(X4:X34)</f>
        <v>5947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16" activePane="bottomRight" state="frozen"/>
      <selection pane="topRight" activeCell="C1" sqref="C1"/>
      <selection pane="bottomLeft" activeCell="A4" sqref="A4"/>
      <selection pane="bottomRight" activeCell="L37" sqref="L37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0" t="s">
        <v>32</v>
      </c>
      <c r="B2" s="112" t="s">
        <v>33</v>
      </c>
      <c r="C2" s="112" t="s">
        <v>34</v>
      </c>
      <c r="D2" s="112" t="s">
        <v>120</v>
      </c>
      <c r="E2" s="120" t="s">
        <v>35</v>
      </c>
      <c r="F2" s="127" t="s">
        <v>36</v>
      </c>
      <c r="G2" s="128"/>
      <c r="H2" s="129"/>
      <c r="I2" s="130" t="s">
        <v>37</v>
      </c>
      <c r="J2" s="130" t="s">
        <v>38</v>
      </c>
      <c r="K2" s="130" t="s">
        <v>39</v>
      </c>
      <c r="L2" s="130" t="s">
        <v>40</v>
      </c>
      <c r="M2" s="131" t="s">
        <v>41</v>
      </c>
      <c r="N2" s="131"/>
      <c r="O2" s="131"/>
      <c r="P2" s="131"/>
      <c r="Q2" s="131"/>
      <c r="R2" s="131"/>
      <c r="S2" s="130" t="s">
        <v>42</v>
      </c>
      <c r="T2" s="130"/>
      <c r="U2" s="132" t="s">
        <v>43</v>
      </c>
      <c r="V2" s="130" t="s">
        <v>44</v>
      </c>
    </row>
    <row r="3" spans="1:22" x14ac:dyDescent="0.25">
      <c r="A3" s="121"/>
      <c r="B3" s="113"/>
      <c r="C3" s="113"/>
      <c r="D3" s="113"/>
      <c r="E3" s="121"/>
      <c r="F3" s="6" t="s">
        <v>28</v>
      </c>
      <c r="G3" s="6" t="s">
        <v>29</v>
      </c>
      <c r="H3" s="6" t="s">
        <v>30</v>
      </c>
      <c r="I3" s="130"/>
      <c r="J3" s="130"/>
      <c r="K3" s="130"/>
      <c r="L3" s="130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2"/>
      <c r="V3" s="130"/>
    </row>
    <row r="4" spans="1:22" x14ac:dyDescent="0.25">
      <c r="A4" s="3">
        <f>'Kwh Reading'!A4</f>
        <v>44287</v>
      </c>
      <c r="B4" s="26">
        <v>25520</v>
      </c>
      <c r="C4" s="4">
        <f>('Kwh Reading'!T5-'Kwh Reading'!T4)*1000</f>
        <v>540.00000000002046</v>
      </c>
      <c r="D4" s="2">
        <f>('Kwh Reading'!F5-'Kwh Reading'!F4)*1000000</f>
        <v>2600.0000000001578</v>
      </c>
      <c r="E4" s="2">
        <f>('Kwh Reading'!C5-'Kwh Reading'!C4)*1000</f>
        <v>250</v>
      </c>
      <c r="F4" s="2">
        <f>('Kwh Reading'!J5-'Kwh Reading'!J4)*1000</f>
        <v>329.99999999998408</v>
      </c>
      <c r="G4" s="2">
        <f>('Kwh Reading'!K5-'Kwh Reading'!K4)*1000</f>
        <v>439.99999999999773</v>
      </c>
      <c r="H4" s="2">
        <f>('Kwh Reading'!L5-'Kwh Reading'!L4)*1000</f>
        <v>270.00000000001023</v>
      </c>
      <c r="I4" s="2">
        <f>('Kwh Reading'!R5-'Kwh Reading'!R4)*1000</f>
        <v>310.00000000000227</v>
      </c>
      <c r="J4" s="2">
        <f>('Kwh Reading'!S5-'Kwh Reading'!S4)*1000</f>
        <v>159.99999999999659</v>
      </c>
      <c r="K4" s="2">
        <f>('Kwh Reading'!I5-'Kwh Reading'!I4)*1000</f>
        <v>260.00000000001933</v>
      </c>
      <c r="L4" s="2">
        <f>('Kwh Reading'!B5-'Kwh Reading'!B4)*1000</f>
        <v>1330.0000000000409</v>
      </c>
      <c r="M4" s="2">
        <f>('Kwh Reading'!M5-'Kwh Reading'!M4)*1000</f>
        <v>810.00000000000227</v>
      </c>
      <c r="N4" s="2">
        <f>('Kwh Reading'!H5-'Kwh Reading'!H4)*1000</f>
        <v>879.99999999999545</v>
      </c>
      <c r="O4" s="2">
        <f>('Kwh Reading'!P5-'Kwh Reading'!P4)*1000</f>
        <v>1109.9999999999</v>
      </c>
      <c r="P4" s="2">
        <f>('Kwh Reading'!G5-'Kwh Reading'!G4)*1000</f>
        <v>1019.9999999999818</v>
      </c>
      <c r="Q4" s="2">
        <f>('Kwh Reading'!Q5-'Kwh Reading'!Q4)*1000</f>
        <v>750</v>
      </c>
      <c r="R4" s="2">
        <f>('Kwh Reading'!N5-'Kwh Reading'!N4)*1000</f>
        <v>839.99999999997499</v>
      </c>
      <c r="S4" s="2">
        <f>'Kwh Reading'!E5-'Kwh Reading'!E4</f>
        <v>3832.3000000007451</v>
      </c>
      <c r="T4" s="2">
        <f>'Kwh Reading'!D5-'Kwh Reading'!D4</f>
        <v>2617.7400000002235</v>
      </c>
      <c r="U4" s="27">
        <f>('Kwh Reading'!O5-'Kwh Reading'!O4)*1000</f>
        <v>270.00000000001023</v>
      </c>
      <c r="V4" s="16">
        <f>B4-(SUM(C4:U4))</f>
        <v>6899.9599999989368</v>
      </c>
    </row>
    <row r="5" spans="1:22" x14ac:dyDescent="0.25">
      <c r="A5" s="3">
        <f>'Kwh Reading'!A5</f>
        <v>44288</v>
      </c>
      <c r="B5" s="26">
        <f>TOTAL!E3</f>
        <v>25880.00000000056</v>
      </c>
      <c r="C5" s="4">
        <f>('Kwh Reading'!T6-'Kwh Reading'!T5)*1000</f>
        <v>550.00000000001137</v>
      </c>
      <c r="D5" s="2">
        <f>('Kwh Reading'!F6-'Kwh Reading'!F5)*1000000</f>
        <v>2600.0000000001578</v>
      </c>
      <c r="E5" s="2">
        <f>('Kwh Reading'!C6-'Kwh Reading'!C5)*1000</f>
        <v>250</v>
      </c>
      <c r="F5" s="2">
        <f>('Kwh Reading'!J6-'Kwh Reading'!J5)*1000</f>
        <v>350.00000000002274</v>
      </c>
      <c r="G5" s="2">
        <f>('Kwh Reading'!K6-'Kwh Reading'!K5)*1000</f>
        <v>459.99999999997954</v>
      </c>
      <c r="H5" s="2">
        <f>('Kwh Reading'!L6-'Kwh Reading'!L5)*1000</f>
        <v>270.00000000001023</v>
      </c>
      <c r="I5" s="2">
        <f>('Kwh Reading'!R6-'Kwh Reading'!R5)*1000</f>
        <v>199.99999999998863</v>
      </c>
      <c r="J5" s="2">
        <f>('Kwh Reading'!S6-'Kwh Reading'!S5)*1000</f>
        <v>140.00000000000057</v>
      </c>
      <c r="K5" s="2">
        <f>('Kwh Reading'!I6-'Kwh Reading'!I5)*1000</f>
        <v>329.99999999998408</v>
      </c>
      <c r="L5" s="2">
        <f>('Kwh Reading'!B6-'Kwh Reading'!B5)*1000</f>
        <v>1379.9999999999955</v>
      </c>
      <c r="M5" s="2">
        <f>('Kwh Reading'!M6-'Kwh Reading'!M5)*1000</f>
        <v>800.00000000001137</v>
      </c>
      <c r="N5" s="2">
        <f>('Kwh Reading'!H6-'Kwh Reading'!H5)*1000</f>
        <v>940.00000000005457</v>
      </c>
      <c r="O5" s="2">
        <f>('Kwh Reading'!P6-'Kwh Reading'!P5)*1000</f>
        <v>1129.9999999999955</v>
      </c>
      <c r="P5" s="2">
        <f>('Kwh Reading'!G6-'Kwh Reading'!G5)*1000</f>
        <v>1050.0000000000682</v>
      </c>
      <c r="Q5" s="2">
        <f>('Kwh Reading'!Q6-'Kwh Reading'!Q5)*1000</f>
        <v>870.00000000000455</v>
      </c>
      <c r="R5" s="2">
        <f>('Kwh Reading'!N6-'Kwh Reading'!N5)*1000</f>
        <v>949.99999999998863</v>
      </c>
      <c r="S5" s="2">
        <f>'Kwh Reading'!E6-'Kwh Reading'!E5</f>
        <v>3980.8499999996275</v>
      </c>
      <c r="T5" s="2">
        <f>'Kwh Reading'!D6-'Kwh Reading'!D5</f>
        <v>2772.1500000003725</v>
      </c>
      <c r="U5" s="27">
        <f>('Kwh Reading'!O6-'Kwh Reading'!O5)*1000</f>
        <v>280.00000000000114</v>
      </c>
      <c r="V5" s="16">
        <f>B5-(SUM(C5:U5))</f>
        <v>6577.0000000002874</v>
      </c>
    </row>
    <row r="6" spans="1:22" x14ac:dyDescent="0.25">
      <c r="A6" s="3">
        <f>'Kwh Reading'!A6</f>
        <v>44289</v>
      </c>
      <c r="B6" s="26">
        <f>TOTAL!E4</f>
        <v>25549.999999999498</v>
      </c>
      <c r="C6" s="4">
        <f>('Kwh Reading'!T7-'Kwh Reading'!T6)*1000</f>
        <v>620.00000000000455</v>
      </c>
      <c r="D6" s="2">
        <f>('Kwh Reading'!F7-'Kwh Reading'!F6)*1000000</f>
        <v>2799.9999999996917</v>
      </c>
      <c r="E6" s="2">
        <f>('Kwh Reading'!C7-'Kwh Reading'!C6)*1000</f>
        <v>270.00000000001023</v>
      </c>
      <c r="F6" s="2">
        <f>('Kwh Reading'!J7-'Kwh Reading'!J6)*1000</f>
        <v>399.99999999997726</v>
      </c>
      <c r="G6" s="2">
        <f>('Kwh Reading'!K7-'Kwh Reading'!K6)*1000</f>
        <v>509.99999999999091</v>
      </c>
      <c r="H6" s="2">
        <f>('Kwh Reading'!L7-'Kwh Reading'!L6)*1000</f>
        <v>319.99999999999318</v>
      </c>
      <c r="I6" s="2">
        <f>('Kwh Reading'!R7-'Kwh Reading'!R6)*1000</f>
        <v>240.00000000000909</v>
      </c>
      <c r="J6" s="2">
        <f>('Kwh Reading'!S7-'Kwh Reading'!S6)*1000</f>
        <v>120.00000000000455</v>
      </c>
      <c r="K6" s="2">
        <f>('Kwh Reading'!I7-'Kwh Reading'!I6)*1000</f>
        <v>290.00000000002046</v>
      </c>
      <c r="L6" s="2">
        <f>('Kwh Reading'!B7-'Kwh Reading'!B6)*1000</f>
        <v>1350.0000000000227</v>
      </c>
      <c r="M6" s="2">
        <f>('Kwh Reading'!M7-'Kwh Reading'!M6)*1000</f>
        <v>759.99999999999091</v>
      </c>
      <c r="N6" s="2">
        <f>('Kwh Reading'!H7-'Kwh Reading'!H6)*1000</f>
        <v>929.99999999994998</v>
      </c>
      <c r="O6" s="2">
        <f>('Kwh Reading'!P7-'Kwh Reading'!P6)*1000</f>
        <v>1150.0000000000909</v>
      </c>
      <c r="P6" s="2">
        <f>('Kwh Reading'!G7-'Kwh Reading'!G6)*1000</f>
        <v>1009.9999999999909</v>
      </c>
      <c r="Q6" s="2">
        <f>('Kwh Reading'!Q7-'Kwh Reading'!Q6)*1000</f>
        <v>860.00000000001364</v>
      </c>
      <c r="R6" s="2">
        <f>('Kwh Reading'!N7-'Kwh Reading'!N6)*1000</f>
        <v>900.00000000003411</v>
      </c>
      <c r="S6" s="2">
        <f>'Kwh Reading'!E7-'Kwh Reading'!E6</f>
        <v>3842.0800000000745</v>
      </c>
      <c r="T6" s="2">
        <f>'Kwh Reading'!D7-'Kwh Reading'!D6</f>
        <v>2770.2099999999627</v>
      </c>
      <c r="U6" s="27">
        <f>('Kwh Reading'!O7-'Kwh Reading'!O6)*1000</f>
        <v>289.99999999999204</v>
      </c>
      <c r="V6" s="16">
        <f t="shared" ref="V6:V34" si="0">B6-(SUM(C6:U6))</f>
        <v>6117.7099999996717</v>
      </c>
    </row>
    <row r="7" spans="1:22" x14ac:dyDescent="0.25">
      <c r="A7" s="3">
        <f>'Kwh Reading'!A7</f>
        <v>44290</v>
      </c>
      <c r="B7" s="26">
        <f>TOTAL!E5</f>
        <v>26879.99999999988</v>
      </c>
      <c r="C7" s="4">
        <f>('Kwh Reading'!T8-'Kwh Reading'!T7)*1000</f>
        <v>569.99999999999318</v>
      </c>
      <c r="D7" s="2">
        <f>('Kwh Reading'!F8-'Kwh Reading'!F7)*1000000</f>
        <v>2499.9999999999468</v>
      </c>
      <c r="E7" s="2">
        <f>('Kwh Reading'!C8-'Kwh Reading'!C7)*1000</f>
        <v>219.99999999999886</v>
      </c>
      <c r="F7" s="2">
        <f>('Kwh Reading'!J8-'Kwh Reading'!J7)*1000</f>
        <v>350.00000000002274</v>
      </c>
      <c r="G7" s="2">
        <f>('Kwh Reading'!K8-'Kwh Reading'!K7)*1000</f>
        <v>410.00000000002501</v>
      </c>
      <c r="H7" s="2">
        <f>('Kwh Reading'!L8-'Kwh Reading'!L7)*1000</f>
        <v>269.99999999998181</v>
      </c>
      <c r="I7" s="2">
        <f>('Kwh Reading'!R8-'Kwh Reading'!R7)*1000</f>
        <v>319.99999999999318</v>
      </c>
      <c r="J7" s="2">
        <f>('Kwh Reading'!S8-'Kwh Reading'!S7)*1000</f>
        <v>140.00000000000057</v>
      </c>
      <c r="K7" s="2">
        <f>('Kwh Reading'!I8-'Kwh Reading'!I7)*1000</f>
        <v>310.00000000000227</v>
      </c>
      <c r="L7" s="2">
        <f>('Kwh Reading'!B8-'Kwh Reading'!B7)*1000</f>
        <v>1250</v>
      </c>
      <c r="M7" s="2">
        <f>('Kwh Reading'!M8-'Kwh Reading'!M7)*1000</f>
        <v>770.00000000003865</v>
      </c>
      <c r="N7" s="2">
        <f>('Kwh Reading'!H8-'Kwh Reading'!H7)*1000</f>
        <v>1040.0000000000773</v>
      </c>
      <c r="O7" s="2">
        <f>('Kwh Reading'!P8-'Kwh Reading'!P7)*1000</f>
        <v>1049.9999999999545</v>
      </c>
      <c r="P7" s="2">
        <f>('Kwh Reading'!G8-'Kwh Reading'!G7)*1000</f>
        <v>980.00000000001819</v>
      </c>
      <c r="Q7" s="2">
        <f>('Kwh Reading'!Q8-'Kwh Reading'!Q7)*1000</f>
        <v>879.99999999999545</v>
      </c>
      <c r="R7" s="2">
        <f>('Kwh Reading'!N8-'Kwh Reading'!N7)*1000</f>
        <v>889.99999999998636</v>
      </c>
      <c r="S7" s="2">
        <f>'Kwh Reading'!E8-'Kwh Reading'!E7</f>
        <v>3926.75</v>
      </c>
      <c r="T7" s="2">
        <f>'Kwh Reading'!D8-'Kwh Reading'!D7</f>
        <v>2864.4899999992922</v>
      </c>
      <c r="U7" s="27">
        <f>('Kwh Reading'!O8-'Kwh Reading'!O7)*1000</f>
        <v>240.00000000000909</v>
      </c>
      <c r="V7" s="16">
        <f t="shared" si="0"/>
        <v>7898.7600000005441</v>
      </c>
    </row>
    <row r="8" spans="1:22" x14ac:dyDescent="0.25">
      <c r="A8" s="3">
        <f>'Kwh Reading'!A8</f>
        <v>44291</v>
      </c>
      <c r="B8" s="26">
        <f>TOTAL!E6</f>
        <v>25849.999999999909</v>
      </c>
      <c r="C8" s="4">
        <f>('Kwh Reading'!T9-'Kwh Reading'!T8)*1000</f>
        <v>569.99999999999318</v>
      </c>
      <c r="D8" s="2">
        <f>('Kwh Reading'!F9-'Kwh Reading'!F8)*1000000</f>
        <v>2800.0000000001355</v>
      </c>
      <c r="E8" s="2">
        <f>('Kwh Reading'!C9-'Kwh Reading'!C8)*1000</f>
        <v>259.99999999999091</v>
      </c>
      <c r="F8" s="2">
        <f>('Kwh Reading'!J9-'Kwh Reading'!J8)*1000</f>
        <v>459.99999999997954</v>
      </c>
      <c r="G8" s="2">
        <f>('Kwh Reading'!K9-'Kwh Reading'!K8)*1000</f>
        <v>500</v>
      </c>
      <c r="H8" s="2">
        <f>('Kwh Reading'!L9-'Kwh Reading'!L8)*1000</f>
        <v>290.00000000002046</v>
      </c>
      <c r="I8" s="2">
        <f>('Kwh Reading'!R9-'Kwh Reading'!R8)*1000</f>
        <v>319.99999999999318</v>
      </c>
      <c r="J8" s="2">
        <f>('Kwh Reading'!S9-'Kwh Reading'!S8)*1000</f>
        <v>129.99999999999545</v>
      </c>
      <c r="K8" s="2">
        <f>('Kwh Reading'!I9-'Kwh Reading'!I8)*1000</f>
        <v>339.99999999997499</v>
      </c>
      <c r="L8" s="2">
        <f>('Kwh Reading'!B9-'Kwh Reading'!B8)*1000</f>
        <v>1360.0000000000136</v>
      </c>
      <c r="M8" s="2">
        <f>('Kwh Reading'!M9-'Kwh Reading'!M8)*1000</f>
        <v>810.00000000000227</v>
      </c>
      <c r="N8" s="2">
        <f>('Kwh Reading'!H9-'Kwh Reading'!H8)*1000</f>
        <v>1089.9999999999181</v>
      </c>
      <c r="O8" s="2">
        <f>('Kwh Reading'!P9-'Kwh Reading'!P8)*1000</f>
        <v>1159.9999999999682</v>
      </c>
      <c r="P8" s="2">
        <f>('Kwh Reading'!G9-'Kwh Reading'!G8)*1000</f>
        <v>1039.9999999999636</v>
      </c>
      <c r="Q8" s="2">
        <f>('Kwh Reading'!Q9-'Kwh Reading'!Q8)*1000</f>
        <v>840.00000000003183</v>
      </c>
      <c r="R8" s="2">
        <f>('Kwh Reading'!N9-'Kwh Reading'!N8)*1000</f>
        <v>959.99999999997954</v>
      </c>
      <c r="S8" s="2">
        <f>'Kwh Reading'!E9-'Kwh Reading'!E8</f>
        <v>4008.570000000298</v>
      </c>
      <c r="T8" s="2">
        <f>'Kwh Reading'!D9-'Kwh Reading'!D8</f>
        <v>2884.4000000003725</v>
      </c>
      <c r="U8" s="27">
        <f>('Kwh Reading'!O9-'Kwh Reading'!O8)*1000</f>
        <v>280.00000000000114</v>
      </c>
      <c r="V8" s="16">
        <f t="shared" si="0"/>
        <v>5747.0299999992749</v>
      </c>
    </row>
    <row r="9" spans="1:22" x14ac:dyDescent="0.25">
      <c r="A9" s="3">
        <f>'Kwh Reading'!A9</f>
        <v>44292</v>
      </c>
      <c r="B9" s="26">
        <f>TOTAL!E7</f>
        <v>25300.000000000637</v>
      </c>
      <c r="C9" s="4">
        <f>('Kwh Reading'!T10-'Kwh Reading'!T9)*1000</f>
        <v>569.99999999999318</v>
      </c>
      <c r="D9" s="2">
        <f>('Kwh Reading'!F10-'Kwh Reading'!F9)*1000000</f>
        <v>2499.9999999999468</v>
      </c>
      <c r="E9" s="2">
        <f>('Kwh Reading'!C10-'Kwh Reading'!C9)*1000</f>
        <v>240.00000000000909</v>
      </c>
      <c r="F9" s="2">
        <f>('Kwh Reading'!J10-'Kwh Reading'!J9)*1000</f>
        <v>319.99999999999318</v>
      </c>
      <c r="G9" s="2">
        <f>('Kwh Reading'!K10-'Kwh Reading'!K9)*1000</f>
        <v>379.99999999999545</v>
      </c>
      <c r="H9" s="2">
        <f>('Kwh Reading'!L10-'Kwh Reading'!L9)*1000</f>
        <v>239.99999999998067</v>
      </c>
      <c r="I9" s="2">
        <f>('Kwh Reading'!R10-'Kwh Reading'!R9)*1000</f>
        <v>330.00000000001251</v>
      </c>
      <c r="J9" s="2">
        <f>('Kwh Reading'!S10-'Kwh Reading'!S9)*1000</f>
        <v>120.00000000000455</v>
      </c>
      <c r="K9" s="2">
        <f>('Kwh Reading'!I10-'Kwh Reading'!I9)*1000</f>
        <v>310.00000000000227</v>
      </c>
      <c r="L9" s="2">
        <f>('Kwh Reading'!B10-'Kwh Reading'!B9)*1000</f>
        <v>1289.9999999999636</v>
      </c>
      <c r="M9" s="2">
        <f>('Kwh Reading'!M10-'Kwh Reading'!M9)*1000</f>
        <v>750</v>
      </c>
      <c r="N9" s="2">
        <f>('Kwh Reading'!H10-'Kwh Reading'!H9)*1000</f>
        <v>980.00000000001819</v>
      </c>
      <c r="O9" s="2">
        <f>('Kwh Reading'!P10-'Kwh Reading'!P9)*1000</f>
        <v>990.00000000000909</v>
      </c>
      <c r="P9" s="2">
        <f>('Kwh Reading'!G10-'Kwh Reading'!G9)*1000</f>
        <v>889.99999999998636</v>
      </c>
      <c r="Q9" s="2">
        <f>('Kwh Reading'!Q10-'Kwh Reading'!Q9)*1000</f>
        <v>789.99999999996362</v>
      </c>
      <c r="R9" s="2">
        <f>('Kwh Reading'!N10-'Kwh Reading'!N9)*1000</f>
        <v>810.00000000000227</v>
      </c>
      <c r="S9" s="2">
        <f>'Kwh Reading'!E10-'Kwh Reading'!E9</f>
        <v>3455.8299999991432</v>
      </c>
      <c r="T9" s="2">
        <f>'Kwh Reading'!D10-'Kwh Reading'!D9</f>
        <v>2344.0499999998137</v>
      </c>
      <c r="U9" s="27">
        <f>('Kwh Reading'!O10-'Kwh Reading'!O9)*1000</f>
        <v>229.99999999998977</v>
      </c>
      <c r="V9" s="16">
        <f t="shared" si="0"/>
        <v>7760.1200000018071</v>
      </c>
    </row>
    <row r="10" spans="1:22" x14ac:dyDescent="0.25">
      <c r="A10" s="3">
        <f>'Kwh Reading'!A10</f>
        <v>44293</v>
      </c>
      <c r="B10" s="26">
        <f>TOTAL!E8</f>
        <v>24729.999999999793</v>
      </c>
      <c r="C10" s="4">
        <f>('Kwh Reading'!T11-'Kwh Reading'!T10)*1000</f>
        <v>529.99999999997272</v>
      </c>
      <c r="D10" s="2">
        <f>('Kwh Reading'!F11-'Kwh Reading'!F10)*1000000</f>
        <v>2499.9999999999468</v>
      </c>
      <c r="E10" s="2">
        <f>('Kwh Reading'!C11-'Kwh Reading'!C10)*1000</f>
        <v>229.99999999998977</v>
      </c>
      <c r="F10" s="2">
        <f>('Kwh Reading'!J11-'Kwh Reading'!J10)*1000</f>
        <v>350.00000000002274</v>
      </c>
      <c r="G10" s="2">
        <f>('Kwh Reading'!K11-'Kwh Reading'!K10)*1000</f>
        <v>410.00000000002501</v>
      </c>
      <c r="H10" s="2">
        <f>('Kwh Reading'!L11-'Kwh Reading'!L10)*1000</f>
        <v>250</v>
      </c>
      <c r="I10" s="2">
        <f>('Kwh Reading'!R11-'Kwh Reading'!R10)*1000</f>
        <v>299.99999999998295</v>
      </c>
      <c r="J10" s="2">
        <f>('Kwh Reading'!S11-'Kwh Reading'!S10)*1000</f>
        <v>129.99999999999545</v>
      </c>
      <c r="K10" s="2">
        <f>('Kwh Reading'!I11-'Kwh Reading'!I10)*1000</f>
        <v>320.0000000000216</v>
      </c>
      <c r="L10" s="2">
        <f>('Kwh Reading'!B11-'Kwh Reading'!B10)*1000</f>
        <v>1360.0000000000136</v>
      </c>
      <c r="M10" s="2">
        <f>('Kwh Reading'!M11-'Kwh Reading'!M10)*1000</f>
        <v>839.99999999997499</v>
      </c>
      <c r="N10" s="2">
        <f>('Kwh Reading'!H11-'Kwh Reading'!H10)*1000</f>
        <v>1080.0000000000409</v>
      </c>
      <c r="O10" s="2">
        <f>('Kwh Reading'!P11-'Kwh Reading'!P10)*1000</f>
        <v>940.00000000005457</v>
      </c>
      <c r="P10" s="2">
        <f>('Kwh Reading'!G11-'Kwh Reading'!G10)*1000</f>
        <v>919.99999999995907</v>
      </c>
      <c r="Q10" s="2">
        <f>('Kwh Reading'!Q11-'Kwh Reading'!Q10)*1000</f>
        <v>920.00000000001592</v>
      </c>
      <c r="R10" s="2">
        <f>('Kwh Reading'!N11-'Kwh Reading'!N10)*1000</f>
        <v>680.00000000000682</v>
      </c>
      <c r="S10" s="34">
        <f>'Kwh Reading'!E11-'Kwh Reading'!E10</f>
        <v>3530.2200000006706</v>
      </c>
      <c r="T10" s="34">
        <f>'Kwh Reading'!D11-'Kwh Reading'!D10</f>
        <v>2620.140000000596</v>
      </c>
      <c r="U10" s="27">
        <f>('Kwh Reading'!O11-'Kwh Reading'!O10)*1000</f>
        <v>260.00000000001933</v>
      </c>
      <c r="V10" s="16">
        <f t="shared" si="0"/>
        <v>6559.639999998486</v>
      </c>
    </row>
    <row r="11" spans="1:22" x14ac:dyDescent="0.25">
      <c r="A11" s="3">
        <f>'Kwh Reading'!A11</f>
        <v>44294</v>
      </c>
      <c r="B11" s="26">
        <f>TOTAL!E9</f>
        <v>24889.999999999192</v>
      </c>
      <c r="C11" s="4">
        <f>('Kwh Reading'!T12-'Kwh Reading'!T11)*1000</f>
        <v>550.00000000001137</v>
      </c>
      <c r="D11" s="2">
        <f>('Kwh Reading'!F12-'Kwh Reading'!F11)*1000000</f>
        <v>2600.0000000001578</v>
      </c>
      <c r="E11" s="2">
        <f>('Kwh Reading'!C12-'Kwh Reading'!C11)*1000</f>
        <v>240.00000000000909</v>
      </c>
      <c r="F11" s="2">
        <f>('Kwh Reading'!J12-'Kwh Reading'!J11)*1000</f>
        <v>290.00000000002046</v>
      </c>
      <c r="G11" s="2">
        <f>('Kwh Reading'!K12-'Kwh Reading'!K11)*1000</f>
        <v>399.99999999997726</v>
      </c>
      <c r="H11" s="2">
        <f>('Kwh Reading'!L12-'Kwh Reading'!L11)*1000</f>
        <v>210.00000000000796</v>
      </c>
      <c r="I11" s="2">
        <f>('Kwh Reading'!R12-'Kwh Reading'!R11)*1000</f>
        <v>330.00000000001251</v>
      </c>
      <c r="J11" s="2">
        <f>('Kwh Reading'!S12-'Kwh Reading'!S11)*1000</f>
        <v>120.00000000000455</v>
      </c>
      <c r="K11" s="2">
        <f>('Kwh Reading'!I12-'Kwh Reading'!I11)*1000</f>
        <v>309.99999999997385</v>
      </c>
      <c r="L11" s="2">
        <f>('Kwh Reading'!B12-'Kwh Reading'!B11)*1000</f>
        <v>1370.0000000000045</v>
      </c>
      <c r="M11" s="2">
        <f>('Kwh Reading'!M12-'Kwh Reading'!M11)*1000</f>
        <v>910.00000000002501</v>
      </c>
      <c r="N11" s="2">
        <f>('Kwh Reading'!H12-'Kwh Reading'!H11)*1000</f>
        <v>1069.9999999999363</v>
      </c>
      <c r="O11" s="2">
        <f>('Kwh Reading'!P12-'Kwh Reading'!P11)*1000</f>
        <v>1039.9999999999636</v>
      </c>
      <c r="P11" s="2">
        <f>('Kwh Reading'!G12-'Kwh Reading'!G11)*1000</f>
        <v>950.00000000004547</v>
      </c>
      <c r="Q11" s="2">
        <f>('Kwh Reading'!Q12-'Kwh Reading'!Q11)*1000</f>
        <v>949.99999999998863</v>
      </c>
      <c r="R11" s="2">
        <f>('Kwh Reading'!N12-'Kwh Reading'!N11)*1000</f>
        <v>670.00000000001592</v>
      </c>
      <c r="S11" s="34">
        <f>'Kwh Reading'!E12-'Kwh Reading'!E11</f>
        <v>3529.089999999851</v>
      </c>
      <c r="T11" s="34">
        <f>'Kwh Reading'!D12-'Kwh Reading'!D11</f>
        <v>2702.929999999702</v>
      </c>
      <c r="U11" s="27">
        <f>('Kwh Reading'!O12-'Kwh Reading'!O11)*1000</f>
        <v>310.00000000000227</v>
      </c>
      <c r="V11" s="16">
        <f t="shared" si="0"/>
        <v>6337.979999999483</v>
      </c>
    </row>
    <row r="12" spans="1:22" x14ac:dyDescent="0.25">
      <c r="A12" s="3">
        <f>'Kwh Reading'!A12</f>
        <v>44295</v>
      </c>
      <c r="B12" s="26">
        <f>TOTAL!E10</f>
        <v>22380.000000000793</v>
      </c>
      <c r="C12" s="4">
        <f>('Kwh Reading'!T13-'Kwh Reading'!T12)*1000</f>
        <v>259.99999999999091</v>
      </c>
      <c r="D12" s="2">
        <f>('Kwh Reading'!F13-'Kwh Reading'!F12)*1000000</f>
        <v>2499.9999999999468</v>
      </c>
      <c r="E12" s="2">
        <f>('Kwh Reading'!C13-'Kwh Reading'!C12)*1000</f>
        <v>229.99999999998977</v>
      </c>
      <c r="F12" s="2">
        <f>('Kwh Reading'!J13-'Kwh Reading'!J12)*1000</f>
        <v>329.99999999998408</v>
      </c>
      <c r="G12" s="2">
        <f>('Kwh Reading'!K13-'Kwh Reading'!K12)*1000</f>
        <v>319.99999999999318</v>
      </c>
      <c r="H12" s="2">
        <f>('Kwh Reading'!L13-'Kwh Reading'!L12)*1000</f>
        <v>230.00000000001819</v>
      </c>
      <c r="I12" s="2">
        <f>('Kwh Reading'!R13-'Kwh Reading'!R12)*1000</f>
        <v>329.99999999998408</v>
      </c>
      <c r="J12" s="2">
        <f>('Kwh Reading'!S13-'Kwh Reading'!S12)*1000</f>
        <v>129.99999999999545</v>
      </c>
      <c r="K12" s="2">
        <f>('Kwh Reading'!I13-'Kwh Reading'!I12)*1000</f>
        <v>330.00000000001251</v>
      </c>
      <c r="L12" s="2">
        <f>('Kwh Reading'!B13-'Kwh Reading'!B12)*1000</f>
        <v>1349.9999999999091</v>
      </c>
      <c r="M12" s="2">
        <f>('Kwh Reading'!M13-'Kwh Reading'!M12)*1000</f>
        <v>879.99999999999545</v>
      </c>
      <c r="N12" s="2">
        <f>('Kwh Reading'!H13-'Kwh Reading'!H12)*1000</f>
        <v>950.00000000004547</v>
      </c>
      <c r="O12" s="2">
        <f>('Kwh Reading'!P13-'Kwh Reading'!P12)*1000</f>
        <v>919.99999999995907</v>
      </c>
      <c r="P12" s="2">
        <f>('Kwh Reading'!G13-'Kwh Reading'!G12)*1000</f>
        <v>870.00000000000455</v>
      </c>
      <c r="Q12" s="2">
        <f>('Kwh Reading'!Q13-'Kwh Reading'!Q12)*1000</f>
        <v>709.99999999997954</v>
      </c>
      <c r="R12" s="2">
        <f>('Kwh Reading'!N13-'Kwh Reading'!N12)*1000</f>
        <v>589.99999999997499</v>
      </c>
      <c r="S12" s="34">
        <f>'Kwh Reading'!E13-'Kwh Reading'!E12</f>
        <v>2773.9199999999255</v>
      </c>
      <c r="T12" s="34">
        <f>'Kwh Reading'!D13-'Kwh Reading'!D12</f>
        <v>2435.679999999702</v>
      </c>
      <c r="U12" s="27">
        <f>('Kwh Reading'!O13-'Kwh Reading'!O12)*1000</f>
        <v>269.99999999998181</v>
      </c>
      <c r="V12" s="16">
        <f t="shared" si="0"/>
        <v>5970.4000000013984</v>
      </c>
    </row>
    <row r="13" spans="1:22" x14ac:dyDescent="0.25">
      <c r="A13" s="3">
        <f>'Kwh Reading'!A13</f>
        <v>44296</v>
      </c>
      <c r="B13" s="26">
        <f>TOTAL!E11</f>
        <v>24859.999999999218</v>
      </c>
      <c r="C13" s="4">
        <f>('Kwh Reading'!T14-'Kwh Reading'!T13)*1000</f>
        <v>540.00000000002046</v>
      </c>
      <c r="D13" s="2">
        <f>('Kwh Reading'!F14-'Kwh Reading'!F13)*1000000</f>
        <v>2499.9999999999468</v>
      </c>
      <c r="E13" s="2">
        <f>('Kwh Reading'!C14-'Kwh Reading'!C13)*1000</f>
        <v>230.00000000001819</v>
      </c>
      <c r="F13" s="2">
        <f>('Kwh Reading'!J14-'Kwh Reading'!J13)*1000</f>
        <v>329.99999999998408</v>
      </c>
      <c r="G13" s="2">
        <f>('Kwh Reading'!K14-'Kwh Reading'!K13)*1000</f>
        <v>379.99999999999545</v>
      </c>
      <c r="H13" s="2">
        <f>('Kwh Reading'!L14-'Kwh Reading'!L13)*1000</f>
        <v>250</v>
      </c>
      <c r="I13" s="2">
        <f>('Kwh Reading'!R14-'Kwh Reading'!R13)*1000</f>
        <v>330.00000000001251</v>
      </c>
      <c r="J13" s="2">
        <f>('Kwh Reading'!S14-'Kwh Reading'!S13)*1000</f>
        <v>130.00000000000966</v>
      </c>
      <c r="K13" s="2">
        <f>('Kwh Reading'!I14-'Kwh Reading'!I13)*1000</f>
        <v>349.99999999999432</v>
      </c>
      <c r="L13" s="2">
        <f>('Kwh Reading'!B14-'Kwh Reading'!B13)*1000</f>
        <v>1460.0000000000364</v>
      </c>
      <c r="M13" s="2">
        <f>('Kwh Reading'!M14-'Kwh Reading'!M13)*1000</f>
        <v>919.99999999995907</v>
      </c>
      <c r="N13" s="2">
        <f>('Kwh Reading'!H14-'Kwh Reading'!H13)*1000</f>
        <v>1080.0000000000409</v>
      </c>
      <c r="O13" s="2">
        <f>('Kwh Reading'!P14-'Kwh Reading'!P13)*1000</f>
        <v>990.00000000000909</v>
      </c>
      <c r="P13" s="2">
        <f>('Kwh Reading'!G14-'Kwh Reading'!G13)*1000</f>
        <v>1039.9999999999636</v>
      </c>
      <c r="Q13" s="2">
        <f>('Kwh Reading'!Q14-'Kwh Reading'!Q13)*1000</f>
        <v>760.00000000004775</v>
      </c>
      <c r="R13" s="2">
        <f>('Kwh Reading'!N14-'Kwh Reading'!N13)*1000</f>
        <v>800.00000000001137</v>
      </c>
      <c r="S13" s="34">
        <f>'Kwh Reading'!E14-'Kwh Reading'!E13</f>
        <v>3358.8499999996275</v>
      </c>
      <c r="T13" s="34">
        <f>'Kwh Reading'!D14-'Kwh Reading'!D13</f>
        <v>2500.6900000004098</v>
      </c>
      <c r="U13" s="27">
        <f>('Kwh Reading'!O14-'Kwh Reading'!O13)*1000</f>
        <v>270.00000000001023</v>
      </c>
      <c r="V13" s="16">
        <f t="shared" si="0"/>
        <v>6640.4599999991187</v>
      </c>
    </row>
    <row r="14" spans="1:22" x14ac:dyDescent="0.25">
      <c r="A14" s="3">
        <f>'Kwh Reading'!A14</f>
        <v>44297</v>
      </c>
      <c r="B14" s="26">
        <f>TOTAL!E12</f>
        <v>23700.000000000953</v>
      </c>
      <c r="C14" s="4">
        <f>('Kwh Reading'!T15-'Kwh Reading'!T14)*1000</f>
        <v>480.00000000001819</v>
      </c>
      <c r="D14" s="2">
        <f>('Kwh Reading'!F15-'Kwh Reading'!F14)*1000000</f>
        <v>2299.9999999999686</v>
      </c>
      <c r="E14" s="2">
        <f>('Kwh Reading'!C15-'Kwh Reading'!C14)*1000</f>
        <v>199.99999999998863</v>
      </c>
      <c r="F14" s="2">
        <f>('Kwh Reading'!J15-'Kwh Reading'!J14)*1000</f>
        <v>250</v>
      </c>
      <c r="G14" s="2">
        <f>('Kwh Reading'!K15-'Kwh Reading'!K14)*1000</f>
        <v>270.00000000003865</v>
      </c>
      <c r="H14" s="2">
        <f>('Kwh Reading'!L15-'Kwh Reading'!L14)*1000</f>
        <v>179.9999999999784</v>
      </c>
      <c r="I14" s="2">
        <f>('Kwh Reading'!R15-'Kwh Reading'!R14)*1000</f>
        <v>280.00000000000114</v>
      </c>
      <c r="J14" s="2">
        <f>('Kwh Reading'!S15-'Kwh Reading'!S14)*1000</f>
        <v>129.99999999999545</v>
      </c>
      <c r="K14" s="2">
        <f>('Kwh Reading'!I15-'Kwh Reading'!I14)*1000</f>
        <v>340.00000000000341</v>
      </c>
      <c r="L14" s="2">
        <f>('Kwh Reading'!B15-'Kwh Reading'!B14)*1000</f>
        <v>1330.0000000000409</v>
      </c>
      <c r="M14" s="2">
        <f>('Kwh Reading'!M15-'Kwh Reading'!M14)*1000</f>
        <v>850.00000000002274</v>
      </c>
      <c r="N14" s="2">
        <f>('Kwh Reading'!H15-'Kwh Reading'!H14)*1000</f>
        <v>949.99999999993179</v>
      </c>
      <c r="O14" s="2">
        <f>('Kwh Reading'!P15-'Kwh Reading'!P14)*1000</f>
        <v>850.00000000002274</v>
      </c>
      <c r="P14" s="2">
        <f>('Kwh Reading'!G15-'Kwh Reading'!G14)*1000</f>
        <v>990.00000000000909</v>
      </c>
      <c r="Q14" s="2">
        <f>('Kwh Reading'!Q15-'Kwh Reading'!Q14)*1000</f>
        <v>750</v>
      </c>
      <c r="R14" s="2">
        <f>('Kwh Reading'!N15-'Kwh Reading'!N14)*1000</f>
        <v>870.00000000000455</v>
      </c>
      <c r="S14" s="34">
        <f>'Kwh Reading'!E15-'Kwh Reading'!E14</f>
        <v>2899.5600000005215</v>
      </c>
      <c r="T14" s="34">
        <f>'Kwh Reading'!D15-'Kwh Reading'!D14</f>
        <v>2422.4500000001863</v>
      </c>
      <c r="U14" s="27">
        <f>('Kwh Reading'!O15-'Kwh Reading'!O14)*1000</f>
        <v>240.00000000000909</v>
      </c>
      <c r="V14" s="16">
        <f t="shared" si="0"/>
        <v>7117.990000000209</v>
      </c>
    </row>
    <row r="15" spans="1:22" x14ac:dyDescent="0.25">
      <c r="A15" s="3">
        <f>'Kwh Reading'!A15</f>
        <v>44298</v>
      </c>
      <c r="B15" s="26">
        <f>TOTAL!E13</f>
        <v>23129.999999999884</v>
      </c>
      <c r="C15" s="4">
        <f>('Kwh Reading'!T16-'Kwh Reading'!T15)*1000</f>
        <v>500</v>
      </c>
      <c r="D15" s="2">
        <f>('Kwh Reading'!F16-'Kwh Reading'!F15)*1000000</f>
        <v>2499.9999999999468</v>
      </c>
      <c r="E15" s="2">
        <f>('Kwh Reading'!C16-'Kwh Reading'!C15)*1000</f>
        <v>229.99999999998977</v>
      </c>
      <c r="F15" s="2">
        <f>('Kwh Reading'!J16-'Kwh Reading'!J15)*1000</f>
        <v>250</v>
      </c>
      <c r="G15" s="2">
        <f>('Kwh Reading'!K16-'Kwh Reading'!K15)*1000</f>
        <v>349.99999999996589</v>
      </c>
      <c r="H15" s="2">
        <f>('Kwh Reading'!L16-'Kwh Reading'!L15)*1000</f>
        <v>200.00000000001705</v>
      </c>
      <c r="I15" s="2">
        <f>('Kwh Reading'!R16-'Kwh Reading'!R15)*1000</f>
        <v>300.00000000001137</v>
      </c>
      <c r="J15" s="2">
        <f>('Kwh Reading'!S16-'Kwh Reading'!S15)*1000</f>
        <v>129.99999999999545</v>
      </c>
      <c r="K15" s="2">
        <f>('Kwh Reading'!I16-'Kwh Reading'!I15)*1000</f>
        <v>370.00000000000455</v>
      </c>
      <c r="L15" s="2">
        <f>('Kwh Reading'!B16-'Kwh Reading'!B15)*1000</f>
        <v>1389.9999999999864</v>
      </c>
      <c r="M15" s="2">
        <f>('Kwh Reading'!M16-'Kwh Reading'!M15)*1000</f>
        <v>769.99999999998181</v>
      </c>
      <c r="N15" s="2">
        <f>('Kwh Reading'!H16-'Kwh Reading'!H15)*1000</f>
        <v>940.00000000005457</v>
      </c>
      <c r="O15" s="2">
        <f>('Kwh Reading'!P16-'Kwh Reading'!P15)*1000</f>
        <v>950.00000000004547</v>
      </c>
      <c r="P15" s="2">
        <f>('Kwh Reading'!G16-'Kwh Reading'!G15)*1000</f>
        <v>950.00000000004547</v>
      </c>
      <c r="Q15" s="2">
        <f>('Kwh Reading'!Q16-'Kwh Reading'!Q15)*1000</f>
        <v>769.99999999998181</v>
      </c>
      <c r="R15" s="2">
        <f>('Kwh Reading'!N16-'Kwh Reading'!N15)*1000</f>
        <v>980.00000000001819</v>
      </c>
      <c r="S15" s="34">
        <f>'Kwh Reading'!E16-'Kwh Reading'!E15</f>
        <v>3020.2199999997392</v>
      </c>
      <c r="T15" s="34">
        <f>'Kwh Reading'!D16-'Kwh Reading'!D15</f>
        <v>2501.1199999991804</v>
      </c>
      <c r="U15" s="27">
        <f>('Kwh Reading'!O16-'Kwh Reading'!O15)*1000</f>
        <v>239.99999999998067</v>
      </c>
      <c r="V15" s="16">
        <f t="shared" si="0"/>
        <v>5788.6600000009385</v>
      </c>
    </row>
    <row r="16" spans="1:22" x14ac:dyDescent="0.25">
      <c r="A16" s="3">
        <f>'Kwh Reading'!A16</f>
        <v>44299</v>
      </c>
      <c r="B16" s="26">
        <f>TOTAL!E14</f>
        <v>24079.999999999698</v>
      </c>
      <c r="C16" s="4">
        <f>('Kwh Reading'!T17-'Kwh Reading'!T16)*1000</f>
        <v>490.00000000000909</v>
      </c>
      <c r="D16" s="2">
        <f>('Kwh Reading'!F17-'Kwh Reading'!F16)*1000000</f>
        <v>2200.0000000002019</v>
      </c>
      <c r="E16" s="2">
        <f>('Kwh Reading'!C17-'Kwh Reading'!C16)*1000</f>
        <v>240.00000000000909</v>
      </c>
      <c r="F16" s="2">
        <f>('Kwh Reading'!J17-'Kwh Reading'!J16)*1000</f>
        <v>160.00000000002501</v>
      </c>
      <c r="G16" s="2">
        <f>('Kwh Reading'!K17-'Kwh Reading'!K16)*1000</f>
        <v>280.00000000002956</v>
      </c>
      <c r="H16" s="2">
        <f>('Kwh Reading'!L17-'Kwh Reading'!L16)*1000</f>
        <v>179.9999999999784</v>
      </c>
      <c r="I16" s="2">
        <f>('Kwh Reading'!R17-'Kwh Reading'!R16)*1000</f>
        <v>250</v>
      </c>
      <c r="J16" s="2">
        <f>('Kwh Reading'!S17-'Kwh Reading'!S16)*1000</f>
        <v>140.00000000000057</v>
      </c>
      <c r="K16" s="2">
        <f>('Kwh Reading'!I17-'Kwh Reading'!I16)*1000</f>
        <v>330.00000000001251</v>
      </c>
      <c r="L16" s="2">
        <f>('Kwh Reading'!B17-'Kwh Reading'!B16)*1000</f>
        <v>1340.0000000000318</v>
      </c>
      <c r="M16" s="2">
        <f>('Kwh Reading'!M17-'Kwh Reading'!M16)*1000</f>
        <v>790.00000000002046</v>
      </c>
      <c r="N16" s="2">
        <f>('Kwh Reading'!H17-'Kwh Reading'!H16)*1000</f>
        <v>949.99999999993179</v>
      </c>
      <c r="O16" s="2">
        <f>('Kwh Reading'!P17-'Kwh Reading'!P16)*1000</f>
        <v>909.99999999996817</v>
      </c>
      <c r="P16" s="2">
        <f>('Kwh Reading'!G17-'Kwh Reading'!G16)*1000</f>
        <v>860.00000000001364</v>
      </c>
      <c r="Q16" s="2">
        <f>('Kwh Reading'!Q17-'Kwh Reading'!Q16)*1000</f>
        <v>719.99999999997044</v>
      </c>
      <c r="R16" s="2">
        <f>('Kwh Reading'!N17-'Kwh Reading'!N16)*1000</f>
        <v>879.99999999999545</v>
      </c>
      <c r="S16" s="34">
        <f>'Kwh Reading'!E17-'Kwh Reading'!E16</f>
        <v>3097.839999999851</v>
      </c>
      <c r="T16" s="34">
        <f>'Kwh Reading'!D17-'Kwh Reading'!D16</f>
        <v>2289.8400000007823</v>
      </c>
      <c r="U16" s="27">
        <f>('Kwh Reading'!O17-'Kwh Reading'!O16)*1000</f>
        <v>219.99999999999886</v>
      </c>
      <c r="V16" s="16">
        <f t="shared" si="0"/>
        <v>7752.3199999988665</v>
      </c>
    </row>
    <row r="17" spans="1:22" x14ac:dyDescent="0.25">
      <c r="A17" s="3">
        <f>'Kwh Reading'!A17</f>
        <v>44300</v>
      </c>
      <c r="B17" s="26">
        <f>TOTAL!E15</f>
        <v>23059.999999999265</v>
      </c>
      <c r="C17" s="4">
        <f>('Kwh Reading'!T18-'Kwh Reading'!T17)*1000</f>
        <v>469.99999999997044</v>
      </c>
      <c r="D17" s="2">
        <f>('Kwh Reading'!F18-'Kwh Reading'!F17)*1000000</f>
        <v>2499.9999999999468</v>
      </c>
      <c r="E17" s="2">
        <f>('Kwh Reading'!C18-'Kwh Reading'!C17)*1000</f>
        <v>210.00000000000796</v>
      </c>
      <c r="F17" s="2">
        <f>('Kwh Reading'!J18-'Kwh Reading'!J17)*1000</f>
        <v>259.99999999999091</v>
      </c>
      <c r="G17" s="2">
        <f>('Kwh Reading'!K18-'Kwh Reading'!K17)*1000</f>
        <v>279.99999999997272</v>
      </c>
      <c r="H17" s="2">
        <f>('Kwh Reading'!L18-'Kwh Reading'!L17)*1000</f>
        <v>170.00000000001592</v>
      </c>
      <c r="I17" s="2">
        <f>('Kwh Reading'!R18-'Kwh Reading'!R17)*1000</f>
        <v>209.99999999997954</v>
      </c>
      <c r="J17" s="2">
        <f>('Kwh Reading'!S18-'Kwh Reading'!S17)*1000</f>
        <v>90.000000000003411</v>
      </c>
      <c r="K17" s="2">
        <f>('Kwh Reading'!I18-'Kwh Reading'!I17)*1000</f>
        <v>369.99999999997613</v>
      </c>
      <c r="L17" s="2">
        <f>('Kwh Reading'!B18-'Kwh Reading'!B17)*1000</f>
        <v>1399.9999999999773</v>
      </c>
      <c r="M17" s="2">
        <f>('Kwh Reading'!M18-'Kwh Reading'!M17)*1000</f>
        <v>879.99999999999545</v>
      </c>
      <c r="N17" s="2">
        <f>('Kwh Reading'!H18-'Kwh Reading'!H17)*1000</f>
        <v>980.00000000001819</v>
      </c>
      <c r="O17" s="2">
        <f>('Kwh Reading'!P18-'Kwh Reading'!P17)*1000</f>
        <v>940.00000000005457</v>
      </c>
      <c r="P17" s="2">
        <f>('Kwh Reading'!G18-'Kwh Reading'!G17)*1000</f>
        <v>949.99999999993179</v>
      </c>
      <c r="Q17" s="2">
        <f>('Kwh Reading'!Q18-'Kwh Reading'!Q17)*1000</f>
        <v>740.00000000000909</v>
      </c>
      <c r="R17" s="2">
        <f>('Kwh Reading'!N18-'Kwh Reading'!N17)*1000</f>
        <v>899.99999999997726</v>
      </c>
      <c r="S17" s="34">
        <f>'Kwh Reading'!E18-'Kwh Reading'!E17</f>
        <v>3744.2800000002608</v>
      </c>
      <c r="T17" s="34">
        <f>'Kwh Reading'!D18-'Kwh Reading'!D17</f>
        <v>2304.179999999702</v>
      </c>
      <c r="U17" s="27">
        <f>('Kwh Reading'!O18-'Kwh Reading'!O17)*1000</f>
        <v>250</v>
      </c>
      <c r="V17" s="16">
        <f t="shared" si="0"/>
        <v>5411.539999999477</v>
      </c>
    </row>
    <row r="18" spans="1:22" x14ac:dyDescent="0.25">
      <c r="A18" s="3">
        <f>'Kwh Reading'!A18</f>
        <v>44301</v>
      </c>
      <c r="B18" s="26">
        <f>TOTAL!E16</f>
        <v>23770.000000000211</v>
      </c>
      <c r="C18" s="4">
        <f>('Kwh Reading'!T19-'Kwh Reading'!T18)*1000</f>
        <v>459.99999999997954</v>
      </c>
      <c r="D18" s="2">
        <f>('Kwh Reading'!F19-'Kwh Reading'!F18)*1000000</f>
        <v>2400.0000000001796</v>
      </c>
      <c r="E18" s="2">
        <f>('Kwh Reading'!C19-'Kwh Reading'!C18)*1000</f>
        <v>180.00000000000682</v>
      </c>
      <c r="F18" s="2">
        <f>('Kwh Reading'!J19-'Kwh Reading'!J18)*1000</f>
        <v>170.00000000001592</v>
      </c>
      <c r="G18" s="2">
        <f>('Kwh Reading'!K19-'Kwh Reading'!K18)*1000</f>
        <v>259.99999999999091</v>
      </c>
      <c r="H18" s="2">
        <f>('Kwh Reading'!L19-'Kwh Reading'!L18)*1000</f>
        <v>169.99999999998749</v>
      </c>
      <c r="I18" s="2">
        <f>('Kwh Reading'!R19-'Kwh Reading'!R18)*1000</f>
        <v>240.00000000000909</v>
      </c>
      <c r="J18" s="2">
        <f>('Kwh Reading'!S19-'Kwh Reading'!S18)*1000</f>
        <v>140.00000000000057</v>
      </c>
      <c r="K18" s="2">
        <f>('Kwh Reading'!I19-'Kwh Reading'!I18)*1000</f>
        <v>330.00000000001251</v>
      </c>
      <c r="L18" s="2">
        <f>('Kwh Reading'!B19-'Kwh Reading'!B18)*1000</f>
        <v>1350.0000000000227</v>
      </c>
      <c r="M18" s="2">
        <f>('Kwh Reading'!M19-'Kwh Reading'!M18)*1000</f>
        <v>759.99999999999091</v>
      </c>
      <c r="N18" s="2">
        <f>('Kwh Reading'!H19-'Kwh Reading'!H18)*1000</f>
        <v>940.00000000005457</v>
      </c>
      <c r="O18" s="2">
        <f>('Kwh Reading'!P19-'Kwh Reading'!P18)*1000</f>
        <v>990.00000000000909</v>
      </c>
      <c r="P18" s="2">
        <f>('Kwh Reading'!G19-'Kwh Reading'!G18)*1000</f>
        <v>960.00000000003638</v>
      </c>
      <c r="Q18" s="2">
        <f>('Kwh Reading'!Q19-'Kwh Reading'!Q18)*1000</f>
        <v>770.00000000003865</v>
      </c>
      <c r="R18" s="2">
        <f>('Kwh Reading'!N19-'Kwh Reading'!N18)*1000</f>
        <v>879.99999999999545</v>
      </c>
      <c r="S18" s="34">
        <f>'Kwh Reading'!E19-'Kwh Reading'!E18</f>
        <v>2696.1299999998882</v>
      </c>
      <c r="T18" s="34">
        <f>'Kwh Reading'!D19-'Kwh Reading'!D18</f>
        <v>2215.7900000000373</v>
      </c>
      <c r="U18" s="27">
        <f>('Kwh Reading'!O19-'Kwh Reading'!O18)*1000</f>
        <v>250</v>
      </c>
      <c r="V18" s="16">
        <f t="shared" si="0"/>
        <v>7608.0799999999581</v>
      </c>
    </row>
    <row r="19" spans="1:22" x14ac:dyDescent="0.25">
      <c r="A19" s="3">
        <f>'Kwh Reading'!A19</f>
        <v>44302</v>
      </c>
      <c r="B19" s="26">
        <f>TOTAL!E17</f>
        <v>21109.999999999898</v>
      </c>
      <c r="C19" s="4">
        <f>('Kwh Reading'!T20-'Kwh Reading'!T19)*1000</f>
        <v>250</v>
      </c>
      <c r="D19" s="2">
        <f>('Kwh Reading'!F20-'Kwh Reading'!F19)*1000000</f>
        <v>2299.9999999999686</v>
      </c>
      <c r="E19" s="2">
        <f>('Kwh Reading'!C20-'Kwh Reading'!C19)*1000</f>
        <v>169.99999999998749</v>
      </c>
      <c r="F19" s="2">
        <f>('Kwh Reading'!J20-'Kwh Reading'!J19)*1000</f>
        <v>149.99999999997726</v>
      </c>
      <c r="G19" s="2">
        <f>('Kwh Reading'!K20-'Kwh Reading'!K19)*1000</f>
        <v>230.00000000001819</v>
      </c>
      <c r="H19" s="2">
        <f>('Kwh Reading'!L20-'Kwh Reading'!L19)*1000</f>
        <v>180.00000000000682</v>
      </c>
      <c r="I19" s="2">
        <f>('Kwh Reading'!R20-'Kwh Reading'!R19)*1000</f>
        <v>219.99999999999886</v>
      </c>
      <c r="J19" s="2">
        <f>('Kwh Reading'!S20-'Kwh Reading'!S19)*1000</f>
        <v>129.99999999999545</v>
      </c>
      <c r="K19" s="2">
        <f>('Kwh Reading'!I20-'Kwh Reading'!I19)*1000</f>
        <v>280.00000000000114</v>
      </c>
      <c r="L19" s="2">
        <f>('Kwh Reading'!B20-'Kwh Reading'!B19)*1000</f>
        <v>1229.9999999999045</v>
      </c>
      <c r="M19" s="2">
        <f>('Kwh Reading'!M20-'Kwh Reading'!M19)*1000</f>
        <v>620.00000000000455</v>
      </c>
      <c r="N19" s="2">
        <f>('Kwh Reading'!H20-'Kwh Reading'!H19)*1000</f>
        <v>789.99999999996362</v>
      </c>
      <c r="O19" s="2">
        <f>('Kwh Reading'!P20-'Kwh Reading'!P19)*1000</f>
        <v>899.99999999997726</v>
      </c>
      <c r="P19" s="2">
        <f>('Kwh Reading'!G20-'Kwh Reading'!G19)*1000</f>
        <v>850.00000000002274</v>
      </c>
      <c r="Q19" s="2">
        <f>('Kwh Reading'!Q20-'Kwh Reading'!Q19)*1000</f>
        <v>709.99999999997954</v>
      </c>
      <c r="R19" s="2">
        <f>('Kwh Reading'!N20-'Kwh Reading'!N19)*1000</f>
        <v>800.00000000001137</v>
      </c>
      <c r="S19" s="34">
        <f>'Kwh Reading'!E20-'Kwh Reading'!E19</f>
        <v>2594.0300000002608</v>
      </c>
      <c r="T19" s="34">
        <f>'Kwh Reading'!D20-'Kwh Reading'!D19</f>
        <v>2077.660000000149</v>
      </c>
      <c r="U19" s="27">
        <f>('Kwh Reading'!O20-'Kwh Reading'!O19)*1000</f>
        <v>240.00000000000909</v>
      </c>
      <c r="V19" s="16">
        <f t="shared" si="0"/>
        <v>6388.309999999663</v>
      </c>
    </row>
    <row r="20" spans="1:22" x14ac:dyDescent="0.25">
      <c r="A20" s="3">
        <f>'Kwh Reading'!A20</f>
        <v>44303</v>
      </c>
      <c r="B20" s="26">
        <f>TOTAL!E18</f>
        <v>21950.000000000728</v>
      </c>
      <c r="C20" s="4">
        <f>('Kwh Reading'!T21-'Kwh Reading'!T20)*1000</f>
        <v>439.99999999999773</v>
      </c>
      <c r="D20" s="2">
        <f>('Kwh Reading'!F21-'Kwh Reading'!F20)*1000000</f>
        <v>2399.9999999997358</v>
      </c>
      <c r="E20" s="2">
        <f>('Kwh Reading'!C21-'Kwh Reading'!C20)*1000</f>
        <v>180.00000000000682</v>
      </c>
      <c r="F20" s="2">
        <f>('Kwh Reading'!J21-'Kwh Reading'!J20)*1000</f>
        <v>149.99999999997726</v>
      </c>
      <c r="G20" s="2">
        <f>('Kwh Reading'!K21-'Kwh Reading'!K20)*1000</f>
        <v>250</v>
      </c>
      <c r="H20" s="2">
        <f>('Kwh Reading'!L21-'Kwh Reading'!L20)*1000</f>
        <v>180.00000000000682</v>
      </c>
      <c r="I20" s="2">
        <f>('Kwh Reading'!R21-'Kwh Reading'!R20)*1000</f>
        <v>289.99999999999204</v>
      </c>
      <c r="J20" s="2">
        <f>('Kwh Reading'!S21-'Kwh Reading'!S20)*1000</f>
        <v>130.00000000000966</v>
      </c>
      <c r="K20" s="2">
        <f>('Kwh Reading'!I21-'Kwh Reading'!I20)*1000</f>
        <v>329.99999999998408</v>
      </c>
      <c r="L20" s="2">
        <f>('Kwh Reading'!B21-'Kwh Reading'!B20)*1000</f>
        <v>1400.0000000000909</v>
      </c>
      <c r="M20" s="2">
        <f>('Kwh Reading'!M21-'Kwh Reading'!M20)*1000</f>
        <v>720.00000000002728</v>
      </c>
      <c r="N20" s="2">
        <f>('Kwh Reading'!H21-'Kwh Reading'!H20)*1000</f>
        <v>889.99999999998636</v>
      </c>
      <c r="O20" s="2">
        <f>('Kwh Reading'!P21-'Kwh Reading'!P20)*1000</f>
        <v>969.9999999999136</v>
      </c>
      <c r="P20" s="2">
        <f>('Kwh Reading'!G21-'Kwh Reading'!G20)*1000</f>
        <v>939.99999999994088</v>
      </c>
      <c r="Q20" s="2">
        <f>('Kwh Reading'!Q21-'Kwh Reading'!Q20)*1000</f>
        <v>790.00000000002046</v>
      </c>
      <c r="R20" s="2">
        <f>('Kwh Reading'!N21-'Kwh Reading'!N20)*1000</f>
        <v>810.00000000000227</v>
      </c>
      <c r="S20" s="34">
        <f>'Kwh Reading'!E21-'Kwh Reading'!E20</f>
        <v>2982.2999999998137</v>
      </c>
      <c r="T20" s="34">
        <f>'Kwh Reading'!D21-'Kwh Reading'!D20</f>
        <v>2275.0599999995902</v>
      </c>
      <c r="U20" s="27">
        <f>('Kwh Reading'!O21-'Kwh Reading'!O20)*1000</f>
        <v>319.99999999999318</v>
      </c>
      <c r="V20" s="16">
        <f t="shared" si="0"/>
        <v>5502.6400000016401</v>
      </c>
    </row>
    <row r="21" spans="1:22" ht="16.5" customHeight="1" x14ac:dyDescent="0.25">
      <c r="A21" s="3">
        <f>'Kwh Reading'!A21</f>
        <v>44304</v>
      </c>
      <c r="B21" s="26">
        <f>TOTAL!E19</f>
        <v>21359.999999999218</v>
      </c>
      <c r="C21" s="4">
        <f>('Kwh Reading'!T22-'Kwh Reading'!T21)*1000</f>
        <v>450.00000000004547</v>
      </c>
      <c r="D21" s="2">
        <f>('Kwh Reading'!F22-'Kwh Reading'!F21)*1000000</f>
        <v>2500.0000000003906</v>
      </c>
      <c r="E21" s="2">
        <f>('Kwh Reading'!C22-'Kwh Reading'!C21)*1000</f>
        <v>210.00000000000796</v>
      </c>
      <c r="F21" s="2">
        <f>('Kwh Reading'!J22-'Kwh Reading'!J21)*1000</f>
        <v>240.00000000000909</v>
      </c>
      <c r="G21" s="2">
        <f>('Kwh Reading'!K22-'Kwh Reading'!K21)*1000</f>
        <v>290.00000000002046</v>
      </c>
      <c r="H21" s="2">
        <f>('Kwh Reading'!L22-'Kwh Reading'!L21)*1000</f>
        <v>199.99999999998863</v>
      </c>
      <c r="I21" s="2">
        <f>('Kwh Reading'!R22-'Kwh Reading'!R21)*1000</f>
        <v>300.00000000001137</v>
      </c>
      <c r="J21" s="2">
        <f>('Kwh Reading'!S22-'Kwh Reading'!S21)*1000</f>
        <v>140.00000000000057</v>
      </c>
      <c r="K21" s="2">
        <f>('Kwh Reading'!I22-'Kwh Reading'!I21)*1000</f>
        <v>310.00000000000227</v>
      </c>
      <c r="L21" s="2">
        <f>('Kwh Reading'!B22-'Kwh Reading'!B21)*1000</f>
        <v>1379.9999999999955</v>
      </c>
      <c r="M21" s="2">
        <f>('Kwh Reading'!M22-'Kwh Reading'!M21)*1000</f>
        <v>680.00000000000682</v>
      </c>
      <c r="N21" s="2">
        <f>('Kwh Reading'!H22-'Kwh Reading'!H21)*1000</f>
        <v>840.00000000003183</v>
      </c>
      <c r="O21" s="2">
        <f>('Kwh Reading'!P22-'Kwh Reading'!P21)*1000</f>
        <v>900.00000000009095</v>
      </c>
      <c r="P21" s="2">
        <f>('Kwh Reading'!G22-'Kwh Reading'!G21)*1000</f>
        <v>920.00000000007276</v>
      </c>
      <c r="Q21" s="2">
        <f>('Kwh Reading'!Q22-'Kwh Reading'!Q21)*1000</f>
        <v>769.99999999998181</v>
      </c>
      <c r="R21" s="2">
        <f>('Kwh Reading'!N22-'Kwh Reading'!N21)*1000</f>
        <v>790.00000000002046</v>
      </c>
      <c r="S21" s="34">
        <f>'Kwh Reading'!E22-'Kwh Reading'!E21</f>
        <v>2663.4699999997392</v>
      </c>
      <c r="T21" s="34">
        <f>'Kwh Reading'!D22-'Kwh Reading'!D21</f>
        <v>2076.1299999998882</v>
      </c>
      <c r="U21" s="27">
        <f>('Kwh Reading'!O22-'Kwh Reading'!O21)*1000</f>
        <v>219.99999999999886</v>
      </c>
      <c r="V21" s="16">
        <f t="shared" si="0"/>
        <v>5480.3999999989173</v>
      </c>
    </row>
    <row r="22" spans="1:22" x14ac:dyDescent="0.25">
      <c r="A22" s="3">
        <f>'Kwh Reading'!A22</f>
        <v>44305</v>
      </c>
      <c r="B22" s="26">
        <f>TOTAL!E20</f>
        <v>21170.000000000528</v>
      </c>
      <c r="C22" s="4">
        <f>('Kwh Reading'!T23-'Kwh Reading'!T22)*1000</f>
        <v>449.99999999998863</v>
      </c>
      <c r="D22" s="2">
        <f>('Kwh Reading'!F23-'Kwh Reading'!F22)*1000000</f>
        <v>2299.9999999999686</v>
      </c>
      <c r="E22" s="2">
        <f>('Kwh Reading'!C23-'Kwh Reading'!C22)*1000</f>
        <v>189.99999999999773</v>
      </c>
      <c r="F22" s="2">
        <f>('Kwh Reading'!J23-'Kwh Reading'!J22)*1000</f>
        <v>60.000000000002274</v>
      </c>
      <c r="G22" s="2">
        <f>('Kwh Reading'!K23-'Kwh Reading'!K22)*1000</f>
        <v>199.99999999998863</v>
      </c>
      <c r="H22" s="2">
        <f>('Kwh Reading'!L23-'Kwh Reading'!L22)*1000</f>
        <v>189.99999999999773</v>
      </c>
      <c r="I22" s="2">
        <f>('Kwh Reading'!R23-'Kwh Reading'!R22)*1000</f>
        <v>280.00000000000114</v>
      </c>
      <c r="J22" s="2">
        <f>('Kwh Reading'!S23-'Kwh Reading'!S22)*1000</f>
        <v>119.99999999999034</v>
      </c>
      <c r="K22" s="2">
        <f>('Kwh Reading'!I23-'Kwh Reading'!I22)*1000</f>
        <v>310.00000000000227</v>
      </c>
      <c r="L22" s="2">
        <f>('Kwh Reading'!B23-'Kwh Reading'!B22)*1000</f>
        <v>1299.9999999999545</v>
      </c>
      <c r="M22" s="2">
        <f>('Kwh Reading'!M23-'Kwh Reading'!M22)*1000</f>
        <v>689.99999999999773</v>
      </c>
      <c r="N22" s="2">
        <f>('Kwh Reading'!H23-'Kwh Reading'!H22)*1000</f>
        <v>769.99999999998181</v>
      </c>
      <c r="O22" s="2">
        <f>('Kwh Reading'!P23-'Kwh Reading'!P22)*1000</f>
        <v>899.99999999997726</v>
      </c>
      <c r="P22" s="2">
        <f>('Kwh Reading'!G23-'Kwh Reading'!G22)*1000</f>
        <v>929.99999999994998</v>
      </c>
      <c r="Q22" s="2">
        <f>('Kwh Reading'!Q23-'Kwh Reading'!Q22)*1000</f>
        <v>759.99999999999091</v>
      </c>
      <c r="R22" s="2">
        <f>('Kwh Reading'!N23-'Kwh Reading'!N22)*1000</f>
        <v>699.99999999998863</v>
      </c>
      <c r="S22" s="34">
        <f>'Kwh Reading'!E23-'Kwh Reading'!E22</f>
        <v>2833.3799999998882</v>
      </c>
      <c r="T22" s="34">
        <f>'Kwh Reading'!D23-'Kwh Reading'!D22</f>
        <v>2049.6000000005588</v>
      </c>
      <c r="U22" s="27">
        <f>('Kwh Reading'!O23-'Kwh Reading'!O22)*1000</f>
        <v>260.00000000001933</v>
      </c>
      <c r="V22" s="16">
        <f t="shared" si="0"/>
        <v>5877.0200000002824</v>
      </c>
    </row>
    <row r="23" spans="1:22" x14ac:dyDescent="0.25">
      <c r="A23" s="3">
        <f>'Kwh Reading'!A23</f>
        <v>44306</v>
      </c>
      <c r="B23" s="26">
        <f>TOTAL!E21</f>
        <v>21519.999999999302</v>
      </c>
      <c r="C23" s="4">
        <f>('Kwh Reading'!T24-'Kwh Reading'!T23)*1000</f>
        <v>490.00000000000909</v>
      </c>
      <c r="D23" s="2">
        <f>('Kwh Reading'!F24-'Kwh Reading'!F23)*1000000</f>
        <v>2199.9999999997576</v>
      </c>
      <c r="E23" s="2">
        <f>('Kwh Reading'!C24-'Kwh Reading'!C23)*1000</f>
        <v>169.99999999998749</v>
      </c>
      <c r="F23" s="2">
        <f>('Kwh Reading'!J24-'Kwh Reading'!J23)*1000</f>
        <v>40.000000000020464</v>
      </c>
      <c r="G23" s="2">
        <f>('Kwh Reading'!K24-'Kwh Reading'!K23)*1000</f>
        <v>120.00000000000455</v>
      </c>
      <c r="H23" s="2">
        <f>('Kwh Reading'!L24-'Kwh Reading'!L23)*1000</f>
        <v>120.00000000000455</v>
      </c>
      <c r="I23" s="2">
        <f>('Kwh Reading'!R24-'Kwh Reading'!R23)*1000</f>
        <v>299.99999999998295</v>
      </c>
      <c r="J23" s="2">
        <f>('Kwh Reading'!S24-'Kwh Reading'!S23)*1000</f>
        <v>140.00000000000057</v>
      </c>
      <c r="K23" s="2">
        <f>('Kwh Reading'!I24-'Kwh Reading'!I23)*1000</f>
        <v>280.00000000000114</v>
      </c>
      <c r="L23" s="2">
        <f>('Kwh Reading'!B24-'Kwh Reading'!B23)*1000</f>
        <v>1259.9999999999909</v>
      </c>
      <c r="M23" s="2">
        <f>('Kwh Reading'!M24-'Kwh Reading'!M23)*1000</f>
        <v>709.99999999997954</v>
      </c>
      <c r="N23" s="2">
        <f>('Kwh Reading'!H24-'Kwh Reading'!H23)*1000</f>
        <v>870.00000000000455</v>
      </c>
      <c r="O23" s="2">
        <f>('Kwh Reading'!P24-'Kwh Reading'!P23)*1000</f>
        <v>909.99999999996817</v>
      </c>
      <c r="P23" s="2">
        <f>('Kwh Reading'!G24-'Kwh Reading'!G23)*1000</f>
        <v>889.99999999998636</v>
      </c>
      <c r="Q23" s="2">
        <f>('Kwh Reading'!Q24-'Kwh Reading'!Q23)*1000</f>
        <v>780.00000000002956</v>
      </c>
      <c r="R23" s="2">
        <f>('Kwh Reading'!N24-'Kwh Reading'!N23)*1000</f>
        <v>709.99999999997954</v>
      </c>
      <c r="S23" s="34">
        <f>'Kwh Reading'!E24-'Kwh Reading'!E23</f>
        <v>2860.0300000002608</v>
      </c>
      <c r="T23" s="34">
        <f>'Kwh Reading'!D24-'Kwh Reading'!D23</f>
        <v>2036.9499999992549</v>
      </c>
      <c r="U23" s="27">
        <f>('Kwh Reading'!O24-'Kwh Reading'!O23)*1000</f>
        <v>239.99999999998067</v>
      </c>
      <c r="V23" s="16">
        <f t="shared" si="0"/>
        <v>6393.0200000000987</v>
      </c>
    </row>
    <row r="24" spans="1:22" x14ac:dyDescent="0.25">
      <c r="A24" s="3">
        <f>'Kwh Reading'!A24</f>
        <v>44307</v>
      </c>
      <c r="B24" s="26">
        <f>TOTAL!E22</f>
        <v>22850.000000000364</v>
      </c>
      <c r="C24" s="4">
        <f>('Kwh Reading'!T25-'Kwh Reading'!T24)*1000</f>
        <v>509.99999999999091</v>
      </c>
      <c r="D24" s="2">
        <f>('Kwh Reading'!F25-'Kwh Reading'!F24)*1000000</f>
        <v>2499.9999999999468</v>
      </c>
      <c r="E24" s="2">
        <f>('Kwh Reading'!C25-'Kwh Reading'!C24)*1000</f>
        <v>199.99999999998863</v>
      </c>
      <c r="F24" s="2">
        <f>('Kwh Reading'!J25-'Kwh Reading'!J24)*1000</f>
        <v>100.00000000002274</v>
      </c>
      <c r="G24" s="2">
        <f>('Kwh Reading'!K25-'Kwh Reading'!K24)*1000</f>
        <v>209.99999999997954</v>
      </c>
      <c r="H24" s="2">
        <f>('Kwh Reading'!L25-'Kwh Reading'!L24)*1000</f>
        <v>170.00000000001592</v>
      </c>
      <c r="I24" s="2">
        <f>('Kwh Reading'!R25-'Kwh Reading'!R24)*1000</f>
        <v>250</v>
      </c>
      <c r="J24" s="2">
        <f>('Kwh Reading'!S25-'Kwh Reading'!S24)*1000</f>
        <v>129.99999999999545</v>
      </c>
      <c r="K24" s="2">
        <f>('Kwh Reading'!I25-'Kwh Reading'!I24)*1000</f>
        <v>330.00000000001251</v>
      </c>
      <c r="L24" s="2">
        <f>('Kwh Reading'!B25-'Kwh Reading'!B24)*1000</f>
        <v>1290.0000000000773</v>
      </c>
      <c r="M24" s="2">
        <f>('Kwh Reading'!M25-'Kwh Reading'!M24)*1000</f>
        <v>769.99999999998181</v>
      </c>
      <c r="N24" s="2">
        <f>('Kwh Reading'!H25-'Kwh Reading'!H24)*1000</f>
        <v>879.99999999999545</v>
      </c>
      <c r="O24" s="2">
        <f>('Kwh Reading'!P25-'Kwh Reading'!P24)*1000</f>
        <v>950.00000000004547</v>
      </c>
      <c r="P24" s="2">
        <f>('Kwh Reading'!G25-'Kwh Reading'!G24)*1000</f>
        <v>919.99999999995907</v>
      </c>
      <c r="Q24" s="2">
        <f>('Kwh Reading'!Q25-'Kwh Reading'!Q24)*1000</f>
        <v>750</v>
      </c>
      <c r="R24" s="2">
        <f>('Kwh Reading'!N25-'Kwh Reading'!N24)*1000</f>
        <v>750</v>
      </c>
      <c r="S24" s="2">
        <f>'Kwh Reading'!E25-'Kwh Reading'!E24</f>
        <v>3054.2199999997392</v>
      </c>
      <c r="T24" s="2">
        <f>'Kwh Reading'!D25-'Kwh Reading'!D24</f>
        <v>2380.8100000005215</v>
      </c>
      <c r="U24" s="27">
        <f>('Kwh Reading'!O25-'Kwh Reading'!O24)*1000</f>
        <v>240.00000000000909</v>
      </c>
      <c r="V24" s="16">
        <f t="shared" si="0"/>
        <v>6464.9700000000812</v>
      </c>
    </row>
    <row r="25" spans="1:22" x14ac:dyDescent="0.25">
      <c r="A25" s="3">
        <f>'Kwh Reading'!A25</f>
        <v>44308</v>
      </c>
      <c r="B25" s="26">
        <f>TOTAL!E23</f>
        <v>22410.000000000084</v>
      </c>
      <c r="C25" s="4">
        <f>('Kwh Reading'!T26-'Kwh Reading'!T25)*1000</f>
        <v>469.99999999997044</v>
      </c>
      <c r="D25" s="2">
        <f>('Kwh Reading'!F26-'Kwh Reading'!F25)*1000000</f>
        <v>2400.0000000001796</v>
      </c>
      <c r="E25" s="2">
        <f>('Kwh Reading'!C26-'Kwh Reading'!C25)*1000</f>
        <v>200.00000000001705</v>
      </c>
      <c r="F25" s="2">
        <f>('Kwh Reading'!J26-'Kwh Reading'!J25)*1000</f>
        <v>89.999999999974989</v>
      </c>
      <c r="G25" s="2">
        <f>('Kwh Reading'!K26-'Kwh Reading'!K25)*1000</f>
        <v>209.99999999997954</v>
      </c>
      <c r="H25" s="2">
        <f>('Kwh Reading'!L26-'Kwh Reading'!L25)*1000</f>
        <v>169.99999999998749</v>
      </c>
      <c r="I25" s="2">
        <f>('Kwh Reading'!R26-'Kwh Reading'!R25)*1000</f>
        <v>290.00000000002046</v>
      </c>
      <c r="J25" s="2">
        <f>('Kwh Reading'!S26-'Kwh Reading'!S25)*1000</f>
        <v>130.00000000000966</v>
      </c>
      <c r="K25" s="2">
        <f>('Kwh Reading'!I26-'Kwh Reading'!I25)*1000</f>
        <v>359.99999999998522</v>
      </c>
      <c r="L25" s="2">
        <f>('Kwh Reading'!B26-'Kwh Reading'!B25)*1000</f>
        <v>1369.9999999998909</v>
      </c>
      <c r="M25" s="2">
        <f>('Kwh Reading'!M26-'Kwh Reading'!M25)*1000</f>
        <v>759.99999999999091</v>
      </c>
      <c r="N25" s="2">
        <f>('Kwh Reading'!H26-'Kwh Reading'!H25)*1000</f>
        <v>879.99999999999545</v>
      </c>
      <c r="O25" s="2">
        <f>('Kwh Reading'!P26-'Kwh Reading'!P25)*1000</f>
        <v>1000</v>
      </c>
      <c r="P25" s="2">
        <f>('Kwh Reading'!G26-'Kwh Reading'!G25)*1000</f>
        <v>980.00000000001819</v>
      </c>
      <c r="Q25" s="2">
        <f>('Kwh Reading'!Q26-'Kwh Reading'!Q25)*1000</f>
        <v>779.99999999997272</v>
      </c>
      <c r="R25" s="2">
        <f>('Kwh Reading'!N26-'Kwh Reading'!N25)*1000</f>
        <v>770.00000000003865</v>
      </c>
      <c r="S25" s="2">
        <f>'Kwh Reading'!E26-'Kwh Reading'!E25</f>
        <v>3182.9900000002235</v>
      </c>
      <c r="T25" s="2">
        <f>'Kwh Reading'!D26-'Kwh Reading'!D25</f>
        <v>2294.5</v>
      </c>
      <c r="U25" s="27">
        <f>('Kwh Reading'!O26-'Kwh Reading'!O25)*1000</f>
        <v>300.00000000001137</v>
      </c>
      <c r="V25" s="16">
        <f t="shared" si="0"/>
        <v>5772.5099999998165</v>
      </c>
    </row>
    <row r="26" spans="1:22" x14ac:dyDescent="0.25">
      <c r="A26" s="3">
        <f>'Kwh Reading'!A26</f>
        <v>44309</v>
      </c>
      <c r="B26" s="26">
        <f>TOTAL!E24</f>
        <v>22340.000000000375</v>
      </c>
      <c r="C26" s="4">
        <f>('Kwh Reading'!T27-'Kwh Reading'!T26)*1000</f>
        <v>270.00000000003865</v>
      </c>
      <c r="D26" s="2">
        <f>('Kwh Reading'!F27-'Kwh Reading'!F26)*1000000</f>
        <v>2499.9999999999468</v>
      </c>
      <c r="E26" s="2">
        <f>('Kwh Reading'!C27-'Kwh Reading'!C26)*1000</f>
        <v>229.99999999998977</v>
      </c>
      <c r="F26" s="2">
        <f>('Kwh Reading'!J27-'Kwh Reading'!J26)*1000</f>
        <v>189.99999999999773</v>
      </c>
      <c r="G26" s="2">
        <f>('Kwh Reading'!K27-'Kwh Reading'!K26)*1000</f>
        <v>260.00000000004775</v>
      </c>
      <c r="H26" s="2">
        <f>('Kwh Reading'!L27-'Kwh Reading'!L26)*1000</f>
        <v>159.99999999999659</v>
      </c>
      <c r="I26" s="2">
        <f>('Kwh Reading'!R27-'Kwh Reading'!R26)*1000</f>
        <v>289.99999999999204</v>
      </c>
      <c r="J26" s="2">
        <f>('Kwh Reading'!S27-'Kwh Reading'!S26)*1000</f>
        <v>129.99999999999545</v>
      </c>
      <c r="K26" s="2">
        <f>('Kwh Reading'!I27-'Kwh Reading'!I26)*1000</f>
        <v>360.00000000001364</v>
      </c>
      <c r="L26" s="2">
        <f>('Kwh Reading'!B27-'Kwh Reading'!B26)*1000</f>
        <v>1440.0000000000546</v>
      </c>
      <c r="M26" s="2">
        <f>('Kwh Reading'!M27-'Kwh Reading'!M26)*1000</f>
        <v>810.00000000000227</v>
      </c>
      <c r="N26" s="2">
        <f>('Kwh Reading'!H27-'Kwh Reading'!H26)*1000</f>
        <v>920.00000000007276</v>
      </c>
      <c r="O26" s="2">
        <f>('Kwh Reading'!P27-'Kwh Reading'!P26)*1000</f>
        <v>1039.9999999999636</v>
      </c>
      <c r="P26" s="2">
        <f>('Kwh Reading'!G27-'Kwh Reading'!G26)*1000</f>
        <v>1000</v>
      </c>
      <c r="Q26" s="2">
        <f>('Kwh Reading'!Q27-'Kwh Reading'!Q26)*1000</f>
        <v>819.99999999999318</v>
      </c>
      <c r="R26" s="2">
        <f>('Kwh Reading'!N27-'Kwh Reading'!N26)*1000</f>
        <v>799.99999999995453</v>
      </c>
      <c r="S26" s="2">
        <f>'Kwh Reading'!E27-'Kwh Reading'!E26</f>
        <v>3118.8300000000745</v>
      </c>
      <c r="T26" s="2">
        <f>'Kwh Reading'!D27-'Kwh Reading'!D26</f>
        <v>2420</v>
      </c>
      <c r="U26" s="27">
        <f>('Kwh Reading'!O27-'Kwh Reading'!O26)*1000</f>
        <v>289.99999999999204</v>
      </c>
      <c r="V26" s="16">
        <f t="shared" si="0"/>
        <v>5291.1700000002493</v>
      </c>
    </row>
    <row r="27" spans="1:22" x14ac:dyDescent="0.25">
      <c r="A27" s="3">
        <f>'Kwh Reading'!A27</f>
        <v>44310</v>
      </c>
      <c r="B27" s="26">
        <f>TOTAL!E25</f>
        <v>21949.999999999818</v>
      </c>
      <c r="C27" s="4">
        <f>('Kwh Reading'!T28-'Kwh Reading'!T27)*1000</f>
        <v>469.99999999997044</v>
      </c>
      <c r="D27" s="2">
        <f>('Kwh Reading'!F28-'Kwh Reading'!F27)*1000000</f>
        <v>2400.0000000001796</v>
      </c>
      <c r="E27" s="2">
        <f>('Kwh Reading'!C28-'Kwh Reading'!C27)*1000</f>
        <v>200.00000000001705</v>
      </c>
      <c r="F27" s="2">
        <f>('Kwh Reading'!J28-'Kwh Reading'!J27)*1000</f>
        <v>240.00000000000909</v>
      </c>
      <c r="G27" s="2">
        <f>('Kwh Reading'!K28-'Kwh Reading'!K27)*1000</f>
        <v>239.99999999995225</v>
      </c>
      <c r="H27" s="2">
        <f>('Kwh Reading'!L28-'Kwh Reading'!L27)*1000</f>
        <v>219.99999999999886</v>
      </c>
      <c r="I27" s="2">
        <f>('Kwh Reading'!R28-'Kwh Reading'!R27)*1000</f>
        <v>300.00000000001137</v>
      </c>
      <c r="J27" s="2">
        <f>('Kwh Reading'!S28-'Kwh Reading'!S27)*1000</f>
        <v>129.99999999999545</v>
      </c>
      <c r="K27" s="2">
        <f>('Kwh Reading'!I28-'Kwh Reading'!I27)*1000</f>
        <v>299.99999999998295</v>
      </c>
      <c r="L27" s="2">
        <f>('Kwh Reading'!B28-'Kwh Reading'!B27)*1000</f>
        <v>1360.0000000000136</v>
      </c>
      <c r="M27" s="2">
        <f>('Kwh Reading'!M28-'Kwh Reading'!M27)*1000</f>
        <v>680.00000000000682</v>
      </c>
      <c r="N27" s="2">
        <f>('Kwh Reading'!H28-'Kwh Reading'!H27)*1000</f>
        <v>769.99999999998181</v>
      </c>
      <c r="O27" s="2">
        <f>('Kwh Reading'!P28-'Kwh Reading'!P27)*1000</f>
        <v>889.99999999998636</v>
      </c>
      <c r="P27" s="2">
        <f>('Kwh Reading'!G28-'Kwh Reading'!G27)*1000</f>
        <v>870.00000000000455</v>
      </c>
      <c r="Q27" s="2">
        <f>('Kwh Reading'!Q28-'Kwh Reading'!Q27)*1000</f>
        <v>720.00000000002728</v>
      </c>
      <c r="R27" s="2">
        <f>('Kwh Reading'!N28-'Kwh Reading'!N27)*1000</f>
        <v>650.00000000003411</v>
      </c>
      <c r="S27" s="2">
        <f>'Kwh Reading'!E28-'Kwh Reading'!E27</f>
        <v>3083.7099999999627</v>
      </c>
      <c r="T27" s="2">
        <f>'Kwh Reading'!D28-'Kwh Reading'!D27</f>
        <v>2230.8499999996275</v>
      </c>
      <c r="U27" s="27">
        <f>('Kwh Reading'!O28-'Kwh Reading'!O27)*1000</f>
        <v>229.99999999998977</v>
      </c>
      <c r="V27" s="16">
        <f t="shared" si="0"/>
        <v>5965.4400000000678</v>
      </c>
    </row>
    <row r="28" spans="1:22" x14ac:dyDescent="0.25">
      <c r="A28" s="3">
        <f>'Kwh Reading'!A28</f>
        <v>44311</v>
      </c>
      <c r="B28" s="26">
        <f>TOTAL!E26</f>
        <v>23159.999999999854</v>
      </c>
      <c r="C28" s="4">
        <f>('Kwh Reading'!T29-'Kwh Reading'!T28)*1000</f>
        <v>490.00000000000909</v>
      </c>
      <c r="D28" s="2">
        <f>('Kwh Reading'!F29-'Kwh Reading'!F28)*1000000</f>
        <v>2599.9999999997135</v>
      </c>
      <c r="E28" s="2">
        <f>('Kwh Reading'!C29-'Kwh Reading'!C28)*1000</f>
        <v>229.99999999998977</v>
      </c>
      <c r="F28" s="2">
        <f>('Kwh Reading'!J29-'Kwh Reading'!J28)*1000</f>
        <v>189.99999999999773</v>
      </c>
      <c r="G28" s="2">
        <f>('Kwh Reading'!K29-'Kwh Reading'!K28)*1000</f>
        <v>129.99999999999545</v>
      </c>
      <c r="H28" s="2">
        <f>('Kwh Reading'!L29-'Kwh Reading'!L28)*1000</f>
        <v>189.99999999999773</v>
      </c>
      <c r="I28" s="2">
        <f>('Kwh Reading'!R29-'Kwh Reading'!R28)*1000</f>
        <v>250</v>
      </c>
      <c r="J28" s="2">
        <f>('Kwh Reading'!S29-'Kwh Reading'!S28)*1000</f>
        <v>120.00000000000455</v>
      </c>
      <c r="K28" s="2">
        <f>('Kwh Reading'!I29-'Kwh Reading'!I28)*1000</f>
        <v>320.0000000000216</v>
      </c>
      <c r="L28" s="2">
        <f>('Kwh Reading'!B29-'Kwh Reading'!B28)*1000</f>
        <v>1460.0000000000364</v>
      </c>
      <c r="M28" s="2">
        <f>('Kwh Reading'!M29-'Kwh Reading'!M28)*1000</f>
        <v>710.00000000003638</v>
      </c>
      <c r="N28" s="2">
        <f>('Kwh Reading'!H29-'Kwh Reading'!H28)*1000</f>
        <v>870.00000000000455</v>
      </c>
      <c r="O28" s="2">
        <f>('Kwh Reading'!P29-'Kwh Reading'!P28)*1000</f>
        <v>830.00000000004093</v>
      </c>
      <c r="P28" s="2">
        <f>('Kwh Reading'!G29-'Kwh Reading'!G28)*1000</f>
        <v>970.00000000002728</v>
      </c>
      <c r="Q28" s="2">
        <f>('Kwh Reading'!Q29-'Kwh Reading'!Q28)*1000</f>
        <v>740.00000000000909</v>
      </c>
      <c r="R28" s="2">
        <f>('Kwh Reading'!N29-'Kwh Reading'!N28)*1000</f>
        <v>789.99999999996362</v>
      </c>
      <c r="S28" s="2">
        <f>'Kwh Reading'!E29-'Kwh Reading'!E28</f>
        <v>3218.320000000298</v>
      </c>
      <c r="T28" s="2">
        <f>'Kwh Reading'!D29-'Kwh Reading'!D28</f>
        <v>2291.8799999998882</v>
      </c>
      <c r="U28" s="27">
        <f>('Kwh Reading'!O29-'Kwh Reading'!O28)*1000</f>
        <v>250</v>
      </c>
      <c r="V28" s="16">
        <f t="shared" si="0"/>
        <v>6509.799999999821</v>
      </c>
    </row>
    <row r="29" spans="1:22" x14ac:dyDescent="0.25">
      <c r="A29" s="3">
        <f>'Kwh Reading'!A29</f>
        <v>44312</v>
      </c>
      <c r="B29" s="26">
        <f>TOTAL!E27</f>
        <v>23849.999999999454</v>
      </c>
      <c r="C29" s="4">
        <f>('Kwh Reading'!T30-'Kwh Reading'!T29)*1000</f>
        <v>470.00000000002728</v>
      </c>
      <c r="D29" s="2">
        <f>('Kwh Reading'!F30-'Kwh Reading'!F29)*1000000</f>
        <v>2600.0000000001578</v>
      </c>
      <c r="E29" s="2">
        <f>('Kwh Reading'!C30-'Kwh Reading'!C29)*1000</f>
        <v>229.99999999998977</v>
      </c>
      <c r="F29" s="2">
        <f>('Kwh Reading'!J30-'Kwh Reading'!J29)*1000</f>
        <v>180.00000000000682</v>
      </c>
      <c r="G29" s="2">
        <f>('Kwh Reading'!K30-'Kwh Reading'!K29)*1000</f>
        <v>370.00000000000455</v>
      </c>
      <c r="H29" s="2">
        <f>('Kwh Reading'!L30-'Kwh Reading'!L29)*1000</f>
        <v>210.00000000000796</v>
      </c>
      <c r="I29" s="2">
        <f>('Kwh Reading'!R30-'Kwh Reading'!R29)*1000</f>
        <v>289.99999999999204</v>
      </c>
      <c r="J29" s="2">
        <f>('Kwh Reading'!S30-'Kwh Reading'!S29)*1000</f>
        <v>140.00000000000057</v>
      </c>
      <c r="K29" s="2">
        <f>('Kwh Reading'!I30-'Kwh Reading'!I29)*1000</f>
        <v>299.99999999998295</v>
      </c>
      <c r="L29" s="2">
        <f>('Kwh Reading'!B30-'Kwh Reading'!B29)*1000</f>
        <v>1459.9999999999227</v>
      </c>
      <c r="M29" s="2">
        <f>('Kwh Reading'!M30-'Kwh Reading'!M29)*1000</f>
        <v>740.00000000000909</v>
      </c>
      <c r="N29" s="2">
        <f>('Kwh Reading'!H30-'Kwh Reading'!H29)*1000</f>
        <v>879.99999999999545</v>
      </c>
      <c r="O29" s="2">
        <f>('Kwh Reading'!P30-'Kwh Reading'!P29)*1000</f>
        <v>860.00000000001364</v>
      </c>
      <c r="P29" s="2">
        <f>('Kwh Reading'!G30-'Kwh Reading'!G29)*1000</f>
        <v>1039.9999999999636</v>
      </c>
      <c r="Q29" s="2">
        <f>('Kwh Reading'!Q30-'Kwh Reading'!Q29)*1000</f>
        <v>769.99999999998181</v>
      </c>
      <c r="R29" s="2">
        <f>('Kwh Reading'!N30-'Kwh Reading'!N29)*1000</f>
        <v>820.00000000005002</v>
      </c>
      <c r="S29" s="2">
        <f>'Kwh Reading'!E30-'Kwh Reading'!E29</f>
        <v>3198.070000000298</v>
      </c>
      <c r="T29" s="2">
        <f>'Kwh Reading'!D30-'Kwh Reading'!D29</f>
        <v>2382.8600000003353</v>
      </c>
      <c r="U29" s="27">
        <f>('Kwh Reading'!O30-'Kwh Reading'!O29)*1000</f>
        <v>230.00000000001819</v>
      </c>
      <c r="V29" s="16">
        <f t="shared" si="0"/>
        <v>6679.0699999986973</v>
      </c>
    </row>
    <row r="30" spans="1:22" x14ac:dyDescent="0.25">
      <c r="A30" s="3">
        <f>'Kwh Reading'!A30</f>
        <v>44313</v>
      </c>
      <c r="B30" s="26">
        <f>TOTAL!E28</f>
        <v>23780.000000000204</v>
      </c>
      <c r="C30" s="4">
        <f>('Kwh Reading'!T31-'Kwh Reading'!T30)*1000</f>
        <v>199.99999999998863</v>
      </c>
      <c r="D30" s="2">
        <f>('Kwh Reading'!F31-'Kwh Reading'!F30)*1000000</f>
        <v>2299.9999999999686</v>
      </c>
      <c r="E30" s="2">
        <f>('Kwh Reading'!C31-'Kwh Reading'!C30)*1000</f>
        <v>170.00000000001592</v>
      </c>
      <c r="F30" s="2">
        <f>('Kwh Reading'!J31-'Kwh Reading'!J30)*1000</f>
        <v>79.999999999984084</v>
      </c>
      <c r="G30" s="2">
        <f>('Kwh Reading'!K31-'Kwh Reading'!K30)*1000</f>
        <v>170.00000000001592</v>
      </c>
      <c r="H30" s="2">
        <f>('Kwh Reading'!L31-'Kwh Reading'!L30)*1000</f>
        <v>139.99999999998636</v>
      </c>
      <c r="I30" s="2">
        <f>('Kwh Reading'!R31-'Kwh Reading'!R30)*1000</f>
        <v>310.00000000000227</v>
      </c>
      <c r="J30" s="2">
        <f>('Kwh Reading'!S31-'Kwh Reading'!S30)*1000</f>
        <v>129.99999999999545</v>
      </c>
      <c r="K30" s="2">
        <f>('Kwh Reading'!I31-'Kwh Reading'!I30)*1000</f>
        <v>270.00000000001023</v>
      </c>
      <c r="L30" s="2">
        <f>('Kwh Reading'!B31-'Kwh Reading'!B30)*1000</f>
        <v>1440.0000000000546</v>
      </c>
      <c r="M30" s="2">
        <f>('Kwh Reading'!M31-'Kwh Reading'!M30)*1000</f>
        <v>779.99999999997272</v>
      </c>
      <c r="N30" s="2">
        <f>('Kwh Reading'!H31-'Kwh Reading'!H30)*1000</f>
        <v>849.99999999990905</v>
      </c>
      <c r="O30" s="2">
        <f>('Kwh Reading'!P31-'Kwh Reading'!P30)*1000</f>
        <v>860.00000000001364</v>
      </c>
      <c r="P30" s="2">
        <f>('Kwh Reading'!G31-'Kwh Reading'!G30)*1000</f>
        <v>990.00000000000909</v>
      </c>
      <c r="Q30" s="2">
        <f>('Kwh Reading'!Q31-'Kwh Reading'!Q30)*1000</f>
        <v>409.99999999996817</v>
      </c>
      <c r="R30" s="2">
        <f>('Kwh Reading'!N31-'Kwh Reading'!N30)*1000</f>
        <v>799.99999999995453</v>
      </c>
      <c r="S30" s="2">
        <f>'Kwh Reading'!E31-'Kwh Reading'!E30</f>
        <v>3146.7299999995157</v>
      </c>
      <c r="T30" s="2">
        <f>'Kwh Reading'!D31-'Kwh Reading'!D30</f>
        <v>2318.0800000000745</v>
      </c>
      <c r="U30" s="27">
        <f>('Kwh Reading'!O31-'Kwh Reading'!O30)*1000</f>
        <v>229.99999999998977</v>
      </c>
      <c r="V30" s="16">
        <f t="shared" si="0"/>
        <v>8185.1900000007754</v>
      </c>
    </row>
    <row r="31" spans="1:22" x14ac:dyDescent="0.25">
      <c r="A31" s="3">
        <f>'Kwh Reading'!A31</f>
        <v>44314</v>
      </c>
      <c r="B31" s="26">
        <f>TOTAL!E29</f>
        <v>24210.000000000491</v>
      </c>
      <c r="C31" s="4">
        <f>('Kwh Reading'!T32-'Kwh Reading'!T31)*1000</f>
        <v>829.99999999998408</v>
      </c>
      <c r="D31" s="2">
        <f>('Kwh Reading'!F32-'Kwh Reading'!F31)*1000000</f>
        <v>2499.9999999999468</v>
      </c>
      <c r="E31" s="2">
        <f>('Kwh Reading'!C32-'Kwh Reading'!C31)*1000</f>
        <v>209.99999999997954</v>
      </c>
      <c r="F31" s="2">
        <f>('Kwh Reading'!J32-'Kwh Reading'!J31)*1000</f>
        <v>129.99999999999545</v>
      </c>
      <c r="G31" s="2">
        <f>('Kwh Reading'!K32-'Kwh Reading'!K31)*1000</f>
        <v>220.00000000002728</v>
      </c>
      <c r="H31" s="2">
        <f>('Kwh Reading'!L32-'Kwh Reading'!L31)*1000</f>
        <v>170.00000000001592</v>
      </c>
      <c r="I31" s="2">
        <f>('Kwh Reading'!R32-'Kwh Reading'!R31)*1000</f>
        <v>280.00000000000114</v>
      </c>
      <c r="J31" s="2">
        <f>('Kwh Reading'!S32-'Kwh Reading'!S31)*1000</f>
        <v>109.99999999999943</v>
      </c>
      <c r="K31" s="2">
        <f>('Kwh Reading'!I32-'Kwh Reading'!I31)*1000</f>
        <v>359.99999999998522</v>
      </c>
      <c r="L31" s="2">
        <f>('Kwh Reading'!B32-'Kwh Reading'!B31)*1000</f>
        <v>1459.9999999999227</v>
      </c>
      <c r="M31" s="2">
        <f>('Kwh Reading'!M32-'Kwh Reading'!M31)*1000</f>
        <v>860.00000000001364</v>
      </c>
      <c r="N31" s="2">
        <f>('Kwh Reading'!H32-'Kwh Reading'!H31)*1000</f>
        <v>1000</v>
      </c>
      <c r="O31" s="2">
        <f>('Kwh Reading'!P32-'Kwh Reading'!P31)*1000</f>
        <v>879.99999999999545</v>
      </c>
      <c r="P31" s="2">
        <f>('Kwh Reading'!G32-'Kwh Reading'!G31)*1000</f>
        <v>990.00000000000909</v>
      </c>
      <c r="Q31" s="2">
        <f>('Kwh Reading'!Q32-'Kwh Reading'!Q31)*1000</f>
        <v>1170.0000000000159</v>
      </c>
      <c r="R31" s="2">
        <f>('Kwh Reading'!N32-'Kwh Reading'!N31)*1000</f>
        <v>800.00000000001137</v>
      </c>
      <c r="S31" s="2">
        <f>'Kwh Reading'!E32-'Kwh Reading'!E31</f>
        <v>3452.8099999995902</v>
      </c>
      <c r="T31" s="2">
        <f>'Kwh Reading'!D32-'Kwh Reading'!D31</f>
        <v>2338.1699999999255</v>
      </c>
      <c r="U31" s="27">
        <f>('Kwh Reading'!O32-'Kwh Reading'!O31)*1000</f>
        <v>270.00000000001023</v>
      </c>
      <c r="V31" s="16">
        <f t="shared" si="0"/>
        <v>6179.0200000010627</v>
      </c>
    </row>
    <row r="32" spans="1:22" x14ac:dyDescent="0.25">
      <c r="A32" s="3">
        <f>'Kwh Reading'!A32</f>
        <v>44315</v>
      </c>
      <c r="B32" s="26">
        <f>TOTAL!E30</f>
        <v>23849.999999999905</v>
      </c>
      <c r="C32" s="4">
        <f>('Kwh Reading'!T33-'Kwh Reading'!T32)*1000</f>
        <v>480.00000000001819</v>
      </c>
      <c r="D32" s="2">
        <f>('Kwh Reading'!F33-'Kwh Reading'!F32)*1000000</f>
        <v>8500.0000000001746</v>
      </c>
      <c r="E32" s="2">
        <f>('Kwh Reading'!C33-'Kwh Reading'!C32)*1000</f>
        <v>220.00000000002728</v>
      </c>
      <c r="F32" s="2">
        <f>('Kwh Reading'!J33-'Kwh Reading'!J32)*1000</f>
        <v>209.99999999997954</v>
      </c>
      <c r="G32" s="2">
        <f>('Kwh Reading'!K33-'Kwh Reading'!K32)*1000</f>
        <v>229.99999999996135</v>
      </c>
      <c r="H32" s="2">
        <f>('Kwh Reading'!L33-'Kwh Reading'!L32)*1000</f>
        <v>180.00000000000682</v>
      </c>
      <c r="I32" s="2">
        <f>('Kwh Reading'!R33-'Kwh Reading'!R32)*1000</f>
        <v>259.99999999999091</v>
      </c>
      <c r="J32" s="2">
        <f>('Kwh Reading'!S33-'Kwh Reading'!S32)*1000</f>
        <v>140.00000000000057</v>
      </c>
      <c r="K32" s="2">
        <f>('Kwh Reading'!I33-'Kwh Reading'!I32)*1000</f>
        <v>400.00000000000568</v>
      </c>
      <c r="L32" s="2">
        <f>('Kwh Reading'!B33-'Kwh Reading'!B32)*1000</f>
        <v>1390.0000000001</v>
      </c>
      <c r="M32" s="2">
        <f>('Kwh Reading'!M33-'Kwh Reading'!M32)*1000</f>
        <v>779.99999999997272</v>
      </c>
      <c r="N32" s="2">
        <f>('Kwh Reading'!H33-'Kwh Reading'!H32)*1000</f>
        <v>1000</v>
      </c>
      <c r="O32" s="2">
        <f>('Kwh Reading'!P33-'Kwh Reading'!P32)*1000</f>
        <v>870.00000000000455</v>
      </c>
      <c r="P32" s="2">
        <f>('Kwh Reading'!G33-'Kwh Reading'!G32)*1000</f>
        <v>1000</v>
      </c>
      <c r="Q32" s="2">
        <f>('Kwh Reading'!Q33-'Kwh Reading'!Q32)*1000</f>
        <v>780.00000000002956</v>
      </c>
      <c r="R32" s="2">
        <f>('Kwh Reading'!N33-'Kwh Reading'!N32)*1000</f>
        <v>829.99999999998408</v>
      </c>
      <c r="S32" s="2">
        <f>'Kwh Reading'!E33-'Kwh Reading'!E32</f>
        <v>3311.4300000006333</v>
      </c>
      <c r="T32" s="2">
        <f>'Kwh Reading'!D33-'Kwh Reading'!D32</f>
        <v>2342.1900000004098</v>
      </c>
      <c r="U32" s="27">
        <f>('Kwh Reading'!O33-'Kwh Reading'!O32)*1000</f>
        <v>250</v>
      </c>
      <c r="V32" s="16">
        <f t="shared" si="0"/>
        <v>676.37999999860403</v>
      </c>
    </row>
    <row r="33" spans="1:22" x14ac:dyDescent="0.25">
      <c r="A33" s="3">
        <f>'Kwh Reading'!A33</f>
        <v>44316</v>
      </c>
      <c r="B33" s="26">
        <f>TOTAL!E31</f>
        <v>23140.000000000102</v>
      </c>
      <c r="C33" s="4">
        <f>('Kwh Reading'!T34-'Kwh Reading'!T33)*1000</f>
        <v>269.99999999998181</v>
      </c>
      <c r="D33" s="2">
        <f>('Kwh Reading'!F34-'Kwh Reading'!F33)*1000000</f>
        <v>-3400.0000000000696</v>
      </c>
      <c r="E33" s="2">
        <f>('Kwh Reading'!C34-'Kwh Reading'!C33)*1000</f>
        <v>229.99999999998977</v>
      </c>
      <c r="F33" s="2">
        <f>('Kwh Reading'!J34-'Kwh Reading'!J33)*1000</f>
        <v>130.0000000000523</v>
      </c>
      <c r="G33" s="2">
        <f>('Kwh Reading'!K34-'Kwh Reading'!K33)*1000</f>
        <v>259.99999999999091</v>
      </c>
      <c r="H33" s="2">
        <f>('Kwh Reading'!L34-'Kwh Reading'!L33)*1000</f>
        <v>219.99999999999886</v>
      </c>
      <c r="I33" s="2">
        <f>('Kwh Reading'!R34-'Kwh Reading'!R33)*1000</f>
        <v>289.99999999999204</v>
      </c>
      <c r="J33" s="2">
        <f>('Kwh Reading'!S34-'Kwh Reading'!S33)*1000</f>
        <v>120.00000000000455</v>
      </c>
      <c r="K33" s="2">
        <f>('Kwh Reading'!I34-'Kwh Reading'!I33)*1000</f>
        <v>379.99999999999545</v>
      </c>
      <c r="L33" s="2">
        <f>('Kwh Reading'!B34-'Kwh Reading'!B33)*1000</f>
        <v>1419.9999999999591</v>
      </c>
      <c r="M33" s="2">
        <f>('Kwh Reading'!M34-'Kwh Reading'!M33)*1000</f>
        <v>740.00000000000909</v>
      </c>
      <c r="N33" s="2">
        <f>('Kwh Reading'!H34-'Kwh Reading'!H33)*1000</f>
        <v>1020.0000000000955</v>
      </c>
      <c r="O33" s="2">
        <f>('Kwh Reading'!P34-'Kwh Reading'!P33)*1000</f>
        <v>1089.9999999999181</v>
      </c>
      <c r="P33" s="2">
        <f>('Kwh Reading'!G34-'Kwh Reading'!G33)*1000</f>
        <v>1040.0000000000773</v>
      </c>
      <c r="Q33" s="2">
        <f>('Kwh Reading'!Q34-'Kwh Reading'!Q33)*1000</f>
        <v>829.99999999998408</v>
      </c>
      <c r="R33" s="2">
        <f>('Kwh Reading'!N34-'Kwh Reading'!N33)*1000</f>
        <v>850.00000000002274</v>
      </c>
      <c r="S33" s="2">
        <f>'Kwh Reading'!E34-'Kwh Reading'!E33</f>
        <v>3061.410000000149</v>
      </c>
      <c r="T33" s="2">
        <f>'Kwh Reading'!D34-'Kwh Reading'!D33</f>
        <v>2572.5699999993667</v>
      </c>
      <c r="U33" s="27">
        <f>('Kwh Reading'!O34-'Kwh Reading'!O33)*1000</f>
        <v>229.99999999998977</v>
      </c>
      <c r="V33" s="16">
        <f t="shared" si="0"/>
        <v>11786.020000000597</v>
      </c>
    </row>
    <row r="34" spans="1:22" x14ac:dyDescent="0.25">
      <c r="A34" s="3">
        <f>'Kwh Reading'!A34</f>
        <v>44317</v>
      </c>
      <c r="B34" s="26">
        <f>TOTAL!E32</f>
        <v>0</v>
      </c>
      <c r="C34" s="4">
        <f>('Kwh Reading'!T35-'Kwh Reading'!T34)*1000</f>
        <v>-393190</v>
      </c>
      <c r="D34" s="2">
        <f>('Kwh Reading'!F35-'Kwh Reading'!F34)*1000000</f>
        <v>-2233200</v>
      </c>
      <c r="E34" s="2">
        <f>('Kwh Reading'!C35-'Kwh Reading'!C34)*1000</f>
        <v>-216090</v>
      </c>
      <c r="F34" s="2">
        <f>('Kwh Reading'!J35-'Kwh Reading'!J34)*1000</f>
        <v>-304910</v>
      </c>
      <c r="G34" s="2">
        <f>('Kwh Reading'!K35-'Kwh Reading'!K34)*1000</f>
        <v>-325530</v>
      </c>
      <c r="H34" s="2">
        <f>('Kwh Reading'!L35-'Kwh Reading'!L34)*1000</f>
        <v>-222460</v>
      </c>
      <c r="I34" s="2">
        <f>('Kwh Reading'!R35-'Kwh Reading'!R34)*1000</f>
        <v>-139010</v>
      </c>
      <c r="J34" s="2">
        <f>('Kwh Reading'!S35-'Kwh Reading'!S34)*1000</f>
        <v>-107220</v>
      </c>
      <c r="K34" s="2">
        <f>('Kwh Reading'!I35-'Kwh Reading'!I34)*1000</f>
        <v>-215950</v>
      </c>
      <c r="L34" s="2">
        <f>('Kwh Reading'!B35-'Kwh Reading'!B34)*1000</f>
        <v>-901740</v>
      </c>
      <c r="M34" s="2">
        <f>('Kwh Reading'!M35-'Kwh Reading'!M34)*1000</f>
        <v>-471630</v>
      </c>
      <c r="N34" s="2">
        <f>('Kwh Reading'!H35-'Kwh Reading'!H34)*1000</f>
        <v>-586330</v>
      </c>
      <c r="O34" s="2">
        <f>('Kwh Reading'!P35-'Kwh Reading'!P34)*1000</f>
        <v>-553290</v>
      </c>
      <c r="P34" s="2">
        <f>('Kwh Reading'!G35-'Kwh Reading'!G34)*1000</f>
        <v>-691690</v>
      </c>
      <c r="Q34" s="2">
        <f>('Kwh Reading'!Q35-'Kwh Reading'!Q34)*1000</f>
        <v>-416930</v>
      </c>
      <c r="R34" s="2">
        <f>('Kwh Reading'!N35-'Kwh Reading'!N34)*1000</f>
        <v>-425190</v>
      </c>
      <c r="S34" s="2">
        <f>'Kwh Reading'!E35-'Kwh Reading'!E34</f>
        <v>-7996109.6100000003</v>
      </c>
      <c r="T34" s="2">
        <f>'Kwh Reading'!D35-'Kwh Reading'!D34</f>
        <v>-7332163.1799999997</v>
      </c>
      <c r="U34" s="27">
        <f>('Kwh Reading'!O35-'Kwh Reading'!O34)*1000</f>
        <v>-136340</v>
      </c>
      <c r="V34" s="16">
        <f t="shared" si="0"/>
        <v>23668972.789999999</v>
      </c>
    </row>
    <row r="35" spans="1:22" x14ac:dyDescent="0.25">
      <c r="A35" s="80" t="s">
        <v>53</v>
      </c>
      <c r="B35" s="79">
        <f>SUM(B4:B34)</f>
        <v>708229.99999999977</v>
      </c>
      <c r="C35" s="75">
        <f t="shared" ref="C35" si="1">SUM(C4:C34)</f>
        <v>-378950</v>
      </c>
      <c r="D35" s="75">
        <f t="shared" ref="D35" si="2">SUM(D4:D34)</f>
        <v>-2158799.9999999995</v>
      </c>
      <c r="E35" s="75">
        <f t="shared" ref="E35" si="3">SUM(E4:E34)</f>
        <v>-209570</v>
      </c>
      <c r="F35" s="75">
        <f t="shared" ref="F35" si="4">SUM(F4:F34)</f>
        <v>-298129.99999999994</v>
      </c>
      <c r="G35" s="75">
        <f t="shared" ref="G35:U35" si="5">SUM(G4:G34)</f>
        <v>-316490.00000000006</v>
      </c>
      <c r="H35" s="75">
        <f t="shared" si="5"/>
        <v>-216259.99999999997</v>
      </c>
      <c r="I35" s="75">
        <f t="shared" si="5"/>
        <v>-130520.00000000001</v>
      </c>
      <c r="J35" s="75">
        <f t="shared" si="5"/>
        <v>-103330</v>
      </c>
      <c r="K35" s="75">
        <f t="shared" si="5"/>
        <v>-206170</v>
      </c>
      <c r="L35" s="75">
        <f t="shared" si="5"/>
        <v>-860770</v>
      </c>
      <c r="M35" s="75">
        <f t="shared" si="5"/>
        <v>-448280</v>
      </c>
      <c r="N35" s="75">
        <f t="shared" si="5"/>
        <v>-558299.99999999988</v>
      </c>
      <c r="O35" s="75">
        <f t="shared" si="5"/>
        <v>-524320.00000000012</v>
      </c>
      <c r="P35" s="75">
        <f t="shared" si="5"/>
        <v>-662880</v>
      </c>
      <c r="Q35" s="75">
        <f t="shared" si="5"/>
        <v>-393270</v>
      </c>
      <c r="R35" s="75">
        <f t="shared" si="5"/>
        <v>-400920</v>
      </c>
      <c r="S35" s="75">
        <f t="shared" si="5"/>
        <v>-7898651.3899999997</v>
      </c>
      <c r="T35" s="75">
        <f t="shared" si="5"/>
        <v>-7259830.0099999998</v>
      </c>
      <c r="U35" s="75">
        <f t="shared" si="5"/>
        <v>-128639.99999999999</v>
      </c>
      <c r="V35" s="75">
        <f>SUM(V4:V34)</f>
        <v>23862311.399999999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44287</v>
      </c>
      <c r="B3" s="83">
        <f>TOTAL!E2</f>
        <v>25519.999999999527</v>
      </c>
      <c r="C3" s="1">
        <f>'Kwh Consumption'!C4</f>
        <v>540.00000000002046</v>
      </c>
      <c r="D3" s="1">
        <f>'Kwh Consumption'!D4</f>
        <v>2600.0000000001578</v>
      </c>
      <c r="E3" s="1">
        <f>'Kwh Consumption'!E4</f>
        <v>250</v>
      </c>
      <c r="F3" s="1">
        <f>('Kwh Consumption'!F4+'Kwh Consumption'!G4+'Kwh Consumption'!H4)</f>
        <v>1039.999999999992</v>
      </c>
      <c r="G3" s="16">
        <f>('Kwh Consumption'!I4+'Kwh Consumption'!J4)</f>
        <v>469.99999999999886</v>
      </c>
      <c r="H3" s="1">
        <f>('Kwh Consumption'!K4+'Kwh Consumption'!L4)</f>
        <v>1590.0000000000603</v>
      </c>
      <c r="I3" s="1">
        <f>('Kwh Consumption'!M4+'Kwh Consumption'!N4+'Kwh Consumption'!O4+'Kwh Consumption'!P4+'Kwh Consumption'!Q4+'Kwh Consumption'!R4)</f>
        <v>5409.9999999998545</v>
      </c>
      <c r="J3" s="1">
        <f>('Kwh Consumption'!S4+'Kwh Consumption'!T4)</f>
        <v>6450.0400000009686</v>
      </c>
      <c r="K3" s="1">
        <f>'Kwh Consumption'!U4</f>
        <v>270.00000000001023</v>
      </c>
      <c r="L3" s="32">
        <f t="shared" ref="L3:L33" si="0">B3-C3-D3-E3-F3-G3-H3-I3-J3-K3</f>
        <v>6899.9599999984612</v>
      </c>
    </row>
    <row r="4" spans="1:12" x14ac:dyDescent="0.25">
      <c r="A4" s="14">
        <f>'Kwh Reading'!A5</f>
        <v>44288</v>
      </c>
      <c r="B4" s="83">
        <f>TOTAL!E3</f>
        <v>25880.00000000056</v>
      </c>
      <c r="C4" s="1">
        <f>'Kwh Consumption'!C5</f>
        <v>550.00000000001137</v>
      </c>
      <c r="D4" s="1">
        <f>'Kwh Consumption'!D5</f>
        <v>2600.0000000001578</v>
      </c>
      <c r="E4" s="1">
        <f>'Kwh Consumption'!E5</f>
        <v>250</v>
      </c>
      <c r="F4" s="1">
        <f>('Kwh Consumption'!F5+'Kwh Consumption'!G5+'Kwh Consumption'!H5)</f>
        <v>1080.0000000000125</v>
      </c>
      <c r="G4" s="16">
        <f>('Kwh Consumption'!I5+'Kwh Consumption'!J5)</f>
        <v>339.9999999999892</v>
      </c>
      <c r="H4" s="1">
        <f>('Kwh Consumption'!K5+'Kwh Consumption'!L5)</f>
        <v>1709.9999999999795</v>
      </c>
      <c r="I4" s="1">
        <f>('Kwh Consumption'!M5+'Kwh Consumption'!N5+'Kwh Consumption'!O5+'Kwh Consumption'!P5+'Kwh Consumption'!Q5+'Kwh Consumption'!R5)</f>
        <v>5740.0000000001237</v>
      </c>
      <c r="J4" s="1">
        <f>('Kwh Consumption'!S5+'Kwh Consumption'!T5)</f>
        <v>6753</v>
      </c>
      <c r="K4" s="1">
        <f>'Kwh Consumption'!U5</f>
        <v>280.00000000000114</v>
      </c>
      <c r="L4" s="32">
        <f t="shared" si="0"/>
        <v>6577.0000000002901</v>
      </c>
    </row>
    <row r="5" spans="1:12" x14ac:dyDescent="0.25">
      <c r="A5" s="14">
        <f>'Kwh Reading'!A6</f>
        <v>44289</v>
      </c>
      <c r="B5" s="83">
        <f>TOTAL!E4</f>
        <v>25549.999999999498</v>
      </c>
      <c r="C5" s="1">
        <f>'Kwh Consumption'!C6</f>
        <v>620.00000000000455</v>
      </c>
      <c r="D5" s="1">
        <f>'Kwh Consumption'!D6</f>
        <v>2799.9999999996917</v>
      </c>
      <c r="E5" s="1">
        <f>'Kwh Consumption'!E6</f>
        <v>270.00000000001023</v>
      </c>
      <c r="F5" s="1">
        <f>('Kwh Consumption'!F6+'Kwh Consumption'!G6+'Kwh Consumption'!H6)</f>
        <v>1229.9999999999613</v>
      </c>
      <c r="G5" s="16">
        <f>('Kwh Consumption'!I6+'Kwh Consumption'!J6)</f>
        <v>360.00000000001364</v>
      </c>
      <c r="H5" s="1">
        <f>('Kwh Consumption'!K6+'Kwh Consumption'!L6)</f>
        <v>1640.0000000000432</v>
      </c>
      <c r="I5" s="1">
        <f>('Kwh Consumption'!M6+'Kwh Consumption'!N6+'Kwh Consumption'!O6+'Kwh Consumption'!P6+'Kwh Consumption'!Q6+'Kwh Consumption'!R6)</f>
        <v>5610.0000000000709</v>
      </c>
      <c r="J5" s="1">
        <f>('Kwh Consumption'!S6+'Kwh Consumption'!T6)</f>
        <v>6612.2900000000373</v>
      </c>
      <c r="K5" s="1">
        <f>'Kwh Consumption'!U6</f>
        <v>289.99999999999204</v>
      </c>
      <c r="L5" s="32">
        <f t="shared" si="0"/>
        <v>6117.7099999996744</v>
      </c>
    </row>
    <row r="6" spans="1:12" x14ac:dyDescent="0.25">
      <c r="A6" s="14">
        <f>'Kwh Reading'!A7</f>
        <v>44290</v>
      </c>
      <c r="B6" s="83">
        <f>TOTAL!E5</f>
        <v>26879.99999999988</v>
      </c>
      <c r="C6" s="1">
        <f>'Kwh Consumption'!C7</f>
        <v>569.99999999999318</v>
      </c>
      <c r="D6" s="1">
        <f>'Kwh Consumption'!D7</f>
        <v>2499.9999999999468</v>
      </c>
      <c r="E6" s="1">
        <f>'Kwh Consumption'!E7</f>
        <v>219.99999999999886</v>
      </c>
      <c r="F6" s="1">
        <f>('Kwh Consumption'!F7+'Kwh Consumption'!G7+'Kwh Consumption'!H7)</f>
        <v>1030.0000000000296</v>
      </c>
      <c r="G6" s="16">
        <f>('Kwh Consumption'!I7+'Kwh Consumption'!J7)</f>
        <v>459.99999999999375</v>
      </c>
      <c r="H6" s="1">
        <f>('Kwh Consumption'!K7+'Kwh Consumption'!L7)</f>
        <v>1560.0000000000023</v>
      </c>
      <c r="I6" s="1">
        <f>('Kwh Consumption'!M7+'Kwh Consumption'!N7+'Kwh Consumption'!O7+'Kwh Consumption'!P7+'Kwh Consumption'!Q7+'Kwh Consumption'!R7)</f>
        <v>5610.00000000007</v>
      </c>
      <c r="J6" s="1">
        <f>('Kwh Consumption'!S7+'Kwh Consumption'!T7)</f>
        <v>6791.2399999992922</v>
      </c>
      <c r="K6" s="1">
        <f>'Kwh Consumption'!U7</f>
        <v>240.00000000000909</v>
      </c>
      <c r="L6" s="32">
        <f t="shared" si="0"/>
        <v>7898.7600000005459</v>
      </c>
    </row>
    <row r="7" spans="1:12" x14ac:dyDescent="0.25">
      <c r="A7" s="14">
        <f>'Kwh Reading'!A8</f>
        <v>44291</v>
      </c>
      <c r="B7" s="83">
        <f>TOTAL!E6</f>
        <v>25849.999999999909</v>
      </c>
      <c r="C7" s="1">
        <f>'Kwh Consumption'!C8</f>
        <v>569.99999999999318</v>
      </c>
      <c r="D7" s="1">
        <f>'Kwh Consumption'!D8</f>
        <v>2800.0000000001355</v>
      </c>
      <c r="E7" s="1">
        <f>'Kwh Consumption'!E8</f>
        <v>259.99999999999091</v>
      </c>
      <c r="F7" s="1">
        <f>('Kwh Consumption'!F8+'Kwh Consumption'!G8+'Kwh Consumption'!H8)</f>
        <v>1250</v>
      </c>
      <c r="G7" s="16">
        <f>('Kwh Consumption'!I8+'Kwh Consumption'!J8)</f>
        <v>449.99999999998863</v>
      </c>
      <c r="H7" s="1">
        <f>('Kwh Consumption'!K8+'Kwh Consumption'!L8)</f>
        <v>1699.9999999999886</v>
      </c>
      <c r="I7" s="1">
        <f>('Kwh Consumption'!M8+'Kwh Consumption'!N8+'Kwh Consumption'!O8+'Kwh Consumption'!P8+'Kwh Consumption'!Q8+'Kwh Consumption'!R8)</f>
        <v>5899.9999999998636</v>
      </c>
      <c r="J7" s="1">
        <f>('Kwh Consumption'!S8+'Kwh Consumption'!T8)</f>
        <v>6892.9700000006706</v>
      </c>
      <c r="K7" s="1">
        <f>'Kwh Consumption'!U8</f>
        <v>280.00000000000114</v>
      </c>
      <c r="L7" s="32">
        <f t="shared" si="0"/>
        <v>5747.0299999992758</v>
      </c>
    </row>
    <row r="8" spans="1:12" x14ac:dyDescent="0.25">
      <c r="A8" s="14">
        <f>'Kwh Reading'!A9</f>
        <v>44292</v>
      </c>
      <c r="B8" s="83">
        <f>TOTAL!E7</f>
        <v>25300.000000000637</v>
      </c>
      <c r="C8" s="1">
        <f>'Kwh Consumption'!C9</f>
        <v>569.99999999999318</v>
      </c>
      <c r="D8" s="1">
        <f>'Kwh Consumption'!D9</f>
        <v>2499.9999999999468</v>
      </c>
      <c r="E8" s="1">
        <f>'Kwh Consumption'!E9</f>
        <v>240.00000000000909</v>
      </c>
      <c r="F8" s="1">
        <f>('Kwh Consumption'!F9+'Kwh Consumption'!G9+'Kwh Consumption'!H9)</f>
        <v>939.9999999999693</v>
      </c>
      <c r="G8" s="16">
        <f>('Kwh Consumption'!I9+'Kwh Consumption'!J9)</f>
        <v>450.00000000001705</v>
      </c>
      <c r="H8" s="1">
        <f>('Kwh Consumption'!K9+'Kwh Consumption'!L9)</f>
        <v>1599.9999999999659</v>
      </c>
      <c r="I8" s="1">
        <f>('Kwh Consumption'!M9+'Kwh Consumption'!N9+'Kwh Consumption'!O9+'Kwh Consumption'!P9+'Kwh Consumption'!Q9+'Kwh Consumption'!R9)</f>
        <v>5209.99999999998</v>
      </c>
      <c r="J8" s="1">
        <f>('Kwh Consumption'!S9+'Kwh Consumption'!T9)</f>
        <v>5799.8799999989569</v>
      </c>
      <c r="K8" s="1">
        <f>'Kwh Consumption'!U9</f>
        <v>229.99999999998977</v>
      </c>
      <c r="L8" s="32">
        <f t="shared" si="0"/>
        <v>7760.120000001808</v>
      </c>
    </row>
    <row r="9" spans="1:12" x14ac:dyDescent="0.25">
      <c r="A9" s="14">
        <f>'Kwh Reading'!A10</f>
        <v>44293</v>
      </c>
      <c r="B9" s="83">
        <f>TOTAL!E8</f>
        <v>24729.999999999793</v>
      </c>
      <c r="C9" s="1">
        <f>'Kwh Consumption'!C10</f>
        <v>529.99999999997272</v>
      </c>
      <c r="D9" s="1">
        <f>'Kwh Consumption'!D10</f>
        <v>2499.9999999999468</v>
      </c>
      <c r="E9" s="1">
        <f>'Kwh Consumption'!E10</f>
        <v>229.99999999998977</v>
      </c>
      <c r="F9" s="1">
        <f>('Kwh Consumption'!F10+'Kwh Consumption'!G10+'Kwh Consumption'!H10)</f>
        <v>1010.0000000000477</v>
      </c>
      <c r="G9" s="16">
        <f>('Kwh Consumption'!I10+'Kwh Consumption'!J10)</f>
        <v>429.9999999999784</v>
      </c>
      <c r="H9" s="1">
        <f>('Kwh Consumption'!K10+'Kwh Consumption'!L10)</f>
        <v>1680.0000000000352</v>
      </c>
      <c r="I9" s="1">
        <f>('Kwh Consumption'!M10+'Kwh Consumption'!N10+'Kwh Consumption'!O10+'Kwh Consumption'!P10+'Kwh Consumption'!Q10+'Kwh Consumption'!R10)</f>
        <v>5380.0000000000528</v>
      </c>
      <c r="J9" s="1">
        <f>('Kwh Consumption'!S10+'Kwh Consumption'!T10)</f>
        <v>6150.3600000012666</v>
      </c>
      <c r="K9" s="1">
        <f>'Kwh Consumption'!U10</f>
        <v>260.00000000001933</v>
      </c>
      <c r="L9" s="32">
        <f t="shared" si="0"/>
        <v>6559.6399999984833</v>
      </c>
    </row>
    <row r="10" spans="1:12" x14ac:dyDescent="0.25">
      <c r="A10" s="14">
        <f>'Kwh Reading'!A11</f>
        <v>44294</v>
      </c>
      <c r="B10" s="83">
        <f>TOTAL!E9</f>
        <v>24889.999999999192</v>
      </c>
      <c r="C10" s="1">
        <f>'Kwh Consumption'!C11</f>
        <v>550.00000000001137</v>
      </c>
      <c r="D10" s="1">
        <f>'Kwh Consumption'!D11</f>
        <v>2600.0000000001578</v>
      </c>
      <c r="E10" s="1">
        <f>'Kwh Consumption'!E11</f>
        <v>240.00000000000909</v>
      </c>
      <c r="F10" s="1">
        <f>('Kwh Consumption'!F11+'Kwh Consumption'!G11+'Kwh Consumption'!H11)</f>
        <v>900.00000000000568</v>
      </c>
      <c r="G10" s="16">
        <f>('Kwh Consumption'!I11+'Kwh Consumption'!J11)</f>
        <v>450.00000000001705</v>
      </c>
      <c r="H10" s="1">
        <f>('Kwh Consumption'!K11+'Kwh Consumption'!L11)</f>
        <v>1679.9999999999784</v>
      </c>
      <c r="I10" s="1">
        <f>('Kwh Consumption'!M11+'Kwh Consumption'!N11+'Kwh Consumption'!O11+'Kwh Consumption'!P11+'Kwh Consumption'!Q11+'Kwh Consumption'!R11)</f>
        <v>5589.9999999999745</v>
      </c>
      <c r="J10" s="1">
        <f>('Kwh Consumption'!S11+'Kwh Consumption'!T11)</f>
        <v>6232.019999999553</v>
      </c>
      <c r="K10" s="1">
        <f>'Kwh Consumption'!U11</f>
        <v>310.00000000000227</v>
      </c>
      <c r="L10" s="32">
        <f t="shared" si="0"/>
        <v>6337.9799999994848</v>
      </c>
    </row>
    <row r="11" spans="1:12" x14ac:dyDescent="0.25">
      <c r="A11" s="14">
        <f>'Kwh Reading'!A12</f>
        <v>44295</v>
      </c>
      <c r="B11" s="83">
        <f>TOTAL!E10</f>
        <v>22380.000000000793</v>
      </c>
      <c r="C11" s="1">
        <f>'Kwh Consumption'!C12</f>
        <v>259.99999999999091</v>
      </c>
      <c r="D11" s="1">
        <f>'Kwh Consumption'!D12</f>
        <v>2499.9999999999468</v>
      </c>
      <c r="E11" s="1">
        <f>'Kwh Consumption'!E12</f>
        <v>229.99999999998977</v>
      </c>
      <c r="F11" s="1">
        <f>('Kwh Consumption'!F12+'Kwh Consumption'!G12+'Kwh Consumption'!H12)</f>
        <v>879.99999999999545</v>
      </c>
      <c r="G11" s="16">
        <f>('Kwh Consumption'!I12+'Kwh Consumption'!J12)</f>
        <v>459.99999999997954</v>
      </c>
      <c r="H11" s="1">
        <f>('Kwh Consumption'!K12+'Kwh Consumption'!L12)</f>
        <v>1679.9999999999216</v>
      </c>
      <c r="I11" s="1">
        <f>('Kwh Consumption'!M12+'Kwh Consumption'!N12+'Kwh Consumption'!O12+'Kwh Consumption'!P12+'Kwh Consumption'!Q12+'Kwh Consumption'!R12)</f>
        <v>4919.9999999999582</v>
      </c>
      <c r="J11" s="1">
        <f>('Kwh Consumption'!S12+'Kwh Consumption'!T12)</f>
        <v>5209.5999999996275</v>
      </c>
      <c r="K11" s="1">
        <f>'Kwh Consumption'!U12</f>
        <v>269.99999999998181</v>
      </c>
      <c r="L11" s="32">
        <f t="shared" si="0"/>
        <v>5970.4000000014021</v>
      </c>
    </row>
    <row r="12" spans="1:12" x14ac:dyDescent="0.25">
      <c r="A12" s="14">
        <f>'Kwh Reading'!A13</f>
        <v>44296</v>
      </c>
      <c r="B12" s="83">
        <f>TOTAL!E11</f>
        <v>24859.999999999218</v>
      </c>
      <c r="C12" s="1">
        <f>'Kwh Consumption'!C13</f>
        <v>540.00000000002046</v>
      </c>
      <c r="D12" s="1">
        <f>'Kwh Consumption'!D13</f>
        <v>2499.9999999999468</v>
      </c>
      <c r="E12" s="1">
        <f>'Kwh Consumption'!E13</f>
        <v>230.00000000001819</v>
      </c>
      <c r="F12" s="1">
        <f>('Kwh Consumption'!F13+'Kwh Consumption'!G13+'Kwh Consumption'!H13)</f>
        <v>959.99999999997954</v>
      </c>
      <c r="G12" s="16">
        <f>('Kwh Consumption'!I13+'Kwh Consumption'!J13)</f>
        <v>460.00000000002217</v>
      </c>
      <c r="H12" s="1">
        <f>('Kwh Consumption'!K13+'Kwh Consumption'!L13)</f>
        <v>1810.0000000000307</v>
      </c>
      <c r="I12" s="1">
        <f>('Kwh Consumption'!M13+'Kwh Consumption'!N13+'Kwh Consumption'!O13+'Kwh Consumption'!P13+'Kwh Consumption'!Q13+'Kwh Consumption'!R13)</f>
        <v>5590.0000000000309</v>
      </c>
      <c r="J12" s="1">
        <f>('Kwh Consumption'!S13+'Kwh Consumption'!T13)</f>
        <v>5859.5400000000373</v>
      </c>
      <c r="K12" s="1">
        <f>'Kwh Consumption'!U13</f>
        <v>270.00000000001023</v>
      </c>
      <c r="L12" s="32">
        <f t="shared" si="0"/>
        <v>6640.4599999991251</v>
      </c>
    </row>
    <row r="13" spans="1:12" x14ac:dyDescent="0.25">
      <c r="A13" s="14">
        <f>'Kwh Reading'!A14</f>
        <v>44297</v>
      </c>
      <c r="B13" s="83">
        <f>TOTAL!E12</f>
        <v>23700.000000000953</v>
      </c>
      <c r="C13" s="1">
        <f>'Kwh Consumption'!C14</f>
        <v>480.00000000001819</v>
      </c>
      <c r="D13" s="1">
        <f>'Kwh Consumption'!D14</f>
        <v>2299.9999999999686</v>
      </c>
      <c r="E13" s="1">
        <f>'Kwh Consumption'!E14</f>
        <v>199.99999999998863</v>
      </c>
      <c r="F13" s="1">
        <f>('Kwh Consumption'!F14+'Kwh Consumption'!G14+'Kwh Consumption'!H14)</f>
        <v>700.00000000001705</v>
      </c>
      <c r="G13" s="16">
        <f>('Kwh Consumption'!I14+'Kwh Consumption'!J14)</f>
        <v>409.99999999999659</v>
      </c>
      <c r="H13" s="1">
        <f>('Kwh Consumption'!K14+'Kwh Consumption'!L14)</f>
        <v>1670.0000000000443</v>
      </c>
      <c r="I13" s="1">
        <f>('Kwh Consumption'!M14+'Kwh Consumption'!N14+'Kwh Consumption'!O14+'Kwh Consumption'!P14+'Kwh Consumption'!Q14+'Kwh Consumption'!R14)</f>
        <v>5259.9999999999909</v>
      </c>
      <c r="J13" s="1">
        <f>('Kwh Consumption'!S14+'Kwh Consumption'!T14)</f>
        <v>5322.0100000007078</v>
      </c>
      <c r="K13" s="1">
        <f>'Kwh Consumption'!U14</f>
        <v>240.00000000000909</v>
      </c>
      <c r="L13" s="32">
        <f t="shared" si="0"/>
        <v>7117.9900000002126</v>
      </c>
    </row>
    <row r="14" spans="1:12" x14ac:dyDescent="0.25">
      <c r="A14" s="14">
        <f>'Kwh Reading'!A15</f>
        <v>44298</v>
      </c>
      <c r="B14" s="83">
        <f>TOTAL!E13</f>
        <v>23129.999999999884</v>
      </c>
      <c r="C14" s="1">
        <f>'Kwh Consumption'!C15</f>
        <v>500</v>
      </c>
      <c r="D14" s="1">
        <f>'Kwh Consumption'!D15</f>
        <v>2499.9999999999468</v>
      </c>
      <c r="E14" s="1">
        <f>'Kwh Consumption'!E15</f>
        <v>229.99999999998977</v>
      </c>
      <c r="F14" s="1">
        <f>('Kwh Consumption'!F15+'Kwh Consumption'!G15+'Kwh Consumption'!H15)</f>
        <v>799.99999999998295</v>
      </c>
      <c r="G14" s="16">
        <f>('Kwh Consumption'!I15+'Kwh Consumption'!J15)</f>
        <v>430.00000000000682</v>
      </c>
      <c r="H14" s="1">
        <f>('Kwh Consumption'!K15+'Kwh Consumption'!L15)</f>
        <v>1759.9999999999909</v>
      </c>
      <c r="I14" s="1">
        <f>('Kwh Consumption'!M15+'Kwh Consumption'!N15+'Kwh Consumption'!O15+'Kwh Consumption'!P15+'Kwh Consumption'!Q15+'Kwh Consumption'!R15)</f>
        <v>5360.0000000001273</v>
      </c>
      <c r="J14" s="1">
        <f>('Kwh Consumption'!S15+'Kwh Consumption'!T15)</f>
        <v>5521.3399999989197</v>
      </c>
      <c r="K14" s="1">
        <f>'Kwh Consumption'!U15</f>
        <v>239.99999999998067</v>
      </c>
      <c r="L14" s="32">
        <f t="shared" si="0"/>
        <v>5788.660000000943</v>
      </c>
    </row>
    <row r="15" spans="1:12" x14ac:dyDescent="0.25">
      <c r="A15" s="14">
        <f>'Kwh Reading'!A16</f>
        <v>44299</v>
      </c>
      <c r="B15" s="83">
        <f>TOTAL!E14</f>
        <v>24079.999999999698</v>
      </c>
      <c r="C15" s="1">
        <f>'Kwh Consumption'!C16</f>
        <v>490.00000000000909</v>
      </c>
      <c r="D15" s="1">
        <f>'Kwh Consumption'!D16</f>
        <v>2200.0000000002019</v>
      </c>
      <c r="E15" s="1">
        <f>'Kwh Consumption'!E16</f>
        <v>240.00000000000909</v>
      </c>
      <c r="F15" s="1">
        <f>('Kwh Consumption'!F16+'Kwh Consumption'!G16+'Kwh Consumption'!H16)</f>
        <v>620.00000000003297</v>
      </c>
      <c r="G15" s="16">
        <f>('Kwh Consumption'!I16+'Kwh Consumption'!J16)</f>
        <v>390.00000000000057</v>
      </c>
      <c r="H15" s="1">
        <f>('Kwh Consumption'!K16+'Kwh Consumption'!L16)</f>
        <v>1670.0000000000443</v>
      </c>
      <c r="I15" s="1">
        <f>('Kwh Consumption'!M16+'Kwh Consumption'!N16+'Kwh Consumption'!O16+'Kwh Consumption'!P16+'Kwh Consumption'!Q16+'Kwh Consumption'!R16)</f>
        <v>5109.9999999999</v>
      </c>
      <c r="J15" s="1">
        <f>('Kwh Consumption'!S16+'Kwh Consumption'!T16)</f>
        <v>5387.6800000006333</v>
      </c>
      <c r="K15" s="1">
        <f>'Kwh Consumption'!U16</f>
        <v>219.99999999999886</v>
      </c>
      <c r="L15" s="32">
        <f t="shared" si="0"/>
        <v>7752.3199999988674</v>
      </c>
    </row>
    <row r="16" spans="1:12" x14ac:dyDescent="0.25">
      <c r="A16" s="14">
        <f>'Kwh Reading'!A17</f>
        <v>44300</v>
      </c>
      <c r="B16" s="83">
        <f>TOTAL!E15</f>
        <v>23059.999999999265</v>
      </c>
      <c r="C16" s="1">
        <f>'Kwh Consumption'!C17</f>
        <v>469.99999999997044</v>
      </c>
      <c r="D16" s="1">
        <f>'Kwh Consumption'!D17</f>
        <v>2499.9999999999468</v>
      </c>
      <c r="E16" s="1">
        <f>'Kwh Consumption'!E17</f>
        <v>210.00000000000796</v>
      </c>
      <c r="F16" s="1">
        <f>('Kwh Consumption'!F17+'Kwh Consumption'!G17+'Kwh Consumption'!H17)</f>
        <v>709.99999999997954</v>
      </c>
      <c r="G16" s="16">
        <f>('Kwh Consumption'!I17+'Kwh Consumption'!J17)</f>
        <v>299.99999999998295</v>
      </c>
      <c r="H16" s="1">
        <f>('Kwh Consumption'!K17+'Kwh Consumption'!L17)</f>
        <v>1769.9999999999534</v>
      </c>
      <c r="I16" s="1">
        <f>('Kwh Consumption'!M17+'Kwh Consumption'!N17+'Kwh Consumption'!O17+'Kwh Consumption'!P17+'Kwh Consumption'!Q17+'Kwh Consumption'!R17)</f>
        <v>5389.9999999999864</v>
      </c>
      <c r="J16" s="1">
        <f>('Kwh Consumption'!S17+'Kwh Consumption'!T17)</f>
        <v>6048.4599999999627</v>
      </c>
      <c r="K16" s="1">
        <f>'Kwh Consumption'!U17</f>
        <v>250</v>
      </c>
      <c r="L16" s="32">
        <f t="shared" si="0"/>
        <v>5411.5399999994806</v>
      </c>
    </row>
    <row r="17" spans="1:12" x14ac:dyDescent="0.25">
      <c r="A17" s="14">
        <f>'Kwh Reading'!A18</f>
        <v>44301</v>
      </c>
      <c r="B17" s="83">
        <f>TOTAL!E16</f>
        <v>23770.000000000211</v>
      </c>
      <c r="C17" s="1">
        <f>'Kwh Consumption'!C18</f>
        <v>459.99999999997954</v>
      </c>
      <c r="D17" s="1">
        <f>'Kwh Consumption'!D18</f>
        <v>2400.0000000001796</v>
      </c>
      <c r="E17" s="1">
        <f>'Kwh Consumption'!E18</f>
        <v>180.00000000000682</v>
      </c>
      <c r="F17" s="1">
        <f>('Kwh Consumption'!F18+'Kwh Consumption'!G18+'Kwh Consumption'!H18)</f>
        <v>599.99999999999432</v>
      </c>
      <c r="G17" s="16">
        <f>('Kwh Consumption'!I18+'Kwh Consumption'!J18)</f>
        <v>380.00000000000966</v>
      </c>
      <c r="H17" s="1">
        <f>('Kwh Consumption'!K18+'Kwh Consumption'!L18)</f>
        <v>1680.0000000000352</v>
      </c>
      <c r="I17" s="1">
        <f>('Kwh Consumption'!M18+'Kwh Consumption'!N18+'Kwh Consumption'!O18+'Kwh Consumption'!P18+'Kwh Consumption'!Q18+'Kwh Consumption'!R18)</f>
        <v>5300.0000000001246</v>
      </c>
      <c r="J17" s="1">
        <f>('Kwh Consumption'!S18+'Kwh Consumption'!T18)</f>
        <v>4911.9199999999255</v>
      </c>
      <c r="K17" s="31">
        <f>'Kwh Consumption'!U18</f>
        <v>250</v>
      </c>
      <c r="L17" s="32">
        <f t="shared" si="0"/>
        <v>7608.0799999999581</v>
      </c>
    </row>
    <row r="18" spans="1:12" x14ac:dyDescent="0.25">
      <c r="A18" s="14">
        <f>'Kwh Reading'!A19</f>
        <v>44302</v>
      </c>
      <c r="B18" s="83">
        <f>TOTAL!E17</f>
        <v>21109.999999999898</v>
      </c>
      <c r="C18" s="1">
        <f>'Kwh Consumption'!C19</f>
        <v>250</v>
      </c>
      <c r="D18" s="1">
        <f>'Kwh Consumption'!D19</f>
        <v>2299.9999999999686</v>
      </c>
      <c r="E18" s="1">
        <f>'Kwh Consumption'!E19</f>
        <v>169.99999999998749</v>
      </c>
      <c r="F18" s="1">
        <f>('Kwh Consumption'!F19+'Kwh Consumption'!G19+'Kwh Consumption'!H19)</f>
        <v>560.00000000000227</v>
      </c>
      <c r="G18" s="16">
        <f>('Kwh Consumption'!I19+'Kwh Consumption'!J19)</f>
        <v>349.99999999999432</v>
      </c>
      <c r="H18" s="1">
        <f>('Kwh Consumption'!K19+'Kwh Consumption'!L19)</f>
        <v>1509.9999999999056</v>
      </c>
      <c r="I18" s="1">
        <f>('Kwh Consumption'!M19+'Kwh Consumption'!N19+'Kwh Consumption'!O19+'Kwh Consumption'!P19+'Kwh Consumption'!Q19+'Kwh Consumption'!R19)</f>
        <v>4669.9999999999591</v>
      </c>
      <c r="J18" s="1">
        <f>('Kwh Consumption'!S19+'Kwh Consumption'!T19)</f>
        <v>4671.6900000004098</v>
      </c>
      <c r="K18" s="31">
        <f>'Kwh Consumption'!U19</f>
        <v>240.00000000000909</v>
      </c>
      <c r="L18" s="32">
        <f t="shared" si="0"/>
        <v>6388.3099999996612</v>
      </c>
    </row>
    <row r="19" spans="1:12" x14ac:dyDescent="0.25">
      <c r="A19" s="14">
        <f>'Kwh Reading'!A20</f>
        <v>44303</v>
      </c>
      <c r="B19" s="83">
        <f>TOTAL!E18</f>
        <v>21950.000000000728</v>
      </c>
      <c r="C19" s="1">
        <f>'Kwh Consumption'!C20</f>
        <v>439.99999999999773</v>
      </c>
      <c r="D19" s="1">
        <f>'Kwh Consumption'!D20</f>
        <v>2399.9999999997358</v>
      </c>
      <c r="E19" s="1">
        <f>'Kwh Consumption'!E20</f>
        <v>180.00000000000682</v>
      </c>
      <c r="F19" s="1">
        <f>('Kwh Consumption'!F20+'Kwh Consumption'!G20+'Kwh Consumption'!H20)</f>
        <v>579.99999999998408</v>
      </c>
      <c r="G19" s="16">
        <f>('Kwh Consumption'!I20+'Kwh Consumption'!J20)</f>
        <v>420.00000000000171</v>
      </c>
      <c r="H19" s="1">
        <f>('Kwh Consumption'!K20+'Kwh Consumption'!L20)</f>
        <v>1730.000000000075</v>
      </c>
      <c r="I19" s="1">
        <f>('Kwh Consumption'!M20+'Kwh Consumption'!N20+'Kwh Consumption'!O20+'Kwh Consumption'!P20+'Kwh Consumption'!Q20+'Kwh Consumption'!R20)</f>
        <v>5119.9999999998909</v>
      </c>
      <c r="J19" s="1">
        <f>('Kwh Consumption'!S20+'Kwh Consumption'!T20)</f>
        <v>5257.359999999404</v>
      </c>
      <c r="K19" s="1">
        <f>'Kwh Consumption'!U20</f>
        <v>319.99999999999318</v>
      </c>
      <c r="L19" s="32">
        <f t="shared" si="0"/>
        <v>5502.640000001642</v>
      </c>
    </row>
    <row r="20" spans="1:12" x14ac:dyDescent="0.25">
      <c r="A20" s="14">
        <f>'Kwh Reading'!A21</f>
        <v>44304</v>
      </c>
      <c r="B20" s="83">
        <f>TOTAL!E19</f>
        <v>21359.999999999218</v>
      </c>
      <c r="C20" s="1">
        <f>'Kwh Consumption'!C21</f>
        <v>450.00000000004547</v>
      </c>
      <c r="D20" s="1">
        <f>'Kwh Consumption'!D21</f>
        <v>2500.0000000003906</v>
      </c>
      <c r="E20" s="1">
        <f>'Kwh Consumption'!E21</f>
        <v>210.00000000000796</v>
      </c>
      <c r="F20" s="1">
        <f>('Kwh Consumption'!F21+'Kwh Consumption'!G21+'Kwh Consumption'!H21)</f>
        <v>730.00000000001819</v>
      </c>
      <c r="G20" s="16">
        <f>('Kwh Consumption'!I21+'Kwh Consumption'!J21)</f>
        <v>440.00000000001194</v>
      </c>
      <c r="H20" s="1">
        <f>('Kwh Consumption'!K21+'Kwh Consumption'!L21)</f>
        <v>1689.9999999999977</v>
      </c>
      <c r="I20" s="1">
        <f>('Kwh Consumption'!M21+'Kwh Consumption'!N21+'Kwh Consumption'!O21+'Kwh Consumption'!P21+'Kwh Consumption'!Q21+'Kwh Consumption'!R21)</f>
        <v>4900.0000000002037</v>
      </c>
      <c r="J20" s="1">
        <f>('Kwh Consumption'!S21+'Kwh Consumption'!T21)</f>
        <v>4739.5999999996275</v>
      </c>
      <c r="K20" s="1">
        <f>'Kwh Consumption'!U21</f>
        <v>219.99999999999886</v>
      </c>
      <c r="L20" s="32">
        <f t="shared" si="0"/>
        <v>5480.3999999989164</v>
      </c>
    </row>
    <row r="21" spans="1:12" x14ac:dyDescent="0.25">
      <c r="A21" s="14">
        <f>'Kwh Reading'!A22</f>
        <v>44305</v>
      </c>
      <c r="B21" s="83">
        <f>TOTAL!E20</f>
        <v>21170.000000000528</v>
      </c>
      <c r="C21" s="1">
        <f>'Kwh Consumption'!C22</f>
        <v>449.99999999998863</v>
      </c>
      <c r="D21" s="1">
        <f>'Kwh Consumption'!D22</f>
        <v>2299.9999999999686</v>
      </c>
      <c r="E21" s="1">
        <f>'Kwh Consumption'!E22</f>
        <v>189.99999999999773</v>
      </c>
      <c r="F21" s="1">
        <f>('Kwh Consumption'!F22+'Kwh Consumption'!G22+'Kwh Consumption'!H22)</f>
        <v>449.99999999998863</v>
      </c>
      <c r="G21" s="16">
        <f>('Kwh Consumption'!I22+'Kwh Consumption'!J22)</f>
        <v>399.99999999999147</v>
      </c>
      <c r="H21" s="1">
        <f>('Kwh Consumption'!K22+'Kwh Consumption'!L22)</f>
        <v>1609.9999999999568</v>
      </c>
      <c r="I21" s="1">
        <f>('Kwh Consumption'!M22+'Kwh Consumption'!N22+'Kwh Consumption'!O22+'Kwh Consumption'!P22+'Kwh Consumption'!Q22+'Kwh Consumption'!R22)</f>
        <v>4749.9999999998863</v>
      </c>
      <c r="J21" s="1">
        <f>('Kwh Consumption'!S22+'Kwh Consumption'!T22)</f>
        <v>4882.980000000447</v>
      </c>
      <c r="K21" s="1">
        <f>'Kwh Consumption'!U22</f>
        <v>260.00000000001933</v>
      </c>
      <c r="L21" s="32">
        <f t="shared" si="0"/>
        <v>5877.0200000002833</v>
      </c>
    </row>
    <row r="22" spans="1:12" x14ac:dyDescent="0.25">
      <c r="A22" s="14">
        <f>'Kwh Reading'!A23</f>
        <v>44306</v>
      </c>
      <c r="B22" s="83">
        <f>TOTAL!E21</f>
        <v>21519.999999999302</v>
      </c>
      <c r="C22" s="1">
        <f>'Kwh Consumption'!C23</f>
        <v>490.00000000000909</v>
      </c>
      <c r="D22" s="1">
        <f>'Kwh Consumption'!D23</f>
        <v>2199.9999999997576</v>
      </c>
      <c r="E22" s="1">
        <f>'Kwh Consumption'!E23</f>
        <v>169.99999999998749</v>
      </c>
      <c r="F22" s="1">
        <f>('Kwh Consumption'!F23+'Kwh Consumption'!G23+'Kwh Consumption'!H23)</f>
        <v>280.00000000002956</v>
      </c>
      <c r="G22" s="16">
        <f>('Kwh Consumption'!I23+'Kwh Consumption'!J23)</f>
        <v>439.99999999998352</v>
      </c>
      <c r="H22" s="1">
        <f>('Kwh Consumption'!K23+'Kwh Consumption'!L23)</f>
        <v>1539.999999999992</v>
      </c>
      <c r="I22" s="1">
        <f>('Kwh Consumption'!M23+'Kwh Consumption'!N23+'Kwh Consumption'!O23+'Kwh Consumption'!P23+'Kwh Consumption'!Q23+'Kwh Consumption'!R23)</f>
        <v>4869.9999999999472</v>
      </c>
      <c r="J22" s="1">
        <f>('Kwh Consumption'!S23+'Kwh Consumption'!T23)</f>
        <v>4896.9799999995157</v>
      </c>
      <c r="K22" s="1">
        <f>'Kwh Consumption'!U23</f>
        <v>239.99999999998067</v>
      </c>
      <c r="L22" s="32">
        <f t="shared" si="0"/>
        <v>6393.0200000001014</v>
      </c>
    </row>
    <row r="23" spans="1:12" x14ac:dyDescent="0.25">
      <c r="A23" s="14">
        <f>'Kwh Reading'!A24</f>
        <v>44307</v>
      </c>
      <c r="B23" s="83">
        <f>TOTAL!E22</f>
        <v>22850.000000000364</v>
      </c>
      <c r="C23" s="1">
        <f>'Kwh Consumption'!C24</f>
        <v>509.99999999999091</v>
      </c>
      <c r="D23" s="1">
        <f>'Kwh Consumption'!D24</f>
        <v>2499.9999999999468</v>
      </c>
      <c r="E23" s="1">
        <f>'Kwh Consumption'!E24</f>
        <v>199.99999999998863</v>
      </c>
      <c r="F23" s="1">
        <f>('Kwh Consumption'!F24+'Kwh Consumption'!G24+'Kwh Consumption'!H24)</f>
        <v>480.00000000001819</v>
      </c>
      <c r="G23" s="16">
        <f>('Kwh Consumption'!I24+'Kwh Consumption'!J24)</f>
        <v>379.99999999999545</v>
      </c>
      <c r="H23" s="1">
        <f>('Kwh Consumption'!K24+'Kwh Consumption'!L24)</f>
        <v>1620.0000000000898</v>
      </c>
      <c r="I23" s="1">
        <f>('Kwh Consumption'!M24+'Kwh Consumption'!N24+'Kwh Consumption'!O24+'Kwh Consumption'!P24+'Kwh Consumption'!Q24+'Kwh Consumption'!R24)</f>
        <v>5019.9999999999818</v>
      </c>
      <c r="J23" s="1">
        <f>('Kwh Consumption'!S24+'Kwh Consumption'!T24)</f>
        <v>5435.0300000002608</v>
      </c>
      <c r="K23" s="1">
        <f>'Kwh Consumption'!U24</f>
        <v>240.00000000000909</v>
      </c>
      <c r="L23" s="32">
        <f t="shared" si="0"/>
        <v>6464.9700000000794</v>
      </c>
    </row>
    <row r="24" spans="1:12" x14ac:dyDescent="0.25">
      <c r="A24" s="14">
        <f>'Kwh Reading'!A25</f>
        <v>44308</v>
      </c>
      <c r="B24" s="83">
        <f>TOTAL!E23</f>
        <v>22410.000000000084</v>
      </c>
      <c r="C24" s="1">
        <f>'Kwh Consumption'!C25</f>
        <v>469.99999999997044</v>
      </c>
      <c r="D24" s="1">
        <f>'Kwh Consumption'!D25</f>
        <v>2400.0000000001796</v>
      </c>
      <c r="E24" s="1">
        <f>'Kwh Consumption'!E25</f>
        <v>200.00000000001705</v>
      </c>
      <c r="F24" s="1">
        <f>('Kwh Consumption'!F25+'Kwh Consumption'!G25+'Kwh Consumption'!H25)</f>
        <v>469.99999999994202</v>
      </c>
      <c r="G24" s="16">
        <f>('Kwh Consumption'!I25+'Kwh Consumption'!J25)</f>
        <v>420.00000000003013</v>
      </c>
      <c r="H24" s="1">
        <f>('Kwh Consumption'!K25+'Kwh Consumption'!L25)</f>
        <v>1729.9999999998761</v>
      </c>
      <c r="I24" s="1">
        <f>('Kwh Consumption'!M25+'Kwh Consumption'!N25+'Kwh Consumption'!O25+'Kwh Consumption'!P25+'Kwh Consumption'!Q25+'Kwh Consumption'!R25)</f>
        <v>5170.0000000000164</v>
      </c>
      <c r="J24" s="1">
        <f>('Kwh Consumption'!S25+'Kwh Consumption'!T25)</f>
        <v>5477.4900000002235</v>
      </c>
      <c r="K24" s="1">
        <f>'Kwh Consumption'!U25</f>
        <v>300.00000000001137</v>
      </c>
      <c r="L24" s="32">
        <f t="shared" si="0"/>
        <v>5772.5099999998183</v>
      </c>
    </row>
    <row r="25" spans="1:12" x14ac:dyDescent="0.25">
      <c r="A25" s="14">
        <f>'Kwh Reading'!A26</f>
        <v>44309</v>
      </c>
      <c r="B25" s="83">
        <f>TOTAL!E24</f>
        <v>22340.000000000375</v>
      </c>
      <c r="C25" s="1">
        <f>'Kwh Consumption'!C26</f>
        <v>270.00000000003865</v>
      </c>
      <c r="D25" s="1">
        <f>'Kwh Consumption'!D26</f>
        <v>2499.9999999999468</v>
      </c>
      <c r="E25" s="1">
        <f>'Kwh Consumption'!E26</f>
        <v>229.99999999998977</v>
      </c>
      <c r="F25" s="1">
        <f>('Kwh Consumption'!F26+'Kwh Consumption'!G26+'Kwh Consumption'!H26)</f>
        <v>610.00000000004206</v>
      </c>
      <c r="G25" s="16">
        <f>('Kwh Consumption'!I26+'Kwh Consumption'!J26)</f>
        <v>419.99999999998749</v>
      </c>
      <c r="H25" s="1">
        <f>('Kwh Consumption'!K26+'Kwh Consumption'!L26)</f>
        <v>1800.0000000000682</v>
      </c>
      <c r="I25" s="1">
        <f>('Kwh Consumption'!M26+'Kwh Consumption'!N26+'Kwh Consumption'!O26+'Kwh Consumption'!P26+'Kwh Consumption'!Q26+'Kwh Consumption'!R26)</f>
        <v>5389.9999999999864</v>
      </c>
      <c r="J25" s="1">
        <f>('Kwh Consumption'!S26+'Kwh Consumption'!T26)</f>
        <v>5538.8300000000745</v>
      </c>
      <c r="K25" s="1">
        <f>'Kwh Consumption'!U26</f>
        <v>289.99999999999204</v>
      </c>
      <c r="L25" s="32">
        <f t="shared" si="0"/>
        <v>5291.1700000002465</v>
      </c>
    </row>
    <row r="26" spans="1:12" x14ac:dyDescent="0.25">
      <c r="A26" s="14">
        <f>'Kwh Reading'!A27</f>
        <v>44310</v>
      </c>
      <c r="B26" s="83">
        <f>TOTAL!E25</f>
        <v>21949.999999999818</v>
      </c>
      <c r="C26" s="1">
        <f>'Kwh Consumption'!C27</f>
        <v>469.99999999997044</v>
      </c>
      <c r="D26" s="1">
        <f>'Kwh Consumption'!D27</f>
        <v>2400.0000000001796</v>
      </c>
      <c r="E26" s="1">
        <f>'Kwh Consumption'!E27</f>
        <v>200.00000000001705</v>
      </c>
      <c r="F26" s="1">
        <f>('Kwh Consumption'!F27+'Kwh Consumption'!G27+'Kwh Consumption'!H27)</f>
        <v>699.99999999996021</v>
      </c>
      <c r="G26" s="16">
        <f>('Kwh Consumption'!I27+'Kwh Consumption'!J27)</f>
        <v>430.00000000000682</v>
      </c>
      <c r="H26" s="1">
        <f>('Kwh Consumption'!K27+'Kwh Consumption'!L27)</f>
        <v>1659.9999999999966</v>
      </c>
      <c r="I26" s="1">
        <f>('Kwh Consumption'!M27+'Kwh Consumption'!N27+'Kwh Consumption'!O27+'Kwh Consumption'!P27+'Kwh Consumption'!Q27+'Kwh Consumption'!R27)</f>
        <v>4580.0000000000409</v>
      </c>
      <c r="J26" s="1">
        <f>('Kwh Consumption'!S27+'Kwh Consumption'!T27)</f>
        <v>5314.5599999995902</v>
      </c>
      <c r="K26" s="1">
        <f>'Kwh Consumption'!U27</f>
        <v>229.99999999998977</v>
      </c>
      <c r="L26" s="32">
        <f t="shared" si="0"/>
        <v>5965.4400000000669</v>
      </c>
    </row>
    <row r="27" spans="1:12" x14ac:dyDescent="0.25">
      <c r="A27" s="14">
        <f>'Kwh Reading'!A28</f>
        <v>44311</v>
      </c>
      <c r="B27" s="83">
        <f>TOTAL!E26</f>
        <v>23159.999999999854</v>
      </c>
      <c r="C27" s="1">
        <f>'Kwh Consumption'!C28</f>
        <v>490.00000000000909</v>
      </c>
      <c r="D27" s="1">
        <f>'Kwh Consumption'!D28</f>
        <v>2599.9999999997135</v>
      </c>
      <c r="E27" s="1">
        <f>'Kwh Consumption'!E28</f>
        <v>229.99999999998977</v>
      </c>
      <c r="F27" s="1">
        <f>('Kwh Consumption'!F28+'Kwh Consumption'!G28+'Kwh Consumption'!H28)</f>
        <v>509.99999999999091</v>
      </c>
      <c r="G27" s="16">
        <f>('Kwh Consumption'!I28+'Kwh Consumption'!J28)</f>
        <v>370.00000000000455</v>
      </c>
      <c r="H27" s="1">
        <f>('Kwh Consumption'!K28+'Kwh Consumption'!L28)</f>
        <v>1780.000000000058</v>
      </c>
      <c r="I27" s="1">
        <f>('Kwh Consumption'!M28+'Kwh Consumption'!N28+'Kwh Consumption'!O28+'Kwh Consumption'!P28+'Kwh Consumption'!Q28+'Kwh Consumption'!R28)</f>
        <v>4910.0000000000819</v>
      </c>
      <c r="J27" s="1">
        <f>('Kwh Consumption'!S28+'Kwh Consumption'!T28)</f>
        <v>5510.2000000001863</v>
      </c>
      <c r="K27" s="1">
        <f>'Kwh Consumption'!U28</f>
        <v>250</v>
      </c>
      <c r="L27" s="32">
        <f t="shared" si="0"/>
        <v>6509.7999999998228</v>
      </c>
    </row>
    <row r="28" spans="1:12" x14ac:dyDescent="0.25">
      <c r="A28" s="14">
        <f>'Kwh Reading'!A29</f>
        <v>44312</v>
      </c>
      <c r="B28" s="83">
        <f>TOTAL!E27</f>
        <v>23849.999999999454</v>
      </c>
      <c r="C28" s="1">
        <f>'Kwh Consumption'!C29</f>
        <v>470.00000000002728</v>
      </c>
      <c r="D28" s="1">
        <f>'Kwh Consumption'!D29</f>
        <v>2600.0000000001578</v>
      </c>
      <c r="E28" s="1">
        <f>'Kwh Consumption'!E29</f>
        <v>229.99999999998977</v>
      </c>
      <c r="F28" s="1">
        <f>('Kwh Consumption'!F29+'Kwh Consumption'!G29+'Kwh Consumption'!H29)</f>
        <v>760.00000000001933</v>
      </c>
      <c r="G28" s="16">
        <f>('Kwh Consumption'!I29+'Kwh Consumption'!J29)</f>
        <v>429.99999999999261</v>
      </c>
      <c r="H28" s="1">
        <f>('Kwh Consumption'!K29+'Kwh Consumption'!L29)</f>
        <v>1759.9999999999056</v>
      </c>
      <c r="I28" s="1">
        <f>('Kwh Consumption'!M29+'Kwh Consumption'!N29+'Kwh Consumption'!O29+'Kwh Consumption'!P29+'Kwh Consumption'!Q29+'Kwh Consumption'!R29)</f>
        <v>5110.0000000000136</v>
      </c>
      <c r="J28" s="1">
        <f>('Kwh Consumption'!S29+'Kwh Consumption'!T29)</f>
        <v>5580.9300000006333</v>
      </c>
      <c r="K28" s="1">
        <f>'Kwh Consumption'!U29</f>
        <v>230.00000000001819</v>
      </c>
      <c r="L28" s="32">
        <f t="shared" si="0"/>
        <v>6679.0699999986973</v>
      </c>
    </row>
    <row r="29" spans="1:12" x14ac:dyDescent="0.25">
      <c r="A29" s="14">
        <f>'Kwh Reading'!A30</f>
        <v>44313</v>
      </c>
      <c r="B29" s="83">
        <f>TOTAL!E28</f>
        <v>23780.000000000204</v>
      </c>
      <c r="C29" s="1">
        <f>'Kwh Consumption'!C30</f>
        <v>199.99999999998863</v>
      </c>
      <c r="D29" s="1">
        <f>'Kwh Consumption'!D30</f>
        <v>2299.9999999999686</v>
      </c>
      <c r="E29" s="1">
        <f>'Kwh Consumption'!E30</f>
        <v>170.00000000001592</v>
      </c>
      <c r="F29" s="1">
        <f>('Kwh Consumption'!F30+'Kwh Consumption'!G30+'Kwh Consumption'!H30)</f>
        <v>389.99999999998636</v>
      </c>
      <c r="G29" s="16">
        <f>('Kwh Consumption'!I30+'Kwh Consumption'!J30)</f>
        <v>439.99999999999773</v>
      </c>
      <c r="H29" s="1">
        <f>('Kwh Consumption'!K30+'Kwh Consumption'!L30)</f>
        <v>1710.0000000000648</v>
      </c>
      <c r="I29" s="1">
        <f>('Kwh Consumption'!M30+'Kwh Consumption'!N30+'Kwh Consumption'!O30+'Kwh Consumption'!P30+'Kwh Consumption'!Q30+'Kwh Consumption'!R30)</f>
        <v>4689.9999999998272</v>
      </c>
      <c r="J29" s="1">
        <f>('Kwh Consumption'!S30+'Kwh Consumption'!T30)</f>
        <v>5464.8099999995902</v>
      </c>
      <c r="K29" s="1">
        <f>'Kwh Consumption'!U30</f>
        <v>229.99999999998977</v>
      </c>
      <c r="L29" s="32">
        <f t="shared" si="0"/>
        <v>8185.1900000007781</v>
      </c>
    </row>
    <row r="30" spans="1:12" x14ac:dyDescent="0.25">
      <c r="A30" s="14">
        <f>'Kwh Reading'!A31</f>
        <v>44314</v>
      </c>
      <c r="B30" s="83">
        <f>TOTAL!E29</f>
        <v>24210.000000000491</v>
      </c>
      <c r="C30" s="1">
        <f>'Kwh Consumption'!C31</f>
        <v>829.99999999998408</v>
      </c>
      <c r="D30" s="1">
        <f>'Kwh Consumption'!D31</f>
        <v>2499.9999999999468</v>
      </c>
      <c r="E30" s="1">
        <f>'Kwh Consumption'!E31</f>
        <v>209.99999999997954</v>
      </c>
      <c r="F30" s="1">
        <f>('Kwh Consumption'!F31+'Kwh Consumption'!G31+'Kwh Consumption'!H31)</f>
        <v>520.00000000003865</v>
      </c>
      <c r="G30" s="16">
        <f>('Kwh Consumption'!I31+'Kwh Consumption'!J31)</f>
        <v>390.00000000000057</v>
      </c>
      <c r="H30" s="1">
        <f>('Kwh Consumption'!K31+'Kwh Consumption'!L31)</f>
        <v>1819.9999999999079</v>
      </c>
      <c r="I30" s="1">
        <f>('Kwh Consumption'!M31+'Kwh Consumption'!N31+'Kwh Consumption'!O31+'Kwh Consumption'!P31+'Kwh Consumption'!Q31+'Kwh Consumption'!R31)</f>
        <v>5700.0000000000455</v>
      </c>
      <c r="J30" s="1">
        <f>('Kwh Consumption'!S31+'Kwh Consumption'!T31)</f>
        <v>5790.9799999995157</v>
      </c>
      <c r="K30" s="1">
        <f>'Kwh Consumption'!U31</f>
        <v>270.00000000001023</v>
      </c>
      <c r="L30" s="32">
        <f t="shared" si="0"/>
        <v>6179.0200000010618</v>
      </c>
    </row>
    <row r="31" spans="1:12" x14ac:dyDescent="0.25">
      <c r="A31" s="14">
        <f>'Kwh Reading'!A32</f>
        <v>44315</v>
      </c>
      <c r="B31" s="83">
        <f>TOTAL!E30</f>
        <v>23849.999999999905</v>
      </c>
      <c r="C31" s="1">
        <f>'Kwh Consumption'!C32</f>
        <v>480.00000000001819</v>
      </c>
      <c r="D31" s="1">
        <f>'Kwh Consumption'!D32</f>
        <v>8500.0000000001746</v>
      </c>
      <c r="E31" s="1">
        <f>'Kwh Consumption'!E32</f>
        <v>220.00000000002728</v>
      </c>
      <c r="F31" s="1">
        <f>('Kwh Consumption'!F32+'Kwh Consumption'!G32+'Kwh Consumption'!H32)</f>
        <v>619.9999999999477</v>
      </c>
      <c r="G31" s="16">
        <f>('Kwh Consumption'!I32+'Kwh Consumption'!J32)</f>
        <v>399.99999999999147</v>
      </c>
      <c r="H31" s="1">
        <f>('Kwh Consumption'!K32+'Kwh Consumption'!L32)</f>
        <v>1790.0000000001057</v>
      </c>
      <c r="I31" s="1">
        <f>('Kwh Consumption'!M32+'Kwh Consumption'!N32+'Kwh Consumption'!O32+'Kwh Consumption'!P32+'Kwh Consumption'!Q32+'Kwh Consumption'!R32)</f>
        <v>5259.9999999999909</v>
      </c>
      <c r="J31" s="1">
        <f>('Kwh Consumption'!S32+'Kwh Consumption'!T32)</f>
        <v>5653.6200000010431</v>
      </c>
      <c r="K31" s="1">
        <f>'Kwh Consumption'!U32</f>
        <v>250</v>
      </c>
      <c r="L31" s="32">
        <f t="shared" si="0"/>
        <v>676.37999999860767</v>
      </c>
    </row>
    <row r="32" spans="1:12" x14ac:dyDescent="0.25">
      <c r="A32" s="14">
        <f>'Kwh Reading'!A33</f>
        <v>44316</v>
      </c>
      <c r="B32" s="83">
        <f>TOTAL!E31</f>
        <v>23140.000000000102</v>
      </c>
      <c r="C32" s="1">
        <f>'Kwh Consumption'!C33</f>
        <v>269.99999999998181</v>
      </c>
      <c r="D32" s="1">
        <f>'Kwh Consumption'!D33</f>
        <v>-3400.0000000000696</v>
      </c>
      <c r="E32" s="1">
        <f>'Kwh Consumption'!E33</f>
        <v>229.99999999998977</v>
      </c>
      <c r="F32" s="1">
        <f>('Kwh Consumption'!F33+'Kwh Consumption'!G33+'Kwh Consumption'!H33)</f>
        <v>610.00000000004206</v>
      </c>
      <c r="G32" s="16">
        <f>('Kwh Consumption'!I33+'Kwh Consumption'!J33)</f>
        <v>409.99999999999659</v>
      </c>
      <c r="H32" s="1">
        <f>('Kwh Consumption'!K33+'Kwh Consumption'!L33)</f>
        <v>1799.9999999999545</v>
      </c>
      <c r="I32" s="1">
        <f>('Kwh Consumption'!M33+'Kwh Consumption'!N33+'Kwh Consumption'!O33+'Kwh Consumption'!P33+'Kwh Consumption'!Q33+'Kwh Consumption'!R33)</f>
        <v>5570.0000000001064</v>
      </c>
      <c r="J32" s="1">
        <f>('Kwh Consumption'!S33+'Kwh Consumption'!T33)</f>
        <v>5633.9799999995157</v>
      </c>
      <c r="K32" s="1">
        <f>'Kwh Consumption'!U33</f>
        <v>229.99999999998977</v>
      </c>
      <c r="L32" s="32">
        <f t="shared" si="0"/>
        <v>11786.020000000593</v>
      </c>
    </row>
    <row r="33" spans="1:13" x14ac:dyDescent="0.25">
      <c r="A33" s="14">
        <f>'Kwh Reading'!A34</f>
        <v>44317</v>
      </c>
      <c r="B33" s="83">
        <f>TOTAL!E32</f>
        <v>0</v>
      </c>
      <c r="C33" s="1">
        <f>'Kwh Consumption'!C34</f>
        <v>-393190</v>
      </c>
      <c r="D33" s="1">
        <f>'Kwh Consumption'!D34</f>
        <v>-2233200</v>
      </c>
      <c r="E33" s="1">
        <f>'Kwh Consumption'!E34</f>
        <v>-216090</v>
      </c>
      <c r="F33" s="1">
        <f>('Kwh Consumption'!F34+'Kwh Consumption'!G34+'Kwh Consumption'!H34)</f>
        <v>-852900</v>
      </c>
      <c r="G33" s="16">
        <f>('Kwh Consumption'!I34+'Kwh Consumption'!J34)</f>
        <v>-246230</v>
      </c>
      <c r="H33" s="1">
        <f>('Kwh Consumption'!K34+'Kwh Consumption'!L34)</f>
        <v>-1117690</v>
      </c>
      <c r="I33" s="1">
        <f>('Kwh Consumption'!M34+'Kwh Consumption'!N34+'Kwh Consumption'!O34+'Kwh Consumption'!P34+'Kwh Consumption'!Q34+'Kwh Consumption'!R34)</f>
        <v>-3145060</v>
      </c>
      <c r="J33" s="1">
        <f>('Kwh Consumption'!S34+'Kwh Consumption'!T34)</f>
        <v>-15328272.789999999</v>
      </c>
      <c r="K33" s="1">
        <f>'Kwh Consumption'!U34</f>
        <v>-136340</v>
      </c>
      <c r="L33" s="32">
        <f t="shared" si="0"/>
        <v>23668972.789999999</v>
      </c>
    </row>
    <row r="34" spans="1:13" ht="15.75" x14ac:dyDescent="0.25">
      <c r="A34" s="85" t="s">
        <v>121</v>
      </c>
      <c r="B34" s="75">
        <f>SUM(B3:B33)</f>
        <v>708229.9999999993</v>
      </c>
      <c r="C34" s="75">
        <f>SUM(C3:C33)</f>
        <v>-378950</v>
      </c>
      <c r="D34" s="75">
        <f t="shared" ref="D34:L34" si="1">SUM(D3:D33)</f>
        <v>-2158799.9999999995</v>
      </c>
      <c r="E34" s="75">
        <f t="shared" si="1"/>
        <v>-209570</v>
      </c>
      <c r="F34" s="75">
        <f t="shared" si="1"/>
        <v>-830880</v>
      </c>
      <c r="G34" s="75">
        <f t="shared" si="1"/>
        <v>-233850.00000000003</v>
      </c>
      <c r="H34" s="75">
        <f t="shared" si="1"/>
        <v>-1066940</v>
      </c>
      <c r="I34" s="75">
        <f t="shared" si="1"/>
        <v>-2987970</v>
      </c>
      <c r="J34" s="75">
        <f t="shared" si="1"/>
        <v>-15158481.399999999</v>
      </c>
      <c r="K34" s="75">
        <f t="shared" si="1"/>
        <v>-128639.99999999999</v>
      </c>
      <c r="L34" s="75">
        <f t="shared" si="1"/>
        <v>23862311.399999999</v>
      </c>
      <c r="M34" s="84">
        <f>C34+D34+E34+F34+G34+H34+I34+J34+K34+L34</f>
        <v>708230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-53053.000000000007</v>
      </c>
      <c r="D36" s="75">
        <f>D34*B36</f>
        <v>-302231.99999999994</v>
      </c>
      <c r="E36" s="75">
        <f>E34*B36</f>
        <v>-29339.800000000003</v>
      </c>
      <c r="F36" s="75">
        <f>F34*B36</f>
        <v>-116323.20000000001</v>
      </c>
      <c r="G36" s="75">
        <f>G34*B36</f>
        <v>-32739.000000000007</v>
      </c>
      <c r="H36" s="75">
        <f>H34*B36</f>
        <v>-149371.6</v>
      </c>
      <c r="I36" s="75">
        <f>I34*B36</f>
        <v>-418315.80000000005</v>
      </c>
      <c r="J36" s="75">
        <f>J34*B36</f>
        <v>-2122187.3960000002</v>
      </c>
      <c r="K36" s="75">
        <f>K34*B36</f>
        <v>-18009.599999999999</v>
      </c>
      <c r="L36" s="75">
        <f>L34*B36</f>
        <v>3340723.5959999999</v>
      </c>
      <c r="M36" s="84">
        <f>C36+D36+E36+F36+G36+H36+I36+J36+K36+L36</f>
        <v>99152.199999999721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16" sqref="O1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44287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75.600000000002879</v>
      </c>
      <c r="E3" s="1">
        <f>'Kwh Consumption'!D4*' Kwh area wise $ '!B3</f>
        <v>364.00000000002211</v>
      </c>
      <c r="F3" s="1">
        <f>'Kwh Consumption'!E4*' Kwh area wise $ '!B3</f>
        <v>35</v>
      </c>
      <c r="G3" s="1">
        <f>('Kwh Consumption'!F4+'Kwh Consumption'!G4+'Kwh Consumption'!H4)*' Kwh area wise $ '!B3</f>
        <v>145.59999999999889</v>
      </c>
      <c r="H3" s="16">
        <f>('Kwh Consumption'!I4+'Kwh Consumption'!J4)*' Kwh area wise $ '!B3</f>
        <v>65.799999999999841</v>
      </c>
      <c r="I3" s="1">
        <f>('Kwh Consumption'!K4+'Kwh Consumption'!L4)*' Kwh area wise $ '!B3</f>
        <v>222.60000000000846</v>
      </c>
      <c r="J3" s="1">
        <f>('Kwh Consumption'!M4+'Kwh Consumption'!N4+'Kwh Consumption'!O4+'Kwh Consumption'!P4+'Kwh Consumption'!Q4+'Kwh Consumption'!R4)*' Kwh area wise $ '!B3</f>
        <v>757.39999999997974</v>
      </c>
      <c r="K3" s="1">
        <f>('Kwh Consumption'!S4+'Kwh Consumption'!T4)*' Kwh area wise $ '!B3</f>
        <v>903.0056000001357</v>
      </c>
      <c r="L3" s="1">
        <f>'Kwh Consumption'!U4*' Kwh area wise $ '!B3</f>
        <v>37.80000000000144</v>
      </c>
      <c r="M3" s="1">
        <f>'Kwh Consumption'!V4*' Kwh area wise $ '!B3</f>
        <v>965.99439999985123</v>
      </c>
    </row>
    <row r="4" spans="1:13" x14ac:dyDescent="0.25">
      <c r="A4" s="14">
        <f>'Kwh Reading'!A5</f>
        <v>44288</v>
      </c>
      <c r="B4" s="11">
        <f>TOTAL!F3</f>
        <v>0.14000000000000001</v>
      </c>
      <c r="C4" s="11">
        <f>'Kwh Consumption'!B5*' Kwh area wise $ '!B4</f>
        <v>3623.2000000000789</v>
      </c>
      <c r="D4" s="1">
        <f>'Kwh Consumption'!C5*' Kwh area wise $ '!B4</f>
        <v>77.000000000001606</v>
      </c>
      <c r="E4" s="1">
        <f>'Kwh Consumption'!D5*' Kwh area wise $ '!B4</f>
        <v>364.00000000002211</v>
      </c>
      <c r="F4" s="1">
        <f>'Kwh Consumption'!E5*' Kwh area wise $ '!B4</f>
        <v>35</v>
      </c>
      <c r="G4" s="1">
        <f>('Kwh Consumption'!F5+'Kwh Consumption'!G5+'Kwh Consumption'!H5)*' Kwh area wise $ '!B4</f>
        <v>151.20000000000178</v>
      </c>
      <c r="H4" s="16">
        <f>('Kwh Consumption'!I5+'Kwh Consumption'!J5)*' Kwh area wise $ '!B4</f>
        <v>47.599999999998495</v>
      </c>
      <c r="I4" s="1">
        <f>('Kwh Consumption'!K5+'Kwh Consumption'!L5)*' Kwh area wise $ '!B4</f>
        <v>239.39999999999716</v>
      </c>
      <c r="J4" s="1">
        <f>('Kwh Consumption'!M5+'Kwh Consumption'!N5+'Kwh Consumption'!O5+'Kwh Consumption'!P5+'Kwh Consumption'!Q5+'Kwh Consumption'!R5)*' Kwh area wise $ '!B4</f>
        <v>803.60000000001742</v>
      </c>
      <c r="K4" s="1">
        <f>('Kwh Consumption'!S5+'Kwh Consumption'!T5)*' Kwh area wise $ '!B4</f>
        <v>945.42000000000007</v>
      </c>
      <c r="L4" s="1">
        <f>'Kwh Consumption'!U5*' Kwh area wise $ '!B4</f>
        <v>39.200000000000166</v>
      </c>
      <c r="M4" s="1">
        <f>'Kwh Consumption'!V5*' Kwh area wise $ '!B4</f>
        <v>920.78000000004033</v>
      </c>
    </row>
    <row r="5" spans="1:13" x14ac:dyDescent="0.25">
      <c r="A5" s="14">
        <f>'Kwh Reading'!A6</f>
        <v>44289</v>
      </c>
      <c r="B5" s="11">
        <f>TOTAL!F4</f>
        <v>0.14000000000000001</v>
      </c>
      <c r="C5" s="11">
        <f>'Kwh Consumption'!B6*' Kwh area wise $ '!B5</f>
        <v>3576.99999999993</v>
      </c>
      <c r="D5" s="1">
        <f>'Kwh Consumption'!C6*' Kwh area wise $ '!B5</f>
        <v>86.800000000000651</v>
      </c>
      <c r="E5" s="1">
        <f>'Kwh Consumption'!D6*' Kwh area wise $ '!B5</f>
        <v>391.99999999995686</v>
      </c>
      <c r="F5" s="1">
        <f>'Kwh Consumption'!E6*' Kwh area wise $ '!B5</f>
        <v>37.80000000000144</v>
      </c>
      <c r="G5" s="1">
        <f>('Kwh Consumption'!F6+'Kwh Consumption'!G6+'Kwh Consumption'!H6)*' Kwh area wise $ '!B5</f>
        <v>172.19999999999462</v>
      </c>
      <c r="H5" s="16">
        <f>('Kwh Consumption'!I6+'Kwh Consumption'!J6)*' Kwh area wise $ '!B5</f>
        <v>50.400000000001917</v>
      </c>
      <c r="I5" s="1">
        <f>('Kwh Consumption'!K6+'Kwh Consumption'!L6)*' Kwh area wise $ '!B5</f>
        <v>229.60000000000608</v>
      </c>
      <c r="J5" s="1">
        <f>('Kwh Consumption'!M6+'Kwh Consumption'!N6+'Kwh Consumption'!O6+'Kwh Consumption'!P6+'Kwh Consumption'!Q6+'Kwh Consumption'!R6)*' Kwh area wise $ '!B5</f>
        <v>785.40000000000998</v>
      </c>
      <c r="K5" s="1">
        <f>('Kwh Consumption'!S6+'Kwh Consumption'!T6)*' Kwh area wise $ '!B5</f>
        <v>925.72060000000533</v>
      </c>
      <c r="L5" s="1">
        <f>'Kwh Consumption'!U6*' Kwh area wise $ '!B5</f>
        <v>40.599999999998893</v>
      </c>
      <c r="M5" s="1">
        <f>'Kwh Consumption'!V6*' Kwh area wise $ '!B5</f>
        <v>856.47939999995413</v>
      </c>
    </row>
    <row r="6" spans="1:13" x14ac:dyDescent="0.25">
      <c r="A6" s="14">
        <f>'Kwh Reading'!A7</f>
        <v>44290</v>
      </c>
      <c r="B6" s="11">
        <f>TOTAL!F5</f>
        <v>0.14000000000000001</v>
      </c>
      <c r="C6" s="11">
        <f>'Kwh Consumption'!B7*' Kwh area wise $ '!B6</f>
        <v>3763.1999999999834</v>
      </c>
      <c r="D6" s="1">
        <f>'Kwh Consumption'!C7*' Kwh area wise $ '!B6</f>
        <v>79.799999999999059</v>
      </c>
      <c r="E6" s="1">
        <f>'Kwh Consumption'!D7*' Kwh area wise $ '!B6</f>
        <v>349.99999999999261</v>
      </c>
      <c r="F6" s="1">
        <f>'Kwh Consumption'!E7*' Kwh area wise $ '!B6</f>
        <v>30.799999999999844</v>
      </c>
      <c r="G6" s="1">
        <f>('Kwh Consumption'!F7+'Kwh Consumption'!G7+'Kwh Consumption'!H7)*' Kwh area wise $ '!B6</f>
        <v>144.20000000000414</v>
      </c>
      <c r="H6" s="16">
        <f>('Kwh Consumption'!I7+'Kwh Consumption'!J7)*' Kwh area wise $ '!B6</f>
        <v>64.399999999999125</v>
      </c>
      <c r="I6" s="1">
        <f>('Kwh Consumption'!K7+'Kwh Consumption'!L7)*' Kwh area wise $ '!B6</f>
        <v>218.40000000000035</v>
      </c>
      <c r="J6" s="1">
        <f>('Kwh Consumption'!M7+'Kwh Consumption'!N7+'Kwh Consumption'!O7+'Kwh Consumption'!P7+'Kwh Consumption'!Q7+'Kwh Consumption'!R7)*' Kwh area wise $ '!B6</f>
        <v>785.40000000000987</v>
      </c>
      <c r="K6" s="1">
        <f>('Kwh Consumption'!S7+'Kwh Consumption'!T7)*' Kwh area wise $ '!B6</f>
        <v>950.77359999990097</v>
      </c>
      <c r="L6" s="1">
        <f>'Kwh Consumption'!U7*' Kwh area wise $ '!B6</f>
        <v>33.600000000001273</v>
      </c>
      <c r="M6" s="1">
        <f>'Kwh Consumption'!V7*' Kwh area wise $ '!B6</f>
        <v>1105.8264000000763</v>
      </c>
    </row>
    <row r="7" spans="1:13" x14ac:dyDescent="0.25">
      <c r="A7" s="14">
        <f>'Kwh Reading'!A8</f>
        <v>44291</v>
      </c>
      <c r="B7" s="11">
        <f>TOTAL!F6</f>
        <v>0.14000000000000001</v>
      </c>
      <c r="C7" s="11">
        <f>'Kwh Consumption'!B8*' Kwh area wise $ '!B7</f>
        <v>3618.9999999999877</v>
      </c>
      <c r="D7" s="1">
        <f>'Kwh Consumption'!C8*' Kwh area wise $ '!B7</f>
        <v>79.799999999999059</v>
      </c>
      <c r="E7" s="1">
        <f>'Kwh Consumption'!D8*' Kwh area wise $ '!B7</f>
        <v>392.00000000001899</v>
      </c>
      <c r="F7" s="1">
        <f>'Kwh Consumption'!E8*' Kwh area wise $ '!B7</f>
        <v>36.399999999998727</v>
      </c>
      <c r="G7" s="1">
        <f>('Kwh Consumption'!F8+'Kwh Consumption'!G8+'Kwh Consumption'!H8)*' Kwh area wise $ '!B7</f>
        <v>175.00000000000003</v>
      </c>
      <c r="H7" s="16">
        <f>('Kwh Consumption'!I8+'Kwh Consumption'!J8)*' Kwh area wise $ '!B7</f>
        <v>62.999999999998415</v>
      </c>
      <c r="I7" s="1">
        <f>('Kwh Consumption'!K8+'Kwh Consumption'!L8)*' Kwh area wise $ '!B7</f>
        <v>237.99999999999844</v>
      </c>
      <c r="J7" s="1">
        <f>('Kwh Consumption'!M8+'Kwh Consumption'!N8+'Kwh Consumption'!O8+'Kwh Consumption'!P8+'Kwh Consumption'!Q8+'Kwh Consumption'!R8)*' Kwh area wise $ '!B7</f>
        <v>825.99999999998101</v>
      </c>
      <c r="K7" s="1">
        <f>('Kwh Consumption'!S8+'Kwh Consumption'!T8)*' Kwh area wise $ '!B7</f>
        <v>965.01580000009392</v>
      </c>
      <c r="L7" s="1">
        <f>'Kwh Consumption'!U8*' Kwh area wise $ '!B7</f>
        <v>39.200000000000166</v>
      </c>
      <c r="M7" s="1">
        <f>'Kwh Consumption'!V8*' Kwh area wise $ '!B7</f>
        <v>804.5841999998986</v>
      </c>
    </row>
    <row r="8" spans="1:13" x14ac:dyDescent="0.25">
      <c r="A8" s="14">
        <f>'Kwh Reading'!A9</f>
        <v>44292</v>
      </c>
      <c r="B8" s="11">
        <f>TOTAL!F7</f>
        <v>0.14000000000000001</v>
      </c>
      <c r="C8" s="11">
        <f>'Kwh Consumption'!B9*' Kwh area wise $ '!B8</f>
        <v>3542.0000000000896</v>
      </c>
      <c r="D8" s="1">
        <f>'Kwh Consumption'!C9*' Kwh area wise $ '!B8</f>
        <v>79.799999999999059</v>
      </c>
      <c r="E8" s="1">
        <f>'Kwh Consumption'!D9*' Kwh area wise $ '!B8</f>
        <v>349.99999999999261</v>
      </c>
      <c r="F8" s="1">
        <f>'Kwh Consumption'!E9*' Kwh area wise $ '!B8</f>
        <v>33.600000000001273</v>
      </c>
      <c r="G8" s="1">
        <f>('Kwh Consumption'!F9+'Kwh Consumption'!G9+'Kwh Consumption'!H9)*' Kwh area wise $ '!B8</f>
        <v>131.5999999999957</v>
      </c>
      <c r="H8" s="16">
        <f>('Kwh Consumption'!I9+'Kwh Consumption'!J9)*' Kwh area wise $ '!B8</f>
        <v>63.000000000002395</v>
      </c>
      <c r="I8" s="1">
        <f>('Kwh Consumption'!K9+'Kwh Consumption'!L9)*' Kwh area wise $ '!B8</f>
        <v>223.99999999999525</v>
      </c>
      <c r="J8" s="1">
        <f>('Kwh Consumption'!M9+'Kwh Consumption'!N9+'Kwh Consumption'!O9+'Kwh Consumption'!P9+'Kwh Consumption'!Q9+'Kwh Consumption'!R9)*' Kwh area wise $ '!B8</f>
        <v>729.39999999999725</v>
      </c>
      <c r="K8" s="1">
        <f>('Kwh Consumption'!S9+'Kwh Consumption'!T9)*' Kwh area wise $ '!B8</f>
        <v>811.98319999985404</v>
      </c>
      <c r="L8" s="1">
        <f>'Kwh Consumption'!U9*' Kwh area wise $ '!B8</f>
        <v>32.199999999998568</v>
      </c>
      <c r="M8" s="1">
        <f>'Kwh Consumption'!V9*' Kwh area wise $ '!B8</f>
        <v>1086.416800000253</v>
      </c>
    </row>
    <row r="9" spans="1:13" x14ac:dyDescent="0.25">
      <c r="A9" s="14">
        <f>'Kwh Reading'!A10</f>
        <v>44293</v>
      </c>
      <c r="B9" s="11">
        <f>TOTAL!F8</f>
        <v>0.14000000000000001</v>
      </c>
      <c r="C9" s="11">
        <f>'Kwh Consumption'!B10*' Kwh area wise $ '!B9</f>
        <v>3462.1999999999712</v>
      </c>
      <c r="D9" s="1">
        <f>'Kwh Consumption'!C10*' Kwh area wise $ '!B9</f>
        <v>74.19999999999618</v>
      </c>
      <c r="E9" s="1">
        <f>'Kwh Consumption'!D10*' Kwh area wise $ '!B9</f>
        <v>349.99999999999261</v>
      </c>
      <c r="F9" s="1">
        <f>'Kwh Consumption'!E10*' Kwh area wise $ '!B9</f>
        <v>32.199999999998568</v>
      </c>
      <c r="G9" s="1">
        <f>('Kwh Consumption'!F10+'Kwh Consumption'!G10+'Kwh Consumption'!H10)*' Kwh area wise $ '!B9</f>
        <v>141.40000000000668</v>
      </c>
      <c r="H9" s="16">
        <f>('Kwh Consumption'!I10+'Kwh Consumption'!J10)*' Kwh area wise $ '!B9</f>
        <v>60.199999999996983</v>
      </c>
      <c r="I9" s="1">
        <f>('Kwh Consumption'!K10+'Kwh Consumption'!L10)*' Kwh area wise $ '!B9</f>
        <v>235.20000000000496</v>
      </c>
      <c r="J9" s="1">
        <f>('Kwh Consumption'!M10+'Kwh Consumption'!N10+'Kwh Consumption'!O10+'Kwh Consumption'!P10+'Kwh Consumption'!Q10+'Kwh Consumption'!R10)*' Kwh area wise $ '!B9</f>
        <v>753.20000000000744</v>
      </c>
      <c r="K9" s="1">
        <f>('Kwh Consumption'!S10+'Kwh Consumption'!T10)*' Kwh area wise $ '!B9</f>
        <v>861.05040000017743</v>
      </c>
      <c r="L9" s="1">
        <f>'Kwh Consumption'!U10*' Kwh area wise $ '!B9</f>
        <v>36.400000000002706</v>
      </c>
      <c r="M9" s="1">
        <f>'Kwh Consumption'!V10*' Kwh area wise $ '!B9</f>
        <v>918.3495999997881</v>
      </c>
    </row>
    <row r="10" spans="1:13" x14ac:dyDescent="0.25">
      <c r="A10" s="14">
        <f>'Kwh Reading'!A11</f>
        <v>44294</v>
      </c>
      <c r="B10" s="11">
        <f>TOTAL!F9</f>
        <v>0.14000000000000001</v>
      </c>
      <c r="C10" s="11">
        <f>'Kwh Consumption'!B11*' Kwh area wise $ '!B10</f>
        <v>3484.5999999998871</v>
      </c>
      <c r="D10" s="1">
        <f>'Kwh Consumption'!C11*' Kwh area wise $ '!B10</f>
        <v>77.000000000001606</v>
      </c>
      <c r="E10" s="1">
        <f>'Kwh Consumption'!D11*' Kwh area wise $ '!B10</f>
        <v>364.00000000002211</v>
      </c>
      <c r="F10" s="1">
        <f>'Kwh Consumption'!E11*' Kwh area wise $ '!B10</f>
        <v>33.600000000001273</v>
      </c>
      <c r="G10" s="1">
        <f>('Kwh Consumption'!F11+'Kwh Consumption'!G11+'Kwh Consumption'!H11)*' Kwh area wise $ '!B10</f>
        <v>126.00000000000081</v>
      </c>
      <c r="H10" s="16">
        <f>('Kwh Consumption'!I11+'Kwh Consumption'!J11)*' Kwh area wise $ '!B10</f>
        <v>63.000000000002395</v>
      </c>
      <c r="I10" s="1">
        <f>('Kwh Consumption'!K11+'Kwh Consumption'!L11)*' Kwh area wise $ '!B10</f>
        <v>235.199999999997</v>
      </c>
      <c r="J10" s="1">
        <f>('Kwh Consumption'!M11+'Kwh Consumption'!N11+'Kwh Consumption'!O11+'Kwh Consumption'!P11+'Kwh Consumption'!Q11+'Kwh Consumption'!R11)*' Kwh area wise $ '!B10</f>
        <v>782.5999999999965</v>
      </c>
      <c r="K10" s="1">
        <f>('Kwh Consumption'!S11+'Kwh Consumption'!T11)*' Kwh area wise $ '!B10</f>
        <v>872.48279999993747</v>
      </c>
      <c r="L10" s="1">
        <f>'Kwh Consumption'!U11*' Kwh area wise $ '!B10</f>
        <v>43.400000000000325</v>
      </c>
      <c r="M10" s="1">
        <f>'Kwh Consumption'!V11*' Kwh area wise $ '!B10</f>
        <v>887.31719999992765</v>
      </c>
    </row>
    <row r="11" spans="1:13" x14ac:dyDescent="0.25">
      <c r="A11" s="14">
        <f>'Kwh Reading'!A12</f>
        <v>44295</v>
      </c>
      <c r="B11" s="11">
        <f>TOTAL!F10</f>
        <v>0.14000000000000001</v>
      </c>
      <c r="C11" s="11">
        <f>'Kwh Consumption'!B12*' Kwh area wise $ '!B11</f>
        <v>3133.2000000001112</v>
      </c>
      <c r="D11" s="1">
        <f>'Kwh Consumption'!C12*' Kwh area wise $ '!B11</f>
        <v>36.399999999998727</v>
      </c>
      <c r="E11" s="1">
        <f>'Kwh Consumption'!D12*' Kwh area wise $ '!B11</f>
        <v>349.99999999999261</v>
      </c>
      <c r="F11" s="1">
        <f>'Kwh Consumption'!E12*' Kwh area wise $ '!B11</f>
        <v>32.199999999998568</v>
      </c>
      <c r="G11" s="1">
        <f>('Kwh Consumption'!F12+'Kwh Consumption'!G12+'Kwh Consumption'!H12)*' Kwh area wise $ '!B11</f>
        <v>123.19999999999938</v>
      </c>
      <c r="H11" s="16">
        <f>('Kwh Consumption'!I12+'Kwh Consumption'!J12)*' Kwh area wise $ '!B11</f>
        <v>64.399999999997135</v>
      </c>
      <c r="I11" s="1">
        <f>('Kwh Consumption'!K12+'Kwh Consumption'!L12)*' Kwh area wise $ '!B11</f>
        <v>235.19999999998905</v>
      </c>
      <c r="J11" s="1">
        <f>('Kwh Consumption'!M12+'Kwh Consumption'!N12+'Kwh Consumption'!O12+'Kwh Consumption'!P12+'Kwh Consumption'!Q12+'Kwh Consumption'!R12)*' Kwh area wise $ '!B11</f>
        <v>688.79999999999416</v>
      </c>
      <c r="K11" s="1">
        <f>('Kwh Consumption'!S12+'Kwh Consumption'!T12)*' Kwh area wise $ '!B11</f>
        <v>729.34399999994787</v>
      </c>
      <c r="L11" s="1">
        <f>'Kwh Consumption'!U12*' Kwh area wise $ '!B11</f>
        <v>37.799999999997461</v>
      </c>
      <c r="M11" s="1">
        <f>'Kwh Consumption'!V12*' Kwh area wise $ '!B11</f>
        <v>835.85600000019588</v>
      </c>
    </row>
    <row r="12" spans="1:13" x14ac:dyDescent="0.25">
      <c r="A12" s="14">
        <f>'Kwh Reading'!A13</f>
        <v>44296</v>
      </c>
      <c r="B12" s="11">
        <f>TOTAL!F11</f>
        <v>0.14000000000000001</v>
      </c>
      <c r="C12" s="11">
        <f>'Kwh Consumption'!B13*' Kwh area wise $ '!B12</f>
        <v>3480.399999999891</v>
      </c>
      <c r="D12" s="1">
        <f>'Kwh Consumption'!C13*' Kwh area wise $ '!B12</f>
        <v>75.600000000002879</v>
      </c>
      <c r="E12" s="1">
        <f>'Kwh Consumption'!D13*' Kwh area wise $ '!B12</f>
        <v>349.99999999999261</v>
      </c>
      <c r="F12" s="1">
        <f>'Kwh Consumption'!E13*' Kwh area wise $ '!B12</f>
        <v>32.200000000002547</v>
      </c>
      <c r="G12" s="1">
        <f>('Kwh Consumption'!F13+'Kwh Consumption'!G13+'Kwh Consumption'!H13)*' Kwh area wise $ '!B12</f>
        <v>134.39999999999714</v>
      </c>
      <c r="H12" s="16">
        <f>('Kwh Consumption'!I13+'Kwh Consumption'!J13)*' Kwh area wise $ '!B12</f>
        <v>64.400000000003104</v>
      </c>
      <c r="I12" s="1">
        <f>('Kwh Consumption'!K13+'Kwh Consumption'!L13)*' Kwh area wise $ '!B12</f>
        <v>253.40000000000433</v>
      </c>
      <c r="J12" s="1">
        <f>('Kwh Consumption'!M13+'Kwh Consumption'!N13+'Kwh Consumption'!O13+'Kwh Consumption'!P13+'Kwh Consumption'!Q13+'Kwh Consumption'!R13)*' Kwh area wise $ '!B12</f>
        <v>782.60000000000446</v>
      </c>
      <c r="K12" s="1">
        <f>('Kwh Consumption'!S13+'Kwh Consumption'!T13)*' Kwh area wise $ '!B12</f>
        <v>820.33560000000534</v>
      </c>
      <c r="L12" s="1">
        <f>'Kwh Consumption'!U13*' Kwh area wise $ '!B12</f>
        <v>37.80000000000144</v>
      </c>
      <c r="M12" s="1">
        <f>'Kwh Consumption'!V13*' Kwh area wise $ '!B12</f>
        <v>929.66439999987676</v>
      </c>
    </row>
    <row r="13" spans="1:13" x14ac:dyDescent="0.25">
      <c r="A13" s="14">
        <f>'Kwh Reading'!A14</f>
        <v>44297</v>
      </c>
      <c r="B13" s="11">
        <f>TOTAL!F12</f>
        <v>0.14000000000000001</v>
      </c>
      <c r="C13" s="11">
        <f>'Kwh Consumption'!B14*' Kwh area wise $ '!B13</f>
        <v>3318.0000000001337</v>
      </c>
      <c r="D13" s="1">
        <f>'Kwh Consumption'!C14*' Kwh area wise $ '!B13</f>
        <v>67.200000000002547</v>
      </c>
      <c r="E13" s="1">
        <f>'Kwh Consumption'!D14*' Kwh area wise $ '!B13</f>
        <v>321.99999999999562</v>
      </c>
      <c r="F13" s="1">
        <f>'Kwh Consumption'!E14*' Kwh area wise $ '!B13</f>
        <v>27.999999999998412</v>
      </c>
      <c r="G13" s="1">
        <f>('Kwh Consumption'!F14+'Kwh Consumption'!G14+'Kwh Consumption'!H14)*' Kwh area wise $ '!B13</f>
        <v>98.000000000002402</v>
      </c>
      <c r="H13" s="16">
        <f>('Kwh Consumption'!I14+'Kwh Consumption'!J14)*' Kwh area wise $ '!B13</f>
        <v>57.39999999999953</v>
      </c>
      <c r="I13" s="1">
        <f>('Kwh Consumption'!K14+'Kwh Consumption'!L14)*' Kwh area wise $ '!B13</f>
        <v>233.80000000000624</v>
      </c>
      <c r="J13" s="1">
        <f>('Kwh Consumption'!M14+'Kwh Consumption'!N14+'Kwh Consumption'!O14+'Kwh Consumption'!P14+'Kwh Consumption'!Q14+'Kwh Consumption'!R14)*' Kwh area wise $ '!B13</f>
        <v>736.39999999999884</v>
      </c>
      <c r="K13" s="1">
        <f>('Kwh Consumption'!S14+'Kwh Consumption'!T14)*' Kwh area wise $ '!B13</f>
        <v>745.08140000009917</v>
      </c>
      <c r="L13" s="1">
        <f>'Kwh Consumption'!U14*' Kwh area wise $ '!B13</f>
        <v>33.600000000001273</v>
      </c>
      <c r="M13" s="1">
        <f>'Kwh Consumption'!V14*' Kwh area wise $ '!B13</f>
        <v>996.51860000002932</v>
      </c>
    </row>
    <row r="14" spans="1:13" x14ac:dyDescent="0.25">
      <c r="A14" s="14">
        <f>'Kwh Reading'!A15</f>
        <v>44298</v>
      </c>
      <c r="B14" s="11">
        <f>TOTAL!F13</f>
        <v>0.14000000000000001</v>
      </c>
      <c r="C14" s="11">
        <f>'Kwh Consumption'!B15*' Kwh area wise $ '!B14</f>
        <v>3238.1999999999839</v>
      </c>
      <c r="D14" s="1">
        <f>'Kwh Consumption'!C15*' Kwh area wise $ '!B14</f>
        <v>70</v>
      </c>
      <c r="E14" s="1">
        <f>'Kwh Consumption'!D15*' Kwh area wise $ '!B14</f>
        <v>349.99999999999261</v>
      </c>
      <c r="F14" s="1">
        <f>'Kwh Consumption'!E15*' Kwh area wise $ '!B14</f>
        <v>32.199999999998568</v>
      </c>
      <c r="G14" s="1">
        <f>('Kwh Consumption'!F15+'Kwh Consumption'!G15+'Kwh Consumption'!H15)*' Kwh area wise $ '!B14</f>
        <v>111.99999999999763</v>
      </c>
      <c r="H14" s="16">
        <f>('Kwh Consumption'!I15+'Kwh Consumption'!J15)*' Kwh area wise $ '!B14</f>
        <v>60.200000000000962</v>
      </c>
      <c r="I14" s="1">
        <f>('Kwh Consumption'!K15+'Kwh Consumption'!L15)*' Kwh area wise $ '!B14</f>
        <v>246.39999999999876</v>
      </c>
      <c r="J14" s="1">
        <f>('Kwh Consumption'!M15+'Kwh Consumption'!N15+'Kwh Consumption'!O15+'Kwh Consumption'!P15+'Kwh Consumption'!Q15+'Kwh Consumption'!R15)*' Kwh area wise $ '!B14</f>
        <v>750.40000000001794</v>
      </c>
      <c r="K14" s="1">
        <f>('Kwh Consumption'!S15+'Kwh Consumption'!T15)*' Kwh area wise $ '!B14</f>
        <v>772.98759999984884</v>
      </c>
      <c r="L14" s="1">
        <f>'Kwh Consumption'!U15*' Kwh area wise $ '!B14</f>
        <v>33.599999999997294</v>
      </c>
      <c r="M14" s="1">
        <f>'Kwh Consumption'!V15*' Kwh area wise $ '!B14</f>
        <v>810.41240000013147</v>
      </c>
    </row>
    <row r="15" spans="1:13" x14ac:dyDescent="0.25">
      <c r="A15" s="14">
        <f>'Kwh Reading'!A16</f>
        <v>44299</v>
      </c>
      <c r="B15" s="11">
        <f>TOTAL!F14</f>
        <v>0.14000000000000001</v>
      </c>
      <c r="C15" s="11">
        <f>'Kwh Consumption'!B16*' Kwh area wise $ '!B15</f>
        <v>3371.199999999958</v>
      </c>
      <c r="D15" s="1">
        <f>'Kwh Consumption'!C16*' Kwh area wise $ '!B15</f>
        <v>68.600000000001273</v>
      </c>
      <c r="E15" s="1">
        <f>'Kwh Consumption'!D16*' Kwh area wise $ '!B15</f>
        <v>308.00000000002831</v>
      </c>
      <c r="F15" s="1">
        <f>'Kwh Consumption'!E16*' Kwh area wise $ '!B15</f>
        <v>33.600000000001273</v>
      </c>
      <c r="G15" s="1">
        <f>('Kwh Consumption'!F16+'Kwh Consumption'!G16+'Kwh Consumption'!H16)*' Kwh area wise $ '!B15</f>
        <v>86.80000000000463</v>
      </c>
      <c r="H15" s="16">
        <f>('Kwh Consumption'!I16+'Kwh Consumption'!J16)*' Kwh area wise $ '!B15</f>
        <v>54.600000000000087</v>
      </c>
      <c r="I15" s="1">
        <f>('Kwh Consumption'!K16+'Kwh Consumption'!L16)*' Kwh area wise $ '!B15</f>
        <v>233.80000000000624</v>
      </c>
      <c r="J15" s="1">
        <f>('Kwh Consumption'!M16+'Kwh Consumption'!N16+'Kwh Consumption'!O16+'Kwh Consumption'!P16+'Kwh Consumption'!Q16+'Kwh Consumption'!R16)*' Kwh area wise $ '!B15</f>
        <v>715.39999999998611</v>
      </c>
      <c r="K15" s="1">
        <f>('Kwh Consumption'!S16+'Kwh Consumption'!T16)*' Kwh area wise $ '!B15</f>
        <v>754.27520000008872</v>
      </c>
      <c r="L15" s="1">
        <f>'Kwh Consumption'!U16*' Kwh area wise $ '!B15</f>
        <v>30.799999999999844</v>
      </c>
      <c r="M15" s="1">
        <f>'Kwh Consumption'!V16*' Kwh area wise $ '!B15</f>
        <v>1085.3247999998414</v>
      </c>
    </row>
    <row r="16" spans="1:13" x14ac:dyDescent="0.25">
      <c r="A16" s="14">
        <f>'Kwh Reading'!A17</f>
        <v>44300</v>
      </c>
      <c r="B16" s="11">
        <f>TOTAL!F15</f>
        <v>0.14000000000000001</v>
      </c>
      <c r="C16" s="11">
        <f>'Kwh Consumption'!B17*' Kwh area wise $ '!B16</f>
        <v>3228.3999999998973</v>
      </c>
      <c r="D16" s="1">
        <f>'Kwh Consumption'!C17*' Kwh area wise $ '!B16</f>
        <v>65.799999999995862</v>
      </c>
      <c r="E16" s="1">
        <f>'Kwh Consumption'!D17*' Kwh area wise $ '!B16</f>
        <v>349.99999999999261</v>
      </c>
      <c r="F16" s="1">
        <f>'Kwh Consumption'!E17*' Kwh area wise $ '!B16</f>
        <v>29.400000000001118</v>
      </c>
      <c r="G16" s="1">
        <f>('Kwh Consumption'!F17+'Kwh Consumption'!G17+'Kwh Consumption'!H17)*' Kwh area wise $ '!B16</f>
        <v>99.399999999997149</v>
      </c>
      <c r="H16" s="16">
        <f>('Kwh Consumption'!I17+'Kwh Consumption'!J17)*' Kwh area wise $ '!B16</f>
        <v>41.99999999999762</v>
      </c>
      <c r="I16" s="1">
        <f>('Kwh Consumption'!K17+'Kwh Consumption'!L17)*' Kwh area wise $ '!B16</f>
        <v>247.7999999999935</v>
      </c>
      <c r="J16" s="1">
        <f>('Kwh Consumption'!M17+'Kwh Consumption'!N17+'Kwh Consumption'!O17+'Kwh Consumption'!P17+'Kwh Consumption'!Q17+'Kwh Consumption'!R17)*' Kwh area wise $ '!B16</f>
        <v>754.5999999999982</v>
      </c>
      <c r="K16" s="1">
        <f>('Kwh Consumption'!S17+'Kwh Consumption'!T17)*' Kwh area wise $ '!B16</f>
        <v>846.78439999999489</v>
      </c>
      <c r="L16" s="1">
        <f>'Kwh Consumption'!U17*' Kwh area wise $ '!B16</f>
        <v>35</v>
      </c>
      <c r="M16" s="1">
        <f>'Kwh Consumption'!V17*' Kwh area wise $ '!B16</f>
        <v>757.61559999992687</v>
      </c>
    </row>
    <row r="17" spans="1:13" x14ac:dyDescent="0.25">
      <c r="A17" s="14">
        <f>'Kwh Reading'!A18</f>
        <v>44301</v>
      </c>
      <c r="B17" s="11">
        <f>TOTAL!F16</f>
        <v>0.14000000000000001</v>
      </c>
      <c r="C17" s="11">
        <f>'Kwh Consumption'!B18*' Kwh area wise $ '!B17</f>
        <v>3327.8000000000297</v>
      </c>
      <c r="D17" s="1">
        <f>'Kwh Consumption'!C18*' Kwh area wise $ '!B17</f>
        <v>64.399999999997135</v>
      </c>
      <c r="E17" s="1">
        <f>'Kwh Consumption'!D18*' Kwh area wise $ '!B17</f>
        <v>336.00000000002518</v>
      </c>
      <c r="F17" s="1">
        <f>'Kwh Consumption'!E18*' Kwh area wise $ '!B17</f>
        <v>25.200000000000959</v>
      </c>
      <c r="G17" s="1">
        <f>('Kwh Consumption'!F18+'Kwh Consumption'!G18+'Kwh Consumption'!H18)*' Kwh area wise $ '!B17</f>
        <v>83.999999999999218</v>
      </c>
      <c r="H17" s="16">
        <f>('Kwh Consumption'!I18+'Kwh Consumption'!J18)*' Kwh area wise $ '!B17</f>
        <v>53.20000000000136</v>
      </c>
      <c r="I17" s="1">
        <f>('Kwh Consumption'!K18+'Kwh Consumption'!L18)*' Kwh area wise $ '!B17</f>
        <v>235.20000000000496</v>
      </c>
      <c r="J17" s="1">
        <f>('Kwh Consumption'!M18+'Kwh Consumption'!N18+'Kwh Consumption'!O18+'Kwh Consumption'!P18+'Kwh Consumption'!Q18+'Kwh Consumption'!R18)*' Kwh area wise $ '!B17</f>
        <v>742.00000000001751</v>
      </c>
      <c r="K17" s="1">
        <f>('Kwh Consumption'!S18+'Kwh Consumption'!T18)*' Kwh area wise $ '!B17</f>
        <v>687.66879999998969</v>
      </c>
      <c r="L17" s="1">
        <f>'Kwh Consumption'!U18*' Kwh area wise $ '!B17</f>
        <v>35</v>
      </c>
      <c r="M17" s="1">
        <f>'Kwh Consumption'!V18*' Kwh area wise $ '!B17</f>
        <v>1065.1311999999941</v>
      </c>
    </row>
    <row r="18" spans="1:13" x14ac:dyDescent="0.25">
      <c r="A18" s="14">
        <f>'Kwh Reading'!A19</f>
        <v>44302</v>
      </c>
      <c r="B18" s="11">
        <f>TOTAL!F17</f>
        <v>0.14000000000000001</v>
      </c>
      <c r="C18" s="11">
        <f>'Kwh Consumption'!B19*' Kwh area wise $ '!B18</f>
        <v>2955.399999999986</v>
      </c>
      <c r="D18" s="1">
        <f>'Kwh Consumption'!C19*' Kwh area wise $ '!B18</f>
        <v>35</v>
      </c>
      <c r="E18" s="1">
        <f>'Kwh Consumption'!D19*' Kwh area wise $ '!B18</f>
        <v>321.99999999999562</v>
      </c>
      <c r="F18" s="1">
        <f>'Kwh Consumption'!E19*' Kwh area wise $ '!B18</f>
        <v>23.799999999998253</v>
      </c>
      <c r="G18" s="1">
        <f>('Kwh Consumption'!F19+'Kwh Consumption'!G19+'Kwh Consumption'!H19)*' Kwh area wise $ '!B18</f>
        <v>78.400000000000333</v>
      </c>
      <c r="H18" s="16">
        <f>('Kwh Consumption'!I19+'Kwh Consumption'!J19)*' Kwh area wise $ '!B18</f>
        <v>48.999999999999211</v>
      </c>
      <c r="I18" s="1">
        <f>('Kwh Consumption'!K19+'Kwh Consumption'!L19)*' Kwh area wise $ '!B18</f>
        <v>211.39999999998682</v>
      </c>
      <c r="J18" s="1">
        <f>('Kwh Consumption'!M19+'Kwh Consumption'!N19+'Kwh Consumption'!O19+'Kwh Consumption'!P19+'Kwh Consumption'!Q19+'Kwh Consumption'!R19)*' Kwh area wise $ '!B18</f>
        <v>653.79999999999438</v>
      </c>
      <c r="K18" s="1">
        <f>('Kwh Consumption'!S19+'Kwh Consumption'!T19)*' Kwh area wise $ '!B18</f>
        <v>654.03660000005743</v>
      </c>
      <c r="L18" s="1">
        <f>'Kwh Consumption'!U19*' Kwh area wise $ '!B18</f>
        <v>33.600000000001273</v>
      </c>
      <c r="M18" s="1">
        <f>'Kwh Consumption'!V19*' Kwh area wise $ '!B18</f>
        <v>894.36339999995289</v>
      </c>
    </row>
    <row r="19" spans="1:13" x14ac:dyDescent="0.25">
      <c r="A19" s="14">
        <f>'Kwh Reading'!A20</f>
        <v>44303</v>
      </c>
      <c r="B19" s="11">
        <f>TOTAL!F18</f>
        <v>0.14000000000000001</v>
      </c>
      <c r="C19" s="11">
        <f>'Kwh Consumption'!B20*' Kwh area wise $ '!B19</f>
        <v>3073.0000000001023</v>
      </c>
      <c r="D19" s="1">
        <f>'Kwh Consumption'!C20*' Kwh area wise $ '!B19</f>
        <v>61.599999999999689</v>
      </c>
      <c r="E19" s="1">
        <f>'Kwh Consumption'!D20*' Kwh area wise $ '!B19</f>
        <v>335.99999999996305</v>
      </c>
      <c r="F19" s="1">
        <f>'Kwh Consumption'!E20*' Kwh area wise $ '!B19</f>
        <v>25.200000000000959</v>
      </c>
      <c r="G19" s="1">
        <f>('Kwh Consumption'!F20+'Kwh Consumption'!G20+'Kwh Consumption'!H20)*' Kwh area wise $ '!B19</f>
        <v>81.199999999997786</v>
      </c>
      <c r="H19" s="16">
        <f>('Kwh Consumption'!I20+'Kwh Consumption'!J20)*' Kwh area wise $ '!B19</f>
        <v>58.800000000000246</v>
      </c>
      <c r="I19" s="1">
        <f>('Kwh Consumption'!K20+'Kwh Consumption'!L20)*' Kwh area wise $ '!B19</f>
        <v>242.20000000001053</v>
      </c>
      <c r="J19" s="1">
        <f>('Kwh Consumption'!M20+'Kwh Consumption'!N20+'Kwh Consumption'!O20+'Kwh Consumption'!P20+'Kwh Consumption'!Q20+'Kwh Consumption'!R20)*' Kwh area wise $ '!B19</f>
        <v>716.79999999998483</v>
      </c>
      <c r="K19" s="1">
        <f>('Kwh Consumption'!S20+'Kwh Consumption'!T20)*' Kwh area wise $ '!B19</f>
        <v>736.03039999991665</v>
      </c>
      <c r="L19" s="1">
        <f>'Kwh Consumption'!U20*' Kwh area wise $ '!B19</f>
        <v>44.799999999999052</v>
      </c>
      <c r="M19" s="1">
        <f>'Kwh Consumption'!V20*' Kwh area wise $ '!B19</f>
        <v>770.36960000022964</v>
      </c>
    </row>
    <row r="20" spans="1:13" x14ac:dyDescent="0.25">
      <c r="A20" s="14">
        <f>'Kwh Reading'!A21</f>
        <v>44304</v>
      </c>
      <c r="B20" s="11">
        <f>TOTAL!F19</f>
        <v>0.14000000000000001</v>
      </c>
      <c r="C20" s="11">
        <f>'Kwh Consumption'!B21*' Kwh area wise $ '!B20</f>
        <v>2990.399999999891</v>
      </c>
      <c r="D20" s="1">
        <f>'Kwh Consumption'!C21*' Kwh area wise $ '!B20</f>
        <v>63.000000000006374</v>
      </c>
      <c r="E20" s="1">
        <f>'Kwh Consumption'!D21*' Kwh area wise $ '!B20</f>
        <v>350.00000000005474</v>
      </c>
      <c r="F20" s="1">
        <f>'Kwh Consumption'!E21*' Kwh area wise $ '!B20</f>
        <v>29.400000000001118</v>
      </c>
      <c r="G20" s="1">
        <f>('Kwh Consumption'!F21+'Kwh Consumption'!G21+'Kwh Consumption'!H21)*' Kwh area wise $ '!B20</f>
        <v>102.20000000000256</v>
      </c>
      <c r="H20" s="16">
        <f>('Kwh Consumption'!I21+'Kwh Consumption'!J21)*' Kwh area wise $ '!B20</f>
        <v>61.600000000001678</v>
      </c>
      <c r="I20" s="1">
        <f>('Kwh Consumption'!K21+'Kwh Consumption'!L21)*' Kwh area wise $ '!B20</f>
        <v>236.59999999999971</v>
      </c>
      <c r="J20" s="1">
        <f>('Kwh Consumption'!M21+'Kwh Consumption'!N21+'Kwh Consumption'!O21+'Kwh Consumption'!P21+'Kwh Consumption'!Q21+'Kwh Consumption'!R21)*' Kwh area wise $ '!B20</f>
        <v>686.00000000002854</v>
      </c>
      <c r="K20" s="1">
        <f>('Kwh Consumption'!S21+'Kwh Consumption'!T21)*' Kwh area wise $ '!B20</f>
        <v>663.54399999994791</v>
      </c>
      <c r="L20" s="1">
        <f>'Kwh Consumption'!U21*' Kwh area wise $ '!B20</f>
        <v>30.799999999999844</v>
      </c>
      <c r="M20" s="1">
        <f>'Kwh Consumption'!V21*' Kwh area wise $ '!B20</f>
        <v>767.25599999984854</v>
      </c>
    </row>
    <row r="21" spans="1:13" x14ac:dyDescent="0.25">
      <c r="A21" s="14">
        <f>'Kwh Reading'!A22</f>
        <v>44305</v>
      </c>
      <c r="B21" s="11">
        <f>TOTAL!F20</f>
        <v>0.14000000000000001</v>
      </c>
      <c r="C21" s="11">
        <f>'Kwh Consumption'!B22*' Kwh area wise $ '!B21</f>
        <v>2963.8000000000743</v>
      </c>
      <c r="D21" s="1">
        <f>'Kwh Consumption'!C22*' Kwh area wise $ '!B21</f>
        <v>62.999999999998415</v>
      </c>
      <c r="E21" s="1">
        <f>'Kwh Consumption'!D22*' Kwh area wise $ '!B21</f>
        <v>321.99999999999562</v>
      </c>
      <c r="F21" s="1">
        <f>'Kwh Consumption'!E22*' Kwh area wise $ '!B21</f>
        <v>26.599999999999685</v>
      </c>
      <c r="G21" s="1">
        <f>('Kwh Consumption'!F22+'Kwh Consumption'!G22+'Kwh Consumption'!H22)*' Kwh area wise $ '!B21</f>
        <v>62.999999999998415</v>
      </c>
      <c r="H21" s="16">
        <f>('Kwh Consumption'!I22+'Kwh Consumption'!J22)*' Kwh area wise $ '!B21</f>
        <v>55.999999999998813</v>
      </c>
      <c r="I21" s="1">
        <f>('Kwh Consumption'!K22+'Kwh Consumption'!L22)*' Kwh area wise $ '!B21</f>
        <v>225.39999999999398</v>
      </c>
      <c r="J21" s="1">
        <f>('Kwh Consumption'!M22+'Kwh Consumption'!N22+'Kwh Consumption'!O22+'Kwh Consumption'!P22+'Kwh Consumption'!Q22+'Kwh Consumption'!R22)*' Kwh area wise $ '!B21</f>
        <v>664.9999999999842</v>
      </c>
      <c r="K21" s="1">
        <f>('Kwh Consumption'!S22+'Kwh Consumption'!T22)*' Kwh area wise $ '!B21</f>
        <v>683.61720000006267</v>
      </c>
      <c r="L21" s="1">
        <f>'Kwh Consumption'!U22*' Kwh area wise $ '!B21</f>
        <v>36.400000000002706</v>
      </c>
      <c r="M21" s="1">
        <f>'Kwh Consumption'!V22*' Kwh area wise $ '!B21</f>
        <v>822.78280000003963</v>
      </c>
    </row>
    <row r="22" spans="1:13" x14ac:dyDescent="0.25">
      <c r="A22" s="14">
        <f>'Kwh Reading'!A23</f>
        <v>44306</v>
      </c>
      <c r="B22" s="11">
        <f>TOTAL!F21</f>
        <v>0.14000000000000001</v>
      </c>
      <c r="C22" s="11">
        <f>'Kwh Consumption'!B23*' Kwh area wise $ '!B22</f>
        <v>3012.7999999999024</v>
      </c>
      <c r="D22" s="1">
        <f>'Kwh Consumption'!C23*' Kwh area wise $ '!B22</f>
        <v>68.600000000001273</v>
      </c>
      <c r="E22" s="1">
        <f>'Kwh Consumption'!D23*' Kwh area wise $ '!B22</f>
        <v>307.99999999996612</v>
      </c>
      <c r="F22" s="1">
        <f>'Kwh Consumption'!E23*' Kwh area wise $ '!B22</f>
        <v>23.799999999998253</v>
      </c>
      <c r="G22" s="1">
        <f>('Kwh Consumption'!F23+'Kwh Consumption'!G23+'Kwh Consumption'!H23)*' Kwh area wise $ '!B22</f>
        <v>39.200000000004145</v>
      </c>
      <c r="H22" s="16">
        <f>('Kwh Consumption'!I23+'Kwh Consumption'!J23)*' Kwh area wise $ '!B22</f>
        <v>61.599999999997699</v>
      </c>
      <c r="I22" s="1">
        <f>('Kwh Consumption'!K23+'Kwh Consumption'!L23)*' Kwh area wise $ '!B22</f>
        <v>215.59999999999891</v>
      </c>
      <c r="J22" s="1">
        <f>('Kwh Consumption'!M23+'Kwh Consumption'!N23+'Kwh Consumption'!O23+'Kwh Consumption'!P23+'Kwh Consumption'!Q23+'Kwh Consumption'!R23)*' Kwh area wise $ '!B22</f>
        <v>681.79999999999268</v>
      </c>
      <c r="K22" s="1">
        <f>('Kwh Consumption'!S23+'Kwh Consumption'!T23)*' Kwh area wise $ '!B22</f>
        <v>685.5771999999323</v>
      </c>
      <c r="L22" s="1">
        <f>'Kwh Consumption'!U23*' Kwh area wise $ '!B22</f>
        <v>33.599999999997294</v>
      </c>
      <c r="M22" s="1">
        <f>'Kwh Consumption'!V23*' Kwh area wise $ '!B22</f>
        <v>895.02280000001394</v>
      </c>
    </row>
    <row r="23" spans="1:13" x14ac:dyDescent="0.25">
      <c r="A23" s="14">
        <f>'Kwh Reading'!A24</f>
        <v>44307</v>
      </c>
      <c r="B23" s="11">
        <f>TOTAL!F22</f>
        <v>0.14000000000000001</v>
      </c>
      <c r="C23" s="11">
        <f>'Kwh Consumption'!B24*' Kwh area wise $ '!B23</f>
        <v>3199.0000000000514</v>
      </c>
      <c r="D23" s="1">
        <f>'Kwh Consumption'!C24*' Kwh area wise $ '!B23</f>
        <v>71.399999999998727</v>
      </c>
      <c r="E23" s="1">
        <f>'Kwh Consumption'!D24*' Kwh area wise $ '!B23</f>
        <v>349.99999999999261</v>
      </c>
      <c r="F23" s="1">
        <f>'Kwh Consumption'!E24*' Kwh area wise $ '!B23</f>
        <v>27.999999999998412</v>
      </c>
      <c r="G23" s="1">
        <f>('Kwh Consumption'!F24+'Kwh Consumption'!G24+'Kwh Consumption'!H24)*' Kwh area wise $ '!B23</f>
        <v>67.200000000002547</v>
      </c>
      <c r="H23" s="16">
        <f>('Kwh Consumption'!I24+'Kwh Consumption'!J24)*' Kwh area wise $ '!B23</f>
        <v>53.19999999999937</v>
      </c>
      <c r="I23" s="1">
        <f>('Kwh Consumption'!K24+'Kwh Consumption'!L24)*' Kwh area wise $ '!B23</f>
        <v>226.8000000000126</v>
      </c>
      <c r="J23" s="1">
        <f>('Kwh Consumption'!M24+'Kwh Consumption'!N24+'Kwh Consumption'!O24+'Kwh Consumption'!P24+'Kwh Consumption'!Q24+'Kwh Consumption'!R24)*' Kwh area wise $ '!B23</f>
        <v>702.79999999999757</v>
      </c>
      <c r="K23" s="1">
        <f>('Kwh Consumption'!S24+'Kwh Consumption'!T24)*' Kwh area wise $ '!B23</f>
        <v>760.90420000003655</v>
      </c>
      <c r="L23" s="1">
        <f>'Kwh Consumption'!U24*' Kwh area wise $ '!B23</f>
        <v>33.600000000001273</v>
      </c>
      <c r="M23" s="1">
        <f>'Kwh Consumption'!V24*' Kwh area wise $ '!B23</f>
        <v>905.09580000001142</v>
      </c>
    </row>
    <row r="24" spans="1:13" x14ac:dyDescent="0.25">
      <c r="A24" s="14">
        <f>'Kwh Reading'!A25</f>
        <v>44308</v>
      </c>
      <c r="B24" s="11">
        <f>TOTAL!F23</f>
        <v>0.14000000000000001</v>
      </c>
      <c r="C24" s="11">
        <f>'Kwh Consumption'!B25*' Kwh area wise $ '!B24</f>
        <v>3137.4000000000119</v>
      </c>
      <c r="D24" s="1">
        <f>'Kwh Consumption'!C25*' Kwh area wise $ '!B24</f>
        <v>65.799999999995862</v>
      </c>
      <c r="E24" s="1">
        <f>'Kwh Consumption'!D25*' Kwh area wise $ '!B24</f>
        <v>336.00000000002518</v>
      </c>
      <c r="F24" s="1">
        <f>'Kwh Consumption'!E25*' Kwh area wise $ '!B24</f>
        <v>28.000000000002391</v>
      </c>
      <c r="G24" s="1">
        <f>('Kwh Consumption'!F25+'Kwh Consumption'!G25+'Kwh Consumption'!H25)*' Kwh area wise $ '!B24</f>
        <v>65.799999999991883</v>
      </c>
      <c r="H24" s="16">
        <f>('Kwh Consumption'!I25+'Kwh Consumption'!J25)*' Kwh area wise $ '!B24</f>
        <v>58.800000000004225</v>
      </c>
      <c r="I24" s="1">
        <f>('Kwh Consumption'!K25+'Kwh Consumption'!L25)*' Kwh area wise $ '!B24</f>
        <v>242.19999999998268</v>
      </c>
      <c r="J24" s="1">
        <f>('Kwh Consumption'!M25+'Kwh Consumption'!N25+'Kwh Consumption'!O25+'Kwh Consumption'!P25+'Kwh Consumption'!Q25+'Kwh Consumption'!R25)*' Kwh area wise $ '!B24</f>
        <v>723.80000000000234</v>
      </c>
      <c r="K24" s="1">
        <f>('Kwh Consumption'!S25+'Kwh Consumption'!T25)*' Kwh area wise $ '!B24</f>
        <v>766.84860000003141</v>
      </c>
      <c r="L24" s="1">
        <f>'Kwh Consumption'!U25*' Kwh area wise $ '!B24</f>
        <v>42.000000000001599</v>
      </c>
      <c r="M24" s="1">
        <f>'Kwh Consumption'!V25*' Kwh area wise $ '!B24</f>
        <v>808.15139999997439</v>
      </c>
    </row>
    <row r="25" spans="1:13" x14ac:dyDescent="0.25">
      <c r="A25" s="14">
        <f>'Kwh Reading'!A26</f>
        <v>44309</v>
      </c>
      <c r="B25" s="11">
        <f>TOTAL!F24</f>
        <v>0.14000000000000001</v>
      </c>
      <c r="C25" s="11">
        <f>'Kwh Consumption'!B26*' Kwh area wise $ '!B25</f>
        <v>3127.6000000000527</v>
      </c>
      <c r="D25" s="1">
        <f>'Kwh Consumption'!C26*' Kwh area wise $ '!B25</f>
        <v>37.800000000005419</v>
      </c>
      <c r="E25" s="1">
        <f>'Kwh Consumption'!D26*' Kwh area wise $ '!B25</f>
        <v>349.99999999999261</v>
      </c>
      <c r="F25" s="1">
        <f>'Kwh Consumption'!E26*' Kwh area wise $ '!B25</f>
        <v>32.199999999998568</v>
      </c>
      <c r="G25" s="1">
        <f>('Kwh Consumption'!F26+'Kwh Consumption'!G26+'Kwh Consumption'!H26)*' Kwh area wise $ '!B25</f>
        <v>85.400000000005903</v>
      </c>
      <c r="H25" s="16">
        <f>('Kwh Consumption'!I26+'Kwh Consumption'!J26)*' Kwh area wise $ '!B25</f>
        <v>58.799999999998256</v>
      </c>
      <c r="I25" s="1">
        <f>('Kwh Consumption'!K26+'Kwh Consumption'!L26)*' Kwh area wise $ '!B25</f>
        <v>252.00000000000958</v>
      </c>
      <c r="J25" s="1">
        <f>('Kwh Consumption'!M26+'Kwh Consumption'!N26+'Kwh Consumption'!O26+'Kwh Consumption'!P26+'Kwh Consumption'!Q26+'Kwh Consumption'!R26)*' Kwh area wise $ '!B25</f>
        <v>754.5999999999982</v>
      </c>
      <c r="K25" s="1">
        <f>('Kwh Consumption'!S26+'Kwh Consumption'!T26)*' Kwh area wise $ '!B25</f>
        <v>775.43620000001056</v>
      </c>
      <c r="L25" s="1">
        <f>'Kwh Consumption'!U26*' Kwh area wise $ '!B25</f>
        <v>40.599999999998893</v>
      </c>
      <c r="M25" s="1">
        <f>'Kwh Consumption'!V26*' Kwh area wise $ '!B25</f>
        <v>740.76380000003496</v>
      </c>
    </row>
    <row r="26" spans="1:13" x14ac:dyDescent="0.25">
      <c r="A26" s="14">
        <f>'Kwh Reading'!A27</f>
        <v>44310</v>
      </c>
      <c r="B26" s="11">
        <f>TOTAL!F25</f>
        <v>0.14000000000000001</v>
      </c>
      <c r="C26" s="11">
        <f>'Kwh Consumption'!B27*' Kwh area wise $ '!B26</f>
        <v>3072.999999999975</v>
      </c>
      <c r="D26" s="1">
        <f>'Kwh Consumption'!C27*' Kwh area wise $ '!B26</f>
        <v>65.799999999995862</v>
      </c>
      <c r="E26" s="1">
        <f>'Kwh Consumption'!D27*' Kwh area wise $ '!B26</f>
        <v>336.00000000002518</v>
      </c>
      <c r="F26" s="1">
        <f>'Kwh Consumption'!E27*' Kwh area wise $ '!B26</f>
        <v>28.000000000002391</v>
      </c>
      <c r="G26" s="1">
        <f>('Kwh Consumption'!F27+'Kwh Consumption'!G27+'Kwh Consumption'!H27)*' Kwh area wise $ '!B26</f>
        <v>97.999999999994444</v>
      </c>
      <c r="H26" s="16">
        <f>('Kwh Consumption'!I27+'Kwh Consumption'!J27)*' Kwh area wise $ '!B26</f>
        <v>60.200000000000962</v>
      </c>
      <c r="I26" s="1">
        <f>('Kwh Consumption'!K27+'Kwh Consumption'!L27)*' Kwh area wise $ '!B26</f>
        <v>232.39999999999955</v>
      </c>
      <c r="J26" s="1">
        <f>('Kwh Consumption'!M27+'Kwh Consumption'!N27+'Kwh Consumption'!O27+'Kwh Consumption'!P27+'Kwh Consumption'!Q27+'Kwh Consumption'!R27)*' Kwh area wise $ '!B26</f>
        <v>641.20000000000584</v>
      </c>
      <c r="K26" s="1">
        <f>('Kwh Consumption'!S27+'Kwh Consumption'!T27)*' Kwh area wise $ '!B26</f>
        <v>744.03839999994273</v>
      </c>
      <c r="L26" s="1">
        <f>'Kwh Consumption'!U27*' Kwh area wise $ '!B26</f>
        <v>32.199999999998568</v>
      </c>
      <c r="M26" s="1">
        <f>'Kwh Consumption'!V27*' Kwh area wise $ '!B26</f>
        <v>835.16160000000957</v>
      </c>
    </row>
    <row r="27" spans="1:13" x14ac:dyDescent="0.25">
      <c r="A27" s="14">
        <f>'Kwh Reading'!A28</f>
        <v>44311</v>
      </c>
      <c r="B27" s="11">
        <f>TOTAL!F26</f>
        <v>0.14000000000000001</v>
      </c>
      <c r="C27" s="11">
        <f>'Kwh Consumption'!B28*' Kwh area wise $ '!B27</f>
        <v>3242.3999999999801</v>
      </c>
      <c r="D27" s="1">
        <f>'Kwh Consumption'!C28*' Kwh area wise $ '!B27</f>
        <v>68.600000000001273</v>
      </c>
      <c r="E27" s="1">
        <f>'Kwh Consumption'!D28*' Kwh area wise $ '!B27</f>
        <v>363.99999999995993</v>
      </c>
      <c r="F27" s="1">
        <f>'Kwh Consumption'!E28*' Kwh area wise $ '!B27</f>
        <v>32.199999999998568</v>
      </c>
      <c r="G27" s="1">
        <f>('Kwh Consumption'!F28+'Kwh Consumption'!G28+'Kwh Consumption'!H28)*' Kwh area wise $ '!B27</f>
        <v>71.399999999998727</v>
      </c>
      <c r="H27" s="16">
        <f>('Kwh Consumption'!I28+'Kwh Consumption'!J28)*' Kwh area wise $ '!B27</f>
        <v>51.800000000000644</v>
      </c>
      <c r="I27" s="1">
        <f>('Kwh Consumption'!K28+'Kwh Consumption'!L28)*' Kwh area wise $ '!B27</f>
        <v>249.20000000000815</v>
      </c>
      <c r="J27" s="1">
        <f>('Kwh Consumption'!M28+'Kwh Consumption'!N28+'Kwh Consumption'!O28+'Kwh Consumption'!P28+'Kwh Consumption'!Q28+'Kwh Consumption'!R28)*' Kwh area wise $ '!B27</f>
        <v>687.40000000001157</v>
      </c>
      <c r="K27" s="1">
        <f>('Kwh Consumption'!S28+'Kwh Consumption'!T28)*' Kwh area wise $ '!B27</f>
        <v>771.42800000002615</v>
      </c>
      <c r="L27" s="1">
        <f>'Kwh Consumption'!U28*' Kwh area wise $ '!B27</f>
        <v>35</v>
      </c>
      <c r="M27" s="1">
        <f>'Kwh Consumption'!V28*' Kwh area wise $ '!B27</f>
        <v>911.37199999997506</v>
      </c>
    </row>
    <row r="28" spans="1:13" x14ac:dyDescent="0.25">
      <c r="A28" s="14">
        <f>'Kwh Reading'!A29</f>
        <v>44312</v>
      </c>
      <c r="B28" s="11">
        <f>TOTAL!F27</f>
        <v>0.14000000000000001</v>
      </c>
      <c r="C28" s="11">
        <f>'Kwh Consumption'!B29*' Kwh area wise $ '!B28</f>
        <v>3338.9999999999241</v>
      </c>
      <c r="D28" s="1">
        <f>'Kwh Consumption'!C29*' Kwh area wise $ '!B28</f>
        <v>65.80000000000382</v>
      </c>
      <c r="E28" s="1">
        <f>'Kwh Consumption'!D29*' Kwh area wise $ '!B28</f>
        <v>364.00000000002211</v>
      </c>
      <c r="F28" s="1">
        <f>'Kwh Consumption'!E29*' Kwh area wise $ '!B28</f>
        <v>32.199999999998568</v>
      </c>
      <c r="G28" s="1">
        <f>('Kwh Consumption'!F29+'Kwh Consumption'!G29+'Kwh Consumption'!H29)*' Kwh area wise $ '!B28</f>
        <v>106.40000000000272</v>
      </c>
      <c r="H28" s="16">
        <f>('Kwh Consumption'!I29+'Kwh Consumption'!J29)*' Kwh area wise $ '!B28</f>
        <v>60.199999999998973</v>
      </c>
      <c r="I28" s="1">
        <f>('Kwh Consumption'!K29+'Kwh Consumption'!L29)*' Kwh area wise $ '!B28</f>
        <v>246.39999999998682</v>
      </c>
      <c r="J28" s="1">
        <f>('Kwh Consumption'!M29+'Kwh Consumption'!N29+'Kwh Consumption'!O29+'Kwh Consumption'!P29+'Kwh Consumption'!Q29+'Kwh Consumption'!R29)*' Kwh area wise $ '!B28</f>
        <v>715.40000000000202</v>
      </c>
      <c r="K28" s="1">
        <f>('Kwh Consumption'!S29+'Kwh Consumption'!T29)*' Kwh area wise $ '!B28</f>
        <v>781.33020000008878</v>
      </c>
      <c r="L28" s="1">
        <f>'Kwh Consumption'!U29*' Kwh area wise $ '!B28</f>
        <v>32.200000000002547</v>
      </c>
      <c r="M28" s="1">
        <f>'Kwh Consumption'!V29*' Kwh area wise $ '!B28</f>
        <v>935.06979999981775</v>
      </c>
    </row>
    <row r="29" spans="1:13" x14ac:dyDescent="0.25">
      <c r="A29" s="14">
        <f>'Kwh Reading'!A30</f>
        <v>44313</v>
      </c>
      <c r="B29" s="11">
        <f>TOTAL!F28</f>
        <v>0.14000000000000001</v>
      </c>
      <c r="C29" s="11">
        <f>'Kwh Consumption'!B30*' Kwh area wise $ '!B29</f>
        <v>3329.2000000000289</v>
      </c>
      <c r="D29" s="1">
        <f>'Kwh Consumption'!C30*' Kwh area wise $ '!B29</f>
        <v>27.999999999998412</v>
      </c>
      <c r="E29" s="1">
        <f>'Kwh Consumption'!D30*' Kwh area wise $ '!B29</f>
        <v>321.99999999999562</v>
      </c>
      <c r="F29" s="1">
        <f>'Kwh Consumption'!E30*' Kwh area wise $ '!B29</f>
        <v>23.800000000002232</v>
      </c>
      <c r="G29" s="1">
        <f>('Kwh Consumption'!F30+'Kwh Consumption'!G30+'Kwh Consumption'!H30)*' Kwh area wise $ '!B29</f>
        <v>54.599999999998097</v>
      </c>
      <c r="H29" s="16">
        <f>('Kwh Consumption'!I30+'Kwh Consumption'!J30)*' Kwh area wise $ '!B29</f>
        <v>61.599999999999689</v>
      </c>
      <c r="I29" s="1">
        <f>('Kwh Consumption'!K30+'Kwh Consumption'!L30)*' Kwh area wise $ '!B29</f>
        <v>239.4000000000091</v>
      </c>
      <c r="J29" s="1">
        <f>('Kwh Consumption'!M30+'Kwh Consumption'!N30+'Kwh Consumption'!O30+'Kwh Consumption'!P30+'Kwh Consumption'!Q30+'Kwh Consumption'!R30)*' Kwh area wise $ '!B29</f>
        <v>656.59999999997592</v>
      </c>
      <c r="K29" s="1">
        <f>('Kwh Consumption'!S30+'Kwh Consumption'!T30)*' Kwh area wise $ '!B29</f>
        <v>765.07339999994269</v>
      </c>
      <c r="L29" s="1">
        <f>'Kwh Consumption'!U30*' Kwh area wise $ '!B29</f>
        <v>32.199999999998568</v>
      </c>
      <c r="M29" s="1">
        <f>'Kwh Consumption'!V30*' Kwh area wise $ '!B29</f>
        <v>1145.9266000001087</v>
      </c>
    </row>
    <row r="30" spans="1:13" x14ac:dyDescent="0.25">
      <c r="A30" s="14">
        <f>'Kwh Reading'!A31</f>
        <v>44314</v>
      </c>
      <c r="B30" s="11">
        <f>TOTAL!F29</f>
        <v>0.14000000000000001</v>
      </c>
      <c r="C30" s="11">
        <f>'Kwh Consumption'!B31*' Kwh area wise $ '!B30</f>
        <v>3389.4000000000692</v>
      </c>
      <c r="D30" s="1">
        <f>'Kwh Consumption'!C31*' Kwh area wise $ '!B30</f>
        <v>116.19999999999779</v>
      </c>
      <c r="E30" s="1">
        <f>'Kwh Consumption'!D31*' Kwh area wise $ '!B30</f>
        <v>349.99999999999261</v>
      </c>
      <c r="F30" s="1">
        <f>'Kwh Consumption'!E31*' Kwh area wise $ '!B30</f>
        <v>29.399999999997139</v>
      </c>
      <c r="G30" s="1">
        <f>('Kwh Consumption'!F31+'Kwh Consumption'!G31+'Kwh Consumption'!H31)*' Kwh area wise $ '!B30</f>
        <v>72.800000000005411</v>
      </c>
      <c r="H30" s="16">
        <f>('Kwh Consumption'!I31+'Kwh Consumption'!J31)*' Kwh area wise $ '!B30</f>
        <v>54.600000000000087</v>
      </c>
      <c r="I30" s="1">
        <f>('Kwh Consumption'!K31+'Kwh Consumption'!L31)*' Kwh area wise $ '!B30</f>
        <v>254.79999999998714</v>
      </c>
      <c r="J30" s="1">
        <f>('Kwh Consumption'!M31+'Kwh Consumption'!N31+'Kwh Consumption'!O31+'Kwh Consumption'!P31+'Kwh Consumption'!Q31+'Kwh Consumption'!R31)*' Kwh area wise $ '!B30</f>
        <v>798.00000000000648</v>
      </c>
      <c r="K30" s="1">
        <f>('Kwh Consumption'!S31+'Kwh Consumption'!T31)*' Kwh area wise $ '!B30</f>
        <v>810.73719999993227</v>
      </c>
      <c r="L30" s="1">
        <f>'Kwh Consumption'!U31*' Kwh area wise $ '!B30</f>
        <v>37.80000000000144</v>
      </c>
      <c r="M30" s="1">
        <f>'Kwh Consumption'!V31*' Kwh area wise $ '!B30</f>
        <v>865.06280000014885</v>
      </c>
    </row>
    <row r="31" spans="1:13" x14ac:dyDescent="0.25">
      <c r="A31" s="14">
        <f>'Kwh Reading'!A32</f>
        <v>44315</v>
      </c>
      <c r="B31" s="11">
        <f>TOTAL!F30</f>
        <v>0.14000000000000001</v>
      </c>
      <c r="C31" s="11">
        <f>'Kwh Consumption'!B32*' Kwh area wise $ '!B31</f>
        <v>3338.9999999999873</v>
      </c>
      <c r="D31" s="1">
        <f>'Kwh Consumption'!C32*' Kwh area wise $ '!B31</f>
        <v>67.200000000002547</v>
      </c>
      <c r="E31" s="1">
        <f>'Kwh Consumption'!D32*' Kwh area wise $ '!B31</f>
        <v>1190.0000000000246</v>
      </c>
      <c r="F31" s="1">
        <f>'Kwh Consumption'!E32*' Kwh area wise $ '!B31</f>
        <v>30.800000000003823</v>
      </c>
      <c r="G31" s="1">
        <f>('Kwh Consumption'!F32+'Kwh Consumption'!G32+'Kwh Consumption'!H32)*' Kwh area wise $ '!B31</f>
        <v>86.799999999992693</v>
      </c>
      <c r="H31" s="16">
        <f>('Kwh Consumption'!I32+'Kwh Consumption'!J32)*' Kwh area wise $ '!B31</f>
        <v>55.999999999998813</v>
      </c>
      <c r="I31" s="1">
        <f>('Kwh Consumption'!K32+'Kwh Consumption'!L32)*' Kwh area wise $ '!B31</f>
        <v>250.60000000001483</v>
      </c>
      <c r="J31" s="1">
        <f>('Kwh Consumption'!M32+'Kwh Consumption'!N32+'Kwh Consumption'!O32+'Kwh Consumption'!P32+'Kwh Consumption'!Q32+'Kwh Consumption'!R32)*' Kwh area wise $ '!B31</f>
        <v>736.39999999999884</v>
      </c>
      <c r="K31" s="1">
        <f>('Kwh Consumption'!S32+'Kwh Consumption'!T32)*' Kwh area wise $ '!B31</f>
        <v>791.50680000014609</v>
      </c>
      <c r="L31" s="1">
        <f>'Kwh Consumption'!U32*' Kwh area wise $ '!B31</f>
        <v>35</v>
      </c>
      <c r="M31" s="1">
        <f>'Kwh Consumption'!V32*' Kwh area wise $ '!B31</f>
        <v>94.693199999804577</v>
      </c>
    </row>
    <row r="32" spans="1:13" x14ac:dyDescent="0.25">
      <c r="A32" s="14">
        <f>'Kwh Reading'!A33</f>
        <v>44316</v>
      </c>
      <c r="B32" s="11">
        <f>TOTAL!F31</f>
        <v>0.14000000000000001</v>
      </c>
      <c r="C32" s="11">
        <f>'Kwh Consumption'!B33*' Kwh area wise $ '!B32</f>
        <v>3239.6000000000145</v>
      </c>
      <c r="D32" s="1">
        <f>'Kwh Consumption'!C33*' Kwh area wise $ '!B32</f>
        <v>37.799999999997461</v>
      </c>
      <c r="E32" s="1">
        <f>'Kwh Consumption'!D33*' Kwh area wise $ '!B32</f>
        <v>-476.00000000000978</v>
      </c>
      <c r="F32" s="1">
        <f>'Kwh Consumption'!E33*' Kwh area wise $ '!B32</f>
        <v>32.199999999998568</v>
      </c>
      <c r="G32" s="1">
        <f>('Kwh Consumption'!F33+'Kwh Consumption'!G33+'Kwh Consumption'!H33)*' Kwh area wise $ '!B32</f>
        <v>85.400000000005903</v>
      </c>
      <c r="H32" s="16">
        <f>('Kwh Consumption'!I33+'Kwh Consumption'!J33)*' Kwh area wise $ '!B32</f>
        <v>57.39999999999953</v>
      </c>
      <c r="I32" s="1">
        <f>('Kwh Consumption'!K33+'Kwh Consumption'!L33)*' Kwh area wise $ '!B32</f>
        <v>251.99999999999366</v>
      </c>
      <c r="J32" s="1">
        <f>('Kwh Consumption'!M33+'Kwh Consumption'!N33+'Kwh Consumption'!O33+'Kwh Consumption'!P33+'Kwh Consumption'!Q33+'Kwh Consumption'!R33)*' Kwh area wise $ '!B32</f>
        <v>779.80000000001496</v>
      </c>
      <c r="K32" s="1">
        <f>('Kwh Consumption'!S33+'Kwh Consumption'!T33)*' Kwh area wise $ '!B32</f>
        <v>788.75719999993225</v>
      </c>
      <c r="L32" s="1">
        <f>'Kwh Consumption'!U33*' Kwh area wise $ '!B32</f>
        <v>32.199999999998568</v>
      </c>
      <c r="M32" s="1">
        <f>'Kwh Consumption'!V33*' Kwh area wise $ '!B32</f>
        <v>1650.0428000000838</v>
      </c>
    </row>
    <row r="33" spans="1:14" x14ac:dyDescent="0.25">
      <c r="A33" s="14">
        <f>'Kwh Reading'!A34</f>
        <v>44317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-55046.600000000006</v>
      </c>
      <c r="E33" s="1">
        <f>'Kwh Consumption'!D34*' Kwh area wise $ '!B33</f>
        <v>-312648.00000000006</v>
      </c>
      <c r="F33" s="1">
        <f>'Kwh Consumption'!E34*' Kwh area wise $ '!B33</f>
        <v>-30252.600000000002</v>
      </c>
      <c r="G33" s="1">
        <f>('Kwh Consumption'!F34+'Kwh Consumption'!G34+'Kwh Consumption'!H34)*' Kwh area wise $ '!B33</f>
        <v>-119406.00000000001</v>
      </c>
      <c r="H33" s="16">
        <f>('Kwh Consumption'!I34+'Kwh Consumption'!J34)*' Kwh area wise $ '!B33</f>
        <v>-34472.200000000004</v>
      </c>
      <c r="I33" s="1">
        <f>('Kwh Consumption'!K34+'Kwh Consumption'!L34)*' Kwh area wise $ '!B33</f>
        <v>-156476.6</v>
      </c>
      <c r="J33" s="1">
        <f>('Kwh Consumption'!M34+'Kwh Consumption'!N34+'Kwh Consumption'!O34+'Kwh Consumption'!P34+'Kwh Consumption'!Q34+'Kwh Consumption'!R34)*' Kwh area wise $ '!B33</f>
        <v>-440308.4</v>
      </c>
      <c r="K33" s="1">
        <f>('Kwh Consumption'!S34+'Kwh Consumption'!T34)*' Kwh area wise $ '!B33</f>
        <v>-2145958.1905999999</v>
      </c>
      <c r="L33" s="1">
        <f>'Kwh Consumption'!U34*' Kwh area wise $ '!B33</f>
        <v>-19087.600000000002</v>
      </c>
      <c r="M33" s="1">
        <f>'Kwh Consumption'!V34*' Kwh area wise $ '!B33</f>
        <v>3313656.1906000003</v>
      </c>
    </row>
    <row r="34" spans="1:14" ht="15.75" x14ac:dyDescent="0.25">
      <c r="A34" s="133" t="s">
        <v>53</v>
      </c>
      <c r="B34" s="133"/>
      <c r="C34" s="75">
        <f t="shared" ref="C34:L34" si="0">SUM(C3:C33)</f>
        <v>99152.2</v>
      </c>
      <c r="D34" s="75">
        <f t="shared" si="0"/>
        <v>-53053.000000000007</v>
      </c>
      <c r="E34" s="75">
        <f t="shared" si="0"/>
        <v>-302232</v>
      </c>
      <c r="F34" s="75">
        <f t="shared" si="0"/>
        <v>-29339.8</v>
      </c>
      <c r="G34" s="75">
        <f t="shared" si="0"/>
        <v>-116323.20000000001</v>
      </c>
      <c r="H34" s="75">
        <f t="shared" si="0"/>
        <v>-32739.000000000007</v>
      </c>
      <c r="I34" s="75">
        <f t="shared" si="0"/>
        <v>-149371.6</v>
      </c>
      <c r="J34" s="75">
        <f t="shared" si="0"/>
        <v>-418315.8</v>
      </c>
      <c r="K34" s="75">
        <f t="shared" si="0"/>
        <v>-2122187.3959999997</v>
      </c>
      <c r="L34" s="75">
        <f t="shared" si="0"/>
        <v>-18009.599999999999</v>
      </c>
      <c r="M34" s="75">
        <f>SUM(M3:M33)</f>
        <v>3340723.5960000004</v>
      </c>
      <c r="N34" s="84">
        <f>D34+E34+F34+G34+H34+I34+J34+K34+L34+M34</f>
        <v>99152.200000000652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15" activePane="bottomRight" state="frozen"/>
      <selection pane="topRight" activeCell="C25" sqref="C25"/>
      <selection pane="bottomLeft" activeCell="C25" sqref="C25"/>
      <selection pane="bottomRight" activeCell="A31" sqref="A31:XFD3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44287</v>
      </c>
      <c r="B3" s="33">
        <v>150806</v>
      </c>
      <c r="C3" s="56">
        <v>108815</v>
      </c>
      <c r="D3" s="33">
        <v>195982</v>
      </c>
      <c r="E3" s="33">
        <v>242368</v>
      </c>
      <c r="F3" s="33">
        <v>66868</v>
      </c>
      <c r="G3" s="33">
        <v>110066</v>
      </c>
      <c r="H3" s="33">
        <v>48022</v>
      </c>
      <c r="I3" s="33">
        <v>59209</v>
      </c>
      <c r="J3" s="33">
        <v>19008</v>
      </c>
      <c r="K3" s="33">
        <v>1024</v>
      </c>
      <c r="L3" s="33">
        <v>16640</v>
      </c>
      <c r="M3" s="33">
        <v>22889</v>
      </c>
      <c r="N3" s="33">
        <v>6642</v>
      </c>
      <c r="O3" s="33">
        <v>1592</v>
      </c>
      <c r="P3" s="33">
        <v>26141</v>
      </c>
      <c r="Q3" s="33">
        <v>297</v>
      </c>
      <c r="R3" s="33">
        <v>5832</v>
      </c>
    </row>
    <row r="4" spans="1:21" x14ac:dyDescent="0.25">
      <c r="A4" s="54">
        <v>44288</v>
      </c>
      <c r="B4" s="56">
        <v>150946</v>
      </c>
      <c r="C4" s="56">
        <v>109025</v>
      </c>
      <c r="D4" s="55">
        <v>196125</v>
      </c>
      <c r="E4" s="55">
        <v>242429</v>
      </c>
      <c r="F4" s="55">
        <v>66868</v>
      </c>
      <c r="G4" s="55">
        <v>110092</v>
      </c>
      <c r="H4" s="33">
        <v>48062</v>
      </c>
      <c r="I4" s="55">
        <v>59254</v>
      </c>
      <c r="J4" s="55">
        <v>19018</v>
      </c>
      <c r="K4" s="55">
        <v>1024</v>
      </c>
      <c r="L4" s="55">
        <v>16648</v>
      </c>
      <c r="M4" s="55">
        <v>22903</v>
      </c>
      <c r="N4" s="55">
        <v>6845</v>
      </c>
      <c r="O4" s="55">
        <v>1592</v>
      </c>
      <c r="P4" s="55">
        <v>26141</v>
      </c>
      <c r="Q4" s="33">
        <v>299</v>
      </c>
      <c r="R4" s="55">
        <v>5838</v>
      </c>
    </row>
    <row r="5" spans="1:21" x14ac:dyDescent="0.25">
      <c r="A5" s="54">
        <v>44289</v>
      </c>
      <c r="B5" s="55">
        <v>151094</v>
      </c>
      <c r="C5" s="33">
        <v>109249</v>
      </c>
      <c r="D5" s="55">
        <v>196281</v>
      </c>
      <c r="E5" s="55">
        <v>242492</v>
      </c>
      <c r="F5" s="55">
        <v>66868</v>
      </c>
      <c r="G5" s="55">
        <v>110119</v>
      </c>
      <c r="H5" s="33">
        <v>48105</v>
      </c>
      <c r="I5" s="55">
        <v>59303</v>
      </c>
      <c r="J5" s="55">
        <v>19030</v>
      </c>
      <c r="K5" s="55">
        <v>1024</v>
      </c>
      <c r="L5" s="55">
        <v>16656</v>
      </c>
      <c r="M5" s="55">
        <v>22917</v>
      </c>
      <c r="N5" s="55">
        <v>6848</v>
      </c>
      <c r="O5" s="55">
        <v>1594</v>
      </c>
      <c r="P5" s="55">
        <v>26141</v>
      </c>
      <c r="Q5" s="33">
        <v>304</v>
      </c>
      <c r="R5" s="55">
        <v>5845</v>
      </c>
    </row>
    <row r="6" spans="1:21" x14ac:dyDescent="0.25">
      <c r="A6" s="54">
        <v>44290</v>
      </c>
      <c r="B6" s="56">
        <v>151263</v>
      </c>
      <c r="C6" s="56">
        <v>109508</v>
      </c>
      <c r="D6" s="55">
        <v>196482</v>
      </c>
      <c r="E6" s="55">
        <v>242552</v>
      </c>
      <c r="F6" s="55">
        <v>66868</v>
      </c>
      <c r="G6" s="55">
        <v>110150</v>
      </c>
      <c r="H6" s="33">
        <v>48154</v>
      </c>
      <c r="I6" s="55">
        <v>59362</v>
      </c>
      <c r="J6" s="55">
        <v>19041</v>
      </c>
      <c r="K6" s="55">
        <v>1024</v>
      </c>
      <c r="L6" s="55">
        <v>16664</v>
      </c>
      <c r="M6" s="55">
        <v>22929</v>
      </c>
      <c r="N6" s="55">
        <v>6850</v>
      </c>
      <c r="O6" s="55">
        <v>1595</v>
      </c>
      <c r="P6" s="55">
        <v>26141</v>
      </c>
      <c r="Q6" s="33">
        <v>305</v>
      </c>
      <c r="R6" s="55">
        <v>5851</v>
      </c>
    </row>
    <row r="7" spans="1:21" x14ac:dyDescent="0.25">
      <c r="A7" s="54">
        <v>44291</v>
      </c>
      <c r="B7" s="56">
        <v>151446</v>
      </c>
      <c r="C7" s="33">
        <v>109807</v>
      </c>
      <c r="D7" s="55">
        <v>196691</v>
      </c>
      <c r="E7" s="55">
        <v>242624</v>
      </c>
      <c r="F7" s="55">
        <v>66868</v>
      </c>
      <c r="G7" s="55">
        <v>110180</v>
      </c>
      <c r="H7" s="33">
        <v>48208</v>
      </c>
      <c r="I7" s="55">
        <v>59460</v>
      </c>
      <c r="J7" s="55">
        <v>19054</v>
      </c>
      <c r="K7" s="55">
        <v>1024</v>
      </c>
      <c r="L7" s="55">
        <v>16672</v>
      </c>
      <c r="M7" s="55">
        <v>22942</v>
      </c>
      <c r="N7" s="55">
        <v>6851</v>
      </c>
      <c r="O7" s="55">
        <v>1595</v>
      </c>
      <c r="P7" s="55">
        <v>26177</v>
      </c>
      <c r="Q7" s="33">
        <v>309.10000000000002</v>
      </c>
      <c r="R7" s="55">
        <v>5862</v>
      </c>
    </row>
    <row r="8" spans="1:21" x14ac:dyDescent="0.25">
      <c r="A8" s="54">
        <v>44292</v>
      </c>
      <c r="B8" s="33">
        <v>151611</v>
      </c>
      <c r="C8" s="56">
        <v>110074</v>
      </c>
      <c r="D8" s="55">
        <v>196896</v>
      </c>
      <c r="E8" s="55">
        <v>242687</v>
      </c>
      <c r="F8" s="55">
        <v>66868</v>
      </c>
      <c r="G8" s="55">
        <v>110208</v>
      </c>
      <c r="H8" s="33">
        <v>48260</v>
      </c>
      <c r="I8" s="55">
        <v>59526</v>
      </c>
      <c r="J8" s="55">
        <v>19066</v>
      </c>
      <c r="K8" s="55">
        <v>1024</v>
      </c>
      <c r="L8" s="55">
        <v>16678</v>
      </c>
      <c r="M8" s="55">
        <v>22954</v>
      </c>
      <c r="N8" s="55">
        <v>6854</v>
      </c>
      <c r="O8" s="55">
        <v>1597</v>
      </c>
      <c r="P8" s="55">
        <v>26182</v>
      </c>
      <c r="Q8" s="33">
        <v>313</v>
      </c>
      <c r="R8" s="55">
        <v>5869</v>
      </c>
    </row>
    <row r="9" spans="1:21" x14ac:dyDescent="0.25">
      <c r="A9" s="54">
        <v>44293</v>
      </c>
      <c r="B9" s="33">
        <v>151727</v>
      </c>
      <c r="C9" s="33">
        <v>110272</v>
      </c>
      <c r="D9" s="55">
        <v>196985</v>
      </c>
      <c r="E9" s="55">
        <v>242747</v>
      </c>
      <c r="F9" s="55">
        <v>66868</v>
      </c>
      <c r="G9" s="55">
        <v>110232</v>
      </c>
      <c r="H9" s="33">
        <v>48304</v>
      </c>
      <c r="I9" s="55">
        <v>59603</v>
      </c>
      <c r="J9" s="55">
        <v>19078</v>
      </c>
      <c r="K9" s="55">
        <v>1024</v>
      </c>
      <c r="L9" s="55">
        <v>16685</v>
      </c>
      <c r="M9" s="55">
        <v>22978</v>
      </c>
      <c r="N9" s="55">
        <v>6857</v>
      </c>
      <c r="O9" s="55">
        <v>1598</v>
      </c>
      <c r="P9" s="55">
        <v>26197</v>
      </c>
      <c r="Q9" s="33">
        <v>317</v>
      </c>
      <c r="R9" s="55">
        <v>5877</v>
      </c>
    </row>
    <row r="10" spans="1:21" x14ac:dyDescent="0.25">
      <c r="A10" s="54">
        <v>44294</v>
      </c>
      <c r="B10" s="33">
        <v>151865</v>
      </c>
      <c r="C10" s="56">
        <v>110497</v>
      </c>
      <c r="D10" s="55">
        <v>197120</v>
      </c>
      <c r="E10" s="55">
        <v>242813</v>
      </c>
      <c r="F10" s="55">
        <v>66869</v>
      </c>
      <c r="G10" s="55">
        <v>110257</v>
      </c>
      <c r="H10" s="33">
        <v>48358</v>
      </c>
      <c r="I10" s="55">
        <v>59674</v>
      </c>
      <c r="J10" s="55">
        <v>19089</v>
      </c>
      <c r="K10" s="55">
        <v>1024</v>
      </c>
      <c r="L10" s="55">
        <v>16693</v>
      </c>
      <c r="M10" s="55">
        <v>22984</v>
      </c>
      <c r="N10" s="55">
        <v>6661</v>
      </c>
      <c r="O10" s="55">
        <v>1601</v>
      </c>
      <c r="P10" s="55">
        <v>26205</v>
      </c>
      <c r="Q10" s="33">
        <v>323</v>
      </c>
      <c r="R10" s="55">
        <v>5885</v>
      </c>
    </row>
    <row r="11" spans="1:21" x14ac:dyDescent="0.25">
      <c r="A11" s="54">
        <v>44295</v>
      </c>
      <c r="B11" s="33">
        <v>152004</v>
      </c>
      <c r="C11" s="33">
        <v>110716</v>
      </c>
      <c r="D11" s="55">
        <v>197248</v>
      </c>
      <c r="E11" s="55">
        <v>242876</v>
      </c>
      <c r="F11" s="55">
        <v>66870</v>
      </c>
      <c r="G11" s="55">
        <v>110280</v>
      </c>
      <c r="H11" s="33">
        <v>48401</v>
      </c>
      <c r="I11" s="55">
        <v>59747</v>
      </c>
      <c r="J11" s="55">
        <v>19100</v>
      </c>
      <c r="K11" s="55">
        <v>1024</v>
      </c>
      <c r="L11" s="55">
        <v>16700</v>
      </c>
      <c r="M11" s="55">
        <v>22697</v>
      </c>
      <c r="N11" s="55">
        <v>6865</v>
      </c>
      <c r="O11" s="55">
        <v>1602</v>
      </c>
      <c r="P11" s="55">
        <v>26211</v>
      </c>
      <c r="Q11" s="33">
        <v>327</v>
      </c>
      <c r="R11" s="55">
        <v>5890</v>
      </c>
    </row>
    <row r="12" spans="1:21" x14ac:dyDescent="0.25">
      <c r="A12" s="54">
        <v>44296</v>
      </c>
      <c r="B12" s="33">
        <v>152192</v>
      </c>
      <c r="C12" s="56">
        <v>111001</v>
      </c>
      <c r="D12" s="55">
        <v>197468</v>
      </c>
      <c r="E12" s="55">
        <v>242941</v>
      </c>
      <c r="F12" s="55">
        <v>66871</v>
      </c>
      <c r="G12" s="55">
        <v>110305</v>
      </c>
      <c r="H12" s="33">
        <v>48463</v>
      </c>
      <c r="I12" s="55">
        <v>59824</v>
      </c>
      <c r="J12" s="55">
        <v>19113</v>
      </c>
      <c r="K12" s="55">
        <v>1024</v>
      </c>
      <c r="L12" s="55">
        <v>16708</v>
      </c>
      <c r="M12" s="55">
        <v>23010</v>
      </c>
      <c r="N12" s="55">
        <v>6867</v>
      </c>
      <c r="O12" s="55">
        <v>1603</v>
      </c>
      <c r="P12" s="55">
        <v>26214</v>
      </c>
      <c r="Q12" s="33">
        <v>329</v>
      </c>
      <c r="R12" s="55">
        <v>5891</v>
      </c>
    </row>
    <row r="13" spans="1:21" x14ac:dyDescent="0.25">
      <c r="A13" s="54">
        <v>44297</v>
      </c>
      <c r="B13" s="33">
        <v>152328</v>
      </c>
      <c r="C13" s="33">
        <v>111221</v>
      </c>
      <c r="D13" s="55">
        <v>197616</v>
      </c>
      <c r="E13" s="55">
        <v>243002</v>
      </c>
      <c r="F13" s="55">
        <v>66871</v>
      </c>
      <c r="G13" s="55">
        <v>110325</v>
      </c>
      <c r="H13" s="33">
        <v>48505</v>
      </c>
      <c r="I13" s="55">
        <v>59897</v>
      </c>
      <c r="J13" s="55">
        <v>19126</v>
      </c>
      <c r="K13" s="55">
        <v>1024</v>
      </c>
      <c r="L13" s="55">
        <v>16715</v>
      </c>
      <c r="M13" s="55">
        <v>23024</v>
      </c>
      <c r="N13" s="55">
        <v>6869</v>
      </c>
      <c r="O13" s="55">
        <v>1603</v>
      </c>
      <c r="P13" s="55">
        <v>26219</v>
      </c>
      <c r="Q13" s="33">
        <v>335</v>
      </c>
      <c r="R13" s="55">
        <v>5896</v>
      </c>
    </row>
    <row r="14" spans="1:21" x14ac:dyDescent="0.25">
      <c r="A14" s="54">
        <v>44298</v>
      </c>
      <c r="B14" s="33">
        <v>152450</v>
      </c>
      <c r="C14" s="56">
        <v>111422</v>
      </c>
      <c r="D14" s="55">
        <v>197725</v>
      </c>
      <c r="E14" s="55">
        <v>243061</v>
      </c>
      <c r="F14" s="55">
        <v>66872</v>
      </c>
      <c r="G14" s="55">
        <v>110342</v>
      </c>
      <c r="H14" s="33">
        <v>48549</v>
      </c>
      <c r="I14" s="55">
        <v>59972</v>
      </c>
      <c r="J14" s="55">
        <v>19140</v>
      </c>
      <c r="K14" s="55">
        <v>1024</v>
      </c>
      <c r="L14" s="55">
        <v>16723</v>
      </c>
      <c r="M14" s="55">
        <v>23037</v>
      </c>
      <c r="N14" s="55">
        <v>6871</v>
      </c>
      <c r="O14" s="55">
        <v>1603</v>
      </c>
      <c r="P14" s="55">
        <v>26234</v>
      </c>
      <c r="Q14" s="33">
        <v>339</v>
      </c>
      <c r="R14" s="55">
        <v>5900</v>
      </c>
    </row>
    <row r="15" spans="1:21" x14ac:dyDescent="0.25">
      <c r="A15" s="54">
        <v>44299</v>
      </c>
      <c r="B15" s="33">
        <v>152657</v>
      </c>
      <c r="C15" s="33">
        <v>111753</v>
      </c>
      <c r="D15" s="55">
        <v>197847</v>
      </c>
      <c r="E15" s="55">
        <v>243131</v>
      </c>
      <c r="F15" s="55">
        <v>66873</v>
      </c>
      <c r="G15" s="55">
        <v>110362</v>
      </c>
      <c r="H15" s="33">
        <v>48592</v>
      </c>
      <c r="I15" s="55">
        <v>60072</v>
      </c>
      <c r="J15" s="55">
        <v>19151</v>
      </c>
      <c r="K15" s="55">
        <v>1024</v>
      </c>
      <c r="L15" s="55">
        <v>16730</v>
      </c>
      <c r="M15" s="55">
        <v>23053</v>
      </c>
      <c r="N15" s="55">
        <v>6875</v>
      </c>
      <c r="O15" s="55">
        <v>1603</v>
      </c>
      <c r="P15" s="55">
        <v>26256</v>
      </c>
      <c r="Q15" s="33">
        <v>342</v>
      </c>
      <c r="R15" s="55">
        <v>5905</v>
      </c>
      <c r="T15" s="110"/>
      <c r="U15" s="110"/>
    </row>
    <row r="16" spans="1:21" x14ac:dyDescent="0.25">
      <c r="A16" s="54">
        <v>44300</v>
      </c>
      <c r="B16" s="33">
        <v>152830</v>
      </c>
      <c r="C16" s="56">
        <v>111873</v>
      </c>
      <c r="D16" s="55">
        <v>197979</v>
      </c>
      <c r="E16" s="55">
        <v>243204</v>
      </c>
      <c r="F16" s="55">
        <v>66874</v>
      </c>
      <c r="G16" s="55">
        <v>110378</v>
      </c>
      <c r="H16" s="33">
        <v>48631</v>
      </c>
      <c r="I16" s="55">
        <v>60184</v>
      </c>
      <c r="J16" s="55">
        <v>19161</v>
      </c>
      <c r="K16" s="55">
        <v>1024</v>
      </c>
      <c r="L16" s="55">
        <v>16738</v>
      </c>
      <c r="M16" s="55">
        <v>23068</v>
      </c>
      <c r="N16" s="55">
        <v>6878</v>
      </c>
      <c r="O16" s="55">
        <v>1603</v>
      </c>
      <c r="P16" s="55">
        <v>26289</v>
      </c>
      <c r="Q16" s="33">
        <v>347</v>
      </c>
      <c r="R16" s="55">
        <v>5909</v>
      </c>
    </row>
    <row r="17" spans="1:22" x14ac:dyDescent="0.25">
      <c r="A17" s="54">
        <v>44301</v>
      </c>
      <c r="B17" s="33">
        <v>153023</v>
      </c>
      <c r="C17" s="33">
        <v>112179</v>
      </c>
      <c r="D17" s="55">
        <v>198143</v>
      </c>
      <c r="E17" s="55">
        <v>243268</v>
      </c>
      <c r="F17" s="55">
        <v>66874</v>
      </c>
      <c r="G17" s="55">
        <v>110395</v>
      </c>
      <c r="H17" s="33">
        <v>48673</v>
      </c>
      <c r="I17" s="55">
        <v>60261</v>
      </c>
      <c r="J17" s="55">
        <v>19172</v>
      </c>
      <c r="K17" s="55">
        <v>1024</v>
      </c>
      <c r="L17" s="55">
        <v>16743</v>
      </c>
      <c r="M17" s="55">
        <v>23081</v>
      </c>
      <c r="N17" s="55">
        <v>6885</v>
      </c>
      <c r="O17" s="55">
        <v>1604</v>
      </c>
      <c r="P17" s="55">
        <v>26296</v>
      </c>
      <c r="Q17" s="33">
        <v>348</v>
      </c>
      <c r="R17" s="55">
        <v>5914</v>
      </c>
    </row>
    <row r="18" spans="1:22" x14ac:dyDescent="0.25">
      <c r="A18" s="54">
        <v>44302</v>
      </c>
      <c r="B18" s="33">
        <v>153259</v>
      </c>
      <c r="C18" s="56">
        <v>112352</v>
      </c>
      <c r="D18" s="55">
        <v>198421</v>
      </c>
      <c r="E18" s="55">
        <v>243323</v>
      </c>
      <c r="F18" s="55">
        <v>66875</v>
      </c>
      <c r="G18" s="55">
        <v>110409</v>
      </c>
      <c r="H18" s="33">
        <v>48708</v>
      </c>
      <c r="I18" s="55">
        <v>60347</v>
      </c>
      <c r="J18" s="33">
        <v>19182</v>
      </c>
      <c r="K18" s="55">
        <v>1024</v>
      </c>
      <c r="L18" s="55">
        <v>16799</v>
      </c>
      <c r="M18" s="55">
        <v>23092</v>
      </c>
      <c r="N18" s="55">
        <v>6887</v>
      </c>
      <c r="O18" s="55">
        <v>1604</v>
      </c>
      <c r="P18" s="55">
        <v>26308</v>
      </c>
      <c r="Q18" s="33">
        <v>353</v>
      </c>
      <c r="R18" s="55">
        <v>5918</v>
      </c>
      <c r="U18" s="110"/>
    </row>
    <row r="19" spans="1:22" x14ac:dyDescent="0.25">
      <c r="A19" s="54">
        <v>44303</v>
      </c>
      <c r="B19" s="33">
        <v>153433</v>
      </c>
      <c r="C19" s="33">
        <v>112549</v>
      </c>
      <c r="D19" s="55">
        <v>198541</v>
      </c>
      <c r="E19" s="55">
        <v>243383</v>
      </c>
      <c r="F19" s="55">
        <v>66876</v>
      </c>
      <c r="G19" s="55">
        <v>110430</v>
      </c>
      <c r="H19" s="33">
        <v>48756</v>
      </c>
      <c r="I19" s="55">
        <v>60438</v>
      </c>
      <c r="J19" s="55">
        <v>19193</v>
      </c>
      <c r="K19" s="55">
        <v>1024</v>
      </c>
      <c r="L19" s="55">
        <v>16756</v>
      </c>
      <c r="M19" s="55">
        <v>23103</v>
      </c>
      <c r="N19" s="55">
        <v>6889</v>
      </c>
      <c r="O19" s="55">
        <v>1605</v>
      </c>
      <c r="P19" s="55">
        <v>26321</v>
      </c>
      <c r="Q19" s="33">
        <v>356</v>
      </c>
      <c r="R19" s="55">
        <v>5919</v>
      </c>
    </row>
    <row r="20" spans="1:22" x14ac:dyDescent="0.25">
      <c r="A20" s="54">
        <v>44304</v>
      </c>
      <c r="B20" s="33">
        <v>153562</v>
      </c>
      <c r="C20" s="56">
        <v>112759</v>
      </c>
      <c r="D20" s="10">
        <v>198662</v>
      </c>
      <c r="E20" s="55">
        <v>243436</v>
      </c>
      <c r="F20" s="55">
        <v>66876</v>
      </c>
      <c r="G20" s="55">
        <v>110445</v>
      </c>
      <c r="H20" s="33">
        <v>48794</v>
      </c>
      <c r="I20" s="55">
        <v>60515</v>
      </c>
      <c r="J20" s="55">
        <v>19204</v>
      </c>
      <c r="K20" s="55">
        <v>1024</v>
      </c>
      <c r="L20" s="55">
        <v>16763</v>
      </c>
      <c r="M20" s="55">
        <v>23118</v>
      </c>
      <c r="N20" s="55">
        <v>6892</v>
      </c>
      <c r="O20" s="55">
        <v>1605</v>
      </c>
      <c r="P20" s="55">
        <v>26321</v>
      </c>
      <c r="Q20" s="33">
        <v>362</v>
      </c>
      <c r="R20" s="55">
        <v>5923</v>
      </c>
    </row>
    <row r="21" spans="1:22" x14ac:dyDescent="0.25">
      <c r="A21" s="54">
        <v>44305</v>
      </c>
      <c r="B21" s="33">
        <v>153716</v>
      </c>
      <c r="C21" s="33">
        <v>112944</v>
      </c>
      <c r="D21" s="55">
        <v>198779</v>
      </c>
      <c r="E21" s="55">
        <v>243499</v>
      </c>
      <c r="F21" s="55">
        <v>66877</v>
      </c>
      <c r="G21" s="55">
        <v>110461</v>
      </c>
      <c r="H21" s="33">
        <v>48821</v>
      </c>
      <c r="I21" s="55">
        <v>60591</v>
      </c>
      <c r="J21" s="55">
        <v>19217</v>
      </c>
      <c r="K21" s="55">
        <v>1024</v>
      </c>
      <c r="L21" s="55">
        <v>16769</v>
      </c>
      <c r="M21" s="55">
        <v>23132</v>
      </c>
      <c r="N21" s="55">
        <v>6907</v>
      </c>
      <c r="O21" s="55">
        <v>1606</v>
      </c>
      <c r="P21" s="55">
        <v>26321</v>
      </c>
      <c r="Q21" s="33">
        <v>362</v>
      </c>
      <c r="R21" s="55">
        <v>5927</v>
      </c>
    </row>
    <row r="22" spans="1:22" x14ac:dyDescent="0.25">
      <c r="A22" s="54">
        <v>44306</v>
      </c>
      <c r="B22" s="33">
        <v>154002</v>
      </c>
      <c r="C22" s="56">
        <v>113144</v>
      </c>
      <c r="D22" s="55">
        <v>198898</v>
      </c>
      <c r="E22" s="55">
        <v>243553</v>
      </c>
      <c r="F22" s="55">
        <v>66878</v>
      </c>
      <c r="G22" s="55">
        <v>110476</v>
      </c>
      <c r="H22" s="33">
        <v>48846</v>
      </c>
      <c r="I22" s="55">
        <v>60676</v>
      </c>
      <c r="J22" s="55">
        <v>19229</v>
      </c>
      <c r="K22" s="55">
        <v>1024</v>
      </c>
      <c r="L22" s="55">
        <v>16775</v>
      </c>
      <c r="M22" s="55">
        <v>23145</v>
      </c>
      <c r="N22" s="55">
        <v>6910</v>
      </c>
      <c r="O22" s="55">
        <v>1606</v>
      </c>
      <c r="P22" s="55">
        <v>26328</v>
      </c>
      <c r="Q22" s="33">
        <v>368</v>
      </c>
      <c r="R22" s="55">
        <v>5931</v>
      </c>
    </row>
    <row r="23" spans="1:22" x14ac:dyDescent="0.25">
      <c r="A23" s="54">
        <v>44307</v>
      </c>
      <c r="B23" s="33">
        <v>154311</v>
      </c>
      <c r="C23" s="33">
        <v>113214</v>
      </c>
      <c r="D23" s="55">
        <v>199018</v>
      </c>
      <c r="E23" s="55">
        <v>243603</v>
      </c>
      <c r="F23" s="55">
        <v>66878</v>
      </c>
      <c r="G23" s="55">
        <v>110484</v>
      </c>
      <c r="H23" s="33">
        <v>48877</v>
      </c>
      <c r="I23" s="55">
        <v>60766</v>
      </c>
      <c r="J23" s="55">
        <v>19239</v>
      </c>
      <c r="K23" s="55">
        <v>1024</v>
      </c>
      <c r="L23" s="55">
        <v>16780</v>
      </c>
      <c r="M23" s="55">
        <v>23151</v>
      </c>
      <c r="N23" s="55">
        <v>6913</v>
      </c>
      <c r="O23" s="55">
        <v>1606</v>
      </c>
      <c r="P23" s="55">
        <v>26341</v>
      </c>
      <c r="Q23" s="33">
        <v>371</v>
      </c>
      <c r="R23" s="55">
        <v>5935</v>
      </c>
    </row>
    <row r="24" spans="1:22" x14ac:dyDescent="0.25">
      <c r="A24" s="54">
        <v>44308</v>
      </c>
      <c r="B24" s="33">
        <v>154510</v>
      </c>
      <c r="C24" s="56">
        <v>113499</v>
      </c>
      <c r="D24" s="55">
        <v>199128</v>
      </c>
      <c r="E24" s="55">
        <v>243656</v>
      </c>
      <c r="F24" s="55">
        <v>66879</v>
      </c>
      <c r="G24" s="55">
        <v>110497</v>
      </c>
      <c r="H24" s="33">
        <v>48956</v>
      </c>
      <c r="I24" s="55">
        <v>60848</v>
      </c>
      <c r="J24" s="55">
        <v>19249</v>
      </c>
      <c r="K24" s="55">
        <v>1024</v>
      </c>
      <c r="L24" s="55">
        <v>16787</v>
      </c>
      <c r="M24" s="55">
        <v>23171</v>
      </c>
      <c r="N24" s="55">
        <v>6916</v>
      </c>
      <c r="O24" s="55">
        <v>1608</v>
      </c>
      <c r="P24" s="55">
        <v>26346</v>
      </c>
      <c r="Q24" s="33">
        <v>374</v>
      </c>
      <c r="R24" s="55">
        <v>5939</v>
      </c>
    </row>
    <row r="25" spans="1:22" x14ac:dyDescent="0.25">
      <c r="A25" s="54">
        <v>44309</v>
      </c>
      <c r="B25" s="33">
        <v>154721</v>
      </c>
      <c r="C25" s="33">
        <v>113531</v>
      </c>
      <c r="D25" s="55">
        <v>199240</v>
      </c>
      <c r="E25" s="55">
        <v>243710</v>
      </c>
      <c r="F25" s="55">
        <v>66881</v>
      </c>
      <c r="G25" s="55">
        <v>110511</v>
      </c>
      <c r="H25" s="33">
        <v>49011</v>
      </c>
      <c r="I25" s="55">
        <v>60943</v>
      </c>
      <c r="J25" s="55">
        <v>19259</v>
      </c>
      <c r="K25" s="55">
        <v>1024</v>
      </c>
      <c r="L25" s="55">
        <v>16793</v>
      </c>
      <c r="M25" s="55">
        <v>23183</v>
      </c>
      <c r="N25" s="55">
        <v>6918</v>
      </c>
      <c r="O25" s="55">
        <v>1608</v>
      </c>
      <c r="P25" s="55">
        <v>26360</v>
      </c>
      <c r="Q25" s="33">
        <v>376</v>
      </c>
      <c r="R25" s="55">
        <v>5944</v>
      </c>
    </row>
    <row r="26" spans="1:22" x14ac:dyDescent="0.25">
      <c r="A26" s="54">
        <v>44310</v>
      </c>
      <c r="B26" s="33">
        <v>154839</v>
      </c>
      <c r="C26" s="56">
        <v>113673</v>
      </c>
      <c r="D26" s="55">
        <v>199352</v>
      </c>
      <c r="E26" s="55">
        <v>243770</v>
      </c>
      <c r="F26" s="55">
        <v>66881</v>
      </c>
      <c r="G26" s="55">
        <v>110527</v>
      </c>
      <c r="H26" s="33">
        <v>49062</v>
      </c>
      <c r="I26" s="55">
        <v>61039</v>
      </c>
      <c r="J26" s="55">
        <v>19269</v>
      </c>
      <c r="K26" s="55">
        <v>1024</v>
      </c>
      <c r="L26" s="55">
        <v>16801</v>
      </c>
      <c r="M26" s="55">
        <v>23197</v>
      </c>
      <c r="N26" s="55">
        <v>6921</v>
      </c>
      <c r="O26" s="55">
        <v>1610</v>
      </c>
      <c r="P26" s="55">
        <v>26367</v>
      </c>
      <c r="Q26" s="33">
        <v>378</v>
      </c>
      <c r="R26" s="55">
        <v>5945</v>
      </c>
    </row>
    <row r="27" spans="1:22" x14ac:dyDescent="0.25">
      <c r="A27" s="54">
        <v>44311</v>
      </c>
      <c r="B27" s="33">
        <v>154967</v>
      </c>
      <c r="C27" s="33">
        <v>114111</v>
      </c>
      <c r="D27" s="55">
        <v>199476</v>
      </c>
      <c r="E27" s="55">
        <v>243825</v>
      </c>
      <c r="F27" s="55">
        <v>66881</v>
      </c>
      <c r="G27" s="55">
        <v>110544</v>
      </c>
      <c r="H27" s="33">
        <v>49109</v>
      </c>
      <c r="I27" s="55">
        <v>61129</v>
      </c>
      <c r="J27" s="55">
        <v>19279</v>
      </c>
      <c r="K27" s="55">
        <v>1024</v>
      </c>
      <c r="L27" s="55">
        <v>16809</v>
      </c>
      <c r="M27" s="55">
        <v>23211</v>
      </c>
      <c r="N27" s="55">
        <v>6922</v>
      </c>
      <c r="O27" s="55">
        <v>1611</v>
      </c>
      <c r="P27" s="55">
        <v>26373</v>
      </c>
      <c r="Q27" s="33">
        <v>386</v>
      </c>
      <c r="R27" s="55">
        <v>5950</v>
      </c>
    </row>
    <row r="28" spans="1:22" x14ac:dyDescent="0.25">
      <c r="A28" s="54">
        <v>44312</v>
      </c>
      <c r="B28" s="33">
        <v>155109</v>
      </c>
      <c r="C28" s="56">
        <v>114182</v>
      </c>
      <c r="D28" s="55">
        <v>199641</v>
      </c>
      <c r="E28" s="55">
        <v>243880</v>
      </c>
      <c r="F28" s="55">
        <v>66882</v>
      </c>
      <c r="G28" s="55">
        <v>110560</v>
      </c>
      <c r="H28" s="33">
        <v>49151</v>
      </c>
      <c r="I28" s="55">
        <v>61231</v>
      </c>
      <c r="J28" s="55">
        <v>19289</v>
      </c>
      <c r="K28" s="55">
        <v>1024</v>
      </c>
      <c r="L28" s="55">
        <v>16816</v>
      </c>
      <c r="M28" s="55">
        <v>23226</v>
      </c>
      <c r="N28" s="55">
        <v>6924</v>
      </c>
      <c r="O28" s="55">
        <v>1611</v>
      </c>
      <c r="P28" s="55">
        <v>26384</v>
      </c>
      <c r="Q28" s="33">
        <v>386</v>
      </c>
      <c r="R28" s="55">
        <v>5954</v>
      </c>
    </row>
    <row r="29" spans="1:22" x14ac:dyDescent="0.25">
      <c r="A29" s="54">
        <v>44313</v>
      </c>
      <c r="B29" s="33">
        <v>155315</v>
      </c>
      <c r="C29" s="33">
        <v>114195</v>
      </c>
      <c r="D29" s="55">
        <v>199899</v>
      </c>
      <c r="E29" s="55">
        <v>243932</v>
      </c>
      <c r="F29" s="55">
        <v>66883</v>
      </c>
      <c r="G29" s="55">
        <v>110576</v>
      </c>
      <c r="H29" s="33">
        <v>49200</v>
      </c>
      <c r="I29" s="10">
        <v>61330</v>
      </c>
      <c r="J29" s="55">
        <v>19300</v>
      </c>
      <c r="K29" s="55">
        <v>1024</v>
      </c>
      <c r="L29" s="55">
        <v>16823</v>
      </c>
      <c r="M29" s="55">
        <v>23238</v>
      </c>
      <c r="N29" s="55">
        <v>6925</v>
      </c>
      <c r="O29" s="55">
        <v>1611</v>
      </c>
      <c r="P29" s="55">
        <v>26394</v>
      </c>
      <c r="Q29" s="55">
        <v>389</v>
      </c>
      <c r="R29" s="55">
        <v>5958</v>
      </c>
    </row>
    <row r="30" spans="1:22" x14ac:dyDescent="0.25">
      <c r="A30" s="54">
        <v>44314</v>
      </c>
      <c r="B30" s="33">
        <v>155629</v>
      </c>
      <c r="C30" s="56">
        <v>114280</v>
      </c>
      <c r="D30" s="55">
        <v>200127</v>
      </c>
      <c r="E30" s="55">
        <v>243987</v>
      </c>
      <c r="F30" s="55">
        <v>66883</v>
      </c>
      <c r="G30" s="55">
        <v>110584</v>
      </c>
      <c r="H30" s="33">
        <v>49244</v>
      </c>
      <c r="I30" s="55">
        <v>61431</v>
      </c>
      <c r="J30" s="55">
        <v>19310</v>
      </c>
      <c r="K30" s="55">
        <v>1024</v>
      </c>
      <c r="L30" s="55">
        <v>16831</v>
      </c>
      <c r="M30" s="55">
        <v>23254</v>
      </c>
      <c r="N30" s="55">
        <v>6926</v>
      </c>
      <c r="O30" s="55">
        <v>1611</v>
      </c>
      <c r="P30" s="55">
        <v>26402</v>
      </c>
      <c r="Q30" s="55">
        <v>390</v>
      </c>
      <c r="R30" s="55">
        <v>5962</v>
      </c>
    </row>
    <row r="31" spans="1:22" x14ac:dyDescent="0.25">
      <c r="A31" s="54">
        <v>44315</v>
      </c>
      <c r="B31" s="33">
        <v>156125</v>
      </c>
      <c r="C31" s="33">
        <v>115426</v>
      </c>
      <c r="D31" s="55">
        <v>200500</v>
      </c>
      <c r="E31" s="10">
        <v>244043</v>
      </c>
      <c r="F31" s="55">
        <v>66884</v>
      </c>
      <c r="G31" s="55">
        <v>110598</v>
      </c>
      <c r="H31" s="33">
        <v>49284</v>
      </c>
      <c r="I31" s="55">
        <v>61526</v>
      </c>
      <c r="J31" s="10">
        <v>19320</v>
      </c>
      <c r="K31" s="55">
        <v>1024</v>
      </c>
      <c r="L31" s="55">
        <v>16838</v>
      </c>
      <c r="M31" s="55">
        <v>23266</v>
      </c>
      <c r="N31" s="55">
        <v>6929</v>
      </c>
      <c r="O31" s="55">
        <v>1612</v>
      </c>
      <c r="P31" s="55">
        <v>26412</v>
      </c>
      <c r="Q31" s="55">
        <v>398</v>
      </c>
      <c r="R31" s="55">
        <v>5967</v>
      </c>
      <c r="S31" s="57"/>
      <c r="T31" s="57"/>
      <c r="U31" s="57"/>
      <c r="V31" s="57"/>
    </row>
    <row r="32" spans="1:22" x14ac:dyDescent="0.25">
      <c r="A32" s="54">
        <v>44316</v>
      </c>
      <c r="B32" s="33">
        <v>156321</v>
      </c>
      <c r="C32" s="56">
        <v>115559</v>
      </c>
      <c r="D32" s="55">
        <v>200612</v>
      </c>
      <c r="E32" s="55">
        <v>244103</v>
      </c>
      <c r="F32" s="55">
        <v>66885</v>
      </c>
      <c r="G32" s="55">
        <v>110612</v>
      </c>
      <c r="H32" s="56">
        <v>49327</v>
      </c>
      <c r="I32" s="33">
        <v>61627</v>
      </c>
      <c r="J32" s="55">
        <v>19331</v>
      </c>
      <c r="K32" s="55">
        <v>1024</v>
      </c>
      <c r="L32" s="55">
        <v>16845</v>
      </c>
      <c r="M32" s="55">
        <v>23281</v>
      </c>
      <c r="N32" s="55">
        <v>6932</v>
      </c>
      <c r="O32" s="55">
        <v>1614</v>
      </c>
      <c r="P32" s="55">
        <v>26423</v>
      </c>
      <c r="Q32" s="55">
        <v>401</v>
      </c>
      <c r="R32" s="55">
        <v>5972</v>
      </c>
      <c r="S32" s="58"/>
      <c r="T32" s="57"/>
      <c r="U32" s="57"/>
      <c r="V32" s="57"/>
    </row>
    <row r="33" spans="1:22" x14ac:dyDescent="0.25">
      <c r="A33" s="54">
        <v>44317</v>
      </c>
      <c r="B33" s="33">
        <v>156543</v>
      </c>
      <c r="C33" s="33">
        <v>115604</v>
      </c>
      <c r="D33" s="55">
        <v>200729</v>
      </c>
      <c r="E33" s="55">
        <v>244163</v>
      </c>
      <c r="F33" s="55">
        <v>66885</v>
      </c>
      <c r="G33" s="55">
        <v>110631</v>
      </c>
      <c r="H33" s="56">
        <v>49363</v>
      </c>
      <c r="I33" s="33">
        <v>61718</v>
      </c>
      <c r="J33" s="55">
        <v>19342</v>
      </c>
      <c r="K33" s="55">
        <v>1024</v>
      </c>
      <c r="L33" s="55">
        <v>16853</v>
      </c>
      <c r="M33" s="55">
        <v>23293</v>
      </c>
      <c r="N33" s="55">
        <v>6938</v>
      </c>
      <c r="O33" s="55">
        <v>1616</v>
      </c>
      <c r="P33" s="55">
        <v>26423</v>
      </c>
      <c r="Q33" s="55">
        <v>403</v>
      </c>
      <c r="R33" s="55">
        <v>5973</v>
      </c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D1" zoomScale="70" zoomScaleNormal="70" workbookViewId="0">
      <pane ySplit="3" topLeftCell="A16" activePane="bottomLeft" state="frozen"/>
      <selection activeCell="C25" sqref="C25"/>
      <selection pane="bottomLeft" activeCell="C31" sqref="C31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8" t="s">
        <v>32</v>
      </c>
      <c r="B2" s="139" t="s">
        <v>109</v>
      </c>
      <c r="C2" s="139" t="s">
        <v>110</v>
      </c>
      <c r="D2" s="139"/>
      <c r="E2" s="140" t="s">
        <v>98</v>
      </c>
      <c r="F2" s="137"/>
      <c r="G2" s="134" t="s">
        <v>113</v>
      </c>
      <c r="H2" s="137"/>
      <c r="I2" s="134" t="s">
        <v>111</v>
      </c>
      <c r="J2" s="137"/>
      <c r="K2" s="134" t="s">
        <v>112</v>
      </c>
      <c r="L2" s="137"/>
      <c r="M2" s="134" t="s">
        <v>108</v>
      </c>
      <c r="N2" s="137"/>
      <c r="O2" s="134" t="s">
        <v>107</v>
      </c>
      <c r="P2" s="137"/>
      <c r="Q2" s="134" t="s">
        <v>114</v>
      </c>
      <c r="R2" s="137"/>
      <c r="S2" s="134" t="s">
        <v>115</v>
      </c>
      <c r="T2" s="137"/>
      <c r="U2" s="134" t="s">
        <v>116</v>
      </c>
      <c r="V2" s="137"/>
      <c r="W2" s="134" t="s">
        <v>100</v>
      </c>
      <c r="X2" s="135"/>
      <c r="Y2" s="136" t="s">
        <v>53</v>
      </c>
      <c r="Z2" s="136"/>
    </row>
    <row r="3" spans="1:26" ht="30" x14ac:dyDescent="0.35">
      <c r="A3" s="138"/>
      <c r="B3" s="139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44287</v>
      </c>
      <c r="B4" s="65">
        <v>469</v>
      </c>
      <c r="C4" s="66">
        <f>('Water Reading'!B4-'Water Reading'!B3)+('Water Reading'!C4-'Water Reading'!C3)</f>
        <v>350</v>
      </c>
      <c r="D4" s="67">
        <f>C4/B4</f>
        <v>0.74626865671641796</v>
      </c>
      <c r="E4" s="88">
        <f>'Water Reading'!H4-'Water Reading'!H3</f>
        <v>40</v>
      </c>
      <c r="F4" s="89">
        <f>E4/C4</f>
        <v>0.11428571428571428</v>
      </c>
      <c r="G4" s="93">
        <f>('Water Reading'!D4-'Water Reading'!D3)-('Water Reading'!R4-'Water Reading'!R3)-('Water Reading'!Q4-'Water Reading'!Q3)</f>
        <v>135</v>
      </c>
      <c r="H4" s="89">
        <f>G4/C4</f>
        <v>0.38571428571428573</v>
      </c>
      <c r="I4" s="90">
        <f>'Water Reading'!P4-'Water Reading'!P3</f>
        <v>0</v>
      </c>
      <c r="J4" s="68">
        <f>I4/C4</f>
        <v>0</v>
      </c>
      <c r="K4" s="91">
        <f>('Water Reading'!I4-'Water Reading'!I3)-('Water Reading'!P4-'Water Reading'!P3)</f>
        <v>45</v>
      </c>
      <c r="L4" s="68">
        <f>K4/C4</f>
        <v>0.12857142857142856</v>
      </c>
      <c r="M4" s="90">
        <f>'Water Reading'!R4-'Water Reading'!R3</f>
        <v>6</v>
      </c>
      <c r="N4" s="92">
        <f>M4/C4</f>
        <v>1.7142857142857144E-2</v>
      </c>
      <c r="O4" s="90">
        <f>'Water Reading'!Q4-'Water Reading'!Q3</f>
        <v>2</v>
      </c>
      <c r="P4" s="99">
        <f>O4/C4</f>
        <v>5.7142857142857143E-3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61</v>
      </c>
      <c r="T4" s="100">
        <f>S4/C4</f>
        <v>0.17428571428571429</v>
      </c>
      <c r="U4" s="90">
        <f>'Water Reading'!G4-'Water Reading'!G3</f>
        <v>26</v>
      </c>
      <c r="V4" s="100">
        <f>U4/C4</f>
        <v>7.4285714285714288E-2</v>
      </c>
      <c r="W4" s="90">
        <f>'Water Reading'!J4-'Water Reading'!J3</f>
        <v>10</v>
      </c>
      <c r="X4" s="100">
        <f>W4/C4</f>
        <v>2.8571428571428571E-2</v>
      </c>
      <c r="Y4" s="66">
        <f t="shared" ref="Y4:Y34" si="0">E4+I4+K4+M4+O4+G4+Q4+S4+U4+W4</f>
        <v>325</v>
      </c>
      <c r="Z4" s="67">
        <f t="shared" ref="Z4:Z35" si="1">Y4/B4</f>
        <v>0.69296375266524524</v>
      </c>
    </row>
    <row r="5" spans="1:26" x14ac:dyDescent="0.25">
      <c r="A5" s="8">
        <f>'Water Reading'!A4</f>
        <v>44288</v>
      </c>
      <c r="B5" s="65">
        <f>TOTAL!I3</f>
        <v>296</v>
      </c>
      <c r="C5" s="66">
        <f>('Water Reading'!B5-'Water Reading'!B4)+('Water Reading'!C5-'Water Reading'!C4)</f>
        <v>372</v>
      </c>
      <c r="D5" s="67">
        <f t="shared" ref="D5:D34" si="2">C5/B5</f>
        <v>1.2567567567567568</v>
      </c>
      <c r="E5" s="88">
        <f>'Water Reading'!H5-'Water Reading'!H4</f>
        <v>43</v>
      </c>
      <c r="F5" s="89">
        <f t="shared" ref="F5:F34" si="3">E5/C5</f>
        <v>0.11559139784946236</v>
      </c>
      <c r="G5" s="93">
        <f>('Water Reading'!D5-'Water Reading'!D4)-('Water Reading'!R5-'Water Reading'!R4)-('Water Reading'!Q5-'Water Reading'!Q4)</f>
        <v>144</v>
      </c>
      <c r="H5" s="89">
        <f t="shared" ref="H5:H34" si="4">G5/C5</f>
        <v>0.38709677419354838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49</v>
      </c>
      <c r="L5" s="68">
        <f t="shared" ref="L5:L34" si="6">K5/C5</f>
        <v>0.13172043010752688</v>
      </c>
      <c r="M5" s="90">
        <f>'Water Reading'!R5-'Water Reading'!R4</f>
        <v>7</v>
      </c>
      <c r="N5" s="92">
        <f t="shared" ref="N5:N34" si="7">M5/C5</f>
        <v>1.8817204301075269E-2</v>
      </c>
      <c r="O5" s="90">
        <f>'Water Reading'!Q5-'Water Reading'!Q4</f>
        <v>5</v>
      </c>
      <c r="P5" s="99">
        <f t="shared" ref="P5:P34" si="8">O5/C5</f>
        <v>1.3440860215053764E-2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63</v>
      </c>
      <c r="T5" s="100">
        <f t="shared" ref="T5:T34" si="10">S5/C5</f>
        <v>0.16935483870967741</v>
      </c>
      <c r="U5" s="90">
        <f>'Water Reading'!G5-'Water Reading'!G4</f>
        <v>27</v>
      </c>
      <c r="V5" s="100">
        <f t="shared" ref="V5:V34" si="11">U5/C5</f>
        <v>7.2580645161290328E-2</v>
      </c>
      <c r="W5" s="90">
        <f>'Water Reading'!J5-'Water Reading'!J4</f>
        <v>12</v>
      </c>
      <c r="X5" s="100">
        <f t="shared" ref="X5:X34" si="12">W5/C5</f>
        <v>3.2258064516129031E-2</v>
      </c>
      <c r="Y5" s="66">
        <f t="shared" si="0"/>
        <v>350</v>
      </c>
      <c r="Z5" s="67">
        <f t="shared" si="1"/>
        <v>1.1824324324324325</v>
      </c>
    </row>
    <row r="6" spans="1:26" x14ac:dyDescent="0.25">
      <c r="A6" s="8">
        <f>'Water Reading'!A5</f>
        <v>44289</v>
      </c>
      <c r="B6" s="65">
        <f>TOTAL!I4</f>
        <v>381</v>
      </c>
      <c r="C6" s="66">
        <f>('Water Reading'!B6-'Water Reading'!B5)+('Water Reading'!C6-'Water Reading'!C5)</f>
        <v>428</v>
      </c>
      <c r="D6" s="67">
        <f t="shared" si="2"/>
        <v>1.1233595800524934</v>
      </c>
      <c r="E6" s="88">
        <f>'Water Reading'!H6-'Water Reading'!H5</f>
        <v>49</v>
      </c>
      <c r="F6" s="89">
        <f t="shared" si="3"/>
        <v>0.11448598130841121</v>
      </c>
      <c r="G6" s="93">
        <f>('Water Reading'!D6-'Water Reading'!D5)-('Water Reading'!R6-'Water Reading'!R5)-('Water Reading'!Q6-'Water Reading'!Q5)</f>
        <v>194</v>
      </c>
      <c r="H6" s="89">
        <f t="shared" si="4"/>
        <v>0.45327102803738317</v>
      </c>
      <c r="I6" s="90">
        <f>'Water Reading'!P6-'Water Reading'!P5</f>
        <v>0</v>
      </c>
      <c r="J6" s="68">
        <f t="shared" si="5"/>
        <v>0</v>
      </c>
      <c r="K6" s="91">
        <f>('Water Reading'!I6-'Water Reading'!I5)-('Water Reading'!P6-'Water Reading'!P5)</f>
        <v>59</v>
      </c>
      <c r="L6" s="68">
        <f t="shared" si="6"/>
        <v>0.13785046728971961</v>
      </c>
      <c r="M6" s="90">
        <f>'Water Reading'!R6-'Water Reading'!R5</f>
        <v>6</v>
      </c>
      <c r="N6" s="92">
        <f t="shared" si="7"/>
        <v>1.4018691588785047E-2</v>
      </c>
      <c r="O6" s="90">
        <f>'Water Reading'!Q6-'Water Reading'!Q5</f>
        <v>1</v>
      </c>
      <c r="P6" s="99">
        <f t="shared" si="8"/>
        <v>2.3364485981308409E-3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0.14018691588785046</v>
      </c>
      <c r="U6" s="90">
        <f>'Water Reading'!G6-'Water Reading'!G5</f>
        <v>31</v>
      </c>
      <c r="V6" s="100">
        <f t="shared" si="11"/>
        <v>7.2429906542056069E-2</v>
      </c>
      <c r="W6" s="90">
        <f>'Water Reading'!J6-'Water Reading'!J5</f>
        <v>11</v>
      </c>
      <c r="X6" s="100">
        <f t="shared" si="12"/>
        <v>2.5700934579439252E-2</v>
      </c>
      <c r="Y6" s="66">
        <f t="shared" si="0"/>
        <v>411</v>
      </c>
      <c r="Z6" s="67">
        <f t="shared" si="1"/>
        <v>1.078740157480315</v>
      </c>
    </row>
    <row r="7" spans="1:26" x14ac:dyDescent="0.25">
      <c r="A7" s="8">
        <f>'Water Reading'!A6</f>
        <v>44290</v>
      </c>
      <c r="B7" s="65">
        <f>TOTAL!I5</f>
        <v>370</v>
      </c>
      <c r="C7" s="66">
        <f>('Water Reading'!B7-'Water Reading'!B6)+('Water Reading'!C7-'Water Reading'!C6)</f>
        <v>482</v>
      </c>
      <c r="D7" s="67">
        <f t="shared" si="2"/>
        <v>1.3027027027027027</v>
      </c>
      <c r="E7" s="88">
        <f>'Water Reading'!H7-'Water Reading'!H6</f>
        <v>54</v>
      </c>
      <c r="F7" s="89">
        <f t="shared" si="3"/>
        <v>0.11203319502074689</v>
      </c>
      <c r="G7" s="93">
        <f>('Water Reading'!D7-'Water Reading'!D6)-('Water Reading'!R7-'Water Reading'!R6)-('Water Reading'!Q7-'Water Reading'!Q6)</f>
        <v>193.89999999999998</v>
      </c>
      <c r="H7" s="89">
        <f t="shared" si="4"/>
        <v>0.40228215767634851</v>
      </c>
      <c r="I7" s="90">
        <f>'Water Reading'!P7-'Water Reading'!P6</f>
        <v>36</v>
      </c>
      <c r="J7" s="68">
        <f t="shared" si="5"/>
        <v>7.4688796680497924E-2</v>
      </c>
      <c r="K7" s="91">
        <f>('Water Reading'!I7-'Water Reading'!I6)-('Water Reading'!P7-'Water Reading'!P6)</f>
        <v>62</v>
      </c>
      <c r="L7" s="68">
        <f t="shared" si="6"/>
        <v>0.12863070539419086</v>
      </c>
      <c r="M7" s="90">
        <f>'Water Reading'!R7-'Water Reading'!R6</f>
        <v>11</v>
      </c>
      <c r="N7" s="92">
        <f t="shared" si="7"/>
        <v>2.2821576763485476E-2</v>
      </c>
      <c r="O7" s="90">
        <f>'Water Reading'!Q7-'Water Reading'!Q6</f>
        <v>4.1000000000000227</v>
      </c>
      <c r="P7" s="99">
        <f t="shared" si="8"/>
        <v>8.5062240663900893E-3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72</v>
      </c>
      <c r="T7" s="100">
        <f t="shared" si="10"/>
        <v>0.14937759336099585</v>
      </c>
      <c r="U7" s="90">
        <f>'Water Reading'!G7-'Water Reading'!G6</f>
        <v>30</v>
      </c>
      <c r="V7" s="100">
        <f t="shared" si="11"/>
        <v>6.2240663900414939E-2</v>
      </c>
      <c r="W7" s="90">
        <f>'Water Reading'!J7-'Water Reading'!J6</f>
        <v>13</v>
      </c>
      <c r="X7" s="100">
        <f t="shared" si="12"/>
        <v>2.6970954356846474E-2</v>
      </c>
      <c r="Y7" s="66">
        <f t="shared" si="0"/>
        <v>476</v>
      </c>
      <c r="Z7" s="67">
        <f t="shared" si="1"/>
        <v>1.2864864864864864</v>
      </c>
    </row>
    <row r="8" spans="1:26" x14ac:dyDescent="0.25">
      <c r="A8" s="8">
        <f>'Water Reading'!A7</f>
        <v>44291</v>
      </c>
      <c r="B8" s="65">
        <f>TOTAL!I6</f>
        <v>350</v>
      </c>
      <c r="C8" s="66">
        <f>('Water Reading'!B8-'Water Reading'!B7)+('Water Reading'!C8-'Water Reading'!C7)</f>
        <v>432</v>
      </c>
      <c r="D8" s="67">
        <f t="shared" si="2"/>
        <v>1.2342857142857142</v>
      </c>
      <c r="E8" s="88">
        <f>'Water Reading'!H8-'Water Reading'!H7</f>
        <v>52</v>
      </c>
      <c r="F8" s="89">
        <f t="shared" si="3"/>
        <v>0.12037037037037036</v>
      </c>
      <c r="G8" s="93">
        <f>('Water Reading'!D8-'Water Reading'!D7)-('Water Reading'!R8-'Water Reading'!R7)-('Water Reading'!Q8-'Water Reading'!Q7)</f>
        <v>194.10000000000002</v>
      </c>
      <c r="H8" s="89">
        <f t="shared" si="4"/>
        <v>0.44930555555555562</v>
      </c>
      <c r="I8" s="90">
        <f>'Water Reading'!P8-'Water Reading'!P7</f>
        <v>5</v>
      </c>
      <c r="J8" s="68">
        <f t="shared" si="5"/>
        <v>1.1574074074074073E-2</v>
      </c>
      <c r="K8" s="91">
        <f>('Water Reading'!I8-'Water Reading'!I7)-('Water Reading'!P8-'Water Reading'!P7)</f>
        <v>61</v>
      </c>
      <c r="L8" s="68">
        <f t="shared" si="6"/>
        <v>0.14120370370370369</v>
      </c>
      <c r="M8" s="90">
        <f>'Water Reading'!R8-'Water Reading'!R7</f>
        <v>7</v>
      </c>
      <c r="N8" s="92">
        <f t="shared" si="7"/>
        <v>1.6203703703703703E-2</v>
      </c>
      <c r="O8" s="90">
        <f>'Water Reading'!Q8-'Water Reading'!Q7</f>
        <v>3.8999999999999773</v>
      </c>
      <c r="P8" s="99">
        <f t="shared" si="8"/>
        <v>9.0277777777777249E-3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63</v>
      </c>
      <c r="T8" s="100">
        <f t="shared" si="10"/>
        <v>0.14583333333333334</v>
      </c>
      <c r="U8" s="90">
        <f>'Water Reading'!G8-'Water Reading'!G7</f>
        <v>28</v>
      </c>
      <c r="V8" s="100">
        <f t="shared" si="11"/>
        <v>6.4814814814814811E-2</v>
      </c>
      <c r="W8" s="90">
        <f>'Water Reading'!J8-'Water Reading'!J7</f>
        <v>12</v>
      </c>
      <c r="X8" s="100">
        <f t="shared" si="12"/>
        <v>2.7777777777777776E-2</v>
      </c>
      <c r="Y8" s="66">
        <f t="shared" si="0"/>
        <v>426</v>
      </c>
      <c r="Z8" s="67">
        <f t="shared" si="1"/>
        <v>1.2171428571428571</v>
      </c>
    </row>
    <row r="9" spans="1:26" x14ac:dyDescent="0.25">
      <c r="A9" s="8">
        <f>'Water Reading'!A8</f>
        <v>44292</v>
      </c>
      <c r="B9" s="65">
        <f>TOTAL!I7</f>
        <v>309</v>
      </c>
      <c r="C9" s="66">
        <f>('Water Reading'!B9-'Water Reading'!B8)+('Water Reading'!C9-'Water Reading'!C8)</f>
        <v>314</v>
      </c>
      <c r="D9" s="67">
        <f t="shared" si="2"/>
        <v>1.0161812297734627</v>
      </c>
      <c r="E9" s="88">
        <f>'Water Reading'!H9-'Water Reading'!H8</f>
        <v>44</v>
      </c>
      <c r="F9" s="89">
        <f t="shared" si="3"/>
        <v>0.14012738853503184</v>
      </c>
      <c r="G9" s="93">
        <f>('Water Reading'!D9-'Water Reading'!D8)-('Water Reading'!R9-'Water Reading'!R8)-('Water Reading'!Q9-'Water Reading'!Q8)</f>
        <v>77</v>
      </c>
      <c r="H9" s="89">
        <f t="shared" si="4"/>
        <v>0.24522292993630573</v>
      </c>
      <c r="I9" s="90">
        <f>'Water Reading'!P9-'Water Reading'!P8</f>
        <v>15</v>
      </c>
      <c r="J9" s="68">
        <f t="shared" si="5"/>
        <v>4.7770700636942678E-2</v>
      </c>
      <c r="K9" s="91">
        <f>('Water Reading'!I9-'Water Reading'!I8)-('Water Reading'!P9-'Water Reading'!P8)</f>
        <v>62</v>
      </c>
      <c r="L9" s="68">
        <f t="shared" si="6"/>
        <v>0.19745222929936307</v>
      </c>
      <c r="M9" s="90">
        <f>'Water Reading'!R9-'Water Reading'!R8</f>
        <v>8</v>
      </c>
      <c r="N9" s="92">
        <f t="shared" si="7"/>
        <v>2.5477707006369428E-2</v>
      </c>
      <c r="O9" s="90">
        <f>'Water Reading'!Q9-'Water Reading'!Q8</f>
        <v>4</v>
      </c>
      <c r="P9" s="99">
        <f t="shared" si="8"/>
        <v>1.2738853503184714E-2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60</v>
      </c>
      <c r="T9" s="100">
        <f t="shared" si="10"/>
        <v>0.19108280254777071</v>
      </c>
      <c r="U9" s="90">
        <f>'Water Reading'!G9-'Water Reading'!G8</f>
        <v>24</v>
      </c>
      <c r="V9" s="100">
        <f t="shared" si="11"/>
        <v>7.6433121019108277E-2</v>
      </c>
      <c r="W9" s="90">
        <f>'Water Reading'!J9-'Water Reading'!J8</f>
        <v>12</v>
      </c>
      <c r="X9" s="100">
        <f t="shared" si="12"/>
        <v>3.8216560509554139E-2</v>
      </c>
      <c r="Y9" s="66">
        <f t="shared" si="0"/>
        <v>306</v>
      </c>
      <c r="Z9" s="67">
        <f t="shared" si="1"/>
        <v>0.99029126213592233</v>
      </c>
    </row>
    <row r="10" spans="1:26" x14ac:dyDescent="0.25">
      <c r="A10" s="8">
        <f>'Water Reading'!A9</f>
        <v>44293</v>
      </c>
      <c r="B10" s="65">
        <f>TOTAL!I8</f>
        <v>331</v>
      </c>
      <c r="C10" s="66">
        <f>('Water Reading'!B10-'Water Reading'!B9)+('Water Reading'!C10-'Water Reading'!C9)</f>
        <v>363</v>
      </c>
      <c r="D10" s="67">
        <f t="shared" si="2"/>
        <v>1.0966767371601209</v>
      </c>
      <c r="E10" s="88">
        <f>'Water Reading'!H10-'Water Reading'!H9</f>
        <v>54</v>
      </c>
      <c r="F10" s="89">
        <f t="shared" si="3"/>
        <v>0.1487603305785124</v>
      </c>
      <c r="G10" s="93">
        <f>('Water Reading'!D10-'Water Reading'!D9)-('Water Reading'!R10-'Water Reading'!R9)-('Water Reading'!Q10-'Water Reading'!Q9)</f>
        <v>121</v>
      </c>
      <c r="H10" s="89">
        <f t="shared" si="4"/>
        <v>0.33333333333333331</v>
      </c>
      <c r="I10" s="90">
        <f>'Water Reading'!P10-'Water Reading'!P9</f>
        <v>8</v>
      </c>
      <c r="J10" s="68">
        <f t="shared" si="5"/>
        <v>2.2038567493112948E-2</v>
      </c>
      <c r="K10" s="91">
        <f>('Water Reading'!I10-'Water Reading'!I9)-('Water Reading'!P10-'Water Reading'!P9)</f>
        <v>63</v>
      </c>
      <c r="L10" s="68">
        <f t="shared" si="6"/>
        <v>0.17355371900826447</v>
      </c>
      <c r="M10" s="90">
        <f>'Water Reading'!R10-'Water Reading'!R9</f>
        <v>8</v>
      </c>
      <c r="N10" s="92">
        <f t="shared" si="7"/>
        <v>2.2038567493112948E-2</v>
      </c>
      <c r="O10" s="90">
        <f>'Water Reading'!Q10-'Water Reading'!Q9</f>
        <v>6</v>
      </c>
      <c r="P10" s="99">
        <f t="shared" si="8"/>
        <v>1.6528925619834711E-2</v>
      </c>
      <c r="Q10" s="91">
        <f>'Water Reading'!F10-'Water Reading'!F9</f>
        <v>1</v>
      </c>
      <c r="R10" s="100">
        <f t="shared" si="9"/>
        <v>2.7548209366391185E-3</v>
      </c>
      <c r="S10" s="90">
        <f>'Water Reading'!E10-'Water Reading'!E9</f>
        <v>66</v>
      </c>
      <c r="T10" s="100">
        <f t="shared" si="10"/>
        <v>0.18181818181818182</v>
      </c>
      <c r="U10" s="90">
        <f>'Water Reading'!G10-'Water Reading'!G9</f>
        <v>25</v>
      </c>
      <c r="V10" s="100">
        <f t="shared" si="11"/>
        <v>6.8870523415977963E-2</v>
      </c>
      <c r="W10" s="90">
        <f>'Water Reading'!J10-'Water Reading'!J9</f>
        <v>11</v>
      </c>
      <c r="X10" s="100">
        <f t="shared" si="12"/>
        <v>3.0303030303030304E-2</v>
      </c>
      <c r="Y10" s="66">
        <f t="shared" si="0"/>
        <v>363</v>
      </c>
      <c r="Z10" s="67">
        <f t="shared" si="1"/>
        <v>1.0966767371601209</v>
      </c>
    </row>
    <row r="11" spans="1:26" x14ac:dyDescent="0.25">
      <c r="A11" s="8">
        <f>'Water Reading'!A10</f>
        <v>44294</v>
      </c>
      <c r="B11" s="65">
        <f>TOTAL!I9</f>
        <v>266</v>
      </c>
      <c r="C11" s="66">
        <f>('Water Reading'!B11-'Water Reading'!B10)+('Water Reading'!C11-'Water Reading'!C10)</f>
        <v>358</v>
      </c>
      <c r="D11" s="67">
        <f t="shared" si="2"/>
        <v>1.3458646616541354</v>
      </c>
      <c r="E11" s="88">
        <f>'Water Reading'!H11-'Water Reading'!H10</f>
        <v>43</v>
      </c>
      <c r="F11" s="89">
        <f t="shared" si="3"/>
        <v>0.12011173184357542</v>
      </c>
      <c r="G11" s="93">
        <f>('Water Reading'!D11-'Water Reading'!D10)-('Water Reading'!R11-'Water Reading'!R10)-('Water Reading'!Q11-'Water Reading'!Q10)</f>
        <v>119</v>
      </c>
      <c r="H11" s="89">
        <f t="shared" si="4"/>
        <v>0.33240223463687152</v>
      </c>
      <c r="I11" s="90">
        <f>'Water Reading'!P11-'Water Reading'!P10</f>
        <v>6</v>
      </c>
      <c r="J11" s="68">
        <f t="shared" si="5"/>
        <v>1.6759776536312849E-2</v>
      </c>
      <c r="K11" s="91">
        <f>('Water Reading'!I11-'Water Reading'!I10)-('Water Reading'!P11-'Water Reading'!P10)</f>
        <v>67</v>
      </c>
      <c r="L11" s="68">
        <f t="shared" si="6"/>
        <v>0.18715083798882681</v>
      </c>
      <c r="M11" s="90">
        <f>'Water Reading'!R11-'Water Reading'!R10</f>
        <v>5</v>
      </c>
      <c r="N11" s="92">
        <f t="shared" si="7"/>
        <v>1.3966480446927373E-2</v>
      </c>
      <c r="O11" s="98">
        <f>'Water Reading'!Q11-'Water Reading'!Q10</f>
        <v>4</v>
      </c>
      <c r="P11" s="99">
        <f t="shared" si="8"/>
        <v>1.11731843575419E-2</v>
      </c>
      <c r="Q11" s="91">
        <f>'Water Reading'!F11-'Water Reading'!F10</f>
        <v>1</v>
      </c>
      <c r="R11" s="100">
        <f t="shared" si="9"/>
        <v>2.7932960893854749E-3</v>
      </c>
      <c r="S11" s="90">
        <f>'Water Reading'!E11-'Water Reading'!E10</f>
        <v>63</v>
      </c>
      <c r="T11" s="100">
        <f t="shared" si="10"/>
        <v>0.17597765363128492</v>
      </c>
      <c r="U11" s="90">
        <f>'Water Reading'!G11-'Water Reading'!G10</f>
        <v>23</v>
      </c>
      <c r="V11" s="100">
        <f t="shared" si="11"/>
        <v>6.4245810055865923E-2</v>
      </c>
      <c r="W11" s="90">
        <f>'Water Reading'!J11-'Water Reading'!J10</f>
        <v>11</v>
      </c>
      <c r="X11" s="100">
        <f t="shared" si="12"/>
        <v>3.0726256983240222E-2</v>
      </c>
      <c r="Y11" s="66">
        <f t="shared" si="0"/>
        <v>342</v>
      </c>
      <c r="Z11" s="67">
        <f t="shared" si="1"/>
        <v>1.2857142857142858</v>
      </c>
    </row>
    <row r="12" spans="1:26" x14ac:dyDescent="0.25">
      <c r="A12" s="8">
        <f>'Water Reading'!A11</f>
        <v>44295</v>
      </c>
      <c r="B12" s="65">
        <f>TOTAL!I10</f>
        <v>316</v>
      </c>
      <c r="C12" s="66">
        <f>('Water Reading'!B12-'Water Reading'!B11)+('Water Reading'!C12-'Water Reading'!C11)</f>
        <v>473</v>
      </c>
      <c r="D12" s="67">
        <f t="shared" si="2"/>
        <v>1.4968354430379747</v>
      </c>
      <c r="E12" s="88">
        <f>'Water Reading'!H12-'Water Reading'!H11</f>
        <v>62</v>
      </c>
      <c r="F12" s="89">
        <f t="shared" si="3"/>
        <v>0.13107822410147993</v>
      </c>
      <c r="G12" s="93">
        <f>('Water Reading'!D12-'Water Reading'!D11)-('Water Reading'!R12-'Water Reading'!R11)-('Water Reading'!Q12-'Water Reading'!Q11)</f>
        <v>217</v>
      </c>
      <c r="H12" s="89">
        <f t="shared" si="4"/>
        <v>0.45877378435517968</v>
      </c>
      <c r="I12" s="90">
        <f>'Water Reading'!P12-'Water Reading'!P11</f>
        <v>3</v>
      </c>
      <c r="J12" s="68">
        <f t="shared" si="5"/>
        <v>6.3424947145877377E-3</v>
      </c>
      <c r="K12" s="91">
        <f>('Water Reading'!I12-'Water Reading'!I11)-('Water Reading'!P12-'Water Reading'!P11)</f>
        <v>74</v>
      </c>
      <c r="L12" s="68">
        <f t="shared" si="6"/>
        <v>0.15644820295983086</v>
      </c>
      <c r="M12" s="90">
        <f>'Water Reading'!R12-'Water Reading'!R11</f>
        <v>1</v>
      </c>
      <c r="N12" s="92">
        <f t="shared" si="7"/>
        <v>2.1141649048625794E-3</v>
      </c>
      <c r="O12" s="98">
        <f>'Water Reading'!Q12-'Water Reading'!Q11</f>
        <v>2</v>
      </c>
      <c r="P12" s="99">
        <f t="shared" si="8"/>
        <v>4.2283298097251587E-3</v>
      </c>
      <c r="Q12" s="91">
        <f>'Water Reading'!F12-'Water Reading'!F11</f>
        <v>1</v>
      </c>
      <c r="R12" s="100">
        <f t="shared" si="9"/>
        <v>2.1141649048625794E-3</v>
      </c>
      <c r="S12" s="90">
        <f>'Water Reading'!E12-'Water Reading'!E11</f>
        <v>65</v>
      </c>
      <c r="T12" s="100">
        <f t="shared" si="10"/>
        <v>0.13742071881606766</v>
      </c>
      <c r="U12" s="90">
        <f>'Water Reading'!G12-'Water Reading'!G11</f>
        <v>25</v>
      </c>
      <c r="V12" s="100">
        <f t="shared" si="11"/>
        <v>5.2854122621564484E-2</v>
      </c>
      <c r="W12" s="90">
        <f>'Water Reading'!J12-'Water Reading'!J11</f>
        <v>13</v>
      </c>
      <c r="X12" s="100">
        <f t="shared" si="12"/>
        <v>2.748414376321353E-2</v>
      </c>
      <c r="Y12" s="66">
        <f t="shared" si="0"/>
        <v>463</v>
      </c>
      <c r="Z12" s="67">
        <f t="shared" si="1"/>
        <v>1.4651898734177216</v>
      </c>
    </row>
    <row r="13" spans="1:26" x14ac:dyDescent="0.25">
      <c r="A13" s="8">
        <f>'Water Reading'!A12</f>
        <v>44296</v>
      </c>
      <c r="B13" s="65">
        <f>TOTAL!I11</f>
        <v>307</v>
      </c>
      <c r="C13" s="66">
        <f>('Water Reading'!B13-'Water Reading'!B12)+('Water Reading'!C13-'Water Reading'!C12)</f>
        <v>356</v>
      </c>
      <c r="D13" s="67">
        <f t="shared" si="2"/>
        <v>1.1596091205211727</v>
      </c>
      <c r="E13" s="87">
        <f>'Water Reading'!H13-'Water Reading'!H12</f>
        <v>42</v>
      </c>
      <c r="F13" s="89">
        <f t="shared" si="3"/>
        <v>0.11797752808988764</v>
      </c>
      <c r="G13" s="93">
        <f>('Water Reading'!D13-'Water Reading'!D12)-('Water Reading'!R13-'Water Reading'!R12)-('Water Reading'!Q13-'Water Reading'!Q12)</f>
        <v>137</v>
      </c>
      <c r="H13" s="89">
        <f t="shared" si="4"/>
        <v>0.3848314606741573</v>
      </c>
      <c r="I13" s="90">
        <f>'Water Reading'!P13-'Water Reading'!P12</f>
        <v>5</v>
      </c>
      <c r="J13" s="68">
        <f t="shared" si="5"/>
        <v>1.4044943820224719E-2</v>
      </c>
      <c r="K13" s="91">
        <f>('Water Reading'!I13-'Water Reading'!I12)-('Water Reading'!P13-'Water Reading'!P12)</f>
        <v>68</v>
      </c>
      <c r="L13" s="68">
        <f t="shared" si="6"/>
        <v>0.19101123595505617</v>
      </c>
      <c r="M13" s="90">
        <f>'Water Reading'!R13-'Water Reading'!R12</f>
        <v>5</v>
      </c>
      <c r="N13" s="92">
        <f t="shared" si="7"/>
        <v>1.4044943820224719E-2</v>
      </c>
      <c r="O13" s="90">
        <f>'Water Reading'!Q13-'Water Reading'!Q12</f>
        <v>6</v>
      </c>
      <c r="P13" s="99">
        <f t="shared" si="8"/>
        <v>1.6853932584269662E-2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61</v>
      </c>
      <c r="T13" s="100">
        <f t="shared" si="10"/>
        <v>0.17134831460674158</v>
      </c>
      <c r="U13" s="90">
        <f>'Water Reading'!G13-'Water Reading'!G12</f>
        <v>20</v>
      </c>
      <c r="V13" s="100">
        <f t="shared" si="11"/>
        <v>5.6179775280898875E-2</v>
      </c>
      <c r="W13" s="90">
        <f>'Water Reading'!J13-'Water Reading'!J12</f>
        <v>13</v>
      </c>
      <c r="X13" s="100">
        <f t="shared" si="12"/>
        <v>3.6516853932584269E-2</v>
      </c>
      <c r="Y13" s="66">
        <f t="shared" si="0"/>
        <v>357</v>
      </c>
      <c r="Z13" s="67">
        <f t="shared" si="1"/>
        <v>1.1628664495114007</v>
      </c>
    </row>
    <row r="14" spans="1:26" x14ac:dyDescent="0.25">
      <c r="A14" s="8">
        <f>'Water Reading'!A13</f>
        <v>44297</v>
      </c>
      <c r="B14" s="65">
        <f>TOTAL!I12</f>
        <v>326</v>
      </c>
      <c r="C14" s="66">
        <f>('Water Reading'!B14-'Water Reading'!B13)+('Water Reading'!C14-'Water Reading'!C13)</f>
        <v>323</v>
      </c>
      <c r="D14" s="67">
        <f t="shared" si="2"/>
        <v>0.99079754601226999</v>
      </c>
      <c r="E14" s="88">
        <f>'Water Reading'!H14-'Water Reading'!H13</f>
        <v>44</v>
      </c>
      <c r="F14" s="89">
        <f t="shared" si="3"/>
        <v>0.13622291021671826</v>
      </c>
      <c r="G14" s="93">
        <f>('Water Reading'!D14-'Water Reading'!D13)-('Water Reading'!R14-'Water Reading'!R13)-('Water Reading'!Q14-'Water Reading'!Q13)</f>
        <v>101</v>
      </c>
      <c r="H14" s="89">
        <f t="shared" si="4"/>
        <v>0.31269349845201239</v>
      </c>
      <c r="I14" s="90">
        <f>'Water Reading'!P14-'Water Reading'!P13</f>
        <v>15</v>
      </c>
      <c r="J14" s="68">
        <f t="shared" si="5"/>
        <v>4.6439628482972138E-2</v>
      </c>
      <c r="K14" s="91">
        <f>('Water Reading'!I14-'Water Reading'!I13)-('Water Reading'!P14-'Water Reading'!P13)</f>
        <v>60</v>
      </c>
      <c r="L14" s="68">
        <f t="shared" si="6"/>
        <v>0.18575851393188855</v>
      </c>
      <c r="M14" s="90">
        <f>'Water Reading'!R14-'Water Reading'!R13</f>
        <v>4</v>
      </c>
      <c r="N14" s="92">
        <f t="shared" si="7"/>
        <v>1.238390092879257E-2</v>
      </c>
      <c r="O14" s="90">
        <f>'Water Reading'!Q14-'Water Reading'!Q13</f>
        <v>4</v>
      </c>
      <c r="P14" s="99">
        <f t="shared" si="8"/>
        <v>1.238390092879257E-2</v>
      </c>
      <c r="Q14" s="91">
        <f>'Water Reading'!F14-'Water Reading'!F13</f>
        <v>1</v>
      </c>
      <c r="R14" s="100">
        <f t="shared" si="9"/>
        <v>3.0959752321981426E-3</v>
      </c>
      <c r="S14" s="94">
        <f>'Water Reading'!E14-'Water Reading'!E13</f>
        <v>59</v>
      </c>
      <c r="T14" s="100">
        <f t="shared" si="10"/>
        <v>0.1826625386996904</v>
      </c>
      <c r="U14" s="90">
        <f>'Water Reading'!G14-'Water Reading'!G13</f>
        <v>17</v>
      </c>
      <c r="V14" s="100">
        <f t="shared" si="11"/>
        <v>5.2631578947368418E-2</v>
      </c>
      <c r="W14" s="90">
        <f>'Water Reading'!J14-'Water Reading'!J13</f>
        <v>14</v>
      </c>
      <c r="X14" s="100">
        <f t="shared" si="12"/>
        <v>4.3343653250773995E-2</v>
      </c>
      <c r="Y14" s="66">
        <f t="shared" si="0"/>
        <v>319</v>
      </c>
      <c r="Z14" s="67">
        <f t="shared" si="1"/>
        <v>0.9785276073619632</v>
      </c>
    </row>
    <row r="15" spans="1:26" x14ac:dyDescent="0.25">
      <c r="A15" s="8">
        <f>'Water Reading'!A14</f>
        <v>44298</v>
      </c>
      <c r="B15" s="65">
        <f>TOTAL!I13</f>
        <v>274</v>
      </c>
      <c r="C15" s="66">
        <f>('Water Reading'!B15-'Water Reading'!B14)+('Water Reading'!C15-'Water Reading'!C14)</f>
        <v>538</v>
      </c>
      <c r="D15" s="67">
        <f t="shared" si="2"/>
        <v>1.9635036496350364</v>
      </c>
      <c r="E15" s="87">
        <f>'Water Reading'!H15-'Water Reading'!H14</f>
        <v>43</v>
      </c>
      <c r="F15" s="89">
        <f t="shared" si="3"/>
        <v>7.9925650557620811E-2</v>
      </c>
      <c r="G15" s="93">
        <f>('Water Reading'!D15-'Water Reading'!D14)-('Water Reading'!R15-'Water Reading'!R14)-('Water Reading'!Q15-'Water Reading'!Q14)</f>
        <v>114</v>
      </c>
      <c r="H15" s="89">
        <f t="shared" si="4"/>
        <v>0.21189591078066913</v>
      </c>
      <c r="I15" s="90">
        <f>'Water Reading'!P15-'Water Reading'!P14</f>
        <v>22</v>
      </c>
      <c r="J15" s="68">
        <f t="shared" si="5"/>
        <v>4.0892193308550186E-2</v>
      </c>
      <c r="K15" s="91">
        <f>('Water Reading'!I15-'Water Reading'!I14)-('Water Reading'!P15-'Water Reading'!P14)</f>
        <v>78</v>
      </c>
      <c r="L15" s="68">
        <f t="shared" si="6"/>
        <v>0.1449814126394052</v>
      </c>
      <c r="M15" s="90">
        <f>'Water Reading'!R15-'Water Reading'!R14</f>
        <v>5</v>
      </c>
      <c r="N15" s="92">
        <f t="shared" si="7"/>
        <v>9.2936802973977699E-3</v>
      </c>
      <c r="O15" s="90">
        <f>'Water Reading'!Q15-'Water Reading'!Q14</f>
        <v>3</v>
      </c>
      <c r="P15" s="99">
        <f t="shared" si="8"/>
        <v>5.5762081784386614E-3</v>
      </c>
      <c r="Q15" s="91">
        <f>'Water Reading'!F15-'Water Reading'!F14</f>
        <v>1</v>
      </c>
      <c r="R15" s="100">
        <f t="shared" si="9"/>
        <v>1.8587360594795538E-3</v>
      </c>
      <c r="S15" s="94">
        <f>'Water Reading'!E15-'Water Reading'!E14</f>
        <v>70</v>
      </c>
      <c r="T15" s="100">
        <f t="shared" si="10"/>
        <v>0.13011152416356878</v>
      </c>
      <c r="U15" s="90">
        <f>'Water Reading'!G15-'Water Reading'!G14</f>
        <v>20</v>
      </c>
      <c r="V15" s="100">
        <f t="shared" si="11"/>
        <v>3.717472118959108E-2</v>
      </c>
      <c r="W15" s="90">
        <f>'Water Reading'!J15-'Water Reading'!J14</f>
        <v>11</v>
      </c>
      <c r="X15" s="100">
        <f t="shared" si="12"/>
        <v>2.0446096654275093E-2</v>
      </c>
      <c r="Y15" s="66">
        <f t="shared" si="0"/>
        <v>367</v>
      </c>
      <c r="Z15" s="67">
        <f t="shared" si="1"/>
        <v>1.3394160583941606</v>
      </c>
    </row>
    <row r="16" spans="1:26" x14ac:dyDescent="0.25">
      <c r="A16" s="8">
        <f>'Water Reading'!A15</f>
        <v>44299</v>
      </c>
      <c r="B16" s="65">
        <f>TOTAL!I14</f>
        <v>332</v>
      </c>
      <c r="C16" s="66">
        <f>('Water Reading'!B16-'Water Reading'!B15)+('Water Reading'!C16-'Water Reading'!C15)</f>
        <v>293</v>
      </c>
      <c r="D16" s="67">
        <f t="shared" si="2"/>
        <v>0.88253012048192769</v>
      </c>
      <c r="E16" s="87">
        <f>'Water Reading'!H16-'Water Reading'!H15</f>
        <v>39</v>
      </c>
      <c r="F16" s="89">
        <f t="shared" si="3"/>
        <v>0.13310580204778158</v>
      </c>
      <c r="G16" s="93">
        <f>('Water Reading'!D16-'Water Reading'!D15)-('Water Reading'!R16-'Water Reading'!R15)-('Water Reading'!Q16-'Water Reading'!Q15)</f>
        <v>123</v>
      </c>
      <c r="H16" s="89">
        <f t="shared" si="4"/>
        <v>0.41979522184300339</v>
      </c>
      <c r="I16" s="90">
        <f>'Water Reading'!P16-'Water Reading'!P15</f>
        <v>33</v>
      </c>
      <c r="J16" s="68">
        <f t="shared" si="5"/>
        <v>0.11262798634812286</v>
      </c>
      <c r="K16" s="91">
        <f>('Water Reading'!I16-'Water Reading'!I15)-('Water Reading'!P16-'Water Reading'!P15)</f>
        <v>79</v>
      </c>
      <c r="L16" s="68">
        <f t="shared" si="6"/>
        <v>0.2696245733788396</v>
      </c>
      <c r="M16" s="90">
        <f>'Water Reading'!R16-'Water Reading'!R15</f>
        <v>4</v>
      </c>
      <c r="N16" s="92">
        <f t="shared" si="7"/>
        <v>1.3651877133105802E-2</v>
      </c>
      <c r="O16" s="90">
        <f>'Water Reading'!Q16-'Water Reading'!Q15</f>
        <v>5</v>
      </c>
      <c r="P16" s="99">
        <f t="shared" si="8"/>
        <v>1.7064846416382253E-2</v>
      </c>
      <c r="Q16" s="91">
        <f>'Water Reading'!F16-'Water Reading'!F15</f>
        <v>1</v>
      </c>
      <c r="R16" s="100">
        <f t="shared" si="9"/>
        <v>3.4129692832764505E-3</v>
      </c>
      <c r="S16" s="94">
        <f>'Water Reading'!E16-'Water Reading'!E15</f>
        <v>73</v>
      </c>
      <c r="T16" s="100">
        <f t="shared" si="10"/>
        <v>0.24914675767918087</v>
      </c>
      <c r="U16" s="90">
        <f>'Water Reading'!G16-'Water Reading'!G15</f>
        <v>16</v>
      </c>
      <c r="V16" s="100">
        <f t="shared" si="11"/>
        <v>5.4607508532423209E-2</v>
      </c>
      <c r="W16" s="90">
        <f>'Water Reading'!J16-'Water Reading'!J15</f>
        <v>10</v>
      </c>
      <c r="X16" s="100">
        <f t="shared" si="12"/>
        <v>3.4129692832764506E-2</v>
      </c>
      <c r="Y16" s="66">
        <f t="shared" si="0"/>
        <v>383</v>
      </c>
      <c r="Z16" s="67">
        <f t="shared" si="1"/>
        <v>1.1536144578313252</v>
      </c>
    </row>
    <row r="17" spans="1:26" x14ac:dyDescent="0.25">
      <c r="A17" s="8">
        <f>'Water Reading'!A16</f>
        <v>44300</v>
      </c>
      <c r="B17" s="65">
        <f>TOTAL!I15</f>
        <v>317</v>
      </c>
      <c r="C17" s="66">
        <f>('Water Reading'!B17-'Water Reading'!B16)+('Water Reading'!C17-'Water Reading'!C16)</f>
        <v>499</v>
      </c>
      <c r="D17" s="67">
        <f t="shared" si="2"/>
        <v>1.5741324921135647</v>
      </c>
      <c r="E17" s="87">
        <f>'Water Reading'!H17-'Water Reading'!H16</f>
        <v>42</v>
      </c>
      <c r="F17" s="89">
        <f t="shared" si="3"/>
        <v>8.4168336673346694E-2</v>
      </c>
      <c r="G17" s="93">
        <f>('Water Reading'!D17-'Water Reading'!D16)-('Water Reading'!R17-'Water Reading'!R16)-('Water Reading'!Q17-'Water Reading'!Q16)</f>
        <v>158</v>
      </c>
      <c r="H17" s="89">
        <f t="shared" si="4"/>
        <v>0.31663326653306612</v>
      </c>
      <c r="I17" s="90">
        <f>'Water Reading'!P17-'Water Reading'!P16</f>
        <v>7</v>
      </c>
      <c r="J17" s="68">
        <f t="shared" si="5"/>
        <v>1.4028056112224449E-2</v>
      </c>
      <c r="K17" s="91">
        <f>('Water Reading'!I17-'Water Reading'!I16)-('Water Reading'!P17-'Water Reading'!P16)</f>
        <v>70</v>
      </c>
      <c r="L17" s="68">
        <f t="shared" si="6"/>
        <v>0.14028056112224449</v>
      </c>
      <c r="M17" s="90">
        <f>'Water Reading'!R17-'Water Reading'!R16</f>
        <v>5</v>
      </c>
      <c r="N17" s="92">
        <f t="shared" si="7"/>
        <v>1.002004008016032E-2</v>
      </c>
      <c r="O17" s="90">
        <f>'Water Reading'!Q17-'Water Reading'!Q16</f>
        <v>1</v>
      </c>
      <c r="P17" s="99">
        <f t="shared" si="8"/>
        <v>2.004008016032064E-3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64</v>
      </c>
      <c r="T17" s="100">
        <f t="shared" si="10"/>
        <v>0.12825651302605209</v>
      </c>
      <c r="U17" s="90">
        <f>'Water Reading'!G17-'Water Reading'!G16</f>
        <v>17</v>
      </c>
      <c r="V17" s="100">
        <f t="shared" si="11"/>
        <v>3.406813627254509E-2</v>
      </c>
      <c r="W17" s="90">
        <f>'Water Reading'!J17-'Water Reading'!J16</f>
        <v>11</v>
      </c>
      <c r="X17" s="100">
        <f t="shared" si="12"/>
        <v>2.2044088176352707E-2</v>
      </c>
      <c r="Y17" s="66">
        <f t="shared" si="0"/>
        <v>375</v>
      </c>
      <c r="Z17" s="67">
        <f t="shared" si="1"/>
        <v>1.1829652996845426</v>
      </c>
    </row>
    <row r="18" spans="1:26" x14ac:dyDescent="0.25">
      <c r="A18" s="8">
        <f>'Water Reading'!A17</f>
        <v>44301</v>
      </c>
      <c r="B18" s="65">
        <f>TOTAL!I16</f>
        <v>376</v>
      </c>
      <c r="C18" s="66">
        <f>('Water Reading'!B18-'Water Reading'!B17)+('Water Reading'!C18-'Water Reading'!C17)</f>
        <v>409</v>
      </c>
      <c r="D18" s="67">
        <f t="shared" si="2"/>
        <v>1.0877659574468086</v>
      </c>
      <c r="E18" s="87">
        <f>'Water Reading'!H18-'Water Reading'!H17</f>
        <v>35</v>
      </c>
      <c r="F18" s="89">
        <f t="shared" si="3"/>
        <v>8.557457212713937E-2</v>
      </c>
      <c r="G18" s="93">
        <f>('Water Reading'!D18-'Water Reading'!D17)-('Water Reading'!R18-'Water Reading'!R17)-('Water Reading'!Q18-'Water Reading'!Q17)</f>
        <v>269</v>
      </c>
      <c r="H18" s="89">
        <f t="shared" si="4"/>
        <v>0.65770171149144252</v>
      </c>
      <c r="I18" s="90">
        <f>'Water Reading'!P18-'Water Reading'!P17</f>
        <v>12</v>
      </c>
      <c r="J18" s="68">
        <f t="shared" si="5"/>
        <v>2.9339853300733496E-2</v>
      </c>
      <c r="K18" s="91">
        <f>('Water Reading'!I18-'Water Reading'!I17)-('Water Reading'!P18-'Water Reading'!P17)</f>
        <v>74</v>
      </c>
      <c r="L18" s="68">
        <f t="shared" si="6"/>
        <v>0.18092909535452323</v>
      </c>
      <c r="M18" s="90">
        <f>'Water Reading'!R18-'Water Reading'!R17</f>
        <v>4</v>
      </c>
      <c r="N18" s="92">
        <f t="shared" si="7"/>
        <v>9.7799511002444987E-3</v>
      </c>
      <c r="O18" s="90">
        <f>'Water Reading'!Q18-'Water Reading'!Q17</f>
        <v>5</v>
      </c>
      <c r="P18" s="99">
        <f t="shared" si="8"/>
        <v>1.2224938875305624E-2</v>
      </c>
      <c r="Q18" s="91">
        <f>'Water Reading'!F18-'Water Reading'!F17</f>
        <v>1</v>
      </c>
      <c r="R18" s="100">
        <f t="shared" si="9"/>
        <v>2.4449877750611247E-3</v>
      </c>
      <c r="S18" s="94">
        <f>'Water Reading'!E18-'Water Reading'!E17</f>
        <v>55</v>
      </c>
      <c r="T18" s="100">
        <f t="shared" si="10"/>
        <v>0.13447432762836187</v>
      </c>
      <c r="U18" s="90">
        <f>'Water Reading'!G18-'Water Reading'!G17</f>
        <v>14</v>
      </c>
      <c r="V18" s="100">
        <f t="shared" si="11"/>
        <v>3.4229828850855744E-2</v>
      </c>
      <c r="W18" s="90">
        <f>'Water Reading'!J18-'Water Reading'!J17</f>
        <v>10</v>
      </c>
      <c r="X18" s="100">
        <f t="shared" si="12"/>
        <v>2.4449877750611249E-2</v>
      </c>
      <c r="Y18" s="66">
        <f t="shared" si="0"/>
        <v>479</v>
      </c>
      <c r="Z18" s="67">
        <f t="shared" si="1"/>
        <v>1.2739361702127661</v>
      </c>
    </row>
    <row r="19" spans="1:26" x14ac:dyDescent="0.25">
      <c r="A19" s="8">
        <f>'Water Reading'!A18</f>
        <v>44302</v>
      </c>
      <c r="B19" s="65">
        <f>TOTAL!I17</f>
        <v>322</v>
      </c>
      <c r="C19" s="66">
        <f>('Water Reading'!B19-'Water Reading'!B18)+('Water Reading'!C19-'Water Reading'!C18)</f>
        <v>371</v>
      </c>
      <c r="D19" s="67">
        <f t="shared" si="2"/>
        <v>1.1521739130434783</v>
      </c>
      <c r="E19" s="87">
        <f>'Water Reading'!H19-'Water Reading'!H18</f>
        <v>48</v>
      </c>
      <c r="F19" s="89">
        <f t="shared" si="3"/>
        <v>0.1293800539083558</v>
      </c>
      <c r="G19" s="93">
        <f>('Water Reading'!D19-'Water Reading'!D18)-('Water Reading'!R19-'Water Reading'!R18)-('Water Reading'!Q19-'Water Reading'!Q18)</f>
        <v>116</v>
      </c>
      <c r="H19" s="89">
        <f t="shared" si="4"/>
        <v>0.31266846361185985</v>
      </c>
      <c r="I19" s="90">
        <f>'Water Reading'!P19-'Water Reading'!P18</f>
        <v>13</v>
      </c>
      <c r="J19" s="68">
        <f t="shared" si="5"/>
        <v>3.5040431266846361E-2</v>
      </c>
      <c r="K19" s="91">
        <f>('Water Reading'!I19-'Water Reading'!I18)-('Water Reading'!P19-'Water Reading'!P18)</f>
        <v>78</v>
      </c>
      <c r="L19" s="68">
        <f t="shared" si="6"/>
        <v>0.21024258760107817</v>
      </c>
      <c r="M19" s="90">
        <f>'Water Reading'!R19-'Water Reading'!R18</f>
        <v>1</v>
      </c>
      <c r="N19" s="92">
        <f t="shared" si="7"/>
        <v>2.6954177897574125E-3</v>
      </c>
      <c r="O19" s="90">
        <f>'Water Reading'!Q19-'Water Reading'!Q18</f>
        <v>3</v>
      </c>
      <c r="P19" s="99">
        <f t="shared" si="8"/>
        <v>8.0862533692722376E-3</v>
      </c>
      <c r="Q19" s="91">
        <f>'Water Reading'!F19-'Water Reading'!F18</f>
        <v>1</v>
      </c>
      <c r="R19" s="100">
        <f t="shared" si="9"/>
        <v>2.6954177897574125E-3</v>
      </c>
      <c r="S19" s="94">
        <f>'Water Reading'!E19-'Water Reading'!E18</f>
        <v>60</v>
      </c>
      <c r="T19" s="100">
        <f t="shared" si="10"/>
        <v>0.16172506738544473</v>
      </c>
      <c r="U19" s="90">
        <f>'Water Reading'!G19-'Water Reading'!G18</f>
        <v>21</v>
      </c>
      <c r="V19" s="100">
        <f t="shared" si="11"/>
        <v>5.6603773584905662E-2</v>
      </c>
      <c r="W19" s="90">
        <f>'Water Reading'!J19-'Water Reading'!J18</f>
        <v>11</v>
      </c>
      <c r="X19" s="100">
        <f t="shared" si="12"/>
        <v>2.9649595687331536E-2</v>
      </c>
      <c r="Y19" s="66">
        <f t="shared" si="0"/>
        <v>352</v>
      </c>
      <c r="Z19" s="67">
        <f t="shared" si="1"/>
        <v>1.0931677018633541</v>
      </c>
    </row>
    <row r="20" spans="1:26" x14ac:dyDescent="0.25">
      <c r="A20" s="8">
        <f>'Water Reading'!A19</f>
        <v>44303</v>
      </c>
      <c r="B20" s="65">
        <f>TOTAL!I18</f>
        <v>268</v>
      </c>
      <c r="C20" s="66">
        <f>('Water Reading'!B20-'Water Reading'!B19)+('Water Reading'!C20-'Water Reading'!C19)</f>
        <v>339</v>
      </c>
      <c r="D20" s="67">
        <f t="shared" si="2"/>
        <v>1.2649253731343284</v>
      </c>
      <c r="E20" s="87">
        <f>'Water Reading'!H20-'Water Reading'!H19</f>
        <v>38</v>
      </c>
      <c r="F20" s="89">
        <f t="shared" si="3"/>
        <v>0.11209439528023599</v>
      </c>
      <c r="G20" s="93">
        <f>('Water Reading'!D20-'Water Reading'!D19)-('Water Reading'!R20-'Water Reading'!R19)-('Water Reading'!Q20-'Water Reading'!Q19)</f>
        <v>111</v>
      </c>
      <c r="H20" s="89">
        <f t="shared" si="4"/>
        <v>0.32743362831858408</v>
      </c>
      <c r="I20" s="90">
        <f>'Water Reading'!P20-'Water Reading'!P19</f>
        <v>0</v>
      </c>
      <c r="J20" s="68">
        <f t="shared" si="5"/>
        <v>0</v>
      </c>
      <c r="K20" s="91">
        <f>('Water Reading'!I20-'Water Reading'!I19)-('Water Reading'!P20-'Water Reading'!P19)</f>
        <v>77</v>
      </c>
      <c r="L20" s="68">
        <f t="shared" si="6"/>
        <v>0.22713864306784662</v>
      </c>
      <c r="M20" s="90">
        <f>'Water Reading'!R20-'Water Reading'!R19</f>
        <v>4</v>
      </c>
      <c r="N20" s="92">
        <f t="shared" si="7"/>
        <v>1.1799410029498525E-2</v>
      </c>
      <c r="O20" s="90">
        <f>'Water Reading'!Q20-'Water Reading'!Q19</f>
        <v>6</v>
      </c>
      <c r="P20" s="99">
        <f t="shared" si="8"/>
        <v>1.7699115044247787E-2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53</v>
      </c>
      <c r="T20" s="100">
        <f t="shared" si="10"/>
        <v>0.15634218289085547</v>
      </c>
      <c r="U20" s="90">
        <f>'Water Reading'!G20-'Water Reading'!G19</f>
        <v>15</v>
      </c>
      <c r="V20" s="100">
        <f t="shared" si="11"/>
        <v>4.4247787610619468E-2</v>
      </c>
      <c r="W20" s="90">
        <f>'Water Reading'!J20-'Water Reading'!J19</f>
        <v>11</v>
      </c>
      <c r="X20" s="100">
        <f t="shared" si="12"/>
        <v>3.2448377581120944E-2</v>
      </c>
      <c r="Y20" s="66">
        <f t="shared" si="0"/>
        <v>315</v>
      </c>
      <c r="Z20" s="67">
        <f t="shared" si="1"/>
        <v>1.1753731343283582</v>
      </c>
    </row>
    <row r="21" spans="1:26" x14ac:dyDescent="0.25">
      <c r="A21" s="8">
        <f>'Water Reading'!A20</f>
        <v>44304</v>
      </c>
      <c r="B21" s="65">
        <f>TOTAL!I19</f>
        <v>242.30000000000291</v>
      </c>
      <c r="C21" s="66">
        <f>('Water Reading'!B21-'Water Reading'!B20)+('Water Reading'!C21-'Water Reading'!C20)</f>
        <v>339</v>
      </c>
      <c r="D21" s="67">
        <f t="shared" si="2"/>
        <v>1.3990920346677505</v>
      </c>
      <c r="E21" s="87">
        <f>'Water Reading'!H21-'Water Reading'!H20</f>
        <v>27</v>
      </c>
      <c r="F21" s="89">
        <f t="shared" si="3"/>
        <v>7.9646017699115043E-2</v>
      </c>
      <c r="G21" s="93">
        <f>('Water Reading'!D21-'Water Reading'!D20)-('Water Reading'!R21-'Water Reading'!R20)-('Water Reading'!Q21-'Water Reading'!Q20)</f>
        <v>113</v>
      </c>
      <c r="H21" s="89">
        <f t="shared" si="4"/>
        <v>0.33333333333333331</v>
      </c>
      <c r="I21" s="90">
        <f>'Water Reading'!P21-'Water Reading'!P20</f>
        <v>0</v>
      </c>
      <c r="J21" s="68">
        <f t="shared" si="5"/>
        <v>0</v>
      </c>
      <c r="K21" s="91">
        <f>('Water Reading'!I21-'Water Reading'!I20)-('Water Reading'!P21-'Water Reading'!P20)</f>
        <v>76</v>
      </c>
      <c r="L21" s="68">
        <f t="shared" si="6"/>
        <v>0.22418879056047197</v>
      </c>
      <c r="M21" s="90">
        <f>'Water Reading'!R21-'Water Reading'!R20</f>
        <v>4</v>
      </c>
      <c r="N21" s="92">
        <f t="shared" si="7"/>
        <v>1.1799410029498525E-2</v>
      </c>
      <c r="O21" s="90">
        <f>'Water Reading'!Q21-'Water Reading'!Q20</f>
        <v>0</v>
      </c>
      <c r="P21" s="99">
        <f t="shared" si="8"/>
        <v>0</v>
      </c>
      <c r="Q21" s="91">
        <f>'Water Reading'!F21-'Water Reading'!F20</f>
        <v>1</v>
      </c>
      <c r="R21" s="100">
        <f t="shared" si="9"/>
        <v>2.9498525073746312E-3</v>
      </c>
      <c r="S21" s="94">
        <f>'Water Reading'!E21-'Water Reading'!E20</f>
        <v>63</v>
      </c>
      <c r="T21" s="100">
        <f t="shared" si="10"/>
        <v>0.18584070796460178</v>
      </c>
      <c r="U21" s="90">
        <f>'Water Reading'!G21-'Water Reading'!G20</f>
        <v>16</v>
      </c>
      <c r="V21" s="100">
        <f t="shared" si="11"/>
        <v>4.71976401179941E-2</v>
      </c>
      <c r="W21" s="90">
        <f>'Water Reading'!J21-'Water Reading'!J20</f>
        <v>13</v>
      </c>
      <c r="X21" s="100">
        <f t="shared" si="12"/>
        <v>3.8348082595870206E-2</v>
      </c>
      <c r="Y21" s="66">
        <f t="shared" si="0"/>
        <v>313</v>
      </c>
      <c r="Z21" s="67">
        <f t="shared" si="1"/>
        <v>1.2917870408584244</v>
      </c>
    </row>
    <row r="22" spans="1:26" x14ac:dyDescent="0.25">
      <c r="A22" s="8">
        <f>'Water Reading'!A21</f>
        <v>44305</v>
      </c>
      <c r="B22" s="65">
        <f>TOTAL!I20</f>
        <v>235.89999999999418</v>
      </c>
      <c r="C22" s="66">
        <f>('Water Reading'!B22-'Water Reading'!B21)+('Water Reading'!C22-'Water Reading'!C21)</f>
        <v>486</v>
      </c>
      <c r="D22" s="67">
        <f t="shared" si="2"/>
        <v>2.0601949978805085</v>
      </c>
      <c r="E22" s="87">
        <f>'Water Reading'!H22-'Water Reading'!H21</f>
        <v>25</v>
      </c>
      <c r="F22" s="89">
        <f t="shared" si="3"/>
        <v>5.1440329218106998E-2</v>
      </c>
      <c r="G22" s="93">
        <f>('Water Reading'!D22-'Water Reading'!D21)-('Water Reading'!R22-'Water Reading'!R21)-('Water Reading'!Q22-'Water Reading'!Q21)</f>
        <v>109</v>
      </c>
      <c r="H22" s="89">
        <f t="shared" si="4"/>
        <v>0.22427983539094651</v>
      </c>
      <c r="I22" s="90">
        <f>'Water Reading'!P22-'Water Reading'!P21</f>
        <v>7</v>
      </c>
      <c r="J22" s="68">
        <f t="shared" si="5"/>
        <v>1.4403292181069959E-2</v>
      </c>
      <c r="K22" s="91">
        <f>('Water Reading'!I22-'Water Reading'!I21)-('Water Reading'!P22-'Water Reading'!P21)</f>
        <v>78</v>
      </c>
      <c r="L22" s="68">
        <f t="shared" si="6"/>
        <v>0.16049382716049382</v>
      </c>
      <c r="M22" s="90">
        <f>'Water Reading'!R22-'Water Reading'!R21</f>
        <v>4</v>
      </c>
      <c r="N22" s="92">
        <f t="shared" si="7"/>
        <v>8.23045267489712E-3</v>
      </c>
      <c r="O22" s="90">
        <f>'Water Reading'!Q22-'Water Reading'!Q21</f>
        <v>6</v>
      </c>
      <c r="P22" s="99">
        <f t="shared" si="8"/>
        <v>1.2345679012345678E-2</v>
      </c>
      <c r="Q22" s="91">
        <f>'Water Reading'!F22-'Water Reading'!F21</f>
        <v>1</v>
      </c>
      <c r="R22" s="100">
        <f t="shared" si="9"/>
        <v>2.05761316872428E-3</v>
      </c>
      <c r="S22" s="94">
        <f>'Water Reading'!E22-'Water Reading'!E21</f>
        <v>54</v>
      </c>
      <c r="T22" s="100">
        <f t="shared" si="10"/>
        <v>0.1111111111111111</v>
      </c>
      <c r="U22" s="90">
        <f>'Water Reading'!G22-'Water Reading'!G21</f>
        <v>15</v>
      </c>
      <c r="V22" s="100">
        <f t="shared" si="11"/>
        <v>3.0864197530864196E-2</v>
      </c>
      <c r="W22" s="90">
        <f>'Water Reading'!J22-'Water Reading'!J21</f>
        <v>12</v>
      </c>
      <c r="X22" s="100">
        <f t="shared" si="12"/>
        <v>2.4691358024691357E-2</v>
      </c>
      <c r="Y22" s="66">
        <f t="shared" si="0"/>
        <v>311</v>
      </c>
      <c r="Z22" s="67">
        <f t="shared" si="1"/>
        <v>1.3183552352692143</v>
      </c>
    </row>
    <row r="23" spans="1:26" x14ac:dyDescent="0.25">
      <c r="A23" s="8">
        <f>'Water Reading'!A22</f>
        <v>44306</v>
      </c>
      <c r="B23" s="65">
        <f>TOTAL!I21</f>
        <v>317.5</v>
      </c>
      <c r="C23" s="66">
        <f>('Water Reading'!B23-'Water Reading'!B22)+('Water Reading'!C23-'Water Reading'!C22)</f>
        <v>379</v>
      </c>
      <c r="D23" s="67">
        <f t="shared" si="2"/>
        <v>1.1937007874015748</v>
      </c>
      <c r="E23" s="87">
        <f>'Water Reading'!H23-'Water Reading'!H22</f>
        <v>31</v>
      </c>
      <c r="F23" s="89">
        <f t="shared" si="3"/>
        <v>8.1794195250659632E-2</v>
      </c>
      <c r="G23" s="93">
        <f>('Water Reading'!D23-'Water Reading'!D22)-('Water Reading'!R23-'Water Reading'!R22)-('Water Reading'!Q23-'Water Reading'!Q22)</f>
        <v>113</v>
      </c>
      <c r="H23" s="89">
        <f t="shared" si="4"/>
        <v>0.29815303430079154</v>
      </c>
      <c r="I23" s="90">
        <f>'Water Reading'!P23-'Water Reading'!P22</f>
        <v>13</v>
      </c>
      <c r="J23" s="68">
        <f t="shared" si="5"/>
        <v>3.430079155672823E-2</v>
      </c>
      <c r="K23" s="91">
        <f>('Water Reading'!I23-'Water Reading'!I22)-('Water Reading'!P23-'Water Reading'!P22)</f>
        <v>77</v>
      </c>
      <c r="L23" s="68">
        <f t="shared" si="6"/>
        <v>0.20316622691292877</v>
      </c>
      <c r="M23" s="90">
        <f>'Water Reading'!R23-'Water Reading'!R22</f>
        <v>4</v>
      </c>
      <c r="N23" s="92">
        <f t="shared" si="7"/>
        <v>1.0554089709762533E-2</v>
      </c>
      <c r="O23" s="90">
        <f>'Water Reading'!Q23-'Water Reading'!Q22</f>
        <v>3</v>
      </c>
      <c r="P23" s="99">
        <f t="shared" si="8"/>
        <v>7.9155672823219003E-3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50</v>
      </c>
      <c r="T23" s="100">
        <f t="shared" si="10"/>
        <v>0.13192612137203166</v>
      </c>
      <c r="U23" s="90">
        <f>'Water Reading'!G23-'Water Reading'!G22</f>
        <v>8</v>
      </c>
      <c r="V23" s="100">
        <f t="shared" si="11"/>
        <v>2.1108179419525065E-2</v>
      </c>
      <c r="W23" s="90">
        <f>'Water Reading'!J23-'Water Reading'!J22</f>
        <v>10</v>
      </c>
      <c r="X23" s="100">
        <f t="shared" si="12"/>
        <v>2.6385224274406333E-2</v>
      </c>
      <c r="Y23" s="66">
        <f t="shared" si="0"/>
        <v>309</v>
      </c>
      <c r="Z23" s="67">
        <f t="shared" si="1"/>
        <v>0.97322834645669287</v>
      </c>
    </row>
    <row r="24" spans="1:26" x14ac:dyDescent="0.25">
      <c r="A24" s="8">
        <f>'Water Reading'!A23</f>
        <v>44307</v>
      </c>
      <c r="B24" s="65">
        <f>TOTAL!I22</f>
        <v>307.30000000000291</v>
      </c>
      <c r="C24" s="66">
        <f>('Water Reading'!B24-'Water Reading'!B23)+('Water Reading'!C24-'Water Reading'!C23)</f>
        <v>484</v>
      </c>
      <c r="D24" s="67">
        <f t="shared" si="2"/>
        <v>1.5750081353725851</v>
      </c>
      <c r="E24" s="87">
        <f>'Water Reading'!H24-'Water Reading'!H23</f>
        <v>79</v>
      </c>
      <c r="F24" s="89">
        <f t="shared" si="3"/>
        <v>0.16322314049586778</v>
      </c>
      <c r="G24" s="93">
        <f>('Water Reading'!D24-'Water Reading'!D23)-('Water Reading'!R24-'Water Reading'!R23)-('Water Reading'!Q24-'Water Reading'!Q23)</f>
        <v>103</v>
      </c>
      <c r="H24" s="89">
        <f t="shared" si="4"/>
        <v>0.21280991735537191</v>
      </c>
      <c r="I24" s="90">
        <f>'Water Reading'!P24-'Water Reading'!P23</f>
        <v>5</v>
      </c>
      <c r="J24" s="68">
        <f t="shared" si="5"/>
        <v>1.0330578512396695E-2</v>
      </c>
      <c r="K24" s="91">
        <f>('Water Reading'!I24-'Water Reading'!I23)-('Water Reading'!P24-'Water Reading'!P23)</f>
        <v>77</v>
      </c>
      <c r="L24" s="68">
        <f t="shared" si="6"/>
        <v>0.15909090909090909</v>
      </c>
      <c r="M24" s="90">
        <f>'Water Reading'!R24-'Water Reading'!R23</f>
        <v>4</v>
      </c>
      <c r="N24" s="92">
        <f t="shared" si="7"/>
        <v>8.2644628099173556E-3</v>
      </c>
      <c r="O24" s="90">
        <f>'Water Reading'!Q24-'Water Reading'!Q23</f>
        <v>3</v>
      </c>
      <c r="P24" s="99">
        <f t="shared" si="8"/>
        <v>6.1983471074380167E-3</v>
      </c>
      <c r="Q24" s="91">
        <f>'Water Reading'!F24-'Water Reading'!F23</f>
        <v>1</v>
      </c>
      <c r="R24" s="100">
        <f t="shared" si="9"/>
        <v>2.0661157024793389E-3</v>
      </c>
      <c r="S24" s="94">
        <f>'Water Reading'!E24-'Water Reading'!E23</f>
        <v>53</v>
      </c>
      <c r="T24" s="100">
        <f t="shared" si="10"/>
        <v>0.10950413223140495</v>
      </c>
      <c r="U24" s="90">
        <f>'Water Reading'!G24-'Water Reading'!G23</f>
        <v>13</v>
      </c>
      <c r="V24" s="100">
        <f t="shared" si="11"/>
        <v>2.6859504132231406E-2</v>
      </c>
      <c r="W24" s="90">
        <f>'Water Reading'!J24-'Water Reading'!J23</f>
        <v>10</v>
      </c>
      <c r="X24" s="100">
        <f t="shared" si="12"/>
        <v>2.0661157024793389E-2</v>
      </c>
      <c r="Y24" s="66">
        <f t="shared" si="0"/>
        <v>348</v>
      </c>
      <c r="Z24" s="67">
        <f t="shared" si="1"/>
        <v>1.1324438659290488</v>
      </c>
    </row>
    <row r="25" spans="1:26" x14ac:dyDescent="0.25">
      <c r="A25" s="8">
        <f>'Water Reading'!A24</f>
        <v>44308</v>
      </c>
      <c r="B25" s="65">
        <f>TOTAL!I23</f>
        <v>287</v>
      </c>
      <c r="C25" s="66">
        <f>('Water Reading'!B25-'Water Reading'!B24)+('Water Reading'!C25-'Water Reading'!C24)</f>
        <v>243</v>
      </c>
      <c r="D25" s="67">
        <f t="shared" si="2"/>
        <v>0.84668989547038331</v>
      </c>
      <c r="E25" s="87">
        <f>'Water Reading'!H25-'Water Reading'!H24</f>
        <v>55</v>
      </c>
      <c r="F25" s="89">
        <f t="shared" si="3"/>
        <v>0.22633744855967078</v>
      </c>
      <c r="G25" s="93">
        <f>('Water Reading'!D25-'Water Reading'!D24)-('Water Reading'!R25-'Water Reading'!R24)-('Water Reading'!Q25-'Water Reading'!Q24)</f>
        <v>105</v>
      </c>
      <c r="H25" s="89">
        <f t="shared" si="4"/>
        <v>0.43209876543209874</v>
      </c>
      <c r="I25" s="90">
        <f>'Water Reading'!P25-'Water Reading'!P24</f>
        <v>14</v>
      </c>
      <c r="J25" s="68">
        <f t="shared" si="5"/>
        <v>5.7613168724279837E-2</v>
      </c>
      <c r="K25" s="91">
        <f>('Water Reading'!I25-'Water Reading'!I24)-('Water Reading'!P25-'Water Reading'!P24)</f>
        <v>81</v>
      </c>
      <c r="L25" s="68">
        <f t="shared" si="6"/>
        <v>0.33333333333333331</v>
      </c>
      <c r="M25" s="90">
        <f>'Water Reading'!R25-'Water Reading'!R24</f>
        <v>5</v>
      </c>
      <c r="N25" s="92">
        <f t="shared" si="7"/>
        <v>2.0576131687242798E-2</v>
      </c>
      <c r="O25" s="90">
        <f>'Water Reading'!Q25-'Water Reading'!Q24</f>
        <v>2</v>
      </c>
      <c r="P25" s="99">
        <f t="shared" si="8"/>
        <v>8.23045267489712E-3</v>
      </c>
      <c r="Q25" s="91">
        <f>'Water Reading'!F25-'Water Reading'!F24</f>
        <v>2</v>
      </c>
      <c r="R25" s="100">
        <f t="shared" si="9"/>
        <v>8.23045267489712E-3</v>
      </c>
      <c r="S25" s="94">
        <f>'Water Reading'!E25-'Water Reading'!E24</f>
        <v>54</v>
      </c>
      <c r="T25" s="100">
        <f t="shared" si="10"/>
        <v>0.22222222222222221</v>
      </c>
      <c r="U25" s="90">
        <f>'Water Reading'!G25-'Water Reading'!G24</f>
        <v>14</v>
      </c>
      <c r="V25" s="100">
        <f t="shared" si="11"/>
        <v>5.7613168724279837E-2</v>
      </c>
      <c r="W25" s="90">
        <f>'Water Reading'!J25-'Water Reading'!J24</f>
        <v>10</v>
      </c>
      <c r="X25" s="100">
        <f t="shared" si="12"/>
        <v>4.1152263374485597E-2</v>
      </c>
      <c r="Y25" s="66">
        <f t="shared" si="0"/>
        <v>342</v>
      </c>
      <c r="Z25" s="67">
        <f t="shared" si="1"/>
        <v>1.1916376306620209</v>
      </c>
    </row>
    <row r="26" spans="1:26" x14ac:dyDescent="0.25">
      <c r="A26" s="8">
        <f>'Water Reading'!A25</f>
        <v>44309</v>
      </c>
      <c r="B26" s="65">
        <f>TOTAL!I24</f>
        <v>282</v>
      </c>
      <c r="C26" s="66">
        <f>('Water Reading'!B26-'Water Reading'!B25)+('Water Reading'!C26-'Water Reading'!C25)</f>
        <v>260</v>
      </c>
      <c r="D26" s="67">
        <f t="shared" si="2"/>
        <v>0.92198581560283688</v>
      </c>
      <c r="E26" s="87">
        <f>'Water Reading'!H26-'Water Reading'!H25</f>
        <v>51</v>
      </c>
      <c r="F26" s="89">
        <f t="shared" si="3"/>
        <v>0.19615384615384615</v>
      </c>
      <c r="G26" s="93">
        <f>('Water Reading'!D26-'Water Reading'!D25)-('Water Reading'!R26-'Water Reading'!R25)-('Water Reading'!Q26-'Water Reading'!Q25)</f>
        <v>109</v>
      </c>
      <c r="H26" s="89">
        <f t="shared" si="4"/>
        <v>0.41923076923076924</v>
      </c>
      <c r="I26" s="90">
        <f>'Water Reading'!P26-'Water Reading'!P25</f>
        <v>7</v>
      </c>
      <c r="J26" s="68">
        <f t="shared" si="5"/>
        <v>2.6923076923076925E-2</v>
      </c>
      <c r="K26" s="91">
        <f>('Water Reading'!I26-'Water Reading'!I25)-('Water Reading'!P26-'Water Reading'!P25)</f>
        <v>89</v>
      </c>
      <c r="L26" s="68">
        <f t="shared" si="6"/>
        <v>0.34230769230769231</v>
      </c>
      <c r="M26" s="90">
        <f>'Water Reading'!R26-'Water Reading'!R25</f>
        <v>1</v>
      </c>
      <c r="N26" s="92">
        <f t="shared" si="7"/>
        <v>3.8461538461538464E-3</v>
      </c>
      <c r="O26" s="90">
        <f>'Water Reading'!Q26-'Water Reading'!Q25</f>
        <v>2</v>
      </c>
      <c r="P26" s="99">
        <f t="shared" si="8"/>
        <v>7.6923076923076927E-3</v>
      </c>
      <c r="Q26" s="91">
        <f>'Water Reading'!F26-'Water Reading'!F25</f>
        <v>0</v>
      </c>
      <c r="R26" s="100">
        <f t="shared" si="9"/>
        <v>0</v>
      </c>
      <c r="S26" s="94">
        <f>'Water Reading'!E26-'Water Reading'!E25</f>
        <v>60</v>
      </c>
      <c r="T26" s="100">
        <f t="shared" si="10"/>
        <v>0.23076923076923078</v>
      </c>
      <c r="U26" s="90">
        <f>'Water Reading'!G26-'Water Reading'!G25</f>
        <v>16</v>
      </c>
      <c r="V26" s="100">
        <f t="shared" si="11"/>
        <v>6.1538461538461542E-2</v>
      </c>
      <c r="W26" s="90">
        <f>'Water Reading'!J26-'Water Reading'!J25</f>
        <v>10</v>
      </c>
      <c r="X26" s="100">
        <f t="shared" si="12"/>
        <v>3.8461538461538464E-2</v>
      </c>
      <c r="Y26" s="66">
        <f t="shared" si="0"/>
        <v>345</v>
      </c>
      <c r="Z26" s="67">
        <f t="shared" si="1"/>
        <v>1.2234042553191489</v>
      </c>
    </row>
    <row r="27" spans="1:26" x14ac:dyDescent="0.25">
      <c r="A27" s="8">
        <f>'Water Reading'!A26</f>
        <v>44310</v>
      </c>
      <c r="B27" s="65">
        <f>TOTAL!I25</f>
        <v>264</v>
      </c>
      <c r="C27" s="66">
        <f>('Water Reading'!B27-'Water Reading'!B26)+('Water Reading'!C27-'Water Reading'!C26)</f>
        <v>566</v>
      </c>
      <c r="D27" s="67">
        <f t="shared" si="2"/>
        <v>2.143939393939394</v>
      </c>
      <c r="E27" s="87">
        <f>'Water Reading'!H27-'Water Reading'!H26</f>
        <v>47</v>
      </c>
      <c r="F27" s="89">
        <f t="shared" si="3"/>
        <v>8.3038869257950523E-2</v>
      </c>
      <c r="G27" s="93">
        <f>('Water Reading'!D27-'Water Reading'!D26)-('Water Reading'!R27-'Water Reading'!R26)-('Water Reading'!Q27-'Water Reading'!Q26)</f>
        <v>111</v>
      </c>
      <c r="H27" s="89">
        <f t="shared" si="4"/>
        <v>0.196113074204947</v>
      </c>
      <c r="I27" s="90">
        <f>'Water Reading'!P27-'Water Reading'!P26</f>
        <v>6</v>
      </c>
      <c r="J27" s="68">
        <f t="shared" si="5"/>
        <v>1.0600706713780919E-2</v>
      </c>
      <c r="K27" s="91">
        <f>('Water Reading'!I27-'Water Reading'!I26)-('Water Reading'!P27-'Water Reading'!P26)</f>
        <v>84</v>
      </c>
      <c r="L27" s="68">
        <f t="shared" si="6"/>
        <v>0.14840989399293286</v>
      </c>
      <c r="M27" s="90">
        <f>'Water Reading'!R27-'Water Reading'!R26</f>
        <v>5</v>
      </c>
      <c r="N27" s="92">
        <f t="shared" si="7"/>
        <v>8.8339222614840993E-3</v>
      </c>
      <c r="O27" s="90">
        <f>'Water Reading'!Q27-'Water Reading'!Q26</f>
        <v>8</v>
      </c>
      <c r="P27" s="99">
        <f t="shared" si="8"/>
        <v>1.4134275618374558E-2</v>
      </c>
      <c r="Q27" s="91">
        <f>'Water Reading'!F27-'Water Reading'!F26</f>
        <v>0</v>
      </c>
      <c r="R27" s="100">
        <f t="shared" si="9"/>
        <v>0</v>
      </c>
      <c r="S27" s="94">
        <f>'Water Reading'!E27-'Water Reading'!E26</f>
        <v>55</v>
      </c>
      <c r="T27" s="100">
        <f t="shared" si="10"/>
        <v>9.7173144876325085E-2</v>
      </c>
      <c r="U27" s="90">
        <f>'Water Reading'!G27-'Water Reading'!G26</f>
        <v>17</v>
      </c>
      <c r="V27" s="100">
        <f t="shared" si="11"/>
        <v>3.0035335689045935E-2</v>
      </c>
      <c r="W27" s="90">
        <f>'Water Reading'!J27-'Water Reading'!J26</f>
        <v>10</v>
      </c>
      <c r="X27" s="100">
        <f t="shared" si="12"/>
        <v>1.7667844522968199E-2</v>
      </c>
      <c r="Y27" s="66">
        <f t="shared" si="0"/>
        <v>343</v>
      </c>
      <c r="Z27" s="67">
        <f t="shared" si="1"/>
        <v>1.2992424242424243</v>
      </c>
    </row>
    <row r="28" spans="1:26" x14ac:dyDescent="0.25">
      <c r="A28" s="8">
        <f>'Water Reading'!A27</f>
        <v>44311</v>
      </c>
      <c r="B28" s="65">
        <f>TOTAL!I26</f>
        <v>316</v>
      </c>
      <c r="C28" s="66">
        <f>('Water Reading'!B28-'Water Reading'!B27)+('Water Reading'!C28-'Water Reading'!C27)</f>
        <v>213</v>
      </c>
      <c r="D28" s="67">
        <f t="shared" si="2"/>
        <v>0.67405063291139244</v>
      </c>
      <c r="E28" s="87">
        <f>'Water Reading'!H28-'Water Reading'!H27</f>
        <v>42</v>
      </c>
      <c r="F28" s="89">
        <f t="shared" si="3"/>
        <v>0.19718309859154928</v>
      </c>
      <c r="G28" s="93">
        <f>('Water Reading'!D28-'Water Reading'!D27)-('Water Reading'!R28-'Water Reading'!R27)-('Water Reading'!Q28-'Water Reading'!Q27)</f>
        <v>161</v>
      </c>
      <c r="H28" s="89">
        <f t="shared" si="4"/>
        <v>0.755868544600939</v>
      </c>
      <c r="I28" s="90">
        <f>'Water Reading'!P28-'Water Reading'!P27</f>
        <v>11</v>
      </c>
      <c r="J28" s="68">
        <f t="shared" si="5"/>
        <v>5.1643192488262914E-2</v>
      </c>
      <c r="K28" s="91">
        <f>('Water Reading'!I28-'Water Reading'!I27)-('Water Reading'!P28-'Water Reading'!P27)</f>
        <v>91</v>
      </c>
      <c r="L28" s="68">
        <f t="shared" si="6"/>
        <v>0.42723004694835681</v>
      </c>
      <c r="M28" s="90">
        <f>'Water Reading'!R28-'Water Reading'!R27</f>
        <v>4</v>
      </c>
      <c r="N28" s="92">
        <f t="shared" si="7"/>
        <v>1.8779342723004695E-2</v>
      </c>
      <c r="O28" s="90">
        <f>'Water Reading'!Q28-'Water Reading'!Q27</f>
        <v>0</v>
      </c>
      <c r="P28" s="99">
        <f t="shared" si="8"/>
        <v>0</v>
      </c>
      <c r="Q28" s="91">
        <f>'Water Reading'!F28-'Water Reading'!F27</f>
        <v>1</v>
      </c>
      <c r="R28" s="100">
        <f t="shared" si="9"/>
        <v>4.6948356807511738E-3</v>
      </c>
      <c r="S28" s="94">
        <f>'Water Reading'!E28-'Water Reading'!E27</f>
        <v>55</v>
      </c>
      <c r="T28" s="100">
        <f t="shared" si="10"/>
        <v>0.25821596244131456</v>
      </c>
      <c r="U28" s="90">
        <f>'Water Reading'!G28-'Water Reading'!G27</f>
        <v>16</v>
      </c>
      <c r="V28" s="100">
        <f t="shared" si="11"/>
        <v>7.5117370892018781E-2</v>
      </c>
      <c r="W28" s="90">
        <f>'Water Reading'!J28-'Water Reading'!J27</f>
        <v>10</v>
      </c>
      <c r="X28" s="100">
        <f t="shared" si="12"/>
        <v>4.6948356807511735E-2</v>
      </c>
      <c r="Y28" s="66">
        <f t="shared" si="0"/>
        <v>391</v>
      </c>
      <c r="Z28" s="67">
        <f t="shared" si="1"/>
        <v>1.2373417721518987</v>
      </c>
    </row>
    <row r="29" spans="1:26" x14ac:dyDescent="0.25">
      <c r="A29" s="8">
        <f>'Water Reading'!A28</f>
        <v>44312</v>
      </c>
      <c r="B29" s="65">
        <f>TOTAL!I27</f>
        <v>321</v>
      </c>
      <c r="C29" s="66">
        <f>('Water Reading'!B29-'Water Reading'!B28)+('Water Reading'!C29-'Water Reading'!C28)</f>
        <v>219</v>
      </c>
      <c r="D29" s="67">
        <f t="shared" si="2"/>
        <v>0.68224299065420557</v>
      </c>
      <c r="E29" s="87">
        <f>'Water Reading'!H29-'Water Reading'!H28</f>
        <v>49</v>
      </c>
      <c r="F29" s="89">
        <f t="shared" si="3"/>
        <v>0.22374429223744291</v>
      </c>
      <c r="G29" s="93">
        <f>('Water Reading'!D29-'Water Reading'!D28)-('Water Reading'!R29-'Water Reading'!R28)-('Water Reading'!Q29-'Water Reading'!Q28)</f>
        <v>251</v>
      </c>
      <c r="H29" s="89">
        <f t="shared" si="4"/>
        <v>1.1461187214611872</v>
      </c>
      <c r="I29" s="90">
        <f>'Water Reading'!P29-'Water Reading'!P28</f>
        <v>10</v>
      </c>
      <c r="J29" s="68">
        <f t="shared" si="5"/>
        <v>4.5662100456621002E-2</v>
      </c>
      <c r="K29" s="91">
        <f>('Water Reading'!I29-'Water Reading'!I28)-('Water Reading'!P29-'Water Reading'!P28)</f>
        <v>89</v>
      </c>
      <c r="L29" s="68">
        <f t="shared" si="6"/>
        <v>0.40639269406392692</v>
      </c>
      <c r="M29" s="90">
        <f>'Water Reading'!R29-'Water Reading'!R28</f>
        <v>4</v>
      </c>
      <c r="N29" s="92">
        <f t="shared" si="7"/>
        <v>1.8264840182648401E-2</v>
      </c>
      <c r="O29" s="90">
        <f>'Water Reading'!Q29-'Water Reading'!Q28</f>
        <v>3</v>
      </c>
      <c r="P29" s="99">
        <f t="shared" si="8"/>
        <v>1.3698630136986301E-2</v>
      </c>
      <c r="Q29" s="91">
        <f>'Water Reading'!F29-'Water Reading'!F28</f>
        <v>1</v>
      </c>
      <c r="R29" s="100">
        <f t="shared" si="9"/>
        <v>4.5662100456621002E-3</v>
      </c>
      <c r="S29" s="94">
        <f>'Water Reading'!E29-'Water Reading'!E28</f>
        <v>52</v>
      </c>
      <c r="T29" s="100">
        <f t="shared" si="10"/>
        <v>0.23744292237442921</v>
      </c>
      <c r="U29" s="90">
        <f>'Water Reading'!G29-'Water Reading'!G28</f>
        <v>16</v>
      </c>
      <c r="V29" s="100">
        <f t="shared" si="11"/>
        <v>7.3059360730593603E-2</v>
      </c>
      <c r="W29" s="90">
        <f>'Water Reading'!J29-'Water Reading'!J28</f>
        <v>11</v>
      </c>
      <c r="X29" s="100">
        <f t="shared" si="12"/>
        <v>5.0228310502283102E-2</v>
      </c>
      <c r="Y29" s="66">
        <f t="shared" si="0"/>
        <v>486</v>
      </c>
      <c r="Z29" s="67">
        <f t="shared" si="1"/>
        <v>1.514018691588785</v>
      </c>
    </row>
    <row r="30" spans="1:26" x14ac:dyDescent="0.25">
      <c r="A30" s="8">
        <f>'Water Reading'!A29</f>
        <v>44313</v>
      </c>
      <c r="B30" s="65">
        <f>TOTAL!I28</f>
        <v>359</v>
      </c>
      <c r="C30" s="66">
        <f>('Water Reading'!B30-'Water Reading'!B29)+('Water Reading'!C30-'Water Reading'!C29)</f>
        <v>399</v>
      </c>
      <c r="D30" s="67">
        <f t="shared" si="2"/>
        <v>1.1114206128133706</v>
      </c>
      <c r="E30" s="87">
        <f>'Water Reading'!H30-'Water Reading'!H29</f>
        <v>44</v>
      </c>
      <c r="F30" s="89">
        <f t="shared" si="3"/>
        <v>0.11027568922305764</v>
      </c>
      <c r="G30" s="93">
        <f>('Water Reading'!D30-'Water Reading'!D29)-('Water Reading'!R30-'Water Reading'!R29)-('Water Reading'!Q30-'Water Reading'!Q29)</f>
        <v>223</v>
      </c>
      <c r="H30" s="89">
        <f t="shared" si="4"/>
        <v>0.55889724310776945</v>
      </c>
      <c r="I30" s="90">
        <f>'Water Reading'!P30-'Water Reading'!P29</f>
        <v>8</v>
      </c>
      <c r="J30" s="68">
        <f t="shared" si="5"/>
        <v>2.0050125313283207E-2</v>
      </c>
      <c r="K30" s="91">
        <f>('Water Reading'!I30-'Water Reading'!I29)-('Water Reading'!P30-'Water Reading'!P29)</f>
        <v>93</v>
      </c>
      <c r="L30" s="68">
        <f t="shared" si="6"/>
        <v>0.23308270676691728</v>
      </c>
      <c r="M30" s="90">
        <f>'Water Reading'!R30-'Water Reading'!R29</f>
        <v>4</v>
      </c>
      <c r="N30" s="92">
        <f t="shared" si="7"/>
        <v>1.0025062656641603E-2</v>
      </c>
      <c r="O30" s="90">
        <f>'Water Reading'!Q30-'Water Reading'!Q29</f>
        <v>1</v>
      </c>
      <c r="P30" s="99">
        <f t="shared" si="8"/>
        <v>2.5062656641604009E-3</v>
      </c>
      <c r="Q30" s="91">
        <f>'Water Reading'!F30-'Water Reading'!F29</f>
        <v>0</v>
      </c>
      <c r="R30" s="100">
        <f t="shared" si="9"/>
        <v>0</v>
      </c>
      <c r="S30" s="94">
        <f>'Water Reading'!E30-'Water Reading'!E29</f>
        <v>55</v>
      </c>
      <c r="T30" s="100">
        <f t="shared" si="10"/>
        <v>0.13784461152882205</v>
      </c>
      <c r="U30" s="90">
        <f>'Water Reading'!G30-'Water Reading'!G29</f>
        <v>8</v>
      </c>
      <c r="V30" s="100">
        <f t="shared" si="11"/>
        <v>2.0050125313283207E-2</v>
      </c>
      <c r="W30" s="90">
        <f>'Water Reading'!J30-'Water Reading'!J29</f>
        <v>10</v>
      </c>
      <c r="X30" s="100">
        <f t="shared" si="12"/>
        <v>2.5062656641604009E-2</v>
      </c>
      <c r="Y30" s="66">
        <f t="shared" si="0"/>
        <v>446</v>
      </c>
      <c r="Z30" s="67">
        <f t="shared" si="1"/>
        <v>1.2423398328690807</v>
      </c>
    </row>
    <row r="31" spans="1:26" x14ac:dyDescent="0.25">
      <c r="A31" s="8">
        <f>'Water Reading'!A30</f>
        <v>44314</v>
      </c>
      <c r="B31" s="65">
        <f>TOTAL!I29</f>
        <v>417</v>
      </c>
      <c r="C31" s="66">
        <f>('Water Reading'!B31-'Water Reading'!B30)+('Water Reading'!C31-'Water Reading'!C30)</f>
        <v>1642</v>
      </c>
      <c r="D31" s="67">
        <f t="shared" si="2"/>
        <v>3.9376498800959232</v>
      </c>
      <c r="E31" s="87">
        <f>'Water Reading'!H31-'Water Reading'!H30</f>
        <v>40</v>
      </c>
      <c r="F31" s="89">
        <f t="shared" si="3"/>
        <v>2.4360535931790498E-2</v>
      </c>
      <c r="G31" s="93">
        <f>('Water Reading'!D31-'Water Reading'!D30)-('Water Reading'!R31-'Water Reading'!R30)-('Water Reading'!Q31-'Water Reading'!Q30)</f>
        <v>360</v>
      </c>
      <c r="H31" s="89">
        <f t="shared" si="4"/>
        <v>0.21924482338611451</v>
      </c>
      <c r="I31" s="90">
        <f>'Water Reading'!P31-'Water Reading'!P30</f>
        <v>10</v>
      </c>
      <c r="J31" s="68">
        <f t="shared" si="5"/>
        <v>6.0901339829476245E-3</v>
      </c>
      <c r="K31" s="91">
        <f>('Water Reading'!I31-'Water Reading'!I30)-('Water Reading'!P31-'Water Reading'!P30)</f>
        <v>85</v>
      </c>
      <c r="L31" s="68">
        <f t="shared" si="6"/>
        <v>5.1766138855054808E-2</v>
      </c>
      <c r="M31" s="90">
        <f>'Water Reading'!R31-'Water Reading'!R30</f>
        <v>5</v>
      </c>
      <c r="N31" s="92">
        <f t="shared" si="7"/>
        <v>3.0450669914738123E-3</v>
      </c>
      <c r="O31" s="90">
        <f>'Water Reading'!Q31-'Water Reading'!Q30</f>
        <v>8</v>
      </c>
      <c r="P31" s="99">
        <f t="shared" si="8"/>
        <v>4.8721071863580996E-3</v>
      </c>
      <c r="Q31" s="91">
        <f>'Water Reading'!F31-'Water Reading'!F30</f>
        <v>1</v>
      </c>
      <c r="R31" s="100">
        <f t="shared" si="9"/>
        <v>6.0901339829476245E-4</v>
      </c>
      <c r="S31" s="94">
        <f>'Water Reading'!E31-'Water Reading'!E30</f>
        <v>56</v>
      </c>
      <c r="T31" s="100">
        <f t="shared" si="10"/>
        <v>3.4104750304506701E-2</v>
      </c>
      <c r="U31" s="90">
        <f>'Water Reading'!G31-'Water Reading'!G30</f>
        <v>14</v>
      </c>
      <c r="V31" s="100">
        <f t="shared" si="11"/>
        <v>8.5261875761266752E-3</v>
      </c>
      <c r="W31" s="90">
        <f>'Water Reading'!J31-'Water Reading'!J30</f>
        <v>10</v>
      </c>
      <c r="X31" s="100">
        <f t="shared" si="12"/>
        <v>6.0901339829476245E-3</v>
      </c>
      <c r="Y31" s="66">
        <f t="shared" si="0"/>
        <v>589</v>
      </c>
      <c r="Z31" s="67">
        <f t="shared" si="1"/>
        <v>1.4124700239808154</v>
      </c>
    </row>
    <row r="32" spans="1:26" x14ac:dyDescent="0.25">
      <c r="A32" s="8">
        <f>'Water Reading'!A31</f>
        <v>44315</v>
      </c>
      <c r="B32" s="65">
        <f>TOTAL!I30</f>
        <v>458</v>
      </c>
      <c r="C32" s="66">
        <f>('Water Reading'!B32-'Water Reading'!B31)+('Water Reading'!C32-'Water Reading'!C31)</f>
        <v>329</v>
      </c>
      <c r="D32" s="67">
        <f t="shared" si="2"/>
        <v>0.71834061135371174</v>
      </c>
      <c r="E32" s="87">
        <f>'Water Reading'!H32-'Water Reading'!H31</f>
        <v>43</v>
      </c>
      <c r="F32" s="89">
        <f t="shared" si="3"/>
        <v>0.13069908814589665</v>
      </c>
      <c r="G32" s="93">
        <f>('Water Reading'!D32-'Water Reading'!D31)-('Water Reading'!R32-'Water Reading'!R31)-('Water Reading'!Q32-'Water Reading'!Q31)</f>
        <v>104</v>
      </c>
      <c r="H32" s="89">
        <f t="shared" si="4"/>
        <v>0.3161094224924012</v>
      </c>
      <c r="I32" s="90">
        <f>'Water Reading'!P32-'Water Reading'!P31</f>
        <v>11</v>
      </c>
      <c r="J32" s="68">
        <f t="shared" si="5"/>
        <v>3.3434650455927049E-2</v>
      </c>
      <c r="K32" s="91">
        <f>('Water Reading'!I32-'Water Reading'!I31)-('Water Reading'!P32-'Water Reading'!P31)</f>
        <v>90</v>
      </c>
      <c r="L32" s="68">
        <f t="shared" si="6"/>
        <v>0.2735562310030395</v>
      </c>
      <c r="M32" s="90">
        <f>'Water Reading'!R32-'Water Reading'!R31</f>
        <v>5</v>
      </c>
      <c r="N32" s="92">
        <f t="shared" si="7"/>
        <v>1.5197568389057751E-2</v>
      </c>
      <c r="O32" s="90">
        <f>'Water Reading'!Q32-'Water Reading'!Q31</f>
        <v>3</v>
      </c>
      <c r="P32" s="99">
        <f t="shared" si="8"/>
        <v>9.11854103343465E-3</v>
      </c>
      <c r="Q32" s="91">
        <f>'Water Reading'!F32-'Water Reading'!F31</f>
        <v>1</v>
      </c>
      <c r="R32" s="100">
        <f t="shared" si="9"/>
        <v>3.0395136778115501E-3</v>
      </c>
      <c r="S32" s="94">
        <f>'Water Reading'!E32-'Water Reading'!E31</f>
        <v>60</v>
      </c>
      <c r="T32" s="100">
        <f t="shared" si="10"/>
        <v>0.18237082066869301</v>
      </c>
      <c r="U32" s="90">
        <f>'Water Reading'!G32-'Water Reading'!G31</f>
        <v>14</v>
      </c>
      <c r="V32" s="100">
        <f t="shared" si="11"/>
        <v>4.2553191489361701E-2</v>
      </c>
      <c r="W32" s="90">
        <f>'Water Reading'!J32-'Water Reading'!J31</f>
        <v>11</v>
      </c>
      <c r="X32" s="100">
        <f t="shared" si="12"/>
        <v>3.3434650455927049E-2</v>
      </c>
      <c r="Y32" s="66">
        <f t="shared" si="0"/>
        <v>342</v>
      </c>
      <c r="Z32" s="67">
        <f t="shared" si="1"/>
        <v>0.74672489082969429</v>
      </c>
    </row>
    <row r="33" spans="1:26" x14ac:dyDescent="0.25">
      <c r="A33" s="8">
        <f>'Water Reading'!A32</f>
        <v>44316</v>
      </c>
      <c r="B33" s="65">
        <f>TOTAL!I31</f>
        <v>339</v>
      </c>
      <c r="C33" s="66">
        <f>('Water Reading'!B33-'Water Reading'!B32)+('Water Reading'!C33-'Water Reading'!C32)</f>
        <v>267</v>
      </c>
      <c r="D33" s="67">
        <f t="shared" si="2"/>
        <v>0.78761061946902655</v>
      </c>
      <c r="E33" s="87">
        <f>'Water Reading'!H33-'Water Reading'!H32</f>
        <v>36</v>
      </c>
      <c r="F33" s="89">
        <f t="shared" si="3"/>
        <v>0.1348314606741573</v>
      </c>
      <c r="G33" s="93">
        <f>('Water Reading'!D33-'Water Reading'!D32)-('Water Reading'!R33-'Water Reading'!R32)-('Water Reading'!Q33-'Water Reading'!Q32)</f>
        <v>114</v>
      </c>
      <c r="H33" s="89">
        <f t="shared" si="4"/>
        <v>0.42696629213483145</v>
      </c>
      <c r="I33" s="90">
        <f>'Water Reading'!P33-'Water Reading'!P32</f>
        <v>0</v>
      </c>
      <c r="J33" s="68">
        <f t="shared" si="5"/>
        <v>0</v>
      </c>
      <c r="K33" s="91">
        <f>('Water Reading'!I33-'Water Reading'!I32)-('Water Reading'!P33-'Water Reading'!P32)</f>
        <v>91</v>
      </c>
      <c r="L33" s="68">
        <f t="shared" si="6"/>
        <v>0.34082397003745318</v>
      </c>
      <c r="M33" s="90">
        <f>'Water Reading'!R33-'Water Reading'!R32</f>
        <v>1</v>
      </c>
      <c r="N33" s="92">
        <f t="shared" si="7"/>
        <v>3.7453183520599251E-3</v>
      </c>
      <c r="O33" s="90">
        <f>'Water Reading'!Q33-'Water Reading'!Q32</f>
        <v>2</v>
      </c>
      <c r="P33" s="99">
        <f t="shared" si="8"/>
        <v>7.4906367041198503E-3</v>
      </c>
      <c r="Q33" s="91">
        <f>'Water Reading'!F33-'Water Reading'!F32</f>
        <v>0</v>
      </c>
      <c r="R33" s="100">
        <f t="shared" si="9"/>
        <v>0</v>
      </c>
      <c r="S33" s="94">
        <f>'Water Reading'!E33-'Water Reading'!E32</f>
        <v>60</v>
      </c>
      <c r="T33" s="100">
        <f t="shared" si="10"/>
        <v>0.2247191011235955</v>
      </c>
      <c r="U33" s="90">
        <f>'Water Reading'!G33-'Water Reading'!G32</f>
        <v>19</v>
      </c>
      <c r="V33" s="100">
        <f t="shared" si="11"/>
        <v>7.116104868913857E-2</v>
      </c>
      <c r="W33" s="90">
        <f>'Water Reading'!J33-'Water Reading'!J32</f>
        <v>11</v>
      </c>
      <c r="X33" s="100">
        <f t="shared" si="12"/>
        <v>4.1198501872659173E-2</v>
      </c>
      <c r="Y33" s="66">
        <f t="shared" si="0"/>
        <v>334</v>
      </c>
      <c r="Z33" s="67">
        <f t="shared" si="1"/>
        <v>0.98525073746312686</v>
      </c>
    </row>
    <row r="34" spans="1:26" x14ac:dyDescent="0.25">
      <c r="A34" s="8">
        <f>'Water Reading'!A33</f>
        <v>44317</v>
      </c>
      <c r="B34" s="65">
        <f>TOTAL!I32</f>
        <v>0</v>
      </c>
      <c r="C34" s="66">
        <f>('Water Reading'!B34-'Water Reading'!B33)+('Water Reading'!C34-'Water Reading'!C33)</f>
        <v>-272147</v>
      </c>
      <c r="D34" s="67" t="e">
        <f t="shared" si="2"/>
        <v>#DIV/0!</v>
      </c>
      <c r="E34" s="87">
        <f>'Water Reading'!H34-'Water Reading'!H33</f>
        <v>-49363</v>
      </c>
      <c r="F34" s="89">
        <f t="shared" si="3"/>
        <v>0.18138359048602409</v>
      </c>
      <c r="G34" s="93">
        <f>('Water Reading'!D34-'Water Reading'!D33)-('Water Reading'!R34-'Water Reading'!R33)-('Water Reading'!Q34-'Water Reading'!Q33)</f>
        <v>-194353</v>
      </c>
      <c r="H34" s="89">
        <f t="shared" si="4"/>
        <v>0.7141471337181744</v>
      </c>
      <c r="I34" s="90">
        <f>'Water Reading'!P34-'Water Reading'!P33</f>
        <v>-26423</v>
      </c>
      <c r="J34" s="68">
        <f t="shared" si="5"/>
        <v>9.7090910427085356E-2</v>
      </c>
      <c r="K34" s="91">
        <f>('Water Reading'!I34-'Water Reading'!I33)-('Water Reading'!P34-'Water Reading'!P33)</f>
        <v>-35295</v>
      </c>
      <c r="L34" s="68">
        <f t="shared" si="6"/>
        <v>0.12969093908806636</v>
      </c>
      <c r="M34" s="90">
        <f>'Water Reading'!R34-'Water Reading'!R33</f>
        <v>-5973</v>
      </c>
      <c r="N34" s="92">
        <f t="shared" si="7"/>
        <v>2.194769738413431E-2</v>
      </c>
      <c r="O34" s="90">
        <f>'Water Reading'!Q34-'Water Reading'!Q33</f>
        <v>-403</v>
      </c>
      <c r="P34" s="99">
        <f t="shared" si="8"/>
        <v>1.4808173523867616E-3</v>
      </c>
      <c r="Q34" s="91">
        <f>'Water Reading'!F34-'Water Reading'!F33</f>
        <v>-66885</v>
      </c>
      <c r="R34" s="100">
        <f t="shared" si="9"/>
        <v>0.24576791219451252</v>
      </c>
      <c r="S34" s="94">
        <f>'Water Reading'!E34-'Water Reading'!E33</f>
        <v>-244163</v>
      </c>
      <c r="T34" s="100">
        <f t="shared" si="10"/>
        <v>0.89717321888538182</v>
      </c>
      <c r="U34" s="90">
        <f>'Water Reading'!G34-'Water Reading'!G33</f>
        <v>-110631</v>
      </c>
      <c r="V34" s="100">
        <f t="shared" si="11"/>
        <v>0.40651192186575635</v>
      </c>
      <c r="W34" s="90">
        <f>'Water Reading'!J34-'Water Reading'!J33</f>
        <v>-19342</v>
      </c>
      <c r="X34" s="100">
        <f t="shared" si="12"/>
        <v>7.1071883945073799E-2</v>
      </c>
      <c r="Y34" s="66">
        <f t="shared" si="0"/>
        <v>-752831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9756</v>
      </c>
      <c r="C35" s="75">
        <f>SUM(C4:C34)</f>
        <v>-259621</v>
      </c>
      <c r="D35" s="96">
        <f>C35/B35</f>
        <v>-26.611418614186142</v>
      </c>
      <c r="E35" s="7">
        <f>SUM(E4:E34)</f>
        <v>-48022</v>
      </c>
      <c r="F35" s="95">
        <f>E35/C35</f>
        <v>0.18496962880506584</v>
      </c>
      <c r="G35" s="75">
        <f>SUM(G4:G34)</f>
        <v>-189853</v>
      </c>
      <c r="H35" s="95">
        <f>G35/C35</f>
        <v>0.73126981253442513</v>
      </c>
      <c r="I35" s="7">
        <f>SUM(I4:I34)</f>
        <v>-26141</v>
      </c>
      <c r="J35" s="95">
        <f>I35/C35</f>
        <v>0.100689081391721</v>
      </c>
      <c r="K35" s="7">
        <f>SUM(K4:K34)</f>
        <v>-33068</v>
      </c>
      <c r="L35" s="95">
        <f>K35/C35</f>
        <v>0.12737028206501014</v>
      </c>
      <c r="M35" s="7">
        <f>SUM(M4:M34)</f>
        <v>-5832</v>
      </c>
      <c r="N35" s="95">
        <f>M35/C35</f>
        <v>2.246351412250935E-2</v>
      </c>
      <c r="O35" s="7">
        <f>SUM(O4:O34)</f>
        <v>-297</v>
      </c>
      <c r="P35" s="95">
        <f>O35/C35</f>
        <v>1.143975256238902E-3</v>
      </c>
      <c r="Q35" s="7">
        <f>SUM(Q4:Q34)</f>
        <v>-66868</v>
      </c>
      <c r="R35" s="95">
        <f>Q35/C35</f>
        <v>0.25756005870095255</v>
      </c>
      <c r="S35" s="75">
        <f>SUM(S4:S34)</f>
        <v>-242368</v>
      </c>
      <c r="T35" s="95">
        <f>S35/C35</f>
        <v>0.93354543738757656</v>
      </c>
      <c r="U35" s="7">
        <f>SUM(U4:U34)</f>
        <v>-110066</v>
      </c>
      <c r="V35" s="95">
        <f>U35/C35</f>
        <v>0.42394875607135019</v>
      </c>
      <c r="W35" s="7">
        <f>SUM(W4:W34)</f>
        <v>-19008</v>
      </c>
      <c r="X35" s="95">
        <f>W35/C35</f>
        <v>7.3214416399289731E-2</v>
      </c>
      <c r="Y35" s="75">
        <f>SUM(Y4:Y34)</f>
        <v>-741523</v>
      </c>
      <c r="Z35" s="95">
        <f t="shared" si="1"/>
        <v>-76.006867568675688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2021-05-03T09:53:39Z</dcterms:modified>
  <cp:category/>
  <cp:contentStatus/>
</cp:coreProperties>
</file>