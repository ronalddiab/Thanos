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1" i="6" l="1"/>
  <c r="E31" i="6"/>
  <c r="C31" i="6"/>
  <c r="G30" i="6"/>
  <c r="E30" i="6"/>
  <c r="C30" i="6"/>
  <c r="G29" i="6"/>
  <c r="E29" i="6"/>
  <c r="C29" i="6"/>
  <c r="M26" i="4"/>
  <c r="J26" i="4"/>
  <c r="K26" i="4" s="1"/>
  <c r="M25" i="4"/>
  <c r="J25" i="4"/>
  <c r="K25" i="4" s="1"/>
  <c r="M24" i="4"/>
  <c r="J24" i="4"/>
  <c r="K24" i="4" s="1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26" i="1" l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26" i="1" l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L22" i="1" s="1"/>
  <c r="I29" i="6"/>
  <c r="L23" i="1" s="1"/>
  <c r="I30" i="6"/>
  <c r="L24" i="1" s="1"/>
  <c r="I31" i="6"/>
  <c r="I32" i="6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M26" i="1" l="1"/>
  <c r="L25" i="1"/>
  <c r="C26" i="4"/>
  <c r="I26" i="4"/>
  <c r="L26" i="4"/>
  <c r="N26" i="4" s="1"/>
  <c r="O26" i="4" s="1"/>
  <c r="G26" i="4"/>
  <c r="E26" i="4"/>
  <c r="L24" i="4"/>
  <c r="N24" i="4" s="1"/>
  <c r="O24" i="4" s="1"/>
  <c r="E24" i="4"/>
  <c r="C24" i="4"/>
  <c r="I24" i="4"/>
  <c r="G24" i="4"/>
  <c r="I25" i="4"/>
  <c r="L25" i="4"/>
  <c r="N25" i="4" s="1"/>
  <c r="O25" i="4" s="1"/>
  <c r="G25" i="4"/>
  <c r="E25" i="4"/>
  <c r="C25" i="4"/>
  <c r="M22" i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G36" i="4"/>
  <c r="C36" i="4"/>
  <c r="E36" i="4"/>
  <c r="I36" i="4"/>
  <c r="C41" i="4"/>
  <c r="E41" i="4"/>
  <c r="G41" i="4"/>
  <c r="C33" i="4"/>
  <c r="E33" i="4"/>
  <c r="G33" i="4"/>
  <c r="E39" i="4"/>
  <c r="G39" i="4"/>
  <c r="C39" i="4"/>
  <c r="E35" i="4"/>
  <c r="G35" i="4"/>
  <c r="C35" i="4"/>
  <c r="E31" i="4"/>
  <c r="G31" i="4"/>
  <c r="C31" i="4"/>
  <c r="E27" i="4"/>
  <c r="G27" i="4"/>
  <c r="C27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U22" i="1" s="1"/>
  <c r="W22" i="1" s="1"/>
  <c r="I8" i="4"/>
  <c r="L27" i="4"/>
  <c r="N27" i="4" s="1"/>
  <c r="O27" i="4" s="1"/>
  <c r="P27" i="4" s="1"/>
  <c r="I16" i="4"/>
  <c r="L22" i="4"/>
  <c r="N22" i="4" s="1"/>
  <c r="O22" i="4" s="1"/>
  <c r="L37" i="4"/>
  <c r="N37" i="4" s="1"/>
  <c r="O37" i="4" s="1"/>
  <c r="L28" i="4"/>
  <c r="N28" i="4" s="1"/>
  <c r="O28" i="4" s="1"/>
  <c r="I7" i="4"/>
  <c r="I31" i="4"/>
  <c r="I27" i="4"/>
  <c r="I30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L30" i="4"/>
  <c r="N30" i="4" s="1"/>
  <c r="O30" i="4" s="1"/>
  <c r="P24" i="4" l="1"/>
  <c r="U23" i="1"/>
  <c r="W23" i="1" s="1"/>
  <c r="P25" i="4"/>
  <c r="U24" i="1"/>
  <c r="W24" i="1" s="1"/>
  <c r="P26" i="4"/>
  <c r="U25" i="1"/>
  <c r="W25" i="1" s="1"/>
  <c r="P22" i="4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U41" i="1"/>
  <c r="O37" i="1"/>
  <c r="E8" i="10"/>
  <c r="E19" i="10"/>
  <c r="E15" i="10"/>
  <c r="O11" i="1"/>
  <c r="P32" i="4"/>
  <c r="P29" i="4"/>
  <c r="P23" i="4"/>
  <c r="G18" i="10"/>
  <c r="O18" i="10" s="1"/>
  <c r="P30" i="4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W41" i="1" l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<sst xmlns="http://schemas.openxmlformats.org/spreadsheetml/2006/main" count="124" uniqueCount="82">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</sst>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8160"/>
        <c:axId val="98329728"/>
      </c:lineChart>
      <c:dateAx>
        <c:axId val="11602816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29728"/>
        <c:crosses val="autoZero"/>
        <c:auto val="1"/>
        <c:lblOffset val="100"/>
        <c:baseTimeUnit val="days"/>
      </c:dateAx>
      <c:valAx>
        <c:axId val="98329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281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63264"/>
        <c:axId val="98364800"/>
      </c:lineChart>
      <c:dateAx>
        <c:axId val="9836326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64800"/>
        <c:crosses val="autoZero"/>
        <c:auto val="1"/>
        <c:lblOffset val="100"/>
        <c:baseTimeUnit val="days"/>
      </c:dateAx>
      <c:valAx>
        <c:axId val="98364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6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89056"/>
        <c:axId val="95790592"/>
      </c:lineChart>
      <c:dateAx>
        <c:axId val="957890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90592"/>
        <c:crosses val="autoZero"/>
        <c:auto val="1"/>
        <c:lblOffset val="100"/>
        <c:baseTimeUnit val="days"/>
      </c:dateAx>
      <c:valAx>
        <c:axId val="957905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6" sqref="A16:XFD1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0</v>
      </c>
      <c r="F17" s="112">
        <v>1.002</v>
      </c>
      <c r="G17" s="112">
        <f>'Consommation du 01.11 au 30.11'!U25</f>
        <v>0</v>
      </c>
      <c r="H17" s="112">
        <v>8.0277999999999992</v>
      </c>
      <c r="I17" s="112">
        <f>'Consommation du 01.11 au 30.11'!Y25*1000</f>
        <v>0</v>
      </c>
      <c r="J17" s="112">
        <v>0.84</v>
      </c>
      <c r="K17" s="112">
        <f>'Consommation du 01.11 au 30.11'!D25</f>
        <v>0</v>
      </c>
      <c r="L17" s="112">
        <v>12.67</v>
      </c>
      <c r="M17" s="126">
        <f>'Consommation du 01.11 au 30.11'!AC25</f>
        <v>0</v>
      </c>
      <c r="N17" s="126"/>
      <c r="O17" s="112">
        <f t="shared" si="0"/>
        <v>0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3" sqref="X23:X2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34"/>
      <c r="B2" s="235"/>
      <c r="C2" s="235"/>
      <c r="D2" s="235"/>
      <c r="E2" s="235"/>
      <c r="F2" s="236"/>
      <c r="G2" s="223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5"/>
      <c r="AD2" s="199"/>
      <c r="AE2" s="199"/>
      <c r="AF2" s="199"/>
      <c r="AJ2" s="66"/>
    </row>
    <row r="3" spans="1:37" ht="1.5" customHeight="1" x14ac:dyDescent="0.2"/>
    <row r="4" spans="1:37" ht="39" hidden="1" customHeight="1" x14ac:dyDescent="0.2">
      <c r="A4" s="237"/>
      <c r="B4" s="237"/>
      <c r="C4" s="23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7"/>
      <c r="B5" s="237"/>
      <c r="C5" s="237"/>
      <c r="D5" s="6"/>
      <c r="E5" s="6"/>
      <c r="F5" s="6"/>
      <c r="G5" s="6"/>
      <c r="H5" s="6"/>
      <c r="I5" s="6"/>
      <c r="J5" s="6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9"/>
      <c r="E7" s="179"/>
      <c r="F7" s="179"/>
      <c r="G7" s="179"/>
      <c r="H7" s="179"/>
      <c r="I7" s="179"/>
      <c r="J7" s="179"/>
      <c r="K7" s="179"/>
      <c r="L7" s="180"/>
      <c r="M7" s="180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4"/>
      <c r="AC7" s="14"/>
      <c r="AI7" s="6"/>
      <c r="AJ7" s="6"/>
      <c r="AK7" s="6"/>
    </row>
    <row r="8" spans="1:37" ht="2.25" customHeight="1" thickBot="1" x14ac:dyDescent="0.25">
      <c r="A8" s="179"/>
      <c r="B8" s="239" t="s">
        <v>1</v>
      </c>
      <c r="C8" s="4"/>
      <c r="D8" s="240" t="s">
        <v>4</v>
      </c>
      <c r="E8" s="5"/>
      <c r="F8" s="226" t="s">
        <v>12</v>
      </c>
      <c r="G8" s="227"/>
      <c r="H8" s="228"/>
      <c r="I8" s="5"/>
      <c r="J8" s="183" t="s">
        <v>3</v>
      </c>
      <c r="K8" s="183"/>
      <c r="L8" s="183"/>
      <c r="M8" s="183" t="s">
        <v>2</v>
      </c>
      <c r="N8" s="5"/>
      <c r="O8" s="232" t="s">
        <v>12</v>
      </c>
      <c r="P8" s="5"/>
      <c r="Q8" s="232" t="s">
        <v>5</v>
      </c>
      <c r="R8" s="5"/>
      <c r="S8" s="232" t="s">
        <v>6</v>
      </c>
      <c r="T8" s="5"/>
      <c r="U8" s="181" t="s">
        <v>39</v>
      </c>
      <c r="V8" s="5"/>
      <c r="W8" s="232" t="s">
        <v>12</v>
      </c>
      <c r="X8" s="74"/>
      <c r="Y8" s="74"/>
      <c r="Z8" s="74"/>
      <c r="AA8" s="244"/>
      <c r="AB8" s="242" t="s">
        <v>80</v>
      </c>
      <c r="AC8" s="232" t="s">
        <v>75</v>
      </c>
      <c r="AD8" s="249" t="s">
        <v>54</v>
      </c>
      <c r="AE8" s="247" t="s">
        <v>59</v>
      </c>
      <c r="AF8" s="247" t="s">
        <v>60</v>
      </c>
      <c r="AG8" s="245" t="s">
        <v>61</v>
      </c>
      <c r="AH8" s="245" t="s">
        <v>62</v>
      </c>
      <c r="AI8" s="78"/>
      <c r="AJ8" s="78"/>
      <c r="AK8" s="78"/>
    </row>
    <row r="9" spans="1:37" ht="116.25" customHeight="1" thickBot="1" x14ac:dyDescent="0.25">
      <c r="A9" s="179"/>
      <c r="B9" s="239"/>
      <c r="C9" s="4"/>
      <c r="D9" s="241"/>
      <c r="E9" s="5"/>
      <c r="F9" s="229"/>
      <c r="G9" s="230"/>
      <c r="H9" s="231"/>
      <c r="I9" s="5"/>
      <c r="J9" s="90" t="s">
        <v>7</v>
      </c>
      <c r="K9" s="90" t="s">
        <v>8</v>
      </c>
      <c r="L9" s="90" t="s">
        <v>9</v>
      </c>
      <c r="M9" s="183"/>
      <c r="N9" s="5"/>
      <c r="O9" s="233"/>
      <c r="P9" s="5"/>
      <c r="Q9" s="233"/>
      <c r="R9" s="5"/>
      <c r="S9" s="233"/>
      <c r="T9" s="5"/>
      <c r="U9" s="182"/>
      <c r="V9" s="5"/>
      <c r="W9" s="233"/>
      <c r="X9" s="140" t="s">
        <v>81</v>
      </c>
      <c r="Y9" s="105" t="s">
        <v>55</v>
      </c>
      <c r="Z9" s="106" t="s">
        <v>56</v>
      </c>
      <c r="AA9" s="244"/>
      <c r="AB9" s="243"/>
      <c r="AC9" s="238"/>
      <c r="AD9" s="250"/>
      <c r="AE9" s="248"/>
      <c r="AF9" s="248"/>
      <c r="AG9" s="246"/>
      <c r="AH9" s="246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3">
        <f>D10*12.67</f>
        <v>8235.5</v>
      </c>
      <c r="G10" s="173"/>
      <c r="H10" s="174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3">
        <f t="shared" ref="F11:F40" si="0">D11*12.67</f>
        <v>6208.3</v>
      </c>
      <c r="G11" s="173"/>
      <c r="H11" s="174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3">
        <f t="shared" si="0"/>
        <v>6715.1</v>
      </c>
      <c r="G12" s="173"/>
      <c r="H12" s="174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173">
        <f t="shared" si="0"/>
        <v>6715.1</v>
      </c>
      <c r="G13" s="173"/>
      <c r="H13" s="174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173">
        <f t="shared" si="0"/>
        <v>10389.4</v>
      </c>
      <c r="G14" s="173"/>
      <c r="H14" s="174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173">
        <f t="shared" si="0"/>
        <v>7221.9</v>
      </c>
      <c r="G15" s="173"/>
      <c r="H15" s="174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173">
        <f t="shared" si="0"/>
        <v>6715.1</v>
      </c>
      <c r="G16" s="173"/>
      <c r="H16" s="174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173">
        <f t="shared" si="0"/>
        <v>6588.4</v>
      </c>
      <c r="G17" s="173"/>
      <c r="H17" s="174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173">
        <f t="shared" si="0"/>
        <v>5448.1</v>
      </c>
      <c r="G18" s="173"/>
      <c r="H18" s="174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173">
        <f t="shared" si="0"/>
        <v>5828.2</v>
      </c>
      <c r="G19" s="173"/>
      <c r="H19" s="174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173">
        <f t="shared" si="0"/>
        <v>6081.6</v>
      </c>
      <c r="G20" s="173"/>
      <c r="H20" s="174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173">
        <f t="shared" si="0"/>
        <v>5954.9</v>
      </c>
      <c r="G21" s="173"/>
      <c r="H21" s="174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173">
        <f t="shared" si="0"/>
        <v>5954.9</v>
      </c>
      <c r="G22" s="173"/>
      <c r="H22" s="174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173">
        <f t="shared" si="0"/>
        <v>5448.1</v>
      </c>
      <c r="G23" s="173"/>
      <c r="H23" s="174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173">
        <f t="shared" si="0"/>
        <v>5448.1</v>
      </c>
      <c r="G24" s="173"/>
      <c r="H24" s="174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20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0</v>
      </c>
      <c r="E25" s="116"/>
      <c r="F25" s="173">
        <f t="shared" si="0"/>
        <v>0</v>
      </c>
      <c r="G25" s="173"/>
      <c r="H25" s="174"/>
      <c r="I25" s="97"/>
      <c r="J25" s="121">
        <f>'Suivi EAU-ELEC'!E31</f>
        <v>0</v>
      </c>
      <c r="K25" s="122">
        <f>'Suivi EAU-ELEC'!G31</f>
        <v>0</v>
      </c>
      <c r="L25" s="122">
        <f>'Suivi EAU-ELEC'!I31</f>
        <v>0</v>
      </c>
      <c r="M25" s="123">
        <f t="shared" si="1"/>
        <v>0</v>
      </c>
      <c r="N25" s="96"/>
      <c r="O25" s="99">
        <f t="shared" si="2"/>
        <v>0</v>
      </c>
      <c r="P25" s="95"/>
      <c r="Q25" s="94"/>
      <c r="R25" s="93"/>
      <c r="S25" s="94"/>
      <c r="T25" s="101"/>
      <c r="U25" s="100">
        <f>'Suvi Gaz'!O26</f>
        <v>0</v>
      </c>
      <c r="V25" s="97"/>
      <c r="W25" s="99">
        <f t="shared" si="3"/>
        <v>0</v>
      </c>
      <c r="X25" s="161">
        <v>15319.6</v>
      </c>
      <c r="Y25" s="103">
        <f t="shared" si="4"/>
        <v>0</v>
      </c>
      <c r="Z25" s="104">
        <f t="shared" si="5"/>
        <v>0</v>
      </c>
      <c r="AA25" s="97"/>
      <c r="AB25" s="119"/>
      <c r="AC25" s="133"/>
      <c r="AD25" s="129"/>
      <c r="AE25" s="136"/>
      <c r="AF25" s="137"/>
      <c r="AG25" s="134"/>
      <c r="AH25" s="135"/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173">
        <f t="shared" si="0"/>
        <v>0</v>
      </c>
      <c r="G26" s="173"/>
      <c r="H26" s="174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38"/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173">
        <f t="shared" si="0"/>
        <v>0</v>
      </c>
      <c r="G27" s="173"/>
      <c r="H27" s="174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173">
        <f t="shared" si="0"/>
        <v>0</v>
      </c>
      <c r="G28" s="173"/>
      <c r="H28" s="174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173">
        <f t="shared" si="0"/>
        <v>0</v>
      </c>
      <c r="G29" s="173"/>
      <c r="H29" s="174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173">
        <f t="shared" si="0"/>
        <v>0</v>
      </c>
      <c r="G30" s="173"/>
      <c r="H30" s="174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173">
        <f t="shared" si="0"/>
        <v>0</v>
      </c>
      <c r="G31" s="173"/>
      <c r="H31" s="174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173">
        <f t="shared" si="0"/>
        <v>0</v>
      </c>
      <c r="G32" s="173"/>
      <c r="H32" s="174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173">
        <f t="shared" si="0"/>
        <v>0</v>
      </c>
      <c r="G33" s="173"/>
      <c r="H33" s="174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173">
        <f t="shared" si="0"/>
        <v>0</v>
      </c>
      <c r="G34" s="173"/>
      <c r="H34" s="174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73">
        <f t="shared" si="0"/>
        <v>0</v>
      </c>
      <c r="G35" s="173"/>
      <c r="H35" s="174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73">
        <f t="shared" si="0"/>
        <v>0</v>
      </c>
      <c r="G36" s="173"/>
      <c r="H36" s="174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73">
        <f t="shared" si="0"/>
        <v>0</v>
      </c>
      <c r="G37" s="173"/>
      <c r="H37" s="174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73">
        <f t="shared" si="0"/>
        <v>0</v>
      </c>
      <c r="G38" s="173"/>
      <c r="H38" s="174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3">
        <f t="shared" si="0"/>
        <v>0</v>
      </c>
      <c r="G39" s="173"/>
      <c r="H39" s="174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3">
        <f t="shared" si="0"/>
        <v>0</v>
      </c>
      <c r="G40" s="173"/>
      <c r="H40" s="174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7810</v>
      </c>
      <c r="E41" s="1"/>
      <c r="F41" s="190">
        <f>SUM(F10:H39)</f>
        <v>98952.700000000012</v>
      </c>
      <c r="G41" s="191"/>
      <c r="H41" s="192"/>
      <c r="I41" s="1"/>
      <c r="J41" s="91">
        <f>SUM(J10:J39)</f>
        <v>82086</v>
      </c>
      <c r="K41" s="91">
        <f>SUM(K10:K39)</f>
        <v>120342</v>
      </c>
      <c r="L41" s="91">
        <f>SUM(L10:L39)</f>
        <v>58597</v>
      </c>
      <c r="M41" s="91">
        <f>SUM(M10:M39)</f>
        <v>261025</v>
      </c>
      <c r="N41" s="28"/>
      <c r="O41" s="190">
        <f>SUM(O10:Q39)</f>
        <v>261547.05</v>
      </c>
      <c r="P41" s="191"/>
      <c r="Q41" s="192"/>
      <c r="R41" s="28"/>
      <c r="S41" s="92">
        <f>SUM(S10:S40)</f>
        <v>0</v>
      </c>
      <c r="T41" s="28"/>
      <c r="U41" s="91">
        <f>SUM(U10:U39)</f>
        <v>9683.1000000000022</v>
      </c>
      <c r="V41" s="28"/>
      <c r="W41" s="91">
        <f>SUM(W10:W39)</f>
        <v>77733.990179999993</v>
      </c>
      <c r="X41" s="132"/>
      <c r="Y41" s="91">
        <f>SUM(Y10:Y39)</f>
        <v>230.89999999999964</v>
      </c>
      <c r="Z41" s="91">
        <f>SUM(Z10:Z39)</f>
        <v>193955.99999999971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86"/>
      <c r="G42" s="186"/>
      <c r="H42" s="18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193" t="s">
        <v>10</v>
      </c>
      <c r="B43" s="194"/>
      <c r="C43" s="195"/>
      <c r="D43" s="19" t="s">
        <v>7</v>
      </c>
      <c r="E43" s="53"/>
      <c r="F43" s="20">
        <v>1.002</v>
      </c>
      <c r="G43" s="175">
        <f>J41</f>
        <v>82086</v>
      </c>
      <c r="H43" s="176"/>
      <c r="I43" s="177"/>
      <c r="J43" s="184">
        <f>G43*F43</f>
        <v>82250.172000000006</v>
      </c>
      <c r="K43" s="185"/>
      <c r="L43" s="214">
        <f>J43+J44+J45</f>
        <v>261547.05</v>
      </c>
      <c r="M43" s="215"/>
      <c r="N43" s="215"/>
      <c r="O43" s="215"/>
      <c r="P43" s="215"/>
      <c r="Q43" s="215"/>
      <c r="R43" s="215"/>
      <c r="S43" s="215"/>
      <c r="T43" s="215"/>
      <c r="U43" s="216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196"/>
      <c r="B44" s="197"/>
      <c r="C44" s="198"/>
      <c r="D44" s="17" t="s">
        <v>8</v>
      </c>
      <c r="E44" s="53"/>
      <c r="F44" s="20">
        <v>1.002</v>
      </c>
      <c r="G44" s="175">
        <f>K41</f>
        <v>120342</v>
      </c>
      <c r="H44" s="176"/>
      <c r="I44" s="177"/>
      <c r="J44" s="184">
        <f>G44*F44</f>
        <v>120582.68399999999</v>
      </c>
      <c r="K44" s="185"/>
      <c r="L44" s="217"/>
      <c r="M44" s="218"/>
      <c r="N44" s="218"/>
      <c r="O44" s="218"/>
      <c r="P44" s="218"/>
      <c r="Q44" s="218"/>
      <c r="R44" s="218"/>
      <c r="S44" s="218"/>
      <c r="T44" s="218"/>
      <c r="U44" s="21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6"/>
      <c r="B45" s="197"/>
      <c r="C45" s="198"/>
      <c r="D45" s="23" t="s">
        <v>9</v>
      </c>
      <c r="E45" s="54"/>
      <c r="F45" s="20">
        <v>1.002</v>
      </c>
      <c r="G45" s="175">
        <f>L41</f>
        <v>58597</v>
      </c>
      <c r="H45" s="176"/>
      <c r="I45" s="177"/>
      <c r="J45" s="184">
        <f>G45*F45</f>
        <v>58714.194000000003</v>
      </c>
      <c r="K45" s="185"/>
      <c r="L45" s="220"/>
      <c r="M45" s="221"/>
      <c r="N45" s="221"/>
      <c r="O45" s="221"/>
      <c r="P45" s="221"/>
      <c r="Q45" s="221"/>
      <c r="R45" s="221"/>
      <c r="S45" s="221"/>
      <c r="T45" s="221"/>
      <c r="U45" s="22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87" t="s">
        <v>11</v>
      </c>
      <c r="B46" s="188"/>
      <c r="C46" s="188"/>
      <c r="D46" s="189"/>
      <c r="E46" s="53"/>
      <c r="F46" s="24">
        <v>12.67</v>
      </c>
      <c r="G46" s="187">
        <f>D41</f>
        <v>7810</v>
      </c>
      <c r="H46" s="188"/>
      <c r="I46" s="189"/>
      <c r="J46" s="200">
        <f>G46*F46</f>
        <v>98952.7</v>
      </c>
      <c r="K46" s="201"/>
      <c r="L46" s="208">
        <f>J46</f>
        <v>98952.7</v>
      </c>
      <c r="M46" s="209"/>
      <c r="N46" s="209"/>
      <c r="O46" s="209"/>
      <c r="P46" s="209"/>
      <c r="Q46" s="209"/>
      <c r="R46" s="209"/>
      <c r="S46" s="209"/>
      <c r="T46" s="209"/>
      <c r="U46" s="21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5" t="s">
        <v>13</v>
      </c>
      <c r="B47" s="206"/>
      <c r="C47" s="206"/>
      <c r="D47" s="207"/>
      <c r="E47" s="53"/>
      <c r="F47" s="26">
        <v>8.0277999999999992</v>
      </c>
      <c r="G47" s="202">
        <f>U41</f>
        <v>9683.1000000000022</v>
      </c>
      <c r="H47" s="203"/>
      <c r="I47" s="204"/>
      <c r="J47" s="202">
        <f>G47*F47</f>
        <v>77733.990180000008</v>
      </c>
      <c r="K47" s="204"/>
      <c r="L47" s="211">
        <f>J47</f>
        <v>77733.990180000008</v>
      </c>
      <c r="M47" s="212"/>
      <c r="N47" s="212"/>
      <c r="O47" s="212"/>
      <c r="P47" s="212"/>
      <c r="Q47" s="212"/>
      <c r="R47" s="212"/>
      <c r="S47" s="212"/>
      <c r="T47" s="212"/>
      <c r="U47" s="21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83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26" si="0">IF(AC4&gt;0,((B4-R4)+(S4-B5)),IF(B5=0, ,(B4-B5)))</f>
        <v>5</v>
      </c>
      <c r="D4" s="37">
        <v>72</v>
      </c>
      <c r="E4" s="35">
        <f t="shared" ref="E4:E26" si="1">IF(AC4&gt;0,((D4-U4)+(V4-D5)),IF(D5=0, ,(D4-D5)))</f>
        <v>4</v>
      </c>
      <c r="F4" s="37">
        <v>70</v>
      </c>
      <c r="G4" s="35">
        <f t="shared" ref="G4:G26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0</v>
      </c>
      <c r="D26" s="163">
        <v>75</v>
      </c>
      <c r="E26" s="164">
        <f t="shared" si="1"/>
        <v>0</v>
      </c>
      <c r="F26" s="163">
        <v>68</v>
      </c>
      <c r="G26" s="164">
        <f t="shared" si="2"/>
        <v>0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0</v>
      </c>
      <c r="M26" s="164">
        <f t="shared" si="21"/>
        <v>28000</v>
      </c>
      <c r="N26" s="164">
        <f>L26*M26/100</f>
        <v>0</v>
      </c>
      <c r="O26" s="164">
        <f>N26*0.53</f>
        <v>0</v>
      </c>
      <c r="P26" s="38">
        <f t="shared" si="25"/>
        <v>0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37"/>
      <c r="C27" s="35">
        <f t="shared" ref="C24:C41" si="26">IF(AC27&gt;0,((B27-R27)+(S27-B28)),IF(B28=0, ,(B27-B28)))</f>
        <v>0</v>
      </c>
      <c r="D27" s="37"/>
      <c r="E27" s="35">
        <f t="shared" ref="E24:E41" si="27">IF(AC27&gt;0,((D27-U27)+(V27-D28)),IF(D28=0, ,(D27-D28)))</f>
        <v>0</v>
      </c>
      <c r="F27" s="37"/>
      <c r="G27" s="35">
        <f t="shared" ref="G24:G41" si="28">IF(AC27&gt;0,((F27-X27)+(Y27-F28)),IF(F28=0, ,(F27-F28)))</f>
        <v>0</v>
      </c>
      <c r="H27" s="37"/>
      <c r="I27" s="35">
        <f t="shared" si="17"/>
        <v>0</v>
      </c>
      <c r="J27" s="35">
        <f t="shared" si="18"/>
        <v>0</v>
      </c>
      <c r="K27" s="35">
        <f t="shared" si="19"/>
        <v>0</v>
      </c>
      <c r="L27" s="35">
        <f t="shared" si="20"/>
        <v>0</v>
      </c>
      <c r="M27" s="35">
        <v>28000</v>
      </c>
      <c r="N27" s="35">
        <f t="shared" si="22"/>
        <v>0</v>
      </c>
      <c r="O27" s="35">
        <f t="shared" si="23"/>
        <v>0</v>
      </c>
      <c r="P27" s="38">
        <f t="shared" si="25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si="26"/>
        <v>0</v>
      </c>
      <c r="D28" s="37"/>
      <c r="E28" s="35">
        <f t="shared" si="27"/>
        <v>0</v>
      </c>
      <c r="F28" s="37"/>
      <c r="G28" s="35">
        <f t="shared" si="28"/>
        <v>0</v>
      </c>
      <c r="H28" s="37"/>
      <c r="I28" s="35">
        <f t="shared" si="17"/>
        <v>0</v>
      </c>
      <c r="J28" s="35">
        <f t="shared" si="18"/>
        <v>0</v>
      </c>
      <c r="K28" s="35">
        <f t="shared" si="19"/>
        <v>0</v>
      </c>
      <c r="L28" s="35">
        <f t="shared" si="20"/>
        <v>0</v>
      </c>
      <c r="M28" s="35">
        <f t="shared" si="21"/>
        <v>28000</v>
      </c>
      <c r="N28" s="35">
        <f t="shared" si="22"/>
        <v>0</v>
      </c>
      <c r="O28" s="35">
        <f t="shared" si="23"/>
        <v>0</v>
      </c>
      <c r="P28" s="38">
        <f t="shared" si="25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26"/>
        <v>0</v>
      </c>
      <c r="D29" s="37"/>
      <c r="E29" s="35">
        <f t="shared" si="27"/>
        <v>0</v>
      </c>
      <c r="F29" s="37"/>
      <c r="G29" s="35">
        <f t="shared" si="28"/>
        <v>0</v>
      </c>
      <c r="H29" s="37"/>
      <c r="I29" s="35">
        <f t="shared" si="17"/>
        <v>0</v>
      </c>
      <c r="J29" s="35">
        <f t="shared" si="18"/>
        <v>0</v>
      </c>
      <c r="K29" s="35">
        <f t="shared" si="19"/>
        <v>0</v>
      </c>
      <c r="L29" s="35">
        <f t="shared" si="20"/>
        <v>0</v>
      </c>
      <c r="M29" s="35">
        <f t="shared" si="21"/>
        <v>28000</v>
      </c>
      <c r="N29" s="35">
        <f t="shared" si="22"/>
        <v>0</v>
      </c>
      <c r="O29" s="35">
        <f t="shared" si="23"/>
        <v>0</v>
      </c>
      <c r="P29" s="38">
        <f t="shared" si="25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26"/>
        <v>0</v>
      </c>
      <c r="D30" s="37"/>
      <c r="E30" s="35">
        <f t="shared" si="27"/>
        <v>0</v>
      </c>
      <c r="F30" s="37"/>
      <c r="G30" s="35">
        <f t="shared" si="28"/>
        <v>0</v>
      </c>
      <c r="H30" s="37"/>
      <c r="I30" s="35">
        <f t="shared" si="17"/>
        <v>0</v>
      </c>
      <c r="J30" s="35">
        <f t="shared" si="18"/>
        <v>0</v>
      </c>
      <c r="K30" s="35">
        <f t="shared" si="19"/>
        <v>0</v>
      </c>
      <c r="L30" s="35">
        <f t="shared" si="20"/>
        <v>0</v>
      </c>
      <c r="M30" s="35">
        <f t="shared" si="21"/>
        <v>28000</v>
      </c>
      <c r="N30" s="35">
        <f t="shared" si="22"/>
        <v>0</v>
      </c>
      <c r="O30" s="35">
        <f t="shared" si="23"/>
        <v>0</v>
      </c>
      <c r="P30" s="38">
        <f t="shared" si="25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26"/>
        <v>0</v>
      </c>
      <c r="D31" s="37"/>
      <c r="E31" s="35">
        <f t="shared" si="27"/>
        <v>0</v>
      </c>
      <c r="F31" s="37"/>
      <c r="G31" s="35">
        <f t="shared" si="28"/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65</v>
      </c>
      <c r="D43" s="37"/>
      <c r="E43" s="35">
        <f>SUM(E11:E40)</f>
        <v>61</v>
      </c>
      <c r="F43" s="37"/>
      <c r="G43" s="35">
        <f>SUM(G11:G40)</f>
        <v>70</v>
      </c>
      <c r="H43" s="37"/>
      <c r="I43" s="35">
        <f>SUM(I11:I40)</f>
        <v>65</v>
      </c>
      <c r="J43" s="33"/>
      <c r="K43" s="33"/>
      <c r="L43" s="33"/>
      <c r="M43" s="33"/>
      <c r="N43" s="35">
        <f>SUM(N11:N40)</f>
        <v>18270</v>
      </c>
      <c r="O43" s="35">
        <f>N43*0.53</f>
        <v>9683.1</v>
      </c>
      <c r="P43" s="38">
        <f t="shared" si="25"/>
        <v>77733.990179999993</v>
      </c>
      <c r="Q43" s="266">
        <v>0</v>
      </c>
      <c r="R43" s="266"/>
      <c r="S43" s="267"/>
      <c r="T43" s="266">
        <v>0</v>
      </c>
      <c r="U43" s="266"/>
      <c r="V43" s="267"/>
      <c r="W43" s="266">
        <v>0</v>
      </c>
      <c r="X43" s="266"/>
      <c r="Y43" s="267"/>
      <c r="Z43" s="266">
        <v>0</v>
      </c>
      <c r="AA43" s="266"/>
      <c r="AB43" s="267"/>
      <c r="AC43" s="35">
        <f>SUM(AC11:AC40)</f>
        <v>17052</v>
      </c>
      <c r="AD43" s="33"/>
      <c r="AE43" s="33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33"/>
      <c r="K44" s="33"/>
      <c r="L44" s="33"/>
      <c r="M44" s="33"/>
      <c r="N44" s="33"/>
      <c r="O44" s="33"/>
      <c r="P44" s="33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4" t="s">
        <v>37</v>
      </c>
      <c r="I47" s="275"/>
      <c r="J47" s="276"/>
      <c r="K47" s="45">
        <f>N43</f>
        <v>18270</v>
      </c>
      <c r="L47" s="46">
        <f>O43</f>
        <v>9683.1</v>
      </c>
      <c r="M47" s="46">
        <f>P43</f>
        <v>77733.990179999993</v>
      </c>
    </row>
    <row r="48" spans="1:31" ht="54.75" customHeight="1" thickBot="1" x14ac:dyDescent="0.35">
      <c r="H48" s="263" t="s">
        <v>38</v>
      </c>
      <c r="I48" s="264"/>
      <c r="J48" s="265"/>
      <c r="K48" s="43">
        <f>AC43</f>
        <v>17052</v>
      </c>
      <c r="L48" s="44">
        <f>K48*0.53</f>
        <v>9037.5600000000013</v>
      </c>
      <c r="M48" s="44">
        <f>L48*8.0278</f>
        <v>72551.724168000001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31" si="0">IF(B10&lt;B9,0,B10-B9)*10</f>
        <v>690</v>
      </c>
      <c r="D9" s="62">
        <v>17679100</v>
      </c>
      <c r="E9" s="61">
        <f t="shared" ref="E9:E31" si="1">IF(D10&lt;D9,0,D10-D9)</f>
        <v>5571</v>
      </c>
      <c r="F9" s="62">
        <v>32002464</v>
      </c>
      <c r="G9" s="61">
        <f t="shared" ref="G9:G31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0</v>
      </c>
      <c r="D31" s="167">
        <v>17801476</v>
      </c>
      <c r="E31" s="166">
        <f t="shared" si="1"/>
        <v>0</v>
      </c>
      <c r="F31" s="167">
        <v>32188778</v>
      </c>
      <c r="G31" s="166">
        <f t="shared" si="2"/>
        <v>0</v>
      </c>
      <c r="H31" s="167">
        <v>14220725</v>
      </c>
      <c r="I31" s="61">
        <f t="shared" si="3"/>
        <v>0</v>
      </c>
    </row>
    <row r="32" spans="1:9" ht="21" thickTop="1" thickBot="1" x14ac:dyDescent="0.35">
      <c r="A32" s="59">
        <f t="shared" si="4"/>
        <v>43786</v>
      </c>
      <c r="B32" s="60"/>
      <c r="C32" s="61">
        <f t="shared" ref="C29:C46" si="5">IF(B33&lt;B32,0,B33-B32)*10</f>
        <v>0</v>
      </c>
      <c r="D32" s="62"/>
      <c r="E32" s="61">
        <f t="shared" ref="E29:E46" si="6">IF(D33&lt;D32,0,D33-D32)</f>
        <v>0</v>
      </c>
      <c r="F32" s="62"/>
      <c r="G32" s="61">
        <f t="shared" ref="G29:G46" si="7">IF(F33&lt;F32,0,F33-F32)</f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si="5"/>
        <v>0</v>
      </c>
      <c r="D33" s="62"/>
      <c r="E33" s="61">
        <f t="shared" si="6"/>
        <v>0</v>
      </c>
      <c r="F33" s="62"/>
      <c r="G33" s="61">
        <f t="shared" si="7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6"/>
        <v>0</v>
      </c>
      <c r="F34" s="62"/>
      <c r="G34" s="61">
        <f t="shared" si="7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6"/>
        <v>0</v>
      </c>
      <c r="F35" s="62"/>
      <c r="G35" s="61">
        <f t="shared" si="7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7810</v>
      </c>
      <c r="E48" s="72">
        <f>SUM(E16:E45)</f>
        <v>82086</v>
      </c>
      <c r="F48" s="88"/>
      <c r="G48" s="72">
        <f>SUM(G16:G45)</f>
        <v>120342</v>
      </c>
      <c r="H48" s="88"/>
      <c r="I48" s="72">
        <f>SUM(I16:I45)</f>
        <v>58597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63" priority="2738" stopIfTrue="1" operator="lessThanOrEqual">
      <formula>0</formula>
    </cfRule>
  </conditionalFormatting>
  <conditionalFormatting sqref="C48 E48 G48 I48">
    <cfRule type="cellIs" dxfId="62" priority="2733" stopIfTrue="1" operator="lessThanOrEqual">
      <formula>0</formula>
    </cfRule>
  </conditionalFormatting>
  <conditionalFormatting sqref="C48 E48 G48 I48">
    <cfRule type="cellIs" dxfId="61" priority="2728" stopIfTrue="1" operator="lessThanOrEqual">
      <formula>0</formula>
    </cfRule>
  </conditionalFormatting>
  <conditionalFormatting sqref="C48 E48 G48 I48">
    <cfRule type="cellIs" dxfId="60" priority="2725" stopIfTrue="1" operator="lessThanOrEqual">
      <formula>0</formula>
    </cfRule>
  </conditionalFormatting>
  <conditionalFormatting sqref="C47">
    <cfRule type="cellIs" dxfId="59" priority="296" stopIfTrue="1" operator="lessThanOrEqual">
      <formula>0</formula>
    </cfRule>
  </conditionalFormatting>
  <conditionalFormatting sqref="C47">
    <cfRule type="cellIs" dxfId="58" priority="295" stopIfTrue="1" operator="lessThanOrEqual">
      <formula>0</formula>
    </cfRule>
  </conditionalFormatting>
  <conditionalFormatting sqref="C47">
    <cfRule type="cellIs" dxfId="57" priority="294" stopIfTrue="1" operator="lessThanOrEqual">
      <formula>0</formula>
    </cfRule>
  </conditionalFormatting>
  <conditionalFormatting sqref="C47">
    <cfRule type="cellIs" dxfId="56" priority="293" stopIfTrue="1" operator="lessThanOrEqual">
      <formula>0</formula>
    </cfRule>
  </conditionalFormatting>
  <conditionalFormatting sqref="C32:C46">
    <cfRule type="cellIs" dxfId="55" priority="52" stopIfTrue="1" operator="lessThanOrEqual">
      <formula>0</formula>
    </cfRule>
  </conditionalFormatting>
  <conditionalFormatting sqref="C32:C46">
    <cfRule type="cellIs" dxfId="54" priority="51" stopIfTrue="1" operator="lessThanOrEqual">
      <formula>0</formula>
    </cfRule>
  </conditionalFormatting>
  <conditionalFormatting sqref="C32:C46">
    <cfRule type="cellIs" dxfId="53" priority="50" stopIfTrue="1" operator="lessThanOrEqual">
      <formula>0</formula>
    </cfRule>
  </conditionalFormatting>
  <conditionalFormatting sqref="C32:C46">
    <cfRule type="cellIs" dxfId="52" priority="49" stopIfTrue="1" operator="lessThanOrEqual">
      <formula>0</formula>
    </cfRule>
  </conditionalFormatting>
  <conditionalFormatting sqref="C9">
    <cfRule type="cellIs" dxfId="51" priority="48" stopIfTrue="1" operator="lessThanOrEqual">
      <formula>0</formula>
    </cfRule>
  </conditionalFormatting>
  <conditionalFormatting sqref="C9">
    <cfRule type="cellIs" dxfId="50" priority="47" stopIfTrue="1" operator="lessThanOrEqual">
      <formula>0</formula>
    </cfRule>
  </conditionalFormatting>
  <conditionalFormatting sqref="C9">
    <cfRule type="cellIs" dxfId="49" priority="46" stopIfTrue="1" operator="lessThanOrEqual">
      <formula>0</formula>
    </cfRule>
  </conditionalFormatting>
  <conditionalFormatting sqref="C9">
    <cfRule type="cellIs" dxfId="48" priority="45" stopIfTrue="1" operator="lessThanOrEqual">
      <formula>0</formula>
    </cfRule>
  </conditionalFormatting>
  <conditionalFormatting sqref="C10:C12">
    <cfRule type="cellIs" dxfId="47" priority="44" stopIfTrue="1" operator="lessThanOrEqual">
      <formula>0</formula>
    </cfRule>
  </conditionalFormatting>
  <conditionalFormatting sqref="C10:C12">
    <cfRule type="cellIs" dxfId="46" priority="43" stopIfTrue="1" operator="lessThanOrEqual">
      <formula>0</formula>
    </cfRule>
  </conditionalFormatting>
  <conditionalFormatting sqref="C10:C12">
    <cfRule type="cellIs" dxfId="45" priority="42" stopIfTrue="1" operator="lessThanOrEqual">
      <formula>0</formula>
    </cfRule>
  </conditionalFormatting>
  <conditionalFormatting sqref="C10:C12">
    <cfRule type="cellIs" dxfId="44" priority="41" stopIfTrue="1" operator="lessThanOrEqual">
      <formula>0</formula>
    </cfRule>
  </conditionalFormatting>
  <conditionalFormatting sqref="C13:C14">
    <cfRule type="cellIs" dxfId="43" priority="40" stopIfTrue="1" operator="lessThanOrEqual">
      <formula>0</formula>
    </cfRule>
  </conditionalFormatting>
  <conditionalFormatting sqref="C13:C14">
    <cfRule type="cellIs" dxfId="42" priority="39" stopIfTrue="1" operator="lessThanOrEqual">
      <formula>0</formula>
    </cfRule>
  </conditionalFormatting>
  <conditionalFormatting sqref="C13:C14">
    <cfRule type="cellIs" dxfId="41" priority="38" stopIfTrue="1" operator="lessThanOrEqual">
      <formula>0</formula>
    </cfRule>
  </conditionalFormatting>
  <conditionalFormatting sqref="C13:C14">
    <cfRule type="cellIs" dxfId="40" priority="37" stopIfTrue="1" operator="lessThanOrEqual">
      <formula>0</formula>
    </cfRule>
  </conditionalFormatting>
  <conditionalFormatting sqref="C15:C18">
    <cfRule type="cellIs" dxfId="39" priority="36" stopIfTrue="1" operator="lessThanOrEqual">
      <formula>0</formula>
    </cfRule>
  </conditionalFormatting>
  <conditionalFormatting sqref="C15:C18">
    <cfRule type="cellIs" dxfId="38" priority="35" stopIfTrue="1" operator="lessThanOrEqual">
      <formula>0</formula>
    </cfRule>
  </conditionalFormatting>
  <conditionalFormatting sqref="C15:C18">
    <cfRule type="cellIs" dxfId="37" priority="34" stopIfTrue="1" operator="lessThanOrEqual">
      <formula>0</formula>
    </cfRule>
  </conditionalFormatting>
  <conditionalFormatting sqref="C15:C18">
    <cfRule type="cellIs" dxfId="36" priority="33" stopIfTrue="1" operator="lessThanOrEqual">
      <formula>0</formula>
    </cfRule>
  </conditionalFormatting>
  <conditionalFormatting sqref="C19">
    <cfRule type="cellIs" dxfId="35" priority="32" stopIfTrue="1" operator="lessThanOrEqual">
      <formula>0</formula>
    </cfRule>
  </conditionalFormatting>
  <conditionalFormatting sqref="C19">
    <cfRule type="cellIs" dxfId="34" priority="31" stopIfTrue="1" operator="lessThanOrEqual">
      <formula>0</formula>
    </cfRule>
  </conditionalFormatting>
  <conditionalFormatting sqref="C19">
    <cfRule type="cellIs" dxfId="33" priority="30" stopIfTrue="1" operator="lessThanOrEqual">
      <formula>0</formula>
    </cfRule>
  </conditionalFormatting>
  <conditionalFormatting sqref="C19">
    <cfRule type="cellIs" dxfId="32" priority="29" stopIfTrue="1" operator="lessThanOrEqual">
      <formula>0</formula>
    </cfRule>
  </conditionalFormatting>
  <conditionalFormatting sqref="C20:C22">
    <cfRule type="cellIs" dxfId="31" priority="28" stopIfTrue="1" operator="lessThanOrEqual">
      <formula>0</formula>
    </cfRule>
  </conditionalFormatting>
  <conditionalFormatting sqref="C20:C22">
    <cfRule type="cellIs" dxfId="30" priority="27" stopIfTrue="1" operator="lessThanOrEqual">
      <formula>0</formula>
    </cfRule>
  </conditionalFormatting>
  <conditionalFormatting sqref="C20:C22">
    <cfRule type="cellIs" dxfId="29" priority="26" stopIfTrue="1" operator="lessThanOrEqual">
      <formula>0</formula>
    </cfRule>
  </conditionalFormatting>
  <conditionalFormatting sqref="C20:C22">
    <cfRule type="cellIs" dxfId="28" priority="25" stopIfTrue="1" operator="lessThanOrEqual">
      <formula>0</formula>
    </cfRule>
  </conditionalFormatting>
  <conditionalFormatting sqref="C23">
    <cfRule type="cellIs" dxfId="27" priority="24" stopIfTrue="1" operator="lessThanOrEqual">
      <formula>0</formula>
    </cfRule>
  </conditionalFormatting>
  <conditionalFormatting sqref="C23">
    <cfRule type="cellIs" dxfId="26" priority="23" stopIfTrue="1" operator="lessThanOrEqual">
      <formula>0</formula>
    </cfRule>
  </conditionalFormatting>
  <conditionalFormatting sqref="C23">
    <cfRule type="cellIs" dxfId="25" priority="22" stopIfTrue="1" operator="lessThanOrEqual">
      <formula>0</formula>
    </cfRule>
  </conditionalFormatting>
  <conditionalFormatting sqref="C23">
    <cfRule type="cellIs" dxfId="24" priority="21" stopIfTrue="1" operator="lessThanOrEqual">
      <formula>0</formula>
    </cfRule>
  </conditionalFormatting>
  <conditionalFormatting sqref="C25:C26">
    <cfRule type="cellIs" dxfId="23" priority="20" stopIfTrue="1" operator="lessThanOrEqual">
      <formula>0</formula>
    </cfRule>
  </conditionalFormatting>
  <conditionalFormatting sqref="C25:C26">
    <cfRule type="cellIs" dxfId="22" priority="19" stopIfTrue="1" operator="lessThanOrEqual">
      <formula>0</formula>
    </cfRule>
  </conditionalFormatting>
  <conditionalFormatting sqref="C25:C26">
    <cfRule type="cellIs" dxfId="21" priority="18" stopIfTrue="1" operator="lessThanOrEqual">
      <formula>0</formula>
    </cfRule>
  </conditionalFormatting>
  <conditionalFormatting sqref="C25:C26">
    <cfRule type="cellIs" dxfId="20" priority="17" stopIfTrue="1" operator="lessThanOrEqual">
      <formula>0</formula>
    </cfRule>
  </conditionalFormatting>
  <conditionalFormatting sqref="C24">
    <cfRule type="cellIs" dxfId="19" priority="16" stopIfTrue="1" operator="lessThanOrEqual">
      <formula>0</formula>
    </cfRule>
  </conditionalFormatting>
  <conditionalFormatting sqref="C24">
    <cfRule type="cellIs" dxfId="18" priority="15" stopIfTrue="1" operator="lessThanOrEqual">
      <formula>0</formula>
    </cfRule>
  </conditionalFormatting>
  <conditionalFormatting sqref="C24">
    <cfRule type="cellIs" dxfId="17" priority="14" stopIfTrue="1" operator="lessThanOrEqual">
      <formula>0</formula>
    </cfRule>
  </conditionalFormatting>
  <conditionalFormatting sqref="C24">
    <cfRule type="cellIs" dxfId="16" priority="13" stopIfTrue="1" operator="lessThanOrEqual">
      <formula>0</formula>
    </cfRule>
  </conditionalFormatting>
  <conditionalFormatting sqref="C27">
    <cfRule type="cellIs" dxfId="15" priority="12" stopIfTrue="1" operator="lessThanOrEqual">
      <formula>0</formula>
    </cfRule>
  </conditionalFormatting>
  <conditionalFormatting sqref="C27">
    <cfRule type="cellIs" dxfId="14" priority="11" stopIfTrue="1" operator="lessThanOrEqual">
      <formula>0</formula>
    </cfRule>
  </conditionalFormatting>
  <conditionalFormatting sqref="C27">
    <cfRule type="cellIs" dxfId="13" priority="10" stopIfTrue="1" operator="lessThanOrEqual">
      <formula>0</formula>
    </cfRule>
  </conditionalFormatting>
  <conditionalFormatting sqref="C27">
    <cfRule type="cellIs" dxfId="12" priority="9" stopIfTrue="1" operator="lessThanOrEqual">
      <formula>0</formula>
    </cfRule>
  </conditionalFormatting>
  <conditionalFormatting sqref="C28">
    <cfRule type="cellIs" dxfId="11" priority="8" stopIfTrue="1" operator="lessThanOrEqual">
      <formula>0</formula>
    </cfRule>
  </conditionalFormatting>
  <conditionalFormatting sqref="C28">
    <cfRule type="cellIs" dxfId="10" priority="7" stopIfTrue="1" operator="lessThanOrEqual">
      <formula>0</formula>
    </cfRule>
  </conditionalFormatting>
  <conditionalFormatting sqref="C28">
    <cfRule type="cellIs" dxfId="9" priority="6" stopIfTrue="1" operator="lessThanOrEqual">
      <formula>0</formula>
    </cfRule>
  </conditionalFormatting>
  <conditionalFormatting sqref="C28">
    <cfRule type="cellIs" dxfId="8" priority="5" stopIfTrue="1" operator="lessThanOrEqual">
      <formula>0</formula>
    </cfRule>
  </conditionalFormatting>
  <conditionalFormatting sqref="C29:C31">
    <cfRule type="cellIs" dxfId="7" priority="4" stopIfTrue="1" operator="lessThanOrEqual">
      <formula>0</formula>
    </cfRule>
  </conditionalFormatting>
  <conditionalFormatting sqref="C29:C31">
    <cfRule type="cellIs" dxfId="5" priority="3" stopIfTrue="1" operator="lessThanOrEqual">
      <formula>0</formula>
    </cfRule>
  </conditionalFormatting>
  <conditionalFormatting sqref="C29:C31">
    <cfRule type="cellIs" dxfId="3" priority="2" stopIfTrue="1" operator="lessThanOrEqual">
      <formula>0</formula>
    </cfRule>
  </conditionalFormatting>
  <conditionalFormatting sqref="C29:C3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2019-11-16T11:59:49Z</dcterms:modified>
</cp:coreProperties>
</file>