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Monthly Spread Sheet\"/>
    </mc:Choice>
  </mc:AlternateContent>
  <xr:revisionPtr revIDLastSave="1" documentId="11_B375320C164A1C847CA549FBE11C24A0BE41E756" xr6:coauthVersionLast="47" xr6:coauthVersionMax="47" xr10:uidLastSave="{72C4409D-6433-4B9B-AC58-DF7958128F89}"/>
  <bookViews>
    <workbookView xWindow="0" yWindow="0" windowWidth="20400" windowHeight="8445" tabRatio="620" firstSheet="1" xr2:uid="{00000000-000D-0000-FFFF-FFFF00000000}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02" l="1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F36" i="102"/>
  <c r="F37" i="102"/>
  <c r="F38" i="102"/>
  <c r="D10" i="109" l="1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39" i="109"/>
  <c r="D9" i="109"/>
  <c r="H11" i="106"/>
  <c r="H12" i="106"/>
  <c r="H13" i="106"/>
  <c r="H14" i="106"/>
  <c r="H15" i="106"/>
  <c r="H16" i="106"/>
  <c r="H17" i="106"/>
  <c r="H18" i="106"/>
  <c r="H19" i="106"/>
  <c r="H20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39" i="106"/>
  <c r="H10" i="106"/>
  <c r="H9" i="106"/>
  <c r="G9" i="116"/>
  <c r="H9" i="116" s="1"/>
  <c r="G39" i="116"/>
  <c r="H39" i="116" s="1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39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39" i="116"/>
  <c r="C9" i="116"/>
  <c r="G39" i="109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39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39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39" i="109"/>
  <c r="C9" i="109"/>
  <c r="I38" i="102"/>
  <c r="J38" i="102" s="1"/>
  <c r="G38" i="102"/>
  <c r="K38" i="102" l="1"/>
  <c r="L38" i="102" s="1"/>
  <c r="M38" i="102" s="1"/>
  <c r="E32" i="117"/>
  <c r="G32" i="117"/>
  <c r="I32" i="117"/>
  <c r="J32" i="117"/>
  <c r="K32" i="117"/>
  <c r="M32" i="117"/>
  <c r="N32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F32" i="117" l="1"/>
  <c r="J11" i="106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J16" i="102" s="1"/>
  <c r="I17" i="102"/>
  <c r="J17" i="102" s="1"/>
  <c r="I18" i="102"/>
  <c r="J18" i="102" s="1"/>
  <c r="I19" i="102"/>
  <c r="J19" i="102" s="1"/>
  <c r="I20" i="102"/>
  <c r="J20" i="102" s="1"/>
  <c r="I21" i="102"/>
  <c r="J21" i="102" s="1"/>
  <c r="I22" i="102"/>
  <c r="J22" i="102" s="1"/>
  <c r="I23" i="102"/>
  <c r="J23" i="102" s="1"/>
  <c r="I24" i="102"/>
  <c r="J24" i="102" s="1"/>
  <c r="I25" i="102"/>
  <c r="J25" i="102"/>
  <c r="I26" i="102"/>
  <c r="J26" i="102" s="1"/>
  <c r="I27" i="102"/>
  <c r="J27" i="102" s="1"/>
  <c r="I28" i="102"/>
  <c r="J28" i="102" s="1"/>
  <c r="I29" i="102"/>
  <c r="J29" i="102" s="1"/>
  <c r="I30" i="102"/>
  <c r="J30" i="102" s="1"/>
  <c r="I31" i="102"/>
  <c r="J31" i="102" s="1"/>
  <c r="I32" i="102"/>
  <c r="J32" i="102" s="1"/>
  <c r="I33" i="102"/>
  <c r="J33" i="102" s="1"/>
  <c r="I34" i="102"/>
  <c r="J34" i="102" s="1"/>
  <c r="I35" i="102"/>
  <c r="J35" i="102" s="1"/>
  <c r="I36" i="102"/>
  <c r="J36" i="102" s="1"/>
  <c r="I37" i="102"/>
  <c r="J37" i="102" s="1"/>
  <c r="G17" i="102"/>
  <c r="G23" i="102"/>
  <c r="G25" i="102"/>
  <c r="G28" i="102"/>
  <c r="G30" i="102"/>
  <c r="G34" i="102"/>
  <c r="G37" i="102"/>
  <c r="D40" i="116"/>
  <c r="C40" i="116"/>
  <c r="G38" i="116"/>
  <c r="H38" i="116" s="1"/>
  <c r="I30" i="117"/>
  <c r="I29" i="117"/>
  <c r="I28" i="117"/>
  <c r="G35" i="116"/>
  <c r="H35" i="116" s="1"/>
  <c r="I27" i="117"/>
  <c r="I26" i="117"/>
  <c r="I25" i="117"/>
  <c r="G31" i="116"/>
  <c r="H31" i="116" s="1"/>
  <c r="I23" i="117"/>
  <c r="G30" i="116"/>
  <c r="H30" i="116" s="1"/>
  <c r="I22" i="117"/>
  <c r="G29" i="116"/>
  <c r="H29" i="116" s="1"/>
  <c r="I21" i="117"/>
  <c r="G28" i="116"/>
  <c r="H28" i="116" s="1"/>
  <c r="I20" i="117"/>
  <c r="I19" i="117"/>
  <c r="G26" i="116"/>
  <c r="H26" i="116" s="1"/>
  <c r="I18" i="117"/>
  <c r="G25" i="116"/>
  <c r="H25" i="116" s="1"/>
  <c r="G24" i="116"/>
  <c r="H24" i="116" s="1"/>
  <c r="I16" i="117"/>
  <c r="G23" i="116"/>
  <c r="H23" i="116" s="1"/>
  <c r="I15" i="117"/>
  <c r="G22" i="116"/>
  <c r="H22" i="116" s="1"/>
  <c r="I14" i="117"/>
  <c r="G20" i="116"/>
  <c r="H20" i="116" s="1"/>
  <c r="I12" i="117"/>
  <c r="I11" i="117"/>
  <c r="G18" i="116"/>
  <c r="H18" i="116" s="1"/>
  <c r="G17" i="116"/>
  <c r="H17" i="116" s="1"/>
  <c r="I9" i="117"/>
  <c r="I8" i="117"/>
  <c r="G15" i="116"/>
  <c r="H15" i="116" s="1"/>
  <c r="G14" i="116"/>
  <c r="H14" i="116" s="1"/>
  <c r="I6" i="117"/>
  <c r="I5" i="117"/>
  <c r="G12" i="116"/>
  <c r="H12" i="116" s="1"/>
  <c r="I4" i="117"/>
  <c r="G11" i="116"/>
  <c r="H11" i="116" s="1"/>
  <c r="G10" i="116"/>
  <c r="H10" i="116" s="1"/>
  <c r="I2" i="117"/>
  <c r="J2" i="117"/>
  <c r="J8" i="109"/>
  <c r="J19" i="109" s="1"/>
  <c r="I40" i="106"/>
  <c r="G40" i="106"/>
  <c r="E40" i="106"/>
  <c r="J39" i="106"/>
  <c r="F39" i="106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K10" i="106" s="1"/>
  <c r="L10" i="106" s="1"/>
  <c r="F9" i="106"/>
  <c r="D40" i="109"/>
  <c r="C40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40" i="106"/>
  <c r="D40" i="106"/>
  <c r="I8" i="102"/>
  <c r="J8" i="102" s="1"/>
  <c r="G9" i="102"/>
  <c r="I9" i="102"/>
  <c r="J9" i="102" s="1"/>
  <c r="G10" i="102"/>
  <c r="I10" i="102"/>
  <c r="J10" i="102" s="1"/>
  <c r="I11" i="102"/>
  <c r="J11" i="102" s="1"/>
  <c r="I12" i="102"/>
  <c r="J12" i="102" s="1"/>
  <c r="G13" i="102"/>
  <c r="I13" i="102"/>
  <c r="J13" i="102" s="1"/>
  <c r="I14" i="102"/>
  <c r="J14" i="102" s="1"/>
  <c r="I15" i="102"/>
  <c r="J15" i="102" s="1"/>
  <c r="C39" i="102"/>
  <c r="D39" i="102"/>
  <c r="F40" i="109"/>
  <c r="G10" i="109"/>
  <c r="O40" i="109"/>
  <c r="K18" i="106" l="1"/>
  <c r="L18" i="106" s="1"/>
  <c r="E26" i="117"/>
  <c r="Q43" i="109"/>
  <c r="K30" i="106"/>
  <c r="L30" i="106" s="1"/>
  <c r="I41" i="106"/>
  <c r="E16" i="117"/>
  <c r="E30" i="117"/>
  <c r="K15" i="106"/>
  <c r="L15" i="106" s="1"/>
  <c r="K27" i="106"/>
  <c r="L27" i="106" s="1"/>
  <c r="K38" i="106"/>
  <c r="L38" i="106" s="1"/>
  <c r="E12" i="117"/>
  <c r="E15" i="117"/>
  <c r="E25" i="117"/>
  <c r="E23" i="117"/>
  <c r="E13" i="117"/>
  <c r="K31" i="106"/>
  <c r="L31" i="106" s="1"/>
  <c r="K32" i="106"/>
  <c r="L32" i="106" s="1"/>
  <c r="K39" i="106"/>
  <c r="L39" i="106" s="1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L21" i="106" s="1"/>
  <c r="K33" i="106"/>
  <c r="L33" i="106" s="1"/>
  <c r="K35" i="106"/>
  <c r="L35" i="106" s="1"/>
  <c r="K11" i="106"/>
  <c r="L11" i="106" s="1"/>
  <c r="J40" i="106"/>
  <c r="K17" i="106"/>
  <c r="L17" i="106" s="1"/>
  <c r="K9" i="106"/>
  <c r="L9" i="106" s="1"/>
  <c r="K28" i="106"/>
  <c r="L28" i="106" s="1"/>
  <c r="K16" i="106"/>
  <c r="L16" i="106" s="1"/>
  <c r="K13" i="106"/>
  <c r="L13" i="106" s="1"/>
  <c r="K23" i="106"/>
  <c r="L23" i="106" s="1"/>
  <c r="K29" i="106"/>
  <c r="L29" i="106" s="1"/>
  <c r="K36" i="106"/>
  <c r="L36" i="106" s="1"/>
  <c r="K25" i="106"/>
  <c r="L25" i="106" s="1"/>
  <c r="K37" i="106"/>
  <c r="L37" i="106" s="1"/>
  <c r="L11" i="117"/>
  <c r="K12" i="106"/>
  <c r="L12" i="106" s="1"/>
  <c r="G16" i="116"/>
  <c r="H16" i="116" s="1"/>
  <c r="G13" i="116"/>
  <c r="H13" i="116" s="1"/>
  <c r="G19" i="116"/>
  <c r="H19" i="116" s="1"/>
  <c r="G21" i="116"/>
  <c r="H21" i="116" s="1"/>
  <c r="G27" i="116"/>
  <c r="H27" i="116" s="1"/>
  <c r="K37" i="102"/>
  <c r="L37" i="102" s="1"/>
  <c r="M37" i="102" s="1"/>
  <c r="E9" i="117"/>
  <c r="G22" i="102"/>
  <c r="K22" i="102" s="1"/>
  <c r="L22" i="102" s="1"/>
  <c r="M22" i="102" s="1"/>
  <c r="E5" i="117"/>
  <c r="E21" i="117"/>
  <c r="K10" i="102"/>
  <c r="L10" i="102" s="1"/>
  <c r="M10" i="102" s="1"/>
  <c r="E31" i="117"/>
  <c r="J33" i="109"/>
  <c r="J11" i="109"/>
  <c r="J27" i="109"/>
  <c r="J28" i="109"/>
  <c r="J13" i="109"/>
  <c r="M8" i="109"/>
  <c r="M13" i="109" s="1"/>
  <c r="J26" i="109"/>
  <c r="E14" i="117"/>
  <c r="E20" i="117"/>
  <c r="E29" i="117"/>
  <c r="E6" i="117"/>
  <c r="K25" i="102"/>
  <c r="L25" i="102" s="1"/>
  <c r="M25" i="102" s="1"/>
  <c r="K34" i="102"/>
  <c r="L34" i="102" s="1"/>
  <c r="M34" i="102" s="1"/>
  <c r="E18" i="117"/>
  <c r="E27" i="117"/>
  <c r="G26" i="102"/>
  <c r="K26" i="102" s="1"/>
  <c r="L26" i="102" s="1"/>
  <c r="M26" i="102" s="1"/>
  <c r="G20" i="102"/>
  <c r="K20" i="102" s="1"/>
  <c r="L20" i="102" s="1"/>
  <c r="M20" i="102" s="1"/>
  <c r="K9" i="102"/>
  <c r="L9" i="102" s="1"/>
  <c r="M9" i="102" s="1"/>
  <c r="J14" i="109"/>
  <c r="J12" i="109"/>
  <c r="K22" i="106"/>
  <c r="L22" i="106" s="1"/>
  <c r="G32" i="116"/>
  <c r="H32" i="116" s="1"/>
  <c r="G36" i="116"/>
  <c r="H36" i="116" s="1"/>
  <c r="G35" i="102"/>
  <c r="K35" i="102" s="1"/>
  <c r="L35" i="102" s="1"/>
  <c r="M35" i="102" s="1"/>
  <c r="G33" i="102"/>
  <c r="K33" i="102" s="1"/>
  <c r="L33" i="102" s="1"/>
  <c r="M33" i="102" s="1"/>
  <c r="E17" i="117"/>
  <c r="K30" i="102"/>
  <c r="L30" i="102" s="1"/>
  <c r="M30" i="102" s="1"/>
  <c r="K34" i="106"/>
  <c r="L34" i="106" s="1"/>
  <c r="K26" i="106"/>
  <c r="L26" i="106" s="1"/>
  <c r="K23" i="102"/>
  <c r="L23" i="102" s="1"/>
  <c r="M23" i="102" s="1"/>
  <c r="J20" i="109"/>
  <c r="F40" i="116"/>
  <c r="J24" i="109"/>
  <c r="K13" i="102"/>
  <c r="L13" i="102" s="1"/>
  <c r="M13" i="102" s="1"/>
  <c r="E2" i="117"/>
  <c r="J16" i="109"/>
  <c r="J31" i="109"/>
  <c r="J9" i="109"/>
  <c r="J38" i="109"/>
  <c r="J32" i="109"/>
  <c r="J37" i="109"/>
  <c r="J10" i="109"/>
  <c r="J17" i="109"/>
  <c r="J30" i="109"/>
  <c r="E8" i="117"/>
  <c r="E7" i="117"/>
  <c r="K19" i="106"/>
  <c r="L19" i="106" s="1"/>
  <c r="K24" i="106"/>
  <c r="L24" i="106" s="1"/>
  <c r="G33" i="116"/>
  <c r="H33" i="116" s="1"/>
  <c r="G37" i="116"/>
  <c r="H37" i="116" s="1"/>
  <c r="E22" i="117"/>
  <c r="G24" i="102"/>
  <c r="K24" i="102" s="1"/>
  <c r="L24" i="102" s="1"/>
  <c r="M24" i="102" s="1"/>
  <c r="K17" i="102"/>
  <c r="L17" i="102" s="1"/>
  <c r="M17" i="102" s="1"/>
  <c r="P8" i="109"/>
  <c r="J18" i="109"/>
  <c r="J25" i="109"/>
  <c r="J21" i="109"/>
  <c r="G8" i="102"/>
  <c r="K8" i="102" s="1"/>
  <c r="L8" i="102" s="1"/>
  <c r="M8" i="102" s="1"/>
  <c r="J29" i="109"/>
  <c r="J36" i="109"/>
  <c r="J22" i="109"/>
  <c r="J35" i="109"/>
  <c r="J15" i="109"/>
  <c r="J34" i="109"/>
  <c r="J23" i="109"/>
  <c r="G15" i="102"/>
  <c r="K15" i="102" s="1"/>
  <c r="L15" i="102" s="1"/>
  <c r="M15" i="102" s="1"/>
  <c r="G11" i="102"/>
  <c r="K11" i="102" s="1"/>
  <c r="L11" i="102" s="1"/>
  <c r="M11" i="102" s="1"/>
  <c r="E4" i="117"/>
  <c r="E3" i="117"/>
  <c r="K14" i="106"/>
  <c r="L14" i="106" s="1"/>
  <c r="K20" i="106"/>
  <c r="L20" i="106" s="1"/>
  <c r="G34" i="116"/>
  <c r="H34" i="116" s="1"/>
  <c r="G29" i="102"/>
  <c r="K29" i="102" s="1"/>
  <c r="L29" i="102" s="1"/>
  <c r="M29" i="102" s="1"/>
  <c r="G27" i="102"/>
  <c r="K27" i="102" s="1"/>
  <c r="L27" i="102" s="1"/>
  <c r="M27" i="102" s="1"/>
  <c r="G19" i="102"/>
  <c r="K19" i="102" s="1"/>
  <c r="L19" i="102" s="1"/>
  <c r="M19" i="102" s="1"/>
  <c r="E10" i="117"/>
  <c r="L23" i="117"/>
  <c r="L3" i="117"/>
  <c r="M29" i="109"/>
  <c r="K28" i="102"/>
  <c r="L28" i="102" s="1"/>
  <c r="M28" i="102" s="1"/>
  <c r="F39" i="102"/>
  <c r="E24" i="117"/>
  <c r="E19" i="117"/>
  <c r="G18" i="102"/>
  <c r="K18" i="102" s="1"/>
  <c r="L18" i="102" s="1"/>
  <c r="M18" i="102" s="1"/>
  <c r="G14" i="102"/>
  <c r="K14" i="102" s="1"/>
  <c r="L14" i="102" s="1"/>
  <c r="M14" i="102" s="1"/>
  <c r="G12" i="102"/>
  <c r="K12" i="102" s="1"/>
  <c r="L12" i="102" s="1"/>
  <c r="M12" i="102" s="1"/>
  <c r="G36" i="102"/>
  <c r="K36" i="102" s="1"/>
  <c r="L36" i="102" s="1"/>
  <c r="M36" i="102" s="1"/>
  <c r="G32" i="102"/>
  <c r="K32" i="102" s="1"/>
  <c r="L32" i="102" s="1"/>
  <c r="M32" i="102" s="1"/>
  <c r="E11" i="117"/>
  <c r="I39" i="102"/>
  <c r="E28" i="117"/>
  <c r="G31" i="102"/>
  <c r="K31" i="102" s="1"/>
  <c r="L31" i="102" s="1"/>
  <c r="M31" i="102" s="1"/>
  <c r="G21" i="102"/>
  <c r="K21" i="102" s="1"/>
  <c r="L21" i="102" s="1"/>
  <c r="M21" i="102" s="1"/>
  <c r="G16" i="102"/>
  <c r="K16" i="102" s="1"/>
  <c r="L16" i="102" s="1"/>
  <c r="M16" i="102" s="1"/>
  <c r="H40" i="116" l="1"/>
  <c r="F17" i="117"/>
  <c r="L8" i="117"/>
  <c r="L25" i="117"/>
  <c r="L10" i="117"/>
  <c r="L21" i="117"/>
  <c r="L20" i="117"/>
  <c r="L31" i="117"/>
  <c r="L2" i="117"/>
  <c r="L3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P39" i="109"/>
  <c r="Q39" i="109" s="1"/>
  <c r="R39" i="109" s="1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40" i="106"/>
  <c r="O40" i="106" s="1"/>
  <c r="L7" i="117"/>
  <c r="L18" i="117"/>
  <c r="J12" i="117"/>
  <c r="F13" i="117"/>
  <c r="F16" i="117"/>
  <c r="F3" i="117"/>
  <c r="F4" i="117"/>
  <c r="F5" i="117"/>
  <c r="F20" i="117"/>
  <c r="F9" i="117"/>
  <c r="F29" i="117"/>
  <c r="M38" i="109"/>
  <c r="M23" i="109"/>
  <c r="M33" i="109"/>
  <c r="P37" i="109"/>
  <c r="M32" i="109"/>
  <c r="M11" i="109"/>
  <c r="M37" i="109"/>
  <c r="M10" i="109"/>
  <c r="M22" i="109"/>
  <c r="M20" i="109"/>
  <c r="F7" i="117"/>
  <c r="F14" i="117"/>
  <c r="F27" i="117"/>
  <c r="F23" i="117"/>
  <c r="F19" i="117"/>
  <c r="F28" i="117"/>
  <c r="F24" i="117"/>
  <c r="F18" i="117"/>
  <c r="P30" i="109"/>
  <c r="P33" i="109"/>
  <c r="P18" i="109"/>
  <c r="P23" i="109"/>
  <c r="P31" i="109"/>
  <c r="Q31" i="109" s="1"/>
  <c r="R31" i="109" s="1"/>
  <c r="P32" i="109"/>
  <c r="P10" i="109"/>
  <c r="P11" i="109"/>
  <c r="P24" i="109"/>
  <c r="Q24" i="109" s="1"/>
  <c r="R24" i="109" s="1"/>
  <c r="P14" i="109"/>
  <c r="P13" i="109"/>
  <c r="Q13" i="109" s="1"/>
  <c r="R13" i="109" s="1"/>
  <c r="P28" i="109"/>
  <c r="Q28" i="109" s="1"/>
  <c r="R28" i="109" s="1"/>
  <c r="P25" i="109"/>
  <c r="P27" i="109"/>
  <c r="P36" i="109"/>
  <c r="P17" i="109"/>
  <c r="P9" i="109"/>
  <c r="Q9" i="109" s="1"/>
  <c r="R9" i="109" s="1"/>
  <c r="P12" i="109"/>
  <c r="P16" i="109"/>
  <c r="P22" i="109"/>
  <c r="P38" i="109"/>
  <c r="P26" i="109"/>
  <c r="P19" i="109"/>
  <c r="J27" i="117"/>
  <c r="P15" i="109"/>
  <c r="P29" i="109"/>
  <c r="Q29" i="109" s="1"/>
  <c r="R29" i="109" s="1"/>
  <c r="L27" i="117"/>
  <c r="F21" i="117"/>
  <c r="J29" i="117"/>
  <c r="J26" i="117"/>
  <c r="F11" i="117"/>
  <c r="P35" i="109"/>
  <c r="Q21" i="109"/>
  <c r="R21" i="109" s="1"/>
  <c r="P20" i="109"/>
  <c r="P34" i="109"/>
  <c r="Q34" i="109" s="1"/>
  <c r="R34" i="109" s="1"/>
  <c r="J30" i="117"/>
  <c r="J25" i="117"/>
  <c r="F12" i="117"/>
  <c r="F2" i="117"/>
  <c r="L39" i="102"/>
  <c r="F26" i="117"/>
  <c r="F30" i="117"/>
  <c r="F6" i="117"/>
  <c r="K40" i="102"/>
  <c r="F10" i="117"/>
  <c r="F15" i="117"/>
  <c r="F25" i="117"/>
  <c r="F8" i="117"/>
  <c r="F22" i="117"/>
  <c r="Q20" i="109" l="1"/>
  <c r="R20" i="109" s="1"/>
  <c r="Q32" i="109"/>
  <c r="R32" i="109" s="1"/>
  <c r="Q26" i="109"/>
  <c r="R26" i="109" s="1"/>
  <c r="Q17" i="109"/>
  <c r="R17" i="109" s="1"/>
  <c r="Q35" i="109"/>
  <c r="R35" i="109" s="1"/>
  <c r="Q14" i="109"/>
  <c r="R14" i="109" s="1"/>
  <c r="Q19" i="109"/>
  <c r="R19" i="109" s="1"/>
  <c r="Q16" i="109"/>
  <c r="R16" i="109" s="1"/>
  <c r="Q38" i="109"/>
  <c r="R38" i="109" s="1"/>
  <c r="Q12" i="109"/>
  <c r="R12" i="109" s="1"/>
  <c r="Q36" i="109"/>
  <c r="R36" i="109" s="1"/>
  <c r="Q18" i="109"/>
  <c r="R18" i="109" s="1"/>
  <c r="Q22" i="109"/>
  <c r="R22" i="109" s="1"/>
  <c r="Q33" i="109"/>
  <c r="R33" i="109" s="1"/>
  <c r="H32" i="117"/>
  <c r="Q15" i="109"/>
  <c r="R15" i="109" s="1"/>
  <c r="Q27" i="109"/>
  <c r="R27" i="109" s="1"/>
  <c r="Q25" i="109"/>
  <c r="R25" i="109" s="1"/>
  <c r="Q30" i="109"/>
  <c r="R30" i="109" s="1"/>
  <c r="Q23" i="109"/>
  <c r="R23" i="109" s="1"/>
  <c r="Q11" i="109"/>
  <c r="R11" i="109" s="1"/>
  <c r="Q10" i="109"/>
  <c r="R10" i="109" s="1"/>
  <c r="Q37" i="109"/>
  <c r="R37" i="109" s="1"/>
  <c r="H21" i="117"/>
  <c r="H4" i="117"/>
  <c r="H9" i="117"/>
  <c r="H6" i="117"/>
  <c r="H11" i="117"/>
  <c r="H19" i="117"/>
  <c r="H7" i="117"/>
  <c r="H22" i="117"/>
  <c r="H2" i="117"/>
  <c r="H24" i="117"/>
  <c r="H13" i="117"/>
  <c r="H27" i="117"/>
  <c r="H15" i="117"/>
  <c r="H14" i="117"/>
  <c r="H5" i="117"/>
  <c r="H25" i="117"/>
  <c r="H17" i="117"/>
  <c r="M39" i="102"/>
  <c r="P39" i="102" s="1"/>
  <c r="H28" i="117" l="1"/>
  <c r="H29" i="117"/>
  <c r="H10" i="117"/>
  <c r="H12" i="117"/>
  <c r="H26" i="117"/>
  <c r="H31" i="117"/>
  <c r="H16" i="117"/>
  <c r="H8" i="117"/>
  <c r="H18" i="117"/>
  <c r="H20" i="117"/>
  <c r="H23" i="117"/>
  <c r="R40" i="109"/>
  <c r="U40" i="109" s="1"/>
  <c r="H30" i="117"/>
  <c r="H3" i="117"/>
</calcChain>
</file>

<file path=xl/sharedStrings.xml><?xml version="1.0" encoding="utf-8"?>
<sst xmlns="http://schemas.openxmlformats.org/spreadsheetml/2006/main" count="119" uniqueCount="59">
  <si>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</si>
  <si>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</si>
  <si>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</si>
  <si>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</si>
  <si>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</si>
  <si>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</si>
  <si>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</si>
  <si>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</si>
  <si>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</si>
  <si>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</si>
  <si>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</si>
  <si>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</si>
  <si>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</si>
  <si>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</si>
  <si>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</si>
  <si>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</si>
  <si>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</si>
  <si>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</si>
  <si>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</si>
  <si>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</si>
  <si>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</si>
  <si>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</si>
  <si>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</si>
  <si>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</si>
  <si>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</si>
  <si>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</si>
  <si>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</si>
  <si>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</si>
  <si>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</si>
  <si>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>RNs &amp; Food Cover is based on actual November &amp; forecasting December 2020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</si>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</sst>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  <numFmt numFmtId="167" formatCode="[$$-409]#,##0.00"/>
    <numFmt numFmtId="168" formatCode="[$IDR]\ #,##0_);\([$IDR]\ #,##0\)"/>
  </numFmts>
  <fonts count="16">
    <font>
      <sz val="10"/>
      <name val="Arial"/>
    </font>
    <font>
      <sz val="10"/>
      <name val="Arial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shrinkToFit="1"/>
    </xf>
    <xf numFmtId="43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shrinkToFit="1"/>
    </xf>
    <xf numFmtId="43" fontId="3" fillId="0" borderId="0" xfId="1" applyFont="1" applyFill="1" applyBorder="1" applyAlignment="1">
      <alignment horizontal="center" shrinkToFit="1"/>
    </xf>
    <xf numFmtId="43" fontId="4" fillId="0" borderId="1" xfId="1" applyFont="1" applyFill="1" applyBorder="1" applyAlignment="1">
      <alignment horizontal="center" shrinkToFit="1"/>
    </xf>
    <xf numFmtId="165" fontId="4" fillId="0" borderId="1" xfId="1" applyNumberFormat="1" applyFont="1" applyFill="1" applyBorder="1" applyAlignment="1">
      <alignment horizontal="center" shrinkToFit="1"/>
    </xf>
    <xf numFmtId="164" fontId="3" fillId="0" borderId="1" xfId="0" applyNumberFormat="1" applyFont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1" fontId="4" fillId="0" borderId="1" xfId="2" applyFont="1" applyFill="1" applyBorder="1" applyAlignment="1">
      <alignment horizontal="center" vertical="center" shrinkToFit="1"/>
    </xf>
    <xf numFmtId="43" fontId="3" fillId="0" borderId="0" xfId="1" applyFont="1" applyFill="1" applyBorder="1" applyAlignment="1">
      <alignment horizontal="center" vertical="center" shrinkToFit="1"/>
    </xf>
    <xf numFmtId="41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5" fontId="3" fillId="0" borderId="1" xfId="1" applyNumberFormat="1" applyFont="1" applyFill="1" applyBorder="1" applyAlignment="1">
      <alignment horizontal="center" shrinkToFit="1"/>
    </xf>
    <xf numFmtId="43" fontId="2" fillId="0" borderId="0" xfId="1" applyFont="1" applyFill="1" applyBorder="1" applyAlignment="1">
      <alignment shrinkToFit="1"/>
    </xf>
    <xf numFmtId="165" fontId="3" fillId="0" borderId="0" xfId="1" applyNumberFormat="1" applyFont="1" applyFill="1" applyBorder="1" applyAlignment="1">
      <alignment horizontal="center" shrinkToFit="1"/>
    </xf>
    <xf numFmtId="43" fontId="14" fillId="0" borderId="1" xfId="1" applyFont="1" applyBorder="1"/>
    <xf numFmtId="43" fontId="0" fillId="0" borderId="0" xfId="1" applyFont="1" applyAlignment="1">
      <alignment horizontal="center" vertical="center"/>
    </xf>
    <xf numFmtId="2" fontId="4" fillId="0" borderId="0" xfId="0" applyNumberFormat="1" applyFont="1" applyAlignment="1">
      <alignment horizontal="center" shrinkToFit="1"/>
    </xf>
    <xf numFmtId="43" fontId="4" fillId="0" borderId="0" xfId="1" applyFont="1" applyFill="1" applyBorder="1" applyAlignment="1">
      <alignment horizontal="center" shrinkToFit="1"/>
    </xf>
    <xf numFmtId="165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165" fontId="5" fillId="0" borderId="0" xfId="1" applyNumberFormat="1" applyFont="1" applyAlignment="1">
      <alignment vertical="center"/>
    </xf>
    <xf numFmtId="165" fontId="0" fillId="0" borderId="0" xfId="1" applyNumberFormat="1" applyFont="1" applyAlignment="1">
      <alignment horizontal="center"/>
    </xf>
    <xf numFmtId="165" fontId="11" fillId="0" borderId="1" xfId="5" applyNumberFormat="1" applyFont="1" applyBorder="1"/>
    <xf numFmtId="44" fontId="0" fillId="0" borderId="0" xfId="0" applyNumberFormat="1"/>
    <xf numFmtId="165" fontId="2" fillId="0" borderId="0" xfId="1" applyNumberFormat="1" applyFont="1" applyFill="1" applyBorder="1" applyAlignment="1">
      <alignment horizontal="center" shrinkToFit="1"/>
    </xf>
    <xf numFmtId="44" fontId="0" fillId="0" borderId="0" xfId="6" applyFont="1"/>
    <xf numFmtId="165" fontId="3" fillId="0" borderId="0" xfId="1" applyNumberFormat="1" applyFont="1" applyFill="1" applyBorder="1" applyAlignment="1">
      <alignment horizontal="center" vertical="center" shrinkToFit="1"/>
    </xf>
    <xf numFmtId="41" fontId="0" fillId="0" borderId="0" xfId="0" applyNumberFormat="1"/>
    <xf numFmtId="41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165" fontId="2" fillId="0" borderId="0" xfId="1" applyNumberFormat="1" applyFont="1" applyAlignment="1">
      <alignment horizontal="center"/>
    </xf>
    <xf numFmtId="167" fontId="0" fillId="0" borderId="0" xfId="0" applyNumberFormat="1"/>
    <xf numFmtId="166" fontId="2" fillId="0" borderId="0" xfId="2" applyNumberFormat="1" applyFont="1" applyFill="1" applyBorder="1" applyAlignment="1">
      <alignment shrinkToFit="1"/>
    </xf>
    <xf numFmtId="41" fontId="2" fillId="0" borderId="0" xfId="2" applyFont="1" applyFill="1" applyBorder="1" applyAlignment="1">
      <alignment horizontal="center" shrinkToFit="1"/>
    </xf>
    <xf numFmtId="0" fontId="5" fillId="0" borderId="0" xfId="0" applyFont="1"/>
    <xf numFmtId="166" fontId="7" fillId="0" borderId="0" xfId="2" applyNumberFormat="1" applyFont="1" applyFill="1" applyBorder="1" applyAlignment="1">
      <alignment shrinkToFit="1"/>
    </xf>
    <xf numFmtId="44" fontId="7" fillId="0" borderId="0" xfId="2" applyNumberFormat="1" applyFont="1" applyFill="1" applyBorder="1" applyAlignment="1">
      <alignment shrinkToFit="1"/>
    </xf>
    <xf numFmtId="168" fontId="2" fillId="0" borderId="0" xfId="2" applyNumberFormat="1" applyFont="1" applyFill="1" applyBorder="1" applyAlignment="1">
      <alignment shrinkToFit="1"/>
    </xf>
    <xf numFmtId="167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44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7" fontId="0" fillId="0" borderId="2" xfId="0" applyNumberFormat="1" applyBorder="1"/>
    <xf numFmtId="167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3" fontId="3" fillId="0" borderId="0" xfId="1" applyFont="1" applyFill="1" applyBorder="1" applyAlignment="1">
      <alignment horizontal="center" shrinkToFit="1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</cellXfs>
  <cellStyles count="14">
    <cellStyle name="Comma" xfId="1" builtinId="3"/>
    <cellStyle name="Comma [0]" xfId="2" builtinId="6"/>
    <cellStyle name="Comma 2" xfId="3" xr:uid="{00000000-0005-0000-0000-000002000000}"/>
    <cellStyle name="Comma 3" xfId="4" xr:uid="{00000000-0005-0000-0000-000003000000}"/>
    <cellStyle name="Comma 4" xfId="5" xr:uid="{00000000-0005-0000-0000-000004000000}"/>
    <cellStyle name="Currency" xfId="6" builtinId="4"/>
    <cellStyle name="Currency 2" xfId="7" xr:uid="{00000000-0005-0000-0000-000006000000}"/>
    <cellStyle name="Currency 3" xfId="8" xr:uid="{00000000-0005-0000-0000-000007000000}"/>
    <cellStyle name="Normal" xfId="0" builtinId="0"/>
    <cellStyle name="Normal 2" xfId="9" xr:uid="{00000000-0005-0000-0000-000009000000}"/>
    <cellStyle name="Normal 3" xfId="10" xr:uid="{00000000-0005-0000-0000-00000A000000}"/>
    <cellStyle name="Percent 2" xfId="11" xr:uid="{00000000-0005-0000-0000-00000B000000}"/>
    <cellStyle name="Percent 3" xfId="12" xr:uid="{00000000-0005-0000-0000-00000C000000}"/>
    <cellStyle name="Percent 4" xfId="13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43792</xdr:colOff>
      <xdr:row>43</xdr:row>
      <xdr:rowOff>0</xdr:rowOff>
    </xdr:from>
    <xdr:to>
      <xdr:col>14</xdr:col>
      <xdr:colOff>150209</xdr:colOff>
      <xdr:row>48</xdr:row>
      <xdr:rowOff>1708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964" y="9108966"/>
          <a:ext cx="10058400" cy="8205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P1" sqref="P1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.75">
      <c r="A1" s="54" t="s">
        <v>0</v>
      </c>
      <c r="B1" s="54" t="s">
        <v>1</v>
      </c>
      <c r="C1" s="55" t="s">
        <v>2</v>
      </c>
      <c r="D1" s="54" t="s">
        <v>3</v>
      </c>
      <c r="E1" s="56" t="s">
        <v>4</v>
      </c>
      <c r="F1" s="57" t="s">
        <v>5</v>
      </c>
      <c r="G1" s="56" t="s">
        <v>6</v>
      </c>
      <c r="H1" s="57" t="s">
        <v>7</v>
      </c>
      <c r="I1" s="56" t="s">
        <v>8</v>
      </c>
      <c r="J1" s="57" t="s">
        <v>9</v>
      </c>
      <c r="K1" s="56" t="s">
        <v>10</v>
      </c>
      <c r="L1" s="58" t="s">
        <v>11</v>
      </c>
      <c r="M1" s="56" t="s">
        <v>12</v>
      </c>
      <c r="N1" s="56" t="s">
        <v>13</v>
      </c>
    </row>
    <row r="2" spans="1:14" ht="15">
      <c r="A2" s="59" t="s">
        <v>14</v>
      </c>
      <c r="B2" s="60">
        <v>1</v>
      </c>
      <c r="C2" s="61">
        <v>1</v>
      </c>
      <c r="D2" s="60">
        <v>2021</v>
      </c>
      <c r="E2" s="62">
        <f>Electricity!F8+Electricity!I8</f>
        <v>8239.99999999998</v>
      </c>
      <c r="F2" s="63">
        <f>Electricity!L8/TOTAL!E2</f>
        <v>1223.3728762135925</v>
      </c>
      <c r="G2" s="62">
        <f>Gas!F9+Gas!I9+Gas!L9+Gas!O9</f>
        <v>107.51374465485644</v>
      </c>
      <c r="H2" s="63">
        <f>Gas!Q9/TOTAL!G2</f>
        <v>10630</v>
      </c>
      <c r="I2" s="62">
        <f>'Fuel Diesel'!F9</f>
        <v>0</v>
      </c>
      <c r="J2" s="64" t="e">
        <f>'Fuel Diesel'!G9/'Fuel Diesel'!F9</f>
        <v>#DIV/0!</v>
      </c>
      <c r="K2" s="62">
        <f>Water!E9+Water!G9+Water!I9</f>
        <v>551</v>
      </c>
      <c r="L2" s="63">
        <f>Water!K9/TOTAL!K2</f>
        <v>4000</v>
      </c>
      <c r="M2" s="62">
        <f>Electricity!C8</f>
        <v>13</v>
      </c>
      <c r="N2" s="62">
        <f>Electricity!D8</f>
        <v>88</v>
      </c>
    </row>
    <row r="3" spans="1:14" ht="15">
      <c r="A3" s="59" t="s">
        <v>14</v>
      </c>
      <c r="B3" s="60">
        <f>B2+1</f>
        <v>2</v>
      </c>
      <c r="C3" s="61">
        <v>1</v>
      </c>
      <c r="D3" s="60">
        <v>2021</v>
      </c>
      <c r="E3" s="62">
        <f>Electricity!F9+Electricity!I9</f>
        <v>7319.9999999999645</v>
      </c>
      <c r="F3" s="63">
        <f>Electricity!L9/TOTAL!E3</f>
        <v>1229.3025956284157</v>
      </c>
      <c r="G3" s="62">
        <f>Gas!F10+Gas!I10+Gas!L10+Gas!O10</f>
        <v>98.96151496640195</v>
      </c>
      <c r="H3" s="63">
        <f>Gas!Q10/TOTAL!G3</f>
        <v>10630</v>
      </c>
      <c r="I3" s="62">
        <f>'Fuel Diesel'!F10</f>
        <v>0</v>
      </c>
      <c r="J3" s="64" t="e">
        <f>'Fuel Diesel'!G10/'Fuel Diesel'!F10</f>
        <v>#DIV/0!</v>
      </c>
      <c r="K3" s="62">
        <f>Water!E10+Water!G10+Water!I10</f>
        <v>361</v>
      </c>
      <c r="L3" s="63">
        <f>Water!K10/TOTAL!K3</f>
        <v>4000</v>
      </c>
      <c r="M3" s="62">
        <f>Electricity!C9</f>
        <v>14</v>
      </c>
      <c r="N3" s="62">
        <f>Electricity!D9</f>
        <v>81</v>
      </c>
    </row>
    <row r="4" spans="1:14" ht="15">
      <c r="A4" s="59" t="s">
        <v>14</v>
      </c>
      <c r="B4" s="60">
        <f t="shared" ref="B4:B32" si="0">B3+1</f>
        <v>3</v>
      </c>
      <c r="C4" s="61">
        <v>1</v>
      </c>
      <c r="D4" s="60">
        <v>2021</v>
      </c>
      <c r="E4" s="62">
        <f>Electricity!F10+Electricity!I10</f>
        <v>7740.0000000000091</v>
      </c>
      <c r="F4" s="63">
        <f>Electricity!L10/TOTAL!E4</f>
        <v>1230.2917312661507</v>
      </c>
      <c r="G4" s="62">
        <f>Gas!F11+Gas!I11+Gas!L11+Gas!O11</f>
        <v>153.94013439218082</v>
      </c>
      <c r="H4" s="63">
        <f>Gas!Q11/TOTAL!G4</f>
        <v>10630</v>
      </c>
      <c r="I4" s="62">
        <f>'Fuel Diesel'!F11</f>
        <v>0</v>
      </c>
      <c r="J4" s="64" t="e">
        <f>'Fuel Diesel'!G11/'Fuel Diesel'!F11</f>
        <v>#DIV/0!</v>
      </c>
      <c r="K4" s="62">
        <f>Water!E11+Water!G11+Water!I11</f>
        <v>320</v>
      </c>
      <c r="L4" s="63">
        <f>Water!K11/TOTAL!K4</f>
        <v>4000</v>
      </c>
      <c r="M4" s="62">
        <f>Electricity!C10</f>
        <v>23</v>
      </c>
      <c r="N4" s="62">
        <f>Electricity!D10</f>
        <v>126</v>
      </c>
    </row>
    <row r="5" spans="1:14" ht="15">
      <c r="A5" s="59" t="s">
        <v>14</v>
      </c>
      <c r="B5" s="60">
        <f t="shared" si="0"/>
        <v>4</v>
      </c>
      <c r="C5" s="61">
        <v>1</v>
      </c>
      <c r="D5" s="60">
        <v>2021</v>
      </c>
      <c r="E5" s="62">
        <f>Electricity!F11+Electricity!I11</f>
        <v>7280.0000000000582</v>
      </c>
      <c r="F5" s="63">
        <f>Electricity!L11/TOTAL!E5</f>
        <v>1234.4923763736258</v>
      </c>
      <c r="G5" s="62">
        <f>Gas!F12+Gas!I12+Gas!L12+Gas!O12</f>
        <v>134.39218081857055</v>
      </c>
      <c r="H5" s="63">
        <f>Gas!Q12/TOTAL!G5</f>
        <v>10630</v>
      </c>
      <c r="I5" s="62">
        <f>'Fuel Diesel'!F12</f>
        <v>75</v>
      </c>
      <c r="J5" s="64">
        <f>'Fuel Diesel'!G12/'Fuel Diesel'!F12</f>
        <v>10700</v>
      </c>
      <c r="K5" s="62">
        <f>Water!E12+Water!G12+Water!I12</f>
        <v>343</v>
      </c>
      <c r="L5" s="63">
        <f>Water!K12/TOTAL!K5</f>
        <v>4000</v>
      </c>
      <c r="M5" s="62">
        <f>Electricity!C11</f>
        <v>20</v>
      </c>
      <c r="N5" s="62">
        <f>Electricity!D11</f>
        <v>110</v>
      </c>
    </row>
    <row r="6" spans="1:14" ht="15">
      <c r="A6" s="59" t="s">
        <v>14</v>
      </c>
      <c r="B6" s="60">
        <f t="shared" si="0"/>
        <v>5</v>
      </c>
      <c r="C6" s="61">
        <v>1</v>
      </c>
      <c r="D6" s="60">
        <v>2021</v>
      </c>
      <c r="E6" s="62">
        <f>Electricity!F12+Electricity!I12</f>
        <v>7419.9999999999309</v>
      </c>
      <c r="F6" s="63">
        <f>Electricity!L12/TOTAL!E6</f>
        <v>1231.1564690026976</v>
      </c>
      <c r="G6" s="62">
        <f>Gas!F13+Gas!I13+Gas!L13+Gas!O13</f>
        <v>140.50091631032379</v>
      </c>
      <c r="H6" s="63">
        <f>Gas!Q13/TOTAL!G6</f>
        <v>10630</v>
      </c>
      <c r="I6" s="62">
        <f>'Fuel Diesel'!F13</f>
        <v>0</v>
      </c>
      <c r="J6" s="64" t="e">
        <f>'Fuel Diesel'!G13/'Fuel Diesel'!F13</f>
        <v>#DIV/0!</v>
      </c>
      <c r="K6" s="62">
        <f>Water!E13+Water!G13+Water!I13</f>
        <v>330</v>
      </c>
      <c r="L6" s="63">
        <f>Water!K13/TOTAL!K6</f>
        <v>4000</v>
      </c>
      <c r="M6" s="62">
        <f>Electricity!C12</f>
        <v>21</v>
      </c>
      <c r="N6" s="62">
        <f>Electricity!D12</f>
        <v>115</v>
      </c>
    </row>
    <row r="7" spans="1:14" ht="15">
      <c r="A7" s="59" t="s">
        <v>14</v>
      </c>
      <c r="B7" s="60">
        <f t="shared" si="0"/>
        <v>6</v>
      </c>
      <c r="C7" s="61">
        <v>1</v>
      </c>
      <c r="D7" s="60">
        <v>2021</v>
      </c>
      <c r="E7" s="62">
        <f>Electricity!F13+Electricity!I13</f>
        <v>7360.0000000000709</v>
      </c>
      <c r="F7" s="63">
        <f>Electricity!L13/TOTAL!E7</f>
        <v>1231.9073369565199</v>
      </c>
      <c r="G7" s="62">
        <f>Gas!F14+Gas!I14+Gas!L14+Gas!O14</f>
        <v>113.62248014660965</v>
      </c>
      <c r="H7" s="63">
        <f>Gas!Q14/TOTAL!G7</f>
        <v>10630</v>
      </c>
      <c r="I7" s="62">
        <f>'Fuel Diesel'!F14</f>
        <v>0</v>
      </c>
      <c r="J7" s="64" t="e">
        <f>'Fuel Diesel'!G14/'Fuel Diesel'!F14</f>
        <v>#DIV/0!</v>
      </c>
      <c r="K7" s="62">
        <f>Water!E14+Water!G14+Water!I14</f>
        <v>351</v>
      </c>
      <c r="L7" s="63">
        <f>Water!K14/TOTAL!K7</f>
        <v>4000</v>
      </c>
      <c r="M7" s="62">
        <f>Electricity!C13</f>
        <v>17</v>
      </c>
      <c r="N7" s="62">
        <f>Electricity!D13</f>
        <v>93</v>
      </c>
    </row>
    <row r="8" spans="1:14" ht="15">
      <c r="A8" s="59" t="s">
        <v>14</v>
      </c>
      <c r="B8" s="60">
        <f t="shared" si="0"/>
        <v>7</v>
      </c>
      <c r="C8" s="61">
        <v>1</v>
      </c>
      <c r="D8" s="60">
        <v>2021</v>
      </c>
      <c r="E8" s="62">
        <f>Electricity!F14+Electricity!I14</f>
        <v>6339.9999999999463</v>
      </c>
      <c r="F8" s="63">
        <f>Electricity!L14/TOTAL!E8</f>
        <v>1221.6940063091479</v>
      </c>
      <c r="G8" s="62">
        <f>Gas!F15+Gas!I15+Gas!L15+Gas!O15</f>
        <v>67.196090409285276</v>
      </c>
      <c r="H8" s="63">
        <f>Gas!Q15/TOTAL!G8</f>
        <v>10630</v>
      </c>
      <c r="I8" s="62">
        <f>'Fuel Diesel'!F15</f>
        <v>0</v>
      </c>
      <c r="J8" s="64" t="e">
        <f>'Fuel Diesel'!G15/'Fuel Diesel'!F15</f>
        <v>#DIV/0!</v>
      </c>
      <c r="K8" s="62">
        <f>Water!E15+Water!G15+Water!I15</f>
        <v>329</v>
      </c>
      <c r="L8" s="63">
        <f>Water!K15/TOTAL!K8</f>
        <v>4000</v>
      </c>
      <c r="M8" s="62">
        <f>Electricity!C14</f>
        <v>10</v>
      </c>
      <c r="N8" s="62">
        <f>Electricity!D14</f>
        <v>55</v>
      </c>
    </row>
    <row r="9" spans="1:14" ht="15">
      <c r="A9" s="59" t="s">
        <v>14</v>
      </c>
      <c r="B9" s="60">
        <f t="shared" si="0"/>
        <v>8</v>
      </c>
      <c r="C9" s="61">
        <v>1</v>
      </c>
      <c r="D9" s="60">
        <v>2021</v>
      </c>
      <c r="E9" s="62">
        <f>Electricity!F15+Electricity!I15</f>
        <v>5899.9999999999491</v>
      </c>
      <c r="F9" s="63">
        <f>Electricity!L15/TOTAL!E9</f>
        <v>1231.7184745762727</v>
      </c>
      <c r="G9" s="62">
        <f>Gas!F16+Gas!I16+Gas!L16+Gas!O16</f>
        <v>73.304825901038484</v>
      </c>
      <c r="H9" s="63">
        <f>Gas!Q16/TOTAL!G9</f>
        <v>10630</v>
      </c>
      <c r="I9" s="62">
        <f>'Fuel Diesel'!F16</f>
        <v>0</v>
      </c>
      <c r="J9" s="64" t="e">
        <f>'Fuel Diesel'!G16/'Fuel Diesel'!F16</f>
        <v>#DIV/0!</v>
      </c>
      <c r="K9" s="62">
        <f>Water!E16+Water!G16+Water!I16</f>
        <v>353</v>
      </c>
      <c r="L9" s="63">
        <f>Water!K16/TOTAL!K9</f>
        <v>4000</v>
      </c>
      <c r="M9" s="62">
        <f>Electricity!C15</f>
        <v>11</v>
      </c>
      <c r="N9" s="62">
        <f>Electricity!D15</f>
        <v>60</v>
      </c>
    </row>
    <row r="10" spans="1:14" ht="15">
      <c r="A10" s="59" t="s">
        <v>14</v>
      </c>
      <c r="B10" s="60">
        <f t="shared" si="0"/>
        <v>9</v>
      </c>
      <c r="C10" s="61">
        <v>1</v>
      </c>
      <c r="D10" s="60">
        <v>2021</v>
      </c>
      <c r="E10" s="62">
        <f>Electricity!F16+Electricity!I16</f>
        <v>6200.0000000001019</v>
      </c>
      <c r="F10" s="63">
        <f>Electricity!L16/TOTAL!E10</f>
        <v>1236.4204032258051</v>
      </c>
      <c r="G10" s="62">
        <f>Gas!F17+Gas!I17+Gas!L17+Gas!O17</f>
        <v>73.304825901038484</v>
      </c>
      <c r="H10" s="63">
        <f>Gas!Q17/TOTAL!G10</f>
        <v>10630</v>
      </c>
      <c r="I10" s="62">
        <f>'Fuel Diesel'!F17</f>
        <v>0</v>
      </c>
      <c r="J10" s="64" t="e">
        <f>'Fuel Diesel'!G17/'Fuel Diesel'!F17</f>
        <v>#DIV/0!</v>
      </c>
      <c r="K10" s="62">
        <f>Water!E17+Water!G17+Water!I17</f>
        <v>376</v>
      </c>
      <c r="L10" s="63">
        <f>Water!K17/TOTAL!K10</f>
        <v>4000</v>
      </c>
      <c r="M10" s="62">
        <f>Electricity!C16</f>
        <v>11</v>
      </c>
      <c r="N10" s="62">
        <f>Electricity!D16</f>
        <v>60</v>
      </c>
    </row>
    <row r="11" spans="1:14" ht="15">
      <c r="A11" s="59" t="s">
        <v>14</v>
      </c>
      <c r="B11" s="60">
        <f t="shared" si="0"/>
        <v>10</v>
      </c>
      <c r="C11" s="61">
        <v>1</v>
      </c>
      <c r="D11" s="60">
        <v>2021</v>
      </c>
      <c r="E11" s="62">
        <f>Electricity!F17+Electricity!I17</f>
        <v>6339.9999999999463</v>
      </c>
      <c r="F11" s="63">
        <f>Electricity!L17/TOTAL!E11</f>
        <v>1230.6770504731878</v>
      </c>
      <c r="G11" s="62">
        <f>Gas!F18+Gas!I18+Gas!L18+Gas!O18</f>
        <v>46.426389737324378</v>
      </c>
      <c r="H11" s="63">
        <f>Gas!Q18/TOTAL!G11</f>
        <v>10630</v>
      </c>
      <c r="I11" s="62">
        <f>'Fuel Diesel'!F18</f>
        <v>0</v>
      </c>
      <c r="J11" s="64" t="e">
        <f>'Fuel Diesel'!G18/'Fuel Diesel'!F18</f>
        <v>#DIV/0!</v>
      </c>
      <c r="K11" s="62">
        <f>Water!E18+Water!G18+Water!I18</f>
        <v>349</v>
      </c>
      <c r="L11" s="63">
        <f>Water!K18/TOTAL!K11</f>
        <v>4000</v>
      </c>
      <c r="M11" s="62">
        <f>Electricity!C17</f>
        <v>7</v>
      </c>
      <c r="N11" s="62">
        <f>Electricity!D17</f>
        <v>38</v>
      </c>
    </row>
    <row r="12" spans="1:14" ht="15">
      <c r="A12" s="59" t="s">
        <v>14</v>
      </c>
      <c r="B12" s="60">
        <f t="shared" si="0"/>
        <v>11</v>
      </c>
      <c r="C12" s="61">
        <v>1</v>
      </c>
      <c r="D12" s="60">
        <v>2021</v>
      </c>
      <c r="E12" s="62">
        <f>Electricity!F18+Electricity!I18</f>
        <v>6199.9999999999891</v>
      </c>
      <c r="F12" s="63">
        <f>Electricity!L18/TOTAL!E12</f>
        <v>1225.3973387096773</v>
      </c>
      <c r="G12" s="62">
        <f>Gas!F19+Gas!I19+Gas!L19+Gas!O19</f>
        <v>40.317654245571163</v>
      </c>
      <c r="H12" s="63">
        <f>Gas!Q19/TOTAL!G12</f>
        <v>10630</v>
      </c>
      <c r="I12" s="62">
        <f>'Fuel Diesel'!F19</f>
        <v>52</v>
      </c>
      <c r="J12" s="64">
        <f>'Fuel Diesel'!G19/'Fuel Diesel'!F19</f>
        <v>10700</v>
      </c>
      <c r="K12" s="62">
        <f>Water!E19+Water!G19+Water!I19</f>
        <v>404</v>
      </c>
      <c r="L12" s="63">
        <f>Water!K19/TOTAL!K12</f>
        <v>4000</v>
      </c>
      <c r="M12" s="62">
        <f>Electricity!C18</f>
        <v>6</v>
      </c>
      <c r="N12" s="62">
        <f>Electricity!D18</f>
        <v>33</v>
      </c>
    </row>
    <row r="13" spans="1:14" ht="15">
      <c r="A13" s="59" t="s">
        <v>14</v>
      </c>
      <c r="B13" s="60">
        <f t="shared" si="0"/>
        <v>12</v>
      </c>
      <c r="C13" s="61">
        <v>1</v>
      </c>
      <c r="D13" s="60">
        <v>2021</v>
      </c>
      <c r="E13" s="62">
        <f>Electricity!F19+Electricity!I19</f>
        <v>6120.0000000000618</v>
      </c>
      <c r="F13" s="63">
        <f>Electricity!L19/TOTAL!E13</f>
        <v>1237.6932189542476</v>
      </c>
      <c r="G13" s="62">
        <f>Gas!F20+Gas!I20+Gas!L20+Gas!O20</f>
        <v>59.865607819181434</v>
      </c>
      <c r="H13" s="63">
        <f>Gas!Q20/TOTAL!G13</f>
        <v>10630</v>
      </c>
      <c r="I13" s="62">
        <f>'Fuel Diesel'!F20</f>
        <v>0</v>
      </c>
      <c r="J13" s="64" t="e">
        <f>'Fuel Diesel'!G20/'Fuel Diesel'!F20</f>
        <v>#DIV/0!</v>
      </c>
      <c r="K13" s="62">
        <f>Water!E20+Water!G20+Water!I20</f>
        <v>377</v>
      </c>
      <c r="L13" s="63">
        <f>Water!K20/TOTAL!K13</f>
        <v>4000</v>
      </c>
      <c r="M13" s="62">
        <f>Electricity!C19</f>
        <v>9</v>
      </c>
      <c r="N13" s="62">
        <f>Electricity!D19</f>
        <v>49</v>
      </c>
    </row>
    <row r="14" spans="1:14" ht="15">
      <c r="A14" s="59" t="s">
        <v>14</v>
      </c>
      <c r="B14" s="60">
        <f t="shared" si="0"/>
        <v>13</v>
      </c>
      <c r="C14" s="61">
        <v>1</v>
      </c>
      <c r="D14" s="60">
        <v>2021</v>
      </c>
      <c r="E14" s="62">
        <f>Electricity!F20+Electricity!I20</f>
        <v>5979.9999999999618</v>
      </c>
      <c r="F14" s="63">
        <f>Electricity!L20/TOTAL!E14</f>
        <v>1230.4787625418046</v>
      </c>
      <c r="G14" s="62">
        <f>Gas!F21+Gas!I21+Gas!L21+Gas!O21</f>
        <v>53.756872327428219</v>
      </c>
      <c r="H14" s="63">
        <f>Gas!Q21/TOTAL!G14</f>
        <v>10630</v>
      </c>
      <c r="I14" s="62">
        <f>'Fuel Diesel'!F21</f>
        <v>0</v>
      </c>
      <c r="J14" s="64" t="e">
        <f>'Fuel Diesel'!G21/'Fuel Diesel'!F21</f>
        <v>#DIV/0!</v>
      </c>
      <c r="K14" s="62">
        <f>Water!E21+Water!G21+Water!I21</f>
        <v>398</v>
      </c>
      <c r="L14" s="63">
        <f>Water!K21/TOTAL!K14</f>
        <v>4000</v>
      </c>
      <c r="M14" s="62">
        <f>Electricity!C20</f>
        <v>8</v>
      </c>
      <c r="N14" s="62">
        <f>Electricity!D20</f>
        <v>44</v>
      </c>
    </row>
    <row r="15" spans="1:14" ht="15">
      <c r="A15" s="59" t="s">
        <v>14</v>
      </c>
      <c r="B15" s="60">
        <f t="shared" si="0"/>
        <v>14</v>
      </c>
      <c r="C15" s="61">
        <v>1</v>
      </c>
      <c r="D15" s="60">
        <v>2021</v>
      </c>
      <c r="E15" s="62">
        <f>Electricity!F21+Electricity!I21</f>
        <v>6259.9999999999345</v>
      </c>
      <c r="F15" s="63">
        <f>Electricity!L21/TOTAL!E15</f>
        <v>1235.487140575081</v>
      </c>
      <c r="G15" s="62">
        <f>Gas!F22+Gas!I22+Gas!L22+Gas!O22</f>
        <v>80.635308491142325</v>
      </c>
      <c r="H15" s="63">
        <f>Gas!Q22/TOTAL!G15</f>
        <v>10630</v>
      </c>
      <c r="I15" s="62">
        <f>'Fuel Diesel'!F22</f>
        <v>0</v>
      </c>
      <c r="J15" s="64" t="e">
        <f>'Fuel Diesel'!G22/'Fuel Diesel'!F22</f>
        <v>#DIV/0!</v>
      </c>
      <c r="K15" s="62">
        <f>Water!E22+Water!G22+Water!I22</f>
        <v>390</v>
      </c>
      <c r="L15" s="63">
        <f>Water!K22/TOTAL!K15</f>
        <v>4000</v>
      </c>
      <c r="M15" s="62">
        <f>Electricity!C21</f>
        <v>12</v>
      </c>
      <c r="N15" s="62">
        <f>Electricity!D21</f>
        <v>66</v>
      </c>
    </row>
    <row r="16" spans="1:14" ht="15">
      <c r="A16" s="59" t="s">
        <v>14</v>
      </c>
      <c r="B16" s="60">
        <f t="shared" si="0"/>
        <v>15</v>
      </c>
      <c r="C16" s="61">
        <v>1</v>
      </c>
      <c r="D16" s="60">
        <v>2021</v>
      </c>
      <c r="E16" s="62">
        <f>Electricity!F22+Electricity!I22</f>
        <v>6540.00000000002</v>
      </c>
      <c r="F16" s="63">
        <f>Electricity!L22/TOTAL!E16</f>
        <v>1229.6166666666684</v>
      </c>
      <c r="G16" s="62">
        <f>Gas!F23+Gas!I23+Gas!L23+Gas!O23</f>
        <v>80.635308491142325</v>
      </c>
      <c r="H16" s="63">
        <f>Gas!Q23/TOTAL!G16</f>
        <v>10630</v>
      </c>
      <c r="I16" s="62">
        <f>'Fuel Diesel'!F23</f>
        <v>0</v>
      </c>
      <c r="J16" s="64" t="e">
        <f>'Fuel Diesel'!G23/'Fuel Diesel'!F23</f>
        <v>#DIV/0!</v>
      </c>
      <c r="K16" s="62">
        <f>Water!E23+Water!G23+Water!I23</f>
        <v>410</v>
      </c>
      <c r="L16" s="63">
        <f>Water!K23/TOTAL!K16</f>
        <v>4000</v>
      </c>
      <c r="M16" s="62">
        <f>Electricity!C22</f>
        <v>12</v>
      </c>
      <c r="N16" s="62">
        <f>Electricity!D22</f>
        <v>66</v>
      </c>
    </row>
    <row r="17" spans="1:14" ht="15">
      <c r="A17" s="59" t="s">
        <v>14</v>
      </c>
      <c r="B17" s="60">
        <f t="shared" si="0"/>
        <v>16</v>
      </c>
      <c r="C17" s="61">
        <v>1</v>
      </c>
      <c r="D17" s="60">
        <v>2021</v>
      </c>
      <c r="E17" s="62">
        <f>Electricity!F23+Electricity!I23</f>
        <v>6060.0000000000591</v>
      </c>
      <c r="F17" s="63">
        <f>Electricity!L23/TOTAL!E17</f>
        <v>1233.0310231023095</v>
      </c>
      <c r="G17" s="62">
        <f>Gas!F24+Gas!I24+Gas!L24+Gas!O24</f>
        <v>59.865607819181434</v>
      </c>
      <c r="H17" s="63">
        <f>Gas!Q24/TOTAL!G17</f>
        <v>10630</v>
      </c>
      <c r="I17" s="62">
        <f>'Fuel Diesel'!F24</f>
        <v>0</v>
      </c>
      <c r="J17" s="64" t="e">
        <f>'Fuel Diesel'!G24/'Fuel Diesel'!F24</f>
        <v>#DIV/0!</v>
      </c>
      <c r="K17" s="62">
        <f>Water!E24+Water!G24+Water!I24</f>
        <v>395</v>
      </c>
      <c r="L17" s="63">
        <f>Water!K24/TOTAL!K17</f>
        <v>4000</v>
      </c>
      <c r="M17" s="62">
        <f>Electricity!C23</f>
        <v>9</v>
      </c>
      <c r="N17" s="62">
        <f>Electricity!D23</f>
        <v>49</v>
      </c>
    </row>
    <row r="18" spans="1:14" ht="15">
      <c r="A18" s="59" t="s">
        <v>14</v>
      </c>
      <c r="B18" s="60">
        <f t="shared" si="0"/>
        <v>17</v>
      </c>
      <c r="C18" s="61">
        <v>1</v>
      </c>
      <c r="D18" s="60">
        <v>2021</v>
      </c>
      <c r="E18" s="62">
        <f>Electricity!F24+Electricity!I24</f>
        <v>6179.99999999995</v>
      </c>
      <c r="F18" s="63">
        <f>Electricity!L24/TOTAL!E18</f>
        <v>1231.2061488673146</v>
      </c>
      <c r="G18" s="62">
        <f>Gas!F25+Gas!I25+Gas!L25+Gas!O25</f>
        <v>53.756872327428219</v>
      </c>
      <c r="H18" s="63">
        <f>Gas!Q25/TOTAL!G18</f>
        <v>10630</v>
      </c>
      <c r="I18" s="62">
        <f>'Fuel Diesel'!F25</f>
        <v>0</v>
      </c>
      <c r="J18" s="64" t="e">
        <f>'Fuel Diesel'!G25/'Fuel Diesel'!F25</f>
        <v>#DIV/0!</v>
      </c>
      <c r="K18" s="62">
        <f>Water!E25+Water!G25+Water!I25</f>
        <v>429</v>
      </c>
      <c r="L18" s="63">
        <f>Water!K25/TOTAL!K18</f>
        <v>4245.6923076923076</v>
      </c>
      <c r="M18" s="62">
        <f>Electricity!C24</f>
        <v>8</v>
      </c>
      <c r="N18" s="62">
        <f>Electricity!D24</f>
        <v>44</v>
      </c>
    </row>
    <row r="19" spans="1:14" ht="15">
      <c r="A19" s="59" t="s">
        <v>14</v>
      </c>
      <c r="B19" s="60">
        <f t="shared" si="0"/>
        <v>18</v>
      </c>
      <c r="C19" s="61">
        <v>1</v>
      </c>
      <c r="D19" s="60">
        <v>2021</v>
      </c>
      <c r="E19" s="62">
        <f>Electricity!F25+Electricity!I25</f>
        <v>5960.0000000000364</v>
      </c>
      <c r="F19" s="63">
        <f>Electricity!L25/TOTAL!E19</f>
        <v>1225.0520973154337</v>
      </c>
      <c r="G19" s="62">
        <f>Gas!F26+Gas!I26+Gas!L26+Gas!O26</f>
        <v>19.547953573610265</v>
      </c>
      <c r="H19" s="63">
        <f>Gas!Q26/TOTAL!G19</f>
        <v>10629.999999999998</v>
      </c>
      <c r="I19" s="62">
        <f>'Fuel Diesel'!F26</f>
        <v>54</v>
      </c>
      <c r="J19" s="64">
        <f>'Fuel Diesel'!G26/'Fuel Diesel'!F26</f>
        <v>10700</v>
      </c>
      <c r="K19" s="62">
        <f>Water!E26+Water!G26+Water!I26</f>
        <v>464</v>
      </c>
      <c r="L19" s="63">
        <f>Water!K26/TOTAL!K19</f>
        <v>5342.3060344827591</v>
      </c>
      <c r="M19" s="62">
        <f>Electricity!C25</f>
        <v>3</v>
      </c>
      <c r="N19" s="62">
        <f>Electricity!D25</f>
        <v>16</v>
      </c>
    </row>
    <row r="20" spans="1:14" ht="15">
      <c r="A20" s="59" t="s">
        <v>14</v>
      </c>
      <c r="B20" s="60">
        <f t="shared" si="0"/>
        <v>19</v>
      </c>
      <c r="C20" s="61">
        <v>1</v>
      </c>
      <c r="D20" s="60">
        <v>2021</v>
      </c>
      <c r="E20" s="62">
        <f>Electricity!F26+Electricity!I26</f>
        <v>5820.0000000000218</v>
      </c>
      <c r="F20" s="63">
        <f>Electricity!L26/TOTAL!E20</f>
        <v>1232.9922680412374</v>
      </c>
      <c r="G20" s="62">
        <f>Gas!F27+Gas!I27+Gas!L27+Gas!O27</f>
        <v>26.87843616371411</v>
      </c>
      <c r="H20" s="63">
        <f>Gas!Q27/TOTAL!G20</f>
        <v>10630</v>
      </c>
      <c r="I20" s="62">
        <f>'Fuel Diesel'!F27</f>
        <v>0</v>
      </c>
      <c r="J20" s="64" t="e">
        <f>'Fuel Diesel'!G27/'Fuel Diesel'!F27</f>
        <v>#DIV/0!</v>
      </c>
      <c r="K20" s="62">
        <f>Water!E27+Water!G27+Water!I27</f>
        <v>387</v>
      </c>
      <c r="L20" s="63">
        <f>Water!K27/TOTAL!K20</f>
        <v>5015.1472868217052</v>
      </c>
      <c r="M20" s="62">
        <f>Electricity!C26</f>
        <v>4</v>
      </c>
      <c r="N20" s="62">
        <f>Electricity!D26</f>
        <v>22</v>
      </c>
    </row>
    <row r="21" spans="1:14" ht="15">
      <c r="A21" s="59" t="s">
        <v>14</v>
      </c>
      <c r="B21" s="60">
        <f t="shared" si="0"/>
        <v>20</v>
      </c>
      <c r="C21" s="61">
        <v>1</v>
      </c>
      <c r="D21" s="60">
        <v>2021</v>
      </c>
      <c r="E21" s="62">
        <f>Electricity!F27+Electricity!I27</f>
        <v>5859.9999999999563</v>
      </c>
      <c r="F21" s="63">
        <f>Electricity!L27/TOTAL!E21</f>
        <v>1228.4634812286713</v>
      </c>
      <c r="G21" s="62">
        <f>Gas!F28+Gas!I28+Gas!L28+Gas!O28</f>
        <v>73.304825901038484</v>
      </c>
      <c r="H21" s="63">
        <f>Gas!Q28/TOTAL!G21</f>
        <v>10630</v>
      </c>
      <c r="I21" s="62">
        <f>'Fuel Diesel'!F28</f>
        <v>0</v>
      </c>
      <c r="J21" s="64" t="e">
        <f>'Fuel Diesel'!G28/'Fuel Diesel'!F28</f>
        <v>#DIV/0!</v>
      </c>
      <c r="K21" s="62">
        <f>Water!E28+Water!G28+Water!I28</f>
        <v>191</v>
      </c>
      <c r="L21" s="63">
        <f>Water!K28/TOTAL!K21</f>
        <v>4000</v>
      </c>
      <c r="M21" s="62">
        <f>Electricity!C27</f>
        <v>11</v>
      </c>
      <c r="N21" s="62">
        <f>Electricity!D27</f>
        <v>60</v>
      </c>
    </row>
    <row r="22" spans="1:14" ht="15">
      <c r="A22" s="59" t="s">
        <v>14</v>
      </c>
      <c r="B22" s="60">
        <f t="shared" si="0"/>
        <v>21</v>
      </c>
      <c r="C22" s="61">
        <v>1</v>
      </c>
      <c r="D22" s="60">
        <v>2021</v>
      </c>
      <c r="E22" s="62">
        <f>Electricity!F28+Electricity!I28</f>
        <v>6460.0000000000082</v>
      </c>
      <c r="F22" s="63">
        <f>Electricity!L28/TOTAL!E22</f>
        <v>1246.6073529411763</v>
      </c>
      <c r="G22" s="62">
        <f>Gas!F29+Gas!I29+Gas!L29+Gas!O29</f>
        <v>94.074526572999389</v>
      </c>
      <c r="H22" s="63">
        <f>Gas!Q29/TOTAL!G22</f>
        <v>10630</v>
      </c>
      <c r="I22" s="62">
        <f>'Fuel Diesel'!F29</f>
        <v>0</v>
      </c>
      <c r="J22" s="64" t="e">
        <f>'Fuel Diesel'!G29/'Fuel Diesel'!F29</f>
        <v>#DIV/0!</v>
      </c>
      <c r="K22" s="62">
        <f>Water!E29+Water!G29+Water!I29</f>
        <v>184</v>
      </c>
      <c r="L22" s="63">
        <f>Water!K29/TOTAL!K22</f>
        <v>4000</v>
      </c>
      <c r="M22" s="62">
        <f>Electricity!C28</f>
        <v>14</v>
      </c>
      <c r="N22" s="62">
        <f>Electricity!D28</f>
        <v>77</v>
      </c>
    </row>
    <row r="23" spans="1:14" ht="15">
      <c r="A23" s="59" t="s">
        <v>14</v>
      </c>
      <c r="B23" s="60">
        <f t="shared" si="0"/>
        <v>22</v>
      </c>
      <c r="C23" s="61">
        <v>1</v>
      </c>
      <c r="D23" s="60">
        <v>2021</v>
      </c>
      <c r="E23" s="62">
        <f>Electricity!F29+Electricity!I29</f>
        <v>6239.9999999999527</v>
      </c>
      <c r="F23" s="63">
        <f>Electricity!L29/TOTAL!E23</f>
        <v>1237.6216346153838</v>
      </c>
      <c r="G23" s="62">
        <f>Gas!F30+Gas!I30+Gas!L30+Gas!O30</f>
        <v>59.865607819181434</v>
      </c>
      <c r="H23" s="63">
        <f>Gas!Q30/TOTAL!G23</f>
        <v>10630</v>
      </c>
      <c r="I23" s="62">
        <f>'Fuel Diesel'!F30</f>
        <v>0</v>
      </c>
      <c r="J23" s="64" t="e">
        <f>'Fuel Diesel'!G30/'Fuel Diesel'!F30</f>
        <v>#DIV/0!</v>
      </c>
      <c r="K23" s="62">
        <f>Water!E30+Water!G30+Water!I30</f>
        <v>162</v>
      </c>
      <c r="L23" s="63">
        <f>Water!K30/TOTAL!K23</f>
        <v>4000</v>
      </c>
      <c r="M23" s="62">
        <f>Electricity!C29</f>
        <v>9</v>
      </c>
      <c r="N23" s="62">
        <f>Electricity!D29</f>
        <v>49</v>
      </c>
    </row>
    <row r="24" spans="1:14" ht="15">
      <c r="A24" s="59" t="s">
        <v>14</v>
      </c>
      <c r="B24" s="60">
        <f t="shared" si="0"/>
        <v>23</v>
      </c>
      <c r="C24" s="61">
        <v>1</v>
      </c>
      <c r="D24" s="60">
        <v>2021</v>
      </c>
      <c r="E24" s="62">
        <f>Electricity!F30+Electricity!I30</f>
        <v>5960.0000000000364</v>
      </c>
      <c r="F24" s="63">
        <f>Electricity!L30/TOTAL!E24</f>
        <v>1232.6967281879206</v>
      </c>
      <c r="G24" s="62">
        <f>Gas!F31+Gas!I31+Gas!L31+Gas!O31</f>
        <v>48.869883934025658</v>
      </c>
      <c r="H24" s="63">
        <f>Gas!Q31/TOTAL!G24</f>
        <v>10630</v>
      </c>
      <c r="I24" s="62">
        <f>'Fuel Diesel'!F31</f>
        <v>0</v>
      </c>
      <c r="J24" s="64" t="e">
        <f>'Fuel Diesel'!G31/'Fuel Diesel'!F31</f>
        <v>#DIV/0!</v>
      </c>
      <c r="K24" s="62">
        <f>Water!E31+Water!G31+Water!I31</f>
        <v>152</v>
      </c>
      <c r="L24" s="63">
        <f>Water!K31/TOTAL!K24</f>
        <v>4000</v>
      </c>
      <c r="M24" s="62">
        <f>Electricity!C30</f>
        <v>7</v>
      </c>
      <c r="N24" s="62">
        <f>Electricity!D30</f>
        <v>40</v>
      </c>
    </row>
    <row r="25" spans="1:14" ht="15">
      <c r="A25" s="59" t="s">
        <v>14</v>
      </c>
      <c r="B25" s="60">
        <f t="shared" si="0"/>
        <v>24</v>
      </c>
      <c r="C25" s="61">
        <v>1</v>
      </c>
      <c r="D25" s="60">
        <v>2021</v>
      </c>
      <c r="E25" s="62">
        <f>Electricity!F31+Electricity!I31</f>
        <v>5860.0000000000418</v>
      </c>
      <c r="F25" s="63">
        <f>Electricity!L31/TOTAL!E25</f>
        <v>1240.1261092150157</v>
      </c>
      <c r="G25" s="62">
        <f>Gas!F32+Gas!I32+Gas!L32+Gas!O32</f>
        <v>19.547953573610265</v>
      </c>
      <c r="H25" s="63">
        <f>Gas!Q32/TOTAL!G25</f>
        <v>10629.999999999998</v>
      </c>
      <c r="I25" s="62">
        <f>'Fuel Diesel'!F32</f>
        <v>0</v>
      </c>
      <c r="J25" s="64" t="e">
        <f>'Fuel Diesel'!G32/'Fuel Diesel'!F32</f>
        <v>#DIV/0!</v>
      </c>
      <c r="K25" s="62">
        <f>Water!E32+Water!G32+Water!I32</f>
        <v>151</v>
      </c>
      <c r="L25" s="63">
        <f>Water!K32/TOTAL!K25</f>
        <v>4000</v>
      </c>
      <c r="M25" s="62">
        <f>Electricity!C31</f>
        <v>3</v>
      </c>
      <c r="N25" s="62">
        <f>Electricity!D31</f>
        <v>16</v>
      </c>
    </row>
    <row r="26" spans="1:14" ht="15">
      <c r="A26" s="59" t="s">
        <v>14</v>
      </c>
      <c r="B26" s="60">
        <f>B25+1</f>
        <v>25</v>
      </c>
      <c r="C26" s="61">
        <v>1</v>
      </c>
      <c r="D26" s="60">
        <v>2021</v>
      </c>
      <c r="E26" s="62">
        <f>Electricity!F32+Electricity!I32</f>
        <v>5659.9999999999964</v>
      </c>
      <c r="F26" s="63">
        <f>Electricity!L32/TOTAL!E26</f>
        <v>1229.6105123674922</v>
      </c>
      <c r="G26" s="62">
        <f>Gas!F33+Gas!I33+Gas!L33+Gas!O33</f>
        <v>26.87843616371411</v>
      </c>
      <c r="H26" s="63">
        <f>Gas!Q33/TOTAL!G26</f>
        <v>10630</v>
      </c>
      <c r="I26" s="62">
        <f>'Fuel Diesel'!F33</f>
        <v>0</v>
      </c>
      <c r="J26" s="64" t="e">
        <f>'Fuel Diesel'!G33/'Fuel Diesel'!F33</f>
        <v>#DIV/0!</v>
      </c>
      <c r="K26" s="62">
        <f>Water!E33+Water!G33+Water!I33</f>
        <v>142</v>
      </c>
      <c r="L26" s="63">
        <f>Water!K33/TOTAL!K26</f>
        <v>4000</v>
      </c>
      <c r="M26" s="62">
        <f>Electricity!C32</f>
        <v>4</v>
      </c>
      <c r="N26" s="62">
        <f>Electricity!D32</f>
        <v>22</v>
      </c>
    </row>
    <row r="27" spans="1:14" ht="15">
      <c r="A27" s="59" t="s">
        <v>14</v>
      </c>
      <c r="B27" s="60">
        <f t="shared" si="0"/>
        <v>26</v>
      </c>
      <c r="C27" s="61">
        <v>1</v>
      </c>
      <c r="D27" s="60">
        <v>2021</v>
      </c>
      <c r="E27" s="62">
        <f>Electricity!F33+Electricity!I33</f>
        <v>5819.9999999999927</v>
      </c>
      <c r="F27" s="63">
        <f>Electricity!L33/TOTAL!E27</f>
        <v>1231.0351374570448</v>
      </c>
      <c r="G27" s="62">
        <f>Gas!F34+Gas!I34+Gas!L34+Gas!O34</f>
        <v>13.439218081857055</v>
      </c>
      <c r="H27" s="63">
        <f>Gas!Q34/TOTAL!G27</f>
        <v>10630</v>
      </c>
      <c r="I27" s="62">
        <f>'Fuel Diesel'!F34</f>
        <v>0</v>
      </c>
      <c r="J27" s="64" t="e">
        <f>'Fuel Diesel'!G34/'Fuel Diesel'!F34</f>
        <v>#DIV/0!</v>
      </c>
      <c r="K27" s="62">
        <f>Water!E34+Water!G34+Water!I34</f>
        <v>159</v>
      </c>
      <c r="L27" s="63">
        <f>Water!K34/TOTAL!K27</f>
        <v>4000</v>
      </c>
      <c r="M27" s="62">
        <f>Electricity!C33</f>
        <v>2</v>
      </c>
      <c r="N27" s="62">
        <f>Electricity!D33</f>
        <v>11</v>
      </c>
    </row>
    <row r="28" spans="1:14" ht="15">
      <c r="A28" s="59" t="s">
        <v>14</v>
      </c>
      <c r="B28" s="60">
        <f t="shared" si="0"/>
        <v>27</v>
      </c>
      <c r="C28" s="61">
        <v>1</v>
      </c>
      <c r="D28" s="60">
        <v>2021</v>
      </c>
      <c r="E28" s="62">
        <f>Electricity!F34+Electricity!I34</f>
        <v>5959.99999999998</v>
      </c>
      <c r="F28" s="63">
        <f>Electricity!L34/TOTAL!E28</f>
        <v>1230.785570469797</v>
      </c>
      <c r="G28" s="62">
        <f>Gas!F35+Gas!I35+Gas!L35+Gas!O35</f>
        <v>32.987171655467321</v>
      </c>
      <c r="H28" s="63">
        <f>Gas!Q35/TOTAL!G28</f>
        <v>10630</v>
      </c>
      <c r="I28" s="62">
        <f>'Fuel Diesel'!F35</f>
        <v>0</v>
      </c>
      <c r="J28" s="64" t="e">
        <f>'Fuel Diesel'!G35/'Fuel Diesel'!F35</f>
        <v>#DIV/0!</v>
      </c>
      <c r="K28" s="62">
        <f>Water!E35+Water!G35+Water!I35</f>
        <v>164</v>
      </c>
      <c r="L28" s="63">
        <f>Water!K35/TOTAL!K28</f>
        <v>4000</v>
      </c>
      <c r="M28" s="62">
        <f>Electricity!C34</f>
        <v>5</v>
      </c>
      <c r="N28" s="62">
        <f>Electricity!D34</f>
        <v>27</v>
      </c>
    </row>
    <row r="29" spans="1:14" ht="15">
      <c r="A29" s="59" t="s">
        <v>14</v>
      </c>
      <c r="B29" s="60">
        <f t="shared" si="0"/>
        <v>28</v>
      </c>
      <c r="C29" s="61">
        <v>1</v>
      </c>
      <c r="D29" s="60">
        <v>2021</v>
      </c>
      <c r="E29" s="62">
        <f>Electricity!F35+Electricity!I35</f>
        <v>5660.0000000000255</v>
      </c>
      <c r="F29" s="63">
        <f>Electricity!L35/TOTAL!E29</f>
        <v>1231.6229681978809</v>
      </c>
      <c r="G29" s="62">
        <f>Gas!F36+Gas!I36+Gas!L36+Gas!O36</f>
        <v>26.87843616371411</v>
      </c>
      <c r="H29" s="63">
        <f>Gas!Q36/TOTAL!G29</f>
        <v>10630</v>
      </c>
      <c r="I29" s="62">
        <f>'Fuel Diesel'!F36</f>
        <v>0</v>
      </c>
      <c r="J29" s="64" t="e">
        <f>'Fuel Diesel'!G36/'Fuel Diesel'!F36</f>
        <v>#DIV/0!</v>
      </c>
      <c r="K29" s="62">
        <f>Water!E36+Water!G36+Water!I36</f>
        <v>136</v>
      </c>
      <c r="L29" s="63">
        <f>Water!K36/TOTAL!K29</f>
        <v>4000</v>
      </c>
      <c r="M29" s="62">
        <f>Electricity!C35</f>
        <v>4</v>
      </c>
      <c r="N29" s="62">
        <f>Electricity!D35</f>
        <v>22</v>
      </c>
    </row>
    <row r="30" spans="1:14" ht="15">
      <c r="A30" s="59" t="s">
        <v>14</v>
      </c>
      <c r="B30" s="60">
        <f t="shared" si="0"/>
        <v>29</v>
      </c>
      <c r="C30" s="61">
        <v>1</v>
      </c>
      <c r="D30" s="60">
        <v>2021</v>
      </c>
      <c r="E30" s="62">
        <f>Electricity!F36+Electricity!I36</f>
        <v>5899.9999999999491</v>
      </c>
      <c r="F30" s="63">
        <f>Electricity!L36/TOTAL!E30</f>
        <v>1233.6490677966099</v>
      </c>
      <c r="G30" s="62">
        <f>Gas!F37+Gas!I37+Gas!L37+Gas!O37</f>
        <v>40.317654245571163</v>
      </c>
      <c r="H30" s="63">
        <f>Gas!Q37/TOTAL!G30</f>
        <v>10630</v>
      </c>
      <c r="I30" s="62">
        <f>'Fuel Diesel'!F37</f>
        <v>0</v>
      </c>
      <c r="J30" s="64" t="e">
        <f>'Fuel Diesel'!G37/'Fuel Diesel'!F37</f>
        <v>#DIV/0!</v>
      </c>
      <c r="K30" s="62">
        <f>Water!E37+Water!G37+Water!I37</f>
        <v>167</v>
      </c>
      <c r="L30" s="63">
        <f>Water!K37/TOTAL!K30</f>
        <v>4000</v>
      </c>
      <c r="M30" s="62">
        <f>Electricity!C36</f>
        <v>6</v>
      </c>
      <c r="N30" s="62">
        <f>Electricity!D36</f>
        <v>33</v>
      </c>
    </row>
    <row r="31" spans="1:14" ht="15">
      <c r="A31" s="59" t="s">
        <v>14</v>
      </c>
      <c r="B31" s="60">
        <f t="shared" si="0"/>
        <v>30</v>
      </c>
      <c r="C31" s="61">
        <v>1</v>
      </c>
      <c r="D31" s="60">
        <v>2021</v>
      </c>
      <c r="E31" s="62">
        <f>Electricity!F37+Electricity!I37</f>
        <v>5620.0000000000045</v>
      </c>
      <c r="F31" s="63">
        <f>Electricity!L37/TOTAL!E31</f>
        <v>1238.3621886121014</v>
      </c>
      <c r="G31" s="62">
        <f>Gas!F38+Gas!I38+Gas!L38+Gas!O38</f>
        <v>46.426389737324378</v>
      </c>
      <c r="H31" s="63">
        <f>Gas!Q38/TOTAL!G31</f>
        <v>10630</v>
      </c>
      <c r="I31" s="62">
        <f>'Fuel Diesel'!F38</f>
        <v>0</v>
      </c>
      <c r="J31" s="64" t="e">
        <f>'Fuel Diesel'!G38/'Fuel Diesel'!F38</f>
        <v>#DIV/0!</v>
      </c>
      <c r="K31" s="62">
        <f>Water!E38+Water!G38+Water!I38</f>
        <v>134</v>
      </c>
      <c r="L31" s="63">
        <f>Water!K38/TOTAL!K31</f>
        <v>4000</v>
      </c>
      <c r="M31" s="62">
        <f>Electricity!C37</f>
        <v>7</v>
      </c>
      <c r="N31" s="62">
        <f>Electricity!D37</f>
        <v>38</v>
      </c>
    </row>
    <row r="32" spans="1:14" ht="15">
      <c r="A32" s="59" t="s">
        <v>14</v>
      </c>
      <c r="B32" s="60">
        <f t="shared" si="0"/>
        <v>31</v>
      </c>
      <c r="C32" s="61">
        <v>1</v>
      </c>
      <c r="D32" s="60">
        <v>2021</v>
      </c>
      <c r="E32" s="62">
        <f>Electricity!F38+Electricity!I38</f>
        <v>5720.0000000000273</v>
      </c>
      <c r="F32" s="63">
        <f>Electricity!L38/TOTAL!E32</f>
        <v>1226.6692307692299</v>
      </c>
      <c r="G32" s="62">
        <f>Gas!F39+Gas!I39+Gas!L39+Gas!O39</f>
        <v>32.987171655467321</v>
      </c>
      <c r="H32" s="63">
        <f>Gas!Q39/TOTAL!G32</f>
        <v>10630</v>
      </c>
      <c r="I32" s="62">
        <f>'Fuel Diesel'!F39</f>
        <v>0</v>
      </c>
      <c r="J32" s="64" t="e">
        <f>'Fuel Diesel'!G39/'Fuel Diesel'!F39</f>
        <v>#DIV/0!</v>
      </c>
      <c r="K32" s="62">
        <f>Water!E39+Water!G39+Water!I39</f>
        <v>153</v>
      </c>
      <c r="L32" s="63">
        <f>Water!K39/TOTAL!K32</f>
        <v>13582</v>
      </c>
      <c r="M32" s="62">
        <f>Electricity!C38</f>
        <v>5</v>
      </c>
      <c r="N32" s="62">
        <f>Electricity!D38</f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2"/>
  <sheetViews>
    <sheetView zoomScale="87" zoomScaleNormal="87" workbookViewId="0">
      <pane xSplit="2" ySplit="7" topLeftCell="Q55" activePane="bottomRight" state="frozen"/>
      <selection pane="bottomRight" activeCell="Q59" sqref="Q59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85546875" customWidth="1"/>
    <col min="3" max="3" width="6.5703125" customWidth="1"/>
    <col min="4" max="4" width="7.5703125" style="6" customWidth="1"/>
    <col min="5" max="5" width="9.42578125" style="1" customWidth="1"/>
    <col min="6" max="6" width="11.28515625" style="1" customWidth="1"/>
    <col min="7" max="7" width="16.5703125" style="1" customWidth="1"/>
    <col min="8" max="8" width="10.28515625" style="1" customWidth="1"/>
    <col min="9" max="9" width="11.140625" style="1" customWidth="1"/>
    <col min="10" max="10" width="16.7109375" style="1" customWidth="1"/>
    <col min="11" max="11" width="16.28515625" style="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83" t="s">
        <v>15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53"/>
      <c r="N1" s="53"/>
    </row>
    <row r="2" spans="1:14" ht="15.75">
      <c r="B2" s="83" t="s">
        <v>16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53"/>
      <c r="N2" s="53"/>
    </row>
    <row r="3" spans="1:14">
      <c r="B3" s="5"/>
      <c r="C3" s="4"/>
      <c r="D3" s="13"/>
      <c r="E3" s="4"/>
      <c r="F3" s="4"/>
      <c r="G3" s="4"/>
      <c r="H3" s="4"/>
      <c r="I3" s="4"/>
      <c r="J3" s="4"/>
      <c r="K3" s="4"/>
      <c r="L3" s="4"/>
      <c r="M3" s="53"/>
      <c r="N3" s="53"/>
    </row>
    <row r="4" spans="1:14">
      <c r="A4" s="7"/>
      <c r="B4" s="85">
        <v>44197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7"/>
    </row>
    <row r="5" spans="1:14" ht="23.25" customHeight="1">
      <c r="A5" s="75"/>
      <c r="B5" s="82" t="s">
        <v>17</v>
      </c>
      <c r="C5" s="82" t="s">
        <v>18</v>
      </c>
      <c r="D5" s="82" t="s">
        <v>13</v>
      </c>
      <c r="E5" s="86" t="s">
        <v>19</v>
      </c>
      <c r="F5" s="86"/>
      <c r="G5" s="86"/>
      <c r="H5" s="84" t="s">
        <v>20</v>
      </c>
      <c r="I5" s="84"/>
      <c r="J5" s="84"/>
      <c r="K5" s="82" t="s">
        <v>21</v>
      </c>
      <c r="L5" s="82" t="s">
        <v>22</v>
      </c>
      <c r="M5" s="82" t="s">
        <v>23</v>
      </c>
      <c r="N5" s="65"/>
    </row>
    <row r="6" spans="1:14" s="6" customFormat="1" ht="48" customHeight="1">
      <c r="A6" s="75"/>
      <c r="B6" s="82"/>
      <c r="C6" s="82"/>
      <c r="D6" s="82"/>
      <c r="E6" s="82" t="s">
        <v>24</v>
      </c>
      <c r="F6" s="82" t="s">
        <v>25</v>
      </c>
      <c r="G6" s="82" t="s">
        <v>26</v>
      </c>
      <c r="H6" s="82" t="s">
        <v>24</v>
      </c>
      <c r="I6" s="82" t="s">
        <v>25</v>
      </c>
      <c r="J6" s="82" t="s">
        <v>27</v>
      </c>
      <c r="K6" s="82"/>
      <c r="L6" s="82"/>
      <c r="M6" s="82"/>
      <c r="N6" s="65"/>
    </row>
    <row r="7" spans="1:14" ht="15.75" customHeight="1">
      <c r="A7" s="76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66"/>
    </row>
    <row r="8" spans="1:14" ht="15.75" customHeight="1">
      <c r="A8" s="76"/>
      <c r="B8" s="73">
        <v>1</v>
      </c>
      <c r="C8" s="35">
        <v>13</v>
      </c>
      <c r="D8" s="35">
        <v>88</v>
      </c>
      <c r="E8" s="10">
        <v>3.5099999999999909</v>
      </c>
      <c r="F8" s="11">
        <f t="shared" ref="F8:F38" si="0">E8*2000</f>
        <v>7019.9999999999818</v>
      </c>
      <c r="G8" s="3">
        <f t="shared" ref="G8:G38" si="1">F8*1035.5</f>
        <v>7269209.9999999814</v>
      </c>
      <c r="H8" s="10">
        <v>0.60999999999999943</v>
      </c>
      <c r="I8" s="11">
        <f t="shared" ref="I8:I15" si="2">H8*2000</f>
        <v>1219.9999999999989</v>
      </c>
      <c r="J8" s="3">
        <f t="shared" ref="J8:J15" si="3">I8*1553.25</f>
        <v>1894964.9999999981</v>
      </c>
      <c r="K8" s="10">
        <f t="shared" ref="K8:K15" si="4">G8+J8</f>
        <v>9164174.9999999795</v>
      </c>
      <c r="L8" s="12">
        <f t="shared" ref="L8:L15" si="5">K8*1.1</f>
        <v>10080592.499999978</v>
      </c>
      <c r="M8" s="81">
        <f>L8/14084</f>
        <v>715.74783442203761</v>
      </c>
      <c r="N8" s="80"/>
    </row>
    <row r="9" spans="1:14" ht="17.100000000000001" customHeight="1">
      <c r="A9" s="76"/>
      <c r="B9" s="73">
        <v>2</v>
      </c>
      <c r="C9" s="35">
        <v>14</v>
      </c>
      <c r="D9" s="35">
        <v>81</v>
      </c>
      <c r="E9" s="10">
        <v>3.0799999999999841</v>
      </c>
      <c r="F9" s="11">
        <f t="shared" si="0"/>
        <v>6159.9999999999682</v>
      </c>
      <c r="G9" s="3">
        <f t="shared" si="1"/>
        <v>6378679.9999999674</v>
      </c>
      <c r="H9" s="10">
        <v>0.57999999999999829</v>
      </c>
      <c r="I9" s="11">
        <f t="shared" si="2"/>
        <v>1159.9999999999966</v>
      </c>
      <c r="J9" s="3">
        <f t="shared" si="3"/>
        <v>1801769.9999999946</v>
      </c>
      <c r="K9" s="10">
        <f t="shared" si="4"/>
        <v>8180449.9999999618</v>
      </c>
      <c r="L9" s="12">
        <f t="shared" si="5"/>
        <v>8998494.999999959</v>
      </c>
      <c r="M9" s="81">
        <f t="shared" ref="M9:M38" si="6">L9/14084</f>
        <v>638.91614598125238</v>
      </c>
      <c r="N9" s="80"/>
    </row>
    <row r="10" spans="1:14" ht="17.100000000000001" customHeight="1">
      <c r="A10" s="76"/>
      <c r="B10" s="73">
        <v>3</v>
      </c>
      <c r="C10" s="35">
        <v>23</v>
      </c>
      <c r="D10" s="35">
        <v>126</v>
      </c>
      <c r="E10" s="10">
        <v>3.25</v>
      </c>
      <c r="F10" s="11">
        <f t="shared" si="0"/>
        <v>6500</v>
      </c>
      <c r="G10" s="3">
        <f t="shared" si="1"/>
        <v>6730750</v>
      </c>
      <c r="H10" s="10">
        <v>0.62000000000000455</v>
      </c>
      <c r="I10" s="11">
        <f t="shared" si="2"/>
        <v>1240.0000000000091</v>
      </c>
      <c r="J10" s="3">
        <f t="shared" si="3"/>
        <v>1926030.0000000142</v>
      </c>
      <c r="K10" s="10">
        <f t="shared" si="4"/>
        <v>8656780.0000000149</v>
      </c>
      <c r="L10" s="12">
        <f t="shared" si="5"/>
        <v>9522458.0000000168</v>
      </c>
      <c r="M10" s="81">
        <f t="shared" si="6"/>
        <v>676.11885827889921</v>
      </c>
      <c r="N10" s="80"/>
    </row>
    <row r="11" spans="1:14" ht="17.100000000000001" customHeight="1">
      <c r="A11" s="76"/>
      <c r="B11" s="73">
        <v>4</v>
      </c>
      <c r="C11" s="35">
        <v>20</v>
      </c>
      <c r="D11" s="35">
        <v>110</v>
      </c>
      <c r="E11" s="10">
        <v>3.0300000000000296</v>
      </c>
      <c r="F11" s="11">
        <f t="shared" si="0"/>
        <v>6060.0000000000591</v>
      </c>
      <c r="G11" s="3">
        <f t="shared" si="1"/>
        <v>6275130.0000000615</v>
      </c>
      <c r="H11" s="10">
        <v>0.60999999999999943</v>
      </c>
      <c r="I11" s="11">
        <f t="shared" si="2"/>
        <v>1219.9999999999989</v>
      </c>
      <c r="J11" s="3">
        <f t="shared" si="3"/>
        <v>1894964.9999999981</v>
      </c>
      <c r="K11" s="10">
        <f t="shared" si="4"/>
        <v>8170095.0000000596</v>
      </c>
      <c r="L11" s="12">
        <f t="shared" si="5"/>
        <v>8987104.5000000671</v>
      </c>
      <c r="M11" s="81">
        <f t="shared" si="6"/>
        <v>638.10739136609391</v>
      </c>
      <c r="N11" s="80"/>
    </row>
    <row r="12" spans="1:14" ht="17.100000000000001" customHeight="1">
      <c r="A12" s="76"/>
      <c r="B12" s="73">
        <v>5</v>
      </c>
      <c r="C12" s="35">
        <v>21</v>
      </c>
      <c r="D12" s="35">
        <v>115</v>
      </c>
      <c r="E12" s="10">
        <v>3.1099999999999568</v>
      </c>
      <c r="F12" s="11">
        <f t="shared" si="0"/>
        <v>6219.9999999999136</v>
      </c>
      <c r="G12" s="3">
        <f t="shared" si="1"/>
        <v>6440809.9999999106</v>
      </c>
      <c r="H12" s="10">
        <v>0.60000000000000853</v>
      </c>
      <c r="I12" s="11">
        <f t="shared" si="2"/>
        <v>1200.0000000000171</v>
      </c>
      <c r="J12" s="3">
        <f t="shared" si="3"/>
        <v>1863900.0000000265</v>
      </c>
      <c r="K12" s="10">
        <f t="shared" si="4"/>
        <v>8304709.9999999367</v>
      </c>
      <c r="L12" s="12">
        <f t="shared" si="5"/>
        <v>9135180.9999999311</v>
      </c>
      <c r="M12" s="81">
        <f t="shared" si="6"/>
        <v>648.62120136324415</v>
      </c>
      <c r="N12" s="80"/>
    </row>
    <row r="13" spans="1:14" ht="17.100000000000001" customHeight="1">
      <c r="A13" s="76"/>
      <c r="B13" s="73">
        <v>6</v>
      </c>
      <c r="C13" s="35">
        <v>17</v>
      </c>
      <c r="D13" s="35">
        <v>93</v>
      </c>
      <c r="E13" s="10">
        <v>3.0800000000000409</v>
      </c>
      <c r="F13" s="11">
        <f t="shared" si="0"/>
        <v>6160.0000000000819</v>
      </c>
      <c r="G13" s="3">
        <f t="shared" si="1"/>
        <v>6378680.0000000848</v>
      </c>
      <c r="H13" s="10">
        <v>0.59999999999999432</v>
      </c>
      <c r="I13" s="11">
        <f t="shared" si="2"/>
        <v>1199.9999999999886</v>
      </c>
      <c r="J13" s="3">
        <f t="shared" si="3"/>
        <v>1863899.9999999823</v>
      </c>
      <c r="K13" s="10">
        <f t="shared" si="4"/>
        <v>8242580.0000000671</v>
      </c>
      <c r="L13" s="12">
        <f t="shared" si="5"/>
        <v>9066838.0000000745</v>
      </c>
      <c r="M13" s="81">
        <f t="shared" si="6"/>
        <v>643.76867367225748</v>
      </c>
      <c r="N13" s="80"/>
    </row>
    <row r="14" spans="1:14" ht="17.100000000000001" customHeight="1">
      <c r="A14" s="76"/>
      <c r="B14" s="73">
        <v>7</v>
      </c>
      <c r="C14" s="35">
        <v>10</v>
      </c>
      <c r="D14" s="35">
        <v>55</v>
      </c>
      <c r="E14" s="10">
        <v>2.7099999999999795</v>
      </c>
      <c r="F14" s="11">
        <f t="shared" si="0"/>
        <v>5419.9999999999591</v>
      </c>
      <c r="G14" s="3">
        <f t="shared" si="1"/>
        <v>5612409.9999999572</v>
      </c>
      <c r="H14" s="10">
        <v>0.45999999999999375</v>
      </c>
      <c r="I14" s="11">
        <f t="shared" si="2"/>
        <v>919.99999999998749</v>
      </c>
      <c r="J14" s="3">
        <f t="shared" si="3"/>
        <v>1428989.9999999807</v>
      </c>
      <c r="K14" s="10">
        <f t="shared" si="4"/>
        <v>7041399.9999999376</v>
      </c>
      <c r="L14" s="12">
        <f t="shared" si="5"/>
        <v>7745539.999999932</v>
      </c>
      <c r="M14" s="81">
        <f t="shared" si="6"/>
        <v>549.95313831297449</v>
      </c>
      <c r="N14" s="80"/>
    </row>
    <row r="15" spans="1:14" ht="17.100000000000001" customHeight="1">
      <c r="A15" s="76"/>
      <c r="B15" s="73">
        <v>8</v>
      </c>
      <c r="C15" s="35">
        <v>11</v>
      </c>
      <c r="D15" s="35">
        <v>60</v>
      </c>
      <c r="E15" s="10">
        <v>2.4699999999999704</v>
      </c>
      <c r="F15" s="11">
        <f t="shared" si="0"/>
        <v>4939.9999999999409</v>
      </c>
      <c r="G15" s="3">
        <f t="shared" si="1"/>
        <v>5115369.9999999385</v>
      </c>
      <c r="H15" s="10">
        <v>0.48000000000000398</v>
      </c>
      <c r="I15" s="11">
        <f t="shared" si="2"/>
        <v>960.00000000000796</v>
      </c>
      <c r="J15" s="3">
        <f t="shared" si="3"/>
        <v>1491120.0000000123</v>
      </c>
      <c r="K15" s="10">
        <f t="shared" si="4"/>
        <v>6606489.9999999506</v>
      </c>
      <c r="L15" s="12">
        <f t="shared" si="5"/>
        <v>7267138.999999946</v>
      </c>
      <c r="M15" s="81">
        <f t="shared" si="6"/>
        <v>515.98544447599727</v>
      </c>
      <c r="N15" s="80"/>
    </row>
    <row r="16" spans="1:14" ht="17.100000000000001" customHeight="1">
      <c r="A16" s="76"/>
      <c r="B16" s="73">
        <v>9</v>
      </c>
      <c r="C16" s="35">
        <v>11</v>
      </c>
      <c r="D16" s="35">
        <v>60</v>
      </c>
      <c r="E16" s="10">
        <v>2.57000000000005</v>
      </c>
      <c r="F16" s="11">
        <f t="shared" si="0"/>
        <v>5140.0000000001</v>
      </c>
      <c r="G16" s="3">
        <f t="shared" si="1"/>
        <v>5322470.0000001034</v>
      </c>
      <c r="H16" s="10">
        <v>0.53000000000000114</v>
      </c>
      <c r="I16" s="11">
        <f t="shared" ref="I16:I37" si="7">H16*2000</f>
        <v>1060.0000000000023</v>
      </c>
      <c r="J16" s="3">
        <f t="shared" ref="J16:J37" si="8">I16*1553.25</f>
        <v>1646445.0000000035</v>
      </c>
      <c r="K16" s="10">
        <f t="shared" ref="K16:K37" si="9">G16+J16</f>
        <v>6968915.0000001071</v>
      </c>
      <c r="L16" s="12">
        <f t="shared" ref="L16:L37" si="10">K16*1.1</f>
        <v>7665806.5000001183</v>
      </c>
      <c r="M16" s="81">
        <f t="shared" si="6"/>
        <v>544.29185600682467</v>
      </c>
      <c r="N16" s="80"/>
    </row>
    <row r="17" spans="1:14" ht="17.100000000000001" customHeight="1">
      <c r="A17" s="76"/>
      <c r="B17" s="73">
        <v>10</v>
      </c>
      <c r="C17" s="35">
        <v>7</v>
      </c>
      <c r="D17" s="35">
        <v>38</v>
      </c>
      <c r="E17" s="10">
        <v>2.6599999999999682</v>
      </c>
      <c r="F17" s="11">
        <f t="shared" si="0"/>
        <v>5319.9999999999363</v>
      </c>
      <c r="G17" s="3">
        <f t="shared" si="1"/>
        <v>5508859.9999999339</v>
      </c>
      <c r="H17" s="10">
        <v>0.51000000000000512</v>
      </c>
      <c r="I17" s="11">
        <f t="shared" si="7"/>
        <v>1020.0000000000102</v>
      </c>
      <c r="J17" s="3">
        <f t="shared" si="8"/>
        <v>1584315.0000000158</v>
      </c>
      <c r="K17" s="10">
        <f t="shared" si="9"/>
        <v>7093174.9999999497</v>
      </c>
      <c r="L17" s="12">
        <f t="shared" si="10"/>
        <v>7802492.4999999451</v>
      </c>
      <c r="M17" s="81">
        <f t="shared" si="6"/>
        <v>553.9969113888061</v>
      </c>
      <c r="N17" s="80"/>
    </row>
    <row r="18" spans="1:14" ht="17.100000000000001" customHeight="1">
      <c r="A18" s="76"/>
      <c r="B18" s="73">
        <v>11</v>
      </c>
      <c r="C18" s="35">
        <v>6</v>
      </c>
      <c r="D18" s="35">
        <v>33</v>
      </c>
      <c r="E18" s="10">
        <v>2.6299999999999955</v>
      </c>
      <c r="F18" s="11">
        <f t="shared" si="0"/>
        <v>5259.9999999999909</v>
      </c>
      <c r="G18" s="3">
        <f t="shared" si="1"/>
        <v>5446729.9999999907</v>
      </c>
      <c r="H18" s="10">
        <v>0.46999999999999886</v>
      </c>
      <c r="I18" s="11">
        <f t="shared" si="7"/>
        <v>939.99999999999773</v>
      </c>
      <c r="J18" s="3">
        <f t="shared" si="8"/>
        <v>1460054.9999999965</v>
      </c>
      <c r="K18" s="10">
        <f t="shared" si="9"/>
        <v>6906784.999999987</v>
      </c>
      <c r="L18" s="12">
        <f t="shared" si="10"/>
        <v>7597463.499999986</v>
      </c>
      <c r="M18" s="81">
        <f t="shared" si="6"/>
        <v>539.43932831581833</v>
      </c>
      <c r="N18" s="80"/>
    </row>
    <row r="19" spans="1:14" ht="17.100000000000001" customHeight="1">
      <c r="A19" s="76"/>
      <c r="B19" s="73">
        <v>12</v>
      </c>
      <c r="C19" s="35">
        <v>9</v>
      </c>
      <c r="D19" s="35">
        <v>49</v>
      </c>
      <c r="E19" s="10">
        <v>2.5300000000000296</v>
      </c>
      <c r="F19" s="11">
        <f t="shared" si="0"/>
        <v>5060.0000000000591</v>
      </c>
      <c r="G19" s="3">
        <f t="shared" si="1"/>
        <v>5239630.0000000615</v>
      </c>
      <c r="H19" s="10">
        <v>0.53000000000000114</v>
      </c>
      <c r="I19" s="11">
        <f t="shared" si="7"/>
        <v>1060.0000000000023</v>
      </c>
      <c r="J19" s="3">
        <f t="shared" si="8"/>
        <v>1646445.0000000035</v>
      </c>
      <c r="K19" s="10">
        <f t="shared" si="9"/>
        <v>6886075.0000000652</v>
      </c>
      <c r="L19" s="12">
        <f t="shared" si="10"/>
        <v>7574682.5000000726</v>
      </c>
      <c r="M19" s="81">
        <f t="shared" si="6"/>
        <v>537.82181908549228</v>
      </c>
      <c r="N19" s="80"/>
    </row>
    <row r="20" spans="1:14" ht="17.100000000000001" customHeight="1">
      <c r="A20" s="76"/>
      <c r="B20" s="73">
        <v>13</v>
      </c>
      <c r="C20" s="35">
        <v>8</v>
      </c>
      <c r="D20" s="35">
        <v>44</v>
      </c>
      <c r="E20" s="10">
        <v>2.5099999999999909</v>
      </c>
      <c r="F20" s="11">
        <f t="shared" si="0"/>
        <v>5019.9999999999818</v>
      </c>
      <c r="G20" s="3">
        <f t="shared" si="1"/>
        <v>5198209.9999999814</v>
      </c>
      <c r="H20" s="10">
        <v>0.47999999999998977</v>
      </c>
      <c r="I20" s="11">
        <f t="shared" si="7"/>
        <v>959.99999999997954</v>
      </c>
      <c r="J20" s="3">
        <f t="shared" si="8"/>
        <v>1491119.9999999681</v>
      </c>
      <c r="K20" s="10">
        <f t="shared" si="9"/>
        <v>6689329.9999999497</v>
      </c>
      <c r="L20" s="12">
        <f t="shared" si="10"/>
        <v>7358262.9999999451</v>
      </c>
      <c r="M20" s="81">
        <f t="shared" si="6"/>
        <v>522.45548139732637</v>
      </c>
      <c r="N20" s="80"/>
    </row>
    <row r="21" spans="1:14" ht="17.100000000000001" customHeight="1">
      <c r="A21" s="76"/>
      <c r="B21" s="73">
        <v>14</v>
      </c>
      <c r="C21" s="35">
        <v>12</v>
      </c>
      <c r="D21" s="35">
        <v>66</v>
      </c>
      <c r="E21" s="10">
        <v>2.5999999999999659</v>
      </c>
      <c r="F21" s="11">
        <f t="shared" si="0"/>
        <v>5199.9999999999318</v>
      </c>
      <c r="G21" s="3">
        <f t="shared" si="1"/>
        <v>5384599.9999999292</v>
      </c>
      <c r="H21" s="10">
        <v>0.53000000000000114</v>
      </c>
      <c r="I21" s="11">
        <f t="shared" si="7"/>
        <v>1060.0000000000023</v>
      </c>
      <c r="J21" s="3">
        <f t="shared" si="8"/>
        <v>1646445.0000000035</v>
      </c>
      <c r="K21" s="10">
        <f t="shared" si="9"/>
        <v>7031044.9999999329</v>
      </c>
      <c r="L21" s="12">
        <f t="shared" si="10"/>
        <v>7734149.4999999264</v>
      </c>
      <c r="M21" s="81">
        <f t="shared" si="6"/>
        <v>549.14438369780794</v>
      </c>
      <c r="N21" s="80"/>
    </row>
    <row r="22" spans="1:14" ht="17.100000000000001" customHeight="1">
      <c r="A22" s="76"/>
      <c r="B22" s="73">
        <v>15</v>
      </c>
      <c r="C22" s="35">
        <v>12</v>
      </c>
      <c r="D22" s="35">
        <v>66</v>
      </c>
      <c r="E22" s="10">
        <v>2.75</v>
      </c>
      <c r="F22" s="11">
        <f t="shared" si="0"/>
        <v>5500</v>
      </c>
      <c r="G22" s="3">
        <f t="shared" si="1"/>
        <v>5695250</v>
      </c>
      <c r="H22" s="10">
        <v>0.52000000000001023</v>
      </c>
      <c r="I22" s="11">
        <f t="shared" si="7"/>
        <v>1040.0000000000205</v>
      </c>
      <c r="J22" s="3">
        <f t="shared" si="8"/>
        <v>1615380.0000000319</v>
      </c>
      <c r="K22" s="10">
        <f t="shared" si="9"/>
        <v>7310630.0000000317</v>
      </c>
      <c r="L22" s="12">
        <f t="shared" si="10"/>
        <v>8041693.0000000354</v>
      </c>
      <c r="M22" s="81">
        <f t="shared" si="6"/>
        <v>570.98075830730158</v>
      </c>
      <c r="N22" s="80"/>
    </row>
    <row r="23" spans="1:14" ht="17.100000000000001" customHeight="1">
      <c r="A23" s="76"/>
      <c r="B23" s="73">
        <v>16</v>
      </c>
      <c r="C23" s="35">
        <v>9</v>
      </c>
      <c r="D23" s="35">
        <v>49</v>
      </c>
      <c r="E23" s="10">
        <v>2.5300000000000296</v>
      </c>
      <c r="F23" s="11">
        <f t="shared" si="0"/>
        <v>5060.0000000000591</v>
      </c>
      <c r="G23" s="3">
        <f t="shared" si="1"/>
        <v>5239630.0000000615</v>
      </c>
      <c r="H23" s="10">
        <v>0.5</v>
      </c>
      <c r="I23" s="11">
        <f t="shared" si="7"/>
        <v>1000</v>
      </c>
      <c r="J23" s="3">
        <f t="shared" si="8"/>
        <v>1553250</v>
      </c>
      <c r="K23" s="10">
        <f t="shared" si="9"/>
        <v>6792880.0000000615</v>
      </c>
      <c r="L23" s="12">
        <f t="shared" si="10"/>
        <v>7472168.000000068</v>
      </c>
      <c r="M23" s="81">
        <f t="shared" si="6"/>
        <v>530.54302754899663</v>
      </c>
      <c r="N23" s="80"/>
    </row>
    <row r="24" spans="1:14" ht="17.100000000000001" customHeight="1">
      <c r="A24" s="76"/>
      <c r="B24" s="73">
        <v>17</v>
      </c>
      <c r="C24" s="35">
        <v>8</v>
      </c>
      <c r="D24" s="35">
        <v>44</v>
      </c>
      <c r="E24" s="10">
        <v>2.589999999999975</v>
      </c>
      <c r="F24" s="11">
        <f t="shared" si="0"/>
        <v>5179.99999999995</v>
      </c>
      <c r="G24" s="3">
        <f t="shared" si="1"/>
        <v>5363889.9999999478</v>
      </c>
      <c r="H24" s="10">
        <v>0.5</v>
      </c>
      <c r="I24" s="11">
        <f t="shared" si="7"/>
        <v>1000</v>
      </c>
      <c r="J24" s="3">
        <f t="shared" si="8"/>
        <v>1553250</v>
      </c>
      <c r="K24" s="10">
        <f t="shared" si="9"/>
        <v>6917139.9999999478</v>
      </c>
      <c r="L24" s="12">
        <f t="shared" si="10"/>
        <v>7608853.9999999432</v>
      </c>
      <c r="M24" s="81">
        <f t="shared" si="6"/>
        <v>540.24808293098147</v>
      </c>
      <c r="N24" s="80"/>
    </row>
    <row r="25" spans="1:14" ht="17.100000000000001" customHeight="1">
      <c r="A25" s="76"/>
      <c r="B25" s="73">
        <v>18</v>
      </c>
      <c r="C25" s="35">
        <v>3</v>
      </c>
      <c r="D25" s="35">
        <v>16</v>
      </c>
      <c r="E25" s="10">
        <v>2.5300000000000296</v>
      </c>
      <c r="F25" s="11">
        <f t="shared" si="0"/>
        <v>5060.0000000000591</v>
      </c>
      <c r="G25" s="3">
        <f t="shared" si="1"/>
        <v>5239630.0000000615</v>
      </c>
      <c r="H25" s="10">
        <v>0.44999999999998863</v>
      </c>
      <c r="I25" s="11">
        <f t="shared" si="7"/>
        <v>899.99999999997726</v>
      </c>
      <c r="J25" s="3">
        <f t="shared" si="8"/>
        <v>1397924.9999999646</v>
      </c>
      <c r="K25" s="10">
        <f t="shared" si="9"/>
        <v>6637555.0000000261</v>
      </c>
      <c r="L25" s="12">
        <f t="shared" si="10"/>
        <v>7301310.5000000289</v>
      </c>
      <c r="M25" s="81">
        <f t="shared" si="6"/>
        <v>518.41170832150158</v>
      </c>
      <c r="N25" s="80"/>
    </row>
    <row r="26" spans="1:14" ht="17.100000000000001" customHeight="1">
      <c r="A26" s="76"/>
      <c r="B26" s="73">
        <v>19</v>
      </c>
      <c r="C26" s="35">
        <v>4</v>
      </c>
      <c r="D26" s="35">
        <v>22</v>
      </c>
      <c r="E26" s="10">
        <v>2.4300000000000068</v>
      </c>
      <c r="F26" s="11">
        <f t="shared" si="0"/>
        <v>4860.0000000000136</v>
      </c>
      <c r="G26" s="3">
        <f t="shared" si="1"/>
        <v>5032530.000000014</v>
      </c>
      <c r="H26" s="10">
        <v>0.48000000000000398</v>
      </c>
      <c r="I26" s="11">
        <f t="shared" si="7"/>
        <v>960.00000000000796</v>
      </c>
      <c r="J26" s="3">
        <f t="shared" si="8"/>
        <v>1491120.0000000123</v>
      </c>
      <c r="K26" s="10">
        <f t="shared" si="9"/>
        <v>6523650.0000000261</v>
      </c>
      <c r="L26" s="12">
        <f t="shared" si="10"/>
        <v>7176015.0000000289</v>
      </c>
      <c r="M26" s="81">
        <f t="shared" si="6"/>
        <v>509.51540755467403</v>
      </c>
      <c r="N26" s="80"/>
    </row>
    <row r="27" spans="1:14" ht="17.100000000000001" customHeight="1">
      <c r="A27" s="76"/>
      <c r="B27" s="73">
        <v>20</v>
      </c>
      <c r="C27" s="35">
        <v>11</v>
      </c>
      <c r="D27" s="35">
        <v>60</v>
      </c>
      <c r="E27" s="10">
        <v>2.4699999999999704</v>
      </c>
      <c r="F27" s="11">
        <f t="shared" si="0"/>
        <v>4939.9999999999409</v>
      </c>
      <c r="G27" s="3">
        <f t="shared" si="1"/>
        <v>5115369.9999999385</v>
      </c>
      <c r="H27" s="10">
        <v>0.46000000000000796</v>
      </c>
      <c r="I27" s="11">
        <f t="shared" si="7"/>
        <v>920.00000000001592</v>
      </c>
      <c r="J27" s="3">
        <f t="shared" si="8"/>
        <v>1428990.0000000247</v>
      </c>
      <c r="K27" s="10">
        <f t="shared" si="9"/>
        <v>6544359.9999999627</v>
      </c>
      <c r="L27" s="12">
        <f t="shared" si="10"/>
        <v>7198795.99999996</v>
      </c>
      <c r="M27" s="81">
        <f t="shared" si="6"/>
        <v>511.13291678500144</v>
      </c>
      <c r="N27" s="80"/>
    </row>
    <row r="28" spans="1:14" ht="17.100000000000001" customHeight="1">
      <c r="A28" s="76"/>
      <c r="B28" s="73">
        <v>21</v>
      </c>
      <c r="C28" s="35">
        <v>14</v>
      </c>
      <c r="D28" s="35">
        <v>77</v>
      </c>
      <c r="E28" s="10">
        <v>2.6200000000000045</v>
      </c>
      <c r="F28" s="11">
        <f t="shared" si="0"/>
        <v>5240.0000000000091</v>
      </c>
      <c r="G28" s="3">
        <f t="shared" si="1"/>
        <v>5426020.0000000093</v>
      </c>
      <c r="H28" s="10">
        <v>0.60999999999999943</v>
      </c>
      <c r="I28" s="11">
        <f t="shared" si="7"/>
        <v>1219.9999999999989</v>
      </c>
      <c r="J28" s="3">
        <f t="shared" si="8"/>
        <v>1894964.9999999981</v>
      </c>
      <c r="K28" s="10">
        <f t="shared" si="9"/>
        <v>7320985.0000000075</v>
      </c>
      <c r="L28" s="12">
        <f t="shared" si="10"/>
        <v>8053083.5000000084</v>
      </c>
      <c r="M28" s="81">
        <f t="shared" si="6"/>
        <v>571.78951292246586</v>
      </c>
      <c r="N28" s="80"/>
    </row>
    <row r="29" spans="1:14" ht="17.100000000000001" customHeight="1">
      <c r="A29" s="76"/>
      <c r="B29" s="73">
        <v>22</v>
      </c>
      <c r="C29" s="35">
        <v>9</v>
      </c>
      <c r="D29" s="35">
        <v>49</v>
      </c>
      <c r="E29" s="10">
        <v>2.5799999999999841</v>
      </c>
      <c r="F29" s="11">
        <f t="shared" si="0"/>
        <v>5159.9999999999682</v>
      </c>
      <c r="G29" s="3">
        <f t="shared" si="1"/>
        <v>5343179.9999999674</v>
      </c>
      <c r="H29" s="10">
        <v>0.53999999999999204</v>
      </c>
      <c r="I29" s="11">
        <f t="shared" si="7"/>
        <v>1079.9999999999841</v>
      </c>
      <c r="J29" s="3">
        <f t="shared" si="8"/>
        <v>1677509.9999999753</v>
      </c>
      <c r="K29" s="10">
        <f t="shared" si="9"/>
        <v>7020689.9999999423</v>
      </c>
      <c r="L29" s="12">
        <f t="shared" si="10"/>
        <v>7722758.9999999367</v>
      </c>
      <c r="M29" s="81">
        <f t="shared" si="6"/>
        <v>548.33562908264253</v>
      </c>
      <c r="N29" s="80"/>
    </row>
    <row r="30" spans="1:14" ht="17.100000000000001" customHeight="1">
      <c r="A30" s="76"/>
      <c r="B30" s="73">
        <v>23</v>
      </c>
      <c r="C30" s="35">
        <v>7</v>
      </c>
      <c r="D30" s="35">
        <v>40</v>
      </c>
      <c r="E30" s="10">
        <v>2.4900000000000091</v>
      </c>
      <c r="F30" s="11">
        <f t="shared" si="0"/>
        <v>4980.0000000000182</v>
      </c>
      <c r="G30" s="3">
        <f t="shared" si="1"/>
        <v>5156790.0000000186</v>
      </c>
      <c r="H30" s="10">
        <v>0.49000000000000909</v>
      </c>
      <c r="I30" s="11">
        <f t="shared" si="7"/>
        <v>980.00000000001819</v>
      </c>
      <c r="J30" s="3">
        <f t="shared" si="8"/>
        <v>1522185.0000000282</v>
      </c>
      <c r="K30" s="10">
        <f t="shared" si="9"/>
        <v>6678975.0000000466</v>
      </c>
      <c r="L30" s="12">
        <f t="shared" si="10"/>
        <v>7346872.5000000522</v>
      </c>
      <c r="M30" s="81">
        <f t="shared" si="6"/>
        <v>521.64672678216789</v>
      </c>
      <c r="N30" s="80"/>
    </row>
    <row r="31" spans="1:14" ht="17.100000000000001" customHeight="1">
      <c r="A31" s="76"/>
      <c r="B31" s="73">
        <v>24</v>
      </c>
      <c r="C31" s="35">
        <v>3</v>
      </c>
      <c r="D31" s="35">
        <v>16</v>
      </c>
      <c r="E31" s="10">
        <v>2.410000000000025</v>
      </c>
      <c r="F31" s="11">
        <f t="shared" si="0"/>
        <v>4820.00000000005</v>
      </c>
      <c r="G31" s="3">
        <f t="shared" si="1"/>
        <v>4991110.0000000522</v>
      </c>
      <c r="H31" s="10">
        <v>0.51999999999999602</v>
      </c>
      <c r="I31" s="11">
        <f t="shared" si="7"/>
        <v>1039.999999999992</v>
      </c>
      <c r="J31" s="3">
        <f t="shared" si="8"/>
        <v>1615379.9999999877</v>
      </c>
      <c r="K31" s="10">
        <f t="shared" si="9"/>
        <v>6606490.00000004</v>
      </c>
      <c r="L31" s="12">
        <f t="shared" si="10"/>
        <v>7267139.0000000447</v>
      </c>
      <c r="M31" s="81">
        <f t="shared" si="6"/>
        <v>515.98544447600432</v>
      </c>
      <c r="N31" s="80"/>
    </row>
    <row r="32" spans="1:14" ht="17.100000000000001" customHeight="1">
      <c r="A32" s="76"/>
      <c r="B32" s="73">
        <v>25</v>
      </c>
      <c r="C32" s="35">
        <v>4</v>
      </c>
      <c r="D32" s="35">
        <v>22</v>
      </c>
      <c r="E32" s="10">
        <v>2.3799999999999955</v>
      </c>
      <c r="F32" s="11">
        <f t="shared" si="0"/>
        <v>4759.9999999999909</v>
      </c>
      <c r="G32" s="3">
        <f t="shared" si="1"/>
        <v>4928979.9999999907</v>
      </c>
      <c r="H32" s="10">
        <v>0.45000000000000284</v>
      </c>
      <c r="I32" s="11">
        <f t="shared" si="7"/>
        <v>900.00000000000568</v>
      </c>
      <c r="J32" s="3">
        <f t="shared" si="8"/>
        <v>1397925.0000000088</v>
      </c>
      <c r="K32" s="10">
        <f t="shared" si="9"/>
        <v>6326905</v>
      </c>
      <c r="L32" s="12">
        <f t="shared" si="10"/>
        <v>6959595.5000000009</v>
      </c>
      <c r="M32" s="81">
        <f t="shared" si="6"/>
        <v>494.14906986651528</v>
      </c>
      <c r="N32" s="80"/>
    </row>
    <row r="33" spans="1:16" ht="17.100000000000001" customHeight="1">
      <c r="A33" s="76"/>
      <c r="B33" s="73">
        <v>26</v>
      </c>
      <c r="C33" s="35">
        <v>2</v>
      </c>
      <c r="D33" s="35">
        <v>11</v>
      </c>
      <c r="E33" s="10">
        <v>2.4399999999999977</v>
      </c>
      <c r="F33" s="11">
        <f t="shared" si="0"/>
        <v>4879.9999999999955</v>
      </c>
      <c r="G33" s="3">
        <f t="shared" si="1"/>
        <v>5053239.9999999953</v>
      </c>
      <c r="H33" s="10">
        <v>0.46999999999999886</v>
      </c>
      <c r="I33" s="11">
        <f t="shared" si="7"/>
        <v>939.99999999999773</v>
      </c>
      <c r="J33" s="3">
        <f t="shared" si="8"/>
        <v>1460054.9999999965</v>
      </c>
      <c r="K33" s="10">
        <f t="shared" si="9"/>
        <v>6513294.9999999916</v>
      </c>
      <c r="L33" s="12">
        <f t="shared" si="10"/>
        <v>7164624.4999999916</v>
      </c>
      <c r="M33" s="81">
        <f t="shared" si="6"/>
        <v>508.7066529395052</v>
      </c>
      <c r="N33" s="80"/>
    </row>
    <row r="34" spans="1:16" ht="17.100000000000001" customHeight="1">
      <c r="A34" s="76"/>
      <c r="B34" s="73">
        <v>27</v>
      </c>
      <c r="C34" s="35">
        <v>5</v>
      </c>
      <c r="D34" s="35">
        <v>27</v>
      </c>
      <c r="E34" s="10">
        <v>2.5</v>
      </c>
      <c r="F34" s="11">
        <f t="shared" si="0"/>
        <v>5000</v>
      </c>
      <c r="G34" s="3">
        <f t="shared" si="1"/>
        <v>5177500</v>
      </c>
      <c r="H34" s="10">
        <v>0.47999999999998977</v>
      </c>
      <c r="I34" s="11">
        <f t="shared" si="7"/>
        <v>959.99999999997954</v>
      </c>
      <c r="J34" s="3">
        <f t="shared" si="8"/>
        <v>1491119.9999999681</v>
      </c>
      <c r="K34" s="10">
        <f t="shared" si="9"/>
        <v>6668619.9999999683</v>
      </c>
      <c r="L34" s="12">
        <f t="shared" si="10"/>
        <v>7335481.9999999655</v>
      </c>
      <c r="M34" s="81">
        <f t="shared" si="6"/>
        <v>520.83797216699554</v>
      </c>
      <c r="N34" s="80"/>
    </row>
    <row r="35" spans="1:16" ht="17.100000000000001" customHeight="1">
      <c r="A35" s="76"/>
      <c r="B35" s="73">
        <v>28</v>
      </c>
      <c r="C35" s="35">
        <v>4</v>
      </c>
      <c r="D35" s="35">
        <v>22</v>
      </c>
      <c r="E35" s="10">
        <v>2.3700000000000045</v>
      </c>
      <c r="F35" s="11">
        <f t="shared" si="0"/>
        <v>4740.0000000000091</v>
      </c>
      <c r="G35" s="3">
        <f t="shared" si="1"/>
        <v>4908270.0000000093</v>
      </c>
      <c r="H35" s="10">
        <v>0.46000000000000796</v>
      </c>
      <c r="I35" s="11">
        <f t="shared" si="7"/>
        <v>920.00000000001592</v>
      </c>
      <c r="J35" s="3">
        <f t="shared" si="8"/>
        <v>1428990.0000000247</v>
      </c>
      <c r="K35" s="10">
        <f t="shared" si="9"/>
        <v>6337260.0000000335</v>
      </c>
      <c r="L35" s="12">
        <f t="shared" si="10"/>
        <v>6970986.0000000373</v>
      </c>
      <c r="M35" s="81">
        <f t="shared" si="6"/>
        <v>494.95782448168399</v>
      </c>
      <c r="N35" s="80"/>
    </row>
    <row r="36" spans="1:16" ht="17.100000000000001" customHeight="1">
      <c r="A36" s="76"/>
      <c r="B36" s="73">
        <v>29</v>
      </c>
      <c r="C36" s="35">
        <v>6</v>
      </c>
      <c r="D36" s="35">
        <v>33</v>
      </c>
      <c r="E36" s="10">
        <v>2.4599999999999795</v>
      </c>
      <c r="F36" s="11">
        <f t="shared" si="0"/>
        <v>4919.9999999999591</v>
      </c>
      <c r="G36" s="3">
        <f t="shared" si="1"/>
        <v>5094659.9999999572</v>
      </c>
      <c r="H36" s="10">
        <v>0.48999999999999488</v>
      </c>
      <c r="I36" s="11">
        <f t="shared" si="7"/>
        <v>979.99999999998977</v>
      </c>
      <c r="J36" s="3">
        <f t="shared" si="8"/>
        <v>1522184.9999999842</v>
      </c>
      <c r="K36" s="10">
        <f t="shared" si="9"/>
        <v>6616844.9999999413</v>
      </c>
      <c r="L36" s="12">
        <f t="shared" si="10"/>
        <v>7278529.4999999357</v>
      </c>
      <c r="M36" s="81">
        <f t="shared" si="6"/>
        <v>516.79419909116268</v>
      </c>
      <c r="N36" s="80"/>
    </row>
    <row r="37" spans="1:16" ht="17.100000000000001" customHeight="1">
      <c r="A37" s="76"/>
      <c r="B37" s="73">
        <v>30</v>
      </c>
      <c r="C37" s="35">
        <v>7</v>
      </c>
      <c r="D37" s="35">
        <v>38</v>
      </c>
      <c r="E37" s="10">
        <v>2.3199999999999932</v>
      </c>
      <c r="F37" s="11">
        <f t="shared" si="0"/>
        <v>4639.9999999999864</v>
      </c>
      <c r="G37" s="3">
        <f t="shared" si="1"/>
        <v>4804719.999999986</v>
      </c>
      <c r="H37" s="10">
        <v>0.49000000000000909</v>
      </c>
      <c r="I37" s="11">
        <f t="shared" si="7"/>
        <v>980.00000000001819</v>
      </c>
      <c r="J37" s="3">
        <f t="shared" si="8"/>
        <v>1522185.0000000282</v>
      </c>
      <c r="K37" s="10">
        <f t="shared" si="9"/>
        <v>6326905.000000014</v>
      </c>
      <c r="L37" s="12">
        <f t="shared" si="10"/>
        <v>6959595.5000000158</v>
      </c>
      <c r="M37" s="81">
        <f t="shared" si="6"/>
        <v>494.1490698665163</v>
      </c>
      <c r="N37" s="80"/>
    </row>
    <row r="38" spans="1:16" ht="17.100000000000001" customHeight="1">
      <c r="A38" s="76"/>
      <c r="B38" s="73">
        <v>31</v>
      </c>
      <c r="C38" s="35">
        <v>5</v>
      </c>
      <c r="D38" s="35">
        <v>27</v>
      </c>
      <c r="E38" s="10">
        <v>2.4200000000000159</v>
      </c>
      <c r="F38" s="11">
        <f t="shared" si="0"/>
        <v>4840.0000000000318</v>
      </c>
      <c r="G38" s="3">
        <f t="shared" si="1"/>
        <v>5011820.0000000326</v>
      </c>
      <c r="H38" s="10">
        <v>0.43999999999999773</v>
      </c>
      <c r="I38" s="11">
        <f t="shared" ref="I38" si="11">H38*2000</f>
        <v>879.99999999999545</v>
      </c>
      <c r="J38" s="3">
        <f t="shared" ref="J38" si="12">I38*1553.25</f>
        <v>1366859.999999993</v>
      </c>
      <c r="K38" s="10">
        <f t="shared" ref="K38" si="13">G38+J38</f>
        <v>6378680.0000000261</v>
      </c>
      <c r="L38" s="12">
        <f t="shared" ref="L38" si="14">K38*1.1</f>
        <v>7016548.0000000289</v>
      </c>
      <c r="M38" s="81">
        <f t="shared" si="6"/>
        <v>498.19284294234797</v>
      </c>
      <c r="N38" s="80"/>
    </row>
    <row r="39" spans="1:16" ht="15">
      <c r="C39" s="18">
        <f>SUM(C8:C38)</f>
        <v>295</v>
      </c>
      <c r="D39" s="18">
        <f>SUM(D8:D38)</f>
        <v>1637</v>
      </c>
      <c r="F39" s="18">
        <f>SUM(F8:F38)</f>
        <v>164059.99999999997</v>
      </c>
      <c r="I39" s="18">
        <f>SUM(I8:I38)</f>
        <v>31920.000000000015</v>
      </c>
      <c r="K39" s="1" t="s">
        <v>28</v>
      </c>
      <c r="L39" s="51">
        <f>SUM(L8:L38)</f>
        <v>241410257</v>
      </c>
      <c r="M39" s="52">
        <f>SUM(M8:M38)</f>
        <v>17140.745313831296</v>
      </c>
      <c r="N39" s="45"/>
      <c r="P39" s="38" t="e">
        <f>#REF!+#REF!+#REF!+#REF!+#REF!+#REF!+#REF!+#REF!+#REF!+#REF!+M39+#REF!</f>
        <v>#REF!</v>
      </c>
    </row>
    <row r="40" spans="1:16">
      <c r="K40" s="40">
        <f>F39+I39</f>
        <v>195980</v>
      </c>
    </row>
    <row r="41" spans="1:16">
      <c r="C41" t="s">
        <v>29</v>
      </c>
      <c r="M41" s="40"/>
      <c r="P41" s="36"/>
    </row>
    <row r="42" spans="1:16">
      <c r="M42" s="43"/>
    </row>
  </sheetData>
  <mergeCells count="17">
    <mergeCell ref="E5:G5"/>
    <mergeCell ref="G6:G7"/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topLeftCell="A3" workbookViewId="0">
      <pane xSplit="2" ySplit="6" topLeftCell="C9" activePane="bottomRight" state="frozen"/>
      <selection pane="bottomRight" activeCell="Q44" sqref="Q44"/>
      <selection pane="bottomLeft" activeCell="A9" sqref="A9"/>
      <selection pane="topRight" activeCell="C3" sqref="C3"/>
    </sheetView>
  </sheetViews>
  <sheetFormatPr defaultRowHeight="12.75"/>
  <cols>
    <col min="1" max="1" width="2.5703125" customWidth="1"/>
    <col min="2" max="2" width="5.42578125" customWidth="1"/>
    <col min="3" max="3" width="6.42578125" style="1" customWidth="1"/>
    <col min="4" max="4" width="8.42578125" style="6" customWidth="1"/>
    <col min="5" max="5" width="11" style="1" customWidth="1"/>
    <col min="6" max="6" width="9.5703125" style="1" customWidth="1"/>
    <col min="7" max="7" width="11.140625" style="1" customWidth="1"/>
    <col min="8" max="8" width="9.42578125" style="1" customWidth="1"/>
    <col min="9" max="9" width="7.140625" style="1" customWidth="1"/>
    <col min="10" max="10" width="13.7109375" style="1" customWidth="1"/>
    <col min="11" max="11" width="11.140625" style="1" customWidth="1"/>
    <col min="12" max="12" width="6.7109375" style="1" customWidth="1"/>
    <col min="13" max="13" width="13.7109375" style="34" customWidth="1"/>
    <col min="14" max="14" width="8.7109375" style="1" customWidth="1"/>
    <col min="15" max="15" width="6.42578125" style="1" customWidth="1"/>
    <col min="16" max="16" width="11.140625" style="1" customWidth="1"/>
    <col min="17" max="17" width="15" style="6" customWidth="1"/>
    <col min="18" max="18" width="16.28515625" style="1" customWidth="1"/>
    <col min="19" max="19" width="2.5703125" customWidth="1"/>
    <col min="21" max="21" width="21.5703125" customWidth="1"/>
  </cols>
  <sheetData>
    <row r="1" spans="1:19" ht="15.75">
      <c r="B1" s="83" t="s">
        <v>30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</row>
    <row r="2" spans="1:19" ht="15.75">
      <c r="B2" s="83" t="s">
        <v>16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</row>
    <row r="3" spans="1:19">
      <c r="E3" s="8"/>
      <c r="F3" s="9"/>
      <c r="G3" s="9"/>
      <c r="H3" s="9"/>
      <c r="I3" s="9"/>
      <c r="J3" s="9"/>
      <c r="K3" s="9"/>
      <c r="L3" s="9"/>
      <c r="M3" s="25"/>
      <c r="N3" s="8"/>
      <c r="O3" s="9"/>
      <c r="P3" s="9"/>
      <c r="Q3" s="17"/>
    </row>
    <row r="4" spans="1:19">
      <c r="A4" s="7"/>
      <c r="B4" s="88">
        <v>44197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7"/>
    </row>
    <row r="5" spans="1:19" ht="23.25" customHeight="1">
      <c r="A5" s="75"/>
      <c r="B5" s="82" t="s">
        <v>17</v>
      </c>
      <c r="C5" s="82" t="s">
        <v>18</v>
      </c>
      <c r="D5" s="82" t="s">
        <v>13</v>
      </c>
      <c r="E5" s="90" t="s">
        <v>31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89" t="s">
        <v>32</v>
      </c>
      <c r="R5" s="89"/>
      <c r="S5" s="65"/>
    </row>
    <row r="6" spans="1:19" s="6" customFormat="1" ht="48" customHeight="1">
      <c r="A6" s="75"/>
      <c r="B6" s="82"/>
      <c r="C6" s="82"/>
      <c r="D6" s="82"/>
      <c r="E6" s="90" t="s">
        <v>33</v>
      </c>
      <c r="F6" s="90"/>
      <c r="G6" s="90"/>
      <c r="H6" s="90" t="s">
        <v>34</v>
      </c>
      <c r="I6" s="90"/>
      <c r="J6" s="90"/>
      <c r="K6" s="90" t="s">
        <v>35</v>
      </c>
      <c r="L6" s="90"/>
      <c r="M6" s="90"/>
      <c r="N6" s="91" t="s">
        <v>36</v>
      </c>
      <c r="O6" s="91"/>
      <c r="P6" s="91"/>
      <c r="Q6" s="89"/>
      <c r="R6" s="89"/>
      <c r="S6" s="65"/>
    </row>
    <row r="7" spans="1:19" ht="36" customHeight="1">
      <c r="A7" s="76"/>
      <c r="B7" s="82"/>
      <c r="C7" s="82"/>
      <c r="D7" s="82"/>
      <c r="E7" s="82" t="s">
        <v>37</v>
      </c>
      <c r="F7" s="92" t="s">
        <v>38</v>
      </c>
      <c r="G7" s="69" t="s">
        <v>39</v>
      </c>
      <c r="H7" s="82" t="s">
        <v>40</v>
      </c>
      <c r="I7" s="82" t="s">
        <v>38</v>
      </c>
      <c r="J7" s="69" t="s">
        <v>39</v>
      </c>
      <c r="K7" s="82" t="s">
        <v>37</v>
      </c>
      <c r="L7" s="82" t="s">
        <v>38</v>
      </c>
      <c r="M7" s="69" t="s">
        <v>41</v>
      </c>
      <c r="N7" s="82" t="s">
        <v>42</v>
      </c>
      <c r="O7" s="82" t="s">
        <v>38</v>
      </c>
      <c r="P7" s="69" t="s">
        <v>41</v>
      </c>
      <c r="Q7" s="89"/>
      <c r="R7" s="89"/>
      <c r="S7" s="66"/>
    </row>
    <row r="8" spans="1:19" ht="15.75" customHeight="1">
      <c r="A8" s="76"/>
      <c r="B8" s="82"/>
      <c r="C8" s="82"/>
      <c r="D8" s="82"/>
      <c r="E8" s="82"/>
      <c r="F8" s="93"/>
      <c r="G8" s="78">
        <v>10630</v>
      </c>
      <c r="H8" s="82"/>
      <c r="I8" s="82"/>
      <c r="J8" s="78">
        <f>G8</f>
        <v>10630</v>
      </c>
      <c r="K8" s="82"/>
      <c r="L8" s="82"/>
      <c r="M8" s="78">
        <f>J8</f>
        <v>10630</v>
      </c>
      <c r="N8" s="82"/>
      <c r="O8" s="82"/>
      <c r="P8" s="78">
        <f>J8</f>
        <v>10630</v>
      </c>
      <c r="Q8" s="79" t="s">
        <v>43</v>
      </c>
      <c r="R8" s="69" t="s">
        <v>23</v>
      </c>
      <c r="S8" s="66"/>
    </row>
    <row r="9" spans="1:19" ht="17.100000000000001" customHeight="1">
      <c r="A9" s="76"/>
      <c r="B9" s="73">
        <v>1</v>
      </c>
      <c r="C9" s="15">
        <f>Electricity!C8</f>
        <v>13</v>
      </c>
      <c r="D9" s="15">
        <f>Electricity!D8</f>
        <v>88</v>
      </c>
      <c r="E9" s="2">
        <v>8</v>
      </c>
      <c r="F9" s="10">
        <v>100.37374465485644</v>
      </c>
      <c r="G9" s="23">
        <f>F9*$G$8</f>
        <v>1066972.905681124</v>
      </c>
      <c r="H9" s="2"/>
      <c r="I9" s="23"/>
      <c r="J9" s="23">
        <f>I9*$J$8</f>
        <v>0</v>
      </c>
      <c r="K9" s="2"/>
      <c r="L9" s="10">
        <v>0</v>
      </c>
      <c r="M9" s="11">
        <f>L9*$M$8</f>
        <v>0</v>
      </c>
      <c r="N9" s="2"/>
      <c r="O9" s="10">
        <v>7.14</v>
      </c>
      <c r="P9" s="10">
        <f>O9*$P$8</f>
        <v>75898.2</v>
      </c>
      <c r="Q9" s="16">
        <f>P9+G9+J9+M9</f>
        <v>1142871.1056811239</v>
      </c>
      <c r="R9" s="74">
        <f>Q9/14084</f>
        <v>81.146769787072131</v>
      </c>
      <c r="S9" s="66"/>
    </row>
    <row r="10" spans="1:19" ht="17.100000000000001" customHeight="1">
      <c r="A10" s="76"/>
      <c r="B10" s="73">
        <v>2</v>
      </c>
      <c r="C10" s="15">
        <f>Electricity!C9</f>
        <v>14</v>
      </c>
      <c r="D10" s="15">
        <f>Electricity!D9</f>
        <v>81</v>
      </c>
      <c r="E10" s="2">
        <v>8</v>
      </c>
      <c r="F10" s="10">
        <v>91.821514966401949</v>
      </c>
      <c r="G10" s="23">
        <f>F10*$G$8</f>
        <v>976062.70409285277</v>
      </c>
      <c r="H10" s="2"/>
      <c r="I10" s="23"/>
      <c r="J10" s="23">
        <f>I10*$J$8</f>
        <v>0</v>
      </c>
      <c r="K10" s="2"/>
      <c r="L10" s="10">
        <v>0</v>
      </c>
      <c r="M10" s="11">
        <f t="shared" ref="M10:M38" si="0">L10*$M$8</f>
        <v>0</v>
      </c>
      <c r="N10" s="2"/>
      <c r="O10" s="10">
        <v>7.14</v>
      </c>
      <c r="P10" s="10">
        <f>O10*$P$8</f>
        <v>75898.2</v>
      </c>
      <c r="Q10" s="16">
        <f>J10+M10+G10+P10</f>
        <v>1051960.9040928527</v>
      </c>
      <c r="R10" s="74">
        <f t="shared" ref="R10:R39" si="1">Q10/14084</f>
        <v>74.691913099464131</v>
      </c>
      <c r="S10" s="66"/>
    </row>
    <row r="11" spans="1:19" ht="17.100000000000001" customHeight="1">
      <c r="A11" s="76"/>
      <c r="B11" s="73">
        <v>3</v>
      </c>
      <c r="C11" s="15">
        <f>Electricity!C10</f>
        <v>23</v>
      </c>
      <c r="D11" s="15">
        <f>Electricity!D10</f>
        <v>126</v>
      </c>
      <c r="E11" s="2">
        <v>8</v>
      </c>
      <c r="F11" s="10">
        <v>146.80013439218084</v>
      </c>
      <c r="G11" s="23">
        <f t="shared" ref="G11:G39" si="2">F11*$G$8</f>
        <v>1560485.4285888823</v>
      </c>
      <c r="H11" s="2"/>
      <c r="I11" s="23"/>
      <c r="J11" s="23">
        <f t="shared" ref="J11:J38" si="3">I11*$J$8</f>
        <v>0</v>
      </c>
      <c r="K11" s="2"/>
      <c r="L11" s="10">
        <v>0</v>
      </c>
      <c r="M11" s="11">
        <f t="shared" si="0"/>
        <v>0</v>
      </c>
      <c r="N11" s="2"/>
      <c r="O11" s="10">
        <v>7.14</v>
      </c>
      <c r="P11" s="10">
        <f t="shared" ref="P11:P39" si="4">O11*$P$8</f>
        <v>75898.2</v>
      </c>
      <c r="Q11" s="16">
        <f t="shared" ref="Q11:Q39" si="5">J11+M11+G11+P11</f>
        <v>1636383.6285888823</v>
      </c>
      <c r="R11" s="74">
        <f t="shared" si="1"/>
        <v>116.18742037694422</v>
      </c>
      <c r="S11" s="66"/>
    </row>
    <row r="12" spans="1:19" ht="17.100000000000001" customHeight="1">
      <c r="A12" s="76"/>
      <c r="B12" s="73">
        <v>4</v>
      </c>
      <c r="C12" s="15">
        <f>Electricity!C11</f>
        <v>20</v>
      </c>
      <c r="D12" s="15">
        <f>Electricity!D11</f>
        <v>110</v>
      </c>
      <c r="E12" s="2">
        <v>8</v>
      </c>
      <c r="F12" s="10">
        <v>127.25218081857055</v>
      </c>
      <c r="G12" s="23">
        <f t="shared" si="2"/>
        <v>1352690.682101405</v>
      </c>
      <c r="H12" s="2"/>
      <c r="I12" s="23"/>
      <c r="J12" s="23">
        <f t="shared" si="3"/>
        <v>0</v>
      </c>
      <c r="K12" s="2"/>
      <c r="L12" s="10">
        <v>0</v>
      </c>
      <c r="M12" s="11">
        <f t="shared" si="0"/>
        <v>0</v>
      </c>
      <c r="N12" s="2"/>
      <c r="O12" s="10">
        <v>7.14</v>
      </c>
      <c r="P12" s="10">
        <f t="shared" si="4"/>
        <v>75898.2</v>
      </c>
      <c r="Q12" s="16">
        <f t="shared" si="5"/>
        <v>1428588.8821014049</v>
      </c>
      <c r="R12" s="74">
        <f t="shared" si="1"/>
        <v>101.43346223384017</v>
      </c>
      <c r="S12" s="66"/>
    </row>
    <row r="13" spans="1:19" ht="17.100000000000001" customHeight="1">
      <c r="A13" s="76"/>
      <c r="B13" s="73">
        <v>5</v>
      </c>
      <c r="C13" s="15">
        <f>Electricity!C12</f>
        <v>21</v>
      </c>
      <c r="D13" s="15">
        <f>Electricity!D12</f>
        <v>115</v>
      </c>
      <c r="E13" s="2">
        <v>8</v>
      </c>
      <c r="F13" s="10">
        <v>133.3609163103238</v>
      </c>
      <c r="G13" s="23">
        <f t="shared" si="2"/>
        <v>1417626.5403787419</v>
      </c>
      <c r="H13" s="2"/>
      <c r="I13" s="23"/>
      <c r="J13" s="23">
        <f t="shared" si="3"/>
        <v>0</v>
      </c>
      <c r="K13" s="2"/>
      <c r="L13" s="10">
        <v>0</v>
      </c>
      <c r="M13" s="11">
        <f t="shared" si="0"/>
        <v>0</v>
      </c>
      <c r="N13" s="2"/>
      <c r="O13" s="10">
        <v>7.14</v>
      </c>
      <c r="P13" s="10">
        <f t="shared" si="4"/>
        <v>75898.2</v>
      </c>
      <c r="Q13" s="16">
        <f t="shared" si="5"/>
        <v>1493524.7403787419</v>
      </c>
      <c r="R13" s="74">
        <f t="shared" si="1"/>
        <v>106.0440741535602</v>
      </c>
      <c r="S13" s="66"/>
    </row>
    <row r="14" spans="1:19" ht="17.100000000000001" customHeight="1">
      <c r="A14" s="76"/>
      <c r="B14" s="73">
        <v>6</v>
      </c>
      <c r="C14" s="15">
        <f>Electricity!C13</f>
        <v>17</v>
      </c>
      <c r="D14" s="15">
        <f>Electricity!D13</f>
        <v>93</v>
      </c>
      <c r="E14" s="2">
        <v>8</v>
      </c>
      <c r="F14" s="10">
        <v>106.48248014660965</v>
      </c>
      <c r="G14" s="23">
        <f t="shared" si="2"/>
        <v>1131908.7639584607</v>
      </c>
      <c r="H14" s="2"/>
      <c r="I14" s="23"/>
      <c r="J14" s="23">
        <f t="shared" si="3"/>
        <v>0</v>
      </c>
      <c r="K14" s="2"/>
      <c r="L14" s="10">
        <v>0</v>
      </c>
      <c r="M14" s="11">
        <f t="shared" si="0"/>
        <v>0</v>
      </c>
      <c r="N14" s="2"/>
      <c r="O14" s="10">
        <v>7.14</v>
      </c>
      <c r="P14" s="10">
        <f t="shared" si="4"/>
        <v>75898.2</v>
      </c>
      <c r="Q14" s="16">
        <f t="shared" si="5"/>
        <v>1207806.9639584606</v>
      </c>
      <c r="R14" s="74">
        <f t="shared" si="1"/>
        <v>85.757381706792145</v>
      </c>
      <c r="S14" s="66"/>
    </row>
    <row r="15" spans="1:19" ht="17.100000000000001" customHeight="1">
      <c r="A15" s="76"/>
      <c r="B15" s="73">
        <v>7</v>
      </c>
      <c r="C15" s="15">
        <f>Electricity!C14</f>
        <v>10</v>
      </c>
      <c r="D15" s="15">
        <f>Electricity!D14</f>
        <v>55</v>
      </c>
      <c r="E15" s="2">
        <v>8</v>
      </c>
      <c r="F15" s="10">
        <v>60.056090409285275</v>
      </c>
      <c r="G15" s="23">
        <f t="shared" si="2"/>
        <v>638396.24105070252</v>
      </c>
      <c r="H15" s="2"/>
      <c r="I15" s="23"/>
      <c r="J15" s="23">
        <f t="shared" si="3"/>
        <v>0</v>
      </c>
      <c r="K15" s="2"/>
      <c r="L15" s="10">
        <v>0</v>
      </c>
      <c r="M15" s="11">
        <f t="shared" si="0"/>
        <v>0</v>
      </c>
      <c r="N15" s="2"/>
      <c r="O15" s="10">
        <v>7.14</v>
      </c>
      <c r="P15" s="10">
        <f t="shared" si="4"/>
        <v>75898.2</v>
      </c>
      <c r="Q15" s="16">
        <f t="shared" si="5"/>
        <v>714294.44105070247</v>
      </c>
      <c r="R15" s="74">
        <f t="shared" si="1"/>
        <v>50.716731116920087</v>
      </c>
      <c r="S15" s="66"/>
    </row>
    <row r="16" spans="1:19" ht="17.100000000000001" customHeight="1">
      <c r="A16" s="76"/>
      <c r="B16" s="73">
        <v>8</v>
      </c>
      <c r="C16" s="15">
        <f>Electricity!C15</f>
        <v>11</v>
      </c>
      <c r="D16" s="15">
        <f>Electricity!D15</f>
        <v>60</v>
      </c>
      <c r="E16" s="2">
        <v>8</v>
      </c>
      <c r="F16" s="10">
        <v>66.164825901038483</v>
      </c>
      <c r="G16" s="23">
        <f t="shared" si="2"/>
        <v>703332.0993280391</v>
      </c>
      <c r="H16" s="2"/>
      <c r="I16" s="23"/>
      <c r="J16" s="23">
        <f t="shared" si="3"/>
        <v>0</v>
      </c>
      <c r="K16" s="2"/>
      <c r="L16" s="10">
        <v>0</v>
      </c>
      <c r="M16" s="11">
        <f t="shared" si="0"/>
        <v>0</v>
      </c>
      <c r="N16" s="2"/>
      <c r="O16" s="10">
        <v>7.14</v>
      </c>
      <c r="P16" s="10">
        <f t="shared" si="4"/>
        <v>75898.2</v>
      </c>
      <c r="Q16" s="16">
        <f t="shared" si="5"/>
        <v>779230.29932803905</v>
      </c>
      <c r="R16" s="74">
        <f t="shared" si="1"/>
        <v>55.327343036640094</v>
      </c>
      <c r="S16" s="66"/>
    </row>
    <row r="17" spans="1:19" ht="17.100000000000001" customHeight="1">
      <c r="A17" s="76"/>
      <c r="B17" s="73">
        <v>9</v>
      </c>
      <c r="C17" s="15">
        <f>Electricity!C16</f>
        <v>11</v>
      </c>
      <c r="D17" s="15">
        <f>Electricity!D16</f>
        <v>60</v>
      </c>
      <c r="E17" s="2">
        <v>8</v>
      </c>
      <c r="F17" s="10">
        <v>66.164825901038483</v>
      </c>
      <c r="G17" s="23">
        <f t="shared" si="2"/>
        <v>703332.0993280391</v>
      </c>
      <c r="H17" s="2"/>
      <c r="I17" s="23"/>
      <c r="J17" s="23">
        <f t="shared" si="3"/>
        <v>0</v>
      </c>
      <c r="K17" s="2"/>
      <c r="L17" s="10">
        <v>0</v>
      </c>
      <c r="M17" s="11">
        <f t="shared" si="0"/>
        <v>0</v>
      </c>
      <c r="N17" s="2"/>
      <c r="O17" s="10">
        <v>7.14</v>
      </c>
      <c r="P17" s="10">
        <f t="shared" si="4"/>
        <v>75898.2</v>
      </c>
      <c r="Q17" s="16">
        <f t="shared" si="5"/>
        <v>779230.29932803905</v>
      </c>
      <c r="R17" s="74">
        <f t="shared" si="1"/>
        <v>55.327343036640094</v>
      </c>
      <c r="S17" s="66"/>
    </row>
    <row r="18" spans="1:19" ht="17.100000000000001" customHeight="1">
      <c r="A18" s="76"/>
      <c r="B18" s="73">
        <v>10</v>
      </c>
      <c r="C18" s="15">
        <f>Electricity!C17</f>
        <v>7</v>
      </c>
      <c r="D18" s="15">
        <f>Electricity!D17</f>
        <v>38</v>
      </c>
      <c r="E18" s="2">
        <v>8</v>
      </c>
      <c r="F18" s="10">
        <v>39.286389737324377</v>
      </c>
      <c r="G18" s="23">
        <f t="shared" si="2"/>
        <v>417614.32290775812</v>
      </c>
      <c r="H18" s="2"/>
      <c r="I18" s="23"/>
      <c r="J18" s="23">
        <f t="shared" si="3"/>
        <v>0</v>
      </c>
      <c r="K18" s="2"/>
      <c r="L18" s="10">
        <v>0</v>
      </c>
      <c r="M18" s="11">
        <f t="shared" si="0"/>
        <v>0</v>
      </c>
      <c r="N18" s="2"/>
      <c r="O18" s="10">
        <v>7.14</v>
      </c>
      <c r="P18" s="10">
        <f t="shared" si="4"/>
        <v>75898.2</v>
      </c>
      <c r="Q18" s="16">
        <f t="shared" si="5"/>
        <v>493512.52290775813</v>
      </c>
      <c r="R18" s="74">
        <f t="shared" si="1"/>
        <v>35.040650589872065</v>
      </c>
      <c r="S18" s="66"/>
    </row>
    <row r="19" spans="1:19" ht="17.100000000000001" customHeight="1">
      <c r="A19" s="76"/>
      <c r="B19" s="73">
        <v>11</v>
      </c>
      <c r="C19" s="15">
        <f>Electricity!C18</f>
        <v>6</v>
      </c>
      <c r="D19" s="15">
        <f>Electricity!D18</f>
        <v>33</v>
      </c>
      <c r="E19" s="2">
        <v>8</v>
      </c>
      <c r="F19" s="10">
        <v>33.177654245571162</v>
      </c>
      <c r="G19" s="23">
        <f t="shared" si="2"/>
        <v>352678.46463042143</v>
      </c>
      <c r="H19" s="2"/>
      <c r="I19" s="23"/>
      <c r="J19" s="23">
        <f t="shared" si="3"/>
        <v>0</v>
      </c>
      <c r="K19" s="2"/>
      <c r="L19" s="10">
        <v>0</v>
      </c>
      <c r="M19" s="11">
        <f t="shared" si="0"/>
        <v>0</v>
      </c>
      <c r="N19" s="2"/>
      <c r="O19" s="10">
        <v>7.14</v>
      </c>
      <c r="P19" s="10">
        <f t="shared" si="4"/>
        <v>75898.2</v>
      </c>
      <c r="Q19" s="16">
        <f t="shared" si="5"/>
        <v>428576.66463042144</v>
      </c>
      <c r="R19" s="74">
        <f t="shared" si="1"/>
        <v>30.430038670152047</v>
      </c>
      <c r="S19" s="66"/>
    </row>
    <row r="20" spans="1:19" ht="17.100000000000001" customHeight="1">
      <c r="A20" s="76"/>
      <c r="B20" s="73">
        <v>12</v>
      </c>
      <c r="C20" s="15">
        <f>Electricity!C19</f>
        <v>9</v>
      </c>
      <c r="D20" s="15">
        <f>Electricity!D19</f>
        <v>49</v>
      </c>
      <c r="E20" s="2">
        <v>8</v>
      </c>
      <c r="F20" s="10">
        <v>52.725607819181434</v>
      </c>
      <c r="G20" s="23">
        <f t="shared" si="2"/>
        <v>560473.2111178987</v>
      </c>
      <c r="H20" s="2"/>
      <c r="I20" s="23"/>
      <c r="J20" s="23">
        <f t="shared" si="3"/>
        <v>0</v>
      </c>
      <c r="K20" s="2"/>
      <c r="L20" s="10">
        <v>0</v>
      </c>
      <c r="M20" s="11">
        <f t="shared" si="0"/>
        <v>0</v>
      </c>
      <c r="N20" s="2"/>
      <c r="O20" s="10">
        <v>7.14</v>
      </c>
      <c r="P20" s="10">
        <f t="shared" si="4"/>
        <v>75898.2</v>
      </c>
      <c r="Q20" s="16">
        <f t="shared" si="5"/>
        <v>636371.41111789865</v>
      </c>
      <c r="R20" s="74">
        <f t="shared" si="1"/>
        <v>45.18399681325608</v>
      </c>
      <c r="S20" s="66"/>
    </row>
    <row r="21" spans="1:19" ht="17.100000000000001" customHeight="1">
      <c r="A21" s="76"/>
      <c r="B21" s="73">
        <v>13</v>
      </c>
      <c r="C21" s="15">
        <f>Electricity!C20</f>
        <v>8</v>
      </c>
      <c r="D21" s="15">
        <f>Electricity!D20</f>
        <v>44</v>
      </c>
      <c r="E21" s="2">
        <v>8</v>
      </c>
      <c r="F21" s="10">
        <v>46.616872327428219</v>
      </c>
      <c r="G21" s="23">
        <f t="shared" si="2"/>
        <v>495537.35284056194</v>
      </c>
      <c r="H21" s="2"/>
      <c r="I21" s="23"/>
      <c r="J21" s="23">
        <f t="shared" si="3"/>
        <v>0</v>
      </c>
      <c r="K21" s="2"/>
      <c r="L21" s="10">
        <v>0</v>
      </c>
      <c r="M21" s="11">
        <f t="shared" si="0"/>
        <v>0</v>
      </c>
      <c r="N21" s="2"/>
      <c r="O21" s="10">
        <v>7.14</v>
      </c>
      <c r="P21" s="10">
        <f t="shared" si="4"/>
        <v>75898.2</v>
      </c>
      <c r="Q21" s="16">
        <f t="shared" si="5"/>
        <v>571435.55284056196</v>
      </c>
      <c r="R21" s="74">
        <f t="shared" si="1"/>
        <v>40.573384893536065</v>
      </c>
      <c r="S21" s="66"/>
    </row>
    <row r="22" spans="1:19" ht="17.100000000000001" customHeight="1">
      <c r="A22" s="76"/>
      <c r="B22" s="73">
        <v>14</v>
      </c>
      <c r="C22" s="15">
        <f>Electricity!C21</f>
        <v>12</v>
      </c>
      <c r="D22" s="15">
        <f>Electricity!D21</f>
        <v>66</v>
      </c>
      <c r="E22" s="2">
        <v>8</v>
      </c>
      <c r="F22" s="10">
        <v>73.495308491142325</v>
      </c>
      <c r="G22" s="23">
        <f t="shared" si="2"/>
        <v>781255.12926084292</v>
      </c>
      <c r="H22" s="2"/>
      <c r="I22" s="23"/>
      <c r="J22" s="23">
        <f t="shared" si="3"/>
        <v>0</v>
      </c>
      <c r="K22" s="2"/>
      <c r="L22" s="10">
        <v>0</v>
      </c>
      <c r="M22" s="11">
        <f t="shared" si="0"/>
        <v>0</v>
      </c>
      <c r="N22" s="2"/>
      <c r="O22" s="10">
        <v>7.14</v>
      </c>
      <c r="P22" s="10">
        <f t="shared" si="4"/>
        <v>75898.2</v>
      </c>
      <c r="Q22" s="16">
        <f t="shared" si="5"/>
        <v>857153.32926084287</v>
      </c>
      <c r="R22" s="74">
        <f t="shared" si="1"/>
        <v>60.860077340304095</v>
      </c>
      <c r="S22" s="66"/>
    </row>
    <row r="23" spans="1:19" ht="17.100000000000001" customHeight="1">
      <c r="A23" s="76"/>
      <c r="B23" s="73">
        <v>15</v>
      </c>
      <c r="C23" s="15">
        <f>Electricity!C22</f>
        <v>12</v>
      </c>
      <c r="D23" s="15">
        <f>Electricity!D22</f>
        <v>66</v>
      </c>
      <c r="E23" s="2">
        <v>8</v>
      </c>
      <c r="F23" s="10">
        <v>73.495308491142325</v>
      </c>
      <c r="G23" s="23">
        <f t="shared" si="2"/>
        <v>781255.12926084292</v>
      </c>
      <c r="H23" s="2"/>
      <c r="I23" s="23"/>
      <c r="J23" s="23">
        <f t="shared" si="3"/>
        <v>0</v>
      </c>
      <c r="K23" s="2"/>
      <c r="L23" s="10">
        <v>0</v>
      </c>
      <c r="M23" s="11">
        <f t="shared" si="0"/>
        <v>0</v>
      </c>
      <c r="N23" s="2"/>
      <c r="O23" s="10">
        <v>7.14</v>
      </c>
      <c r="P23" s="10">
        <f t="shared" si="4"/>
        <v>75898.2</v>
      </c>
      <c r="Q23" s="16">
        <f t="shared" si="5"/>
        <v>857153.32926084287</v>
      </c>
      <c r="R23" s="74">
        <f t="shared" si="1"/>
        <v>60.860077340304095</v>
      </c>
      <c r="S23" s="66"/>
    </row>
    <row r="24" spans="1:19" ht="17.100000000000001" customHeight="1">
      <c r="A24" s="76"/>
      <c r="B24" s="73">
        <v>16</v>
      </c>
      <c r="C24" s="15">
        <f>Electricity!C23</f>
        <v>9</v>
      </c>
      <c r="D24" s="15">
        <f>Electricity!D23</f>
        <v>49</v>
      </c>
      <c r="E24" s="2">
        <v>8</v>
      </c>
      <c r="F24" s="10">
        <v>52.725607819181434</v>
      </c>
      <c r="G24" s="23">
        <f t="shared" si="2"/>
        <v>560473.2111178987</v>
      </c>
      <c r="H24" s="2"/>
      <c r="I24" s="23"/>
      <c r="J24" s="23">
        <f t="shared" si="3"/>
        <v>0</v>
      </c>
      <c r="K24" s="2"/>
      <c r="L24" s="10">
        <v>0</v>
      </c>
      <c r="M24" s="11">
        <f t="shared" si="0"/>
        <v>0</v>
      </c>
      <c r="N24" s="2"/>
      <c r="O24" s="10">
        <v>7.14</v>
      </c>
      <c r="P24" s="10">
        <f t="shared" si="4"/>
        <v>75898.2</v>
      </c>
      <c r="Q24" s="16">
        <f t="shared" si="5"/>
        <v>636371.41111789865</v>
      </c>
      <c r="R24" s="74">
        <f t="shared" si="1"/>
        <v>45.18399681325608</v>
      </c>
      <c r="S24" s="66"/>
    </row>
    <row r="25" spans="1:19" ht="17.100000000000001" customHeight="1">
      <c r="A25" s="76"/>
      <c r="B25" s="73">
        <v>17</v>
      </c>
      <c r="C25" s="15">
        <f>Electricity!C24</f>
        <v>8</v>
      </c>
      <c r="D25" s="15">
        <f>Electricity!D24</f>
        <v>44</v>
      </c>
      <c r="E25" s="2">
        <v>8</v>
      </c>
      <c r="F25" s="10">
        <v>46.616872327428219</v>
      </c>
      <c r="G25" s="23">
        <f t="shared" si="2"/>
        <v>495537.35284056194</v>
      </c>
      <c r="H25" s="2"/>
      <c r="I25" s="23"/>
      <c r="J25" s="23">
        <f t="shared" si="3"/>
        <v>0</v>
      </c>
      <c r="K25" s="2"/>
      <c r="L25" s="10">
        <v>0</v>
      </c>
      <c r="M25" s="11">
        <f t="shared" si="0"/>
        <v>0</v>
      </c>
      <c r="N25" s="2"/>
      <c r="O25" s="10">
        <v>7.14</v>
      </c>
      <c r="P25" s="10">
        <f t="shared" si="4"/>
        <v>75898.2</v>
      </c>
      <c r="Q25" s="16">
        <f t="shared" si="5"/>
        <v>571435.55284056196</v>
      </c>
      <c r="R25" s="74">
        <f t="shared" si="1"/>
        <v>40.573384893536065</v>
      </c>
      <c r="S25" s="66"/>
    </row>
    <row r="26" spans="1:19" ht="17.100000000000001" customHeight="1">
      <c r="A26" s="76"/>
      <c r="B26" s="73">
        <v>18</v>
      </c>
      <c r="C26" s="15">
        <f>Electricity!C25</f>
        <v>3</v>
      </c>
      <c r="D26" s="15">
        <f>Electricity!D25</f>
        <v>16</v>
      </c>
      <c r="E26" s="2">
        <v>8</v>
      </c>
      <c r="F26" s="10">
        <v>12.407953573610264</v>
      </c>
      <c r="G26" s="23">
        <f t="shared" si="2"/>
        <v>131896.54648747711</v>
      </c>
      <c r="H26" s="2"/>
      <c r="I26" s="23"/>
      <c r="J26" s="23">
        <f t="shared" si="3"/>
        <v>0</v>
      </c>
      <c r="K26" s="2"/>
      <c r="L26" s="10">
        <v>0</v>
      </c>
      <c r="M26" s="11">
        <f t="shared" si="0"/>
        <v>0</v>
      </c>
      <c r="N26" s="2"/>
      <c r="O26" s="10">
        <v>7.14</v>
      </c>
      <c r="P26" s="10">
        <f t="shared" si="4"/>
        <v>75898.2</v>
      </c>
      <c r="Q26" s="16">
        <f t="shared" si="5"/>
        <v>207794.7464874771</v>
      </c>
      <c r="R26" s="74">
        <f t="shared" si="1"/>
        <v>14.753958143104025</v>
      </c>
      <c r="S26" s="66"/>
    </row>
    <row r="27" spans="1:19" ht="17.100000000000001" customHeight="1">
      <c r="A27" s="76"/>
      <c r="B27" s="73">
        <v>19</v>
      </c>
      <c r="C27" s="15">
        <f>Electricity!C26</f>
        <v>4</v>
      </c>
      <c r="D27" s="15">
        <f>Electricity!D26</f>
        <v>22</v>
      </c>
      <c r="E27" s="2">
        <v>8</v>
      </c>
      <c r="F27" s="10">
        <v>19.738436163714109</v>
      </c>
      <c r="G27" s="23">
        <f t="shared" si="2"/>
        <v>209819.57642028097</v>
      </c>
      <c r="H27" s="2"/>
      <c r="I27" s="23"/>
      <c r="J27" s="23">
        <f t="shared" si="3"/>
        <v>0</v>
      </c>
      <c r="K27" s="2"/>
      <c r="L27" s="10">
        <v>0</v>
      </c>
      <c r="M27" s="11">
        <f t="shared" si="0"/>
        <v>0</v>
      </c>
      <c r="N27" s="2"/>
      <c r="O27" s="10">
        <v>7.14</v>
      </c>
      <c r="P27" s="10">
        <f t="shared" si="4"/>
        <v>75898.2</v>
      </c>
      <c r="Q27" s="16">
        <f t="shared" si="5"/>
        <v>285717.77642028098</v>
      </c>
      <c r="R27" s="74">
        <f t="shared" si="1"/>
        <v>20.286692446768033</v>
      </c>
      <c r="S27" s="66"/>
    </row>
    <row r="28" spans="1:19" ht="17.100000000000001" customHeight="1">
      <c r="A28" s="76"/>
      <c r="B28" s="73">
        <v>20</v>
      </c>
      <c r="C28" s="15">
        <f>Electricity!C27</f>
        <v>11</v>
      </c>
      <c r="D28" s="15">
        <f>Electricity!D27</f>
        <v>60</v>
      </c>
      <c r="E28" s="2">
        <v>8</v>
      </c>
      <c r="F28" s="10">
        <v>66.164825901038483</v>
      </c>
      <c r="G28" s="23">
        <f t="shared" si="2"/>
        <v>703332.0993280391</v>
      </c>
      <c r="H28" s="2"/>
      <c r="I28" s="23"/>
      <c r="J28" s="23">
        <f t="shared" si="3"/>
        <v>0</v>
      </c>
      <c r="K28" s="2"/>
      <c r="L28" s="10">
        <v>0</v>
      </c>
      <c r="M28" s="11">
        <f t="shared" si="0"/>
        <v>0</v>
      </c>
      <c r="N28" s="2"/>
      <c r="O28" s="10">
        <v>7.14</v>
      </c>
      <c r="P28" s="10">
        <f t="shared" si="4"/>
        <v>75898.2</v>
      </c>
      <c r="Q28" s="16">
        <f t="shared" si="5"/>
        <v>779230.29932803905</v>
      </c>
      <c r="R28" s="74">
        <f t="shared" si="1"/>
        <v>55.327343036640094</v>
      </c>
      <c r="S28" s="66"/>
    </row>
    <row r="29" spans="1:19" ht="17.100000000000001" customHeight="1">
      <c r="A29" s="76"/>
      <c r="B29" s="73">
        <v>21</v>
      </c>
      <c r="C29" s="15">
        <f>Electricity!C28</f>
        <v>14</v>
      </c>
      <c r="D29" s="15">
        <f>Electricity!D28</f>
        <v>77</v>
      </c>
      <c r="E29" s="2">
        <v>8</v>
      </c>
      <c r="F29" s="10">
        <v>86.934526572999388</v>
      </c>
      <c r="G29" s="23">
        <f t="shared" si="2"/>
        <v>924114.01747098356</v>
      </c>
      <c r="H29" s="2"/>
      <c r="I29" s="23"/>
      <c r="J29" s="23">
        <f t="shared" si="3"/>
        <v>0</v>
      </c>
      <c r="K29" s="2"/>
      <c r="L29" s="10">
        <v>0</v>
      </c>
      <c r="M29" s="11">
        <f t="shared" si="0"/>
        <v>0</v>
      </c>
      <c r="N29" s="2"/>
      <c r="O29" s="10">
        <v>7.14</v>
      </c>
      <c r="P29" s="10">
        <f t="shared" si="4"/>
        <v>75898.2</v>
      </c>
      <c r="Q29" s="16">
        <f t="shared" si="5"/>
        <v>1000012.2174709835</v>
      </c>
      <c r="R29" s="74">
        <f t="shared" si="1"/>
        <v>71.003423563688116</v>
      </c>
      <c r="S29" s="66"/>
    </row>
    <row r="30" spans="1:19" ht="17.100000000000001" customHeight="1">
      <c r="A30" s="76"/>
      <c r="B30" s="73">
        <v>22</v>
      </c>
      <c r="C30" s="15">
        <f>Electricity!C29</f>
        <v>9</v>
      </c>
      <c r="D30" s="15">
        <f>Electricity!D29</f>
        <v>49</v>
      </c>
      <c r="E30" s="2">
        <v>8</v>
      </c>
      <c r="F30" s="10">
        <v>52.725607819181434</v>
      </c>
      <c r="G30" s="23">
        <f t="shared" si="2"/>
        <v>560473.2111178987</v>
      </c>
      <c r="H30" s="2"/>
      <c r="I30" s="23"/>
      <c r="J30" s="23">
        <f t="shared" si="3"/>
        <v>0</v>
      </c>
      <c r="K30" s="2"/>
      <c r="L30" s="10">
        <v>0</v>
      </c>
      <c r="M30" s="11">
        <f t="shared" si="0"/>
        <v>0</v>
      </c>
      <c r="N30" s="2"/>
      <c r="O30" s="10">
        <v>7.14</v>
      </c>
      <c r="P30" s="10">
        <f t="shared" si="4"/>
        <v>75898.2</v>
      </c>
      <c r="Q30" s="16">
        <f t="shared" si="5"/>
        <v>636371.41111789865</v>
      </c>
      <c r="R30" s="74">
        <f t="shared" si="1"/>
        <v>45.18399681325608</v>
      </c>
      <c r="S30" s="66"/>
    </row>
    <row r="31" spans="1:19" ht="17.100000000000001" customHeight="1">
      <c r="A31" s="76"/>
      <c r="B31" s="73">
        <v>23</v>
      </c>
      <c r="C31" s="15">
        <f>Electricity!C30</f>
        <v>7</v>
      </c>
      <c r="D31" s="15">
        <f>Electricity!D30</f>
        <v>40</v>
      </c>
      <c r="E31" s="2">
        <v>8</v>
      </c>
      <c r="F31" s="10">
        <v>41.729883934025658</v>
      </c>
      <c r="G31" s="23">
        <f t="shared" si="2"/>
        <v>443588.66621869273</v>
      </c>
      <c r="H31" s="2"/>
      <c r="I31" s="23"/>
      <c r="J31" s="23">
        <f t="shared" si="3"/>
        <v>0</v>
      </c>
      <c r="K31" s="2"/>
      <c r="L31" s="10">
        <v>0</v>
      </c>
      <c r="M31" s="11">
        <f t="shared" si="0"/>
        <v>0</v>
      </c>
      <c r="N31" s="2"/>
      <c r="O31" s="10">
        <v>7.14</v>
      </c>
      <c r="P31" s="10">
        <f t="shared" si="4"/>
        <v>75898.2</v>
      </c>
      <c r="Q31" s="16">
        <f t="shared" si="5"/>
        <v>519486.86621869274</v>
      </c>
      <c r="R31" s="74">
        <f t="shared" si="1"/>
        <v>36.884895357760065</v>
      </c>
      <c r="S31" s="66"/>
    </row>
    <row r="32" spans="1:19" ht="17.100000000000001" customHeight="1">
      <c r="A32" s="76"/>
      <c r="B32" s="73">
        <v>24</v>
      </c>
      <c r="C32" s="15">
        <f>Electricity!C31</f>
        <v>3</v>
      </c>
      <c r="D32" s="15">
        <f>Electricity!D31</f>
        <v>16</v>
      </c>
      <c r="E32" s="2">
        <v>8</v>
      </c>
      <c r="F32" s="10">
        <v>12.407953573610264</v>
      </c>
      <c r="G32" s="23">
        <f t="shared" si="2"/>
        <v>131896.54648747711</v>
      </c>
      <c r="H32" s="2"/>
      <c r="I32" s="23"/>
      <c r="J32" s="23">
        <f t="shared" si="3"/>
        <v>0</v>
      </c>
      <c r="K32" s="2"/>
      <c r="L32" s="10">
        <v>0</v>
      </c>
      <c r="M32" s="11">
        <f t="shared" si="0"/>
        <v>0</v>
      </c>
      <c r="N32" s="2"/>
      <c r="O32" s="10">
        <v>7.14</v>
      </c>
      <c r="P32" s="10">
        <f t="shared" si="4"/>
        <v>75898.2</v>
      </c>
      <c r="Q32" s="16">
        <f t="shared" si="5"/>
        <v>207794.7464874771</v>
      </c>
      <c r="R32" s="74">
        <f t="shared" si="1"/>
        <v>14.753958143104025</v>
      </c>
      <c r="S32" s="66"/>
    </row>
    <row r="33" spans="1:21" ht="17.100000000000001" customHeight="1">
      <c r="A33" s="76"/>
      <c r="B33" s="73">
        <v>25</v>
      </c>
      <c r="C33" s="15">
        <f>Electricity!C32</f>
        <v>4</v>
      </c>
      <c r="D33" s="15">
        <f>Electricity!D32</f>
        <v>22</v>
      </c>
      <c r="E33" s="2">
        <v>8</v>
      </c>
      <c r="F33" s="10">
        <v>19.738436163714109</v>
      </c>
      <c r="G33" s="23">
        <f t="shared" si="2"/>
        <v>209819.57642028097</v>
      </c>
      <c r="H33" s="2"/>
      <c r="I33" s="23"/>
      <c r="J33" s="23">
        <f t="shared" si="3"/>
        <v>0</v>
      </c>
      <c r="K33" s="2"/>
      <c r="L33" s="10">
        <v>0</v>
      </c>
      <c r="M33" s="11">
        <f t="shared" si="0"/>
        <v>0</v>
      </c>
      <c r="N33" s="2"/>
      <c r="O33" s="10">
        <v>7.14</v>
      </c>
      <c r="P33" s="10">
        <f t="shared" si="4"/>
        <v>75898.2</v>
      </c>
      <c r="Q33" s="16">
        <f t="shared" si="5"/>
        <v>285717.77642028098</v>
      </c>
      <c r="R33" s="74">
        <f t="shared" si="1"/>
        <v>20.286692446768033</v>
      </c>
      <c r="S33" s="66"/>
    </row>
    <row r="34" spans="1:21" ht="17.100000000000001" customHeight="1">
      <c r="A34" s="76"/>
      <c r="B34" s="73">
        <v>26</v>
      </c>
      <c r="C34" s="15">
        <f>Electricity!C33</f>
        <v>2</v>
      </c>
      <c r="D34" s="15">
        <f>Electricity!D33</f>
        <v>11</v>
      </c>
      <c r="E34" s="2">
        <v>8</v>
      </c>
      <c r="F34" s="10">
        <v>6.2992180818570551</v>
      </c>
      <c r="G34" s="23">
        <f t="shared" si="2"/>
        <v>66960.688210140492</v>
      </c>
      <c r="H34" s="2"/>
      <c r="I34" s="23"/>
      <c r="J34" s="23">
        <f t="shared" si="3"/>
        <v>0</v>
      </c>
      <c r="K34" s="2"/>
      <c r="L34" s="10">
        <v>0</v>
      </c>
      <c r="M34" s="11">
        <f t="shared" si="0"/>
        <v>0</v>
      </c>
      <c r="N34" s="2"/>
      <c r="O34" s="10">
        <v>7.14</v>
      </c>
      <c r="P34" s="10">
        <f t="shared" si="4"/>
        <v>75898.2</v>
      </c>
      <c r="Q34" s="16">
        <f t="shared" si="5"/>
        <v>142858.88821014049</v>
      </c>
      <c r="R34" s="74">
        <f t="shared" si="1"/>
        <v>10.143346223384016</v>
      </c>
      <c r="S34" s="66"/>
    </row>
    <row r="35" spans="1:21" ht="17.100000000000001" customHeight="1">
      <c r="A35" s="76"/>
      <c r="B35" s="73">
        <v>27</v>
      </c>
      <c r="C35" s="15">
        <f>Electricity!C34</f>
        <v>5</v>
      </c>
      <c r="D35" s="15">
        <f>Electricity!D34</f>
        <v>27</v>
      </c>
      <c r="E35" s="2">
        <v>8</v>
      </c>
      <c r="F35" s="10">
        <v>25.847171655467321</v>
      </c>
      <c r="G35" s="23">
        <f t="shared" si="2"/>
        <v>274755.4346976176</v>
      </c>
      <c r="H35" s="2"/>
      <c r="I35" s="23"/>
      <c r="J35" s="23">
        <f t="shared" si="3"/>
        <v>0</v>
      </c>
      <c r="K35" s="2"/>
      <c r="L35" s="10">
        <v>0</v>
      </c>
      <c r="M35" s="11">
        <f t="shared" si="0"/>
        <v>0</v>
      </c>
      <c r="N35" s="2"/>
      <c r="O35" s="10">
        <v>7.14</v>
      </c>
      <c r="P35" s="10">
        <f t="shared" si="4"/>
        <v>75898.2</v>
      </c>
      <c r="Q35" s="16">
        <f t="shared" si="5"/>
        <v>350653.63469761761</v>
      </c>
      <c r="R35" s="74">
        <f t="shared" si="1"/>
        <v>24.897304366488044</v>
      </c>
      <c r="S35" s="66"/>
    </row>
    <row r="36" spans="1:21" ht="17.100000000000001" customHeight="1">
      <c r="A36" s="76"/>
      <c r="B36" s="73">
        <v>28</v>
      </c>
      <c r="C36" s="15">
        <f>Electricity!C35</f>
        <v>4</v>
      </c>
      <c r="D36" s="15">
        <f>Electricity!D35</f>
        <v>22</v>
      </c>
      <c r="E36" s="2">
        <v>8</v>
      </c>
      <c r="F36" s="10">
        <v>19.738436163714109</v>
      </c>
      <c r="G36" s="23">
        <f t="shared" si="2"/>
        <v>209819.57642028097</v>
      </c>
      <c r="H36" s="2"/>
      <c r="I36" s="23"/>
      <c r="J36" s="23">
        <f t="shared" si="3"/>
        <v>0</v>
      </c>
      <c r="K36" s="2"/>
      <c r="L36" s="10">
        <v>0</v>
      </c>
      <c r="M36" s="11">
        <f t="shared" si="0"/>
        <v>0</v>
      </c>
      <c r="N36" s="2"/>
      <c r="O36" s="10">
        <v>7.14</v>
      </c>
      <c r="P36" s="10">
        <f t="shared" si="4"/>
        <v>75898.2</v>
      </c>
      <c r="Q36" s="16">
        <f t="shared" si="5"/>
        <v>285717.77642028098</v>
      </c>
      <c r="R36" s="74">
        <f t="shared" si="1"/>
        <v>20.286692446768033</v>
      </c>
      <c r="S36" s="66"/>
    </row>
    <row r="37" spans="1:21" ht="17.100000000000001" customHeight="1">
      <c r="A37" s="76"/>
      <c r="B37" s="73">
        <v>29</v>
      </c>
      <c r="C37" s="15">
        <f>Electricity!C36</f>
        <v>6</v>
      </c>
      <c r="D37" s="15">
        <f>Electricity!D36</f>
        <v>33</v>
      </c>
      <c r="E37" s="2">
        <v>8</v>
      </c>
      <c r="F37" s="10">
        <v>33.177654245571162</v>
      </c>
      <c r="G37" s="23">
        <f t="shared" si="2"/>
        <v>352678.46463042143</v>
      </c>
      <c r="H37" s="2"/>
      <c r="I37" s="23"/>
      <c r="J37" s="23">
        <f t="shared" si="3"/>
        <v>0</v>
      </c>
      <c r="K37" s="2"/>
      <c r="L37" s="10">
        <v>0</v>
      </c>
      <c r="M37" s="11">
        <f t="shared" si="0"/>
        <v>0</v>
      </c>
      <c r="N37" s="2"/>
      <c r="O37" s="10">
        <v>7.14</v>
      </c>
      <c r="P37" s="10">
        <f t="shared" si="4"/>
        <v>75898.2</v>
      </c>
      <c r="Q37" s="16">
        <f t="shared" si="5"/>
        <v>428576.66463042144</v>
      </c>
      <c r="R37" s="74">
        <f t="shared" si="1"/>
        <v>30.430038670152047</v>
      </c>
      <c r="S37" s="66"/>
    </row>
    <row r="38" spans="1:21" ht="17.100000000000001" customHeight="1">
      <c r="A38" s="76"/>
      <c r="B38" s="73">
        <v>30</v>
      </c>
      <c r="C38" s="15">
        <f>Electricity!C37</f>
        <v>7</v>
      </c>
      <c r="D38" s="15">
        <f>Electricity!D37</f>
        <v>38</v>
      </c>
      <c r="E38" s="2">
        <v>8</v>
      </c>
      <c r="F38" s="10">
        <v>39.286389737324377</v>
      </c>
      <c r="G38" s="23">
        <f t="shared" si="2"/>
        <v>417614.32290775812</v>
      </c>
      <c r="H38" s="2"/>
      <c r="I38" s="23"/>
      <c r="J38" s="23">
        <f t="shared" si="3"/>
        <v>0</v>
      </c>
      <c r="K38" s="2"/>
      <c r="L38" s="10">
        <v>0</v>
      </c>
      <c r="M38" s="11">
        <f t="shared" si="0"/>
        <v>0</v>
      </c>
      <c r="N38" s="2"/>
      <c r="O38" s="10">
        <v>7.14</v>
      </c>
      <c r="P38" s="10">
        <f t="shared" si="4"/>
        <v>75898.2</v>
      </c>
      <c r="Q38" s="16">
        <f t="shared" si="5"/>
        <v>493512.52290775813</v>
      </c>
      <c r="R38" s="74">
        <f t="shared" si="1"/>
        <v>35.040650589872065</v>
      </c>
      <c r="S38" s="66"/>
    </row>
    <row r="39" spans="1:21" ht="15">
      <c r="B39" s="73">
        <v>31</v>
      </c>
      <c r="C39" s="15">
        <f>Electricity!C38</f>
        <v>5</v>
      </c>
      <c r="D39" s="15">
        <f>Electricity!D38</f>
        <v>27</v>
      </c>
      <c r="E39" s="2">
        <v>8</v>
      </c>
      <c r="F39" s="10">
        <v>25.847171655467321</v>
      </c>
      <c r="G39" s="23">
        <f t="shared" si="2"/>
        <v>274755.4346976176</v>
      </c>
      <c r="H39" s="2"/>
      <c r="I39" s="23"/>
      <c r="J39" s="23"/>
      <c r="K39" s="23"/>
      <c r="L39" s="23"/>
      <c r="M39" s="23"/>
      <c r="N39" s="2"/>
      <c r="O39" s="10">
        <v>7.14</v>
      </c>
      <c r="P39" s="10">
        <f t="shared" si="4"/>
        <v>75898.2</v>
      </c>
      <c r="Q39" s="16">
        <f t="shared" si="5"/>
        <v>350653.63469761761</v>
      </c>
      <c r="R39" s="74">
        <f t="shared" si="1"/>
        <v>24.897304366488044</v>
      </c>
    </row>
    <row r="40" spans="1:21" ht="15.75">
      <c r="C40" s="47">
        <f>SUM(C9:C39)</f>
        <v>295</v>
      </c>
      <c r="D40" s="47">
        <f>SUM(D9:D39)</f>
        <v>1637</v>
      </c>
      <c r="E40" s="18"/>
      <c r="F40" s="18">
        <f>SUM(F9:F39)</f>
        <v>1778.66</v>
      </c>
      <c r="G40" s="9"/>
      <c r="H40" s="9"/>
      <c r="I40" s="18" t="s">
        <v>44</v>
      </c>
      <c r="J40" s="9"/>
      <c r="K40" s="9"/>
      <c r="L40" s="18" t="s">
        <v>44</v>
      </c>
      <c r="M40" s="9"/>
      <c r="N40" s="8"/>
      <c r="O40" s="18">
        <f>SUM(O9:O39)</f>
        <v>221.3399999999998</v>
      </c>
      <c r="P40" s="9"/>
      <c r="Q40" s="39"/>
      <c r="R40" s="50">
        <f>SUM(R9:R39)</f>
        <v>1509.5143425163303</v>
      </c>
      <c r="U40" s="38" t="e">
        <f>#REF!+#REF!+#REF!+#REF!+#REF!+#REF!+#REF!+#REF!+#REF!+#REF!+R40+#REF!</f>
        <v>#REF!</v>
      </c>
    </row>
    <row r="41" spans="1:21">
      <c r="E41" s="28"/>
      <c r="F41" s="29"/>
      <c r="G41" s="25"/>
      <c r="H41" s="25"/>
      <c r="I41" s="25"/>
      <c r="J41" s="25"/>
      <c r="K41" s="25"/>
      <c r="L41" s="25"/>
      <c r="M41" s="25"/>
      <c r="N41" s="8"/>
      <c r="O41" s="29"/>
      <c r="P41" s="30"/>
      <c r="Q41" s="18"/>
      <c r="R41" s="25"/>
      <c r="U41" s="36"/>
    </row>
    <row r="42" spans="1:21">
      <c r="B42" s="48" t="s">
        <v>29</v>
      </c>
      <c r="E42" s="8"/>
      <c r="F42" s="9"/>
      <c r="G42" s="9"/>
      <c r="H42" s="9"/>
      <c r="I42" s="9"/>
      <c r="J42" s="9"/>
      <c r="K42" s="9"/>
      <c r="L42" s="9"/>
      <c r="M42" s="25"/>
      <c r="N42" s="8"/>
      <c r="O42" s="9"/>
      <c r="P42" s="87" t="s">
        <v>45</v>
      </c>
      <c r="Q42" s="87"/>
      <c r="R42" s="41"/>
    </row>
    <row r="43" spans="1:21">
      <c r="E43" s="31"/>
      <c r="F43" s="31"/>
      <c r="G43" s="31"/>
      <c r="H43" s="31"/>
      <c r="I43" s="31"/>
      <c r="J43" s="31"/>
      <c r="K43" s="31"/>
      <c r="L43" s="31"/>
      <c r="M43" s="33"/>
      <c r="N43" s="31"/>
      <c r="O43" s="31"/>
      <c r="P43" s="31"/>
      <c r="Q43" s="39">
        <f>F40+O40</f>
        <v>2000</v>
      </c>
      <c r="R43" s="42"/>
    </row>
    <row r="44" spans="1:21">
      <c r="R44" s="42"/>
    </row>
  </sheetData>
  <mergeCells count="21">
    <mergeCell ref="E7:E8"/>
    <mergeCell ref="K7:K8"/>
    <mergeCell ref="L7:L8"/>
    <mergeCell ref="N7:N8"/>
    <mergeCell ref="O7:O8"/>
    <mergeCell ref="P42:Q42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>
      <pane xSplit="2" ySplit="8" topLeftCell="C21" activePane="bottomRight" state="frozen"/>
      <selection pane="bottomRight" activeCell="F40" sqref="F40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42578125" customWidth="1"/>
    <col min="3" max="3" width="6.42578125" customWidth="1"/>
    <col min="4" max="4" width="8.42578125" style="6" customWidth="1"/>
    <col min="5" max="5" width="9.85546875" style="6" customWidth="1"/>
    <col min="6" max="6" width="8" style="27" bestFit="1" customWidth="1"/>
    <col min="7" max="7" width="13.28515625" style="27" bestFit="1" customWidth="1"/>
    <col min="8" max="8" width="16.28515625" style="1" customWidth="1"/>
    <col min="9" max="9" width="2.5703125" customWidth="1"/>
    <col min="11" max="11" width="21.5703125" customWidth="1"/>
  </cols>
  <sheetData>
    <row r="1" spans="1:9" ht="15.75">
      <c r="B1" s="83" t="s">
        <v>46</v>
      </c>
      <c r="C1" s="83"/>
      <c r="D1" s="83"/>
      <c r="E1" s="83"/>
      <c r="F1" s="83"/>
      <c r="G1" s="83"/>
      <c r="H1" s="83"/>
    </row>
    <row r="2" spans="1:9" ht="15.75">
      <c r="B2" s="83" t="s">
        <v>16</v>
      </c>
      <c r="C2" s="83"/>
      <c r="D2" s="83"/>
      <c r="E2" s="83"/>
      <c r="F2" s="83"/>
      <c r="G2" s="83"/>
      <c r="H2" s="83"/>
    </row>
    <row r="3" spans="1:9">
      <c r="B3" s="5"/>
      <c r="C3" s="22"/>
      <c r="D3" s="20"/>
      <c r="E3" s="20"/>
      <c r="F3" s="21"/>
      <c r="G3" s="21"/>
      <c r="H3" s="22"/>
    </row>
    <row r="4" spans="1:9">
      <c r="A4" s="67"/>
      <c r="B4" s="88">
        <v>44197</v>
      </c>
      <c r="C4" s="88"/>
      <c r="D4" s="88"/>
      <c r="E4" s="88"/>
      <c r="F4" s="88"/>
      <c r="G4" s="88"/>
      <c r="H4" s="88"/>
      <c r="I4" s="7"/>
    </row>
    <row r="5" spans="1:9" ht="12.75" customHeight="1">
      <c r="A5" s="68"/>
      <c r="B5" s="82" t="s">
        <v>17</v>
      </c>
      <c r="C5" s="82" t="s">
        <v>18</v>
      </c>
      <c r="D5" s="82" t="s">
        <v>13</v>
      </c>
      <c r="E5" s="82" t="s">
        <v>47</v>
      </c>
      <c r="F5" s="82"/>
      <c r="G5" s="82"/>
      <c r="H5" s="82" t="s">
        <v>23</v>
      </c>
      <c r="I5" s="65"/>
    </row>
    <row r="6" spans="1:9">
      <c r="A6" s="68"/>
      <c r="B6" s="82"/>
      <c r="C6" s="82"/>
      <c r="D6" s="82"/>
      <c r="E6" s="82"/>
      <c r="F6" s="82"/>
      <c r="G6" s="82"/>
      <c r="H6" s="82"/>
      <c r="I6" s="65"/>
    </row>
    <row r="7" spans="1:9" s="6" customFormat="1" ht="31.5" customHeight="1">
      <c r="A7" s="68"/>
      <c r="B7" s="82"/>
      <c r="C7" s="82"/>
      <c r="D7" s="82"/>
      <c r="E7" s="69" t="s">
        <v>37</v>
      </c>
      <c r="F7" s="94" t="s">
        <v>48</v>
      </c>
      <c r="G7" s="70" t="s">
        <v>41</v>
      </c>
      <c r="H7" s="82"/>
      <c r="I7" s="65"/>
    </row>
    <row r="8" spans="1:9" s="6" customFormat="1">
      <c r="A8" s="68"/>
      <c r="B8" s="82"/>
      <c r="C8" s="82"/>
      <c r="D8" s="82"/>
      <c r="E8" s="71"/>
      <c r="F8" s="94"/>
      <c r="G8" s="70">
        <v>10700</v>
      </c>
      <c r="H8" s="82"/>
      <c r="I8" s="65"/>
    </row>
    <row r="9" spans="1:9" ht="17.100000000000001" customHeight="1">
      <c r="A9" s="72"/>
      <c r="B9" s="73">
        <v>1</v>
      </c>
      <c r="C9" s="35">
        <f>Electricity!C8</f>
        <v>13</v>
      </c>
      <c r="D9" s="35">
        <f>Electricity!D8</f>
        <v>88</v>
      </c>
      <c r="E9" s="14"/>
      <c r="F9" s="26"/>
      <c r="G9" s="26">
        <f t="shared" ref="G9:G39" si="0">F9*$G$8</f>
        <v>0</v>
      </c>
      <c r="H9" s="74">
        <f>G9/14084</f>
        <v>0</v>
      </c>
      <c r="I9" s="66"/>
    </row>
    <row r="10" spans="1:9" ht="17.100000000000001" customHeight="1">
      <c r="A10" s="72"/>
      <c r="B10" s="73">
        <v>2</v>
      </c>
      <c r="C10" s="35">
        <f>Electricity!C9</f>
        <v>14</v>
      </c>
      <c r="D10" s="35">
        <f>Electricity!D9</f>
        <v>81</v>
      </c>
      <c r="E10" s="14"/>
      <c r="F10" s="26"/>
      <c r="G10" s="26">
        <f>F10*$G$8</f>
        <v>0</v>
      </c>
      <c r="H10" s="74">
        <f t="shared" ref="H10:H39" si="1">G10/14084</f>
        <v>0</v>
      </c>
      <c r="I10" s="66"/>
    </row>
    <row r="11" spans="1:9" ht="17.100000000000001" customHeight="1">
      <c r="A11" s="72"/>
      <c r="B11" s="73">
        <v>3</v>
      </c>
      <c r="C11" s="35">
        <f>Electricity!C10</f>
        <v>23</v>
      </c>
      <c r="D11" s="35">
        <f>Electricity!D10</f>
        <v>126</v>
      </c>
      <c r="E11" s="14"/>
      <c r="F11" s="26"/>
      <c r="G11" s="26">
        <f t="shared" si="0"/>
        <v>0</v>
      </c>
      <c r="H11" s="74">
        <f t="shared" si="1"/>
        <v>0</v>
      </c>
      <c r="I11" s="66"/>
    </row>
    <row r="12" spans="1:9" ht="17.100000000000001" customHeight="1">
      <c r="A12" s="72"/>
      <c r="B12" s="73">
        <v>4</v>
      </c>
      <c r="C12" s="35">
        <f>Electricity!C11</f>
        <v>20</v>
      </c>
      <c r="D12" s="35">
        <f>Electricity!D11</f>
        <v>110</v>
      </c>
      <c r="E12" s="14"/>
      <c r="F12" s="26">
        <v>75</v>
      </c>
      <c r="G12" s="26">
        <f t="shared" si="0"/>
        <v>802500</v>
      </c>
      <c r="H12" s="74">
        <f t="shared" si="1"/>
        <v>56.979551263845501</v>
      </c>
      <c r="I12" s="66"/>
    </row>
    <row r="13" spans="1:9" ht="17.100000000000001" customHeight="1">
      <c r="A13" s="72"/>
      <c r="B13" s="73">
        <v>5</v>
      </c>
      <c r="C13" s="35">
        <f>Electricity!C12</f>
        <v>21</v>
      </c>
      <c r="D13" s="35">
        <f>Electricity!D12</f>
        <v>115</v>
      </c>
      <c r="E13" s="14"/>
      <c r="F13" s="26"/>
      <c r="G13" s="26">
        <f t="shared" si="0"/>
        <v>0</v>
      </c>
      <c r="H13" s="74">
        <f t="shared" si="1"/>
        <v>0</v>
      </c>
      <c r="I13" s="66"/>
    </row>
    <row r="14" spans="1:9" ht="17.100000000000001" customHeight="1">
      <c r="A14" s="72"/>
      <c r="B14" s="73">
        <v>6</v>
      </c>
      <c r="C14" s="35">
        <f>Electricity!C13</f>
        <v>17</v>
      </c>
      <c r="D14" s="35">
        <f>Electricity!D13</f>
        <v>93</v>
      </c>
      <c r="E14" s="14"/>
      <c r="F14" s="26"/>
      <c r="G14" s="26">
        <f t="shared" si="0"/>
        <v>0</v>
      </c>
      <c r="H14" s="74">
        <f t="shared" si="1"/>
        <v>0</v>
      </c>
      <c r="I14" s="66"/>
    </row>
    <row r="15" spans="1:9" ht="17.100000000000001" customHeight="1">
      <c r="A15" s="72"/>
      <c r="B15" s="73">
        <v>7</v>
      </c>
      <c r="C15" s="35">
        <f>Electricity!C14</f>
        <v>10</v>
      </c>
      <c r="D15" s="35">
        <f>Electricity!D14</f>
        <v>55</v>
      </c>
      <c r="E15" s="14"/>
      <c r="F15" s="26"/>
      <c r="G15" s="26">
        <f t="shared" si="0"/>
        <v>0</v>
      </c>
      <c r="H15" s="74">
        <f t="shared" si="1"/>
        <v>0</v>
      </c>
      <c r="I15" s="66"/>
    </row>
    <row r="16" spans="1:9" ht="17.100000000000001" customHeight="1">
      <c r="A16" s="72"/>
      <c r="B16" s="73">
        <v>8</v>
      </c>
      <c r="C16" s="35">
        <f>Electricity!C15</f>
        <v>11</v>
      </c>
      <c r="D16" s="35">
        <f>Electricity!D15</f>
        <v>60</v>
      </c>
      <c r="E16" s="14"/>
      <c r="F16" s="26"/>
      <c r="G16" s="26">
        <f t="shared" si="0"/>
        <v>0</v>
      </c>
      <c r="H16" s="74">
        <f t="shared" si="1"/>
        <v>0</v>
      </c>
      <c r="I16" s="66"/>
    </row>
    <row r="17" spans="1:9" ht="17.100000000000001" customHeight="1">
      <c r="A17" s="72"/>
      <c r="B17" s="73">
        <v>9</v>
      </c>
      <c r="C17" s="35">
        <f>Electricity!C16</f>
        <v>11</v>
      </c>
      <c r="D17" s="35">
        <f>Electricity!D16</f>
        <v>60</v>
      </c>
      <c r="E17" s="14"/>
      <c r="F17" s="26"/>
      <c r="G17" s="26">
        <f t="shared" si="0"/>
        <v>0</v>
      </c>
      <c r="H17" s="74">
        <f t="shared" si="1"/>
        <v>0</v>
      </c>
      <c r="I17" s="66"/>
    </row>
    <row r="18" spans="1:9" ht="17.100000000000001" customHeight="1">
      <c r="A18" s="72"/>
      <c r="B18" s="73">
        <v>10</v>
      </c>
      <c r="C18" s="35">
        <f>Electricity!C17</f>
        <v>7</v>
      </c>
      <c r="D18" s="35">
        <f>Electricity!D17</f>
        <v>38</v>
      </c>
      <c r="E18" s="14"/>
      <c r="F18" s="26"/>
      <c r="G18" s="26">
        <f t="shared" si="0"/>
        <v>0</v>
      </c>
      <c r="H18" s="74">
        <f t="shared" si="1"/>
        <v>0</v>
      </c>
      <c r="I18" s="66"/>
    </row>
    <row r="19" spans="1:9" ht="17.100000000000001" customHeight="1">
      <c r="A19" s="72"/>
      <c r="B19" s="73">
        <v>11</v>
      </c>
      <c r="C19" s="35">
        <f>Electricity!C18</f>
        <v>6</v>
      </c>
      <c r="D19" s="35">
        <f>Electricity!D18</f>
        <v>33</v>
      </c>
      <c r="E19" s="14"/>
      <c r="F19" s="26">
        <v>52</v>
      </c>
      <c r="G19" s="26">
        <f t="shared" si="0"/>
        <v>556400</v>
      </c>
      <c r="H19" s="74">
        <f t="shared" si="1"/>
        <v>39.505822209599543</v>
      </c>
      <c r="I19" s="66"/>
    </row>
    <row r="20" spans="1:9" ht="17.100000000000001" customHeight="1">
      <c r="A20" s="72"/>
      <c r="B20" s="73">
        <v>12</v>
      </c>
      <c r="C20" s="35">
        <f>Electricity!C19</f>
        <v>9</v>
      </c>
      <c r="D20" s="35">
        <f>Electricity!D19</f>
        <v>49</v>
      </c>
      <c r="E20" s="14"/>
      <c r="F20" s="26"/>
      <c r="G20" s="26">
        <f t="shared" si="0"/>
        <v>0</v>
      </c>
      <c r="H20" s="74">
        <f t="shared" si="1"/>
        <v>0</v>
      </c>
      <c r="I20" s="66"/>
    </row>
    <row r="21" spans="1:9" ht="17.100000000000001" customHeight="1">
      <c r="A21" s="72"/>
      <c r="B21" s="73">
        <v>13</v>
      </c>
      <c r="C21" s="35">
        <f>Electricity!C20</f>
        <v>8</v>
      </c>
      <c r="D21" s="35">
        <f>Electricity!D20</f>
        <v>44</v>
      </c>
      <c r="E21" s="14"/>
      <c r="F21" s="26"/>
      <c r="G21" s="26">
        <f t="shared" si="0"/>
        <v>0</v>
      </c>
      <c r="H21" s="74">
        <f t="shared" si="1"/>
        <v>0</v>
      </c>
      <c r="I21" s="66"/>
    </row>
    <row r="22" spans="1:9" ht="17.100000000000001" customHeight="1">
      <c r="A22" s="72"/>
      <c r="B22" s="73">
        <v>14</v>
      </c>
      <c r="C22" s="35">
        <f>Electricity!C21</f>
        <v>12</v>
      </c>
      <c r="D22" s="35">
        <f>Electricity!D21</f>
        <v>66</v>
      </c>
      <c r="E22" s="14"/>
      <c r="F22" s="26"/>
      <c r="G22" s="26">
        <f t="shared" si="0"/>
        <v>0</v>
      </c>
      <c r="H22" s="74">
        <f t="shared" si="1"/>
        <v>0</v>
      </c>
      <c r="I22" s="66"/>
    </row>
    <row r="23" spans="1:9" ht="17.100000000000001" customHeight="1">
      <c r="A23" s="72"/>
      <c r="B23" s="73">
        <v>15</v>
      </c>
      <c r="C23" s="35">
        <f>Electricity!C22</f>
        <v>12</v>
      </c>
      <c r="D23" s="35">
        <f>Electricity!D22</f>
        <v>66</v>
      </c>
      <c r="E23" s="14"/>
      <c r="F23" s="26"/>
      <c r="G23" s="26">
        <f t="shared" si="0"/>
        <v>0</v>
      </c>
      <c r="H23" s="74">
        <f t="shared" si="1"/>
        <v>0</v>
      </c>
      <c r="I23" s="66"/>
    </row>
    <row r="24" spans="1:9" ht="17.100000000000001" customHeight="1">
      <c r="A24" s="72"/>
      <c r="B24" s="73">
        <v>16</v>
      </c>
      <c r="C24" s="35">
        <f>Electricity!C23</f>
        <v>9</v>
      </c>
      <c r="D24" s="35">
        <f>Electricity!D23</f>
        <v>49</v>
      </c>
      <c r="E24" s="14"/>
      <c r="F24" s="26"/>
      <c r="G24" s="26">
        <f t="shared" si="0"/>
        <v>0</v>
      </c>
      <c r="H24" s="74">
        <f t="shared" si="1"/>
        <v>0</v>
      </c>
      <c r="I24" s="66"/>
    </row>
    <row r="25" spans="1:9" ht="17.100000000000001" customHeight="1">
      <c r="A25" s="72"/>
      <c r="B25" s="73">
        <v>17</v>
      </c>
      <c r="C25" s="35">
        <f>Electricity!C24</f>
        <v>8</v>
      </c>
      <c r="D25" s="35">
        <f>Electricity!D24</f>
        <v>44</v>
      </c>
      <c r="E25" s="14"/>
      <c r="F25" s="26"/>
      <c r="G25" s="26">
        <f t="shared" si="0"/>
        <v>0</v>
      </c>
      <c r="H25" s="74">
        <f t="shared" si="1"/>
        <v>0</v>
      </c>
      <c r="I25" s="66"/>
    </row>
    <row r="26" spans="1:9" ht="17.100000000000001" customHeight="1">
      <c r="A26" s="72"/>
      <c r="B26" s="73">
        <v>18</v>
      </c>
      <c r="C26" s="35">
        <f>Electricity!C25</f>
        <v>3</v>
      </c>
      <c r="D26" s="35">
        <f>Electricity!D25</f>
        <v>16</v>
      </c>
      <c r="E26" s="14"/>
      <c r="F26" s="26">
        <v>54</v>
      </c>
      <c r="G26" s="26">
        <f t="shared" si="0"/>
        <v>577800</v>
      </c>
      <c r="H26" s="74">
        <f t="shared" si="1"/>
        <v>41.02527690996876</v>
      </c>
      <c r="I26" s="66"/>
    </row>
    <row r="27" spans="1:9" ht="17.100000000000001" customHeight="1">
      <c r="A27" s="72"/>
      <c r="B27" s="73">
        <v>19</v>
      </c>
      <c r="C27" s="35">
        <f>Electricity!C26</f>
        <v>4</v>
      </c>
      <c r="D27" s="35">
        <f>Electricity!D26</f>
        <v>22</v>
      </c>
      <c r="E27" s="14"/>
      <c r="F27" s="26"/>
      <c r="G27" s="26">
        <f t="shared" si="0"/>
        <v>0</v>
      </c>
      <c r="H27" s="74">
        <f t="shared" si="1"/>
        <v>0</v>
      </c>
      <c r="I27" s="66"/>
    </row>
    <row r="28" spans="1:9" ht="17.100000000000001" customHeight="1">
      <c r="A28" s="72"/>
      <c r="B28" s="73">
        <v>20</v>
      </c>
      <c r="C28" s="35">
        <f>Electricity!C27</f>
        <v>11</v>
      </c>
      <c r="D28" s="35">
        <f>Electricity!D27</f>
        <v>60</v>
      </c>
      <c r="E28" s="14"/>
      <c r="F28" s="26"/>
      <c r="G28" s="26">
        <f t="shared" si="0"/>
        <v>0</v>
      </c>
      <c r="H28" s="74">
        <f t="shared" si="1"/>
        <v>0</v>
      </c>
      <c r="I28" s="66"/>
    </row>
    <row r="29" spans="1:9" ht="17.100000000000001" customHeight="1">
      <c r="A29" s="72"/>
      <c r="B29" s="73">
        <v>21</v>
      </c>
      <c r="C29" s="35">
        <f>Electricity!C28</f>
        <v>14</v>
      </c>
      <c r="D29" s="35">
        <f>Electricity!D28</f>
        <v>77</v>
      </c>
      <c r="E29" s="14"/>
      <c r="F29" s="26"/>
      <c r="G29" s="26">
        <f t="shared" si="0"/>
        <v>0</v>
      </c>
      <c r="H29" s="74">
        <f>G29/14084</f>
        <v>0</v>
      </c>
      <c r="I29" s="66"/>
    </row>
    <row r="30" spans="1:9" ht="17.100000000000001" customHeight="1">
      <c r="A30" s="72"/>
      <c r="B30" s="73">
        <v>22</v>
      </c>
      <c r="C30" s="35">
        <f>Electricity!C29</f>
        <v>9</v>
      </c>
      <c r="D30" s="35">
        <f>Electricity!D29</f>
        <v>49</v>
      </c>
      <c r="E30" s="14"/>
      <c r="F30" s="26"/>
      <c r="G30" s="26">
        <f t="shared" si="0"/>
        <v>0</v>
      </c>
      <c r="H30" s="74">
        <f t="shared" si="1"/>
        <v>0</v>
      </c>
      <c r="I30" s="66"/>
    </row>
    <row r="31" spans="1:9" ht="17.100000000000001" customHeight="1">
      <c r="A31" s="72"/>
      <c r="B31" s="73">
        <v>23</v>
      </c>
      <c r="C31" s="35">
        <f>Electricity!C30</f>
        <v>7</v>
      </c>
      <c r="D31" s="35">
        <f>Electricity!D30</f>
        <v>40</v>
      </c>
      <c r="E31" s="14"/>
      <c r="F31" s="26"/>
      <c r="G31" s="26">
        <f t="shared" si="0"/>
        <v>0</v>
      </c>
      <c r="H31" s="74">
        <f t="shared" si="1"/>
        <v>0</v>
      </c>
      <c r="I31" s="66"/>
    </row>
    <row r="32" spans="1:9" ht="17.100000000000001" customHeight="1">
      <c r="A32" s="72"/>
      <c r="B32" s="73">
        <v>24</v>
      </c>
      <c r="C32" s="35">
        <f>Electricity!C31</f>
        <v>3</v>
      </c>
      <c r="D32" s="35">
        <f>Electricity!D31</f>
        <v>16</v>
      </c>
      <c r="E32" s="14"/>
      <c r="F32" s="26"/>
      <c r="G32" s="26">
        <f t="shared" si="0"/>
        <v>0</v>
      </c>
      <c r="H32" s="74">
        <f t="shared" si="1"/>
        <v>0</v>
      </c>
      <c r="I32" s="66"/>
    </row>
    <row r="33" spans="1:11" ht="17.100000000000001" customHeight="1">
      <c r="A33" s="72"/>
      <c r="B33" s="73">
        <v>25</v>
      </c>
      <c r="C33" s="35">
        <f>Electricity!C32</f>
        <v>4</v>
      </c>
      <c r="D33" s="35">
        <f>Electricity!D32</f>
        <v>22</v>
      </c>
      <c r="E33" s="14"/>
      <c r="F33" s="26"/>
      <c r="G33" s="26">
        <f t="shared" si="0"/>
        <v>0</v>
      </c>
      <c r="H33" s="74">
        <f t="shared" si="1"/>
        <v>0</v>
      </c>
      <c r="I33" s="66"/>
    </row>
    <row r="34" spans="1:11" ht="17.100000000000001" customHeight="1">
      <c r="A34" s="72"/>
      <c r="B34" s="73">
        <v>26</v>
      </c>
      <c r="C34" s="35">
        <f>Electricity!C33</f>
        <v>2</v>
      </c>
      <c r="D34" s="35">
        <f>Electricity!D33</f>
        <v>11</v>
      </c>
      <c r="E34" s="14"/>
      <c r="F34" s="26"/>
      <c r="G34" s="26">
        <f t="shared" si="0"/>
        <v>0</v>
      </c>
      <c r="H34" s="74">
        <f t="shared" si="1"/>
        <v>0</v>
      </c>
      <c r="I34" s="66"/>
    </row>
    <row r="35" spans="1:11" ht="17.100000000000001" customHeight="1">
      <c r="A35" s="72"/>
      <c r="B35" s="73">
        <v>27</v>
      </c>
      <c r="C35" s="35">
        <f>Electricity!C34</f>
        <v>5</v>
      </c>
      <c r="D35" s="35">
        <f>Electricity!D34</f>
        <v>27</v>
      </c>
      <c r="E35" s="14"/>
      <c r="F35" s="26"/>
      <c r="G35" s="26">
        <f t="shared" si="0"/>
        <v>0</v>
      </c>
      <c r="H35" s="74">
        <f t="shared" si="1"/>
        <v>0</v>
      </c>
      <c r="I35" s="66"/>
    </row>
    <row r="36" spans="1:11" ht="17.100000000000001" customHeight="1">
      <c r="A36" s="72"/>
      <c r="B36" s="73">
        <v>28</v>
      </c>
      <c r="C36" s="35">
        <f>Electricity!C35</f>
        <v>4</v>
      </c>
      <c r="D36" s="35">
        <f>Electricity!D35</f>
        <v>22</v>
      </c>
      <c r="E36" s="14"/>
      <c r="F36" s="26"/>
      <c r="G36" s="26">
        <f t="shared" si="0"/>
        <v>0</v>
      </c>
      <c r="H36" s="74">
        <f t="shared" si="1"/>
        <v>0</v>
      </c>
      <c r="I36" s="66"/>
    </row>
    <row r="37" spans="1:11" ht="17.100000000000001" customHeight="1">
      <c r="A37" s="72"/>
      <c r="B37" s="73">
        <v>29</v>
      </c>
      <c r="C37" s="35">
        <f>Electricity!C36</f>
        <v>6</v>
      </c>
      <c r="D37" s="35">
        <f>Electricity!D36</f>
        <v>33</v>
      </c>
      <c r="E37" s="14"/>
      <c r="F37" s="26"/>
      <c r="G37" s="26">
        <f t="shared" si="0"/>
        <v>0</v>
      </c>
      <c r="H37" s="74">
        <f t="shared" si="1"/>
        <v>0</v>
      </c>
      <c r="I37" s="66"/>
    </row>
    <row r="38" spans="1:11" ht="17.100000000000001" customHeight="1">
      <c r="A38" s="72"/>
      <c r="B38" s="73">
        <v>30</v>
      </c>
      <c r="C38" s="35">
        <f>Electricity!C37</f>
        <v>7</v>
      </c>
      <c r="D38" s="35">
        <f>Electricity!D37</f>
        <v>38</v>
      </c>
      <c r="E38" s="14"/>
      <c r="F38" s="26"/>
      <c r="G38" s="26">
        <f t="shared" si="0"/>
        <v>0</v>
      </c>
      <c r="H38" s="74">
        <f t="shared" si="1"/>
        <v>0</v>
      </c>
      <c r="I38" s="66"/>
    </row>
    <row r="39" spans="1:11" ht="15">
      <c r="A39" s="72"/>
      <c r="B39" s="73">
        <v>31</v>
      </c>
      <c r="C39" s="35">
        <f>Electricity!C38</f>
        <v>5</v>
      </c>
      <c r="D39" s="35">
        <f>Electricity!D38</f>
        <v>27</v>
      </c>
      <c r="E39" s="14"/>
      <c r="F39" s="26"/>
      <c r="G39" s="26">
        <f t="shared" si="0"/>
        <v>0</v>
      </c>
      <c r="H39" s="74">
        <f t="shared" si="1"/>
        <v>0</v>
      </c>
    </row>
    <row r="40" spans="1:11" ht="21.6" customHeight="1">
      <c r="C40" s="18">
        <f>SUM(C9:C39)</f>
        <v>295</v>
      </c>
      <c r="D40" s="18">
        <f>SUM(D9:D39)</f>
        <v>1637</v>
      </c>
      <c r="E40" s="18"/>
      <c r="F40" s="18">
        <f>SUM(F9:F39)</f>
        <v>181</v>
      </c>
      <c r="G40" s="18"/>
      <c r="H40" s="46">
        <f>SUM(H9:H39)</f>
        <v>137.5106503834138</v>
      </c>
      <c r="K40" s="38"/>
    </row>
    <row r="41" spans="1:11">
      <c r="E41" s="18"/>
      <c r="F41" s="24"/>
      <c r="G41" s="24"/>
      <c r="H41" s="25"/>
    </row>
    <row r="42" spans="1:11">
      <c r="C42" t="s">
        <v>29</v>
      </c>
      <c r="E42" s="31"/>
      <c r="F42" s="32"/>
      <c r="G42" s="32"/>
    </row>
    <row r="43" spans="1:11">
      <c r="E43" s="31"/>
      <c r="F43" s="32"/>
      <c r="G43" s="32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O43"/>
  <sheetViews>
    <sheetView topLeftCell="A22" zoomScaleNormal="100" workbookViewId="0">
      <selection activeCell="I42" sqref="I42"/>
    </sheetView>
  </sheetViews>
  <sheetFormatPr defaultRowHeight="12.75"/>
  <cols>
    <col min="1" max="1" width="2.5703125" customWidth="1"/>
    <col min="2" max="2" width="4.7109375" customWidth="1"/>
    <col min="3" max="3" width="6.42578125" customWidth="1"/>
    <col min="4" max="4" width="6.42578125" style="6" customWidth="1"/>
    <col min="5" max="5" width="9.42578125" style="1" customWidth="1"/>
    <col min="6" max="6" width="16.5703125" style="1" customWidth="1"/>
    <col min="7" max="7" width="10.28515625" style="1" customWidth="1"/>
    <col min="8" max="8" width="16.7109375" style="1" customWidth="1"/>
    <col min="9" max="9" width="10.28515625" style="1" customWidth="1"/>
    <col min="10" max="10" width="16.7109375" style="1" customWidth="1"/>
    <col min="11" max="11" width="16.28515625" style="1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83" t="s">
        <v>49</v>
      </c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3" ht="15.75">
      <c r="B3" s="83" t="s">
        <v>16</v>
      </c>
      <c r="C3" s="83"/>
      <c r="D3" s="83"/>
      <c r="E3" s="83"/>
      <c r="F3" s="83"/>
      <c r="G3" s="83"/>
      <c r="H3" s="83"/>
      <c r="I3" s="83"/>
      <c r="J3" s="83"/>
      <c r="K3" s="83"/>
      <c r="L3" s="83"/>
    </row>
    <row r="4" spans="1:13">
      <c r="B4" s="5"/>
      <c r="C4" s="4"/>
      <c r="D4" s="13"/>
      <c r="E4" s="4"/>
      <c r="F4" s="4"/>
      <c r="G4" s="4"/>
      <c r="H4" s="4"/>
      <c r="I4" s="4"/>
      <c r="J4" s="4"/>
      <c r="K4" s="4"/>
    </row>
    <row r="5" spans="1:13">
      <c r="A5" s="7"/>
      <c r="B5" s="85">
        <v>44197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7"/>
    </row>
    <row r="6" spans="1:13" ht="23.25" customHeight="1">
      <c r="A6" s="75"/>
      <c r="B6" s="82" t="s">
        <v>17</v>
      </c>
      <c r="C6" s="82" t="s">
        <v>50</v>
      </c>
      <c r="D6" s="82" t="s">
        <v>13</v>
      </c>
      <c r="E6" s="90" t="s">
        <v>51</v>
      </c>
      <c r="F6" s="90"/>
      <c r="G6" s="91" t="s">
        <v>52</v>
      </c>
      <c r="H6" s="91"/>
      <c r="I6" s="91"/>
      <c r="J6" s="91"/>
      <c r="K6" s="82" t="s">
        <v>53</v>
      </c>
      <c r="L6" s="82" t="s">
        <v>54</v>
      </c>
      <c r="M6" s="65"/>
    </row>
    <row r="7" spans="1:13" s="6" customFormat="1" ht="48" customHeight="1">
      <c r="A7" s="75"/>
      <c r="B7" s="82"/>
      <c r="C7" s="82"/>
      <c r="D7" s="82"/>
      <c r="E7" s="82" t="s">
        <v>55</v>
      </c>
      <c r="F7" s="82" t="s">
        <v>56</v>
      </c>
      <c r="G7" s="82" t="s">
        <v>55</v>
      </c>
      <c r="H7" s="82" t="s">
        <v>57</v>
      </c>
      <c r="I7" s="82" t="s">
        <v>55</v>
      </c>
      <c r="J7" s="82" t="s">
        <v>58</v>
      </c>
      <c r="K7" s="82"/>
      <c r="L7" s="82"/>
      <c r="M7" s="65"/>
    </row>
    <row r="8" spans="1:13" ht="15.75" customHeight="1">
      <c r="A8" s="76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66"/>
    </row>
    <row r="9" spans="1:13" ht="15.75" customHeight="1">
      <c r="A9" s="76"/>
      <c r="B9" s="73">
        <v>1</v>
      </c>
      <c r="C9" s="35">
        <f>Electricity!C8</f>
        <v>13</v>
      </c>
      <c r="D9" s="35">
        <f>Electricity!D8</f>
        <v>88</v>
      </c>
      <c r="E9" s="10">
        <v>0</v>
      </c>
      <c r="F9" s="3">
        <f>E9*13582</f>
        <v>0</v>
      </c>
      <c r="G9" s="10">
        <v>148</v>
      </c>
      <c r="H9" s="3">
        <f>G9*4000</f>
        <v>592000</v>
      </c>
      <c r="I9" s="10">
        <v>403</v>
      </c>
      <c r="J9" s="3">
        <f>I9*4000</f>
        <v>1612000</v>
      </c>
      <c r="K9" s="10">
        <f t="shared" ref="K9:K39" si="0">F9+H9+J9</f>
        <v>2204000</v>
      </c>
      <c r="L9" s="77">
        <f>K9/14084</f>
        <v>156.48963362681056</v>
      </c>
      <c r="M9" s="66"/>
    </row>
    <row r="10" spans="1:13" ht="17.100000000000001" customHeight="1">
      <c r="A10" s="76"/>
      <c r="B10" s="73">
        <v>2</v>
      </c>
      <c r="C10" s="35">
        <f>Electricity!C9</f>
        <v>14</v>
      </c>
      <c r="D10" s="35">
        <f>Electricity!D9</f>
        <v>81</v>
      </c>
      <c r="E10" s="10">
        <v>0</v>
      </c>
      <c r="F10" s="3">
        <f>E10*13582</f>
        <v>0</v>
      </c>
      <c r="G10" s="10">
        <v>150</v>
      </c>
      <c r="H10" s="3">
        <f>G10*4000</f>
        <v>600000</v>
      </c>
      <c r="I10" s="10">
        <v>211</v>
      </c>
      <c r="J10" s="3">
        <f>I10*4000</f>
        <v>844000</v>
      </c>
      <c r="K10" s="10">
        <f t="shared" si="0"/>
        <v>1444000</v>
      </c>
      <c r="L10" s="77">
        <f t="shared" ref="L10:L39" si="1">K10/14084</f>
        <v>102.52769099687589</v>
      </c>
      <c r="M10" s="66"/>
    </row>
    <row r="11" spans="1:13" ht="17.100000000000001" customHeight="1">
      <c r="A11" s="76"/>
      <c r="B11" s="73">
        <v>3</v>
      </c>
      <c r="C11" s="35">
        <f>Electricity!C10</f>
        <v>23</v>
      </c>
      <c r="D11" s="35">
        <f>Electricity!D10</f>
        <v>126</v>
      </c>
      <c r="E11" s="10">
        <v>0</v>
      </c>
      <c r="F11" s="3">
        <f t="shared" ref="F11:F39" si="2">E11*13582</f>
        <v>0</v>
      </c>
      <c r="G11" s="10">
        <v>136</v>
      </c>
      <c r="H11" s="3">
        <f t="shared" ref="H11:H39" si="3">G11*4000</f>
        <v>544000</v>
      </c>
      <c r="I11" s="10">
        <v>184</v>
      </c>
      <c r="J11" s="3">
        <f t="shared" ref="J11:J38" si="4">I11*4000</f>
        <v>736000</v>
      </c>
      <c r="K11" s="10">
        <f t="shared" si="0"/>
        <v>1280000</v>
      </c>
      <c r="L11" s="77">
        <f t="shared" si="1"/>
        <v>90.883271797784715</v>
      </c>
      <c r="M11" s="66"/>
    </row>
    <row r="12" spans="1:13" ht="17.100000000000001" customHeight="1">
      <c r="A12" s="76"/>
      <c r="B12" s="73">
        <v>4</v>
      </c>
      <c r="C12" s="35">
        <f>Electricity!C11</f>
        <v>20</v>
      </c>
      <c r="D12" s="35">
        <f>Electricity!D11</f>
        <v>110</v>
      </c>
      <c r="E12" s="10">
        <v>0</v>
      </c>
      <c r="F12" s="3">
        <f t="shared" si="2"/>
        <v>0</v>
      </c>
      <c r="G12" s="10">
        <v>144</v>
      </c>
      <c r="H12" s="3">
        <f t="shared" si="3"/>
        <v>576000</v>
      </c>
      <c r="I12" s="10">
        <v>199</v>
      </c>
      <c r="J12" s="3">
        <f t="shared" si="4"/>
        <v>796000</v>
      </c>
      <c r="K12" s="10">
        <f t="shared" si="0"/>
        <v>1372000</v>
      </c>
      <c r="L12" s="77">
        <f t="shared" si="1"/>
        <v>97.415506958250504</v>
      </c>
      <c r="M12" s="66"/>
    </row>
    <row r="13" spans="1:13" ht="17.100000000000001" customHeight="1">
      <c r="A13" s="76"/>
      <c r="B13" s="73">
        <v>5</v>
      </c>
      <c r="C13" s="35">
        <f>Electricity!C12</f>
        <v>21</v>
      </c>
      <c r="D13" s="35">
        <f>Electricity!D12</f>
        <v>115</v>
      </c>
      <c r="E13" s="10">
        <v>0</v>
      </c>
      <c r="F13" s="3">
        <f t="shared" si="2"/>
        <v>0</v>
      </c>
      <c r="G13" s="10">
        <v>138</v>
      </c>
      <c r="H13" s="3">
        <f t="shared" si="3"/>
        <v>552000</v>
      </c>
      <c r="I13" s="10">
        <v>192</v>
      </c>
      <c r="J13" s="3">
        <f t="shared" si="4"/>
        <v>768000</v>
      </c>
      <c r="K13" s="10">
        <f t="shared" si="0"/>
        <v>1320000</v>
      </c>
      <c r="L13" s="77">
        <f t="shared" si="1"/>
        <v>93.72337404146549</v>
      </c>
      <c r="M13" s="66"/>
    </row>
    <row r="14" spans="1:13" ht="17.100000000000001" customHeight="1">
      <c r="A14" s="76"/>
      <c r="B14" s="73">
        <v>6</v>
      </c>
      <c r="C14" s="35">
        <f>Electricity!C13</f>
        <v>17</v>
      </c>
      <c r="D14" s="35">
        <f>Electricity!D13</f>
        <v>93</v>
      </c>
      <c r="E14" s="10">
        <v>0</v>
      </c>
      <c r="F14" s="3">
        <f t="shared" si="2"/>
        <v>0</v>
      </c>
      <c r="G14" s="10">
        <v>147</v>
      </c>
      <c r="H14" s="3">
        <f t="shared" si="3"/>
        <v>588000</v>
      </c>
      <c r="I14" s="10">
        <v>204</v>
      </c>
      <c r="J14" s="3">
        <f t="shared" si="4"/>
        <v>816000</v>
      </c>
      <c r="K14" s="10">
        <f t="shared" si="0"/>
        <v>1404000</v>
      </c>
      <c r="L14" s="77">
        <f t="shared" si="1"/>
        <v>99.687588753195115</v>
      </c>
      <c r="M14" s="66"/>
    </row>
    <row r="15" spans="1:13" ht="17.100000000000001" customHeight="1">
      <c r="A15" s="76"/>
      <c r="B15" s="73">
        <v>7</v>
      </c>
      <c r="C15" s="35">
        <f>Electricity!C14</f>
        <v>10</v>
      </c>
      <c r="D15" s="35">
        <f>Electricity!D14</f>
        <v>55</v>
      </c>
      <c r="E15" s="10">
        <v>0</v>
      </c>
      <c r="F15" s="3">
        <f t="shared" si="2"/>
        <v>0</v>
      </c>
      <c r="G15" s="10">
        <v>97</v>
      </c>
      <c r="H15" s="3">
        <f t="shared" si="3"/>
        <v>388000</v>
      </c>
      <c r="I15" s="10">
        <v>232</v>
      </c>
      <c r="J15" s="3">
        <f t="shared" si="4"/>
        <v>928000</v>
      </c>
      <c r="K15" s="10">
        <f t="shared" si="0"/>
        <v>1316000</v>
      </c>
      <c r="L15" s="77">
        <f t="shared" si="1"/>
        <v>93.439363817097416</v>
      </c>
      <c r="M15" s="66"/>
    </row>
    <row r="16" spans="1:13" ht="17.100000000000001" customHeight="1">
      <c r="A16" s="76"/>
      <c r="B16" s="73">
        <v>8</v>
      </c>
      <c r="C16" s="35">
        <f>Electricity!C15</f>
        <v>11</v>
      </c>
      <c r="D16" s="35">
        <f>Electricity!D15</f>
        <v>60</v>
      </c>
      <c r="E16" s="10">
        <v>0</v>
      </c>
      <c r="F16" s="3">
        <f t="shared" si="2"/>
        <v>0</v>
      </c>
      <c r="G16" s="10">
        <v>154</v>
      </c>
      <c r="H16" s="3">
        <f t="shared" si="3"/>
        <v>616000</v>
      </c>
      <c r="I16" s="10">
        <v>199</v>
      </c>
      <c r="J16" s="3">
        <f t="shared" si="4"/>
        <v>796000</v>
      </c>
      <c r="K16" s="10">
        <f t="shared" si="0"/>
        <v>1412000</v>
      </c>
      <c r="L16" s="77">
        <f t="shared" si="1"/>
        <v>100.25560920193126</v>
      </c>
      <c r="M16" s="66"/>
    </row>
    <row r="17" spans="1:13" ht="17.100000000000001" customHeight="1">
      <c r="A17" s="76"/>
      <c r="B17" s="73">
        <v>9</v>
      </c>
      <c r="C17" s="35">
        <f>Electricity!C16</f>
        <v>11</v>
      </c>
      <c r="D17" s="35">
        <f>Electricity!D16</f>
        <v>60</v>
      </c>
      <c r="E17" s="10">
        <v>0</v>
      </c>
      <c r="F17" s="3">
        <f t="shared" si="2"/>
        <v>0</v>
      </c>
      <c r="G17" s="10">
        <v>158</v>
      </c>
      <c r="H17" s="3">
        <f t="shared" si="3"/>
        <v>632000</v>
      </c>
      <c r="I17" s="10">
        <v>218</v>
      </c>
      <c r="J17" s="3">
        <f t="shared" si="4"/>
        <v>872000</v>
      </c>
      <c r="K17" s="10">
        <f t="shared" si="0"/>
        <v>1504000</v>
      </c>
      <c r="L17" s="77">
        <f t="shared" si="1"/>
        <v>106.78784436239705</v>
      </c>
      <c r="M17" s="66"/>
    </row>
    <row r="18" spans="1:13" ht="17.100000000000001" customHeight="1">
      <c r="A18" s="76"/>
      <c r="B18" s="73">
        <v>10</v>
      </c>
      <c r="C18" s="35">
        <f>Electricity!C17</f>
        <v>7</v>
      </c>
      <c r="D18" s="35">
        <f>Electricity!D17</f>
        <v>38</v>
      </c>
      <c r="E18" s="10">
        <v>0</v>
      </c>
      <c r="F18" s="3">
        <f t="shared" si="2"/>
        <v>0</v>
      </c>
      <c r="G18" s="10">
        <v>144</v>
      </c>
      <c r="H18" s="3">
        <f t="shared" si="3"/>
        <v>576000</v>
      </c>
      <c r="I18" s="10">
        <v>205</v>
      </c>
      <c r="J18" s="3">
        <f t="shared" si="4"/>
        <v>820000</v>
      </c>
      <c r="K18" s="10">
        <f t="shared" si="0"/>
        <v>1396000</v>
      </c>
      <c r="L18" s="77">
        <f t="shared" si="1"/>
        <v>99.119568304458966</v>
      </c>
      <c r="M18" s="66"/>
    </row>
    <row r="19" spans="1:13" ht="17.100000000000001" customHeight="1">
      <c r="A19" s="76"/>
      <c r="B19" s="73">
        <v>11</v>
      </c>
      <c r="C19" s="35">
        <f>Electricity!C18</f>
        <v>6</v>
      </c>
      <c r="D19" s="35">
        <f>Electricity!D18</f>
        <v>33</v>
      </c>
      <c r="E19" s="10">
        <v>0</v>
      </c>
      <c r="F19" s="3">
        <f t="shared" si="2"/>
        <v>0</v>
      </c>
      <c r="G19" s="10">
        <v>177</v>
      </c>
      <c r="H19" s="3">
        <f t="shared" si="3"/>
        <v>708000</v>
      </c>
      <c r="I19" s="10">
        <v>227</v>
      </c>
      <c r="J19" s="3">
        <f t="shared" si="4"/>
        <v>908000</v>
      </c>
      <c r="K19" s="10">
        <f t="shared" si="0"/>
        <v>1616000</v>
      </c>
      <c r="L19" s="77">
        <f t="shared" si="1"/>
        <v>114.74013064470321</v>
      </c>
      <c r="M19" s="66"/>
    </row>
    <row r="20" spans="1:13" ht="17.100000000000001" customHeight="1">
      <c r="A20" s="76"/>
      <c r="B20" s="73">
        <v>12</v>
      </c>
      <c r="C20" s="35">
        <f>Electricity!C19</f>
        <v>9</v>
      </c>
      <c r="D20" s="35">
        <f>Electricity!D19</f>
        <v>49</v>
      </c>
      <c r="E20" s="10">
        <v>0</v>
      </c>
      <c r="F20" s="3">
        <f t="shared" si="2"/>
        <v>0</v>
      </c>
      <c r="G20" s="10">
        <v>153</v>
      </c>
      <c r="H20" s="3">
        <f t="shared" si="3"/>
        <v>612000</v>
      </c>
      <c r="I20" s="10">
        <v>224</v>
      </c>
      <c r="J20" s="3">
        <f t="shared" si="4"/>
        <v>896000</v>
      </c>
      <c r="K20" s="10">
        <f t="shared" si="0"/>
        <v>1508000</v>
      </c>
      <c r="L20" s="77">
        <f t="shared" si="1"/>
        <v>107.07185458676513</v>
      </c>
      <c r="M20" s="66"/>
    </row>
    <row r="21" spans="1:13" ht="17.100000000000001" customHeight="1">
      <c r="A21" s="76"/>
      <c r="B21" s="73">
        <v>13</v>
      </c>
      <c r="C21" s="35">
        <f>Electricity!C20</f>
        <v>8</v>
      </c>
      <c r="D21" s="35">
        <f>Electricity!D20</f>
        <v>44</v>
      </c>
      <c r="E21" s="10">
        <v>0</v>
      </c>
      <c r="F21" s="3">
        <f t="shared" si="2"/>
        <v>0</v>
      </c>
      <c r="G21" s="10">
        <v>164</v>
      </c>
      <c r="H21" s="3">
        <f t="shared" si="3"/>
        <v>656000</v>
      </c>
      <c r="I21" s="10">
        <v>234</v>
      </c>
      <c r="J21" s="3">
        <f t="shared" si="4"/>
        <v>936000</v>
      </c>
      <c r="K21" s="10">
        <f t="shared" si="0"/>
        <v>1592000</v>
      </c>
      <c r="L21" s="77">
        <f t="shared" si="1"/>
        <v>113.03606929849475</v>
      </c>
      <c r="M21" s="66"/>
    </row>
    <row r="22" spans="1:13" ht="17.100000000000001" customHeight="1">
      <c r="A22" s="76"/>
      <c r="B22" s="73">
        <v>14</v>
      </c>
      <c r="C22" s="35">
        <f>Electricity!C21</f>
        <v>12</v>
      </c>
      <c r="D22" s="35">
        <f>Electricity!D21</f>
        <v>66</v>
      </c>
      <c r="E22" s="10">
        <v>0</v>
      </c>
      <c r="F22" s="3">
        <f t="shared" si="2"/>
        <v>0</v>
      </c>
      <c r="G22" s="10">
        <v>167</v>
      </c>
      <c r="H22" s="3">
        <f t="shared" si="3"/>
        <v>668000</v>
      </c>
      <c r="I22" s="10">
        <v>223</v>
      </c>
      <c r="J22" s="3">
        <f t="shared" si="4"/>
        <v>892000</v>
      </c>
      <c r="K22" s="10">
        <f t="shared" si="0"/>
        <v>1560000</v>
      </c>
      <c r="L22" s="77">
        <f t="shared" si="1"/>
        <v>110.76398750355013</v>
      </c>
      <c r="M22" s="66"/>
    </row>
    <row r="23" spans="1:13" ht="17.100000000000001" customHeight="1">
      <c r="A23" s="76"/>
      <c r="B23" s="73">
        <v>15</v>
      </c>
      <c r="C23" s="35">
        <f>Electricity!C22</f>
        <v>12</v>
      </c>
      <c r="D23" s="35">
        <f>Electricity!D22</f>
        <v>66</v>
      </c>
      <c r="E23" s="10">
        <v>0</v>
      </c>
      <c r="F23" s="3">
        <f t="shared" si="2"/>
        <v>0</v>
      </c>
      <c r="G23" s="10">
        <v>173</v>
      </c>
      <c r="H23" s="3">
        <f t="shared" si="3"/>
        <v>692000</v>
      </c>
      <c r="I23" s="10">
        <v>237</v>
      </c>
      <c r="J23" s="3">
        <f t="shared" si="4"/>
        <v>948000</v>
      </c>
      <c r="K23" s="10">
        <f t="shared" si="0"/>
        <v>1640000</v>
      </c>
      <c r="L23" s="77">
        <f t="shared" si="1"/>
        <v>116.44419199091168</v>
      </c>
      <c r="M23" s="66"/>
    </row>
    <row r="24" spans="1:13" ht="17.100000000000001" customHeight="1">
      <c r="A24" s="76"/>
      <c r="B24" s="73">
        <v>16</v>
      </c>
      <c r="C24" s="35">
        <f>Electricity!C23</f>
        <v>9</v>
      </c>
      <c r="D24" s="35">
        <f>Electricity!D23</f>
        <v>49</v>
      </c>
      <c r="E24" s="10">
        <v>0</v>
      </c>
      <c r="F24" s="3">
        <f t="shared" si="2"/>
        <v>0</v>
      </c>
      <c r="G24" s="10">
        <v>164</v>
      </c>
      <c r="H24" s="3">
        <f t="shared" si="3"/>
        <v>656000</v>
      </c>
      <c r="I24" s="10">
        <v>231</v>
      </c>
      <c r="J24" s="3">
        <f t="shared" si="4"/>
        <v>924000</v>
      </c>
      <c r="K24" s="10">
        <f t="shared" si="0"/>
        <v>1580000</v>
      </c>
      <c r="L24" s="77">
        <f t="shared" si="1"/>
        <v>112.18403862539051</v>
      </c>
      <c r="M24" s="66"/>
    </row>
    <row r="25" spans="1:13" ht="17.100000000000001" customHeight="1">
      <c r="A25" s="76"/>
      <c r="B25" s="73">
        <v>17</v>
      </c>
      <c r="C25" s="35">
        <f>Electricity!C24</f>
        <v>8</v>
      </c>
      <c r="D25" s="35">
        <f>Electricity!D24</f>
        <v>44</v>
      </c>
      <c r="E25" s="10">
        <v>11</v>
      </c>
      <c r="F25" s="3">
        <f t="shared" si="2"/>
        <v>149402</v>
      </c>
      <c r="G25" s="10">
        <v>176</v>
      </c>
      <c r="H25" s="3">
        <f t="shared" si="3"/>
        <v>704000</v>
      </c>
      <c r="I25" s="10">
        <v>242</v>
      </c>
      <c r="J25" s="3">
        <f t="shared" si="4"/>
        <v>968000</v>
      </c>
      <c r="K25" s="10">
        <f t="shared" si="0"/>
        <v>1821402</v>
      </c>
      <c r="L25" s="77">
        <f t="shared" si="1"/>
        <v>129.32419767111617</v>
      </c>
      <c r="M25" s="66"/>
    </row>
    <row r="26" spans="1:13" ht="17.100000000000001" customHeight="1">
      <c r="A26" s="76"/>
      <c r="B26" s="73">
        <v>18</v>
      </c>
      <c r="C26" s="35">
        <f>Electricity!C25</f>
        <v>3</v>
      </c>
      <c r="D26" s="35">
        <f>Electricity!D25</f>
        <v>16</v>
      </c>
      <c r="E26" s="10">
        <v>65</v>
      </c>
      <c r="F26" s="3">
        <f t="shared" si="2"/>
        <v>882830</v>
      </c>
      <c r="G26" s="10">
        <v>169</v>
      </c>
      <c r="H26" s="3">
        <f t="shared" si="3"/>
        <v>676000</v>
      </c>
      <c r="I26" s="10">
        <v>230</v>
      </c>
      <c r="J26" s="3">
        <f t="shared" si="4"/>
        <v>920000</v>
      </c>
      <c r="K26" s="10">
        <f t="shared" si="0"/>
        <v>2478830</v>
      </c>
      <c r="L26" s="77">
        <f t="shared" si="1"/>
        <v>176.00326611758024</v>
      </c>
      <c r="M26" s="66"/>
    </row>
    <row r="27" spans="1:13" ht="17.100000000000001" customHeight="1">
      <c r="A27" s="76"/>
      <c r="B27" s="73">
        <v>19</v>
      </c>
      <c r="C27" s="35">
        <f>Electricity!C26</f>
        <v>4</v>
      </c>
      <c r="D27" s="35">
        <f>Electricity!D26</f>
        <v>22</v>
      </c>
      <c r="E27" s="10">
        <v>41</v>
      </c>
      <c r="F27" s="3">
        <f t="shared" si="2"/>
        <v>556862</v>
      </c>
      <c r="G27" s="10">
        <v>146</v>
      </c>
      <c r="H27" s="3">
        <f t="shared" si="3"/>
        <v>584000</v>
      </c>
      <c r="I27" s="10">
        <v>200</v>
      </c>
      <c r="J27" s="3">
        <f t="shared" si="4"/>
        <v>800000</v>
      </c>
      <c r="K27" s="10">
        <f t="shared" si="0"/>
        <v>1940862</v>
      </c>
      <c r="L27" s="77">
        <f t="shared" si="1"/>
        <v>137.8061630218688</v>
      </c>
      <c r="M27" s="66"/>
    </row>
    <row r="28" spans="1:13" ht="17.100000000000001" customHeight="1">
      <c r="A28" s="76"/>
      <c r="B28" s="73">
        <v>20</v>
      </c>
      <c r="C28" s="35">
        <f>Electricity!C27</f>
        <v>11</v>
      </c>
      <c r="D28" s="35">
        <f>Electricity!D27</f>
        <v>60</v>
      </c>
      <c r="E28" s="10">
        <v>0</v>
      </c>
      <c r="F28" s="3">
        <f t="shared" si="2"/>
        <v>0</v>
      </c>
      <c r="G28" s="10">
        <v>80</v>
      </c>
      <c r="H28" s="3">
        <f t="shared" si="3"/>
        <v>320000</v>
      </c>
      <c r="I28" s="10">
        <v>111</v>
      </c>
      <c r="J28" s="3">
        <f t="shared" si="4"/>
        <v>444000</v>
      </c>
      <c r="K28" s="10">
        <f t="shared" si="0"/>
        <v>764000</v>
      </c>
      <c r="L28" s="77">
        <f t="shared" si="1"/>
        <v>54.245952854302757</v>
      </c>
      <c r="M28" s="66"/>
    </row>
    <row r="29" spans="1:13" ht="17.100000000000001" customHeight="1">
      <c r="A29" s="76"/>
      <c r="B29" s="73">
        <v>21</v>
      </c>
      <c r="C29" s="35">
        <f>Electricity!C28</f>
        <v>14</v>
      </c>
      <c r="D29" s="35">
        <f>Electricity!D28</f>
        <v>77</v>
      </c>
      <c r="E29" s="10">
        <v>0</v>
      </c>
      <c r="F29" s="3">
        <f t="shared" si="2"/>
        <v>0</v>
      </c>
      <c r="G29" s="10">
        <v>75</v>
      </c>
      <c r="H29" s="3">
        <f t="shared" si="3"/>
        <v>300000</v>
      </c>
      <c r="I29" s="10">
        <v>109</v>
      </c>
      <c r="J29" s="3">
        <f t="shared" si="4"/>
        <v>436000</v>
      </c>
      <c r="K29" s="10">
        <f t="shared" si="0"/>
        <v>736000</v>
      </c>
      <c r="L29" s="77">
        <f t="shared" si="1"/>
        <v>52.257881283726213</v>
      </c>
      <c r="M29" s="66"/>
    </row>
    <row r="30" spans="1:13" ht="17.100000000000001" customHeight="1">
      <c r="A30" s="76"/>
      <c r="B30" s="73">
        <v>22</v>
      </c>
      <c r="C30" s="35">
        <f>Electricity!C29</f>
        <v>9</v>
      </c>
      <c r="D30" s="35">
        <f>Electricity!D29</f>
        <v>49</v>
      </c>
      <c r="E30" s="10">
        <v>0</v>
      </c>
      <c r="F30" s="3">
        <f t="shared" si="2"/>
        <v>0</v>
      </c>
      <c r="G30" s="10">
        <v>48</v>
      </c>
      <c r="H30" s="3">
        <f t="shared" si="3"/>
        <v>192000</v>
      </c>
      <c r="I30" s="10">
        <v>114</v>
      </c>
      <c r="J30" s="3">
        <f t="shared" si="4"/>
        <v>456000</v>
      </c>
      <c r="K30" s="10">
        <f t="shared" si="0"/>
        <v>648000</v>
      </c>
      <c r="L30" s="77">
        <f t="shared" si="1"/>
        <v>46.009656347628514</v>
      </c>
      <c r="M30" s="66"/>
    </row>
    <row r="31" spans="1:13" ht="17.100000000000001" customHeight="1">
      <c r="A31" s="76"/>
      <c r="B31" s="73">
        <v>23</v>
      </c>
      <c r="C31" s="35">
        <f>Electricity!C30</f>
        <v>7</v>
      </c>
      <c r="D31" s="35">
        <f>Electricity!D30</f>
        <v>40</v>
      </c>
      <c r="E31" s="10">
        <v>0</v>
      </c>
      <c r="F31" s="3">
        <f t="shared" si="2"/>
        <v>0</v>
      </c>
      <c r="G31" s="10">
        <v>0</v>
      </c>
      <c r="H31" s="3">
        <f t="shared" si="3"/>
        <v>0</v>
      </c>
      <c r="I31" s="10">
        <v>152</v>
      </c>
      <c r="J31" s="3">
        <f t="shared" si="4"/>
        <v>608000</v>
      </c>
      <c r="K31" s="10">
        <f t="shared" si="0"/>
        <v>608000</v>
      </c>
      <c r="L31" s="77">
        <f t="shared" si="1"/>
        <v>43.169554103947739</v>
      </c>
      <c r="M31" s="66"/>
    </row>
    <row r="32" spans="1:13" ht="17.100000000000001" customHeight="1">
      <c r="A32" s="76"/>
      <c r="B32" s="73">
        <v>24</v>
      </c>
      <c r="C32" s="35">
        <f>Electricity!C31</f>
        <v>3</v>
      </c>
      <c r="D32" s="35">
        <f>Electricity!D31</f>
        <v>16</v>
      </c>
      <c r="E32" s="10">
        <v>0</v>
      </c>
      <c r="F32" s="3">
        <f t="shared" si="2"/>
        <v>0</v>
      </c>
      <c r="G32" s="10">
        <v>0</v>
      </c>
      <c r="H32" s="3">
        <f t="shared" si="3"/>
        <v>0</v>
      </c>
      <c r="I32" s="10">
        <v>151</v>
      </c>
      <c r="J32" s="3">
        <f t="shared" si="4"/>
        <v>604000</v>
      </c>
      <c r="K32" s="10">
        <f t="shared" si="0"/>
        <v>604000</v>
      </c>
      <c r="L32" s="77">
        <f t="shared" si="1"/>
        <v>42.885543879579664</v>
      </c>
      <c r="M32" s="66"/>
    </row>
    <row r="33" spans="1:15" ht="17.100000000000001" customHeight="1">
      <c r="A33" s="76"/>
      <c r="B33" s="73">
        <v>25</v>
      </c>
      <c r="C33" s="35">
        <f>Electricity!C32</f>
        <v>4</v>
      </c>
      <c r="D33" s="35">
        <f>Electricity!D32</f>
        <v>22</v>
      </c>
      <c r="E33" s="10">
        <v>0</v>
      </c>
      <c r="F33" s="3">
        <f t="shared" si="2"/>
        <v>0</v>
      </c>
      <c r="G33" s="10">
        <v>0</v>
      </c>
      <c r="H33" s="3">
        <f t="shared" si="3"/>
        <v>0</v>
      </c>
      <c r="I33" s="10">
        <v>142</v>
      </c>
      <c r="J33" s="3">
        <f t="shared" si="4"/>
        <v>568000</v>
      </c>
      <c r="K33" s="10">
        <f t="shared" si="0"/>
        <v>568000</v>
      </c>
      <c r="L33" s="77">
        <f t="shared" si="1"/>
        <v>40.329451860266971</v>
      </c>
      <c r="M33" s="66"/>
    </row>
    <row r="34" spans="1:15" ht="17.100000000000001" customHeight="1">
      <c r="A34" s="76"/>
      <c r="B34" s="73">
        <v>26</v>
      </c>
      <c r="C34" s="35">
        <f>Electricity!C33</f>
        <v>2</v>
      </c>
      <c r="D34" s="35">
        <f>Electricity!D33</f>
        <v>11</v>
      </c>
      <c r="E34" s="10">
        <v>0</v>
      </c>
      <c r="F34" s="3">
        <f t="shared" si="2"/>
        <v>0</v>
      </c>
      <c r="G34" s="10">
        <v>0</v>
      </c>
      <c r="H34" s="3">
        <f t="shared" si="3"/>
        <v>0</v>
      </c>
      <c r="I34" s="10">
        <v>159</v>
      </c>
      <c r="J34" s="3">
        <f t="shared" si="4"/>
        <v>636000</v>
      </c>
      <c r="K34" s="10">
        <f t="shared" si="0"/>
        <v>636000</v>
      </c>
      <c r="L34" s="77">
        <f t="shared" si="1"/>
        <v>45.157625674524283</v>
      </c>
      <c r="M34" s="66"/>
    </row>
    <row r="35" spans="1:15" ht="17.100000000000001" customHeight="1">
      <c r="A35" s="76"/>
      <c r="B35" s="73">
        <v>27</v>
      </c>
      <c r="C35" s="35">
        <f>Electricity!C34</f>
        <v>5</v>
      </c>
      <c r="D35" s="35">
        <f>Electricity!D34</f>
        <v>27</v>
      </c>
      <c r="E35" s="10"/>
      <c r="F35" s="3">
        <f t="shared" si="2"/>
        <v>0</v>
      </c>
      <c r="G35" s="10">
        <v>0</v>
      </c>
      <c r="H35" s="3">
        <f t="shared" si="3"/>
        <v>0</v>
      </c>
      <c r="I35" s="10">
        <v>164</v>
      </c>
      <c r="J35" s="3">
        <f t="shared" si="4"/>
        <v>656000</v>
      </c>
      <c r="K35" s="10">
        <f t="shared" si="0"/>
        <v>656000</v>
      </c>
      <c r="L35" s="77">
        <f t="shared" si="1"/>
        <v>46.577676796364671</v>
      </c>
      <c r="M35" s="66"/>
    </row>
    <row r="36" spans="1:15" ht="17.100000000000001" customHeight="1">
      <c r="A36" s="76"/>
      <c r="B36" s="73">
        <v>28</v>
      </c>
      <c r="C36" s="35">
        <f>Electricity!C35</f>
        <v>4</v>
      </c>
      <c r="D36" s="35">
        <f>Electricity!D35</f>
        <v>22</v>
      </c>
      <c r="E36" s="10"/>
      <c r="F36" s="3">
        <f t="shared" si="2"/>
        <v>0</v>
      </c>
      <c r="G36" s="10">
        <v>0</v>
      </c>
      <c r="H36" s="3">
        <f t="shared" si="3"/>
        <v>0</v>
      </c>
      <c r="I36" s="10">
        <v>136</v>
      </c>
      <c r="J36" s="3">
        <f t="shared" si="4"/>
        <v>544000</v>
      </c>
      <c r="K36" s="10">
        <f t="shared" si="0"/>
        <v>544000</v>
      </c>
      <c r="L36" s="77">
        <f t="shared" si="1"/>
        <v>38.625390514058509</v>
      </c>
      <c r="M36" s="66"/>
    </row>
    <row r="37" spans="1:15" ht="17.100000000000001" customHeight="1">
      <c r="A37" s="76"/>
      <c r="B37" s="73">
        <v>29</v>
      </c>
      <c r="C37" s="35">
        <f>Electricity!C36</f>
        <v>6</v>
      </c>
      <c r="D37" s="35">
        <f>Electricity!D36</f>
        <v>33</v>
      </c>
      <c r="E37" s="10"/>
      <c r="F37" s="3">
        <f t="shared" si="2"/>
        <v>0</v>
      </c>
      <c r="G37" s="10">
        <v>0</v>
      </c>
      <c r="H37" s="3">
        <f t="shared" si="3"/>
        <v>0</v>
      </c>
      <c r="I37" s="10">
        <v>167</v>
      </c>
      <c r="J37" s="3">
        <f t="shared" si="4"/>
        <v>668000</v>
      </c>
      <c r="K37" s="10">
        <f t="shared" si="0"/>
        <v>668000</v>
      </c>
      <c r="L37" s="77">
        <f t="shared" si="1"/>
        <v>47.429707469468902</v>
      </c>
      <c r="M37" s="66"/>
    </row>
    <row r="38" spans="1:15" ht="17.100000000000001" customHeight="1">
      <c r="A38" s="76"/>
      <c r="B38" s="73">
        <v>30</v>
      </c>
      <c r="C38" s="35">
        <f>Electricity!C37</f>
        <v>7</v>
      </c>
      <c r="D38" s="35">
        <f>Electricity!D37</f>
        <v>38</v>
      </c>
      <c r="E38" s="10"/>
      <c r="F38" s="3">
        <f t="shared" si="2"/>
        <v>0</v>
      </c>
      <c r="G38" s="10">
        <v>0</v>
      </c>
      <c r="H38" s="3">
        <f t="shared" si="3"/>
        <v>0</v>
      </c>
      <c r="I38" s="10">
        <v>134</v>
      </c>
      <c r="J38" s="3">
        <f t="shared" si="4"/>
        <v>536000</v>
      </c>
      <c r="K38" s="10">
        <f t="shared" si="0"/>
        <v>536000</v>
      </c>
      <c r="L38" s="77">
        <f t="shared" si="1"/>
        <v>38.057370065322353</v>
      </c>
      <c r="M38" s="66"/>
    </row>
    <row r="39" spans="1:15" ht="17.100000000000001" customHeight="1">
      <c r="A39" s="76"/>
      <c r="B39" s="73">
        <v>31</v>
      </c>
      <c r="C39" s="35">
        <f>Electricity!C38</f>
        <v>5</v>
      </c>
      <c r="D39" s="35">
        <f>Electricity!D38</f>
        <v>27</v>
      </c>
      <c r="E39" s="10"/>
      <c r="F39" s="3">
        <f t="shared" si="2"/>
        <v>0</v>
      </c>
      <c r="G39" s="10">
        <v>0</v>
      </c>
      <c r="H39" s="3">
        <f t="shared" si="3"/>
        <v>0</v>
      </c>
      <c r="I39" s="10">
        <v>153</v>
      </c>
      <c r="J39" s="3">
        <f>I39*13582</f>
        <v>2078046</v>
      </c>
      <c r="K39" s="10">
        <f t="shared" si="0"/>
        <v>2078046</v>
      </c>
      <c r="L39" s="77">
        <f t="shared" si="1"/>
        <v>147.54657767679637</v>
      </c>
      <c r="M39" s="66"/>
    </row>
    <row r="40" spans="1:15" ht="15.75">
      <c r="C40" s="18">
        <f>SUM(C9:C39)</f>
        <v>295</v>
      </c>
      <c r="D40" s="18">
        <f>SUM(D9:D39)</f>
        <v>1637</v>
      </c>
      <c r="E40" s="18">
        <f>SUM(E9:E39)</f>
        <v>117</v>
      </c>
      <c r="G40" s="18">
        <f>SUM(G9:G39)</f>
        <v>3108</v>
      </c>
      <c r="I40" s="18">
        <f>SUM(I9:I39)</f>
        <v>5987</v>
      </c>
      <c r="J40" s="37">
        <f>G40+I40</f>
        <v>9095</v>
      </c>
      <c r="K40" s="44"/>
      <c r="L40" s="49">
        <f>SUM(L9:L39)</f>
        <v>2799.9957398466345</v>
      </c>
      <c r="O40" s="38" t="e">
        <f>#REF!+#REF!+#REF!+#REF!+#REF!+#REF!+#REF!+#REF!+#REF!+#REF!+L40+#REF!</f>
        <v>#REF!</v>
      </c>
    </row>
    <row r="41" spans="1:15">
      <c r="I41" s="41">
        <f>G40+I40</f>
        <v>9095</v>
      </c>
      <c r="L41" s="40"/>
    </row>
    <row r="42" spans="1:15">
      <c r="C42" t="s">
        <v>29</v>
      </c>
      <c r="E42" s="6"/>
      <c r="F42" s="6"/>
      <c r="G42" s="6"/>
      <c r="H42" s="6"/>
      <c r="I42" s="19"/>
      <c r="J42" s="19"/>
      <c r="L42" s="43"/>
    </row>
    <row r="43" spans="1:15">
      <c r="E43" s="6"/>
      <c r="F43" s="6"/>
      <c r="G43" s="6"/>
      <c r="H43" s="6"/>
      <c r="I43" s="19"/>
      <c r="J43" s="19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9FBBEB-8441-4355-BA1F-253EFBE770D5}"/>
</file>

<file path=customXml/itemProps2.xml><?xml version="1.0" encoding="utf-8"?>
<ds:datastoreItem xmlns:ds="http://schemas.openxmlformats.org/officeDocument/2006/customXml" ds:itemID="{4CE38059-6727-491E-AEFC-ECEBCFDE3415}"/>
</file>

<file path=customXml/itemProps3.xml><?xml version="1.0" encoding="utf-8"?>
<ds:datastoreItem xmlns:ds="http://schemas.openxmlformats.org/officeDocument/2006/customXml" ds:itemID="{380730EC-4C15-4B47-AF61-2E422F775F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Dinna Wiji Safitri</cp:lastModifiedBy>
  <cp:revision/>
  <dcterms:created xsi:type="dcterms:W3CDTF">2009-02-11T09:03:59Z</dcterms:created>
  <dcterms:modified xsi:type="dcterms:W3CDTF">2023-02-18T04:28:41Z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