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4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408" documentId="13_ncr:1_{83C287CF-C334-4BE5-BF29-FA1D4D504CBD}" xr6:coauthVersionLast="47" xr6:coauthVersionMax="47" xr10:uidLastSave="{D6B7A8C8-3E35-4100-825A-3AB73D1DB063}"/>
  <bookViews>
    <workbookView xWindow="-120" yWindow="-120" windowWidth="29040" windowHeight="15840" tabRatio="764" firstSheet="2" activeTab="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6" l="1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32" i="2"/>
  <c r="X33" i="2"/>
  <c r="X34" i="2"/>
  <c r="X35" i="2"/>
  <c r="X36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X31" i="2" s="1"/>
  <c r="P26" i="4"/>
  <c r="V32" i="2"/>
  <c r="P32" i="4"/>
  <c r="V38" i="2"/>
  <c r="V17" i="2"/>
  <c r="X17" i="2" s="1"/>
  <c r="V18" i="2"/>
  <c r="X18" i="2" s="1"/>
  <c r="P24" i="4"/>
  <c r="V30" i="2"/>
  <c r="X30" i="2" s="1"/>
  <c r="P29" i="4"/>
  <c r="V35" i="2"/>
  <c r="P21" i="4"/>
  <c r="V27" i="2"/>
  <c r="X27" i="2" s="1"/>
  <c r="P18" i="4"/>
  <c r="V24" i="2"/>
  <c r="X24" i="2" s="1"/>
  <c r="P30" i="4"/>
  <c r="V36" i="2"/>
  <c r="P34" i="4"/>
  <c r="V40" i="2"/>
  <c r="P27" i="4"/>
  <c r="V33" i="2"/>
  <c r="V20" i="2"/>
  <c r="X20" i="2" s="1"/>
  <c r="P16" i="4"/>
  <c r="V22" i="2"/>
  <c r="X22" i="2" s="1"/>
  <c r="P28" i="4"/>
  <c r="V34" i="2"/>
  <c r="P31" i="4"/>
  <c r="V37" i="2"/>
  <c r="V16" i="2"/>
  <c r="X16" i="2" s="1"/>
  <c r="V19" i="2"/>
  <c r="X19" i="2" s="1"/>
  <c r="P17" i="4"/>
  <c r="V23" i="2"/>
  <c r="X23" i="2" s="1"/>
  <c r="P23" i="4"/>
  <c r="V29" i="2"/>
  <c r="X29" i="2" s="1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M25" i="22" s="1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16" i="22" l="1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<sst xmlns="http://schemas.openxmlformats.org/spreadsheetml/2006/main" count="478" uniqueCount="186">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</sst>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575.98577999999998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13469</v>
      </c>
      <c r="F21" s="131">
        <v>1.05</v>
      </c>
      <c r="G21" s="131">
        <f>'Consommation mensuel énergie'!V29</f>
        <v>0</v>
      </c>
      <c r="H21" s="131">
        <v>12.44</v>
      </c>
      <c r="I21" s="131">
        <f>'Consommation mensuel énergie'!F29</f>
        <v>104</v>
      </c>
      <c r="J21" s="131">
        <v>11.4</v>
      </c>
      <c r="K21" s="134">
        <f>'Consommation mensuel énergie'!D29</f>
        <v>95</v>
      </c>
      <c r="L21" s="134">
        <f>'Consommation mensuel énergie'!E29</f>
        <v>161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0</v>
      </c>
      <c r="F22" s="131">
        <v>1.05</v>
      </c>
      <c r="G22" s="131">
        <f>'Consommation mensuel énergie'!V30</f>
        <v>0</v>
      </c>
      <c r="H22" s="131">
        <v>12.44</v>
      </c>
      <c r="I22" s="131">
        <f>'Consommation mensuel énergie'!F30</f>
        <v>0</v>
      </c>
      <c r="J22" s="131">
        <v>11.4</v>
      </c>
      <c r="K22" s="134">
        <f>'Consommation mensuel énergie'!D30</f>
        <v>0</v>
      </c>
      <c r="L22" s="134">
        <f>'Consommation mensuel énergie'!E30</f>
        <v>0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0</v>
      </c>
      <c r="F23" s="131">
        <v>1.05</v>
      </c>
      <c r="G23" s="131">
        <f>'Consommation mensuel énergie'!V31</f>
        <v>0</v>
      </c>
      <c r="H23" s="131">
        <v>12.44</v>
      </c>
      <c r="I23" s="131">
        <f>'Consommation mensuel énergie'!F31</f>
        <v>0</v>
      </c>
      <c r="J23" s="131">
        <v>11.4</v>
      </c>
      <c r="K23" s="134">
        <f>'Consommation mensuel énergie'!D31</f>
        <v>0</v>
      </c>
      <c r="L23" s="134">
        <f>'Consommation mensuel énergie'!E31</f>
        <v>0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0</v>
      </c>
      <c r="F24" s="131">
        <v>1.05</v>
      </c>
      <c r="G24" s="131">
        <f>'Consommation mensuel énergie'!V32</f>
        <v>0</v>
      </c>
      <c r="H24" s="131">
        <v>12.44</v>
      </c>
      <c r="I24" s="131">
        <f>'Consommation mensuel énergie'!F32</f>
        <v>0</v>
      </c>
      <c r="J24" s="131">
        <v>11.4</v>
      </c>
      <c r="K24" s="134">
        <f>'Consommation mensuel énergie'!D32</f>
        <v>0</v>
      </c>
      <c r="L24" s="134">
        <f>'Consommation mensuel énergie'!E32</f>
        <v>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0</v>
      </c>
      <c r="F25" s="131">
        <v>1.05</v>
      </c>
      <c r="G25" s="131">
        <f>'Consommation mensuel énergie'!V33</f>
        <v>0</v>
      </c>
      <c r="H25" s="131">
        <v>12.44</v>
      </c>
      <c r="I25" s="131">
        <f>'Consommation mensuel énergie'!F33</f>
        <v>0</v>
      </c>
      <c r="J25" s="131">
        <v>11.4</v>
      </c>
      <c r="K25" s="134">
        <f>'Consommation mensuel énergie'!D33</f>
        <v>0</v>
      </c>
      <c r="L25" s="134">
        <f>'Consommation mensuel énergie'!E33</f>
        <v>0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0</v>
      </c>
      <c r="F26" s="131">
        <v>1.05</v>
      </c>
      <c r="G26" s="131">
        <f>'Consommation mensuel énergie'!V34</f>
        <v>0</v>
      </c>
      <c r="H26" s="131">
        <v>12.44</v>
      </c>
      <c r="I26" s="131">
        <f>'Consommation mensuel énergie'!F34</f>
        <v>0</v>
      </c>
      <c r="J26" s="131">
        <v>11.4</v>
      </c>
      <c r="K26" s="134">
        <f>'Consommation mensuel énergie'!D34</f>
        <v>0</v>
      </c>
      <c r="L26" s="134">
        <f>'Consommation mensuel énergie'!E34</f>
        <v>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0</v>
      </c>
      <c r="F27" s="131">
        <v>1.05</v>
      </c>
      <c r="G27" s="131">
        <f>'Consommation mensuel énergie'!V35</f>
        <v>0</v>
      </c>
      <c r="H27" s="131">
        <v>12.44</v>
      </c>
      <c r="I27" s="131">
        <f>'Consommation mensuel énergie'!F35</f>
        <v>0</v>
      </c>
      <c r="J27" s="131">
        <v>11.4</v>
      </c>
      <c r="K27" s="134">
        <f>'Consommation mensuel énergie'!D35</f>
        <v>0</v>
      </c>
      <c r="L27" s="134">
        <f>'Consommation mensuel énergie'!E35</f>
        <v>0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0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0</v>
      </c>
      <c r="J28" s="131">
        <v>11.4</v>
      </c>
      <c r="K28" s="134">
        <f>'Consommation mensuel énergie'!D36</f>
        <v>0</v>
      </c>
      <c r="L28" s="134">
        <f>'Consommation mensuel énergie'!E36</f>
        <v>0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C20" sqref="C20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4056</v>
      </c>
      <c r="F21" s="134">
        <f>'Consommation mensuel énergie'!M29</f>
        <v>6460</v>
      </c>
      <c r="G21" s="134">
        <f>'Consommation mensuel énergie'!N29</f>
        <v>2953</v>
      </c>
      <c r="H21" s="134">
        <f>'Consommation mensuel énergie'!D29</f>
        <v>95</v>
      </c>
      <c r="I21" s="134">
        <f>'Consommation mensuel énergie'!E29</f>
        <v>161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0</v>
      </c>
      <c r="F22" s="134">
        <f>'Consommation mensuel énergie'!M30</f>
        <v>0</v>
      </c>
      <c r="G22" s="134">
        <f>'Consommation mensuel énergie'!N30</f>
        <v>0</v>
      </c>
      <c r="H22" s="134">
        <f>'Consommation mensuel énergie'!D30</f>
        <v>0</v>
      </c>
      <c r="I22" s="134">
        <f>'Consommation mensuel énergie'!E30</f>
        <v>0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0</v>
      </c>
      <c r="F23" s="134">
        <f>'Consommation mensuel énergie'!M31</f>
        <v>0</v>
      </c>
      <c r="G23" s="134">
        <f>'Consommation mensuel énergie'!N31</f>
        <v>0</v>
      </c>
      <c r="H23" s="134">
        <f>'Consommation mensuel énergie'!D31</f>
        <v>0</v>
      </c>
      <c r="I23" s="134">
        <f>'Consommation mensuel énergie'!E31</f>
        <v>0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0</v>
      </c>
      <c r="F24" s="134">
        <f>'Consommation mensuel énergie'!M32</f>
        <v>0</v>
      </c>
      <c r="G24" s="134">
        <f>'Consommation mensuel énergie'!N32</f>
        <v>0</v>
      </c>
      <c r="H24" s="134">
        <f>'Consommation mensuel énergie'!D32</f>
        <v>0</v>
      </c>
      <c r="I24" s="134">
        <f>'Consommation mensuel énergie'!E32</f>
        <v>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0</v>
      </c>
      <c r="F25" s="134">
        <f>'Consommation mensuel énergie'!M33</f>
        <v>0</v>
      </c>
      <c r="G25" s="134">
        <f>'Consommation mensuel énergie'!N33</f>
        <v>0</v>
      </c>
      <c r="H25" s="134">
        <f>'Consommation mensuel énergie'!D33</f>
        <v>0</v>
      </c>
      <c r="I25" s="134">
        <f>'Consommation mensuel énergie'!E33</f>
        <v>0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0</v>
      </c>
      <c r="F26" s="134">
        <f>'Consommation mensuel énergie'!M34</f>
        <v>0</v>
      </c>
      <c r="G26" s="134">
        <f>'Consommation mensuel énergie'!N34</f>
        <v>0</v>
      </c>
      <c r="H26" s="134">
        <f>'Consommation mensuel énergie'!D34</f>
        <v>0</v>
      </c>
      <c r="I26" s="134">
        <f>'Consommation mensuel énergie'!E34</f>
        <v>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0</v>
      </c>
      <c r="F27" s="134">
        <f>'Consommation mensuel énergie'!M35</f>
        <v>0</v>
      </c>
      <c r="G27" s="134">
        <f>'Consommation mensuel énergie'!N35</f>
        <v>0</v>
      </c>
      <c r="H27" s="134">
        <f>'Consommation mensuel énergie'!D35</f>
        <v>0</v>
      </c>
      <c r="I27" s="134">
        <f>'Consommation mensuel énergie'!E35</f>
        <v>0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0</v>
      </c>
      <c r="F28" s="134">
        <f>'Consommation mensuel énergie'!M36</f>
        <v>0</v>
      </c>
      <c r="G28" s="134">
        <f>'Consommation mensuel énergie'!N36</f>
        <v>0</v>
      </c>
      <c r="H28" s="134">
        <f>'Consommation mensuel énergie'!D36</f>
        <v>0</v>
      </c>
      <c r="I28" s="134">
        <f>'Consommation mensuel énergie'!E36</f>
        <v>0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F10" activePane="bottomRight" state="frozen"/>
      <selection pane="bottomRight" activeCell="Q10" sqref="Q10:Q2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46"/>
      <c r="B2" s="247"/>
      <c r="C2" s="247"/>
      <c r="D2" s="247"/>
      <c r="E2" s="247"/>
      <c r="F2" s="247"/>
      <c r="G2" s="247"/>
      <c r="H2" s="248"/>
      <c r="I2" s="257" t="s">
        <v>17</v>
      </c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</row>
    <row r="3" spans="1:24" ht="15" hidden="1" customHeight="1" thickBot="1"/>
    <row r="4" spans="1:24" ht="39" hidden="1" customHeight="1" thickBot="1">
      <c r="A4" s="249"/>
      <c r="B4" s="249"/>
      <c r="C4" s="249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49"/>
      <c r="B5" s="249"/>
      <c r="C5" s="249"/>
      <c r="D5" s="5"/>
      <c r="E5" s="5"/>
      <c r="F5" s="5"/>
      <c r="G5" s="5"/>
      <c r="H5" s="5"/>
      <c r="I5" s="5"/>
      <c r="J5" s="5"/>
      <c r="K5" s="5"/>
      <c r="L5" s="5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</row>
    <row r="6" spans="1:24" s="5" customFormat="1" ht="44.25" hidden="1" customHeight="1" thickBot="1">
      <c r="A6" s="3"/>
      <c r="B6" s="3"/>
      <c r="C6" s="3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</row>
    <row r="7" spans="1:24" s="5" customFormat="1" ht="18.75" hidden="1" customHeight="1" thickBot="1">
      <c r="F7" s="250"/>
      <c r="G7" s="250"/>
      <c r="H7" s="250"/>
      <c r="I7" s="250"/>
      <c r="J7" s="250"/>
      <c r="K7" s="250"/>
      <c r="L7" s="250"/>
      <c r="M7" s="250"/>
      <c r="N7" s="259"/>
      <c r="O7" s="259"/>
      <c r="P7" s="250"/>
      <c r="Q7" s="250"/>
      <c r="R7" s="250"/>
      <c r="S7" s="250"/>
      <c r="T7" s="250"/>
      <c r="U7" s="250"/>
      <c r="V7" s="250"/>
      <c r="W7" s="250"/>
      <c r="X7" s="250"/>
    </row>
    <row r="8" spans="1:24" ht="18.75" customHeight="1" thickBot="1">
      <c r="A8" s="250"/>
      <c r="B8" s="261" t="s">
        <v>19</v>
      </c>
      <c r="C8" s="4"/>
      <c r="D8" s="221" t="s">
        <v>20</v>
      </c>
      <c r="E8" s="221" t="s">
        <v>21</v>
      </c>
      <c r="F8" s="244" t="s">
        <v>22</v>
      </c>
      <c r="G8" s="2"/>
      <c r="H8" s="251" t="s">
        <v>23</v>
      </c>
      <c r="I8" s="252"/>
      <c r="J8" s="253"/>
      <c r="K8" s="262" t="s">
        <v>24</v>
      </c>
      <c r="L8" s="243" t="s">
        <v>25</v>
      </c>
      <c r="M8" s="243"/>
      <c r="N8" s="243"/>
      <c r="O8" s="243" t="s">
        <v>26</v>
      </c>
      <c r="P8" s="2"/>
      <c r="Q8" s="223" t="s">
        <v>23</v>
      </c>
      <c r="R8" s="2"/>
      <c r="S8" s="223" t="s">
        <v>27</v>
      </c>
      <c r="T8" s="2"/>
      <c r="U8" s="223" t="s">
        <v>28</v>
      </c>
      <c r="V8" s="225" t="s">
        <v>29</v>
      </c>
      <c r="W8" s="2"/>
      <c r="X8" s="223" t="s">
        <v>23</v>
      </c>
    </row>
    <row r="9" spans="1:24" ht="59.25" customHeight="1" thickBot="1">
      <c r="A9" s="250"/>
      <c r="B9" s="261"/>
      <c r="C9" s="4"/>
      <c r="D9" s="222"/>
      <c r="E9" s="222"/>
      <c r="F9" s="245"/>
      <c r="G9" s="2"/>
      <c r="H9" s="254"/>
      <c r="I9" s="255"/>
      <c r="J9" s="256"/>
      <c r="K9" s="263"/>
      <c r="L9" s="152" t="s">
        <v>30</v>
      </c>
      <c r="M9" s="152" t="s">
        <v>31</v>
      </c>
      <c r="N9" s="152" t="s">
        <v>32</v>
      </c>
      <c r="O9" s="260"/>
      <c r="P9" s="2"/>
      <c r="Q9" s="224"/>
      <c r="R9" s="2"/>
      <c r="S9" s="224"/>
      <c r="T9" s="2"/>
      <c r="U9" s="224"/>
      <c r="V9" s="226"/>
      <c r="W9" s="2"/>
      <c r="X9" s="224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80">
        <f>F10*8.79</f>
        <v>985.35900000005108</v>
      </c>
      <c r="I10" s="181"/>
      <c r="J10" s="181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80">
        <f t="shared" ref="H11:H21" si="0">F11*8.79</f>
        <v>1098.75</v>
      </c>
      <c r="I11" s="181"/>
      <c r="J11" s="181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80">
        <f t="shared" si="0"/>
        <v>1072.3799999999999</v>
      </c>
      <c r="I12" s="181"/>
      <c r="J12" s="181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80">
        <f t="shared" si="0"/>
        <v>1151.4899999999998</v>
      </c>
      <c r="I13" s="181"/>
      <c r="J13" s="181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80">
        <f t="shared" si="0"/>
        <v>1072.3799999999999</v>
      </c>
      <c r="I14" s="181"/>
      <c r="J14" s="181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80">
        <f t="shared" si="0"/>
        <v>1160.28</v>
      </c>
      <c r="I15" s="181"/>
      <c r="J15" s="181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80">
        <f t="shared" si="0"/>
        <v>1063.5899999999999</v>
      </c>
      <c r="I16" s="181"/>
      <c r="J16" s="181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80">
        <f t="shared" si="0"/>
        <v>966.89999999999986</v>
      </c>
      <c r="I17" s="181"/>
      <c r="J17" s="181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80">
        <f t="shared" si="0"/>
        <v>1239.3899999999999</v>
      </c>
      <c r="I18" s="181"/>
      <c r="J18" s="181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80">
        <f t="shared" si="0"/>
        <v>1133.9099999999999</v>
      </c>
      <c r="I19" s="181"/>
      <c r="J19" s="181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80">
        <f t="shared" si="0"/>
        <v>1002.06</v>
      </c>
      <c r="I20" s="181"/>
      <c r="J20" s="181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80">
        <f t="shared" si="0"/>
        <v>1054.8</v>
      </c>
      <c r="I21" s="181"/>
      <c r="J21" s="181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80">
        <f t="shared" ref="H22:H35" si="4">F22*8.79</f>
        <v>782.31</v>
      </c>
      <c r="I22" s="181"/>
      <c r="J22" s="181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80">
        <f t="shared" si="4"/>
        <v>1019.6399999999999</v>
      </c>
      <c r="I23" s="181"/>
      <c r="J23" s="181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80">
        <f t="shared" si="4"/>
        <v>1019.6399999999999</v>
      </c>
      <c r="I24" s="181"/>
      <c r="J24" s="181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80">
        <f t="shared" si="4"/>
        <v>1116.33</v>
      </c>
      <c r="I25" s="181"/>
      <c r="J25" s="181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80">
        <f t="shared" si="4"/>
        <v>729.56999999999994</v>
      </c>
      <c r="I26" s="181"/>
      <c r="J26" s="181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80">
        <f t="shared" si="4"/>
        <v>1177.8599999999999</v>
      </c>
      <c r="I27" s="181"/>
      <c r="J27" s="181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80">
        <f t="shared" si="4"/>
        <v>843.83999999999992</v>
      </c>
      <c r="I28" s="181"/>
      <c r="J28" s="181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575.98577999999998</v>
      </c>
      <c r="W28" s="11"/>
      <c r="X28" s="34">
        <f t="shared" si="1"/>
        <v>7165.263103199999</v>
      </c>
    </row>
    <row r="29" spans="1:24" ht="32.25" customHeight="1">
      <c r="A29" s="2"/>
      <c r="B29" s="6">
        <v>44915</v>
      </c>
      <c r="C29" s="7"/>
      <c r="D29" s="140">
        <v>95</v>
      </c>
      <c r="E29" s="140">
        <v>161</v>
      </c>
      <c r="F29" s="13">
        <f>'Suivi EAU-ELEC'!E28</f>
        <v>104</v>
      </c>
      <c r="G29" s="11"/>
      <c r="H29" s="180">
        <f t="shared" si="4"/>
        <v>914.15999999999985</v>
      </c>
      <c r="I29" s="181"/>
      <c r="J29" s="181"/>
      <c r="K29" s="58">
        <v>42297</v>
      </c>
      <c r="L29" s="88">
        <f>'Suivi EAU-ELEC'!G28</f>
        <v>4056</v>
      </c>
      <c r="M29" s="89">
        <f>'Suivi EAU-ELEC'!I28</f>
        <v>6460</v>
      </c>
      <c r="N29" s="89">
        <f>'Suivi EAU-ELEC'!K28</f>
        <v>2953</v>
      </c>
      <c r="O29" s="89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3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44916</v>
      </c>
      <c r="C30" s="7"/>
      <c r="D30" s="140"/>
      <c r="E30" s="140"/>
      <c r="F30" s="13">
        <f>'Suivi EAU-ELEC'!E29</f>
        <v>0</v>
      </c>
      <c r="G30" s="11"/>
      <c r="H30" s="180">
        <f t="shared" si="4"/>
        <v>0</v>
      </c>
      <c r="I30" s="181"/>
      <c r="J30" s="181"/>
      <c r="K30" s="58">
        <v>42298</v>
      </c>
      <c r="L30" s="88">
        <f>'Suivi EAU-ELEC'!G29</f>
        <v>0</v>
      </c>
      <c r="M30" s="89">
        <f>'Suivi EAU-ELEC'!I29</f>
        <v>0</v>
      </c>
      <c r="N30" s="89">
        <f>'Suivi EAU-ELEC'!K29</f>
        <v>0</v>
      </c>
      <c r="O30" s="89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3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44917</v>
      </c>
      <c r="C31" s="7"/>
      <c r="D31" s="140"/>
      <c r="E31" s="140"/>
      <c r="F31" s="13">
        <f>'Suivi EAU-ELEC'!E30</f>
        <v>0</v>
      </c>
      <c r="G31" s="11"/>
      <c r="H31" s="180">
        <f t="shared" si="4"/>
        <v>0</v>
      </c>
      <c r="I31" s="181"/>
      <c r="J31" s="181"/>
      <c r="K31" s="58">
        <v>42299</v>
      </c>
      <c r="L31" s="88">
        <f>'Suivi EAU-ELEC'!G30</f>
        <v>0</v>
      </c>
      <c r="M31" s="89">
        <f>'Suivi EAU-ELEC'!I30</f>
        <v>0</v>
      </c>
      <c r="N31" s="89">
        <f>'Suivi EAU-ELEC'!K30</f>
        <v>0</v>
      </c>
      <c r="O31" s="89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3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44918</v>
      </c>
      <c r="C32" s="7"/>
      <c r="D32" s="140"/>
      <c r="E32" s="140"/>
      <c r="F32" s="13">
        <f>'Suivi EAU-ELEC'!E31</f>
        <v>0</v>
      </c>
      <c r="G32" s="11"/>
      <c r="H32" s="180">
        <f t="shared" si="4"/>
        <v>0</v>
      </c>
      <c r="I32" s="181"/>
      <c r="J32" s="181"/>
      <c r="K32" s="58">
        <v>42300</v>
      </c>
      <c r="L32" s="88">
        <f>'Suivi EAU-ELEC'!G31</f>
        <v>0</v>
      </c>
      <c r="M32" s="89">
        <f>'Suivi EAU-ELEC'!I31</f>
        <v>0</v>
      </c>
      <c r="N32" s="89">
        <f>'Suivi EAU-ELEC'!K31</f>
        <v>0</v>
      </c>
      <c r="O32" s="89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3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44919</v>
      </c>
      <c r="C33" s="7"/>
      <c r="D33" s="140"/>
      <c r="E33" s="140"/>
      <c r="F33" s="13">
        <f>'Suivi EAU-ELEC'!E32</f>
        <v>0</v>
      </c>
      <c r="G33" s="11"/>
      <c r="H33" s="180">
        <f t="shared" si="4"/>
        <v>0</v>
      </c>
      <c r="I33" s="181"/>
      <c r="J33" s="181"/>
      <c r="K33" s="58">
        <v>42301</v>
      </c>
      <c r="L33" s="88">
        <f>'Suivi EAU-ELEC'!G32</f>
        <v>0</v>
      </c>
      <c r="M33" s="89">
        <f>'Suivi EAU-ELEC'!I32</f>
        <v>0</v>
      </c>
      <c r="N33" s="89">
        <f>'Suivi EAU-ELEC'!K32</f>
        <v>0</v>
      </c>
      <c r="O33" s="89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3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44920</v>
      </c>
      <c r="C34" s="7"/>
      <c r="D34" s="140"/>
      <c r="E34" s="140"/>
      <c r="F34" s="13">
        <f>'Suivi EAU-ELEC'!E33</f>
        <v>0</v>
      </c>
      <c r="G34" s="11"/>
      <c r="H34" s="180">
        <f t="shared" si="4"/>
        <v>0</v>
      </c>
      <c r="I34" s="181"/>
      <c r="J34" s="181"/>
      <c r="K34" s="58">
        <v>42302</v>
      </c>
      <c r="L34" s="88">
        <f>'Suivi EAU-ELEC'!G33</f>
        <v>0</v>
      </c>
      <c r="M34" s="89">
        <f>'Suivi EAU-ELEC'!I33</f>
        <v>0</v>
      </c>
      <c r="N34" s="89">
        <f>'Suivi EAU-ELEC'!K33</f>
        <v>0</v>
      </c>
      <c r="O34" s="89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3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44921</v>
      </c>
      <c r="C35" s="7"/>
      <c r="D35" s="140"/>
      <c r="E35" s="140"/>
      <c r="F35" s="13">
        <f>'Suivi EAU-ELEC'!E34</f>
        <v>0</v>
      </c>
      <c r="G35" s="11"/>
      <c r="H35" s="180">
        <f t="shared" si="4"/>
        <v>0</v>
      </c>
      <c r="I35" s="181"/>
      <c r="J35" s="181"/>
      <c r="K35" s="58">
        <v>42303</v>
      </c>
      <c r="L35" s="88">
        <f>'Suivi EAU-ELEC'!G34</f>
        <v>0</v>
      </c>
      <c r="M35" s="89">
        <f>'Suivi EAU-ELEC'!I34</f>
        <v>0</v>
      </c>
      <c r="N35" s="89">
        <f>'Suivi EAU-ELEC'!K34</f>
        <v>0</v>
      </c>
      <c r="O35" s="89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3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44922</v>
      </c>
      <c r="C36" s="7"/>
      <c r="D36" s="140"/>
      <c r="E36" s="140"/>
      <c r="F36" s="13">
        <f>'Suivi EAU-ELEC'!E35</f>
        <v>0</v>
      </c>
      <c r="G36" s="11"/>
      <c r="H36" s="180">
        <f>F36*8.79</f>
        <v>0</v>
      </c>
      <c r="I36" s="181"/>
      <c r="J36" s="181"/>
      <c r="K36" s="58">
        <v>42304</v>
      </c>
      <c r="L36" s="88">
        <f>'Suivi EAU-ELEC'!G35</f>
        <v>0</v>
      </c>
      <c r="M36" s="89">
        <f>'Suivi EAU-ELEC'!I35</f>
        <v>0</v>
      </c>
      <c r="N36" s="89">
        <f>'Suivi EAU-ELEC'!K35</f>
        <v>0</v>
      </c>
      <c r="O36" s="89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80">
        <f t="shared" ref="H37:H38" si="5">F37*8.79</f>
        <v>0</v>
      </c>
      <c r="I37" s="181"/>
      <c r="J37" s="181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80">
        <f t="shared" si="5"/>
        <v>0</v>
      </c>
      <c r="I38" s="181"/>
      <c r="J38" s="181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80">
        <f t="shared" ref="H39" si="6">F39*8.79</f>
        <v>0</v>
      </c>
      <c r="I39" s="181"/>
      <c r="J39" s="181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80">
        <f t="shared" ref="H40" si="7">F40*8.79</f>
        <v>0</v>
      </c>
      <c r="I40" s="181"/>
      <c r="J40" s="181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1947</v>
      </c>
      <c r="E41" s="8">
        <f>SUM(E10:E40)</f>
        <v>2798</v>
      </c>
      <c r="F41" s="149">
        <f>SUM(F10:F40)</f>
        <v>2344.1000000000058</v>
      </c>
      <c r="G41" s="1"/>
      <c r="H41" s="218">
        <f>SUM(H10:H40)</f>
        <v>20604.639000000047</v>
      </c>
      <c r="I41" s="219"/>
      <c r="J41" s="220"/>
      <c r="K41" s="1"/>
      <c r="L41" s="53">
        <f>SUM(L10:L40)</f>
        <v>85323</v>
      </c>
      <c r="M41" s="53">
        <f>SUM(M10:M40)</f>
        <v>129488</v>
      </c>
      <c r="N41" s="54">
        <f>SUM(N10:N40)</f>
        <v>60947</v>
      </c>
      <c r="O41" s="55">
        <f>SUM(O10:O40)</f>
        <v>275758</v>
      </c>
      <c r="P41" s="31"/>
      <c r="Q41" s="32">
        <f>SUM(Q10:Q40)</f>
        <v>263995.29309999995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8288.8237200000003</v>
      </c>
      <c r="W41" s="31"/>
      <c r="X41" s="32">
        <f>SUM(X10:X40)</f>
        <v>103112.96707679998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198" t="s">
        <v>33</v>
      </c>
      <c r="B43" s="199"/>
      <c r="C43" s="199"/>
      <c r="D43" s="199"/>
      <c r="E43" s="199"/>
      <c r="F43" s="200"/>
      <c r="G43" s="26"/>
      <c r="H43" s="27" t="s">
        <v>34</v>
      </c>
      <c r="I43" s="210" t="s">
        <v>35</v>
      </c>
      <c r="J43" s="211"/>
      <c r="K43" s="212"/>
      <c r="L43" s="241" t="s">
        <v>36</v>
      </c>
      <c r="M43" s="242"/>
      <c r="N43" s="198" t="s">
        <v>37</v>
      </c>
      <c r="O43" s="199"/>
      <c r="P43" s="199"/>
      <c r="Q43" s="199"/>
      <c r="R43" s="199"/>
      <c r="S43" s="199"/>
      <c r="T43" s="199"/>
      <c r="U43" s="199"/>
      <c r="V43" s="199"/>
      <c r="W43" s="199"/>
      <c r="X43" s="200"/>
    </row>
    <row r="44" spans="1:24" s="18" customFormat="1" ht="29.25" customHeight="1" thickBot="1">
      <c r="A44" s="235" t="s">
        <v>38</v>
      </c>
      <c r="B44" s="236"/>
      <c r="C44" s="237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32">
        <f>L41</f>
        <v>85323</v>
      </c>
      <c r="J44" s="233"/>
      <c r="K44" s="234"/>
      <c r="L44" s="216">
        <f>I44*H44</f>
        <v>59598.1155</v>
      </c>
      <c r="M44" s="217"/>
      <c r="N44" s="189">
        <f>L44+L45+L46</f>
        <v>263876.88750000001</v>
      </c>
      <c r="O44" s="190"/>
      <c r="P44" s="190"/>
      <c r="Q44" s="190"/>
      <c r="R44" s="190"/>
      <c r="S44" s="190"/>
      <c r="T44" s="190"/>
      <c r="U44" s="190"/>
      <c r="V44" s="190"/>
      <c r="W44" s="190"/>
      <c r="X44" s="191"/>
    </row>
    <row r="45" spans="1:24" s="18" customFormat="1" ht="29.25" customHeight="1" thickBot="1">
      <c r="A45" s="238"/>
      <c r="B45" s="239"/>
      <c r="C45" s="240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32">
        <f>M41</f>
        <v>129488</v>
      </c>
      <c r="J45" s="233"/>
      <c r="K45" s="234"/>
      <c r="L45" s="216">
        <f>I45*H45</f>
        <v>123194.8832</v>
      </c>
      <c r="M45" s="217"/>
      <c r="N45" s="192"/>
      <c r="O45" s="193"/>
      <c r="P45" s="193"/>
      <c r="Q45" s="193"/>
      <c r="R45" s="193"/>
      <c r="S45" s="193"/>
      <c r="T45" s="193"/>
      <c r="U45" s="193"/>
      <c r="V45" s="193"/>
      <c r="W45" s="193"/>
      <c r="X45" s="194"/>
    </row>
    <row r="46" spans="1:24" s="18" customFormat="1" ht="24.75" customHeight="1" thickBot="1">
      <c r="A46" s="238"/>
      <c r="B46" s="239"/>
      <c r="C46" s="240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07">
        <f>N41</f>
        <v>60947</v>
      </c>
      <c r="J46" s="208"/>
      <c r="K46" s="209"/>
      <c r="L46" s="216">
        <f>I46*H46</f>
        <v>81083.888800000001</v>
      </c>
      <c r="M46" s="217"/>
      <c r="N46" s="195"/>
      <c r="O46" s="196"/>
      <c r="P46" s="196"/>
      <c r="Q46" s="196"/>
      <c r="R46" s="196"/>
      <c r="S46" s="196"/>
      <c r="T46" s="196"/>
      <c r="U46" s="196"/>
      <c r="V46" s="196"/>
      <c r="W46" s="196"/>
      <c r="X46" s="197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13">
        <f>N44*1.3</f>
        <v>343039.95375000004</v>
      </c>
      <c r="O47" s="214"/>
      <c r="P47" s="214"/>
      <c r="Q47" s="214"/>
      <c r="R47" s="214"/>
      <c r="S47" s="214"/>
      <c r="T47" s="214"/>
      <c r="U47" s="214"/>
      <c r="V47" s="214"/>
      <c r="W47" s="214"/>
      <c r="X47" s="215"/>
    </row>
    <row r="48" spans="1:24" s="23" customFormat="1" ht="32.25" customHeight="1" thickBot="1">
      <c r="A48" s="227" t="s">
        <v>39</v>
      </c>
      <c r="B48" s="228"/>
      <c r="C48" s="228"/>
      <c r="D48" s="228"/>
      <c r="E48" s="228"/>
      <c r="F48" s="229"/>
      <c r="G48" s="21"/>
      <c r="H48" s="22">
        <v>8.7899999999999991</v>
      </c>
      <c r="I48" s="227">
        <f>F41</f>
        <v>2344.1000000000058</v>
      </c>
      <c r="J48" s="228"/>
      <c r="K48" s="229"/>
      <c r="L48" s="230">
        <f>I48*H48</f>
        <v>20604.63900000005</v>
      </c>
      <c r="M48" s="231"/>
      <c r="N48" s="186">
        <f>L48</f>
        <v>20604.63900000005</v>
      </c>
      <c r="O48" s="187"/>
      <c r="P48" s="187"/>
      <c r="Q48" s="187"/>
      <c r="R48" s="187"/>
      <c r="S48" s="187"/>
      <c r="T48" s="187"/>
      <c r="U48" s="187"/>
      <c r="V48" s="187"/>
      <c r="W48" s="187"/>
      <c r="X48" s="188"/>
    </row>
    <row r="49" spans="1:24" s="23" customFormat="1" ht="36.75" customHeight="1">
      <c r="A49" s="201" t="s">
        <v>40</v>
      </c>
      <c r="B49" s="202"/>
      <c r="C49" s="202"/>
      <c r="D49" s="202"/>
      <c r="E49" s="202"/>
      <c r="F49" s="203"/>
      <c r="G49" s="24"/>
      <c r="H49" s="25">
        <v>12.44</v>
      </c>
      <c r="I49" s="204">
        <f>V41</f>
        <v>8288.8237200000003</v>
      </c>
      <c r="J49" s="205"/>
      <c r="K49" s="206"/>
      <c r="L49" s="204">
        <f>I49*H49</f>
        <v>103112.96707680001</v>
      </c>
      <c r="M49" s="206"/>
      <c r="N49" s="183">
        <f>L49</f>
        <v>103112.96707680001</v>
      </c>
      <c r="O49" s="184"/>
      <c r="P49" s="184"/>
      <c r="Q49" s="184"/>
      <c r="R49" s="184"/>
      <c r="S49" s="184"/>
      <c r="T49" s="184"/>
      <c r="U49" s="184"/>
      <c r="V49" s="184"/>
      <c r="W49" s="184"/>
      <c r="X49" s="185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K27" sqref="K27:K2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82"/>
      <c r="B1" s="283"/>
      <c r="C1" s="283"/>
      <c r="D1" s="284"/>
      <c r="E1" s="265" t="s">
        <v>41</v>
      </c>
      <c r="F1" s="266"/>
      <c r="G1" s="266"/>
      <c r="H1" s="266"/>
      <c r="I1" s="267"/>
      <c r="J1" s="274" t="s">
        <v>42</v>
      </c>
      <c r="K1" s="275"/>
      <c r="L1" s="49"/>
    </row>
    <row r="2" spans="1:12" ht="16.5" customHeight="1">
      <c r="A2" s="285"/>
      <c r="B2" s="286"/>
      <c r="C2" s="286"/>
      <c r="D2" s="287"/>
      <c r="E2" s="268"/>
      <c r="F2" s="269"/>
      <c r="G2" s="269"/>
      <c r="H2" s="269"/>
      <c r="I2" s="270"/>
      <c r="J2" s="276"/>
      <c r="K2" s="277"/>
      <c r="L2" s="49"/>
    </row>
    <row r="3" spans="1:12" ht="48" customHeight="1">
      <c r="A3" s="288"/>
      <c r="B3" s="289"/>
      <c r="C3" s="289"/>
      <c r="D3" s="290"/>
      <c r="E3" s="271"/>
      <c r="F3" s="272"/>
      <c r="G3" s="272"/>
      <c r="H3" s="272"/>
      <c r="I3" s="273"/>
      <c r="J3" s="278"/>
      <c r="K3" s="279"/>
      <c r="L3" s="49"/>
    </row>
    <row r="6" spans="1:12" ht="10.5" customHeight="1"/>
    <row r="7" spans="1:12" ht="16.5" customHeight="1">
      <c r="A7" s="264" t="s">
        <v>43</v>
      </c>
      <c r="B7" s="291" t="s">
        <v>44</v>
      </c>
      <c r="C7" s="291"/>
      <c r="D7" s="280" t="s">
        <v>45</v>
      </c>
      <c r="E7" s="280"/>
      <c r="F7" s="281" t="s">
        <v>46</v>
      </c>
      <c r="G7" s="281"/>
      <c r="H7" s="281"/>
      <c r="I7" s="281"/>
      <c r="J7" s="281"/>
      <c r="K7" s="281"/>
    </row>
    <row r="8" spans="1:12" s="29" customFormat="1" ht="28.5" customHeight="1">
      <c r="A8" s="264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28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28" si="2">D15-D14</f>
        <v>121</v>
      </c>
      <c r="F15" s="172">
        <v>12797614</v>
      </c>
      <c r="G15" s="171">
        <f t="shared" ref="G15:G28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28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>
        <v>2594</v>
      </c>
      <c r="C28" s="169">
        <v>0</v>
      </c>
      <c r="D28" s="170">
        <v>178669</v>
      </c>
      <c r="E28" s="171">
        <f t="shared" si="2"/>
        <v>104</v>
      </c>
      <c r="F28" s="172">
        <v>12853283</v>
      </c>
      <c r="G28" s="171">
        <f t="shared" si="3"/>
        <v>4056</v>
      </c>
      <c r="H28" s="172">
        <v>21947087</v>
      </c>
      <c r="I28" s="171">
        <f t="shared" si="1"/>
        <v>6460</v>
      </c>
      <c r="J28" s="172">
        <v>9625179</v>
      </c>
      <c r="K28" s="171">
        <f t="shared" si="4"/>
        <v>2953</v>
      </c>
    </row>
    <row r="29" spans="1:29" ht="19.5">
      <c r="A29" s="167">
        <v>44916</v>
      </c>
      <c r="B29" s="168"/>
      <c r="C29" s="169"/>
      <c r="D29" s="170"/>
      <c r="E29" s="171"/>
      <c r="F29" s="172"/>
      <c r="G29" s="171"/>
      <c r="H29" s="172"/>
      <c r="I29" s="171"/>
      <c r="J29" s="172"/>
      <c r="K29" s="171"/>
    </row>
    <row r="30" spans="1:29" ht="19.5">
      <c r="A30" s="167">
        <v>44917</v>
      </c>
      <c r="B30" s="168"/>
      <c r="C30" s="169"/>
      <c r="D30" s="170"/>
      <c r="E30" s="171"/>
      <c r="F30" s="172"/>
      <c r="G30" s="171"/>
      <c r="H30" s="172"/>
      <c r="I30" s="171"/>
      <c r="J30" s="172"/>
      <c r="K30" s="171"/>
    </row>
    <row r="31" spans="1:29" ht="19.5">
      <c r="A31" s="167">
        <v>44918</v>
      </c>
      <c r="B31" s="168"/>
      <c r="C31" s="169"/>
      <c r="D31" s="170"/>
      <c r="E31" s="171"/>
      <c r="F31" s="172"/>
      <c r="G31" s="171"/>
      <c r="H31" s="172"/>
      <c r="I31" s="171"/>
      <c r="J31" s="172"/>
      <c r="K31" s="171"/>
    </row>
    <row r="32" spans="1:29" ht="19.5">
      <c r="A32" s="167">
        <v>44919</v>
      </c>
      <c r="B32" s="168"/>
      <c r="C32" s="169"/>
      <c r="D32" s="170"/>
      <c r="E32" s="171"/>
      <c r="F32" s="172"/>
      <c r="G32" s="171"/>
      <c r="H32" s="172"/>
      <c r="I32" s="171"/>
      <c r="J32" s="172"/>
      <c r="K32" s="171"/>
    </row>
    <row r="33" spans="1:11" ht="19.5">
      <c r="A33" s="173">
        <v>44920</v>
      </c>
      <c r="B33" s="113"/>
      <c r="C33" s="174"/>
      <c r="D33" s="175"/>
      <c r="E33" s="176"/>
      <c r="F33" s="177"/>
      <c r="G33" s="176"/>
      <c r="H33" s="177"/>
      <c r="I33" s="176"/>
      <c r="J33" s="177"/>
      <c r="K33" s="176"/>
    </row>
    <row r="34" spans="1:11" ht="19.5">
      <c r="A34" s="57">
        <v>44921</v>
      </c>
      <c r="B34" s="113"/>
      <c r="C34" s="112"/>
      <c r="D34" s="56"/>
      <c r="E34" s="50"/>
      <c r="F34" s="51"/>
      <c r="G34" s="50"/>
      <c r="H34" s="51"/>
      <c r="I34" s="50"/>
      <c r="J34" s="51"/>
      <c r="K34" s="50"/>
    </row>
    <row r="35" spans="1:11" ht="19.5">
      <c r="A35" s="57">
        <v>44922</v>
      </c>
      <c r="B35" s="113"/>
      <c r="C35" s="112"/>
      <c r="D35" s="56"/>
      <c r="E35" s="50"/>
      <c r="F35" s="51"/>
      <c r="G35" s="50"/>
      <c r="H35" s="51"/>
      <c r="I35" s="50"/>
      <c r="J35" s="51"/>
      <c r="K35" s="50"/>
    </row>
    <row r="36" spans="1:11" ht="19.5">
      <c r="A36" s="57">
        <v>44923</v>
      </c>
      <c r="B36" s="113"/>
      <c r="C36" s="112"/>
      <c r="D36" s="56"/>
      <c r="E36" s="50"/>
      <c r="F36" s="51"/>
      <c r="G36" s="50"/>
      <c r="H36" s="51"/>
      <c r="I36" s="50"/>
      <c r="J36" s="51"/>
      <c r="K36" s="50"/>
    </row>
    <row r="37" spans="1:11" ht="19.5">
      <c r="A37" s="57">
        <v>44924</v>
      </c>
      <c r="B37" s="113"/>
      <c r="C37" s="112"/>
      <c r="D37" s="56"/>
      <c r="E37" s="50"/>
      <c r="F37" s="51"/>
      <c r="G37" s="50"/>
      <c r="H37" s="51"/>
      <c r="I37" s="50"/>
      <c r="J37" s="51"/>
      <c r="K37" s="50"/>
    </row>
    <row r="38" spans="1:11" ht="19.5">
      <c r="A38" s="57">
        <v>44925</v>
      </c>
      <c r="B38" s="113"/>
      <c r="C38" s="112"/>
      <c r="D38" s="56"/>
      <c r="E38" s="50"/>
      <c r="F38" s="51"/>
      <c r="G38" s="50"/>
      <c r="H38" s="51"/>
      <c r="I38" s="50"/>
      <c r="J38" s="51"/>
      <c r="K38" s="50"/>
    </row>
    <row r="39" spans="1:11" ht="19.5">
      <c r="A39" s="57">
        <v>44926</v>
      </c>
      <c r="B39" s="113"/>
      <c r="C39" s="112"/>
      <c r="D39" s="56"/>
      <c r="E39" s="50"/>
      <c r="F39" s="51"/>
      <c r="G39" s="50"/>
      <c r="H39" s="51"/>
      <c r="I39" s="50"/>
      <c r="J39" s="51"/>
      <c r="K39" s="50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28">
    <cfRule type="cellIs" dxfId="5" priority="6" stopIfTrue="1" operator="lessThanOrEqual">
      <formula>0</formula>
    </cfRule>
  </conditionalFormatting>
  <conditionalFormatting sqref="E10:E28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29:E40">
    <cfRule type="cellIs" dxfId="1" priority="2" stopIfTrue="1" operator="lessThanOrEqual">
      <formula>0</formula>
    </cfRule>
  </conditionalFormatting>
  <conditionalFormatting sqref="E2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tabSelected="1" zoomScale="60" zoomScaleNormal="60" workbookViewId="0">
      <pane xSplit="1" ySplit="3" topLeftCell="B13" activePane="bottomRight" state="frozen"/>
      <selection pane="bottomRight" activeCell="K24" sqref="K24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5" t="s">
        <v>57</v>
      </c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spans="1:31" ht="41.25" customHeight="1">
      <c r="Q2" s="300">
        <v>803</v>
      </c>
      <c r="R2" s="301"/>
      <c r="S2" s="302"/>
      <c r="T2" s="303">
        <v>519</v>
      </c>
      <c r="U2" s="301"/>
      <c r="V2" s="302"/>
      <c r="W2" s="303">
        <v>800</v>
      </c>
      <c r="X2" s="301"/>
      <c r="Y2" s="302"/>
      <c r="Z2" s="303">
        <v>802</v>
      </c>
      <c r="AA2" s="301"/>
      <c r="AB2" s="304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6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8"/>
        <v>6661.2755456999994</v>
      </c>
      <c r="Q22" s="39">
        <v>1183</v>
      </c>
      <c r="R22" s="39">
        <v>52</v>
      </c>
      <c r="S22" s="39">
        <v>80</v>
      </c>
      <c r="T22" s="39">
        <v>1234</v>
      </c>
      <c r="U22" s="39">
        <v>50</v>
      </c>
      <c r="V22" s="39">
        <v>80</v>
      </c>
      <c r="W22" s="39">
        <v>1337</v>
      </c>
      <c r="X22" s="39">
        <v>42</v>
      </c>
      <c r="Y22" s="39">
        <v>80</v>
      </c>
      <c r="Z22" s="39">
        <v>1352</v>
      </c>
      <c r="AA22" s="39">
        <v>45</v>
      </c>
      <c r="AB22" s="39">
        <v>85</v>
      </c>
      <c r="AC22" s="39">
        <f>Q22+T22+W22+Z22</f>
        <v>5106</v>
      </c>
      <c r="AD22" s="38">
        <f t="shared" si="5"/>
        <v>47.25</v>
      </c>
      <c r="AE22" s="38">
        <f t="shared" si="6"/>
        <v>81.25</v>
      </c>
    </row>
    <row r="23" spans="1:31" ht="32.25" customHeight="1">
      <c r="A23" s="40">
        <v>44915</v>
      </c>
      <c r="B23" s="41">
        <v>80</v>
      </c>
      <c r="C23" s="39">
        <f t="shared" si="7"/>
        <v>0</v>
      </c>
      <c r="D23" s="41">
        <v>80</v>
      </c>
      <c r="E23" s="39">
        <f t="shared" si="8"/>
        <v>0</v>
      </c>
      <c r="F23" s="41">
        <v>78</v>
      </c>
      <c r="G23" s="39">
        <f t="shared" si="9"/>
        <v>0</v>
      </c>
      <c r="H23" s="41">
        <v>78</v>
      </c>
      <c r="I23" s="39">
        <f t="shared" si="11"/>
        <v>0</v>
      </c>
      <c r="J23" s="39">
        <f t="shared" si="12"/>
        <v>316</v>
      </c>
      <c r="K23" s="39">
        <f t="shared" si="13"/>
        <v>79</v>
      </c>
      <c r="L23" s="39">
        <f t="shared" si="19"/>
        <v>0</v>
      </c>
      <c r="M23" s="146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8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9"/>
        <v>0</v>
      </c>
      <c r="M24" s="146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8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9"/>
        <v>0</v>
      </c>
      <c r="M25" s="146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8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9"/>
        <v>0</v>
      </c>
      <c r="M26" s="146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8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9"/>
        <v>0</v>
      </c>
      <c r="M27" s="146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8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9"/>
        <v>0</v>
      </c>
      <c r="M28" s="146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8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9"/>
        <v>0</v>
      </c>
      <c r="M29" s="146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8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15666.909999999998</v>
      </c>
      <c r="O43" s="39">
        <f>N43*0.529</f>
        <v>8287.7953899999993</v>
      </c>
      <c r="P43" s="42">
        <f>O43*12.44</f>
        <v>103100.17465159998</v>
      </c>
      <c r="Q43" s="296">
        <f>SUM(Q4:Q42)</f>
        <v>6092</v>
      </c>
      <c r="R43" s="297"/>
      <c r="S43" s="298"/>
      <c r="T43" s="299">
        <f>SUM(T4:T42)</f>
        <v>6322</v>
      </c>
      <c r="U43" s="297"/>
      <c r="V43" s="298"/>
      <c r="W43" s="299">
        <f>SUM(W4:W42)</f>
        <v>6063</v>
      </c>
      <c r="X43" s="297"/>
      <c r="Y43" s="298"/>
      <c r="Z43" s="299">
        <f>SUM(Z4:Z42)</f>
        <v>6403</v>
      </c>
      <c r="AA43" s="297"/>
      <c r="AB43" s="298"/>
      <c r="AC43" s="39">
        <f t="shared" si="21"/>
        <v>24880</v>
      </c>
    </row>
    <row r="44" spans="1:31" ht="35.25" customHeight="1" thickBot="1">
      <c r="B44" s="305"/>
      <c r="C44" s="306"/>
      <c r="D44" s="306"/>
      <c r="E44" s="306"/>
      <c r="F44" s="306"/>
      <c r="G44" s="306"/>
      <c r="H44" s="306"/>
      <c r="I44" s="307"/>
      <c r="J44" s="37"/>
      <c r="K44" s="37"/>
      <c r="L44" s="37"/>
      <c r="M44" s="37"/>
      <c r="N44" s="37"/>
      <c r="O44" s="37"/>
      <c r="P44" s="37"/>
      <c r="Q44" s="308">
        <f>Q43+T43+W43+Z43</f>
        <v>24880</v>
      </c>
      <c r="R44" s="309"/>
      <c r="S44" s="309"/>
      <c r="T44" s="309"/>
      <c r="U44" s="309"/>
      <c r="V44" s="309"/>
      <c r="W44" s="309"/>
      <c r="X44" s="309"/>
      <c r="Y44" s="309"/>
      <c r="Z44" s="309"/>
      <c r="AA44" s="309"/>
      <c r="AB44" s="310"/>
      <c r="AC44" s="39">
        <f>Q44+T44+W44+Z44</f>
        <v>24880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2" t="s">
        <v>85</v>
      </c>
      <c r="I47" s="293"/>
      <c r="J47" s="294"/>
      <c r="K47" s="45">
        <f>N43</f>
        <v>15666.909999999998</v>
      </c>
      <c r="L47" s="46">
        <f>O43</f>
        <v>8287.7953899999993</v>
      </c>
      <c r="M47" s="46">
        <f>P43</f>
        <v>103100.17465159998</v>
      </c>
    </row>
    <row r="48" spans="1:31" ht="54.75" customHeight="1" thickBot="1">
      <c r="H48" s="292" t="s">
        <v>86</v>
      </c>
      <c r="I48" s="293"/>
      <c r="J48" s="294"/>
      <c r="K48" s="43">
        <f>AC44</f>
        <v>24880</v>
      </c>
      <c r="L48" s="44">
        <f>K48*0.529</f>
        <v>13161.52</v>
      </c>
      <c r="M48" s="44">
        <f>L48*12.44</f>
        <v>163729.3088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82"/>
      <c r="B1" s="284"/>
      <c r="C1" s="368" t="s">
        <v>87</v>
      </c>
      <c r="D1" s="369"/>
      <c r="E1" s="369"/>
      <c r="F1" s="369"/>
      <c r="G1" s="369"/>
      <c r="H1" s="374" t="s">
        <v>88</v>
      </c>
      <c r="I1" s="375"/>
      <c r="J1" s="376"/>
    </row>
    <row r="2" spans="1:10" ht="16.5" customHeight="1" thickBot="1">
      <c r="A2" s="285"/>
      <c r="B2" s="287"/>
      <c r="C2" s="370"/>
      <c r="D2" s="371"/>
      <c r="E2" s="371"/>
      <c r="F2" s="371"/>
      <c r="G2" s="371"/>
      <c r="H2" s="377"/>
      <c r="I2" s="378"/>
      <c r="J2" s="379"/>
    </row>
    <row r="3" spans="1:10" ht="15" customHeight="1">
      <c r="A3" s="285"/>
      <c r="B3" s="287"/>
      <c r="C3" s="370"/>
      <c r="D3" s="371"/>
      <c r="E3" s="371"/>
      <c r="F3" s="371"/>
      <c r="G3" s="371"/>
      <c r="H3" s="380" t="s">
        <v>89</v>
      </c>
      <c r="I3" s="381"/>
      <c r="J3" s="382"/>
    </row>
    <row r="4" spans="1:10" ht="15.75" customHeight="1" thickBot="1">
      <c r="A4" s="288"/>
      <c r="B4" s="290"/>
      <c r="C4" s="372"/>
      <c r="D4" s="373"/>
      <c r="E4" s="373"/>
      <c r="F4" s="373"/>
      <c r="G4" s="373"/>
      <c r="H4" s="383"/>
      <c r="I4" s="384"/>
      <c r="J4" s="385"/>
    </row>
    <row r="6" spans="1:10" ht="33" customHeight="1" thickBot="1"/>
    <row r="7" spans="1:10" ht="36.75" thickTop="1">
      <c r="A7" s="386" t="s">
        <v>90</v>
      </c>
      <c r="B7" s="386"/>
      <c r="C7" s="387" t="s">
        <v>91</v>
      </c>
      <c r="D7" s="388"/>
      <c r="E7" s="59" t="s">
        <v>92</v>
      </c>
      <c r="F7" s="59" t="s">
        <v>93</v>
      </c>
      <c r="G7" s="59" t="s">
        <v>94</v>
      </c>
      <c r="H7" s="59" t="s">
        <v>95</v>
      </c>
      <c r="I7" s="389" t="s">
        <v>96</v>
      </c>
      <c r="J7" s="390"/>
    </row>
    <row r="8" spans="1:10">
      <c r="A8" s="357">
        <v>95670781</v>
      </c>
      <c r="B8" s="357"/>
      <c r="C8" s="361">
        <v>44923</v>
      </c>
      <c r="D8" s="362"/>
      <c r="E8" s="111">
        <v>44923</v>
      </c>
      <c r="F8" s="160" t="s">
        <v>97</v>
      </c>
      <c r="G8" s="60"/>
      <c r="H8" s="60"/>
      <c r="I8" s="363"/>
      <c r="J8" s="364"/>
    </row>
    <row r="10" spans="1:10" ht="23.25" customHeight="1" thickBot="1"/>
    <row r="11" spans="1:10" ht="24.75" customHeight="1" thickTop="1">
      <c r="A11" s="341" t="s">
        <v>98</v>
      </c>
      <c r="B11" s="341"/>
      <c r="C11" s="365" t="s">
        <v>99</v>
      </c>
      <c r="D11" s="366"/>
      <c r="E11" s="341" t="s">
        <v>100</v>
      </c>
      <c r="F11" s="341"/>
      <c r="G11" s="365" t="s">
        <v>101</v>
      </c>
      <c r="H11" s="366"/>
      <c r="I11" s="367" t="s">
        <v>102</v>
      </c>
      <c r="J11" s="367"/>
    </row>
    <row r="12" spans="1:10">
      <c r="A12" s="357" t="s">
        <v>103</v>
      </c>
      <c r="B12" s="357"/>
      <c r="C12" s="357">
        <v>3750</v>
      </c>
      <c r="D12" s="357"/>
      <c r="E12" s="357">
        <v>1000</v>
      </c>
      <c r="F12" s="357"/>
      <c r="G12" s="358">
        <v>1282</v>
      </c>
      <c r="H12" s="358"/>
      <c r="I12" s="359"/>
      <c r="J12" s="359"/>
    </row>
    <row r="13" spans="1:10">
      <c r="A13" s="360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41" t="s">
        <v>104</v>
      </c>
      <c r="B16" s="341"/>
      <c r="C16" s="61" t="s">
        <v>105</v>
      </c>
      <c r="D16" s="62" t="s">
        <v>106</v>
      </c>
      <c r="E16" s="62" t="s">
        <v>48</v>
      </c>
      <c r="F16" s="62" t="s">
        <v>107</v>
      </c>
      <c r="G16" s="354" t="s">
        <v>108</v>
      </c>
      <c r="H16" s="354"/>
      <c r="I16" s="355" t="s">
        <v>109</v>
      </c>
      <c r="J16" s="356"/>
    </row>
    <row r="17" spans="1:10">
      <c r="A17" s="346" t="s">
        <v>110</v>
      </c>
      <c r="B17" s="347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48"/>
      <c r="H17" s="349"/>
      <c r="I17" s="348">
        <f>+E17</f>
        <v>0</v>
      </c>
      <c r="J17" s="349"/>
    </row>
    <row r="18" spans="1:10">
      <c r="A18" s="346" t="s">
        <v>111</v>
      </c>
      <c r="B18" s="347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48"/>
      <c r="H18" s="349"/>
      <c r="I18" s="348">
        <f>+E18</f>
        <v>0</v>
      </c>
      <c r="J18" s="349"/>
    </row>
    <row r="19" spans="1:10">
      <c r="A19" s="346" t="s">
        <v>112</v>
      </c>
      <c r="B19" s="347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48"/>
      <c r="H19" s="349"/>
      <c r="I19" s="348">
        <f>+E19</f>
        <v>0</v>
      </c>
      <c r="J19" s="349"/>
    </row>
    <row r="20" spans="1:10" ht="15">
      <c r="A20" s="350" t="s">
        <v>113</v>
      </c>
      <c r="B20" s="351"/>
      <c r="C20" s="66"/>
      <c r="D20" s="67"/>
      <c r="E20" s="66">
        <f>SUM(E17:E19)</f>
        <v>0</v>
      </c>
      <c r="F20" s="68"/>
      <c r="G20" s="352"/>
      <c r="H20" s="353"/>
      <c r="I20" s="352"/>
      <c r="J20" s="353"/>
    </row>
    <row r="21" spans="1:10">
      <c r="C21" s="108" t="s">
        <v>18</v>
      </c>
      <c r="D21" t="s">
        <v>114</v>
      </c>
      <c r="G21" s="333"/>
      <c r="H21" s="333"/>
    </row>
    <row r="22" spans="1:10" ht="13.5" thickBot="1">
      <c r="G22" s="334"/>
      <c r="H22" s="334"/>
    </row>
    <row r="23" spans="1:10" ht="13.5" thickTop="1">
      <c r="A23" s="335" t="s">
        <v>115</v>
      </c>
      <c r="B23" s="336"/>
      <c r="C23" s="337"/>
      <c r="D23" s="341" t="s">
        <v>116</v>
      </c>
      <c r="E23" s="341" t="s">
        <v>117</v>
      </c>
      <c r="F23" s="343" t="s">
        <v>118</v>
      </c>
      <c r="G23" s="345" t="s">
        <v>119</v>
      </c>
      <c r="H23" s="345"/>
      <c r="I23" s="329" t="s">
        <v>120</v>
      </c>
      <c r="J23" s="329"/>
    </row>
    <row r="24" spans="1:10">
      <c r="A24" s="338"/>
      <c r="B24" s="339"/>
      <c r="C24" s="340"/>
      <c r="D24" s="342"/>
      <c r="E24" s="342"/>
      <c r="F24" s="344"/>
      <c r="G24" s="161" t="s">
        <v>121</v>
      </c>
      <c r="H24" s="69" t="s">
        <v>122</v>
      </c>
      <c r="I24" s="329"/>
      <c r="J24" s="329"/>
    </row>
    <row r="25" spans="1:10" ht="15">
      <c r="A25" s="330" t="s">
        <v>123</v>
      </c>
      <c r="B25" s="331"/>
      <c r="C25" s="332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14">
        <f>SUM(H25,F25)</f>
        <v>0</v>
      </c>
      <c r="J25" s="315"/>
    </row>
    <row r="26" spans="1:10" ht="15">
      <c r="A26" s="311" t="s">
        <v>124</v>
      </c>
      <c r="B26" s="312"/>
      <c r="C26" s="313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14">
        <f t="shared" ref="I26:I31" si="0">SUM(H26,F26)</f>
        <v>0</v>
      </c>
      <c r="J26" s="315"/>
    </row>
    <row r="27" spans="1:10" ht="15">
      <c r="A27" s="311" t="s">
        <v>125</v>
      </c>
      <c r="B27" s="312"/>
      <c r="C27" s="313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14">
        <f>SUM(H27,F27)</f>
        <v>0</v>
      </c>
      <c r="J27" s="315"/>
    </row>
    <row r="28" spans="1:10" ht="15">
      <c r="A28" s="311" t="s">
        <v>126</v>
      </c>
      <c r="B28" s="312"/>
      <c r="C28" s="313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4">
        <f t="shared" si="0"/>
        <v>50025.103799999997</v>
      </c>
      <c r="J28" s="315"/>
    </row>
    <row r="29" spans="1:10" ht="15">
      <c r="A29" s="324" t="s">
        <v>127</v>
      </c>
      <c r="B29" s="325"/>
      <c r="C29" s="326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27">
        <f t="shared" si="0"/>
        <v>0</v>
      </c>
      <c r="J29" s="328"/>
    </row>
    <row r="30" spans="1:10" ht="15">
      <c r="A30" s="311" t="s">
        <v>128</v>
      </c>
      <c r="B30" s="312"/>
      <c r="C30" s="313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4">
        <f>SUM(H30,F30)</f>
        <v>1009.2</v>
      </c>
      <c r="J30" s="315"/>
    </row>
    <row r="31" spans="1:10" ht="15.75" thickBot="1">
      <c r="A31" s="316" t="s">
        <v>129</v>
      </c>
      <c r="B31" s="317"/>
      <c r="C31" s="31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4">
        <f t="shared" si="0"/>
        <v>1596.44</v>
      </c>
      <c r="J31" s="315"/>
    </row>
    <row r="32" spans="1:10" ht="21">
      <c r="A32" s="319" t="s">
        <v>130</v>
      </c>
      <c r="B32" s="320"/>
      <c r="C32" s="320"/>
      <c r="D32" s="320"/>
      <c r="E32" s="320"/>
      <c r="F32" s="82">
        <f>SUM(F25:F31)</f>
        <v>46214.67</v>
      </c>
      <c r="G32" s="83"/>
      <c r="H32" s="84"/>
      <c r="I32" s="323">
        <f>SUM(I25:J31)</f>
        <v>52630.743799999997</v>
      </c>
      <c r="J32" s="323"/>
    </row>
    <row r="33" spans="1:10" ht="21.75" thickBot="1">
      <c r="A33" s="321"/>
      <c r="B33" s="322"/>
      <c r="C33" s="322"/>
      <c r="D33" s="322"/>
      <c r="E33" s="322"/>
      <c r="F33" s="85"/>
      <c r="G33" s="86"/>
      <c r="H33" s="87"/>
      <c r="I33" s="323"/>
      <c r="J33" s="32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Q30" sqref="Q3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82"/>
      <c r="B1" s="284"/>
      <c r="C1" s="368" t="s">
        <v>131</v>
      </c>
      <c r="D1" s="369"/>
      <c r="E1" s="369"/>
      <c r="F1" s="369"/>
      <c r="G1" s="369"/>
      <c r="H1" s="374" t="s">
        <v>88</v>
      </c>
      <c r="I1" s="375"/>
      <c r="J1" s="376"/>
    </row>
    <row r="2" spans="1:10" ht="16.5" customHeight="1" thickBot="1">
      <c r="A2" s="285"/>
      <c r="B2" s="287"/>
      <c r="C2" s="370"/>
      <c r="D2" s="371"/>
      <c r="E2" s="371"/>
      <c r="F2" s="371"/>
      <c r="G2" s="371"/>
      <c r="H2" s="377"/>
      <c r="I2" s="378"/>
      <c r="J2" s="379"/>
    </row>
    <row r="3" spans="1:10" ht="15" customHeight="1">
      <c r="A3" s="285"/>
      <c r="B3" s="287"/>
      <c r="C3" s="370"/>
      <c r="D3" s="371"/>
      <c r="E3" s="371"/>
      <c r="F3" s="371"/>
      <c r="G3" s="371"/>
      <c r="H3" s="380" t="s">
        <v>89</v>
      </c>
      <c r="I3" s="381"/>
      <c r="J3" s="382"/>
    </row>
    <row r="4" spans="1:10" ht="15.75" customHeight="1" thickBot="1">
      <c r="A4" s="288"/>
      <c r="B4" s="290"/>
      <c r="C4" s="372"/>
      <c r="D4" s="373"/>
      <c r="E4" s="373"/>
      <c r="F4" s="373"/>
      <c r="G4" s="373"/>
      <c r="H4" s="383"/>
      <c r="I4" s="384"/>
      <c r="J4" s="385"/>
    </row>
    <row r="6" spans="1:10" ht="33" customHeight="1" thickBot="1"/>
    <row r="7" spans="1:10" ht="36.75" thickTop="1">
      <c r="A7" s="386" t="s">
        <v>90</v>
      </c>
      <c r="B7" s="386"/>
      <c r="C7" s="387" t="s">
        <v>91</v>
      </c>
      <c r="D7" s="388"/>
      <c r="E7" s="59" t="s">
        <v>92</v>
      </c>
      <c r="F7" s="59" t="s">
        <v>93</v>
      </c>
      <c r="G7" s="59" t="s">
        <v>94</v>
      </c>
      <c r="H7" s="59" t="s">
        <v>95</v>
      </c>
      <c r="I7" s="389" t="s">
        <v>96</v>
      </c>
      <c r="J7" s="390"/>
    </row>
    <row r="8" spans="1:10">
      <c r="A8" s="357">
        <v>95670781</v>
      </c>
      <c r="B8" s="357"/>
      <c r="C8" s="361">
        <v>44914</v>
      </c>
      <c r="D8" s="362"/>
      <c r="E8" s="111">
        <v>44915</v>
      </c>
      <c r="F8" s="160" t="s">
        <v>132</v>
      </c>
      <c r="G8" s="60"/>
      <c r="H8" s="60"/>
      <c r="I8" s="363"/>
      <c r="J8" s="364"/>
    </row>
    <row r="10" spans="1:10" ht="23.25" customHeight="1" thickBot="1"/>
    <row r="11" spans="1:10" ht="24.75" customHeight="1" thickTop="1">
      <c r="A11" s="341" t="s">
        <v>98</v>
      </c>
      <c r="B11" s="341"/>
      <c r="C11" s="365" t="s">
        <v>99</v>
      </c>
      <c r="D11" s="366"/>
      <c r="E11" s="341" t="s">
        <v>100</v>
      </c>
      <c r="F11" s="341"/>
      <c r="G11" s="365" t="s">
        <v>101</v>
      </c>
      <c r="H11" s="366"/>
      <c r="I11" s="367" t="s">
        <v>102</v>
      </c>
      <c r="J11" s="367"/>
    </row>
    <row r="12" spans="1:10">
      <c r="A12" s="357" t="s">
        <v>103</v>
      </c>
      <c r="B12" s="357"/>
      <c r="C12" s="357">
        <v>3750</v>
      </c>
      <c r="D12" s="357"/>
      <c r="E12" s="357">
        <v>1000</v>
      </c>
      <c r="F12" s="357"/>
      <c r="G12" s="358">
        <v>1282</v>
      </c>
      <c r="H12" s="358"/>
      <c r="I12" s="359"/>
      <c r="J12" s="359"/>
    </row>
    <row r="13" spans="1:10">
      <c r="A13" s="360"/>
      <c r="B13" s="443"/>
      <c r="C13" s="443"/>
      <c r="D13" s="443"/>
      <c r="E13" s="443"/>
      <c r="F13" s="443"/>
      <c r="G13" s="443"/>
      <c r="H13" s="443"/>
      <c r="I13" s="443"/>
      <c r="J13" s="443"/>
    </row>
    <row r="15" spans="1:10" ht="13.5" thickBot="1"/>
    <row r="16" spans="1:10" ht="26.25" thickTop="1">
      <c r="A16" s="341" t="s">
        <v>104</v>
      </c>
      <c r="B16" s="341"/>
      <c r="C16" s="61" t="s">
        <v>105</v>
      </c>
      <c r="D16" s="62" t="s">
        <v>106</v>
      </c>
      <c r="E16" s="62" t="s">
        <v>48</v>
      </c>
      <c r="F16" s="62" t="s">
        <v>107</v>
      </c>
      <c r="G16" s="354" t="s">
        <v>108</v>
      </c>
      <c r="H16" s="354"/>
      <c r="I16" s="355" t="s">
        <v>109</v>
      </c>
      <c r="J16" s="356"/>
    </row>
    <row r="17" spans="1:12">
      <c r="A17" s="346" t="s">
        <v>110</v>
      </c>
      <c r="B17" s="347"/>
      <c r="C17" s="64">
        <v>21947087</v>
      </c>
      <c r="D17" s="64">
        <v>21940627</v>
      </c>
      <c r="E17" s="65">
        <f>MIN(C17-D17)</f>
        <v>6460</v>
      </c>
      <c r="F17" s="65">
        <f>+E17</f>
        <v>6460</v>
      </c>
      <c r="G17" s="348"/>
      <c r="H17" s="349"/>
      <c r="I17" s="348">
        <f>+E17</f>
        <v>6460</v>
      </c>
      <c r="J17" s="349"/>
    </row>
    <row r="18" spans="1:12">
      <c r="A18" s="346" t="s">
        <v>111</v>
      </c>
      <c r="B18" s="347"/>
      <c r="C18" s="64">
        <v>12853283</v>
      </c>
      <c r="D18" s="64">
        <v>12849227</v>
      </c>
      <c r="E18" s="65">
        <f>MIN(C18-D18)</f>
        <v>4056</v>
      </c>
      <c r="F18" s="65">
        <f>+E18</f>
        <v>4056</v>
      </c>
      <c r="G18" s="348"/>
      <c r="H18" s="349"/>
      <c r="I18" s="348">
        <f>+E18</f>
        <v>4056</v>
      </c>
      <c r="J18" s="349"/>
    </row>
    <row r="19" spans="1:12" ht="19.5">
      <c r="A19" s="346" t="s">
        <v>112</v>
      </c>
      <c r="B19" s="347"/>
      <c r="C19" s="64">
        <v>9625179</v>
      </c>
      <c r="D19" s="64">
        <v>9622226</v>
      </c>
      <c r="E19" s="65">
        <f>AVERAGE(C19-D19)</f>
        <v>2953</v>
      </c>
      <c r="F19" s="65">
        <f>+E19</f>
        <v>2953</v>
      </c>
      <c r="G19" s="348"/>
      <c r="H19" s="349"/>
      <c r="I19" s="348">
        <f>+E19</f>
        <v>2953</v>
      </c>
      <c r="J19" s="349"/>
      <c r="L19" s="179"/>
    </row>
    <row r="20" spans="1:12" ht="19.5">
      <c r="A20" s="350" t="s">
        <v>113</v>
      </c>
      <c r="B20" s="351"/>
      <c r="C20" s="66"/>
      <c r="D20" s="67"/>
      <c r="E20" s="66">
        <f>SUM(E17:E19)</f>
        <v>13469</v>
      </c>
      <c r="F20" s="68"/>
      <c r="G20" s="352"/>
      <c r="H20" s="353"/>
      <c r="I20" s="352"/>
      <c r="J20" s="353"/>
      <c r="L20" s="179"/>
    </row>
    <row r="21" spans="1:12">
      <c r="C21" s="108" t="s">
        <v>18</v>
      </c>
      <c r="D21" t="s">
        <v>114</v>
      </c>
      <c r="G21" s="333"/>
      <c r="H21" s="333"/>
    </row>
    <row r="22" spans="1:12" ht="13.5" thickBot="1">
      <c r="G22" s="334"/>
      <c r="H22" s="334"/>
    </row>
    <row r="23" spans="1:12" ht="13.5" thickTop="1">
      <c r="A23" s="335" t="s">
        <v>115</v>
      </c>
      <c r="B23" s="336"/>
      <c r="C23" s="337"/>
      <c r="D23" s="341" t="s">
        <v>116</v>
      </c>
      <c r="E23" s="341" t="s">
        <v>117</v>
      </c>
      <c r="F23" s="343" t="s">
        <v>118</v>
      </c>
      <c r="G23" s="345" t="s">
        <v>119</v>
      </c>
      <c r="H23" s="345"/>
      <c r="I23" s="329" t="s">
        <v>120</v>
      </c>
      <c r="J23" s="329"/>
    </row>
    <row r="24" spans="1:12">
      <c r="A24" s="338"/>
      <c r="B24" s="339"/>
      <c r="C24" s="340"/>
      <c r="D24" s="342"/>
      <c r="E24" s="342"/>
      <c r="F24" s="344"/>
      <c r="G24" s="161" t="s">
        <v>121</v>
      </c>
      <c r="H24" s="69" t="s">
        <v>122</v>
      </c>
      <c r="I24" s="329"/>
      <c r="J24" s="329"/>
    </row>
    <row r="25" spans="1:12" ht="15">
      <c r="A25" s="330" t="s">
        <v>123</v>
      </c>
      <c r="B25" s="331"/>
      <c r="C25" s="332"/>
      <c r="D25" s="65">
        <f>+E17</f>
        <v>6460</v>
      </c>
      <c r="E25" s="70">
        <v>0.95140000000000002</v>
      </c>
      <c r="F25" s="71">
        <f>PRODUCT(D25*E25)</f>
        <v>6146.0439999999999</v>
      </c>
      <c r="G25" s="148">
        <v>14</v>
      </c>
      <c r="H25" s="63">
        <f>PRODUCT(0.14,F25)</f>
        <v>860.44616000000008</v>
      </c>
      <c r="I25" s="314">
        <f>SUM(H25,F25)</f>
        <v>7006.4901600000003</v>
      </c>
      <c r="J25" s="315"/>
    </row>
    <row r="26" spans="1:12" ht="15">
      <c r="A26" s="311" t="s">
        <v>124</v>
      </c>
      <c r="B26" s="312"/>
      <c r="C26" s="313"/>
      <c r="D26" s="65">
        <f>+E18</f>
        <v>4056</v>
      </c>
      <c r="E26" s="72">
        <v>0.69850000000000001</v>
      </c>
      <c r="F26" s="71">
        <f>PRODUCT(D26*E26)</f>
        <v>2833.116</v>
      </c>
      <c r="G26">
        <v>14</v>
      </c>
      <c r="H26" s="65">
        <f>PRODUCT(0.14,F26)</f>
        <v>396.63624000000004</v>
      </c>
      <c r="I26" s="314">
        <f t="shared" ref="I26:I31" si="0">SUM(H26,F26)</f>
        <v>3229.7522399999998</v>
      </c>
      <c r="J26" s="315"/>
    </row>
    <row r="27" spans="1:12" ht="15">
      <c r="A27" s="311" t="s">
        <v>125</v>
      </c>
      <c r="B27" s="312"/>
      <c r="C27" s="313"/>
      <c r="D27" s="65">
        <f>+E19</f>
        <v>2953</v>
      </c>
      <c r="E27" s="72">
        <v>1.3304</v>
      </c>
      <c r="F27" s="71">
        <f>PRODUCT(D27*E27)</f>
        <v>3928.6712000000002</v>
      </c>
      <c r="G27">
        <v>14</v>
      </c>
      <c r="H27" s="65">
        <f>PRODUCT(0.14,F27)</f>
        <v>550.01396800000009</v>
      </c>
      <c r="I27" s="314">
        <f>SUM(H27,F27)</f>
        <v>4478.685168</v>
      </c>
      <c r="J27" s="315"/>
    </row>
    <row r="28" spans="1:12" ht="15">
      <c r="A28" s="311" t="s">
        <v>126</v>
      </c>
      <c r="B28" s="312"/>
      <c r="C28" s="313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14">
        <f t="shared" si="0"/>
        <v>50025.103799999997</v>
      </c>
      <c r="J28" s="315"/>
    </row>
    <row r="29" spans="1:12" ht="15">
      <c r="A29" s="324" t="s">
        <v>127</v>
      </c>
      <c r="B29" s="325"/>
      <c r="C29" s="326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7">
        <f t="shared" si="0"/>
        <v>0</v>
      </c>
      <c r="J29" s="328"/>
    </row>
    <row r="30" spans="1:12" ht="15">
      <c r="A30" s="311" t="s">
        <v>128</v>
      </c>
      <c r="B30" s="312"/>
      <c r="C30" s="313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14">
        <f>SUM(H30,F30)</f>
        <v>1009.2</v>
      </c>
      <c r="J30" s="315"/>
    </row>
    <row r="31" spans="1:12" ht="15.75" thickBot="1">
      <c r="A31" s="316" t="s">
        <v>129</v>
      </c>
      <c r="B31" s="317"/>
      <c r="C31" s="318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14">
        <f t="shared" si="0"/>
        <v>1596.44</v>
      </c>
      <c r="J31" s="315"/>
    </row>
    <row r="32" spans="1:12" ht="21">
      <c r="A32" s="319" t="s">
        <v>130</v>
      </c>
      <c r="B32" s="320"/>
      <c r="C32" s="320"/>
      <c r="D32" s="320"/>
      <c r="E32" s="320"/>
      <c r="F32" s="82">
        <f>SUM(F25:F31)</f>
        <v>59122.501199999999</v>
      </c>
      <c r="G32" s="83"/>
      <c r="H32" s="84"/>
      <c r="I32" s="323">
        <f>SUM(I25:J31)</f>
        <v>67345.671367999996</v>
      </c>
      <c r="J32" s="323"/>
    </row>
    <row r="33" spans="1:10" ht="21.75" thickBot="1">
      <c r="A33" s="321"/>
      <c r="B33" s="322"/>
      <c r="C33" s="322"/>
      <c r="D33" s="322"/>
      <c r="E33" s="322"/>
      <c r="F33" s="85"/>
      <c r="G33" s="86"/>
      <c r="H33" s="87"/>
      <c r="I33" s="323"/>
      <c r="J33" s="32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1"/>
      <c r="B1" s="368" t="s">
        <v>133</v>
      </c>
      <c r="C1" s="369"/>
      <c r="D1" s="369"/>
      <c r="E1" s="369"/>
      <c r="F1" s="414" t="s">
        <v>88</v>
      </c>
      <c r="G1" s="415"/>
      <c r="H1" s="416"/>
    </row>
    <row r="2" spans="1:8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8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8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>
      <c r="A11" s="100" t="s">
        <v>141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>
      <c r="A13" s="100" t="s">
        <v>143</v>
      </c>
      <c r="B13" s="406">
        <f>G8</f>
        <v>0</v>
      </c>
      <c r="C13" s="406"/>
      <c r="D13" s="406">
        <v>8.7899999999999991</v>
      </c>
      <c r="E13" s="406"/>
      <c r="F13" s="410">
        <f>PRODUCT(D13,B13)</f>
        <v>0</v>
      </c>
      <c r="G13" s="410"/>
      <c r="H13" s="410"/>
    </row>
    <row r="14" spans="1:8" ht="45" customHeight="1">
      <c r="A14" s="407" t="s">
        <v>144</v>
      </c>
      <c r="B14" s="407"/>
      <c r="C14" s="407"/>
      <c r="D14" s="407"/>
      <c r="E14" s="407"/>
      <c r="F14" s="407"/>
      <c r="G14" s="407"/>
      <c r="H14" s="407"/>
    </row>
    <row r="15" spans="1:8">
      <c r="A15" s="408"/>
      <c r="B15" s="408"/>
      <c r="C15" s="408"/>
      <c r="D15" s="408"/>
      <c r="E15" s="408"/>
      <c r="F15" s="408"/>
      <c r="G15" s="408"/>
      <c r="H15" s="408"/>
    </row>
    <row r="16" spans="1:8" ht="15">
      <c r="A16" s="101" t="s">
        <v>145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1" t="s">
        <v>146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1" t="s">
        <v>147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1" t="s">
        <v>148</v>
      </c>
      <c r="B19" s="406">
        <f>G8</f>
        <v>0</v>
      </c>
      <c r="C19" s="406"/>
      <c r="D19" s="406">
        <v>2.61</v>
      </c>
      <c r="E19" s="406"/>
      <c r="F19" s="406">
        <f>PRODUCT(D19,B19)</f>
        <v>0</v>
      </c>
      <c r="G19" s="406"/>
      <c r="H19" s="406"/>
    </row>
    <row r="20" spans="1:8" ht="18.75">
      <c r="A20" s="402" t="s">
        <v>149</v>
      </c>
      <c r="B20" s="403"/>
      <c r="C20" s="403"/>
      <c r="D20" s="403"/>
      <c r="E20" s="404"/>
      <c r="F20" s="405">
        <f>SUM(F11+F13+F16+F17+F18+F19)</f>
        <v>23</v>
      </c>
      <c r="G20" s="405"/>
      <c r="H20" s="405"/>
    </row>
    <row r="21" spans="1:8" ht="15">
      <c r="A21" s="391" t="s">
        <v>150</v>
      </c>
      <c r="B21" s="392"/>
      <c r="C21" s="392"/>
      <c r="D21" s="392"/>
      <c r="E21" s="393"/>
      <c r="F21" s="406">
        <f>PRODUCT(F20,0.07)</f>
        <v>1.61</v>
      </c>
      <c r="G21" s="406"/>
      <c r="H21" s="406"/>
    </row>
    <row r="22" spans="1:8" ht="15">
      <c r="A22" s="444" t="s">
        <v>151</v>
      </c>
      <c r="B22" s="445"/>
      <c r="C22" s="445"/>
      <c r="D22" s="445"/>
      <c r="E22" s="446"/>
      <c r="F22" s="406">
        <v>208.26</v>
      </c>
      <c r="G22" s="406"/>
      <c r="H22" s="406"/>
    </row>
    <row r="23" spans="1:8" ht="15.75">
      <c r="A23" s="391" t="s">
        <v>152</v>
      </c>
      <c r="B23" s="392"/>
      <c r="C23" s="392"/>
      <c r="D23" s="392"/>
      <c r="E23" s="393"/>
      <c r="F23" s="394">
        <f>SUM(F21:H22)</f>
        <v>209.87</v>
      </c>
      <c r="G23" s="394"/>
      <c r="H23" s="394"/>
    </row>
    <row r="24" spans="1:8">
      <c r="A24" s="395" t="s">
        <v>153</v>
      </c>
      <c r="B24" s="396"/>
      <c r="C24" s="396"/>
      <c r="D24" s="396"/>
      <c r="E24" s="397"/>
      <c r="F24" s="401">
        <f>SUM(F20,F23)</f>
        <v>232.87</v>
      </c>
      <c r="G24" s="401"/>
      <c r="H24" s="401"/>
    </row>
    <row r="25" spans="1:8">
      <c r="A25" s="398"/>
      <c r="B25" s="399"/>
      <c r="C25" s="399"/>
      <c r="D25" s="399"/>
      <c r="E25" s="400"/>
      <c r="F25" s="401"/>
      <c r="G25" s="401"/>
      <c r="H25" s="40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topLeftCell="A5" workbookViewId="0">
      <selection activeCell="L14" sqref="L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11"/>
      <c r="B1" s="368" t="s">
        <v>133</v>
      </c>
      <c r="C1" s="369"/>
      <c r="D1" s="369"/>
      <c r="E1" s="369"/>
      <c r="F1" s="414" t="s">
        <v>88</v>
      </c>
      <c r="G1" s="415"/>
      <c r="H1" s="416"/>
    </row>
    <row r="2" spans="1:14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14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14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14" ht="42.75" customHeight="1"/>
    <row r="7" spans="1:14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4" ht="15">
      <c r="A8" s="162"/>
      <c r="B8" s="93" t="s">
        <v>138</v>
      </c>
      <c r="C8" s="94">
        <v>178565</v>
      </c>
      <c r="D8" s="95">
        <v>44914</v>
      </c>
      <c r="E8" s="94">
        <v>178669</v>
      </c>
      <c r="F8" s="95">
        <v>44915</v>
      </c>
      <c r="G8" s="96">
        <f>E8-C8</f>
        <v>104</v>
      </c>
      <c r="H8" s="97"/>
    </row>
    <row r="9" spans="1:14" ht="36" customHeight="1">
      <c r="A9" s="98"/>
      <c r="B9" s="98"/>
      <c r="C9" s="98"/>
      <c r="D9" s="98"/>
      <c r="E9" s="98"/>
      <c r="F9" s="98"/>
      <c r="G9" s="98"/>
      <c r="H9" s="98"/>
    </row>
    <row r="10" spans="1:14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14" ht="15">
      <c r="A11" s="100" t="s">
        <v>141</v>
      </c>
      <c r="B11" s="406"/>
      <c r="C11" s="406"/>
      <c r="D11" s="406"/>
      <c r="E11" s="406"/>
      <c r="F11" s="406">
        <v>23</v>
      </c>
      <c r="G11" s="406"/>
      <c r="H11" s="406"/>
    </row>
    <row r="12" spans="1:14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14" ht="15">
      <c r="A13" s="100" t="s">
        <v>143</v>
      </c>
      <c r="B13" s="406">
        <f>G8</f>
        <v>104</v>
      </c>
      <c r="C13" s="406"/>
      <c r="D13" s="406">
        <v>8.5</v>
      </c>
      <c r="E13" s="406"/>
      <c r="F13" s="410">
        <f>PRODUCT(D13,B13)</f>
        <v>884</v>
      </c>
      <c r="G13" s="410"/>
      <c r="H13" s="410"/>
    </row>
    <row r="14" spans="1:14" ht="45" customHeight="1">
      <c r="A14" s="407" t="s">
        <v>144</v>
      </c>
      <c r="B14" s="407"/>
      <c r="C14" s="407"/>
      <c r="D14" s="407"/>
      <c r="E14" s="407"/>
      <c r="F14" s="407"/>
      <c r="G14" s="407"/>
      <c r="H14" s="407"/>
      <c r="M14" s="179"/>
      <c r="N14" s="179"/>
    </row>
    <row r="15" spans="1:14" ht="19.5">
      <c r="A15" s="408"/>
      <c r="B15" s="408"/>
      <c r="C15" s="408"/>
      <c r="D15" s="408"/>
      <c r="E15" s="408"/>
      <c r="F15" s="408"/>
      <c r="G15" s="408"/>
      <c r="H15" s="408"/>
      <c r="M15" s="179"/>
      <c r="N15" s="179"/>
    </row>
    <row r="16" spans="1:14" ht="15">
      <c r="A16" s="101" t="s">
        <v>145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1" t="s">
        <v>146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1" t="s">
        <v>147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1" t="s">
        <v>148</v>
      </c>
      <c r="B19" s="406">
        <v>0</v>
      </c>
      <c r="C19" s="406"/>
      <c r="D19" s="427">
        <v>0</v>
      </c>
      <c r="E19" s="428"/>
      <c r="F19" s="427">
        <v>0</v>
      </c>
      <c r="G19" s="428"/>
      <c r="H19" s="162"/>
    </row>
    <row r="20" spans="1:8" ht="15">
      <c r="A20" s="101" t="s">
        <v>154</v>
      </c>
      <c r="B20" s="406">
        <f>G8</f>
        <v>104</v>
      </c>
      <c r="C20" s="406"/>
      <c r="D20" s="406">
        <v>2.54</v>
      </c>
      <c r="E20" s="406"/>
      <c r="F20" s="406">
        <f>PRODUCT(D20,B20)</f>
        <v>264.16000000000003</v>
      </c>
      <c r="G20" s="406"/>
      <c r="H20" s="406"/>
    </row>
    <row r="21" spans="1:8" ht="18.75">
      <c r="A21" s="402" t="s">
        <v>149</v>
      </c>
      <c r="B21" s="403"/>
      <c r="C21" s="403"/>
      <c r="D21" s="403"/>
      <c r="E21" s="404"/>
      <c r="F21" s="405">
        <f>SUM(F11+F13+F16+F17+F18+F20)</f>
        <v>1171.1600000000001</v>
      </c>
      <c r="G21" s="405"/>
      <c r="H21" s="405"/>
    </row>
    <row r="22" spans="1:8" ht="15">
      <c r="A22" s="391" t="s">
        <v>150</v>
      </c>
      <c r="B22" s="392"/>
      <c r="C22" s="392"/>
      <c r="D22" s="392"/>
      <c r="E22" s="393"/>
      <c r="F22" s="406">
        <f>PRODUCT(F21,0.07)</f>
        <v>81.981200000000015</v>
      </c>
      <c r="G22" s="406"/>
      <c r="H22" s="406"/>
    </row>
    <row r="23" spans="1:8" ht="15">
      <c r="A23" s="444" t="s">
        <v>151</v>
      </c>
      <c r="B23" s="445"/>
      <c r="C23" s="445"/>
      <c r="D23" s="445"/>
      <c r="E23" s="446"/>
      <c r="F23" s="406">
        <v>208.26</v>
      </c>
      <c r="G23" s="406"/>
      <c r="H23" s="406"/>
    </row>
    <row r="24" spans="1:8" ht="15.75">
      <c r="A24" s="391" t="s">
        <v>152</v>
      </c>
      <c r="B24" s="392"/>
      <c r="C24" s="392"/>
      <c r="D24" s="392"/>
      <c r="E24" s="393"/>
      <c r="F24" s="394">
        <f>SUM(F22:H23)</f>
        <v>290.24119999999999</v>
      </c>
      <c r="G24" s="394"/>
      <c r="H24" s="394"/>
    </row>
    <row r="25" spans="1:8">
      <c r="A25" s="395" t="s">
        <v>153</v>
      </c>
      <c r="B25" s="396"/>
      <c r="C25" s="396"/>
      <c r="D25" s="396"/>
      <c r="E25" s="397"/>
      <c r="F25" s="401">
        <f>SUM(F21,F24)</f>
        <v>1461.4012</v>
      </c>
      <c r="G25" s="401"/>
      <c r="H25" s="401"/>
    </row>
    <row r="26" spans="1:8">
      <c r="A26" s="398"/>
      <c r="B26" s="399"/>
      <c r="C26" s="399"/>
      <c r="D26" s="399"/>
      <c r="E26" s="400"/>
      <c r="F26" s="401"/>
      <c r="G26" s="401"/>
      <c r="H26" s="40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K11" sqref="K11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11"/>
      <c r="B1" s="368" t="s">
        <v>155</v>
      </c>
      <c r="C1" s="369"/>
      <c r="D1" s="369"/>
      <c r="E1" s="369"/>
      <c r="F1" s="414" t="s">
        <v>88</v>
      </c>
      <c r="G1" s="415"/>
      <c r="H1" s="416"/>
    </row>
    <row r="2" spans="1:8" ht="15.75" customHeight="1" thickBot="1">
      <c r="A2" s="412"/>
      <c r="B2" s="370"/>
      <c r="C2" s="371"/>
      <c r="D2" s="371"/>
      <c r="E2" s="371"/>
      <c r="F2" s="417"/>
      <c r="G2" s="418"/>
      <c r="H2" s="419"/>
    </row>
    <row r="3" spans="1:8" ht="15" customHeight="1">
      <c r="A3" s="412"/>
      <c r="B3" s="370"/>
      <c r="C3" s="371"/>
      <c r="D3" s="371"/>
      <c r="E3" s="371"/>
      <c r="F3" s="414" t="s">
        <v>89</v>
      </c>
      <c r="G3" s="415"/>
      <c r="H3" s="416"/>
    </row>
    <row r="4" spans="1:8" ht="15.75" customHeight="1" thickBot="1">
      <c r="A4" s="413"/>
      <c r="B4" s="372"/>
      <c r="C4" s="373"/>
      <c r="D4" s="373"/>
      <c r="E4" s="373"/>
      <c r="F4" s="420"/>
      <c r="G4" s="421"/>
      <c r="H4" s="422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44913</v>
      </c>
      <c r="E8" s="94">
        <v>2594</v>
      </c>
      <c r="F8" s="95">
        <v>44914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23" t="s">
        <v>116</v>
      </c>
      <c r="C10" s="424"/>
      <c r="D10" s="425" t="s">
        <v>139</v>
      </c>
      <c r="E10" s="425"/>
      <c r="F10" s="423" t="s">
        <v>140</v>
      </c>
      <c r="G10" s="426"/>
      <c r="H10" s="424"/>
    </row>
    <row r="11" spans="1:8" ht="15">
      <c r="A11" s="100" t="s">
        <v>141</v>
      </c>
      <c r="B11" s="406"/>
      <c r="C11" s="406"/>
      <c r="D11" s="406"/>
      <c r="E11" s="406"/>
      <c r="F11" s="406">
        <v>15</v>
      </c>
      <c r="G11" s="406"/>
      <c r="H11" s="406"/>
    </row>
    <row r="12" spans="1:8" ht="21">
      <c r="A12" s="409" t="s">
        <v>142</v>
      </c>
      <c r="B12" s="409"/>
      <c r="C12" s="409"/>
      <c r="D12" s="409"/>
      <c r="E12" s="409"/>
      <c r="F12" s="409"/>
      <c r="G12" s="409"/>
      <c r="H12" s="409"/>
    </row>
    <row r="13" spans="1:8" ht="15">
      <c r="A13" s="100" t="s">
        <v>156</v>
      </c>
      <c r="B13" s="406">
        <f>G8</f>
        <v>0</v>
      </c>
      <c r="C13" s="406"/>
      <c r="D13" s="406">
        <v>16.48</v>
      </c>
      <c r="E13" s="406"/>
      <c r="F13" s="410">
        <f>PRODUCT(D13,B13)</f>
        <v>0</v>
      </c>
      <c r="G13" s="410"/>
      <c r="H13" s="410"/>
    </row>
    <row r="14" spans="1:8" ht="15">
      <c r="A14" s="100" t="s">
        <v>157</v>
      </c>
      <c r="B14" s="427"/>
      <c r="C14" s="428"/>
      <c r="D14" s="427"/>
      <c r="E14" s="428"/>
      <c r="F14" s="427"/>
      <c r="G14" s="428"/>
      <c r="H14" s="109"/>
    </row>
    <row r="15" spans="1:8" ht="15">
      <c r="A15" s="100" t="s">
        <v>158</v>
      </c>
      <c r="B15" s="427"/>
      <c r="C15" s="428"/>
      <c r="D15" s="427"/>
      <c r="E15" s="428"/>
      <c r="F15" s="427"/>
      <c r="G15" s="428"/>
      <c r="H15" s="109"/>
    </row>
    <row r="16" spans="1:8" ht="15">
      <c r="A16" s="100" t="s">
        <v>159</v>
      </c>
      <c r="B16" s="427"/>
      <c r="C16" s="428"/>
      <c r="D16" s="427"/>
      <c r="E16" s="428"/>
      <c r="F16" s="427"/>
      <c r="G16" s="428"/>
      <c r="H16" s="109"/>
    </row>
    <row r="17" spans="1:8" ht="15">
      <c r="A17" s="100" t="s">
        <v>160</v>
      </c>
      <c r="B17" s="427"/>
      <c r="C17" s="428"/>
      <c r="D17" s="427"/>
      <c r="E17" s="428"/>
      <c r="F17" s="427"/>
      <c r="G17" s="428"/>
      <c r="H17" s="109"/>
    </row>
    <row r="18" spans="1:8" ht="45" customHeight="1">
      <c r="A18" s="407" t="s">
        <v>144</v>
      </c>
      <c r="B18" s="407"/>
      <c r="C18" s="407"/>
      <c r="D18" s="407"/>
      <c r="E18" s="407"/>
      <c r="F18" s="407"/>
      <c r="G18" s="407"/>
      <c r="H18" s="407"/>
    </row>
    <row r="19" spans="1:8">
      <c r="A19" s="408"/>
      <c r="B19" s="408"/>
      <c r="C19" s="408"/>
      <c r="D19" s="408"/>
      <c r="E19" s="408"/>
      <c r="F19" s="408"/>
      <c r="G19" s="408"/>
      <c r="H19" s="408"/>
    </row>
    <row r="20" spans="1:8" ht="15">
      <c r="A20" s="101" t="s">
        <v>145</v>
      </c>
      <c r="B20" s="406">
        <v>0</v>
      </c>
      <c r="C20" s="406"/>
      <c r="D20" s="406">
        <v>0</v>
      </c>
      <c r="E20" s="406"/>
      <c r="F20" s="406">
        <f>PRODUCT(D20,B20)</f>
        <v>0</v>
      </c>
      <c r="G20" s="406"/>
      <c r="H20" s="406"/>
    </row>
    <row r="21" spans="1:8" ht="15">
      <c r="A21" s="101" t="s">
        <v>146</v>
      </c>
      <c r="B21" s="406">
        <v>0</v>
      </c>
      <c r="C21" s="406"/>
      <c r="D21" s="406">
        <v>0</v>
      </c>
      <c r="E21" s="406"/>
      <c r="F21" s="406">
        <f>PRODUCT(D21,B21)</f>
        <v>0</v>
      </c>
      <c r="G21" s="406"/>
      <c r="H21" s="406"/>
    </row>
    <row r="22" spans="1:8" ht="15">
      <c r="A22" s="101" t="s">
        <v>147</v>
      </c>
      <c r="B22" s="406">
        <v>0</v>
      </c>
      <c r="C22" s="406"/>
      <c r="D22" s="406">
        <v>0</v>
      </c>
      <c r="E22" s="406"/>
      <c r="F22" s="406">
        <f>PRODUCT(D22,B22)</f>
        <v>0</v>
      </c>
      <c r="G22" s="406"/>
      <c r="H22" s="406"/>
    </row>
    <row r="23" spans="1:8" ht="15">
      <c r="A23" s="101" t="s">
        <v>148</v>
      </c>
      <c r="B23" s="406">
        <f>G8</f>
        <v>0</v>
      </c>
      <c r="C23" s="406"/>
      <c r="D23" s="406">
        <v>0</v>
      </c>
      <c r="E23" s="406"/>
      <c r="F23" s="406">
        <f>PRODUCT(D23,B23)</f>
        <v>0</v>
      </c>
      <c r="G23" s="406"/>
      <c r="H23" s="406"/>
    </row>
    <row r="24" spans="1:8" ht="15">
      <c r="A24" s="101" t="s">
        <v>154</v>
      </c>
      <c r="B24" s="427">
        <v>0</v>
      </c>
      <c r="C24" s="428"/>
      <c r="D24" s="427">
        <v>2.54</v>
      </c>
      <c r="E24" s="428"/>
      <c r="F24" s="427">
        <f>B24*D24</f>
        <v>0</v>
      </c>
      <c r="G24" s="428"/>
      <c r="H24" s="162"/>
    </row>
    <row r="25" spans="1:8" ht="18.75">
      <c r="A25" s="402" t="s">
        <v>149</v>
      </c>
      <c r="B25" s="403"/>
      <c r="C25" s="403"/>
      <c r="D25" s="403"/>
      <c r="E25" s="404"/>
      <c r="F25" s="429">
        <f>SUM(F11+F13+F20+F21+F22+F23)</f>
        <v>15</v>
      </c>
      <c r="G25" s="405"/>
      <c r="H25" s="405"/>
    </row>
    <row r="26" spans="1:8" ht="15">
      <c r="A26" s="391" t="s">
        <v>150</v>
      </c>
      <c r="B26" s="392"/>
      <c r="C26" s="392"/>
      <c r="D26" s="392"/>
      <c r="E26" s="393"/>
      <c r="F26" s="406">
        <v>63.63</v>
      </c>
      <c r="G26" s="406"/>
      <c r="H26" s="406"/>
    </row>
    <row r="27" spans="1:8" ht="15">
      <c r="A27" s="444" t="s">
        <v>151</v>
      </c>
      <c r="B27" s="445"/>
      <c r="C27" s="445"/>
      <c r="D27" s="445"/>
      <c r="E27" s="446"/>
      <c r="F27" s="406">
        <v>2.4300000000000002</v>
      </c>
      <c r="G27" s="406"/>
      <c r="H27" s="406"/>
    </row>
    <row r="28" spans="1:8" ht="15.75">
      <c r="A28" s="391" t="s">
        <v>152</v>
      </c>
      <c r="B28" s="392"/>
      <c r="C28" s="392"/>
      <c r="D28" s="392"/>
      <c r="E28" s="393"/>
      <c r="F28" s="394">
        <f>SUM(F26:H27)</f>
        <v>66.06</v>
      </c>
      <c r="G28" s="394"/>
      <c r="H28" s="394"/>
    </row>
    <row r="29" spans="1:8">
      <c r="A29" s="395" t="s">
        <v>153</v>
      </c>
      <c r="B29" s="396"/>
      <c r="C29" s="396"/>
      <c r="D29" s="396"/>
      <c r="E29" s="397"/>
      <c r="F29" s="401">
        <f>SUM(F25,F28)</f>
        <v>81.06</v>
      </c>
      <c r="G29" s="401"/>
      <c r="H29" s="401"/>
    </row>
    <row r="30" spans="1:8">
      <c r="A30" s="398"/>
      <c r="B30" s="399"/>
      <c r="C30" s="399"/>
      <c r="D30" s="399"/>
      <c r="E30" s="400"/>
      <c r="F30" s="401"/>
      <c r="G30" s="401"/>
      <c r="H30" s="40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zoomScaleNormal="100" workbookViewId="0">
      <selection activeCell="H31" sqref="H31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0" t="s">
        <v>161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47" t="s">
        <v>180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>
        <v>470109</v>
      </c>
      <c r="K14" s="102">
        <v>458455</v>
      </c>
      <c r="L14" s="102">
        <v>444199</v>
      </c>
      <c r="M14" s="102">
        <v>374528</v>
      </c>
      <c r="N14" s="102">
        <v>256419</v>
      </c>
    </row>
    <row r="15" spans="2:14" ht="21" thickBot="1">
      <c r="C15" s="433" t="s">
        <v>181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28.5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>
      <c r="B19" s="105" t="s">
        <v>175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>
      <c r="B20" s="110" t="s">
        <v>176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>
      <c r="B21" s="106" t="s">
        <v>177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>
      <c r="B22" s="115" t="s">
        <v>178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>
      <c r="B23" s="144" t="s">
        <v>179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>
      <c r="B24" s="147" t="s">
        <v>180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>
        <v>506423.32253</v>
      </c>
      <c r="K24" s="102">
        <v>486424.27340000001</v>
      </c>
      <c r="L24" s="102">
        <v>473503.95079999999</v>
      </c>
      <c r="M24" s="102">
        <v>403992.3469</v>
      </c>
      <c r="N24" s="102">
        <v>289205.48600000003</v>
      </c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2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182</v>
      </c>
      <c r="D5" s="439"/>
      <c r="E5" s="439"/>
      <c r="F5" s="439"/>
      <c r="G5" s="439"/>
      <c r="H5" s="439"/>
      <c r="I5" s="439"/>
      <c r="J5" s="439"/>
      <c r="K5" s="439"/>
      <c r="L5" s="439"/>
      <c r="M5" s="439"/>
      <c r="N5" s="440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>
        <v>3510.1000000000058</v>
      </c>
      <c r="K14" s="102">
        <v>3086.1999999999971</v>
      </c>
      <c r="L14" s="102">
        <v>3330.5</v>
      </c>
      <c r="M14" s="102">
        <v>2932.1999999999971</v>
      </c>
      <c r="N14" s="102">
        <v>2091.1000000000058</v>
      </c>
    </row>
    <row r="15" spans="2:14" ht="21" thickBot="1">
      <c r="C15" s="433" t="s">
        <v>183</v>
      </c>
      <c r="D15" s="441"/>
      <c r="E15" s="441"/>
      <c r="F15" s="441"/>
      <c r="G15" s="441"/>
      <c r="H15" s="441"/>
      <c r="I15" s="441"/>
      <c r="J15" s="441"/>
      <c r="K15" s="441"/>
      <c r="L15" s="441"/>
      <c r="M15" s="441"/>
      <c r="N15" s="442"/>
    </row>
    <row r="17" spans="2:15" ht="18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5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/>
      <c r="M18" s="102">
        <v>43165.84</v>
      </c>
      <c r="N18" s="102">
        <v>50595.28</v>
      </c>
    </row>
    <row r="19" spans="2:15" ht="31.5" customHeight="1">
      <c r="B19" s="105" t="s">
        <v>175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>
      <c r="B20" s="110" t="s">
        <v>176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>
      <c r="B21" s="106" t="s">
        <v>177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>
      <c r="B22" s="115" t="s">
        <v>178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>
      <c r="B23" s="144" t="s">
        <v>179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>
      <c r="B24" s="147" t="s">
        <v>180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>
        <v>40038.140000000065</v>
      </c>
      <c r="K24" s="102">
        <v>35205.679999999964</v>
      </c>
      <c r="L24" s="102">
        <v>37990.699999999997</v>
      </c>
      <c r="M24" s="102">
        <v>33450.079999999965</v>
      </c>
      <c r="N24" s="102">
        <v>23861.540000000066</v>
      </c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6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0" t="s">
        <v>184</v>
      </c>
      <c r="D5" s="431"/>
      <c r="E5" s="431"/>
      <c r="F5" s="431"/>
      <c r="G5" s="431"/>
      <c r="H5" s="431"/>
      <c r="I5" s="431"/>
      <c r="J5" s="431"/>
      <c r="K5" s="431"/>
      <c r="L5" s="431"/>
      <c r="M5" s="431"/>
      <c r="N5" s="432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36"/>
      <c r="D8" s="437"/>
      <c r="E8" s="437"/>
      <c r="F8" s="437"/>
      <c r="G8" s="437"/>
      <c r="H8" s="437"/>
      <c r="I8" s="437"/>
      <c r="J8" s="437"/>
      <c r="K8" s="438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33" t="s">
        <v>185</v>
      </c>
      <c r="D15" s="434"/>
      <c r="E15" s="434"/>
      <c r="F15" s="434"/>
      <c r="G15" s="434"/>
      <c r="H15" s="434"/>
      <c r="I15" s="434"/>
      <c r="J15" s="434"/>
      <c r="K15" s="434"/>
      <c r="L15" s="434"/>
      <c r="M15" s="434"/>
      <c r="N15" s="435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36"/>
      <c r="D18" s="437"/>
      <c r="E18" s="437"/>
      <c r="F18" s="437"/>
      <c r="G18" s="437"/>
      <c r="H18" s="437"/>
      <c r="I18" s="437"/>
      <c r="J18" s="437"/>
      <c r="K18" s="438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1D5AFF-6849-4580-86A3-902D531CC43C}"/>
</file>

<file path=customXml/itemProps2.xml><?xml version="1.0" encoding="utf-8"?>
<ds:datastoreItem xmlns:ds="http://schemas.openxmlformats.org/officeDocument/2006/customXml" ds:itemID="{C6C9026B-FACA-412B-BFAF-D1CFE861F6E4}"/>
</file>

<file path=customXml/itemProps3.xml><?xml version="1.0" encoding="utf-8"?>
<ds:datastoreItem xmlns:ds="http://schemas.openxmlformats.org/officeDocument/2006/customXml" ds:itemID="{4221F24E-D051-4344-B4AC-1A41CABA54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2022-12-20T10:16:01Z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