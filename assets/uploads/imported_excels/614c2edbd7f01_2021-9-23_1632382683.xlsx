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07DBFAD8-1103-4F0F-AEE8-463447B70C7C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<sst xmlns="http://schemas.openxmlformats.org/spreadsheetml/2006/main" count="66" uniqueCount="32">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</sst>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156.19999999999999</v>
          </cell>
          <cell r="P23">
            <v>160</v>
          </cell>
          <cell r="Q23">
            <v>178</v>
          </cell>
          <cell r="R23">
            <v>175</v>
          </cell>
          <cell r="S23">
            <v>165</v>
          </cell>
          <cell r="T23">
            <v>142</v>
          </cell>
          <cell r="U23">
            <v>143.19999999999999</v>
          </cell>
          <cell r="V23">
            <v>164</v>
          </cell>
          <cell r="W23">
            <v>182</v>
          </cell>
          <cell r="X23">
            <v>182</v>
          </cell>
          <cell r="Y23">
            <v>173.1</v>
          </cell>
          <cell r="Z23">
            <v>174</v>
          </cell>
          <cell r="AA23">
            <v>139.19999999999999</v>
          </cell>
          <cell r="AB23">
            <v>148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156</v>
          </cell>
          <cell r="P41">
            <v>144</v>
          </cell>
          <cell r="Q41">
            <v>161</v>
          </cell>
          <cell r="R41">
            <v>164</v>
          </cell>
          <cell r="S41">
            <v>129</v>
          </cell>
          <cell r="T41">
            <v>116</v>
          </cell>
          <cell r="U41">
            <v>115</v>
          </cell>
          <cell r="V41">
            <v>136</v>
          </cell>
          <cell r="W41">
            <v>151</v>
          </cell>
          <cell r="X41">
            <v>173</v>
          </cell>
          <cell r="Y41">
            <v>221</v>
          </cell>
          <cell r="Z41">
            <v>196</v>
          </cell>
          <cell r="AA41">
            <v>141</v>
          </cell>
          <cell r="AB41">
            <v>143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1802.922</v>
          </cell>
          <cell r="P91">
            <v>943.40879999999993</v>
          </cell>
          <cell r="Q91">
            <v>995.07959999999991</v>
          </cell>
          <cell r="R91">
            <v>1098.4212</v>
          </cell>
          <cell r="S91">
            <v>781.72919999999999</v>
          </cell>
          <cell r="T91">
            <v>1268.4348</v>
          </cell>
          <cell r="U91">
            <v>1344.2742000000001</v>
          </cell>
          <cell r="V91">
            <v>1489.2857999999999</v>
          </cell>
          <cell r="W91">
            <v>1597.9056</v>
          </cell>
          <cell r="X91">
            <v>1346.2187999999999</v>
          </cell>
          <cell r="Y91">
            <v>1397.8896</v>
          </cell>
          <cell r="Z91">
            <v>1645.1315999999999</v>
          </cell>
          <cell r="AA91">
            <v>1430.9477999999999</v>
          </cell>
          <cell r="AB91">
            <v>982.57859999999994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11655.9324</v>
          </cell>
          <cell r="P115">
            <v>21515.054400000001</v>
          </cell>
          <cell r="Q115">
            <v>24785.871599999999</v>
          </cell>
          <cell r="R115">
            <v>24000.253199999999</v>
          </cell>
          <cell r="S115">
            <v>19566.287400000001</v>
          </cell>
          <cell r="T115">
            <v>15036.480599999999</v>
          </cell>
          <cell r="U115">
            <v>16430.7588</v>
          </cell>
          <cell r="V115">
            <v>13480.8006</v>
          </cell>
          <cell r="W115">
            <v>14276.142</v>
          </cell>
          <cell r="X115">
            <v>24011.3652</v>
          </cell>
          <cell r="Y115">
            <v>19684.3524</v>
          </cell>
          <cell r="Z115">
            <v>16105.1772</v>
          </cell>
          <cell r="AA115">
            <v>14436.1548</v>
          </cell>
          <cell r="AB115">
            <v>22794.879000000001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13921</v>
          </cell>
          <cell r="P147">
            <v>14897</v>
          </cell>
          <cell r="Q147">
            <v>15613</v>
          </cell>
          <cell r="R147">
            <v>15467</v>
          </cell>
          <cell r="S147">
            <v>14627</v>
          </cell>
          <cell r="T147">
            <v>14297</v>
          </cell>
          <cell r="U147">
            <v>14661</v>
          </cell>
          <cell r="V147">
            <v>14794</v>
          </cell>
          <cell r="W147">
            <v>15056</v>
          </cell>
          <cell r="X147">
            <v>15652</v>
          </cell>
          <cell r="Y147">
            <v>16082</v>
          </cell>
          <cell r="Z147">
            <v>15612</v>
          </cell>
          <cell r="AA147">
            <v>14738</v>
          </cell>
          <cell r="AB147">
            <v>14944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115.15997475903774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P1" sqref="P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3" t="s">
        <v>28</v>
      </c>
      <c r="J1" s="34" t="s">
        <v>29</v>
      </c>
      <c r="K1" s="33" t="s">
        <v>30</v>
      </c>
      <c r="L1" s="34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</v>
      </c>
      <c r="G2" s="9">
        <f>'Otemachi Daily'!F5</f>
        <v>148</v>
      </c>
      <c r="H2" s="35">
        <f>[1]見込!$M$23</f>
        <v>115.15997475903774</v>
      </c>
      <c r="I2" s="9">
        <f>'Otemachi Daily'!H5</f>
        <v>12301.5396</v>
      </c>
      <c r="J2" s="35">
        <v>10.79</v>
      </c>
      <c r="K2" s="9">
        <f>'Otemachi Daily'!J5</f>
        <v>1558.7357999999999</v>
      </c>
      <c r="L2" s="35">
        <v>7.22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</v>
      </c>
      <c r="G3" s="9">
        <f>'Otemachi Daily'!F6</f>
        <v>155</v>
      </c>
      <c r="H3" s="35">
        <f>[1]見込!$M$23</f>
        <v>115.15997475903774</v>
      </c>
      <c r="I3" s="9">
        <f>'Otemachi Daily'!H6</f>
        <v>10354.717199999999</v>
      </c>
      <c r="J3" s="35">
        <v>10.79</v>
      </c>
      <c r="K3" s="9">
        <f>'Otemachi Daily'!J6</f>
        <v>2039.0519999999999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</v>
      </c>
      <c r="G4" s="9">
        <f>'Otemachi Daily'!F7</f>
        <v>160</v>
      </c>
      <c r="H4" s="35">
        <f>[1]見込!$M$23</f>
        <v>115.15997475903774</v>
      </c>
      <c r="I4" s="9">
        <f>'Otemachi Daily'!H7</f>
        <v>10942.541999999999</v>
      </c>
      <c r="J4" s="35">
        <v>10.79</v>
      </c>
      <c r="K4" s="9">
        <f>'Otemachi Daily'!J7</f>
        <v>1990.4369999999999</v>
      </c>
      <c r="L4" s="35">
        <v>7.22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</v>
      </c>
      <c r="G5" s="9">
        <f>'Otemachi Daily'!F8</f>
        <v>180</v>
      </c>
      <c r="H5" s="35">
        <f>[1]見込!$M$23</f>
        <v>115.15997475903774</v>
      </c>
      <c r="I5" s="9">
        <f>'Otemachi Daily'!H8</f>
        <v>12846.860999999999</v>
      </c>
      <c r="J5" s="35">
        <v>10.79</v>
      </c>
      <c r="K5" s="9">
        <f>'Otemachi Daily'!J8</f>
        <v>1936.2659999999998</v>
      </c>
      <c r="L5" s="35">
        <v>7.22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</v>
      </c>
      <c r="G6" s="9">
        <f>'Otemachi Daily'!F9</f>
        <v>165.2</v>
      </c>
      <c r="H6" s="35">
        <f>[1]見込!$M$23</f>
        <v>115.15997475903774</v>
      </c>
      <c r="I6" s="9">
        <f>'Otemachi Daily'!H9</f>
        <v>11627.0412</v>
      </c>
      <c r="J6" s="35">
        <v>10.79</v>
      </c>
      <c r="K6" s="9">
        <f>'Otemachi Daily'!J9</f>
        <v>1936.5437999999999</v>
      </c>
      <c r="L6" s="35">
        <v>7.22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</v>
      </c>
      <c r="G7" s="9">
        <f>'Otemachi Daily'!F10</f>
        <v>158</v>
      </c>
      <c r="H7" s="35">
        <f>[1]見込!$M$23</f>
        <v>115.15997475903774</v>
      </c>
      <c r="I7" s="9">
        <f>'Otemachi Daily'!H10</f>
        <v>8497.0686000000005</v>
      </c>
      <c r="J7" s="35">
        <v>10.79</v>
      </c>
      <c r="K7" s="9">
        <f>'Otemachi Daily'!J10</f>
        <v>1884.5952</v>
      </c>
      <c r="L7" s="35">
        <v>7.22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</v>
      </c>
      <c r="G8" s="9">
        <f>'Otemachi Daily'!F11</f>
        <v>134</v>
      </c>
      <c r="H8" s="35">
        <f>[1]見込!$M$23</f>
        <v>115.15997475903774</v>
      </c>
      <c r="I8" s="9">
        <f>'Otemachi Daily'!H11</f>
        <v>8061.4781999999996</v>
      </c>
      <c r="J8" s="35">
        <v>10.79</v>
      </c>
      <c r="K8" s="9">
        <f>'Otemachi Daily'!J11</f>
        <v>1774.3085999999998</v>
      </c>
      <c r="L8" s="35">
        <v>7.22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</v>
      </c>
      <c r="G9" s="9">
        <f>'Otemachi Daily'!F12</f>
        <v>156</v>
      </c>
      <c r="H9" s="35">
        <f>[1]見込!$M$23</f>
        <v>115.15997475903774</v>
      </c>
      <c r="I9" s="9">
        <f>'Otemachi Daily'!H12</f>
        <v>10361.662199999999</v>
      </c>
      <c r="J9" s="35">
        <v>10.79</v>
      </c>
      <c r="K9" s="9">
        <f>'Otemachi Daily'!J12</f>
        <v>1654.8545999999999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2021</v>
      </c>
      <c r="E10" s="9">
        <f>'Otemachi Daily'!D13</f>
        <v>13921</v>
      </c>
      <c r="F10" s="35">
        <f>[1]見込!$G$3</f>
        <v>24</v>
      </c>
      <c r="G10" s="9">
        <f>'Otemachi Daily'!F13</f>
        <v>156.19999999999999</v>
      </c>
      <c r="H10" s="35">
        <f>[1]見込!$M$23</f>
        <v>115.15997475903774</v>
      </c>
      <c r="I10" s="9">
        <f>'Otemachi Daily'!H13</f>
        <v>11655.9324</v>
      </c>
      <c r="J10" s="35">
        <v>10.79</v>
      </c>
      <c r="K10" s="9">
        <f>'Otemachi Daily'!J13</f>
        <v>1802.922</v>
      </c>
      <c r="L10" s="35">
        <v>7.22</v>
      </c>
      <c r="M10" s="9">
        <f>'Otemachi Daily'!L13</f>
        <v>156</v>
      </c>
      <c r="N10" s="35">
        <v>741</v>
      </c>
      <c r="O10" s="9">
        <f>'Otemachi Daily'!M13</f>
        <v>53</v>
      </c>
      <c r="P10" s="9">
        <f>'Otemachi Daily'!N13</f>
        <v>101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2021</v>
      </c>
      <c r="E11" s="9">
        <f>'Otemachi Daily'!D14</f>
        <v>14897</v>
      </c>
      <c r="F11" s="35">
        <f>[1]見込!$G$3</f>
        <v>24</v>
      </c>
      <c r="G11" s="9">
        <f>'Otemachi Daily'!F14</f>
        <v>160</v>
      </c>
      <c r="H11" s="35">
        <f>[1]見込!$M$23</f>
        <v>115.15997475903774</v>
      </c>
      <c r="I11" s="9">
        <f>'Otemachi Daily'!H14</f>
        <v>21515.054400000001</v>
      </c>
      <c r="J11" s="35">
        <v>10.79</v>
      </c>
      <c r="K11" s="9">
        <f>'Otemachi Daily'!J14</f>
        <v>943.40879999999993</v>
      </c>
      <c r="L11" s="35">
        <v>7.22</v>
      </c>
      <c r="M11" s="9">
        <f>'Otemachi Daily'!L14</f>
        <v>144</v>
      </c>
      <c r="N11" s="35">
        <v>741</v>
      </c>
      <c r="O11" s="9">
        <f>'Otemachi Daily'!M14</f>
        <v>77</v>
      </c>
      <c r="P11" s="9">
        <f>'Otemachi Daily'!N14</f>
        <v>195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2021</v>
      </c>
      <c r="E12" s="9">
        <f>'Otemachi Daily'!D15</f>
        <v>15613</v>
      </c>
      <c r="F12" s="35">
        <f>[1]見込!$G$3</f>
        <v>24</v>
      </c>
      <c r="G12" s="9">
        <f>'Otemachi Daily'!F15</f>
        <v>178</v>
      </c>
      <c r="H12" s="35">
        <f>[1]見込!$M$23</f>
        <v>115.15997475903774</v>
      </c>
      <c r="I12" s="9">
        <f>'Otemachi Daily'!H15</f>
        <v>24785.871599999999</v>
      </c>
      <c r="J12" s="35">
        <v>10.79</v>
      </c>
      <c r="K12" s="9">
        <f>'Otemachi Daily'!J15</f>
        <v>995.07959999999991</v>
      </c>
      <c r="L12" s="35">
        <v>7.22</v>
      </c>
      <c r="M12" s="9">
        <f>'Otemachi Daily'!L15</f>
        <v>161</v>
      </c>
      <c r="N12" s="35">
        <v>741</v>
      </c>
      <c r="O12" s="9">
        <f>'Otemachi Daily'!M15</f>
        <v>111</v>
      </c>
      <c r="P12" s="9">
        <f>'Otemachi Daily'!N15</f>
        <v>211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2021</v>
      </c>
      <c r="E13" s="9">
        <f>'Otemachi Daily'!D16</f>
        <v>15467</v>
      </c>
      <c r="F13" s="35">
        <f>[1]見込!$G$3</f>
        <v>24</v>
      </c>
      <c r="G13" s="9">
        <f>'Otemachi Daily'!F16</f>
        <v>175</v>
      </c>
      <c r="H13" s="35">
        <f>[1]見込!$M$23</f>
        <v>115.15997475903774</v>
      </c>
      <c r="I13" s="9">
        <f>'Otemachi Daily'!H16</f>
        <v>24000.253199999999</v>
      </c>
      <c r="J13" s="35">
        <v>10.79</v>
      </c>
      <c r="K13" s="9">
        <f>'Otemachi Daily'!J16</f>
        <v>1098.4212</v>
      </c>
      <c r="L13" s="35">
        <v>7.22</v>
      </c>
      <c r="M13" s="9">
        <f>'Otemachi Daily'!L16</f>
        <v>164</v>
      </c>
      <c r="N13" s="35">
        <v>741</v>
      </c>
      <c r="O13" s="9">
        <f>'Otemachi Daily'!M16</f>
        <v>49</v>
      </c>
      <c r="P13" s="9">
        <f>'Otemachi Daily'!N16</f>
        <v>93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2021</v>
      </c>
      <c r="E14" s="9">
        <f>'Otemachi Daily'!D17</f>
        <v>14627</v>
      </c>
      <c r="F14" s="35">
        <f>[1]見込!$G$3</f>
        <v>24</v>
      </c>
      <c r="G14" s="9">
        <f>'Otemachi Daily'!F17</f>
        <v>165</v>
      </c>
      <c r="H14" s="35">
        <f>[1]見込!$M$23</f>
        <v>115.15997475903774</v>
      </c>
      <c r="I14" s="9">
        <f>'Otemachi Daily'!H17</f>
        <v>19566.287400000001</v>
      </c>
      <c r="J14" s="35">
        <v>10.79</v>
      </c>
      <c r="K14" s="9">
        <f>'Otemachi Daily'!J17</f>
        <v>781.72919999999999</v>
      </c>
      <c r="L14" s="35">
        <v>7.22</v>
      </c>
      <c r="M14" s="9">
        <f>'Otemachi Daily'!L17</f>
        <v>129</v>
      </c>
      <c r="N14" s="35">
        <v>741</v>
      </c>
      <c r="O14" s="9">
        <f>'Otemachi Daily'!M17</f>
        <v>64</v>
      </c>
      <c r="P14" s="9">
        <f>'Otemachi Daily'!N17</f>
        <v>120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2021</v>
      </c>
      <c r="E15" s="9">
        <f>'Otemachi Daily'!D18</f>
        <v>14297</v>
      </c>
      <c r="F15" s="35">
        <f>[1]見込!$G$3</f>
        <v>24</v>
      </c>
      <c r="G15" s="9">
        <f>'Otemachi Daily'!F18</f>
        <v>142</v>
      </c>
      <c r="H15" s="35">
        <f>[1]見込!$M$23</f>
        <v>115.15997475903774</v>
      </c>
      <c r="I15" s="9">
        <f>'Otemachi Daily'!H18</f>
        <v>15036.480599999999</v>
      </c>
      <c r="J15" s="35">
        <v>10.79</v>
      </c>
      <c r="K15" s="9">
        <f>'Otemachi Daily'!J18</f>
        <v>1268.4348</v>
      </c>
      <c r="L15" s="35">
        <v>7.22</v>
      </c>
      <c r="M15" s="9">
        <f>'Otemachi Daily'!L18</f>
        <v>116</v>
      </c>
      <c r="N15" s="35">
        <v>741</v>
      </c>
      <c r="O15" s="9">
        <f>'Otemachi Daily'!M18</f>
        <v>60</v>
      </c>
      <c r="P15" s="9">
        <f>'Otemachi Daily'!N18</f>
        <v>114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2021</v>
      </c>
      <c r="E16" s="9">
        <f>'Otemachi Daily'!D19</f>
        <v>14661</v>
      </c>
      <c r="F16" s="35">
        <f>[1]見込!$G$3</f>
        <v>24</v>
      </c>
      <c r="G16" s="9">
        <f>'Otemachi Daily'!F19</f>
        <v>143.19999999999999</v>
      </c>
      <c r="H16" s="35">
        <f>[1]見込!$M$23</f>
        <v>115.15997475903774</v>
      </c>
      <c r="I16" s="9">
        <f>'Otemachi Daily'!H19</f>
        <v>16430.7588</v>
      </c>
      <c r="J16" s="35">
        <v>10.79</v>
      </c>
      <c r="K16" s="9">
        <f>'Otemachi Daily'!J19</f>
        <v>1344.2742000000001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57</v>
      </c>
      <c r="P16" s="9">
        <f>'Otemachi Daily'!N19</f>
        <v>107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2021</v>
      </c>
      <c r="E17" s="9">
        <f>'Otemachi Daily'!D20</f>
        <v>14794</v>
      </c>
      <c r="F17" s="35">
        <f>[1]見込!$G$3</f>
        <v>24</v>
      </c>
      <c r="G17" s="9">
        <f>'Otemachi Daily'!F20</f>
        <v>164</v>
      </c>
      <c r="H17" s="35">
        <f>[1]見込!$M$23</f>
        <v>115.15997475903774</v>
      </c>
      <c r="I17" s="9">
        <f>'Otemachi Daily'!H20</f>
        <v>13480.8006</v>
      </c>
      <c r="J17" s="35">
        <v>10.79</v>
      </c>
      <c r="K17" s="9">
        <f>'Otemachi Daily'!J20</f>
        <v>1489.2857999999999</v>
      </c>
      <c r="L17" s="35">
        <v>7.22</v>
      </c>
      <c r="M17" s="9">
        <f>'Otemachi Daily'!L20</f>
        <v>136</v>
      </c>
      <c r="N17" s="35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2021</v>
      </c>
      <c r="E18" s="9">
        <f>'Otemachi Daily'!D21</f>
        <v>15056</v>
      </c>
      <c r="F18" s="35">
        <f>[1]見込!$G$3</f>
        <v>24</v>
      </c>
      <c r="G18" s="9">
        <f>'Otemachi Daily'!F21</f>
        <v>182</v>
      </c>
      <c r="H18" s="35">
        <f>[1]見込!$M$23</f>
        <v>115.15997475903774</v>
      </c>
      <c r="I18" s="9">
        <f>'Otemachi Daily'!H21</f>
        <v>14276.142</v>
      </c>
      <c r="J18" s="35">
        <v>10.79</v>
      </c>
      <c r="K18" s="9">
        <f>'Otemachi Daily'!J21</f>
        <v>1597.9056</v>
      </c>
      <c r="L18" s="35">
        <v>7.22</v>
      </c>
      <c r="M18" s="9">
        <f>'Otemachi Daily'!L21</f>
        <v>151</v>
      </c>
      <c r="N18" s="35">
        <v>741</v>
      </c>
      <c r="O18" s="9">
        <f>'Otemachi Daily'!M21</f>
        <v>98</v>
      </c>
      <c r="P18" s="9">
        <f>'Otemachi Daily'!N21</f>
        <v>200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2021</v>
      </c>
      <c r="E19" s="9">
        <f>'Otemachi Daily'!D22</f>
        <v>15652</v>
      </c>
      <c r="F19" s="35">
        <f>[1]見込!$G$3</f>
        <v>24</v>
      </c>
      <c r="G19" s="9">
        <f>'Otemachi Daily'!F22</f>
        <v>182</v>
      </c>
      <c r="H19" s="35">
        <f>[1]見込!$M$23</f>
        <v>115.15997475903774</v>
      </c>
      <c r="I19" s="9">
        <f>'Otemachi Daily'!H22</f>
        <v>24011.3652</v>
      </c>
      <c r="J19" s="35">
        <v>10.79</v>
      </c>
      <c r="K19" s="9">
        <f>'Otemachi Daily'!J22</f>
        <v>1346.2187999999999</v>
      </c>
      <c r="L19" s="35">
        <v>7.22</v>
      </c>
      <c r="M19" s="9">
        <f>'Otemachi Daily'!L22</f>
        <v>173</v>
      </c>
      <c r="N19" s="35">
        <v>741</v>
      </c>
      <c r="O19" s="9">
        <f>'Otemachi Daily'!M22</f>
        <v>142</v>
      </c>
      <c r="P19" s="9">
        <f>'Otemachi Daily'!N22</f>
        <v>311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2021</v>
      </c>
      <c r="E20" s="9">
        <f>'Otemachi Daily'!D23</f>
        <v>16082</v>
      </c>
      <c r="F20" s="35">
        <f>[1]見込!$G$3</f>
        <v>24</v>
      </c>
      <c r="G20" s="9">
        <f>'Otemachi Daily'!F23</f>
        <v>173.1</v>
      </c>
      <c r="H20" s="35">
        <f>[1]見込!$M$23</f>
        <v>115.15997475903774</v>
      </c>
      <c r="I20" s="9">
        <f>'Otemachi Daily'!H23</f>
        <v>19684.3524</v>
      </c>
      <c r="J20" s="35">
        <v>10.79</v>
      </c>
      <c r="K20" s="9">
        <f>'Otemachi Daily'!J23</f>
        <v>1397.8896</v>
      </c>
      <c r="L20" s="35">
        <v>7.22</v>
      </c>
      <c r="M20" s="9">
        <f>'Otemachi Daily'!L23</f>
        <v>221</v>
      </c>
      <c r="N20" s="35">
        <v>741</v>
      </c>
      <c r="O20" s="9">
        <f>'Otemachi Daily'!M23</f>
        <v>157</v>
      </c>
      <c r="P20" s="9">
        <f>'Otemachi Daily'!N23</f>
        <v>354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2021</v>
      </c>
      <c r="E21" s="9">
        <f>'Otemachi Daily'!D24</f>
        <v>15612</v>
      </c>
      <c r="F21" s="35">
        <f>[1]見込!$G$3</f>
        <v>24</v>
      </c>
      <c r="G21" s="9">
        <f>'Otemachi Daily'!F24</f>
        <v>174</v>
      </c>
      <c r="H21" s="35">
        <f>[1]見込!$M$23</f>
        <v>115.15997475903774</v>
      </c>
      <c r="I21" s="9">
        <f>'Otemachi Daily'!H24</f>
        <v>16105.1772</v>
      </c>
      <c r="J21" s="35">
        <v>10.79</v>
      </c>
      <c r="K21" s="9">
        <f>'Otemachi Daily'!J24</f>
        <v>1645.1315999999999</v>
      </c>
      <c r="L21" s="35">
        <v>7.22</v>
      </c>
      <c r="M21" s="9">
        <f>'Otemachi Daily'!L24</f>
        <v>196</v>
      </c>
      <c r="N21" s="35">
        <v>741</v>
      </c>
      <c r="O21" s="9">
        <f>'Otemachi Daily'!M24</f>
        <v>69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2021</v>
      </c>
      <c r="E22" s="9">
        <f>'Otemachi Daily'!D25</f>
        <v>14738</v>
      </c>
      <c r="F22" s="35">
        <f>[1]見込!$G$3</f>
        <v>24</v>
      </c>
      <c r="G22" s="9">
        <f>'Otemachi Daily'!F25</f>
        <v>139.19999999999999</v>
      </c>
      <c r="H22" s="35">
        <f>[1]見込!$M$23</f>
        <v>115.15997475903774</v>
      </c>
      <c r="I22" s="9">
        <f>'Otemachi Daily'!H25</f>
        <v>14436.1548</v>
      </c>
      <c r="J22" s="35">
        <v>10.79</v>
      </c>
      <c r="K22" s="9">
        <f>'Otemachi Daily'!J25</f>
        <v>1430.9477999999999</v>
      </c>
      <c r="L22" s="35">
        <v>7.22</v>
      </c>
      <c r="M22" s="9">
        <f>'Otemachi Daily'!L25</f>
        <v>141</v>
      </c>
      <c r="N22" s="35">
        <v>741</v>
      </c>
      <c r="O22" s="9">
        <f>'Otemachi Daily'!M25</f>
        <v>60</v>
      </c>
      <c r="P22" s="9">
        <f>'Otemachi Daily'!N25</f>
        <v>113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2021</v>
      </c>
      <c r="E23" s="9">
        <f>'Otemachi Daily'!D26</f>
        <v>14944</v>
      </c>
      <c r="F23" s="35">
        <f>[1]見込!$G$3</f>
        <v>24</v>
      </c>
      <c r="G23" s="9">
        <f>'Otemachi Daily'!F26</f>
        <v>148</v>
      </c>
      <c r="H23" s="35">
        <f>[1]見込!$M$23</f>
        <v>115.15997475903774</v>
      </c>
      <c r="I23" s="9">
        <f>'Otemachi Daily'!H26</f>
        <v>22794.879000000001</v>
      </c>
      <c r="J23" s="35">
        <v>10.79</v>
      </c>
      <c r="K23" s="9">
        <f>'Otemachi Daily'!J26</f>
        <v>982.57859999999994</v>
      </c>
      <c r="L23" s="35">
        <v>7.22</v>
      </c>
      <c r="M23" s="9">
        <f>'Otemachi Daily'!L26</f>
        <v>143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115.15997475903774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115.15997475903774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115.15997475903774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115.15997475903774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115.15997475903774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115.15997475903774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115.15997475903774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115.15997475903774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115.15997475903774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6" zoomScale="60" zoomScaleNormal="60" workbookViewId="0">
      <pane xSplit="1" topLeftCell="B1" activePane="topRight" state="frozen"/>
      <selection pane="topRight" activeCell="S20" sqref="S20:S21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5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>
      <c r="A13" s="28">
        <v>44448</v>
      </c>
      <c r="B13" s="38"/>
      <c r="C13" s="36">
        <f>[1]コスト!$O$147</f>
        <v>13921</v>
      </c>
      <c r="D13" s="36">
        <f t="shared" si="0"/>
        <v>13921</v>
      </c>
      <c r="E13" s="36">
        <f>[1]コスト!$O$23</f>
        <v>156.19999999999999</v>
      </c>
      <c r="F13" s="36">
        <f t="shared" si="0"/>
        <v>156.19999999999999</v>
      </c>
      <c r="G13" s="36">
        <f>[1]コスト!$O$115</f>
        <v>11655.9324</v>
      </c>
      <c r="H13" s="36">
        <f t="shared" ref="H13" si="22">G13</f>
        <v>11655.9324</v>
      </c>
      <c r="I13" s="36">
        <f>[1]コスト!$O$91</f>
        <v>1802.922</v>
      </c>
      <c r="J13" s="36">
        <f t="shared" ref="J13" si="23">I13</f>
        <v>1802.922</v>
      </c>
      <c r="K13" s="36">
        <f>[1]コスト!$O$41</f>
        <v>156</v>
      </c>
      <c r="L13" s="36">
        <f t="shared" ref="L13" si="24">K13</f>
        <v>156</v>
      </c>
      <c r="M13" s="12">
        <v>53</v>
      </c>
      <c r="N13" s="12">
        <v>101</v>
      </c>
    </row>
    <row r="14" spans="1:15" ht="45" customHeight="1">
      <c r="A14" s="28">
        <v>44449</v>
      </c>
      <c r="B14" s="38"/>
      <c r="C14" s="36">
        <f>[1]コスト!$P$147</f>
        <v>14897</v>
      </c>
      <c r="D14" s="36">
        <f t="shared" si="0"/>
        <v>14897</v>
      </c>
      <c r="E14" s="36">
        <f>[1]コスト!$P$23</f>
        <v>160</v>
      </c>
      <c r="F14" s="36">
        <f t="shared" si="0"/>
        <v>160</v>
      </c>
      <c r="G14" s="36">
        <f>[1]コスト!$P$115</f>
        <v>21515.054400000001</v>
      </c>
      <c r="H14" s="36">
        <f t="shared" ref="H14" si="25">G14</f>
        <v>21515.054400000001</v>
      </c>
      <c r="I14" s="36">
        <f>[1]コスト!$P$91</f>
        <v>943.40879999999993</v>
      </c>
      <c r="J14" s="36">
        <f t="shared" ref="J14" si="26">I14</f>
        <v>943.40879999999993</v>
      </c>
      <c r="K14" s="36">
        <f>[1]コスト!$P$41</f>
        <v>144</v>
      </c>
      <c r="L14" s="36">
        <f t="shared" ref="L14" si="27">K14</f>
        <v>144</v>
      </c>
      <c r="M14" s="12">
        <v>77</v>
      </c>
      <c r="N14" s="12">
        <v>195</v>
      </c>
    </row>
    <row r="15" spans="1:15" ht="45" customHeight="1">
      <c r="A15" s="28">
        <v>44450</v>
      </c>
      <c r="B15" s="38"/>
      <c r="C15" s="36">
        <f>[1]コスト!$Q$147</f>
        <v>15613</v>
      </c>
      <c r="D15" s="36">
        <f t="shared" si="0"/>
        <v>15613</v>
      </c>
      <c r="E15" s="36">
        <f>[1]コスト!$Q$23</f>
        <v>178</v>
      </c>
      <c r="F15" s="36">
        <f t="shared" si="0"/>
        <v>178</v>
      </c>
      <c r="G15" s="36">
        <f>[1]コスト!$Q$115</f>
        <v>24785.871599999999</v>
      </c>
      <c r="H15" s="36">
        <f t="shared" ref="H15" si="28">G15</f>
        <v>24785.871599999999</v>
      </c>
      <c r="I15" s="36">
        <f>[1]コスト!$Q$91</f>
        <v>995.07959999999991</v>
      </c>
      <c r="J15" s="36">
        <f t="shared" ref="J15" si="29">I15</f>
        <v>995.07959999999991</v>
      </c>
      <c r="K15" s="36">
        <f>[1]コスト!$Q$41</f>
        <v>161</v>
      </c>
      <c r="L15" s="36">
        <f t="shared" ref="L15" si="30">K15</f>
        <v>161</v>
      </c>
      <c r="M15" s="12">
        <v>111</v>
      </c>
      <c r="N15" s="12">
        <v>211</v>
      </c>
    </row>
    <row r="16" spans="1:15" ht="45" customHeight="1">
      <c r="A16" s="28">
        <v>44451</v>
      </c>
      <c r="B16" s="38"/>
      <c r="C16" s="36">
        <f>[1]コスト!$R$147</f>
        <v>15467</v>
      </c>
      <c r="D16" s="36">
        <f t="shared" si="0"/>
        <v>15467</v>
      </c>
      <c r="E16" s="36">
        <f>[1]コスト!$R$23</f>
        <v>175</v>
      </c>
      <c r="F16" s="36">
        <f t="shared" si="0"/>
        <v>175</v>
      </c>
      <c r="G16" s="36">
        <f>[1]コスト!$R$115</f>
        <v>24000.253199999999</v>
      </c>
      <c r="H16" s="36">
        <f t="shared" ref="H16" si="31">G16</f>
        <v>24000.253199999999</v>
      </c>
      <c r="I16" s="36">
        <f>[1]コスト!$R$91</f>
        <v>1098.4212</v>
      </c>
      <c r="J16" s="36">
        <f t="shared" ref="J16" si="32">I16</f>
        <v>1098.4212</v>
      </c>
      <c r="K16" s="36">
        <f>[1]コスト!$R$41</f>
        <v>164</v>
      </c>
      <c r="L16" s="36">
        <f t="shared" ref="L16" si="33">K16</f>
        <v>164</v>
      </c>
      <c r="M16" s="12">
        <v>49</v>
      </c>
      <c r="N16" s="12">
        <v>93</v>
      </c>
    </row>
    <row r="17" spans="1:26" ht="45" customHeight="1">
      <c r="A17" s="28">
        <v>44452</v>
      </c>
      <c r="B17" s="38"/>
      <c r="C17" s="36">
        <f>[1]コスト!$S$147</f>
        <v>14627</v>
      </c>
      <c r="D17" s="36">
        <f t="shared" si="0"/>
        <v>14627</v>
      </c>
      <c r="E17" s="36">
        <f>[1]コスト!$S$23</f>
        <v>165</v>
      </c>
      <c r="F17" s="36">
        <f t="shared" si="0"/>
        <v>165</v>
      </c>
      <c r="G17" s="36">
        <f>[1]コスト!$S$115</f>
        <v>19566.287400000001</v>
      </c>
      <c r="H17" s="36">
        <f t="shared" ref="H17" si="34">G17</f>
        <v>19566.287400000001</v>
      </c>
      <c r="I17" s="36">
        <f>[1]コスト!$S$91</f>
        <v>781.72919999999999</v>
      </c>
      <c r="J17" s="36">
        <f t="shared" ref="J17" si="35">I17</f>
        <v>781.72919999999999</v>
      </c>
      <c r="K17" s="36">
        <f>[1]コスト!$S$41</f>
        <v>129</v>
      </c>
      <c r="L17" s="36">
        <f t="shared" ref="L17" si="36">K17</f>
        <v>129</v>
      </c>
      <c r="M17" s="12">
        <v>64</v>
      </c>
      <c r="N17" s="12">
        <v>120</v>
      </c>
    </row>
    <row r="18" spans="1:26" ht="45" customHeight="1">
      <c r="A18" s="28">
        <v>44453</v>
      </c>
      <c r="B18" s="38"/>
      <c r="C18" s="36">
        <f>[1]コスト!$T$147</f>
        <v>14297</v>
      </c>
      <c r="D18" s="36">
        <f t="shared" si="0"/>
        <v>14297</v>
      </c>
      <c r="E18" s="36">
        <f>[1]コスト!$T$23</f>
        <v>142</v>
      </c>
      <c r="F18" s="36">
        <f t="shared" si="0"/>
        <v>142</v>
      </c>
      <c r="G18" s="36">
        <f>[1]コスト!$T$115</f>
        <v>15036.480599999999</v>
      </c>
      <c r="H18" s="36">
        <f t="shared" ref="H18" si="37">G18</f>
        <v>15036.480599999999</v>
      </c>
      <c r="I18" s="36">
        <f>[1]コスト!$T$91</f>
        <v>1268.4348</v>
      </c>
      <c r="J18" s="36">
        <f t="shared" ref="J18" si="38">I18</f>
        <v>1268.4348</v>
      </c>
      <c r="K18" s="36">
        <f>[1]コスト!$T$41</f>
        <v>116</v>
      </c>
      <c r="L18" s="36">
        <f t="shared" ref="L18" si="39">K18</f>
        <v>116</v>
      </c>
      <c r="M18" s="12">
        <v>60</v>
      </c>
      <c r="N18" s="12">
        <v>114</v>
      </c>
      <c r="Z18" s="37"/>
    </row>
    <row r="19" spans="1:26" ht="45" customHeight="1">
      <c r="A19" s="28">
        <v>44454</v>
      </c>
      <c r="B19" s="38"/>
      <c r="C19" s="36">
        <f>[1]コスト!$U$147</f>
        <v>14661</v>
      </c>
      <c r="D19" s="36">
        <f t="shared" si="0"/>
        <v>14661</v>
      </c>
      <c r="E19" s="36">
        <f>[1]コスト!$U$23</f>
        <v>143.19999999999999</v>
      </c>
      <c r="F19" s="36">
        <f t="shared" si="0"/>
        <v>143.19999999999999</v>
      </c>
      <c r="G19" s="36">
        <f>[1]コスト!$U$115</f>
        <v>16430.7588</v>
      </c>
      <c r="H19" s="36">
        <f t="shared" ref="H19" si="40">G19</f>
        <v>16430.7588</v>
      </c>
      <c r="I19" s="36">
        <f>[1]コスト!$U$91</f>
        <v>1344.2742000000001</v>
      </c>
      <c r="J19" s="36">
        <f t="shared" ref="J19" si="41">I19</f>
        <v>1344.2742000000001</v>
      </c>
      <c r="K19" s="36">
        <f>[1]コスト!$U$41</f>
        <v>115</v>
      </c>
      <c r="L19" s="36">
        <f t="shared" ref="L19" si="42">K19</f>
        <v>115</v>
      </c>
      <c r="M19" s="12">
        <v>57</v>
      </c>
      <c r="N19" s="12">
        <v>107</v>
      </c>
    </row>
    <row r="20" spans="1:26" ht="45" customHeight="1">
      <c r="A20" s="28">
        <v>44455</v>
      </c>
      <c r="B20" s="38"/>
      <c r="C20" s="36">
        <f>[1]コスト!$V$147</f>
        <v>14794</v>
      </c>
      <c r="D20" s="36">
        <f t="shared" si="0"/>
        <v>14794</v>
      </c>
      <c r="E20" s="36">
        <f>[1]コスト!$V$23</f>
        <v>164</v>
      </c>
      <c r="F20" s="36">
        <f t="shared" si="0"/>
        <v>164</v>
      </c>
      <c r="G20" s="36">
        <f>[1]コスト!$V$115</f>
        <v>13480.8006</v>
      </c>
      <c r="H20" s="36">
        <f t="shared" ref="H20" si="43">G20</f>
        <v>13480.8006</v>
      </c>
      <c r="I20" s="36">
        <f>[1]コスト!$V$91</f>
        <v>1489.2857999999999</v>
      </c>
      <c r="J20" s="36">
        <f t="shared" ref="J20" si="44">I20</f>
        <v>1489.2857999999999</v>
      </c>
      <c r="K20" s="36">
        <f>[1]コスト!$V$41</f>
        <v>136</v>
      </c>
      <c r="L20" s="36">
        <f t="shared" ref="L20" si="45">K20</f>
        <v>136</v>
      </c>
      <c r="M20" s="12">
        <v>66</v>
      </c>
      <c r="N20" s="12">
        <v>122</v>
      </c>
    </row>
    <row r="21" spans="1:26" ht="45" customHeight="1">
      <c r="A21" s="28">
        <v>44456</v>
      </c>
      <c r="B21" s="38"/>
      <c r="C21" s="36">
        <f>[1]コスト!$W$147</f>
        <v>15056</v>
      </c>
      <c r="D21" s="36">
        <f t="shared" si="0"/>
        <v>15056</v>
      </c>
      <c r="E21" s="36">
        <f>[1]コスト!$W$23</f>
        <v>182</v>
      </c>
      <c r="F21" s="36">
        <f t="shared" si="0"/>
        <v>182</v>
      </c>
      <c r="G21" s="36">
        <f>[1]コスト!$W$115</f>
        <v>14276.142</v>
      </c>
      <c r="H21" s="36">
        <f t="shared" ref="H21" si="46">G21</f>
        <v>14276.142</v>
      </c>
      <c r="I21" s="36">
        <f>[1]コスト!$W$91</f>
        <v>1597.9056</v>
      </c>
      <c r="J21" s="36">
        <f t="shared" ref="J21" si="47">I21</f>
        <v>1597.9056</v>
      </c>
      <c r="K21" s="36">
        <f>[1]コスト!$W$41</f>
        <v>151</v>
      </c>
      <c r="L21" s="36">
        <f t="shared" ref="L21" si="48">K21</f>
        <v>151</v>
      </c>
      <c r="M21" s="12">
        <v>98</v>
      </c>
      <c r="N21" s="12">
        <v>200</v>
      </c>
    </row>
    <row r="22" spans="1:26" ht="45" customHeight="1">
      <c r="A22" s="28">
        <v>44457</v>
      </c>
      <c r="B22" s="38"/>
      <c r="C22" s="36">
        <f>[1]コスト!$X$147</f>
        <v>15652</v>
      </c>
      <c r="D22" s="36">
        <f t="shared" si="0"/>
        <v>15652</v>
      </c>
      <c r="E22" s="36">
        <f>[1]コスト!$X$23</f>
        <v>182</v>
      </c>
      <c r="F22" s="36">
        <f t="shared" si="0"/>
        <v>182</v>
      </c>
      <c r="G22" s="36">
        <f>[1]コスト!$X$115</f>
        <v>24011.3652</v>
      </c>
      <c r="H22" s="36">
        <f t="shared" ref="H22" si="49">G22</f>
        <v>24011.3652</v>
      </c>
      <c r="I22" s="36">
        <f>[1]コスト!$X$91</f>
        <v>1346.2187999999999</v>
      </c>
      <c r="J22" s="36">
        <f t="shared" ref="J22" si="50">I22</f>
        <v>1346.2187999999999</v>
      </c>
      <c r="K22" s="36">
        <f>[1]コスト!$X$41</f>
        <v>173</v>
      </c>
      <c r="L22" s="36">
        <f t="shared" ref="L22" si="51">K22</f>
        <v>173</v>
      </c>
      <c r="M22" s="12">
        <v>142</v>
      </c>
      <c r="N22" s="12">
        <v>311</v>
      </c>
    </row>
    <row r="23" spans="1:26" ht="45" customHeight="1">
      <c r="A23" s="28">
        <v>44458</v>
      </c>
      <c r="B23" s="38"/>
      <c r="C23" s="36">
        <f>[1]コスト!$Y$147</f>
        <v>16082</v>
      </c>
      <c r="D23" s="36">
        <f t="shared" si="0"/>
        <v>16082</v>
      </c>
      <c r="E23" s="36">
        <f>[1]コスト!$Y$23</f>
        <v>173.1</v>
      </c>
      <c r="F23" s="36">
        <f t="shared" si="0"/>
        <v>173.1</v>
      </c>
      <c r="G23" s="36">
        <f>[1]コスト!$Y$115</f>
        <v>19684.3524</v>
      </c>
      <c r="H23" s="36">
        <f t="shared" ref="H23" si="52">G23</f>
        <v>19684.3524</v>
      </c>
      <c r="I23" s="36">
        <f>[1]コスト!$Y$91</f>
        <v>1397.8896</v>
      </c>
      <c r="J23" s="36">
        <f t="shared" ref="J23" si="53">I23</f>
        <v>1397.8896</v>
      </c>
      <c r="K23" s="36">
        <f>[1]コスト!$Y$41</f>
        <v>221</v>
      </c>
      <c r="L23" s="36">
        <f t="shared" ref="L23" si="54">K23</f>
        <v>221</v>
      </c>
      <c r="M23" s="12">
        <v>157</v>
      </c>
      <c r="N23" s="12">
        <v>354</v>
      </c>
    </row>
    <row r="24" spans="1:26" ht="45" customHeight="1">
      <c r="A24" s="28">
        <v>44459</v>
      </c>
      <c r="B24" s="38"/>
      <c r="C24" s="36">
        <f>[1]コスト!$Z$147</f>
        <v>15612</v>
      </c>
      <c r="D24" s="36">
        <f t="shared" si="0"/>
        <v>15612</v>
      </c>
      <c r="E24" s="36">
        <f>[1]コスト!$Z$23</f>
        <v>174</v>
      </c>
      <c r="F24" s="36">
        <f t="shared" si="0"/>
        <v>174</v>
      </c>
      <c r="G24" s="36">
        <f>[1]コスト!$Z$115</f>
        <v>16105.1772</v>
      </c>
      <c r="H24" s="36">
        <f t="shared" ref="H24" si="55">G24</f>
        <v>16105.1772</v>
      </c>
      <c r="I24" s="36">
        <f>[1]コスト!$Z$91</f>
        <v>1645.1315999999999</v>
      </c>
      <c r="J24" s="36">
        <f t="shared" ref="J24" si="56">I24</f>
        <v>1645.1315999999999</v>
      </c>
      <c r="K24" s="36">
        <f>[1]コスト!$Z$41</f>
        <v>196</v>
      </c>
      <c r="L24" s="36">
        <f t="shared" ref="L24" si="57">K24</f>
        <v>196</v>
      </c>
      <c r="M24" s="12">
        <v>69</v>
      </c>
      <c r="N24" s="12">
        <v>116</v>
      </c>
    </row>
    <row r="25" spans="1:26" ht="45" customHeight="1">
      <c r="A25" s="28">
        <v>44460</v>
      </c>
      <c r="B25" s="38"/>
      <c r="C25" s="36">
        <f>[1]コスト!$AA$147</f>
        <v>14738</v>
      </c>
      <c r="D25" s="36">
        <f t="shared" si="0"/>
        <v>14738</v>
      </c>
      <c r="E25" s="36">
        <f>[1]コスト!$AA$23</f>
        <v>139.19999999999999</v>
      </c>
      <c r="F25" s="36">
        <f t="shared" si="0"/>
        <v>139.19999999999999</v>
      </c>
      <c r="G25" s="36">
        <f>[1]コスト!$AA$115</f>
        <v>14436.1548</v>
      </c>
      <c r="H25" s="36">
        <f t="shared" ref="H25" si="58">G25</f>
        <v>14436.1548</v>
      </c>
      <c r="I25" s="36">
        <f>[1]コスト!$AA$91</f>
        <v>1430.9477999999999</v>
      </c>
      <c r="J25" s="36">
        <f t="shared" ref="J25" si="59">I25</f>
        <v>1430.9477999999999</v>
      </c>
      <c r="K25" s="36">
        <f>[1]コスト!$AA$41</f>
        <v>141</v>
      </c>
      <c r="L25" s="36">
        <f t="shared" ref="L25" si="60">K25</f>
        <v>141</v>
      </c>
      <c r="M25" s="12">
        <v>60</v>
      </c>
      <c r="N25" s="12">
        <v>113</v>
      </c>
    </row>
    <row r="26" spans="1:26" ht="45" customHeight="1">
      <c r="A26" s="28">
        <v>44461</v>
      </c>
      <c r="B26" s="38"/>
      <c r="C26" s="36">
        <f>[1]コスト!$AB$147</f>
        <v>14944</v>
      </c>
      <c r="D26" s="36">
        <f t="shared" si="0"/>
        <v>14944</v>
      </c>
      <c r="E26" s="36">
        <f>[1]コスト!$AB$23</f>
        <v>148</v>
      </c>
      <c r="F26" s="36">
        <f t="shared" si="0"/>
        <v>148</v>
      </c>
      <c r="G26" s="36">
        <f>[1]コスト!$AB$115</f>
        <v>22794.879000000001</v>
      </c>
      <c r="H26" s="36">
        <f t="shared" ref="H26" si="61">G26</f>
        <v>22794.879000000001</v>
      </c>
      <c r="I26" s="36">
        <f>[1]コスト!$AB$91</f>
        <v>982.57859999999994</v>
      </c>
      <c r="J26" s="36">
        <f t="shared" ref="J26" si="62">I26</f>
        <v>982.57859999999994</v>
      </c>
      <c r="K26" s="36">
        <f>[1]コスト!$AB$41</f>
        <v>143</v>
      </c>
      <c r="L26" s="36">
        <f t="shared" ref="L26" si="63">K26</f>
        <v>143</v>
      </c>
      <c r="M26" s="12"/>
      <c r="N26" s="12"/>
    </row>
    <row r="27" spans="1:26" ht="45" customHeight="1">
      <c r="A27" s="28">
        <v>44462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44463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44464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44465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44466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44467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44468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44469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2021-09-23T07:37:46Z</dcterms:modified>
</cp:coreProperties>
</file>