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J42" i="5" l="1"/>
  <c r="I42" i="5"/>
  <c r="I43" i="5" s="1"/>
  <c r="H42" i="5"/>
  <c r="G42" i="5"/>
  <c r="F42" i="5"/>
  <c r="E42" i="5"/>
  <c r="C42" i="5"/>
  <c r="B42" i="5"/>
  <c r="K39" i="5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C44" i="5" l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K9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<sst xmlns="http://schemas.openxmlformats.org/spreadsheetml/2006/main" count="108" uniqueCount="39">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</sst>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M10" sqref="M1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v>0</v>
      </c>
      <c r="F9" s="13">
        <v>0.11799999999999999</v>
      </c>
      <c r="G9" s="15">
        <v>0</v>
      </c>
      <c r="H9" s="13">
        <v>0.99</v>
      </c>
      <c r="I9" s="15">
        <v>0</v>
      </c>
      <c r="J9" s="13">
        <v>8.1000000000000003E-2</v>
      </c>
      <c r="K9" s="21">
        <f>'10 - 2022'!H15-'10 - 2022'!H14</f>
        <v>0</v>
      </c>
      <c r="L9" s="15"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0</v>
      </c>
      <c r="F10" s="13">
        <v>0.11799999999999999</v>
      </c>
      <c r="G10" s="15">
        <f>'10 - 2022'!D16-'10 - 2022'!D15+'10 - 2022'!E16-'10 - 2022'!E15</f>
        <v>0</v>
      </c>
      <c r="H10" s="13">
        <v>0.99</v>
      </c>
      <c r="I10" s="15">
        <f>'10 - 2022'!J16-'10 - 2022'!J15</f>
        <v>0</v>
      </c>
      <c r="J10" s="13">
        <v>8.1000000000000003E-2</v>
      </c>
      <c r="K10" s="21">
        <f>'10 - 2022'!H16-'10 - 2022'!H15</f>
        <v>0</v>
      </c>
      <c r="L10" s="15">
        <f>'10 - 2022'!I16-'10 - 2022'!I15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0</v>
      </c>
      <c r="F11" s="13">
        <v>0.11799999999999999</v>
      </c>
      <c r="G11" s="15">
        <f>'10 - 2022'!D17-'10 - 2022'!D16+'10 - 2022'!E17-'10 - 2022'!E16</f>
        <v>0</v>
      </c>
      <c r="H11" s="13">
        <v>0.99</v>
      </c>
      <c r="I11" s="15">
        <f>'10 - 2022'!J17-'10 - 2022'!J16</f>
        <v>0</v>
      </c>
      <c r="J11" s="13">
        <v>8.1000000000000003E-2</v>
      </c>
      <c r="K11" s="21">
        <f>'10 - 2022'!H17-'10 - 2022'!H16</f>
        <v>0</v>
      </c>
      <c r="L11" s="15">
        <f>'10 - 2022'!I17-'10 - 2022'!I16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0</v>
      </c>
      <c r="F12" s="13">
        <v>0.11799999999999999</v>
      </c>
      <c r="G12" s="15">
        <f>'10 - 2022'!D18-'10 - 2022'!D17+'10 - 2022'!E18-'10 - 2022'!E17</f>
        <v>0</v>
      </c>
      <c r="H12" s="13">
        <v>0.99</v>
      </c>
      <c r="I12" s="15">
        <f>'10 - 2022'!J18-'10 - 2022'!J17</f>
        <v>0</v>
      </c>
      <c r="J12" s="13">
        <v>8.1000000000000003E-2</v>
      </c>
      <c r="K12" s="21">
        <f>'10 - 2022'!H18-'10 - 2022'!H17</f>
        <v>0</v>
      </c>
      <c r="L12" s="15">
        <f>'10 - 2022'!I18-'10 - 2022'!I17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0</v>
      </c>
      <c r="F13" s="13">
        <v>0.11799999999999999</v>
      </c>
      <c r="G13" s="15">
        <f>'10 - 2022'!D19-'10 - 2022'!D18+'10 - 2022'!E19-'10 - 2022'!E18</f>
        <v>0</v>
      </c>
      <c r="H13" s="13">
        <v>0.99</v>
      </c>
      <c r="I13" s="15">
        <f>'10 - 2022'!J19-'10 - 2022'!J18</f>
        <v>0</v>
      </c>
      <c r="J13" s="13">
        <v>8.1000000000000003E-2</v>
      </c>
      <c r="K13" s="21">
        <f>'10 - 2022'!H19-'10 - 2022'!H18</f>
        <v>0</v>
      </c>
      <c r="L13" s="15">
        <f>'10 - 2022'!I19-'10 - 2022'!I18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0</v>
      </c>
      <c r="F14" s="13">
        <v>0.11799999999999999</v>
      </c>
      <c r="G14" s="15">
        <f>'10 - 2022'!D20-'10 - 2022'!D19+'10 - 2022'!E20-'10 - 2022'!E19</f>
        <v>0</v>
      </c>
      <c r="H14" s="13">
        <v>0.99</v>
      </c>
      <c r="I14" s="15">
        <f>'10 - 2022'!J20-'10 - 2022'!J19</f>
        <v>0</v>
      </c>
      <c r="J14" s="13">
        <v>8.1000000000000003E-2</v>
      </c>
      <c r="K14" s="21">
        <f>'10 - 2022'!H20-'10 - 2022'!H19</f>
        <v>0</v>
      </c>
      <c r="L14" s="15">
        <f>'10 - 2022'!I20-'10 - 2022'!I19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0</v>
      </c>
      <c r="F15" s="13">
        <v>0.11799999999999999</v>
      </c>
      <c r="G15" s="15">
        <f>'10 - 2022'!D21-'10 - 2022'!D20+'10 - 2022'!E21-'10 - 2022'!E20</f>
        <v>0</v>
      </c>
      <c r="H15" s="13">
        <v>0.99</v>
      </c>
      <c r="I15" s="15">
        <f>'10 - 2022'!J21-'10 - 2022'!J20</f>
        <v>0</v>
      </c>
      <c r="J15" s="13">
        <v>8.1000000000000003E-2</v>
      </c>
      <c r="K15" s="21">
        <f>'10 - 2022'!H21-'10 - 2022'!H20</f>
        <v>0</v>
      </c>
      <c r="L15" s="15">
        <f>'10 - 2022'!I21-'10 - 2022'!I20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0</v>
      </c>
      <c r="F16" s="13">
        <v>0.11799999999999999</v>
      </c>
      <c r="G16" s="15">
        <f>'10 - 2022'!D22-'10 - 2022'!D21+'10 - 2022'!E22-'10 - 2022'!E21</f>
        <v>0</v>
      </c>
      <c r="H16" s="13">
        <v>0.99</v>
      </c>
      <c r="I16" s="15">
        <f>'10 - 2022'!J22-'10 - 2022'!J21</f>
        <v>0</v>
      </c>
      <c r="J16" s="13">
        <v>8.1000000000000003E-2</v>
      </c>
      <c r="K16" s="21">
        <f>'10 - 2022'!H22-'10 - 2022'!H21</f>
        <v>0</v>
      </c>
      <c r="L16" s="15">
        <f>'10 - 2022'!I22-'10 - 2022'!I21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0</v>
      </c>
      <c r="F17" s="13">
        <v>0.11799999999999999</v>
      </c>
      <c r="G17" s="15">
        <f>'10 - 2022'!D23-'10 - 2022'!D22+'10 - 2022'!E23-'10 - 2022'!E22</f>
        <v>0</v>
      </c>
      <c r="H17" s="13">
        <v>0.99</v>
      </c>
      <c r="I17" s="15">
        <f>'10 - 2022'!J23-'10 - 2022'!J22</f>
        <v>0</v>
      </c>
      <c r="J17" s="13">
        <v>8.1000000000000003E-2</v>
      </c>
      <c r="K17" s="21">
        <f>'10 - 2022'!H23-'10 - 2022'!H22</f>
        <v>0</v>
      </c>
      <c r="L17" s="15">
        <f>'10 - 2022'!I23-'10 - 2022'!I22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0</v>
      </c>
      <c r="F18" s="13">
        <v>0.11799999999999999</v>
      </c>
      <c r="G18" s="15">
        <f>'10 - 2022'!D24-'10 - 2022'!D23+'10 - 2022'!E24-'10 - 2022'!E23</f>
        <v>0</v>
      </c>
      <c r="H18" s="13">
        <v>0.99</v>
      </c>
      <c r="I18" s="15">
        <f>'10 - 2022'!J24-'10 - 2022'!J23</f>
        <v>0</v>
      </c>
      <c r="J18" s="13">
        <v>8.1000000000000003E-2</v>
      </c>
      <c r="K18" s="21">
        <f>'10 - 2022'!H24-'10 - 2022'!H23</f>
        <v>0</v>
      </c>
      <c r="L18" s="15">
        <f>'10 - 2022'!I24-'10 - 2022'!I23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0</v>
      </c>
      <c r="F19" s="13">
        <v>0.11799999999999999</v>
      </c>
      <c r="G19" s="15">
        <f>'10 - 2022'!D25-'10 - 2022'!D24+'10 - 2022'!E25-'10 - 2022'!E24</f>
        <v>0</v>
      </c>
      <c r="H19" s="13">
        <v>0.99</v>
      </c>
      <c r="I19" s="15">
        <f>'10 - 2022'!J25-'10 - 2022'!J24</f>
        <v>0</v>
      </c>
      <c r="J19" s="13">
        <v>8.1000000000000003E-2</v>
      </c>
      <c r="K19" s="21">
        <f>'10 - 2022'!H25-'10 - 2022'!H24</f>
        <v>0</v>
      </c>
      <c r="L19" s="15">
        <f>'10 - 2022'!I25-'10 - 2022'!I24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0</v>
      </c>
      <c r="F20" s="13">
        <v>0.11799999999999999</v>
      </c>
      <c r="G20" s="15">
        <f>'10 - 2022'!D26-'10 - 2022'!D25+'10 - 2022'!E26-'10 - 2022'!E25</f>
        <v>0</v>
      </c>
      <c r="H20" s="13">
        <v>0.99</v>
      </c>
      <c r="I20" s="15">
        <f>'10 - 2022'!J26-'10 - 2022'!J25</f>
        <v>0</v>
      </c>
      <c r="J20" s="13">
        <v>8.1000000000000003E-2</v>
      </c>
      <c r="K20" s="21">
        <f>'10 - 2022'!H26-'10 - 2022'!H25</f>
        <v>0</v>
      </c>
      <c r="L20" s="15">
        <f>'10 - 2022'!I26-'10 - 2022'!I25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0</v>
      </c>
      <c r="F21" s="13">
        <v>0.11799999999999999</v>
      </c>
      <c r="G21" s="15">
        <f>'10 - 2022'!D27-'10 - 2022'!D26+'10 - 2022'!E27-'10 - 2022'!E26</f>
        <v>0</v>
      </c>
      <c r="H21" s="13">
        <v>0.99</v>
      </c>
      <c r="I21" s="15">
        <f>'10 - 2022'!J27-'10 - 2022'!J26</f>
        <v>0</v>
      </c>
      <c r="J21" s="13">
        <v>8.1000000000000003E-2</v>
      </c>
      <c r="K21" s="21">
        <f>'10 - 2022'!H27-'10 - 2022'!H26</f>
        <v>0</v>
      </c>
      <c r="L21" s="15">
        <f>'10 - 2022'!I27-'10 - 2022'!I26</f>
        <v>0</v>
      </c>
      <c r="M21" s="14">
        <v>4.393629424766913</v>
      </c>
      <c r="N21" s="40"/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0</v>
      </c>
      <c r="F22" s="13">
        <v>0.11799999999999999</v>
      </c>
      <c r="G22" s="15">
        <f>'10 - 2022'!D28-'10 - 2022'!D27+'10 - 2022'!E28-'10 - 2022'!E27</f>
        <v>0</v>
      </c>
      <c r="H22" s="13">
        <v>0.99</v>
      </c>
      <c r="I22" s="15">
        <f>'10 - 2022'!J28-'10 - 2022'!J27</f>
        <v>0</v>
      </c>
      <c r="J22" s="13">
        <v>8.1000000000000003E-2</v>
      </c>
      <c r="K22" s="21">
        <f>'10 - 2022'!H28-'10 - 2022'!H27</f>
        <v>0</v>
      </c>
      <c r="L22" s="15">
        <f>'10 - 2022'!I28-'10 - 2022'!I27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0</v>
      </c>
      <c r="F23" s="13">
        <v>0.11799999999999999</v>
      </c>
      <c r="G23" s="15">
        <f>'10 - 2022'!D29-'10 - 2022'!D28+'10 - 2022'!E29-'10 - 2022'!E28</f>
        <v>0</v>
      </c>
      <c r="H23" s="13">
        <v>0.99</v>
      </c>
      <c r="I23" s="15">
        <f>'10 - 2022'!J29-'10 - 2022'!J28</f>
        <v>0</v>
      </c>
      <c r="J23" s="13">
        <v>8.1000000000000003E-2</v>
      </c>
      <c r="K23" s="21">
        <f>'10 - 2022'!H29-'10 - 2022'!H28</f>
        <v>0</v>
      </c>
      <c r="L23" s="15">
        <f>'10 - 2022'!I29-'10 - 2022'!I28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9" sqref="K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v>0</v>
      </c>
      <c r="F9" s="15">
        <v>0</v>
      </c>
      <c r="G9" s="13">
        <v>0.11799999999999999</v>
      </c>
      <c r="H9" s="15">
        <v>0</v>
      </c>
      <c r="I9" s="15">
        <v>0</v>
      </c>
      <c r="J9" s="15"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0</v>
      </c>
      <c r="F10" s="15">
        <f>'10 - 2022'!C16-'10 - 2022'!C15</f>
        <v>0</v>
      </c>
      <c r="G10" s="13">
        <v>0.11799999999999999</v>
      </c>
      <c r="H10" s="15">
        <f>'10 - 2022'!E16-'10 - 2022'!E15</f>
        <v>0</v>
      </c>
      <c r="I10" s="15">
        <f>'10 - 2022'!F16-'10 - 2022'!F15</f>
        <v>0</v>
      </c>
      <c r="J10" s="15">
        <f>'10 - 2022'!G16-'10 - 2022'!G15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0</v>
      </c>
      <c r="F11" s="15">
        <f>'10 - 2022'!C17-'10 - 2022'!C16</f>
        <v>0</v>
      </c>
      <c r="G11" s="13">
        <v>0.11799999999999999</v>
      </c>
      <c r="H11" s="15">
        <f>'10 - 2022'!E17-'10 - 2022'!E16</f>
        <v>0</v>
      </c>
      <c r="I11" s="15">
        <f>'10 - 2022'!F17-'10 - 2022'!F16</f>
        <v>0</v>
      </c>
      <c r="J11" s="15">
        <f>'10 - 2022'!G17-'10 - 2022'!G16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0</v>
      </c>
      <c r="F12" s="15">
        <f>'10 - 2022'!C18-'10 - 2022'!C17</f>
        <v>0</v>
      </c>
      <c r="G12" s="13">
        <v>0.11799999999999999</v>
      </c>
      <c r="H12" s="15">
        <f>'10 - 2022'!E18-'10 - 2022'!E17</f>
        <v>0</v>
      </c>
      <c r="I12" s="15">
        <f>'10 - 2022'!F18-'10 - 2022'!F17</f>
        <v>0</v>
      </c>
      <c r="J12" s="15">
        <f>'10 - 2022'!G18-'10 - 2022'!G17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0</v>
      </c>
      <c r="F13" s="15">
        <f>'10 - 2022'!C19-'10 - 2022'!C18</f>
        <v>0</v>
      </c>
      <c r="G13" s="13">
        <v>0.11799999999999999</v>
      </c>
      <c r="H13" s="15">
        <f>'10 - 2022'!E19-'10 - 2022'!E18</f>
        <v>0</v>
      </c>
      <c r="I13" s="15">
        <f>'10 - 2022'!F19-'10 - 2022'!F18</f>
        <v>0</v>
      </c>
      <c r="J13" s="15">
        <f>'10 - 2022'!G19-'10 - 2022'!G18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0</v>
      </c>
      <c r="F14" s="15">
        <f>'10 - 2022'!C20-'10 - 2022'!C19</f>
        <v>0</v>
      </c>
      <c r="G14" s="13">
        <v>0.11799999999999999</v>
      </c>
      <c r="H14" s="15">
        <f>'10 - 2022'!E20-'10 - 2022'!E19</f>
        <v>0</v>
      </c>
      <c r="I14" s="15">
        <f>'10 - 2022'!F20-'10 - 2022'!F19</f>
        <v>0</v>
      </c>
      <c r="J14" s="15">
        <f>'10 - 2022'!G20-'10 - 2022'!G19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0</v>
      </c>
      <c r="F15" s="15">
        <f>'10 - 2022'!C21-'10 - 2022'!C20</f>
        <v>0</v>
      </c>
      <c r="G15" s="13">
        <v>0.11799999999999999</v>
      </c>
      <c r="H15" s="15">
        <f>'10 - 2022'!E21-'10 - 2022'!E20</f>
        <v>0</v>
      </c>
      <c r="I15" s="15">
        <f>'10 - 2022'!F21-'10 - 2022'!F20</f>
        <v>0</v>
      </c>
      <c r="J15" s="15">
        <f>'10 - 2022'!G21-'10 - 2022'!G20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0</v>
      </c>
      <c r="F16" s="15">
        <f>'10 - 2022'!C22-'10 - 2022'!C21</f>
        <v>0</v>
      </c>
      <c r="G16" s="13">
        <v>0.11799999999999999</v>
      </c>
      <c r="H16" s="15">
        <f>'10 - 2022'!E22-'10 - 2022'!E21</f>
        <v>0</v>
      </c>
      <c r="I16" s="15">
        <f>'10 - 2022'!F22-'10 - 2022'!F21</f>
        <v>0</v>
      </c>
      <c r="J16" s="15">
        <f>'10 - 2022'!G22-'10 - 2022'!G21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0</v>
      </c>
      <c r="F17" s="15">
        <f>'10 - 2022'!C23-'10 - 2022'!C22</f>
        <v>0</v>
      </c>
      <c r="G17" s="13">
        <v>0.11799999999999999</v>
      </c>
      <c r="H17" s="15">
        <f>'10 - 2022'!E23-'10 - 2022'!E22</f>
        <v>0</v>
      </c>
      <c r="I17" s="15">
        <f>'10 - 2022'!F23-'10 - 2022'!F22</f>
        <v>0</v>
      </c>
      <c r="J17" s="15">
        <f>'10 - 2022'!G23-'10 - 2022'!G22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0</v>
      </c>
      <c r="F18" s="15">
        <f>'10 - 2022'!C24-'10 - 2022'!C23</f>
        <v>0</v>
      </c>
      <c r="G18" s="13">
        <v>0.11799999999999999</v>
      </c>
      <c r="H18" s="15">
        <f>'10 - 2022'!E24-'10 - 2022'!E23</f>
        <v>0</v>
      </c>
      <c r="I18" s="15">
        <f>'10 - 2022'!F24-'10 - 2022'!F23</f>
        <v>0</v>
      </c>
      <c r="J18" s="15">
        <f>'10 - 2022'!G24-'10 - 2022'!G23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0</v>
      </c>
      <c r="F19" s="15">
        <f>'10 - 2022'!C25-'10 - 2022'!C24</f>
        <v>0</v>
      </c>
      <c r="G19" s="13">
        <v>0.11799999999999999</v>
      </c>
      <c r="H19" s="15">
        <f>'10 - 2022'!E25-'10 - 2022'!E24</f>
        <v>0</v>
      </c>
      <c r="I19" s="15">
        <f>'10 - 2022'!F25-'10 - 2022'!F24</f>
        <v>0</v>
      </c>
      <c r="J19" s="15">
        <f>'10 - 2022'!G25-'10 - 2022'!G24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0</v>
      </c>
      <c r="F20" s="15">
        <f>'10 - 2022'!C26-'10 - 2022'!C25</f>
        <v>0</v>
      </c>
      <c r="G20" s="13">
        <v>0.11799999999999999</v>
      </c>
      <c r="H20" s="15">
        <f>'10 - 2022'!E26-'10 - 2022'!E25</f>
        <v>0</v>
      </c>
      <c r="I20" s="15">
        <f>'10 - 2022'!F26-'10 - 2022'!F25</f>
        <v>0</v>
      </c>
      <c r="J20" s="15">
        <f>'10 - 2022'!G26-'10 - 2022'!G25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0</v>
      </c>
      <c r="F21" s="15">
        <f>'10 - 2022'!C27-'10 - 2022'!C26</f>
        <v>0</v>
      </c>
      <c r="G21" s="13">
        <v>0.11799999999999999</v>
      </c>
      <c r="H21" s="15">
        <f>'10 - 2022'!E27-'10 - 2022'!E26</f>
        <v>0</v>
      </c>
      <c r="I21" s="15">
        <f>'10 - 2022'!F27-'10 - 2022'!F26</f>
        <v>0</v>
      </c>
      <c r="J21" s="15">
        <f>'10 - 2022'!G27-'10 - 2022'!G26</f>
        <v>0</v>
      </c>
      <c r="K21" s="13">
        <v>0.74</v>
      </c>
      <c r="L21" s="40"/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0</v>
      </c>
      <c r="F22" s="15">
        <f>'10 - 2022'!C28-'10 - 2022'!C27</f>
        <v>0</v>
      </c>
      <c r="G22" s="13">
        <v>0.11799999999999999</v>
      </c>
      <c r="H22" s="15">
        <f>'10 - 2022'!E28-'10 - 2022'!E27</f>
        <v>0</v>
      </c>
      <c r="I22" s="15">
        <f>'10 - 2022'!F28-'10 - 2022'!F27</f>
        <v>0</v>
      </c>
      <c r="J22" s="15">
        <f>'10 - 2022'!G28-'10 - 2022'!G27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0</v>
      </c>
      <c r="F23" s="15">
        <f>'10 - 2022'!C29-'10 - 2022'!C28</f>
        <v>0</v>
      </c>
      <c r="G23" s="13">
        <v>0.11799999999999999</v>
      </c>
      <c r="H23" s="15">
        <f>'10 - 2022'!E29-'10 - 2022'!E28</f>
        <v>0</v>
      </c>
      <c r="I23" s="15">
        <f>'10 - 2022'!F29-'10 - 2022'!F28</f>
        <v>0</v>
      </c>
      <c r="J23" s="15">
        <f>'10 - 2022'!G29-'10 - 2022'!G28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E31" sqref="E3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5"/>
      <c r="L3" s="55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5"/>
      <c r="L4" s="55"/>
    </row>
    <row r="5" spans="1:17" ht="16.5" thickBot="1" x14ac:dyDescent="0.3">
      <c r="A5" s="56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/>
      <c r="C15" s="46"/>
      <c r="D15" s="45"/>
      <c r="E15" s="44"/>
      <c r="F15" s="75"/>
      <c r="G15" s="44"/>
      <c r="H15" s="46">
        <v>14528</v>
      </c>
      <c r="I15" s="46"/>
      <c r="J15" s="46"/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/>
      <c r="C16" s="46"/>
      <c r="D16" s="45"/>
      <c r="E16" s="44"/>
      <c r="F16" s="75"/>
      <c r="G16" s="44"/>
      <c r="H16" s="46">
        <v>14528</v>
      </c>
      <c r="I16" s="46"/>
      <c r="J16" s="46"/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/>
      <c r="C17" s="44"/>
      <c r="D17" s="45"/>
      <c r="E17" s="44"/>
      <c r="F17" s="75"/>
      <c r="G17" s="44"/>
      <c r="H17" s="46">
        <v>14528</v>
      </c>
      <c r="I17" s="44"/>
      <c r="J17" s="44"/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/>
      <c r="C18" s="46"/>
      <c r="D18" s="45"/>
      <c r="E18" s="44"/>
      <c r="F18" s="44"/>
      <c r="G18" s="44"/>
      <c r="H18" s="46">
        <v>14528</v>
      </c>
      <c r="I18" s="46"/>
      <c r="J18" s="46"/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/>
      <c r="C19" s="50"/>
      <c r="D19" s="45"/>
      <c r="E19" s="44"/>
      <c r="F19" s="44"/>
      <c r="G19" s="51"/>
      <c r="H19" s="46">
        <v>14528</v>
      </c>
      <c r="I19" s="50"/>
      <c r="J19" s="50"/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/>
      <c r="C20" s="50"/>
      <c r="D20" s="45"/>
      <c r="E20" s="46"/>
      <c r="F20" s="46"/>
      <c r="G20" s="51"/>
      <c r="H20" s="46">
        <v>14528</v>
      </c>
      <c r="I20" s="50"/>
      <c r="J20" s="50"/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/>
      <c r="C21" s="50"/>
      <c r="D21" s="45"/>
      <c r="E21" s="51"/>
      <c r="F21" s="44"/>
      <c r="G21" s="51"/>
      <c r="H21" s="46">
        <v>14528</v>
      </c>
      <c r="I21" s="50"/>
      <c r="J21" s="50"/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/>
      <c r="C22" s="76"/>
      <c r="D22" s="45"/>
      <c r="E22" s="44"/>
      <c r="F22" s="44"/>
      <c r="G22" s="51"/>
      <c r="H22" s="46">
        <v>14528</v>
      </c>
      <c r="I22" s="51"/>
      <c r="J22" s="50"/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/>
      <c r="C23" s="50"/>
      <c r="D23" s="45"/>
      <c r="E23" s="51"/>
      <c r="F23" s="44"/>
      <c r="G23" s="51"/>
      <c r="H23" s="46">
        <v>14528</v>
      </c>
      <c r="I23" s="50"/>
      <c r="J23" s="50"/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/>
      <c r="C24" s="50"/>
      <c r="D24" s="45"/>
      <c r="E24" s="51"/>
      <c r="F24" s="44"/>
      <c r="G24" s="51"/>
      <c r="H24" s="46">
        <v>14528</v>
      </c>
      <c r="I24" s="50"/>
      <c r="J24" s="50"/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/>
      <c r="C25" s="51"/>
      <c r="D25" s="45"/>
      <c r="E25" s="51"/>
      <c r="F25" s="44"/>
      <c r="G25" s="51"/>
      <c r="H25" s="46">
        <v>14528</v>
      </c>
      <c r="I25" s="50"/>
      <c r="J25" s="50"/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/>
      <c r="C26" s="51"/>
      <c r="D26" s="49"/>
      <c r="E26" s="51"/>
      <c r="F26" s="44"/>
      <c r="G26" s="51"/>
      <c r="H26" s="46">
        <v>14528</v>
      </c>
      <c r="I26" s="50"/>
      <c r="J26" s="50"/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/>
      <c r="C27" s="50"/>
      <c r="D27" s="45"/>
      <c r="E27" s="51"/>
      <c r="F27" s="44"/>
      <c r="G27" s="51"/>
      <c r="H27" s="46">
        <v>14528</v>
      </c>
      <c r="I27" s="50"/>
      <c r="J27" s="50"/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/>
      <c r="C28" s="50"/>
      <c r="D28" s="45"/>
      <c r="E28" s="51"/>
      <c r="F28" s="44"/>
      <c r="G28" s="51"/>
      <c r="H28" s="46">
        <v>14528</v>
      </c>
      <c r="I28" s="50"/>
      <c r="J28" s="50"/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  <row r="42" spans="1:16" x14ac:dyDescent="0.25">
      <c r="A42" s="92"/>
      <c r="B42" s="93">
        <f>B32-B10</f>
        <v>-619737</v>
      </c>
      <c r="C42" s="93">
        <f>C32-C10</f>
        <v>-637450</v>
      </c>
      <c r="D42" s="92"/>
      <c r="E42" s="93" t="e">
        <f>E32-#REF!</f>
        <v>#REF!</v>
      </c>
      <c r="F42" s="93">
        <f>F32-F10</f>
        <v>-3383.63</v>
      </c>
      <c r="G42" s="93">
        <f>G32-G10</f>
        <v>-46182.11</v>
      </c>
      <c r="H42" s="93">
        <f>H32-H10</f>
        <v>0</v>
      </c>
      <c r="I42" s="93">
        <f t="shared" ref="I42:J42" si="2">I32-I10</f>
        <v>-172777</v>
      </c>
      <c r="J42" s="93">
        <f t="shared" si="2"/>
        <v>-60261167</v>
      </c>
      <c r="K42" s="92"/>
      <c r="L42" s="92"/>
    </row>
    <row r="43" spans="1:16" x14ac:dyDescent="0.25">
      <c r="A43" s="55"/>
      <c r="B43" s="55"/>
      <c r="C43" s="55"/>
      <c r="D43" s="55"/>
      <c r="E43" s="55"/>
      <c r="F43" s="55"/>
      <c r="G43" s="55"/>
      <c r="H43" s="55"/>
      <c r="I43" s="38">
        <f>I42*219.969</f>
        <v>-38005583.913000003</v>
      </c>
      <c r="J43" s="55">
        <v>768611</v>
      </c>
      <c r="K43" s="55"/>
      <c r="L43" s="55"/>
    </row>
    <row r="44" spans="1:16" x14ac:dyDescent="0.25">
      <c r="A44" s="55"/>
      <c r="B44" s="55"/>
      <c r="C44" s="90">
        <f>C42+B42</f>
        <v>-1257187</v>
      </c>
      <c r="D44" s="55"/>
      <c r="E44" s="55"/>
      <c r="F44" s="55"/>
      <c r="G44" s="55"/>
      <c r="H44" s="55"/>
      <c r="I44" s="55">
        <v>450276.54300000001</v>
      </c>
      <c r="J44" s="55"/>
      <c r="K44" s="55"/>
      <c r="L44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2022-10-07T05:05:51Z</dcterms:modified>
</cp:coreProperties>
</file>