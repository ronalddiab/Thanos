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82" i="4" l="1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S186" i="4"/>
  <c r="R186" i="4"/>
  <c r="O186" i="4"/>
  <c r="J186" i="4"/>
  <c r="K186" i="4" s="1"/>
  <c r="S185" i="4"/>
  <c r="R185" i="4"/>
  <c r="O185" i="4"/>
  <c r="Q207" i="4"/>
  <c r="J185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F176" i="1" s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<sst xmlns="http://schemas.openxmlformats.org/spreadsheetml/2006/main" count="606" uniqueCount="76">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</sst>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43" workbookViewId="0">
      <selection activeCell="R163" sqref="R163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4">
        <v>0.67</v>
      </c>
      <c r="G149" s="4">
        <f>'Gas Water'!M151</f>
        <v>1774</v>
      </c>
      <c r="H149" s="154">
        <v>1.77</v>
      </c>
      <c r="I149" s="2">
        <f>'Gas Water'!L151</f>
        <v>154</v>
      </c>
      <c r="J149" s="154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4">
        <v>0.67</v>
      </c>
      <c r="G150" s="4">
        <f>'Gas Water'!M152</f>
        <v>2103</v>
      </c>
      <c r="H150" s="154">
        <v>1.77</v>
      </c>
      <c r="I150" s="2">
        <f>'Gas Water'!L152</f>
        <v>143</v>
      </c>
      <c r="J150" s="154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4">
        <v>0.67</v>
      </c>
      <c r="G151" s="4">
        <f>'Gas Water'!M153</f>
        <v>1923</v>
      </c>
      <c r="H151" s="154">
        <v>1.77</v>
      </c>
      <c r="I151" s="2">
        <f>'Gas Water'!L153</f>
        <v>171</v>
      </c>
      <c r="J151" s="154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4">
        <v>0.67</v>
      </c>
      <c r="G152" s="4">
        <f>'Gas Water'!M154</f>
        <v>2072</v>
      </c>
      <c r="H152" s="154">
        <v>1.77</v>
      </c>
      <c r="I152" s="2">
        <f>'Gas Water'!L154</f>
        <v>220</v>
      </c>
      <c r="J152" s="154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4">
        <v>0.75</v>
      </c>
      <c r="G153" s="4">
        <f>'Gas Water'!M155</f>
        <v>1816</v>
      </c>
      <c r="H153" s="154">
        <v>1.85</v>
      </c>
      <c r="I153" s="2">
        <f>'Gas Water'!L155</f>
        <v>137</v>
      </c>
      <c r="J153" s="154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4">
        <v>0.75</v>
      </c>
      <c r="G154" s="4">
        <f>'Gas Water'!M156</f>
        <v>1894</v>
      </c>
      <c r="H154" s="154">
        <v>1.85</v>
      </c>
      <c r="I154" s="2">
        <f>'Gas Water'!L156</f>
        <v>169</v>
      </c>
      <c r="J154" s="154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4">
        <v>0.75</v>
      </c>
      <c r="G155" s="4">
        <f>'Gas Water'!M157</f>
        <v>2090</v>
      </c>
      <c r="H155" s="154">
        <v>1.85</v>
      </c>
      <c r="I155" s="2">
        <f>'Gas Water'!L157</f>
        <v>161</v>
      </c>
      <c r="J155" s="154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4">
        <v>0.75</v>
      </c>
      <c r="G156" s="4">
        <f>'Gas Water'!M158</f>
        <v>1843</v>
      </c>
      <c r="H156" s="154">
        <v>1.85</v>
      </c>
      <c r="I156" s="2">
        <f>'Gas Water'!L158</f>
        <v>218</v>
      </c>
      <c r="J156" s="154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4">
        <v>0.75</v>
      </c>
      <c r="G157" s="4">
        <f>'Gas Water'!M159</f>
        <v>1664</v>
      </c>
      <c r="H157" s="154">
        <v>1.85</v>
      </c>
      <c r="I157" s="2">
        <f>'Gas Water'!L159</f>
        <v>127</v>
      </c>
      <c r="J157" s="154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4">
        <v>0.75</v>
      </c>
      <c r="G158" s="4">
        <f>'Gas Water'!M160</f>
        <v>1481</v>
      </c>
      <c r="H158" s="154">
        <v>1.85</v>
      </c>
      <c r="I158" s="2">
        <f>'Gas Water'!L160</f>
        <v>154</v>
      </c>
      <c r="J158" s="154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4">
        <v>0.75</v>
      </c>
      <c r="G159" s="4">
        <f>'Gas Water'!M161</f>
        <v>1578</v>
      </c>
      <c r="H159" s="154">
        <v>1.85</v>
      </c>
      <c r="I159" s="2">
        <f>'Gas Water'!L161</f>
        <v>162</v>
      </c>
      <c r="J159" s="154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4">
        <v>0.75</v>
      </c>
      <c r="G160" s="4">
        <f>'Gas Water'!M162</f>
        <v>996</v>
      </c>
      <c r="H160" s="154">
        <v>1.85</v>
      </c>
      <c r="I160" s="2">
        <f>'Gas Water'!L162</f>
        <v>185</v>
      </c>
      <c r="J160" s="154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4">
        <v>0.75</v>
      </c>
      <c r="G161" s="4">
        <f>'Gas Water'!M163</f>
        <v>1611</v>
      </c>
      <c r="H161" s="154">
        <v>1.85</v>
      </c>
      <c r="I161" s="2">
        <f>'Gas Water'!L163</f>
        <v>229</v>
      </c>
      <c r="J161" s="154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4">
        <v>0.75</v>
      </c>
      <c r="G162" s="4">
        <f>'Gas Water'!M164</f>
        <v>1798</v>
      </c>
      <c r="H162" s="154">
        <v>1.85</v>
      </c>
      <c r="I162" s="2">
        <f>'Gas Water'!L164</f>
        <v>275</v>
      </c>
      <c r="J162" s="154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4">
        <v>0.75</v>
      </c>
      <c r="G163" s="4">
        <f>'Gas Water'!M165</f>
        <v>1793</v>
      </c>
      <c r="H163" s="154">
        <v>1.85</v>
      </c>
      <c r="I163" s="2">
        <f>'Gas Water'!L165</f>
        <v>236</v>
      </c>
      <c r="J163" s="154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4">
        <v>0.75</v>
      </c>
      <c r="G164" s="4">
        <f>'Gas Water'!M166</f>
        <v>2190</v>
      </c>
      <c r="H164" s="154">
        <v>1.85</v>
      </c>
      <c r="I164" s="2">
        <f>'Gas Water'!L166</f>
        <v>215</v>
      </c>
      <c r="J164" s="154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4">
        <v>0.75</v>
      </c>
      <c r="G165" s="4">
        <f>'Gas Water'!M167</f>
        <v>1995</v>
      </c>
      <c r="H165" s="154">
        <v>1.85</v>
      </c>
      <c r="I165" s="2">
        <f>'Gas Water'!L167</f>
        <v>209</v>
      </c>
      <c r="J165" s="154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4">
        <v>0.75</v>
      </c>
      <c r="G166" s="4">
        <f>'Gas Water'!M168</f>
        <v>1986</v>
      </c>
      <c r="H166" s="154">
        <v>1.85</v>
      </c>
      <c r="I166" s="2">
        <f>'Gas Water'!L168</f>
        <v>185</v>
      </c>
      <c r="J166" s="154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4">
        <v>0.75</v>
      </c>
      <c r="G167" s="4">
        <f>'Gas Water'!M169</f>
        <v>2127</v>
      </c>
      <c r="H167" s="154">
        <v>1.85</v>
      </c>
      <c r="I167" s="2">
        <f>'Gas Water'!L169</f>
        <v>156</v>
      </c>
      <c r="J167" s="154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4">
        <v>0.75</v>
      </c>
      <c r="G168" s="4">
        <f>'Gas Water'!M170</f>
        <v>1552</v>
      </c>
      <c r="H168" s="154">
        <v>1.85</v>
      </c>
      <c r="I168" s="2">
        <f>'Gas Water'!L170</f>
        <v>144</v>
      </c>
      <c r="J168" s="154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4">
        <v>0.75</v>
      </c>
      <c r="G169" s="4">
        <f>'Gas Water'!M171</f>
        <v>1556</v>
      </c>
      <c r="H169" s="154">
        <v>1.85</v>
      </c>
      <c r="I169" s="2">
        <f>'Gas Water'!L171</f>
        <v>184</v>
      </c>
      <c r="J169" s="154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4">
        <v>0.75</v>
      </c>
      <c r="G170" s="4">
        <f>'Gas Water'!M172</f>
        <v>1841</v>
      </c>
      <c r="H170" s="154">
        <v>1.85</v>
      </c>
      <c r="I170" s="2">
        <f>'Gas Water'!L172</f>
        <v>148</v>
      </c>
      <c r="J170" s="154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4">
        <v>0.75</v>
      </c>
      <c r="G171" s="4">
        <f>'Gas Water'!M173</f>
        <v>1706</v>
      </c>
      <c r="H171" s="154">
        <v>1.85</v>
      </c>
      <c r="I171" s="2">
        <f>'Gas Water'!L173</f>
        <v>170</v>
      </c>
      <c r="J171" s="154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4">
        <v>0.75</v>
      </c>
      <c r="G172" s="4">
        <f>'Gas Water'!M174</f>
        <v>2361</v>
      </c>
      <c r="H172" s="154">
        <v>1.85</v>
      </c>
      <c r="I172" s="2">
        <f>'Gas Water'!L174</f>
        <v>170</v>
      </c>
      <c r="J172" s="154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4">
        <v>0.75</v>
      </c>
      <c r="G173" s="4">
        <f>'Gas Water'!M175</f>
        <v>2032</v>
      </c>
      <c r="H173" s="154">
        <v>1.85</v>
      </c>
      <c r="I173" s="2">
        <f>'Gas Water'!L175</f>
        <v>194</v>
      </c>
      <c r="J173" s="154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4">
        <f>('Electricity '!I175*0.55+'Gas Water'!H176*1.88)/(Total!E174)</f>
        <v>0.55000000000000004</v>
      </c>
      <c r="G174" s="4">
        <f>'Gas Water'!M176</f>
        <v>1637</v>
      </c>
      <c r="H174" s="154">
        <v>1.88</v>
      </c>
      <c r="I174" s="2">
        <f>'Gas Water'!L176</f>
        <v>213</v>
      </c>
      <c r="J174" s="154">
        <v>11.3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54" workbookViewId="0">
      <selection activeCell="R163" sqref="R163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7" t="s">
        <v>23</v>
      </c>
      <c r="O149" s="19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99"/>
      <c r="O150" s="199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76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7" t="s">
        <v>21</v>
      </c>
      <c r="O175" s="197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8"/>
      <c r="O176" s="198"/>
      <c r="Q176" s="20">
        <f t="shared" si="12"/>
        <v>0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ref="L177:L196" si="15">IF(G177="","",+(G176-G177))</f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5"/>
        <v/>
      </c>
      <c r="M178" s="30" t="str">
        <f t="shared" si="11"/>
        <v/>
      </c>
      <c r="N178" s="32">
        <f>SUM(L156:L185)</f>
        <v>3904</v>
      </c>
      <c r="O178" s="32">
        <f>SUM(M156:M185)</f>
        <v>37731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5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5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5"/>
        <v/>
      </c>
      <c r="M181" s="30" t="str">
        <f t="shared" si="11"/>
        <v/>
      </c>
      <c r="N181" s="32">
        <f>AVERAGE(L156:L185)</f>
        <v>185.9047619047619</v>
      </c>
      <c r="O181" s="32">
        <f>AVERAGE(M156:M185)</f>
        <v>1796.7142857142858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5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5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5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6">IF(C186="","",+(C186-C185))</f>
        <v/>
      </c>
      <c r="I186" s="28" t="str">
        <f t="shared" si="16"/>
        <v/>
      </c>
      <c r="J186" s="28" t="str">
        <f t="shared" si="16"/>
        <v/>
      </c>
      <c r="K186" s="28" t="str">
        <f t="shared" si="16"/>
        <v/>
      </c>
      <c r="L186" s="29" t="str">
        <f t="shared" si="15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6"/>
        <v/>
      </c>
      <c r="I187" s="28" t="str">
        <f t="shared" si="16"/>
        <v/>
      </c>
      <c r="J187" s="28" t="str">
        <f t="shared" si="16"/>
        <v/>
      </c>
      <c r="K187" s="28" t="str">
        <f t="shared" si="16"/>
        <v/>
      </c>
      <c r="L187" s="29" t="str">
        <f t="shared" si="15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6"/>
        <v/>
      </c>
      <c r="I188" s="28" t="str">
        <f t="shared" si="16"/>
        <v/>
      </c>
      <c r="J188" s="28" t="str">
        <f t="shared" si="16"/>
        <v/>
      </c>
      <c r="K188" s="28" t="str">
        <f t="shared" si="16"/>
        <v/>
      </c>
      <c r="L188" s="29" t="str">
        <f t="shared" si="15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6"/>
        <v/>
      </c>
      <c r="I189" s="28" t="str">
        <f t="shared" si="16"/>
        <v/>
      </c>
      <c r="J189" s="28" t="str">
        <f t="shared" si="16"/>
        <v/>
      </c>
      <c r="K189" s="28" t="str">
        <f t="shared" si="16"/>
        <v/>
      </c>
      <c r="L189" s="29" t="str">
        <f t="shared" si="15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6"/>
        <v/>
      </c>
      <c r="I190" s="28" t="str">
        <f t="shared" si="16"/>
        <v/>
      </c>
      <c r="J190" s="28" t="str">
        <f t="shared" si="16"/>
        <v/>
      </c>
      <c r="K190" s="28" t="str">
        <f t="shared" si="16"/>
        <v/>
      </c>
      <c r="L190" s="29" t="str">
        <f t="shared" si="15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6"/>
        <v/>
      </c>
      <c r="I191" s="28" t="str">
        <f t="shared" si="16"/>
        <v/>
      </c>
      <c r="J191" s="28" t="str">
        <f t="shared" si="16"/>
        <v/>
      </c>
      <c r="K191" s="28" t="str">
        <f t="shared" si="16"/>
        <v/>
      </c>
      <c r="L191" s="29" t="str">
        <f t="shared" si="15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6"/>
        <v/>
      </c>
      <c r="I192" s="28" t="str">
        <f t="shared" si="16"/>
        <v/>
      </c>
      <c r="J192" s="28" t="str">
        <f t="shared" si="16"/>
        <v/>
      </c>
      <c r="K192" s="28" t="str">
        <f t="shared" si="16"/>
        <v/>
      </c>
      <c r="L192" s="29" t="str">
        <f t="shared" si="15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6"/>
        <v/>
      </c>
      <c r="I193" s="28" t="str">
        <f t="shared" si="16"/>
        <v/>
      </c>
      <c r="J193" s="28" t="str">
        <f t="shared" si="16"/>
        <v/>
      </c>
      <c r="K193" s="28" t="str">
        <f t="shared" si="16"/>
        <v/>
      </c>
      <c r="L193" s="29" t="str">
        <f t="shared" si="15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6"/>
        <v/>
      </c>
      <c r="I194" s="28" t="str">
        <f t="shared" si="16"/>
        <v/>
      </c>
      <c r="J194" s="28" t="str">
        <f t="shared" si="16"/>
        <v/>
      </c>
      <c r="K194" s="28" t="str">
        <f t="shared" si="16"/>
        <v/>
      </c>
      <c r="L194" s="29" t="str">
        <f t="shared" si="15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6"/>
        <v/>
      </c>
      <c r="I195" s="28" t="str">
        <f t="shared" si="16"/>
        <v/>
      </c>
      <c r="J195" s="28" t="str">
        <f t="shared" si="16"/>
        <v/>
      </c>
      <c r="K195" s="28" t="str">
        <f t="shared" si="16"/>
        <v/>
      </c>
      <c r="L195" s="29" t="str">
        <f t="shared" si="15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6"/>
        <v/>
      </c>
      <c r="I196" s="28" t="str">
        <f t="shared" si="16"/>
        <v/>
      </c>
      <c r="J196" s="28" t="str">
        <f t="shared" si="16"/>
        <v/>
      </c>
      <c r="K196" s="28" t="str">
        <f t="shared" si="16"/>
        <v/>
      </c>
      <c r="L196" s="29" t="str">
        <f t="shared" si="15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6"/>
        <v/>
      </c>
      <c r="I197" s="28" t="str">
        <f t="shared" si="16"/>
        <v/>
      </c>
      <c r="J197" s="28" t="str">
        <f t="shared" si="16"/>
        <v/>
      </c>
      <c r="K197" s="28" t="str">
        <f t="shared" si="16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6"/>
        <v/>
      </c>
      <c r="I198" s="28" t="str">
        <f t="shared" si="16"/>
        <v/>
      </c>
      <c r="J198" s="28" t="str">
        <f t="shared" si="16"/>
        <v/>
      </c>
      <c r="K198" s="28" t="str">
        <f t="shared" si="16"/>
        <v/>
      </c>
      <c r="L198" s="29" t="str">
        <f>IF(G198="","",+(G197-G198))</f>
        <v/>
      </c>
      <c r="M198" s="30" t="str">
        <f t="shared" ref="M198:M261" si="17">IF(H198="","",+(H198+I198+J198+K198))</f>
        <v/>
      </c>
      <c r="Q198" s="20">
        <f t="shared" ref="Q198:Q212" si="18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6"/>
        <v/>
      </c>
      <c r="I199" s="28" t="str">
        <f t="shared" si="16"/>
        <v/>
      </c>
      <c r="J199" s="28" t="str">
        <f t="shared" si="16"/>
        <v/>
      </c>
      <c r="K199" s="28" t="str">
        <f t="shared" si="16"/>
        <v/>
      </c>
      <c r="L199" s="29" t="str">
        <f>IF(G199="","",+(G198-G199))</f>
        <v/>
      </c>
      <c r="M199" s="30" t="str">
        <f t="shared" si="17"/>
        <v/>
      </c>
      <c r="Q199" s="20">
        <f t="shared" si="18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6"/>
        <v/>
      </c>
      <c r="I200" s="28" t="str">
        <f t="shared" si="16"/>
        <v/>
      </c>
      <c r="J200" s="28" t="str">
        <f t="shared" si="16"/>
        <v/>
      </c>
      <c r="K200" s="28" t="str">
        <f t="shared" si="16"/>
        <v/>
      </c>
      <c r="L200" s="45" t="str">
        <f>IF(G200="","",+(G200-G199))</f>
        <v/>
      </c>
      <c r="M200" s="30" t="str">
        <f t="shared" si="17"/>
        <v/>
      </c>
      <c r="Q200" s="20">
        <f t="shared" si="18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6"/>
        <v/>
      </c>
      <c r="I201" s="28" t="str">
        <f t="shared" si="16"/>
        <v/>
      </c>
      <c r="J201" s="28" t="str">
        <f t="shared" si="16"/>
        <v/>
      </c>
      <c r="K201" s="28" t="str">
        <f t="shared" si="16"/>
        <v/>
      </c>
      <c r="L201" s="29" t="str">
        <f>IF(G201="","",+(G201-G200))</f>
        <v/>
      </c>
      <c r="M201" s="30" t="str">
        <f t="shared" si="17"/>
        <v/>
      </c>
      <c r="Q201" s="20">
        <f t="shared" si="18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9">IF(C202="","",+(C202-C201))</f>
        <v/>
      </c>
      <c r="I202" s="28" t="str">
        <f t="shared" si="19"/>
        <v/>
      </c>
      <c r="J202" s="28" t="str">
        <f t="shared" si="19"/>
        <v/>
      </c>
      <c r="K202" s="28" t="str">
        <f t="shared" si="19"/>
        <v/>
      </c>
      <c r="L202" s="29" t="str">
        <f t="shared" si="19"/>
        <v/>
      </c>
      <c r="M202" s="30" t="str">
        <f t="shared" si="17"/>
        <v/>
      </c>
      <c r="N202" s="46"/>
      <c r="Q202" s="20">
        <f t="shared" si="18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9"/>
        <v/>
      </c>
      <c r="I203" s="28" t="str">
        <f t="shared" si="19"/>
        <v/>
      </c>
      <c r="J203" s="28" t="str">
        <f t="shared" si="19"/>
        <v/>
      </c>
      <c r="K203" s="28" t="str">
        <f t="shared" si="19"/>
        <v/>
      </c>
      <c r="L203" s="29" t="str">
        <f t="shared" si="19"/>
        <v/>
      </c>
      <c r="M203" s="30" t="str">
        <f t="shared" si="17"/>
        <v/>
      </c>
      <c r="Q203" s="20">
        <f t="shared" si="18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9"/>
        <v/>
      </c>
      <c r="I204" s="28" t="str">
        <f t="shared" si="19"/>
        <v/>
      </c>
      <c r="J204" s="28" t="str">
        <f t="shared" si="19"/>
        <v/>
      </c>
      <c r="K204" s="28" t="str">
        <f t="shared" si="19"/>
        <v/>
      </c>
      <c r="L204" s="29" t="str">
        <f t="shared" si="19"/>
        <v/>
      </c>
      <c r="M204" s="30" t="str">
        <f t="shared" si="17"/>
        <v/>
      </c>
      <c r="Q204" s="20">
        <f t="shared" si="18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9"/>
        <v/>
      </c>
      <c r="I205" s="28" t="str">
        <f t="shared" si="19"/>
        <v/>
      </c>
      <c r="J205" s="28" t="str">
        <f t="shared" si="19"/>
        <v/>
      </c>
      <c r="K205" s="28" t="str">
        <f t="shared" si="19"/>
        <v/>
      </c>
      <c r="L205" s="29" t="str">
        <f t="shared" si="19"/>
        <v/>
      </c>
      <c r="M205" s="30" t="str">
        <f t="shared" si="17"/>
        <v/>
      </c>
      <c r="Q205" s="20">
        <f t="shared" si="18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9"/>
        <v/>
      </c>
      <c r="I206" s="28" t="str">
        <f t="shared" si="19"/>
        <v/>
      </c>
      <c r="J206" s="28" t="str">
        <f t="shared" si="19"/>
        <v/>
      </c>
      <c r="K206" s="28" t="str">
        <f t="shared" si="19"/>
        <v/>
      </c>
      <c r="L206" s="29" t="str">
        <f t="shared" si="19"/>
        <v/>
      </c>
      <c r="M206" s="30" t="str">
        <f t="shared" si="17"/>
        <v/>
      </c>
      <c r="N206" s="197" t="s">
        <v>21</v>
      </c>
      <c r="O206" s="197" t="s">
        <v>22</v>
      </c>
      <c r="Q206" s="20">
        <f t="shared" si="18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9"/>
        <v/>
      </c>
      <c r="I207" s="28" t="str">
        <f t="shared" si="19"/>
        <v/>
      </c>
      <c r="J207" s="28" t="str">
        <f t="shared" si="19"/>
        <v/>
      </c>
      <c r="K207" s="28" t="str">
        <f t="shared" si="19"/>
        <v/>
      </c>
      <c r="L207" s="29" t="str">
        <f t="shared" si="19"/>
        <v/>
      </c>
      <c r="M207" s="30" t="str">
        <f t="shared" si="17"/>
        <v/>
      </c>
      <c r="N207" s="198"/>
      <c r="O207" s="198"/>
      <c r="Q207" s="20">
        <f t="shared" si="18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9"/>
        <v/>
      </c>
      <c r="I208" s="28" t="str">
        <f t="shared" si="19"/>
        <v/>
      </c>
      <c r="J208" s="28" t="str">
        <f t="shared" si="19"/>
        <v/>
      </c>
      <c r="K208" s="28" t="str">
        <f t="shared" si="19"/>
        <v/>
      </c>
      <c r="L208" s="29" t="str">
        <f t="shared" si="19"/>
        <v/>
      </c>
      <c r="M208" s="30" t="str">
        <f t="shared" si="17"/>
        <v/>
      </c>
      <c r="N208" s="199"/>
      <c r="O208" s="199"/>
      <c r="Q208" s="20">
        <f t="shared" si="18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9"/>
        <v/>
      </c>
      <c r="I209" s="28" t="str">
        <f t="shared" si="19"/>
        <v/>
      </c>
      <c r="J209" s="28" t="str">
        <f t="shared" si="19"/>
        <v/>
      </c>
      <c r="K209" s="28" t="str">
        <f t="shared" si="19"/>
        <v/>
      </c>
      <c r="L209" s="29" t="str">
        <f t="shared" si="19"/>
        <v/>
      </c>
      <c r="M209" s="30" t="str">
        <f t="shared" si="17"/>
        <v/>
      </c>
      <c r="N209" s="32">
        <f>SUM(L186:L216)</f>
        <v>0</v>
      </c>
      <c r="O209" s="32">
        <f>SUM(M186:M216)</f>
        <v>0</v>
      </c>
      <c r="Q209" s="20">
        <f t="shared" si="18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7" t="s">
        <v>23</v>
      </c>
      <c r="O210" s="197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199"/>
      <c r="O211" s="199"/>
      <c r="Q211" s="20">
        <f t="shared" si="18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8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7" t="s">
        <v>21</v>
      </c>
      <c r="O237" s="197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8"/>
      <c r="O238" s="198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199"/>
      <c r="O239" s="199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7" t="s">
        <v>23</v>
      </c>
      <c r="O241" s="197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199"/>
      <c r="O242" s="199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7" t="s">
        <v>21</v>
      </c>
      <c r="O267" s="197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8"/>
      <c r="O268" s="198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199"/>
      <c r="O269" s="199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7" t="s">
        <v>23</v>
      </c>
      <c r="O271" s="197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199"/>
      <c r="O272" s="199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7" t="s">
        <v>21</v>
      </c>
      <c r="O298" s="197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8"/>
      <c r="O299" s="198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199"/>
      <c r="O300" s="199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7" t="s">
        <v>23</v>
      </c>
      <c r="O302" s="197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199"/>
      <c r="O303" s="199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7" t="s">
        <v>21</v>
      </c>
      <c r="O328" s="197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8"/>
      <c r="O329" s="198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199"/>
      <c r="O330" s="199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7" t="s">
        <v>23</v>
      </c>
      <c r="O332" s="197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199"/>
      <c r="O333" s="199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7" t="s">
        <v>21</v>
      </c>
      <c r="O359" s="197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8"/>
      <c r="O360" s="198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199"/>
      <c r="O361" s="199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7" t="s">
        <v>23</v>
      </c>
      <c r="O363" s="197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199"/>
      <c r="O364" s="199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7">
        <f>SUM(I4:I369)</f>
        <v>402592</v>
      </c>
      <c r="J371" s="40">
        <f t="shared" si="30"/>
        <v>24958</v>
      </c>
      <c r="K371" s="40">
        <f t="shared" si="30"/>
        <v>23627</v>
      </c>
      <c r="L371" s="40">
        <f t="shared" si="30"/>
        <v>24689</v>
      </c>
      <c r="M371" s="40">
        <f t="shared" si="30"/>
        <v>451177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50" workbookViewId="0">
      <selection activeCell="U160" sqref="U160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4.1956818209247036E-2</v>
      </c>
      <c r="Q145" s="71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>
        <v>0.14199999999999999</v>
      </c>
      <c r="E150" s="58">
        <v>372.40300000000002</v>
      </c>
      <c r="F150" s="59">
        <v>15.093</v>
      </c>
      <c r="G150" s="60"/>
      <c r="H150" s="60">
        <v>4140</v>
      </c>
      <c r="I150" s="60">
        <f t="shared" si="22"/>
        <v>26355.240000000176</v>
      </c>
      <c r="J150" s="60">
        <f t="shared" si="22"/>
        <v>948.05999999999676</v>
      </c>
      <c r="K150" s="61">
        <f t="shared" si="19"/>
        <v>3.5972353125981411E-2</v>
      </c>
      <c r="L150" s="60">
        <f t="shared" si="20"/>
        <v>948.05999999999676</v>
      </c>
      <c r="M150" s="61">
        <f t="shared" si="21"/>
        <v>3.5972353125981411E-2</v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>
        <v>0.14199999999999999</v>
      </c>
      <c r="E151" s="58">
        <v>378.22199999999998</v>
      </c>
      <c r="F151" s="59">
        <v>15.298999999999999</v>
      </c>
      <c r="G151" s="60"/>
      <c r="H151" s="60">
        <v>4140</v>
      </c>
      <c r="I151" s="60">
        <f t="shared" si="22"/>
        <v>24090.659999999836</v>
      </c>
      <c r="J151" s="60">
        <f t="shared" si="22"/>
        <v>852.83999999999799</v>
      </c>
      <c r="K151" s="61">
        <f t="shared" si="19"/>
        <v>3.5401271696167885E-2</v>
      </c>
      <c r="L151" s="60">
        <f t="shared" si="20"/>
        <v>852.83999999999799</v>
      </c>
      <c r="M151" s="61">
        <f t="shared" si="21"/>
        <v>3.5401271696167885E-2</v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>
        <v>0.14199999999999999</v>
      </c>
      <c r="E152" s="58">
        <v>384.52300000000002</v>
      </c>
      <c r="F152" s="59">
        <v>15.457000000000001</v>
      </c>
      <c r="G152" s="60"/>
      <c r="H152" s="60">
        <v>4140</v>
      </c>
      <c r="I152" s="60">
        <f t="shared" si="22"/>
        <v>26086.140000000185</v>
      </c>
      <c r="J152" s="60">
        <f t="shared" si="22"/>
        <v>654.12000000000512</v>
      </c>
      <c r="K152" s="61">
        <f t="shared" si="19"/>
        <v>2.5075384859546121E-2</v>
      </c>
      <c r="L152" s="60">
        <f t="shared" si="20"/>
        <v>654.12000000000512</v>
      </c>
      <c r="M152" s="61">
        <f t="shared" si="21"/>
        <v>2.5075384859546121E-2</v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>
        <v>0.14199999999999999</v>
      </c>
      <c r="E153" s="58">
        <v>390.52699999999999</v>
      </c>
      <c r="F153" s="59">
        <v>15.669</v>
      </c>
      <c r="G153" s="60"/>
      <c r="H153" s="60">
        <v>4140</v>
      </c>
      <c r="I153" s="60">
        <f t="shared" si="22"/>
        <v>24856.559999999845</v>
      </c>
      <c r="J153" s="60">
        <f t="shared" si="22"/>
        <v>877.67999999999893</v>
      </c>
      <c r="K153" s="61">
        <f t="shared" si="19"/>
        <v>3.53097934710195E-2</v>
      </c>
      <c r="L153" s="60">
        <f t="shared" si="20"/>
        <v>877.67999999999893</v>
      </c>
      <c r="M153" s="61">
        <f t="shared" si="21"/>
        <v>3.53097934710195E-2</v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>
        <v>0.14199999999999999</v>
      </c>
      <c r="E154" s="90">
        <v>396.01299999999998</v>
      </c>
      <c r="F154" s="90">
        <v>15.853</v>
      </c>
      <c r="G154" s="91"/>
      <c r="H154" s="60">
        <v>4140</v>
      </c>
      <c r="I154" s="60">
        <f t="shared" si="22"/>
        <v>22712.039999999957</v>
      </c>
      <c r="J154" s="60">
        <f t="shared" si="22"/>
        <v>761.75999999999704</v>
      </c>
      <c r="K154" s="61">
        <f t="shared" si="19"/>
        <v>3.3539919795843899E-2</v>
      </c>
      <c r="L154" s="60">
        <f t="shared" si="20"/>
        <v>761.75999999999704</v>
      </c>
      <c r="M154" s="61">
        <f t="shared" si="21"/>
        <v>3.3539919795843899E-2</v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>
        <v>0.14199999999999999</v>
      </c>
      <c r="E155" s="58">
        <v>401.6</v>
      </c>
      <c r="F155" s="59">
        <v>15.961</v>
      </c>
      <c r="G155" s="60"/>
      <c r="H155" s="60">
        <v>4140</v>
      </c>
      <c r="I155" s="60">
        <f t="shared" si="22"/>
        <v>23130.180000000189</v>
      </c>
      <c r="J155" s="60">
        <f t="shared" si="22"/>
        <v>447.12000000000222</v>
      </c>
      <c r="K155" s="61">
        <f t="shared" si="19"/>
        <v>1.9330588867012645E-2</v>
      </c>
      <c r="L155" s="60">
        <f t="shared" si="20"/>
        <v>447.12000000000222</v>
      </c>
      <c r="M155" s="61">
        <f t="shared" si="21"/>
        <v>1.9330588867012645E-2</v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>
        <v>0.14199999999999999</v>
      </c>
      <c r="E156" s="58">
        <v>407.226</v>
      </c>
      <c r="F156" s="59">
        <v>16.100999999999999</v>
      </c>
      <c r="G156" s="60"/>
      <c r="H156" s="60">
        <v>4140</v>
      </c>
      <c r="I156" s="60">
        <f t="shared" si="22"/>
        <v>23291.639999999901</v>
      </c>
      <c r="J156" s="60">
        <f t="shared" si="22"/>
        <v>579.59999999999502</v>
      </c>
      <c r="K156" s="61">
        <f t="shared" si="19"/>
        <v>2.4884464984002735E-2</v>
      </c>
      <c r="L156" s="60">
        <f t="shared" si="20"/>
        <v>579.59999999999502</v>
      </c>
      <c r="M156" s="61">
        <f t="shared" si="21"/>
        <v>2.4884464984002735E-2</v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>
        <v>0.14199999999999999</v>
      </c>
      <c r="E157" s="58">
        <v>413.31400000000002</v>
      </c>
      <c r="F157" s="59">
        <v>16.259</v>
      </c>
      <c r="G157" s="60"/>
      <c r="H157" s="60">
        <v>4140</v>
      </c>
      <c r="I157" s="60">
        <f t="shared" si="22"/>
        <v>25204.320000000091</v>
      </c>
      <c r="J157" s="60">
        <f t="shared" si="22"/>
        <v>654.12000000000512</v>
      </c>
      <c r="K157" s="61">
        <f t="shared" si="19"/>
        <v>2.5952693823916011E-2</v>
      </c>
      <c r="L157" s="60">
        <f t="shared" si="20"/>
        <v>654.12000000000512</v>
      </c>
      <c r="M157" s="61">
        <f t="shared" si="21"/>
        <v>2.5952693823916011E-2</v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>
        <v>0.14199999999999999</v>
      </c>
      <c r="E158" s="58">
        <v>418.71</v>
      </c>
      <c r="F158" s="59">
        <v>16.393999999999998</v>
      </c>
      <c r="G158" s="60"/>
      <c r="H158" s="60">
        <v>4140</v>
      </c>
      <c r="I158" s="60">
        <f t="shared" si="22"/>
        <v>22339.439999999828</v>
      </c>
      <c r="J158" s="60">
        <f t="shared" si="22"/>
        <v>558.89999999999179</v>
      </c>
      <c r="K158" s="61">
        <f t="shared" si="19"/>
        <v>2.5018532246108054E-2</v>
      </c>
      <c r="L158" s="60">
        <f t="shared" si="20"/>
        <v>558.89999999999179</v>
      </c>
      <c r="M158" s="61">
        <f t="shared" si="21"/>
        <v>2.5018532246108054E-2</v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>
        <v>0.14199999999999999</v>
      </c>
      <c r="E159" s="58">
        <v>424.43299999999999</v>
      </c>
      <c r="F159" s="59">
        <v>16.506</v>
      </c>
      <c r="G159" s="60"/>
      <c r="H159" s="60">
        <v>4140</v>
      </c>
      <c r="I159" s="60">
        <f t="shared" si="22"/>
        <v>23693.220000000056</v>
      </c>
      <c r="J159" s="60">
        <f t="shared" si="22"/>
        <v>463.68000000000779</v>
      </c>
      <c r="K159" s="61">
        <f t="shared" si="19"/>
        <v>1.9570155512843197E-2</v>
      </c>
      <c r="L159" s="60">
        <f t="shared" si="20"/>
        <v>463.68000000000779</v>
      </c>
      <c r="M159" s="61">
        <f t="shared" si="21"/>
        <v>1.9570155512843197E-2</v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>
        <v>0.14199999999999999</v>
      </c>
      <c r="E160" s="58">
        <v>430.46100000000001</v>
      </c>
      <c r="F160" s="59">
        <v>16.686</v>
      </c>
      <c r="G160" s="60"/>
      <c r="H160" s="60">
        <v>4140</v>
      </c>
      <c r="I160" s="60">
        <f t="shared" ref="I160:I187" si="23">IF(D160="","",+(E160-E159)*4140)</f>
        <v>24955.920000000082</v>
      </c>
      <c r="J160" s="60">
        <f t="shared" ref="J160:J184" si="24">IF(E160="","",+(F160-F159)*4140)</f>
        <v>745.19999999999879</v>
      </c>
      <c r="K160" s="61">
        <f t="shared" si="19"/>
        <v>2.9860650298606357E-2</v>
      </c>
      <c r="L160" s="60">
        <f t="shared" si="20"/>
        <v>745.19999999999879</v>
      </c>
      <c r="M160" s="61">
        <f t="shared" si="21"/>
        <v>2.9860650298606357E-2</v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>
        <v>0.14199999999999999</v>
      </c>
      <c r="E161" s="58">
        <v>437.37299999999999</v>
      </c>
      <c r="F161" s="59">
        <v>16.876999999999999</v>
      </c>
      <c r="G161" s="60"/>
      <c r="H161" s="60">
        <v>4140</v>
      </c>
      <c r="I161" s="60">
        <f t="shared" si="23"/>
        <v>28615.679999999909</v>
      </c>
      <c r="J161" s="60">
        <f t="shared" si="24"/>
        <v>790.73999999999569</v>
      </c>
      <c r="K161" s="61">
        <f t="shared" si="19"/>
        <v>2.7633101851851787E-2</v>
      </c>
      <c r="L161" s="60">
        <f t="shared" si="20"/>
        <v>790.73999999999569</v>
      </c>
      <c r="M161" s="61">
        <f t="shared" si="21"/>
        <v>2.7633101851851787E-2</v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>
        <v>0.14199999999999999</v>
      </c>
      <c r="E162" s="58">
        <v>444.34300000000002</v>
      </c>
      <c r="F162" s="59">
        <v>17.027999999999999</v>
      </c>
      <c r="G162" s="60"/>
      <c r="H162" s="60">
        <v>4140</v>
      </c>
      <c r="I162" s="60">
        <f t="shared" si="23"/>
        <v>28855.800000000112</v>
      </c>
      <c r="J162" s="60">
        <f t="shared" si="24"/>
        <v>625.13999999999919</v>
      </c>
      <c r="K162" s="61">
        <f t="shared" si="19"/>
        <v>2.1664275466283963E-2</v>
      </c>
      <c r="L162" s="60">
        <f t="shared" si="20"/>
        <v>625.13999999999919</v>
      </c>
      <c r="M162" s="61">
        <f t="shared" si="21"/>
        <v>2.1664275466283963E-2</v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>
        <v>0.14199999999999999</v>
      </c>
      <c r="E163" s="58">
        <v>451.52300000000002</v>
      </c>
      <c r="F163" s="59">
        <v>17.213999999999999</v>
      </c>
      <c r="G163" s="60"/>
      <c r="H163" s="60">
        <v>4140</v>
      </c>
      <c r="I163" s="60">
        <f t="shared" si="23"/>
        <v>29725.20000000003</v>
      </c>
      <c r="J163" s="60">
        <f t="shared" si="24"/>
        <v>770.03999999999974</v>
      </c>
      <c r="K163" s="61">
        <f t="shared" si="19"/>
        <v>2.59052924791086E-2</v>
      </c>
      <c r="L163" s="60">
        <f t="shared" si="20"/>
        <v>770.03999999999974</v>
      </c>
      <c r="M163" s="61">
        <f t="shared" si="21"/>
        <v>2.59052924791086E-2</v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>
        <v>0.14199999999999999</v>
      </c>
      <c r="E164" s="58">
        <v>457.99400000000003</v>
      </c>
      <c r="F164" s="59">
        <v>17.364000000000001</v>
      </c>
      <c r="G164" s="60"/>
      <c r="H164" s="60">
        <v>4140</v>
      </c>
      <c r="I164" s="60">
        <f t="shared" si="23"/>
        <v>26789.940000000017</v>
      </c>
      <c r="J164" s="60">
        <f t="shared" si="24"/>
        <v>621.00000000000887</v>
      </c>
      <c r="K164" s="61">
        <f t="shared" si="19"/>
        <v>2.3180343069077739E-2</v>
      </c>
      <c r="L164" s="60">
        <f t="shared" si="20"/>
        <v>621.00000000000887</v>
      </c>
      <c r="M164" s="61">
        <f t="shared" si="21"/>
        <v>2.3180343069077739E-2</v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>
        <v>0.14199999999999999</v>
      </c>
      <c r="E165" s="58">
        <v>464.56900000000002</v>
      </c>
      <c r="F165" s="59">
        <v>17.532</v>
      </c>
      <c r="G165" s="60"/>
      <c r="H165" s="60">
        <v>4140</v>
      </c>
      <c r="I165" s="60">
        <f t="shared" si="23"/>
        <v>27220.499999999953</v>
      </c>
      <c r="J165" s="60">
        <f t="shared" si="24"/>
        <v>695.51999999999691</v>
      </c>
      <c r="K165" s="61">
        <f t="shared" si="19"/>
        <v>2.555133079847902E-2</v>
      </c>
      <c r="L165" s="60">
        <f t="shared" si="20"/>
        <v>695.51999999999691</v>
      </c>
      <c r="M165" s="61">
        <f t="shared" si="21"/>
        <v>2.555133079847902E-2</v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>
        <v>0.14199999999999999</v>
      </c>
      <c r="E166" s="58">
        <v>471.69799999999998</v>
      </c>
      <c r="F166" s="59">
        <v>17.760000000000002</v>
      </c>
      <c r="G166" s="60"/>
      <c r="H166" s="60">
        <v>4140</v>
      </c>
      <c r="I166" s="60">
        <f t="shared" si="23"/>
        <v>29514.059999999845</v>
      </c>
      <c r="J166" s="60">
        <f t="shared" si="24"/>
        <v>943.92000000000633</v>
      </c>
      <c r="K166" s="61">
        <f t="shared" si="19"/>
        <v>3.1982045167625574E-2</v>
      </c>
      <c r="L166" s="60">
        <f t="shared" si="20"/>
        <v>943.92000000000633</v>
      </c>
      <c r="M166" s="61">
        <f t="shared" si="21"/>
        <v>3.1982045167625574E-2</v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>
        <v>0.14199999999999999</v>
      </c>
      <c r="E167" s="58">
        <v>477.51900000000001</v>
      </c>
      <c r="F167" s="59">
        <v>17.888000000000002</v>
      </c>
      <c r="G167" s="60"/>
      <c r="H167" s="60">
        <v>4140</v>
      </c>
      <c r="I167" s="60">
        <f t="shared" si="23"/>
        <v>24098.940000000108</v>
      </c>
      <c r="J167" s="60">
        <f t="shared" si="24"/>
        <v>529.92000000000053</v>
      </c>
      <c r="K167" s="61">
        <f t="shared" si="19"/>
        <v>2.1989348909122068E-2</v>
      </c>
      <c r="L167" s="60">
        <f t="shared" si="20"/>
        <v>529.92000000000053</v>
      </c>
      <c r="M167" s="61">
        <f t="shared" si="21"/>
        <v>2.1989348909122068E-2</v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>
        <v>0.14199999999999999</v>
      </c>
      <c r="E168" s="58">
        <v>483.72199999999998</v>
      </c>
      <c r="F168" s="59">
        <v>17.988</v>
      </c>
      <c r="G168" s="60"/>
      <c r="H168" s="60">
        <v>4140</v>
      </c>
      <c r="I168" s="60">
        <f t="shared" si="23"/>
        <v>25680.419999999896</v>
      </c>
      <c r="J168" s="60">
        <f t="shared" si="24"/>
        <v>413.99999999999119</v>
      </c>
      <c r="K168" s="61">
        <f t="shared" si="19"/>
        <v>1.6121231662098705E-2</v>
      </c>
      <c r="L168" s="60">
        <f t="shared" si="20"/>
        <v>413.99999999999119</v>
      </c>
      <c r="M168" s="61">
        <f t="shared" si="21"/>
        <v>1.6121231662098705E-2</v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>
        <v>0.14199999999999999</v>
      </c>
      <c r="E169" s="58">
        <v>489.74599999999998</v>
      </c>
      <c r="F169" s="59">
        <v>18.103999999999999</v>
      </c>
      <c r="G169" s="60"/>
      <c r="H169" s="60">
        <v>4140</v>
      </c>
      <c r="I169" s="60">
        <f t="shared" si="23"/>
        <v>24939.360000000004</v>
      </c>
      <c r="J169" s="60">
        <f t="shared" si="24"/>
        <v>480.23999999999859</v>
      </c>
      <c r="K169" s="61">
        <f t="shared" si="19"/>
        <v>1.9256308100929556E-2</v>
      </c>
      <c r="L169" s="60">
        <f t="shared" si="20"/>
        <v>480.23999999999859</v>
      </c>
      <c r="M169" s="61">
        <f t="shared" si="21"/>
        <v>1.9256308100929556E-2</v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>
        <v>0.14199999999999999</v>
      </c>
      <c r="E170" s="58">
        <v>496.43</v>
      </c>
      <c r="F170" s="59">
        <v>18.248000000000001</v>
      </c>
      <c r="G170" s="60"/>
      <c r="H170" s="60">
        <v>4140</v>
      </c>
      <c r="I170" s="60">
        <f t="shared" si="23"/>
        <v>27671.760000000108</v>
      </c>
      <c r="J170" s="60">
        <f t="shared" si="24"/>
        <v>596.16000000000793</v>
      </c>
      <c r="K170" s="61">
        <f t="shared" si="19"/>
        <v>2.154398563734311E-2</v>
      </c>
      <c r="L170" s="60">
        <f t="shared" si="20"/>
        <v>596.16000000000793</v>
      </c>
      <c r="M170" s="61">
        <f t="shared" si="21"/>
        <v>2.154398563734311E-2</v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>
        <v>0.14199999999999999</v>
      </c>
      <c r="E171" s="58">
        <v>503.71</v>
      </c>
      <c r="F171" s="59">
        <v>18.428999999999998</v>
      </c>
      <c r="G171" s="60"/>
      <c r="H171" s="60">
        <v>4140</v>
      </c>
      <c r="I171" s="60">
        <f t="shared" si="23"/>
        <v>30139.199999999888</v>
      </c>
      <c r="J171" s="60">
        <f t="shared" si="24"/>
        <v>749.33999999998923</v>
      </c>
      <c r="K171" s="61">
        <f t="shared" si="19"/>
        <v>2.4862637362637097E-2</v>
      </c>
      <c r="L171" s="60">
        <f t="shared" si="20"/>
        <v>749.33999999998923</v>
      </c>
      <c r="M171" s="61">
        <f t="shared" si="21"/>
        <v>2.4862637362637097E-2</v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>
        <v>0.14199999999999999</v>
      </c>
      <c r="E172" s="58">
        <v>511.08300000000003</v>
      </c>
      <c r="F172" s="59">
        <v>18.687000000000001</v>
      </c>
      <c r="G172" s="60"/>
      <c r="H172" s="60">
        <v>4140</v>
      </c>
      <c r="I172" s="60">
        <f t="shared" si="23"/>
        <v>30524.220000000198</v>
      </c>
      <c r="J172" s="60">
        <f t="shared" si="24"/>
        <v>1068.120000000011</v>
      </c>
      <c r="K172" s="61">
        <f t="shared" si="19"/>
        <v>3.4992540349925536E-2</v>
      </c>
      <c r="L172" s="60">
        <f t="shared" si="20"/>
        <v>1068.120000000011</v>
      </c>
      <c r="M172" s="61">
        <f t="shared" si="21"/>
        <v>3.4992540349925536E-2</v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>
        <v>0.14199999999999999</v>
      </c>
      <c r="E173" s="58">
        <v>518.23500000000001</v>
      </c>
      <c r="F173" s="59">
        <v>18.954999999999998</v>
      </c>
      <c r="G173" s="60"/>
      <c r="H173" s="60">
        <v>4140</v>
      </c>
      <c r="I173" s="60">
        <f t="shared" si="23"/>
        <v>29609.279999999944</v>
      </c>
      <c r="J173" s="60">
        <f t="shared" si="24"/>
        <v>1109.5199999999882</v>
      </c>
      <c r="K173" s="61">
        <f t="shared" si="19"/>
        <v>3.7472035794183116E-2</v>
      </c>
      <c r="L173" s="60">
        <f t="shared" si="20"/>
        <v>1109.5199999999882</v>
      </c>
      <c r="M173" s="61">
        <f t="shared" si="21"/>
        <v>3.7472035794183116E-2</v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>
        <v>0.14199999999999999</v>
      </c>
      <c r="E174" s="58">
        <v>525.51800000000003</v>
      </c>
      <c r="F174" s="59">
        <v>19.170000000000002</v>
      </c>
      <c r="G174" s="60"/>
      <c r="H174" s="60">
        <v>4140</v>
      </c>
      <c r="I174" s="60">
        <f t="shared" si="23"/>
        <v>30151.620000000064</v>
      </c>
      <c r="J174" s="60">
        <f t="shared" si="24"/>
        <v>890.10000000001412</v>
      </c>
      <c r="K174" s="61">
        <f t="shared" si="19"/>
        <v>2.9520801867362757E-2</v>
      </c>
      <c r="L174" s="60">
        <f t="shared" si="20"/>
        <v>890.10000000001412</v>
      </c>
      <c r="M174" s="61">
        <f t="shared" si="21"/>
        <v>2.9520801867362757E-2</v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>
        <v>0.14199999999999999</v>
      </c>
      <c r="E175" s="58">
        <v>532.41399999999999</v>
      </c>
      <c r="F175" s="59">
        <v>19.331</v>
      </c>
      <c r="G175" s="60"/>
      <c r="H175" s="60">
        <v>4140</v>
      </c>
      <c r="I175" s="60">
        <f t="shared" si="23"/>
        <v>28549.439999999828</v>
      </c>
      <c r="J175" s="60">
        <f t="shared" si="24"/>
        <v>666.53999999999098</v>
      </c>
      <c r="K175" s="61">
        <f t="shared" si="19"/>
        <v>2.334686774941978E-2</v>
      </c>
      <c r="L175" s="60">
        <f t="shared" si="20"/>
        <v>666.53999999999098</v>
      </c>
      <c r="M175" s="61">
        <f t="shared" si="21"/>
        <v>2.334686774941978E-2</v>
      </c>
      <c r="N175" s="62">
        <v>66068309</v>
      </c>
      <c r="O175" s="62">
        <f t="shared" si="17"/>
        <v>0</v>
      </c>
      <c r="P175" s="71">
        <f>IF(J155="",0,+SUM(J155:J184)/SUM(I155:I184))</f>
        <v>2.5498346786313877E-2</v>
      </c>
      <c r="Q175" s="71">
        <f>IF(L155="",0,+SUM(L155:L184)/SUM(I155:I184))</f>
        <v>2.5498346786313877E-2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 t="e">
        <f>IF(J155="",0,+(+(LOOKUP(9.99999999999999E+307,E155:E184)-E154))/(+(LOOKUP(9.99999999999999E+307,D155:D184)-D154)))</f>
        <v>#DIV/0!</v>
      </c>
      <c r="Q176" s="72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60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ref="I185:J196" si="26">IF(E185="","",+(E185-E184)*4140)</f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6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6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6"/>
        <v/>
      </c>
      <c r="J188" s="60" t="str">
        <f t="shared" si="26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6"/>
        <v/>
      </c>
      <c r="J189" s="60" t="str">
        <f t="shared" si="26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6"/>
        <v/>
      </c>
      <c r="J190" s="60" t="str">
        <f t="shared" si="26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6"/>
        <v/>
      </c>
      <c r="J191" s="60" t="str">
        <f t="shared" si="26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6"/>
        <v/>
      </c>
      <c r="J192" s="60" t="str">
        <f t="shared" si="26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6"/>
        <v/>
      </c>
      <c r="J193" s="60" t="str">
        <f t="shared" si="26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6"/>
        <v/>
      </c>
      <c r="J194" s="60" t="str">
        <f t="shared" si="26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6"/>
        <v/>
      </c>
      <c r="J195" s="60" t="str">
        <f t="shared" si="26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6"/>
        <v/>
      </c>
      <c r="J196" s="60" t="str">
        <f t="shared" si="26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7">IF(D197="","",+(D197-D196)*4140)</f>
        <v/>
      </c>
      <c r="J197" s="60" t="str">
        <f t="shared" si="27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7"/>
        <v/>
      </c>
      <c r="J198" s="60" t="str">
        <f t="shared" si="27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8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7"/>
        <v/>
      </c>
      <c r="J199" s="60" t="str">
        <f t="shared" si="27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8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7"/>
        <v/>
      </c>
      <c r="J200" s="60" t="str">
        <f t="shared" si="27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8"/>
        <v>0</v>
      </c>
      <c r="P200" s="116"/>
      <c r="Q200" s="119"/>
      <c r="R200" s="20">
        <f t="shared" si="25"/>
        <v>1</v>
      </c>
      <c r="S200" s="20">
        <f t="shared" ref="S200:S263" si="29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7"/>
        <v/>
      </c>
      <c r="J201" s="60" t="str">
        <f t="shared" si="27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8"/>
        <v>0</v>
      </c>
      <c r="P201" s="116"/>
      <c r="Q201" s="117"/>
      <c r="R201" s="20">
        <f t="shared" si="25"/>
        <v>1</v>
      </c>
      <c r="S201" s="20">
        <f t="shared" si="29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7"/>
        <v/>
      </c>
      <c r="J202" s="60" t="str">
        <f t="shared" si="27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8"/>
        <v>0</v>
      </c>
      <c r="P202" s="120"/>
      <c r="Q202" s="121"/>
      <c r="R202" s="20">
        <f t="shared" si="25"/>
        <v>1</v>
      </c>
      <c r="S202" s="20">
        <f t="shared" si="29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7"/>
        <v/>
      </c>
      <c r="J203" s="60" t="str">
        <f t="shared" si="27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8"/>
        <v>0</v>
      </c>
      <c r="P203" s="205" t="s">
        <v>64</v>
      </c>
      <c r="Q203" s="206"/>
      <c r="R203" s="20">
        <f t="shared" si="25"/>
        <v>1</v>
      </c>
      <c r="S203" s="20">
        <f t="shared" si="29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7"/>
        <v/>
      </c>
      <c r="J204" s="60" t="str">
        <f t="shared" si="27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8"/>
        <v>0</v>
      </c>
      <c r="P204" s="203"/>
      <c r="Q204" s="204"/>
      <c r="R204" s="20">
        <f t="shared" si="25"/>
        <v>1</v>
      </c>
      <c r="S204" s="20">
        <f t="shared" si="29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7"/>
        <v/>
      </c>
      <c r="J205" s="60" t="str">
        <f t="shared" si="27"/>
        <v/>
      </c>
      <c r="K205" s="61" t="str">
        <f t="shared" ref="K205:K268" si="30">IF(J205="","",+(J205/I205))</f>
        <v/>
      </c>
      <c r="L205" s="60" t="str">
        <f t="shared" ref="L205:L223" si="31">IF(F205="","",+(F205-F204)*4140)</f>
        <v/>
      </c>
      <c r="M205" s="61" t="str">
        <f t="shared" ref="M205:M268" si="32">IF(L205="","",(L205/I205))</f>
        <v/>
      </c>
      <c r="N205" s="62">
        <v>66068309</v>
      </c>
      <c r="O205" s="62">
        <f t="shared" si="28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9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7"/>
        <v/>
      </c>
      <c r="K206" s="61" t="str">
        <f t="shared" si="30"/>
        <v/>
      </c>
      <c r="L206" s="60" t="str">
        <f t="shared" si="31"/>
        <v/>
      </c>
      <c r="M206" s="61" t="str">
        <f t="shared" si="32"/>
        <v/>
      </c>
      <c r="N206" s="62">
        <v>66068309</v>
      </c>
      <c r="O206" s="62">
        <f t="shared" si="28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9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7"/>
        <v/>
      </c>
      <c r="J207" s="60" t="str">
        <f t="shared" si="27"/>
        <v/>
      </c>
      <c r="K207" s="61" t="str">
        <f t="shared" si="30"/>
        <v/>
      </c>
      <c r="L207" s="60" t="str">
        <f t="shared" si="31"/>
        <v/>
      </c>
      <c r="M207" s="61" t="str">
        <f t="shared" si="32"/>
        <v/>
      </c>
      <c r="N207" s="62">
        <v>66068309</v>
      </c>
      <c r="O207" s="62">
        <f t="shared" si="28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9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7"/>
        <v/>
      </c>
      <c r="J208" s="60" t="str">
        <f t="shared" si="27"/>
        <v/>
      </c>
      <c r="K208" s="61" t="str">
        <f t="shared" si="30"/>
        <v/>
      </c>
      <c r="L208" s="60" t="str">
        <f t="shared" si="31"/>
        <v/>
      </c>
      <c r="M208" s="61" t="str">
        <f t="shared" si="32"/>
        <v/>
      </c>
      <c r="N208" s="62">
        <v>66068309</v>
      </c>
      <c r="O208" s="62">
        <f t="shared" si="28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9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7"/>
        <v/>
      </c>
      <c r="J209" s="60" t="str">
        <f t="shared" si="27"/>
        <v/>
      </c>
      <c r="K209" s="61" t="str">
        <f t="shared" si="30"/>
        <v/>
      </c>
      <c r="L209" s="60" t="str">
        <f t="shared" si="31"/>
        <v/>
      </c>
      <c r="M209" s="61" t="str">
        <f t="shared" si="32"/>
        <v/>
      </c>
      <c r="N209" s="62">
        <v>66068309</v>
      </c>
      <c r="O209" s="62">
        <f t="shared" si="28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9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7"/>
        <v/>
      </c>
      <c r="J210" s="60" t="str">
        <f t="shared" si="27"/>
        <v/>
      </c>
      <c r="K210" s="61" t="str">
        <f t="shared" si="30"/>
        <v/>
      </c>
      <c r="L210" s="60" t="str">
        <f t="shared" si="31"/>
        <v/>
      </c>
      <c r="M210" s="61" t="str">
        <f t="shared" si="32"/>
        <v/>
      </c>
      <c r="N210" s="62">
        <v>66068309</v>
      </c>
      <c r="O210" s="62">
        <f t="shared" si="28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9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7"/>
        <v/>
      </c>
      <c r="J211" s="60" t="str">
        <f t="shared" si="27"/>
        <v/>
      </c>
      <c r="K211" s="61" t="str">
        <f t="shared" si="30"/>
        <v/>
      </c>
      <c r="L211" s="60" t="str">
        <f t="shared" si="31"/>
        <v/>
      </c>
      <c r="M211" s="61" t="str">
        <f t="shared" si="32"/>
        <v/>
      </c>
      <c r="N211" s="62">
        <v>66068309</v>
      </c>
      <c r="O211" s="62">
        <f t="shared" si="28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9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7"/>
        <v/>
      </c>
      <c r="J212" s="60" t="str">
        <f t="shared" si="27"/>
        <v/>
      </c>
      <c r="K212" s="61" t="str">
        <f t="shared" si="30"/>
        <v/>
      </c>
      <c r="L212" s="60" t="str">
        <f t="shared" si="31"/>
        <v/>
      </c>
      <c r="M212" s="61" t="str">
        <f t="shared" si="32"/>
        <v/>
      </c>
      <c r="N212" s="62">
        <v>66068309</v>
      </c>
      <c r="O212" s="62">
        <f t="shared" si="28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9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7"/>
        <v/>
      </c>
      <c r="J213" s="60" t="str">
        <f t="shared" si="27"/>
        <v/>
      </c>
      <c r="K213" s="61" t="str">
        <f t="shared" si="30"/>
        <v/>
      </c>
      <c r="L213" s="60" t="str">
        <f t="shared" si="31"/>
        <v/>
      </c>
      <c r="M213" s="61" t="str">
        <f t="shared" si="32"/>
        <v/>
      </c>
      <c r="N213" s="62">
        <v>66068309</v>
      </c>
      <c r="O213" s="62">
        <f t="shared" si="28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9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7"/>
        <v/>
      </c>
      <c r="J214" s="60" t="str">
        <f t="shared" si="27"/>
        <v/>
      </c>
      <c r="K214" s="61" t="str">
        <f t="shared" si="30"/>
        <v/>
      </c>
      <c r="L214" s="60" t="str">
        <f t="shared" si="31"/>
        <v/>
      </c>
      <c r="M214" s="61" t="str">
        <f t="shared" si="32"/>
        <v/>
      </c>
      <c r="N214" s="62">
        <v>66068309</v>
      </c>
      <c r="O214" s="62">
        <f t="shared" si="28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9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7"/>
        <v/>
      </c>
      <c r="J215" s="91" t="str">
        <f t="shared" si="27"/>
        <v/>
      </c>
      <c r="K215" s="61" t="str">
        <f t="shared" si="30"/>
        <v/>
      </c>
      <c r="L215" s="60" t="str">
        <f t="shared" si="31"/>
        <v/>
      </c>
      <c r="M215" s="61" t="str">
        <f t="shared" si="32"/>
        <v/>
      </c>
      <c r="N215" s="93">
        <v>66068309</v>
      </c>
      <c r="O215" s="94">
        <f t="shared" si="28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9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7"/>
        <v/>
      </c>
      <c r="J216" s="60" t="str">
        <f t="shared" si="27"/>
        <v/>
      </c>
      <c r="K216" s="61" t="str">
        <f t="shared" si="30"/>
        <v/>
      </c>
      <c r="L216" s="60" t="str">
        <f t="shared" si="31"/>
        <v/>
      </c>
      <c r="M216" s="61" t="str">
        <f t="shared" si="32"/>
        <v/>
      </c>
      <c r="N216" s="62">
        <v>66068309</v>
      </c>
      <c r="O216" s="62">
        <f t="shared" si="28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9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7"/>
        <v/>
      </c>
      <c r="J217" s="60" t="str">
        <f t="shared" si="27"/>
        <v/>
      </c>
      <c r="K217" s="61" t="str">
        <f t="shared" si="30"/>
        <v/>
      </c>
      <c r="L217" s="60" t="str">
        <f t="shared" si="31"/>
        <v/>
      </c>
      <c r="M217" s="61" t="str">
        <f t="shared" si="32"/>
        <v/>
      </c>
      <c r="N217" s="62">
        <v>66068309</v>
      </c>
      <c r="O217" s="62">
        <f t="shared" si="28"/>
        <v>0</v>
      </c>
      <c r="P217" s="114"/>
      <c r="Q217" s="115"/>
      <c r="R217" s="20">
        <f t="shared" si="25"/>
        <v>1</v>
      </c>
      <c r="S217" s="20">
        <f t="shared" si="29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7"/>
        <v/>
      </c>
      <c r="J218" s="60" t="str">
        <f t="shared" si="27"/>
        <v/>
      </c>
      <c r="K218" s="61" t="str">
        <f t="shared" si="30"/>
        <v/>
      </c>
      <c r="L218" s="60" t="str">
        <f t="shared" si="31"/>
        <v/>
      </c>
      <c r="M218" s="61" t="str">
        <f t="shared" si="32"/>
        <v/>
      </c>
      <c r="N218" s="62">
        <v>66068309</v>
      </c>
      <c r="O218" s="62">
        <f t="shared" si="28"/>
        <v>0</v>
      </c>
      <c r="P218" s="116"/>
      <c r="Q218" s="117"/>
      <c r="R218" s="20">
        <f t="shared" si="25"/>
        <v>1</v>
      </c>
      <c r="S218" s="20">
        <f t="shared" si="29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7"/>
        <v/>
      </c>
      <c r="J219" s="60" t="str">
        <f t="shared" si="27"/>
        <v/>
      </c>
      <c r="K219" s="61" t="str">
        <f t="shared" si="30"/>
        <v/>
      </c>
      <c r="L219" s="60" t="str">
        <f t="shared" si="31"/>
        <v/>
      </c>
      <c r="M219" s="61" t="str">
        <f t="shared" si="32"/>
        <v/>
      </c>
      <c r="N219" s="62">
        <v>66068309</v>
      </c>
      <c r="O219" s="62">
        <f t="shared" si="28"/>
        <v>0</v>
      </c>
      <c r="P219" s="116"/>
      <c r="Q219" s="117"/>
      <c r="R219" s="20">
        <f t="shared" si="25"/>
        <v>1</v>
      </c>
      <c r="S219" s="20">
        <f t="shared" si="29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7"/>
        <v/>
      </c>
      <c r="J220" s="60" t="str">
        <f t="shared" si="27"/>
        <v/>
      </c>
      <c r="K220" s="61" t="str">
        <f t="shared" si="30"/>
        <v/>
      </c>
      <c r="L220" s="60" t="str">
        <f t="shared" si="31"/>
        <v/>
      </c>
      <c r="M220" s="61" t="str">
        <f t="shared" si="32"/>
        <v/>
      </c>
      <c r="N220" s="62">
        <v>66068309</v>
      </c>
      <c r="O220" s="62">
        <f t="shared" si="28"/>
        <v>0</v>
      </c>
      <c r="P220" s="116"/>
      <c r="Q220" s="117"/>
      <c r="R220" s="20">
        <f t="shared" si="25"/>
        <v>1</v>
      </c>
      <c r="S220" s="20">
        <f t="shared" si="29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7"/>
        <v/>
      </c>
      <c r="J221" s="60" t="str">
        <f t="shared" si="27"/>
        <v/>
      </c>
      <c r="K221" s="61" t="str">
        <f t="shared" si="30"/>
        <v/>
      </c>
      <c r="L221" s="60" t="str">
        <f t="shared" si="31"/>
        <v/>
      </c>
      <c r="M221" s="61" t="str">
        <f t="shared" si="32"/>
        <v/>
      </c>
      <c r="N221" s="62">
        <v>66068309</v>
      </c>
      <c r="O221" s="62">
        <f t="shared" si="28"/>
        <v>0</v>
      </c>
      <c r="P221" s="101"/>
      <c r="Q221" s="102"/>
      <c r="R221" s="20">
        <f t="shared" si="25"/>
        <v>1</v>
      </c>
      <c r="S221" s="20">
        <f t="shared" si="29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7"/>
        <v/>
      </c>
      <c r="K222" s="61" t="str">
        <f t="shared" si="30"/>
        <v/>
      </c>
      <c r="L222" s="60" t="str">
        <f t="shared" si="31"/>
        <v/>
      </c>
      <c r="M222" s="61" t="str">
        <f t="shared" si="32"/>
        <v/>
      </c>
      <c r="N222" s="62">
        <v>66068309</v>
      </c>
      <c r="O222" s="62">
        <f t="shared" si="28"/>
        <v>0</v>
      </c>
      <c r="P222" s="103"/>
      <c r="Q222" s="104"/>
      <c r="R222" s="20">
        <f t="shared" si="25"/>
        <v>1</v>
      </c>
      <c r="S222" s="20">
        <f t="shared" si="29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7"/>
        <v/>
      </c>
      <c r="J223" s="60" t="str">
        <f t="shared" si="27"/>
        <v/>
      </c>
      <c r="K223" s="61" t="str">
        <f t="shared" si="30"/>
        <v/>
      </c>
      <c r="L223" s="60" t="str">
        <f t="shared" si="31"/>
        <v/>
      </c>
      <c r="M223" s="61" t="str">
        <f t="shared" si="32"/>
        <v/>
      </c>
      <c r="N223" s="62">
        <v>66068309</v>
      </c>
      <c r="O223" s="62">
        <f t="shared" si="28"/>
        <v>0</v>
      </c>
      <c r="P223" s="103"/>
      <c r="Q223" s="102"/>
      <c r="R223" s="20">
        <f t="shared" si="25"/>
        <v>1</v>
      </c>
      <c r="S223" s="20">
        <f t="shared" si="29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7"/>
        <v/>
      </c>
      <c r="J224" s="60" t="str">
        <f t="shared" si="27"/>
        <v/>
      </c>
      <c r="K224" s="61" t="str">
        <f t="shared" si="30"/>
        <v/>
      </c>
      <c r="L224" s="60" t="str">
        <f t="shared" ref="L224:L260" si="33">IF(F224="","",+(F224-F223)*4140)</f>
        <v/>
      </c>
      <c r="M224" s="61" t="str">
        <f t="shared" si="32"/>
        <v/>
      </c>
      <c r="N224" s="62">
        <v>66068309</v>
      </c>
      <c r="O224" s="62">
        <f t="shared" si="28"/>
        <v>0</v>
      </c>
      <c r="P224" s="116"/>
      <c r="Q224" s="118"/>
      <c r="R224" s="20">
        <f t="shared" si="25"/>
        <v>1</v>
      </c>
      <c r="S224" s="20">
        <f t="shared" si="29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7"/>
        <v/>
      </c>
      <c r="J225" s="60" t="str">
        <f t="shared" si="27"/>
        <v/>
      </c>
      <c r="K225" s="61" t="str">
        <f t="shared" si="30"/>
        <v/>
      </c>
      <c r="L225" s="60" t="str">
        <f t="shared" si="33"/>
        <v/>
      </c>
      <c r="M225" s="61" t="str">
        <f t="shared" si="32"/>
        <v/>
      </c>
      <c r="N225" s="62">
        <v>66068309</v>
      </c>
      <c r="O225" s="62">
        <f t="shared" si="28"/>
        <v>0</v>
      </c>
      <c r="P225" s="116"/>
      <c r="Q225" s="119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7"/>
        <v/>
      </c>
      <c r="J226" s="60" t="str">
        <f t="shared" si="27"/>
        <v/>
      </c>
      <c r="K226" s="61" t="str">
        <f t="shared" si="30"/>
        <v/>
      </c>
      <c r="L226" s="60" t="str">
        <f t="shared" si="33"/>
        <v/>
      </c>
      <c r="M226" s="61" t="str">
        <f t="shared" si="32"/>
        <v/>
      </c>
      <c r="N226" s="62">
        <v>66068309</v>
      </c>
      <c r="O226" s="62">
        <f t="shared" si="28"/>
        <v>0</v>
      </c>
      <c r="P226" s="116"/>
      <c r="Q226" s="119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7"/>
        <v/>
      </c>
      <c r="J227" s="60" t="str">
        <f t="shared" si="27"/>
        <v/>
      </c>
      <c r="K227" s="61" t="str">
        <f t="shared" si="30"/>
        <v/>
      </c>
      <c r="L227" s="60" t="str">
        <f t="shared" si="33"/>
        <v/>
      </c>
      <c r="M227" s="61" t="str">
        <f t="shared" si="32"/>
        <v/>
      </c>
      <c r="N227" s="62">
        <v>66068309</v>
      </c>
      <c r="O227" s="62">
        <f t="shared" si="28"/>
        <v>0</v>
      </c>
      <c r="P227" s="116"/>
      <c r="Q227" s="118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7"/>
        <v/>
      </c>
      <c r="K228" s="61" t="str">
        <f t="shared" si="30"/>
        <v/>
      </c>
      <c r="L228" s="60" t="str">
        <f t="shared" si="33"/>
        <v/>
      </c>
      <c r="M228" s="61" t="str">
        <f t="shared" si="32"/>
        <v/>
      </c>
      <c r="N228" s="62">
        <v>66068309</v>
      </c>
      <c r="O228" s="62">
        <f t="shared" si="28"/>
        <v>0</v>
      </c>
      <c r="P228" s="116"/>
      <c r="Q228" s="118"/>
      <c r="R228" s="20">
        <f t="shared" si="34"/>
        <v>1</v>
      </c>
      <c r="S228" s="20">
        <f t="shared" si="29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7"/>
        <v/>
      </c>
      <c r="J229" s="60" t="str">
        <f>IF(E229="","",+(E229-E228)*4140)</f>
        <v/>
      </c>
      <c r="K229" s="61" t="str">
        <f t="shared" si="30"/>
        <v/>
      </c>
      <c r="L229" s="60" t="str">
        <f t="shared" si="33"/>
        <v/>
      </c>
      <c r="M229" s="61" t="str">
        <f t="shared" si="32"/>
        <v/>
      </c>
      <c r="N229" s="62">
        <v>66068309</v>
      </c>
      <c r="O229" s="62">
        <f t="shared" si="28"/>
        <v>0</v>
      </c>
      <c r="P229" s="116"/>
      <c r="Q229" s="119"/>
      <c r="R229" s="20">
        <f t="shared" si="34"/>
        <v>1</v>
      </c>
      <c r="S229" s="20">
        <f t="shared" si="29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7"/>
        <v/>
      </c>
      <c r="J230" s="60" t="str">
        <f>IF(E230="","",+(E230-E229)*4140)</f>
        <v/>
      </c>
      <c r="K230" s="61" t="str">
        <f t="shared" si="30"/>
        <v/>
      </c>
      <c r="L230" s="60" t="str">
        <f t="shared" si="33"/>
        <v/>
      </c>
      <c r="M230" s="61" t="str">
        <f t="shared" si="32"/>
        <v/>
      </c>
      <c r="N230" s="62">
        <v>66068309</v>
      </c>
      <c r="O230" s="62">
        <f t="shared" si="28"/>
        <v>0</v>
      </c>
      <c r="P230" s="116"/>
      <c r="Q230" s="119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7"/>
        <v/>
      </c>
      <c r="J231" s="60" t="str">
        <f t="shared" si="27"/>
        <v/>
      </c>
      <c r="K231" s="61" t="str">
        <f t="shared" si="30"/>
        <v/>
      </c>
      <c r="L231" s="60" t="str">
        <f t="shared" si="33"/>
        <v/>
      </c>
      <c r="M231" s="61" t="str">
        <f t="shared" si="32"/>
        <v/>
      </c>
      <c r="N231" s="62">
        <v>66068309</v>
      </c>
      <c r="O231" s="62">
        <f t="shared" si="28"/>
        <v>0</v>
      </c>
      <c r="P231" s="116"/>
      <c r="Q231" s="119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7"/>
        <v/>
      </c>
      <c r="J232" s="60" t="str">
        <f t="shared" si="27"/>
        <v/>
      </c>
      <c r="K232" s="61" t="str">
        <f t="shared" si="30"/>
        <v/>
      </c>
      <c r="L232" s="60" t="str">
        <f t="shared" si="33"/>
        <v/>
      </c>
      <c r="M232" s="61" t="str">
        <f t="shared" si="32"/>
        <v/>
      </c>
      <c r="N232" s="62">
        <v>66068309</v>
      </c>
      <c r="O232" s="62">
        <f t="shared" si="28"/>
        <v>0</v>
      </c>
      <c r="P232" s="116"/>
      <c r="Q232" s="117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7"/>
        <v/>
      </c>
      <c r="J233" s="60" t="str">
        <f t="shared" si="27"/>
        <v/>
      </c>
      <c r="K233" s="61" t="str">
        <f t="shared" si="30"/>
        <v/>
      </c>
      <c r="L233" s="60" t="str">
        <f t="shared" si="33"/>
        <v/>
      </c>
      <c r="M233" s="61" t="str">
        <f t="shared" si="32"/>
        <v/>
      </c>
      <c r="N233" s="62">
        <v>66068309</v>
      </c>
      <c r="O233" s="62">
        <f t="shared" si="28"/>
        <v>0</v>
      </c>
      <c r="P233" s="120"/>
      <c r="Q233" s="121"/>
      <c r="R233" s="20">
        <f t="shared" si="34"/>
        <v>1</v>
      </c>
      <c r="S233" s="20">
        <f t="shared" si="29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7"/>
        <v/>
      </c>
      <c r="J234" s="60" t="str">
        <f t="shared" si="27"/>
        <v/>
      </c>
      <c r="K234" s="61" t="str">
        <f t="shared" si="30"/>
        <v/>
      </c>
      <c r="L234" s="60" t="str">
        <f t="shared" si="33"/>
        <v/>
      </c>
      <c r="M234" s="61" t="str">
        <f t="shared" si="32"/>
        <v/>
      </c>
      <c r="N234" s="62">
        <v>66068309</v>
      </c>
      <c r="O234" s="62">
        <f t="shared" si="28"/>
        <v>0</v>
      </c>
      <c r="P234" s="205" t="s">
        <v>65</v>
      </c>
      <c r="Q234" s="206"/>
      <c r="R234" s="20">
        <f t="shared" si="34"/>
        <v>1</v>
      </c>
      <c r="S234" s="20">
        <f t="shared" si="29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7"/>
        <v/>
      </c>
      <c r="J235" s="60" t="str">
        <f t="shared" si="27"/>
        <v/>
      </c>
      <c r="K235" s="61" t="str">
        <f t="shared" si="30"/>
        <v/>
      </c>
      <c r="L235" s="60" t="str">
        <f>IF(F235="","",+(F235-F234)*4140)</f>
        <v/>
      </c>
      <c r="M235" s="61" t="str">
        <f t="shared" si="32"/>
        <v/>
      </c>
      <c r="N235" s="62">
        <v>66068309</v>
      </c>
      <c r="O235" s="62">
        <f t="shared" si="28"/>
        <v>0</v>
      </c>
      <c r="P235" s="203"/>
      <c r="Q235" s="204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7"/>
        <v/>
      </c>
      <c r="J236" s="60" t="str">
        <f t="shared" si="27"/>
        <v/>
      </c>
      <c r="K236" s="61" t="str">
        <f t="shared" si="30"/>
        <v/>
      </c>
      <c r="L236" s="60" t="str">
        <f t="shared" si="33"/>
        <v/>
      </c>
      <c r="M236" s="61" t="str">
        <f t="shared" si="32"/>
        <v/>
      </c>
      <c r="N236" s="62">
        <v>66068309</v>
      </c>
      <c r="O236" s="62">
        <f t="shared" si="28"/>
        <v>0</v>
      </c>
      <c r="P236" s="70" t="s">
        <v>46</v>
      </c>
      <c r="Q236" s="70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7"/>
        <v/>
      </c>
      <c r="J237" s="60" t="str">
        <f t="shared" si="27"/>
        <v/>
      </c>
      <c r="K237" s="61" t="str">
        <f t="shared" si="30"/>
        <v/>
      </c>
      <c r="L237" s="60" t="str">
        <f t="shared" si="33"/>
        <v/>
      </c>
      <c r="M237" s="61" t="str">
        <f t="shared" si="32"/>
        <v/>
      </c>
      <c r="N237" s="62">
        <v>66068309</v>
      </c>
      <c r="O237" s="62">
        <f t="shared" si="28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7"/>
        <v/>
      </c>
      <c r="J238" s="60" t="str">
        <f t="shared" si="27"/>
        <v/>
      </c>
      <c r="K238" s="61" t="str">
        <f t="shared" si="30"/>
        <v/>
      </c>
      <c r="L238" s="60" t="str">
        <f t="shared" si="33"/>
        <v/>
      </c>
      <c r="M238" s="61" t="str">
        <f t="shared" si="32"/>
        <v/>
      </c>
      <c r="N238" s="62">
        <v>66068309</v>
      </c>
      <c r="O238" s="62">
        <f t="shared" si="28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7"/>
        <v/>
      </c>
      <c r="J239" s="60" t="str">
        <f t="shared" si="27"/>
        <v/>
      </c>
      <c r="K239" s="61" t="str">
        <f t="shared" si="30"/>
        <v/>
      </c>
      <c r="L239" s="60" t="str">
        <f t="shared" si="33"/>
        <v/>
      </c>
      <c r="M239" s="61" t="str">
        <f t="shared" si="32"/>
        <v/>
      </c>
      <c r="N239" s="62">
        <v>66068309</v>
      </c>
      <c r="O239" s="62">
        <f t="shared" si="28"/>
        <v>0</v>
      </c>
      <c r="P239" s="73" t="s">
        <v>48</v>
      </c>
      <c r="Q239" s="74" t="s">
        <v>49</v>
      </c>
      <c r="R239" s="20">
        <f t="shared" si="34"/>
        <v>1</v>
      </c>
      <c r="S239" s="20">
        <f t="shared" si="29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7"/>
        <v/>
      </c>
      <c r="J240" s="60" t="str">
        <f t="shared" si="27"/>
        <v/>
      </c>
      <c r="K240" s="61" t="str">
        <f t="shared" si="30"/>
        <v/>
      </c>
      <c r="L240" s="60" t="str">
        <f t="shared" si="33"/>
        <v/>
      </c>
      <c r="M240" s="61" t="str">
        <f t="shared" si="32"/>
        <v/>
      </c>
      <c r="N240" s="62">
        <v>66068309</v>
      </c>
      <c r="O240" s="62">
        <f t="shared" si="28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4"/>
        <v>1</v>
      </c>
      <c r="S240" s="20">
        <f t="shared" si="29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7"/>
        <v/>
      </c>
      <c r="J241" s="60" t="str">
        <f t="shared" si="27"/>
        <v/>
      </c>
      <c r="K241" s="61" t="str">
        <f t="shared" si="30"/>
        <v/>
      </c>
      <c r="L241" s="60" t="str">
        <f t="shared" si="33"/>
        <v/>
      </c>
      <c r="M241" s="61" t="str">
        <f t="shared" si="32"/>
        <v/>
      </c>
      <c r="N241" s="62">
        <v>66068309</v>
      </c>
      <c r="O241" s="62">
        <f t="shared" si="28"/>
        <v>0</v>
      </c>
      <c r="P241" s="77" t="s">
        <v>50</v>
      </c>
      <c r="Q241" s="78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7"/>
        <v/>
      </c>
      <c r="J242" s="60" t="str">
        <f t="shared" si="27"/>
        <v/>
      </c>
      <c r="K242" s="61" t="str">
        <f t="shared" si="30"/>
        <v/>
      </c>
      <c r="L242" s="60" t="str">
        <f t="shared" si="33"/>
        <v/>
      </c>
      <c r="M242" s="61" t="str">
        <f t="shared" si="32"/>
        <v/>
      </c>
      <c r="N242" s="62">
        <v>66068309</v>
      </c>
      <c r="O242" s="62">
        <f t="shared" si="28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7"/>
        <v/>
      </c>
      <c r="J243" s="60" t="str">
        <f t="shared" si="27"/>
        <v/>
      </c>
      <c r="K243" s="61" t="str">
        <f t="shared" si="30"/>
        <v/>
      </c>
      <c r="L243" s="60" t="str">
        <f t="shared" si="33"/>
        <v/>
      </c>
      <c r="M243" s="61" t="str">
        <f t="shared" si="32"/>
        <v/>
      </c>
      <c r="N243" s="62">
        <v>66068309</v>
      </c>
      <c r="O243" s="62">
        <f t="shared" si="28"/>
        <v>0</v>
      </c>
      <c r="P243" s="81" t="s">
        <v>52</v>
      </c>
      <c r="Q243" s="82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7"/>
        <v/>
      </c>
      <c r="J244" s="60" t="str">
        <f t="shared" si="27"/>
        <v/>
      </c>
      <c r="K244" s="61" t="str">
        <f t="shared" si="30"/>
        <v/>
      </c>
      <c r="L244" s="60" t="str">
        <f t="shared" si="33"/>
        <v/>
      </c>
      <c r="M244" s="61" t="str">
        <f t="shared" si="32"/>
        <v/>
      </c>
      <c r="N244" s="62">
        <v>66068309</v>
      </c>
      <c r="O244" s="62">
        <f t="shared" si="28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7"/>
        <v/>
      </c>
      <c r="J245" s="60" t="str">
        <f t="shared" si="27"/>
        <v/>
      </c>
      <c r="K245" s="61" t="str">
        <f t="shared" si="30"/>
        <v/>
      </c>
      <c r="L245" s="60" t="str">
        <f t="shared" si="33"/>
        <v/>
      </c>
      <c r="M245" s="61" t="str">
        <f t="shared" si="32"/>
        <v/>
      </c>
      <c r="N245" s="62">
        <v>66068309</v>
      </c>
      <c r="O245" s="62">
        <f t="shared" si="28"/>
        <v>0</v>
      </c>
      <c r="P245" s="86" t="s">
        <v>54</v>
      </c>
      <c r="Q245" s="87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7"/>
        <v/>
      </c>
      <c r="J246" s="91" t="str">
        <f t="shared" si="27"/>
        <v/>
      </c>
      <c r="K246" s="61" t="str">
        <f t="shared" si="30"/>
        <v/>
      </c>
      <c r="L246" s="91" t="str">
        <f t="shared" si="33"/>
        <v/>
      </c>
      <c r="M246" s="61" t="str">
        <f t="shared" si="32"/>
        <v/>
      </c>
      <c r="N246" s="93">
        <v>66068309</v>
      </c>
      <c r="O246" s="94">
        <f t="shared" si="28"/>
        <v>0</v>
      </c>
      <c r="P246" s="95">
        <f>(P244+Q242*SUM(S216:S246)*Q247)</f>
        <v>0</v>
      </c>
      <c r="Q246" s="96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30"/>
        <v/>
      </c>
      <c r="L247" s="60" t="str">
        <f t="shared" si="33"/>
        <v/>
      </c>
      <c r="M247" s="61" t="str">
        <f t="shared" si="32"/>
        <v/>
      </c>
      <c r="N247" s="62">
        <v>66068309</v>
      </c>
      <c r="O247" s="62">
        <f t="shared" si="28"/>
        <v>0</v>
      </c>
      <c r="P247" s="97" t="s">
        <v>56</v>
      </c>
      <c r="Q247" s="98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7"/>
        <v/>
      </c>
      <c r="J248" s="60" t="str">
        <f t="shared" si="27"/>
        <v/>
      </c>
      <c r="K248" s="61" t="str">
        <f t="shared" si="30"/>
        <v/>
      </c>
      <c r="L248" s="60" t="str">
        <f t="shared" si="33"/>
        <v/>
      </c>
      <c r="M248" s="61" t="str">
        <f t="shared" si="32"/>
        <v/>
      </c>
      <c r="N248" s="62">
        <v>66068309</v>
      </c>
      <c r="O248" s="62">
        <f t="shared" si="28"/>
        <v>0</v>
      </c>
      <c r="P248" s="63"/>
      <c r="Q248" s="105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7"/>
        <v/>
      </c>
      <c r="J249" s="60" t="str">
        <f t="shared" si="27"/>
        <v/>
      </c>
      <c r="K249" s="61" t="str">
        <f t="shared" si="30"/>
        <v/>
      </c>
      <c r="L249" s="60" t="str">
        <f t="shared" si="33"/>
        <v/>
      </c>
      <c r="M249" s="61" t="str">
        <f t="shared" si="32"/>
        <v/>
      </c>
      <c r="N249" s="62">
        <v>66068309</v>
      </c>
      <c r="O249" s="62">
        <f t="shared" si="28"/>
        <v>0</v>
      </c>
      <c r="P249" s="63"/>
      <c r="Q249" s="105"/>
      <c r="R249" s="20">
        <f t="shared" si="34"/>
        <v>1</v>
      </c>
      <c r="S249" s="20">
        <f t="shared" si="29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7"/>
        <v/>
      </c>
      <c r="J250" s="60" t="str">
        <f t="shared" si="27"/>
        <v/>
      </c>
      <c r="K250" s="61" t="str">
        <f t="shared" si="30"/>
        <v/>
      </c>
      <c r="L250" s="60" t="str">
        <f t="shared" si="33"/>
        <v/>
      </c>
      <c r="M250" s="61" t="str">
        <f t="shared" si="32"/>
        <v/>
      </c>
      <c r="N250" s="62">
        <v>66068309</v>
      </c>
      <c r="O250" s="62">
        <f t="shared" si="28"/>
        <v>0</v>
      </c>
      <c r="P250" s="63"/>
      <c r="Q250" s="105"/>
      <c r="R250" s="20">
        <f>IF(N250="",0,1)</f>
        <v>1</v>
      </c>
      <c r="S250" s="20">
        <f t="shared" si="29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7"/>
        <v/>
      </c>
      <c r="J251" s="60" t="str">
        <f t="shared" si="27"/>
        <v/>
      </c>
      <c r="K251" s="61" t="str">
        <f t="shared" si="30"/>
        <v/>
      </c>
      <c r="L251" s="60" t="str">
        <f t="shared" si="33"/>
        <v/>
      </c>
      <c r="M251" s="61" t="str">
        <f t="shared" si="32"/>
        <v/>
      </c>
      <c r="N251" s="62">
        <v>66068309</v>
      </c>
      <c r="O251" s="62">
        <f t="shared" si="28"/>
        <v>0</v>
      </c>
      <c r="P251" s="122"/>
      <c r="Q251" s="123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7"/>
        <v/>
      </c>
      <c r="J252" s="60" t="str">
        <f t="shared" si="27"/>
        <v/>
      </c>
      <c r="K252" s="61" t="str">
        <f t="shared" si="30"/>
        <v/>
      </c>
      <c r="L252" s="60" t="str">
        <f t="shared" si="33"/>
        <v/>
      </c>
      <c r="M252" s="61" t="str">
        <f t="shared" si="32"/>
        <v/>
      </c>
      <c r="N252" s="62">
        <v>66068309</v>
      </c>
      <c r="O252" s="62">
        <f t="shared" si="28"/>
        <v>0</v>
      </c>
      <c r="P252" s="124"/>
      <c r="Q252" s="125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7"/>
        <v/>
      </c>
      <c r="J253" s="60" t="str">
        <f t="shared" si="27"/>
        <v/>
      </c>
      <c r="K253" s="61" t="str">
        <f t="shared" si="30"/>
        <v/>
      </c>
      <c r="L253" s="60" t="str">
        <f t="shared" si="33"/>
        <v/>
      </c>
      <c r="M253" s="61" t="str">
        <f t="shared" si="32"/>
        <v/>
      </c>
      <c r="N253" s="62">
        <v>66068309</v>
      </c>
      <c r="O253" s="62">
        <f t="shared" si="28"/>
        <v>0</v>
      </c>
      <c r="P253" s="126"/>
      <c r="Q253" s="127"/>
      <c r="R253" s="20">
        <f t="shared" ref="R253:R316" si="35">IF(N253="",0,1)</f>
        <v>1</v>
      </c>
      <c r="S253" s="20">
        <f t="shared" si="29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7"/>
        <v/>
      </c>
      <c r="J254" s="60" t="str">
        <f t="shared" si="27"/>
        <v/>
      </c>
      <c r="K254" s="61" t="str">
        <f t="shared" si="30"/>
        <v/>
      </c>
      <c r="L254" s="60" t="str">
        <f t="shared" si="33"/>
        <v/>
      </c>
      <c r="M254" s="61" t="str">
        <f t="shared" si="32"/>
        <v/>
      </c>
      <c r="N254" s="62">
        <v>66068309</v>
      </c>
      <c r="O254" s="62">
        <f t="shared" si="28"/>
        <v>0</v>
      </c>
      <c r="P254" s="63"/>
      <c r="Q254" s="65"/>
      <c r="R254" s="20">
        <f t="shared" si="35"/>
        <v>1</v>
      </c>
      <c r="S254" s="20">
        <f t="shared" si="29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7"/>
        <v/>
      </c>
      <c r="J255" s="60" t="str">
        <f t="shared" si="27"/>
        <v/>
      </c>
      <c r="K255" s="61" t="str">
        <f t="shared" si="30"/>
        <v/>
      </c>
      <c r="L255" s="60" t="str">
        <f t="shared" si="33"/>
        <v/>
      </c>
      <c r="M255" s="61" t="str">
        <f t="shared" si="32"/>
        <v/>
      </c>
      <c r="N255" s="62">
        <v>66068309</v>
      </c>
      <c r="O255" s="62">
        <f t="shared" si="28"/>
        <v>0</v>
      </c>
      <c r="P255" s="63"/>
      <c r="Q255" s="65"/>
      <c r="R255" s="20">
        <f t="shared" si="35"/>
        <v>1</v>
      </c>
      <c r="S255" s="20">
        <f t="shared" si="29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7"/>
        <v/>
      </c>
      <c r="J256" s="60" t="str">
        <f t="shared" si="27"/>
        <v/>
      </c>
      <c r="K256" s="61" t="str">
        <f t="shared" si="30"/>
        <v/>
      </c>
      <c r="L256" s="60" t="str">
        <f t="shared" si="33"/>
        <v/>
      </c>
      <c r="M256" s="61" t="str">
        <f t="shared" si="32"/>
        <v/>
      </c>
      <c r="N256" s="62">
        <v>66068309</v>
      </c>
      <c r="O256" s="62">
        <f t="shared" si="28"/>
        <v>0</v>
      </c>
      <c r="P256" s="63"/>
      <c r="Q256" s="64"/>
      <c r="R256" s="20">
        <f t="shared" si="35"/>
        <v>1</v>
      </c>
      <c r="S256" s="20">
        <f t="shared" si="29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7"/>
        <v/>
      </c>
      <c r="J257" s="60" t="str">
        <f t="shared" si="27"/>
        <v/>
      </c>
      <c r="K257" s="61" t="str">
        <f t="shared" si="30"/>
        <v/>
      </c>
      <c r="L257" s="60" t="str">
        <f>IF(F257="","",+(F257-F256)*4140)</f>
        <v/>
      </c>
      <c r="M257" s="61" t="str">
        <f t="shared" si="32"/>
        <v/>
      </c>
      <c r="N257" s="62">
        <v>66068309</v>
      </c>
      <c r="O257" s="62">
        <f t="shared" si="28"/>
        <v>0</v>
      </c>
      <c r="P257" s="63"/>
      <c r="Q257" s="64"/>
      <c r="R257" s="20">
        <f t="shared" si="35"/>
        <v>1</v>
      </c>
      <c r="S257" s="20">
        <f t="shared" si="29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7"/>
        <v/>
      </c>
      <c r="J258" s="60" t="str">
        <f t="shared" si="27"/>
        <v/>
      </c>
      <c r="K258" s="61" t="str">
        <f t="shared" si="30"/>
        <v/>
      </c>
      <c r="L258" s="60" t="str">
        <f t="shared" si="33"/>
        <v/>
      </c>
      <c r="M258" s="61" t="str">
        <f t="shared" si="32"/>
        <v/>
      </c>
      <c r="N258" s="62">
        <v>66068309</v>
      </c>
      <c r="O258" s="62">
        <f t="shared" si="28"/>
        <v>0</v>
      </c>
      <c r="P258" s="63"/>
      <c r="Q258" s="65"/>
      <c r="R258" s="20">
        <f t="shared" si="35"/>
        <v>1</v>
      </c>
      <c r="S258" s="20">
        <f t="shared" si="29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7"/>
        <v/>
      </c>
      <c r="J259" s="60" t="str">
        <f t="shared" si="27"/>
        <v/>
      </c>
      <c r="K259" s="61" t="str">
        <f t="shared" si="30"/>
        <v/>
      </c>
      <c r="L259" s="60" t="str">
        <f t="shared" si="33"/>
        <v/>
      </c>
      <c r="M259" s="61" t="str">
        <f t="shared" si="32"/>
        <v/>
      </c>
      <c r="N259" s="62">
        <v>66068309</v>
      </c>
      <c r="O259" s="62">
        <f t="shared" si="28"/>
        <v>0</v>
      </c>
      <c r="P259" s="63"/>
      <c r="Q259" s="65"/>
      <c r="R259" s="20">
        <f t="shared" si="35"/>
        <v>1</v>
      </c>
      <c r="S259" s="20">
        <f t="shared" si="29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6">IF(E260="","",+(E260-E259)*4140)</f>
        <v/>
      </c>
      <c r="K260" s="61" t="str">
        <f t="shared" si="30"/>
        <v/>
      </c>
      <c r="L260" s="60" t="str">
        <f t="shared" si="33"/>
        <v/>
      </c>
      <c r="M260" s="61" t="str">
        <f t="shared" si="32"/>
        <v/>
      </c>
      <c r="N260" s="62">
        <v>66068309</v>
      </c>
      <c r="O260" s="62">
        <f t="shared" si="28"/>
        <v>0</v>
      </c>
      <c r="P260" s="63"/>
      <c r="Q260" s="64"/>
      <c r="R260" s="20">
        <f t="shared" si="35"/>
        <v>1</v>
      </c>
      <c r="S260" s="20">
        <f t="shared" si="29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7">IF(D261="","",+(D261-D260)*4140)</f>
        <v/>
      </c>
      <c r="J261" s="60" t="str">
        <f t="shared" si="36"/>
        <v/>
      </c>
      <c r="K261" s="61" t="str">
        <f t="shared" si="30"/>
        <v/>
      </c>
      <c r="L261" s="60" t="str">
        <f t="shared" ref="L261:L324" si="38">IF(F261="","",+(F261-F260)*4140)</f>
        <v/>
      </c>
      <c r="M261" s="61" t="str">
        <f t="shared" si="32"/>
        <v/>
      </c>
      <c r="N261" s="62">
        <v>66068309</v>
      </c>
      <c r="O261" s="62">
        <f t="shared" si="28"/>
        <v>0</v>
      </c>
      <c r="P261" s="63"/>
      <c r="Q261" s="64"/>
      <c r="R261" s="20">
        <f t="shared" si="35"/>
        <v>1</v>
      </c>
      <c r="S261" s="20">
        <f t="shared" si="29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7"/>
        <v/>
      </c>
      <c r="J262" s="60" t="str">
        <f t="shared" si="36"/>
        <v/>
      </c>
      <c r="K262" s="61" t="str">
        <f t="shared" si="30"/>
        <v/>
      </c>
      <c r="L262" s="60" t="str">
        <f t="shared" si="38"/>
        <v/>
      </c>
      <c r="M262" s="61" t="str">
        <f t="shared" si="32"/>
        <v/>
      </c>
      <c r="N262" s="62">
        <v>66068309</v>
      </c>
      <c r="O262" s="62">
        <f t="shared" ref="O262:O314" si="39">IF(N262="","",N262-N261)</f>
        <v>0</v>
      </c>
      <c r="P262" s="63"/>
      <c r="Q262" s="64"/>
      <c r="R262" s="20">
        <f t="shared" si="35"/>
        <v>1</v>
      </c>
      <c r="S262" s="20">
        <f t="shared" si="29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7"/>
        <v/>
      </c>
      <c r="J263" s="60" t="str">
        <f t="shared" si="36"/>
        <v/>
      </c>
      <c r="K263" s="61" t="str">
        <f t="shared" si="30"/>
        <v/>
      </c>
      <c r="L263" s="60" t="str">
        <f t="shared" si="38"/>
        <v/>
      </c>
      <c r="M263" s="61" t="str">
        <f t="shared" si="32"/>
        <v/>
      </c>
      <c r="N263" s="62">
        <v>66068309</v>
      </c>
      <c r="O263" s="62">
        <f t="shared" si="39"/>
        <v>0</v>
      </c>
      <c r="P263" s="63"/>
      <c r="Q263" s="105"/>
      <c r="R263" s="20">
        <f t="shared" si="35"/>
        <v>1</v>
      </c>
      <c r="S263" s="20">
        <f t="shared" si="29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7"/>
        <v/>
      </c>
      <c r="J264" s="60" t="str">
        <f t="shared" si="36"/>
        <v/>
      </c>
      <c r="K264" s="61" t="str">
        <f t="shared" si="30"/>
        <v/>
      </c>
      <c r="L264" s="60" t="str">
        <f t="shared" si="38"/>
        <v/>
      </c>
      <c r="M264" s="61" t="str">
        <f t="shared" si="32"/>
        <v/>
      </c>
      <c r="N264" s="62">
        <v>66068309</v>
      </c>
      <c r="O264" s="62">
        <f t="shared" si="39"/>
        <v>0</v>
      </c>
      <c r="P264" s="201" t="s">
        <v>66</v>
      </c>
      <c r="Q264" s="202"/>
      <c r="R264" s="20">
        <f t="shared" si="35"/>
        <v>1</v>
      </c>
      <c r="S264" s="20">
        <f t="shared" ref="S264:S327" si="40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7"/>
        <v/>
      </c>
      <c r="J265" s="60" t="str">
        <f t="shared" si="36"/>
        <v/>
      </c>
      <c r="K265" s="61" t="str">
        <f t="shared" si="30"/>
        <v/>
      </c>
      <c r="L265" s="60" t="str">
        <f t="shared" si="38"/>
        <v/>
      </c>
      <c r="M265" s="61" t="str">
        <f t="shared" si="32"/>
        <v/>
      </c>
      <c r="N265" s="62">
        <v>66068309</v>
      </c>
      <c r="O265" s="62">
        <f t="shared" si="39"/>
        <v>0</v>
      </c>
      <c r="P265" s="203"/>
      <c r="Q265" s="204"/>
      <c r="R265" s="20">
        <f t="shared" si="35"/>
        <v>1</v>
      </c>
      <c r="S265" s="20">
        <f t="shared" si="40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7"/>
        <v/>
      </c>
      <c r="J266" s="60" t="str">
        <f t="shared" si="36"/>
        <v/>
      </c>
      <c r="K266" s="61" t="str">
        <f t="shared" si="30"/>
        <v/>
      </c>
      <c r="L266" s="60" t="str">
        <f t="shared" si="38"/>
        <v/>
      </c>
      <c r="M266" s="61" t="str">
        <f t="shared" si="32"/>
        <v/>
      </c>
      <c r="N266" s="62">
        <v>66068309</v>
      </c>
      <c r="O266" s="62">
        <f t="shared" si="39"/>
        <v>0</v>
      </c>
      <c r="P266" s="70" t="s">
        <v>46</v>
      </c>
      <c r="Q266" s="70" t="s">
        <v>47</v>
      </c>
      <c r="R266" s="20">
        <f t="shared" si="35"/>
        <v>1</v>
      </c>
      <c r="S266" s="20">
        <f t="shared" si="40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7"/>
        <v/>
      </c>
      <c r="J267" s="60" t="str">
        <f t="shared" si="36"/>
        <v/>
      </c>
      <c r="K267" s="61" t="str">
        <f t="shared" si="30"/>
        <v/>
      </c>
      <c r="L267" s="60" t="str">
        <f t="shared" si="38"/>
        <v/>
      </c>
      <c r="M267" s="61" t="str">
        <f t="shared" si="32"/>
        <v/>
      </c>
      <c r="N267" s="62">
        <v>66068309</v>
      </c>
      <c r="O267" s="62">
        <f t="shared" si="39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5"/>
        <v>1</v>
      </c>
      <c r="S267" s="20">
        <f t="shared" si="40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7"/>
        <v/>
      </c>
      <c r="J268" s="60" t="str">
        <f t="shared" si="36"/>
        <v/>
      </c>
      <c r="K268" s="61" t="str">
        <f t="shared" si="30"/>
        <v/>
      </c>
      <c r="L268" s="60" t="str">
        <f t="shared" si="38"/>
        <v/>
      </c>
      <c r="M268" s="61" t="str">
        <f t="shared" si="32"/>
        <v/>
      </c>
      <c r="N268" s="62">
        <v>66068309</v>
      </c>
      <c r="O268" s="62">
        <f t="shared" si="39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5"/>
        <v>1</v>
      </c>
      <c r="S268" s="20">
        <f t="shared" si="40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7"/>
        <v/>
      </c>
      <c r="J269" s="60" t="str">
        <f t="shared" si="36"/>
        <v/>
      </c>
      <c r="K269" s="61" t="str">
        <f t="shared" ref="K269:K332" si="41">IF(J269="","",+(J269/I269))</f>
        <v/>
      </c>
      <c r="L269" s="60" t="str">
        <f t="shared" si="38"/>
        <v/>
      </c>
      <c r="M269" s="61" t="str">
        <f t="shared" ref="M269:M332" si="42">IF(L269="","",(L269/I269))</f>
        <v/>
      </c>
      <c r="N269" s="62">
        <v>66068309</v>
      </c>
      <c r="O269" s="62">
        <f t="shared" si="39"/>
        <v>0</v>
      </c>
      <c r="P269" s="73" t="s">
        <v>48</v>
      </c>
      <c r="Q269" s="74" t="s">
        <v>49</v>
      </c>
      <c r="R269" s="20">
        <f t="shared" si="35"/>
        <v>1</v>
      </c>
      <c r="S269" s="20">
        <f t="shared" si="40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7"/>
        <v/>
      </c>
      <c r="J270" s="60" t="str">
        <f t="shared" si="36"/>
        <v/>
      </c>
      <c r="K270" s="61" t="str">
        <f t="shared" si="41"/>
        <v/>
      </c>
      <c r="L270" s="60" t="str">
        <f t="shared" si="38"/>
        <v/>
      </c>
      <c r="M270" s="61" t="str">
        <f t="shared" si="42"/>
        <v/>
      </c>
      <c r="N270" s="62">
        <v>66068309</v>
      </c>
      <c r="O270" s="62">
        <f t="shared" si="39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5"/>
        <v>1</v>
      </c>
      <c r="S270" s="20">
        <f t="shared" si="40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7"/>
        <v/>
      </c>
      <c r="J271" s="60" t="str">
        <f t="shared" si="36"/>
        <v/>
      </c>
      <c r="K271" s="61" t="str">
        <f t="shared" si="41"/>
        <v/>
      </c>
      <c r="L271" s="60" t="str">
        <f t="shared" si="38"/>
        <v/>
      </c>
      <c r="M271" s="61" t="str">
        <f t="shared" si="42"/>
        <v/>
      </c>
      <c r="N271" s="62">
        <v>66068309</v>
      </c>
      <c r="O271" s="62">
        <f t="shared" si="39"/>
        <v>0</v>
      </c>
      <c r="P271" s="77" t="s">
        <v>50</v>
      </c>
      <c r="Q271" s="78" t="s">
        <v>58</v>
      </c>
      <c r="R271" s="20">
        <f t="shared" si="35"/>
        <v>1</v>
      </c>
      <c r="S271" s="20">
        <f t="shared" si="40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7"/>
        <v/>
      </c>
      <c r="J272" s="60" t="str">
        <f t="shared" si="36"/>
        <v/>
      </c>
      <c r="K272" s="61" t="str">
        <f t="shared" si="41"/>
        <v/>
      </c>
      <c r="L272" s="60" t="str">
        <f t="shared" si="38"/>
        <v/>
      </c>
      <c r="M272" s="61" t="str">
        <f t="shared" si="42"/>
        <v/>
      </c>
      <c r="N272" s="62">
        <v>66068309</v>
      </c>
      <c r="O272" s="62">
        <f t="shared" si="39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5"/>
        <v>1</v>
      </c>
      <c r="S272" s="20">
        <f t="shared" si="40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7"/>
        <v/>
      </c>
      <c r="J273" s="60" t="str">
        <f t="shared" si="36"/>
        <v/>
      </c>
      <c r="K273" s="61" t="str">
        <f t="shared" si="41"/>
        <v/>
      </c>
      <c r="L273" s="60" t="str">
        <f t="shared" si="38"/>
        <v/>
      </c>
      <c r="M273" s="61" t="str">
        <f t="shared" si="42"/>
        <v/>
      </c>
      <c r="N273" s="62">
        <v>66068309</v>
      </c>
      <c r="O273" s="62">
        <f t="shared" si="39"/>
        <v>0</v>
      </c>
      <c r="P273" s="81" t="s">
        <v>52</v>
      </c>
      <c r="Q273" s="82" t="s">
        <v>59</v>
      </c>
      <c r="R273" s="20">
        <f t="shared" si="35"/>
        <v>1</v>
      </c>
      <c r="S273" s="20">
        <f t="shared" si="40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7"/>
        <v/>
      </c>
      <c r="J274" s="60" t="str">
        <f t="shared" si="36"/>
        <v/>
      </c>
      <c r="K274" s="61" t="str">
        <f t="shared" si="41"/>
        <v/>
      </c>
      <c r="L274" s="60" t="str">
        <f t="shared" si="38"/>
        <v/>
      </c>
      <c r="M274" s="61" t="str">
        <f t="shared" si="42"/>
        <v/>
      </c>
      <c r="N274" s="62">
        <v>66068309</v>
      </c>
      <c r="O274" s="62">
        <f t="shared" si="39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5"/>
        <v>1</v>
      </c>
      <c r="S274" s="20">
        <f t="shared" si="40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6"/>
        <v/>
      </c>
      <c r="K275" s="61" t="str">
        <f t="shared" si="41"/>
        <v/>
      </c>
      <c r="L275" s="60" t="str">
        <f t="shared" si="38"/>
        <v/>
      </c>
      <c r="M275" s="61" t="str">
        <f t="shared" si="42"/>
        <v/>
      </c>
      <c r="N275" s="62">
        <v>66068309</v>
      </c>
      <c r="O275" s="62">
        <f t="shared" si="39"/>
        <v>0</v>
      </c>
      <c r="P275" s="86" t="s">
        <v>54</v>
      </c>
      <c r="Q275" s="87" t="s">
        <v>55</v>
      </c>
      <c r="R275" s="20">
        <f t="shared" si="35"/>
        <v>1</v>
      </c>
      <c r="S275" s="20">
        <f t="shared" si="40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7"/>
        <v/>
      </c>
      <c r="J276" s="91" t="str">
        <f t="shared" si="36"/>
        <v/>
      </c>
      <c r="K276" s="61" t="str">
        <f t="shared" si="41"/>
        <v/>
      </c>
      <c r="L276" s="91" t="str">
        <f t="shared" si="38"/>
        <v/>
      </c>
      <c r="M276" s="61" t="str">
        <f t="shared" si="42"/>
        <v/>
      </c>
      <c r="N276" s="93">
        <v>66068309</v>
      </c>
      <c r="O276" s="94">
        <f t="shared" si="39"/>
        <v>0</v>
      </c>
      <c r="P276" s="128">
        <f>(P274+Q272*SUM(S247:S276)*Q277)</f>
        <v>0</v>
      </c>
      <c r="Q276" s="96">
        <f>Q272*30</f>
        <v>0</v>
      </c>
      <c r="R276" s="20">
        <f t="shared" si="35"/>
        <v>1</v>
      </c>
      <c r="S276" s="20">
        <f t="shared" si="40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7"/>
        <v/>
      </c>
      <c r="J277" s="60" t="str">
        <f t="shared" si="36"/>
        <v/>
      </c>
      <c r="K277" s="61" t="str">
        <f t="shared" si="41"/>
        <v/>
      </c>
      <c r="L277" s="60" t="str">
        <f t="shared" si="38"/>
        <v/>
      </c>
      <c r="M277" s="61" t="str">
        <f t="shared" si="42"/>
        <v/>
      </c>
      <c r="N277" s="62">
        <v>66068309</v>
      </c>
      <c r="O277" s="62">
        <f t="shared" si="39"/>
        <v>0</v>
      </c>
      <c r="P277" s="97" t="s">
        <v>56</v>
      </c>
      <c r="Q277" s="98">
        <v>0.56999999999999995</v>
      </c>
      <c r="R277" s="20">
        <f t="shared" si="35"/>
        <v>1</v>
      </c>
      <c r="S277" s="20">
        <f t="shared" si="40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7"/>
        <v/>
      </c>
      <c r="J278" s="60" t="str">
        <f t="shared" si="36"/>
        <v/>
      </c>
      <c r="K278" s="61" t="str">
        <f t="shared" si="41"/>
        <v/>
      </c>
      <c r="L278" s="60" t="str">
        <f t="shared" si="38"/>
        <v/>
      </c>
      <c r="M278" s="61" t="str">
        <f t="shared" si="42"/>
        <v/>
      </c>
      <c r="N278" s="62">
        <v>66068309</v>
      </c>
      <c r="O278" s="62">
        <f t="shared" si="39"/>
        <v>0</v>
      </c>
      <c r="P278" s="63"/>
      <c r="Q278" s="105"/>
      <c r="R278" s="20">
        <f t="shared" si="35"/>
        <v>1</v>
      </c>
      <c r="S278" s="20">
        <f t="shared" si="40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7"/>
        <v/>
      </c>
      <c r="J279" s="60" t="str">
        <f t="shared" si="36"/>
        <v/>
      </c>
      <c r="K279" s="61" t="str">
        <f t="shared" si="41"/>
        <v/>
      </c>
      <c r="L279" s="60" t="str">
        <f t="shared" si="38"/>
        <v/>
      </c>
      <c r="M279" s="61" t="str">
        <f t="shared" si="42"/>
        <v/>
      </c>
      <c r="N279" s="62">
        <v>66068309</v>
      </c>
      <c r="O279" s="62">
        <f t="shared" si="39"/>
        <v>0</v>
      </c>
      <c r="P279" s="101"/>
      <c r="Q279" s="102"/>
      <c r="R279" s="20">
        <f t="shared" si="35"/>
        <v>1</v>
      </c>
      <c r="S279" s="20">
        <f t="shared" si="40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7"/>
        <v/>
      </c>
      <c r="J280" s="60" t="str">
        <f t="shared" si="36"/>
        <v/>
      </c>
      <c r="K280" s="61" t="str">
        <f t="shared" si="41"/>
        <v/>
      </c>
      <c r="L280" s="60" t="str">
        <f t="shared" si="38"/>
        <v/>
      </c>
      <c r="M280" s="61" t="str">
        <f t="shared" si="42"/>
        <v/>
      </c>
      <c r="N280" s="62">
        <v>66068309</v>
      </c>
      <c r="O280" s="62">
        <f t="shared" si="39"/>
        <v>0</v>
      </c>
      <c r="P280" s="103"/>
      <c r="Q280" s="104"/>
      <c r="R280" s="20">
        <f t="shared" si="35"/>
        <v>1</v>
      </c>
      <c r="S280" s="20">
        <f t="shared" si="40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7"/>
        <v/>
      </c>
      <c r="J281" s="60" t="str">
        <f t="shared" si="36"/>
        <v/>
      </c>
      <c r="K281" s="61" t="str">
        <f t="shared" si="41"/>
        <v/>
      </c>
      <c r="L281" s="60" t="str">
        <f t="shared" si="38"/>
        <v/>
      </c>
      <c r="M281" s="61" t="str">
        <f t="shared" si="42"/>
        <v/>
      </c>
      <c r="N281" s="62">
        <v>66068309</v>
      </c>
      <c r="O281" s="62">
        <f t="shared" si="39"/>
        <v>0</v>
      </c>
      <c r="P281" s="103"/>
      <c r="Q281" s="102"/>
      <c r="R281" s="20">
        <f t="shared" si="35"/>
        <v>1</v>
      </c>
      <c r="S281" s="20">
        <f t="shared" si="40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7"/>
        <v/>
      </c>
      <c r="J282" s="60" t="str">
        <f t="shared" si="36"/>
        <v/>
      </c>
      <c r="K282" s="61" t="str">
        <f t="shared" si="41"/>
        <v/>
      </c>
      <c r="L282" s="60" t="str">
        <f t="shared" si="38"/>
        <v/>
      </c>
      <c r="M282" s="61" t="str">
        <f t="shared" si="42"/>
        <v/>
      </c>
      <c r="N282" s="62">
        <v>66068309</v>
      </c>
      <c r="O282" s="62">
        <f t="shared" si="39"/>
        <v>0</v>
      </c>
      <c r="P282" s="63"/>
      <c r="Q282" s="64"/>
      <c r="R282" s="20">
        <f t="shared" si="35"/>
        <v>1</v>
      </c>
      <c r="S282" s="20">
        <f t="shared" si="40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7"/>
        <v/>
      </c>
      <c r="J283" s="60" t="str">
        <f t="shared" si="36"/>
        <v/>
      </c>
      <c r="K283" s="61" t="str">
        <f t="shared" si="41"/>
        <v/>
      </c>
      <c r="L283" s="60" t="str">
        <f t="shared" si="38"/>
        <v/>
      </c>
      <c r="M283" s="61" t="str">
        <f t="shared" si="42"/>
        <v/>
      </c>
      <c r="N283" s="62">
        <v>66068309</v>
      </c>
      <c r="O283" s="62">
        <f t="shared" si="39"/>
        <v>0</v>
      </c>
      <c r="P283" s="63"/>
      <c r="Q283" s="65"/>
      <c r="R283" s="20">
        <f t="shared" si="35"/>
        <v>1</v>
      </c>
      <c r="S283" s="20">
        <f t="shared" si="40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7"/>
        <v/>
      </c>
      <c r="J284" s="60" t="str">
        <f t="shared" si="36"/>
        <v/>
      </c>
      <c r="K284" s="61" t="str">
        <f t="shared" si="41"/>
        <v/>
      </c>
      <c r="L284" s="60" t="str">
        <f t="shared" si="38"/>
        <v/>
      </c>
      <c r="M284" s="61" t="str">
        <f t="shared" si="42"/>
        <v/>
      </c>
      <c r="N284" s="62">
        <v>66068309</v>
      </c>
      <c r="O284" s="62">
        <f t="shared" si="39"/>
        <v>0</v>
      </c>
      <c r="P284" s="63"/>
      <c r="Q284" s="65"/>
      <c r="R284" s="20">
        <f t="shared" si="35"/>
        <v>1</v>
      </c>
      <c r="S284" s="20">
        <f t="shared" si="40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7"/>
        <v/>
      </c>
      <c r="J285" s="60" t="str">
        <f t="shared" si="36"/>
        <v/>
      </c>
      <c r="K285" s="61" t="str">
        <f t="shared" si="41"/>
        <v/>
      </c>
      <c r="L285" s="60" t="str">
        <f t="shared" si="38"/>
        <v/>
      </c>
      <c r="M285" s="61" t="str">
        <f t="shared" si="42"/>
        <v/>
      </c>
      <c r="N285" s="62">
        <v>66068309</v>
      </c>
      <c r="O285" s="62">
        <f t="shared" si="39"/>
        <v>0</v>
      </c>
      <c r="P285" s="63"/>
      <c r="Q285" s="65"/>
      <c r="R285" s="20">
        <f t="shared" si="35"/>
        <v>1</v>
      </c>
      <c r="S285" s="20">
        <f t="shared" si="40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7"/>
        <v/>
      </c>
      <c r="J286" s="60" t="str">
        <f t="shared" si="36"/>
        <v/>
      </c>
      <c r="K286" s="61" t="str">
        <f t="shared" si="41"/>
        <v/>
      </c>
      <c r="L286" s="60" t="str">
        <f t="shared" si="38"/>
        <v/>
      </c>
      <c r="M286" s="61" t="str">
        <f t="shared" si="42"/>
        <v/>
      </c>
      <c r="N286" s="62">
        <v>66068309</v>
      </c>
      <c r="O286" s="62">
        <f t="shared" si="39"/>
        <v>0</v>
      </c>
      <c r="P286" s="63"/>
      <c r="Q286" s="64"/>
      <c r="R286" s="20">
        <f t="shared" si="35"/>
        <v>1</v>
      </c>
      <c r="S286" s="20">
        <f t="shared" si="40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7"/>
        <v/>
      </c>
      <c r="J287" s="60" t="str">
        <f t="shared" si="36"/>
        <v/>
      </c>
      <c r="K287" s="61" t="str">
        <f t="shared" si="41"/>
        <v/>
      </c>
      <c r="L287" s="60" t="str">
        <f t="shared" si="38"/>
        <v/>
      </c>
      <c r="M287" s="61" t="str">
        <f t="shared" si="42"/>
        <v/>
      </c>
      <c r="N287" s="62">
        <v>66068309</v>
      </c>
      <c r="O287" s="62">
        <f t="shared" si="39"/>
        <v>0</v>
      </c>
      <c r="P287" s="63"/>
      <c r="Q287" s="64"/>
      <c r="R287" s="20">
        <f t="shared" si="35"/>
        <v>1</v>
      </c>
      <c r="S287" s="20">
        <f t="shared" si="40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7"/>
        <v/>
      </c>
      <c r="J288" s="60" t="str">
        <f t="shared" si="36"/>
        <v/>
      </c>
      <c r="K288" s="61" t="str">
        <f t="shared" si="41"/>
        <v/>
      </c>
      <c r="L288" s="60" t="str">
        <f t="shared" si="38"/>
        <v/>
      </c>
      <c r="M288" s="61" t="str">
        <f t="shared" si="42"/>
        <v/>
      </c>
      <c r="N288" s="62">
        <v>66068309</v>
      </c>
      <c r="O288" s="62">
        <f t="shared" si="39"/>
        <v>0</v>
      </c>
      <c r="P288" s="63"/>
      <c r="Q288" s="65"/>
      <c r="R288" s="20">
        <f t="shared" si="35"/>
        <v>1</v>
      </c>
      <c r="S288" s="20">
        <f t="shared" si="40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7"/>
        <v/>
      </c>
      <c r="J289" s="60" t="str">
        <f t="shared" si="36"/>
        <v/>
      </c>
      <c r="K289" s="61" t="str">
        <f t="shared" si="41"/>
        <v/>
      </c>
      <c r="L289" s="60" t="str">
        <f t="shared" si="38"/>
        <v/>
      </c>
      <c r="M289" s="61" t="str">
        <f t="shared" si="42"/>
        <v/>
      </c>
      <c r="N289" s="62">
        <v>66068309</v>
      </c>
      <c r="O289" s="62">
        <f t="shared" si="39"/>
        <v>0</v>
      </c>
      <c r="P289" s="63"/>
      <c r="Q289" s="65"/>
      <c r="R289" s="20">
        <f t="shared" si="35"/>
        <v>1</v>
      </c>
      <c r="S289" s="20">
        <f t="shared" si="40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7"/>
        <v/>
      </c>
      <c r="J290" s="60" t="str">
        <f t="shared" si="36"/>
        <v/>
      </c>
      <c r="K290" s="61" t="str">
        <f t="shared" si="41"/>
        <v/>
      </c>
      <c r="L290" s="60" t="str">
        <f t="shared" si="38"/>
        <v/>
      </c>
      <c r="M290" s="61" t="str">
        <f t="shared" si="42"/>
        <v/>
      </c>
      <c r="N290" s="62">
        <v>66068309</v>
      </c>
      <c r="O290" s="62">
        <f t="shared" si="39"/>
        <v>0</v>
      </c>
      <c r="P290" s="63"/>
      <c r="Q290" s="64"/>
      <c r="R290" s="20">
        <f t="shared" si="35"/>
        <v>1</v>
      </c>
      <c r="S290" s="20">
        <f t="shared" si="40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7"/>
        <v/>
      </c>
      <c r="J291" s="60" t="str">
        <f t="shared" si="36"/>
        <v/>
      </c>
      <c r="K291" s="61" t="str">
        <f t="shared" si="41"/>
        <v/>
      </c>
      <c r="L291" s="60" t="str">
        <f t="shared" si="38"/>
        <v/>
      </c>
      <c r="M291" s="61" t="str">
        <f t="shared" si="42"/>
        <v/>
      </c>
      <c r="N291" s="62">
        <v>66068309</v>
      </c>
      <c r="O291" s="62">
        <f t="shared" si="39"/>
        <v>0</v>
      </c>
      <c r="P291" s="63"/>
      <c r="Q291" s="64"/>
      <c r="R291" s="20">
        <f t="shared" si="35"/>
        <v>1</v>
      </c>
      <c r="S291" s="20">
        <f t="shared" si="40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7"/>
        <v/>
      </c>
      <c r="J292" s="60" t="str">
        <f t="shared" si="36"/>
        <v/>
      </c>
      <c r="K292" s="61" t="str">
        <f t="shared" si="41"/>
        <v/>
      </c>
      <c r="L292" s="60" t="str">
        <f t="shared" si="38"/>
        <v/>
      </c>
      <c r="M292" s="61" t="str">
        <f t="shared" si="42"/>
        <v/>
      </c>
      <c r="N292" s="62">
        <v>66068309</v>
      </c>
      <c r="O292" s="62">
        <f t="shared" si="39"/>
        <v>0</v>
      </c>
      <c r="P292" s="63"/>
      <c r="Q292" s="64"/>
      <c r="R292" s="20">
        <f t="shared" si="35"/>
        <v>1</v>
      </c>
      <c r="S292" s="20">
        <f t="shared" si="40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7"/>
        <v/>
      </c>
      <c r="J293" s="60" t="str">
        <f t="shared" si="36"/>
        <v/>
      </c>
      <c r="K293" s="61" t="str">
        <f t="shared" si="41"/>
        <v/>
      </c>
      <c r="L293" s="60" t="str">
        <f t="shared" si="38"/>
        <v/>
      </c>
      <c r="M293" s="61" t="str">
        <f t="shared" si="42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5"/>
        <v>1</v>
      </c>
      <c r="S293" s="20">
        <f t="shared" si="40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7"/>
        <v/>
      </c>
      <c r="J294" s="60" t="str">
        <f t="shared" si="36"/>
        <v/>
      </c>
      <c r="K294" s="61" t="str">
        <f t="shared" si="41"/>
        <v/>
      </c>
      <c r="L294" s="60" t="str">
        <f t="shared" si="38"/>
        <v/>
      </c>
      <c r="M294" s="61" t="str">
        <f t="shared" si="42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5"/>
        <v>1</v>
      </c>
      <c r="S294" s="20">
        <f t="shared" si="40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7"/>
        <v/>
      </c>
      <c r="J295" s="60" t="str">
        <f t="shared" si="36"/>
        <v/>
      </c>
      <c r="K295" s="61" t="str">
        <f t="shared" si="41"/>
        <v/>
      </c>
      <c r="L295" s="60" t="str">
        <f t="shared" si="38"/>
        <v/>
      </c>
      <c r="M295" s="61" t="str">
        <f t="shared" si="42"/>
        <v/>
      </c>
      <c r="N295" s="62">
        <v>66068309</v>
      </c>
      <c r="O295" s="62">
        <f t="shared" si="39"/>
        <v>0</v>
      </c>
      <c r="P295" s="201" t="s">
        <v>67</v>
      </c>
      <c r="Q295" s="202"/>
      <c r="R295" s="20">
        <f t="shared" si="35"/>
        <v>1</v>
      </c>
      <c r="S295" s="20">
        <f t="shared" si="40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7"/>
        <v/>
      </c>
      <c r="J296" s="60" t="str">
        <f t="shared" si="36"/>
        <v/>
      </c>
      <c r="K296" s="61" t="str">
        <f t="shared" si="41"/>
        <v/>
      </c>
      <c r="L296" s="60" t="str">
        <f t="shared" si="38"/>
        <v/>
      </c>
      <c r="M296" s="61" t="str">
        <f t="shared" si="42"/>
        <v/>
      </c>
      <c r="N296" s="62">
        <v>66068309</v>
      </c>
      <c r="O296" s="62">
        <f t="shared" si="39"/>
        <v>0</v>
      </c>
      <c r="P296" s="203"/>
      <c r="Q296" s="204"/>
      <c r="R296" s="20">
        <f t="shared" si="35"/>
        <v>1</v>
      </c>
      <c r="S296" s="20">
        <f t="shared" si="40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7"/>
        <v/>
      </c>
      <c r="J297" s="60" t="str">
        <f t="shared" si="36"/>
        <v/>
      </c>
      <c r="K297" s="61" t="str">
        <f t="shared" si="41"/>
        <v/>
      </c>
      <c r="L297" s="60" t="str">
        <f t="shared" si="38"/>
        <v/>
      </c>
      <c r="M297" s="61" t="str">
        <f t="shared" si="42"/>
        <v/>
      </c>
      <c r="N297" s="62">
        <v>66068309</v>
      </c>
      <c r="O297" s="62">
        <f t="shared" si="39"/>
        <v>0</v>
      </c>
      <c r="P297" s="70" t="s">
        <v>46</v>
      </c>
      <c r="Q297" s="70" t="s">
        <v>47</v>
      </c>
      <c r="R297" s="20">
        <f t="shared" si="35"/>
        <v>1</v>
      </c>
      <c r="S297" s="20">
        <f t="shared" si="40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7"/>
        <v/>
      </c>
      <c r="J298" s="60" t="str">
        <f t="shared" si="36"/>
        <v/>
      </c>
      <c r="K298" s="61" t="str">
        <f t="shared" si="41"/>
        <v/>
      </c>
      <c r="L298" s="60" t="str">
        <f t="shared" si="38"/>
        <v/>
      </c>
      <c r="M298" s="61" t="str">
        <f t="shared" si="42"/>
        <v/>
      </c>
      <c r="N298" s="62">
        <v>66068309</v>
      </c>
      <c r="O298" s="62">
        <f t="shared" si="39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5"/>
        <v>1</v>
      </c>
      <c r="S298" s="20">
        <f t="shared" si="40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7"/>
        <v/>
      </c>
      <c r="J299" s="60" t="str">
        <f t="shared" si="36"/>
        <v/>
      </c>
      <c r="K299" s="61" t="str">
        <f t="shared" si="41"/>
        <v/>
      </c>
      <c r="L299" s="60" t="str">
        <f t="shared" si="38"/>
        <v/>
      </c>
      <c r="M299" s="61" t="str">
        <f t="shared" si="42"/>
        <v/>
      </c>
      <c r="N299" s="62">
        <v>66068309</v>
      </c>
      <c r="O299" s="62">
        <f t="shared" si="39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40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7"/>
        <v/>
      </c>
      <c r="J300" s="60" t="str">
        <f t="shared" si="36"/>
        <v/>
      </c>
      <c r="K300" s="61" t="str">
        <f t="shared" si="41"/>
        <v/>
      </c>
      <c r="L300" s="60" t="str">
        <f t="shared" si="38"/>
        <v/>
      </c>
      <c r="M300" s="61" t="str">
        <f t="shared" si="42"/>
        <v/>
      </c>
      <c r="N300" s="62">
        <v>66068309</v>
      </c>
      <c r="O300" s="62">
        <f t="shared" si="39"/>
        <v>0</v>
      </c>
      <c r="P300" s="73" t="s">
        <v>48</v>
      </c>
      <c r="Q300" s="74" t="s">
        <v>49</v>
      </c>
      <c r="R300" s="20">
        <f t="shared" si="35"/>
        <v>1</v>
      </c>
      <c r="S300" s="20">
        <f t="shared" si="40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7"/>
        <v/>
      </c>
      <c r="J301" s="60" t="str">
        <f t="shared" si="36"/>
        <v/>
      </c>
      <c r="K301" s="61" t="str">
        <f t="shared" si="41"/>
        <v/>
      </c>
      <c r="L301" s="60" t="str">
        <f t="shared" si="38"/>
        <v/>
      </c>
      <c r="M301" s="61" t="str">
        <f t="shared" si="42"/>
        <v/>
      </c>
      <c r="N301" s="62">
        <v>66068309</v>
      </c>
      <c r="O301" s="62">
        <f t="shared" si="39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5"/>
        <v>1</v>
      </c>
      <c r="S301" s="20">
        <f t="shared" si="40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7"/>
        <v/>
      </c>
      <c r="J302" s="60" t="str">
        <f t="shared" si="36"/>
        <v/>
      </c>
      <c r="K302" s="61" t="str">
        <f t="shared" si="41"/>
        <v/>
      </c>
      <c r="L302" s="60" t="str">
        <f t="shared" si="38"/>
        <v/>
      </c>
      <c r="M302" s="61" t="str">
        <f t="shared" si="42"/>
        <v/>
      </c>
      <c r="N302" s="62">
        <v>66068309</v>
      </c>
      <c r="O302" s="62">
        <f t="shared" si="39"/>
        <v>0</v>
      </c>
      <c r="P302" s="77" t="s">
        <v>50</v>
      </c>
      <c r="Q302" s="78" t="s">
        <v>58</v>
      </c>
      <c r="R302" s="20">
        <f t="shared" si="35"/>
        <v>1</v>
      </c>
      <c r="S302" s="20">
        <f t="shared" si="40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7"/>
        <v/>
      </c>
      <c r="J303" s="60" t="str">
        <f t="shared" si="36"/>
        <v/>
      </c>
      <c r="K303" s="61" t="str">
        <f t="shared" si="41"/>
        <v/>
      </c>
      <c r="L303" s="60" t="str">
        <f t="shared" si="38"/>
        <v/>
      </c>
      <c r="M303" s="61" t="str">
        <f t="shared" si="42"/>
        <v/>
      </c>
      <c r="N303" s="62">
        <v>66068309</v>
      </c>
      <c r="O303" s="62">
        <f t="shared" si="39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5"/>
        <v>1</v>
      </c>
      <c r="S303" s="20">
        <f t="shared" si="40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7"/>
        <v/>
      </c>
      <c r="J304" s="60" t="str">
        <f t="shared" si="36"/>
        <v/>
      </c>
      <c r="K304" s="61" t="str">
        <f t="shared" si="41"/>
        <v/>
      </c>
      <c r="L304" s="60" t="str">
        <f t="shared" si="38"/>
        <v/>
      </c>
      <c r="M304" s="61" t="str">
        <f t="shared" si="42"/>
        <v/>
      </c>
      <c r="N304" s="62">
        <v>66068309</v>
      </c>
      <c r="O304" s="62">
        <f t="shared" si="39"/>
        <v>0</v>
      </c>
      <c r="P304" s="81" t="s">
        <v>52</v>
      </c>
      <c r="Q304" s="82" t="s">
        <v>59</v>
      </c>
      <c r="R304" s="20">
        <f t="shared" si="35"/>
        <v>1</v>
      </c>
      <c r="S304" s="20">
        <f t="shared" si="40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7"/>
        <v/>
      </c>
      <c r="J305" s="60" t="str">
        <f t="shared" si="36"/>
        <v/>
      </c>
      <c r="K305" s="61" t="str">
        <f t="shared" si="41"/>
        <v/>
      </c>
      <c r="L305" s="60" t="str">
        <f t="shared" si="38"/>
        <v/>
      </c>
      <c r="M305" s="61" t="str">
        <f t="shared" si="42"/>
        <v/>
      </c>
      <c r="N305" s="62">
        <v>66068309</v>
      </c>
      <c r="O305" s="62">
        <f t="shared" si="39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5"/>
        <v>1</v>
      </c>
      <c r="S305" s="20">
        <f t="shared" si="40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7"/>
        <v/>
      </c>
      <c r="J306" s="60" t="str">
        <f t="shared" si="36"/>
        <v/>
      </c>
      <c r="K306" s="61" t="str">
        <f t="shared" si="41"/>
        <v/>
      </c>
      <c r="L306" s="60" t="str">
        <f t="shared" si="38"/>
        <v/>
      </c>
      <c r="M306" s="61" t="str">
        <f t="shared" si="42"/>
        <v/>
      </c>
      <c r="N306" s="62">
        <v>66068309</v>
      </c>
      <c r="O306" s="62">
        <f t="shared" si="39"/>
        <v>0</v>
      </c>
      <c r="P306" s="86" t="s">
        <v>54</v>
      </c>
      <c r="Q306" s="87" t="s">
        <v>55</v>
      </c>
      <c r="R306" s="20">
        <f t="shared" si="35"/>
        <v>1</v>
      </c>
      <c r="S306" s="20">
        <f t="shared" si="40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7"/>
        <v/>
      </c>
      <c r="J307" s="91" t="str">
        <f t="shared" si="36"/>
        <v/>
      </c>
      <c r="K307" s="61" t="str">
        <f t="shared" si="41"/>
        <v/>
      </c>
      <c r="L307" s="91" t="str">
        <f t="shared" si="38"/>
        <v/>
      </c>
      <c r="M307" s="61" t="str">
        <f t="shared" si="42"/>
        <v/>
      </c>
      <c r="N307" s="93">
        <v>66068309</v>
      </c>
      <c r="O307" s="94">
        <f t="shared" si="39"/>
        <v>0</v>
      </c>
      <c r="P307" s="129">
        <f>(P305+Q303*SUM(S277:S307)*Q308)</f>
        <v>0</v>
      </c>
      <c r="Q307" s="130">
        <f>Q303*31</f>
        <v>0</v>
      </c>
      <c r="R307" s="20">
        <f t="shared" si="35"/>
        <v>1</v>
      </c>
      <c r="S307" s="20">
        <f t="shared" si="40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7"/>
        <v/>
      </c>
      <c r="J308" s="60" t="str">
        <f t="shared" si="36"/>
        <v/>
      </c>
      <c r="K308" s="61" t="str">
        <f t="shared" si="41"/>
        <v/>
      </c>
      <c r="L308" s="60" t="str">
        <f t="shared" si="38"/>
        <v/>
      </c>
      <c r="M308" s="61" t="str">
        <f t="shared" si="42"/>
        <v/>
      </c>
      <c r="N308" s="62">
        <v>66068309</v>
      </c>
      <c r="O308" s="62">
        <f t="shared" si="39"/>
        <v>0</v>
      </c>
      <c r="P308" s="112" t="s">
        <v>56</v>
      </c>
      <c r="Q308" s="113">
        <v>0.56999999999999995</v>
      </c>
      <c r="R308" s="20">
        <f t="shared" si="35"/>
        <v>1</v>
      </c>
      <c r="S308" s="20">
        <f t="shared" si="40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7"/>
        <v/>
      </c>
      <c r="J309" s="60" t="str">
        <f t="shared" si="36"/>
        <v/>
      </c>
      <c r="K309" s="61" t="str">
        <f t="shared" si="41"/>
        <v/>
      </c>
      <c r="L309" s="60" t="str">
        <f t="shared" si="38"/>
        <v/>
      </c>
      <c r="M309" s="61" t="str">
        <f t="shared" si="42"/>
        <v/>
      </c>
      <c r="N309" s="62">
        <v>66068309</v>
      </c>
      <c r="O309" s="62">
        <f t="shared" si="39"/>
        <v>0</v>
      </c>
      <c r="P309" s="131"/>
      <c r="Q309" s="131"/>
      <c r="R309" s="20">
        <f t="shared" si="35"/>
        <v>1</v>
      </c>
      <c r="S309" s="20">
        <f t="shared" si="40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7"/>
        <v/>
      </c>
      <c r="J310" s="60" t="str">
        <f>IF(E310="","",+(E310-E309)*4140)</f>
        <v/>
      </c>
      <c r="K310" s="61" t="str">
        <f t="shared" si="41"/>
        <v/>
      </c>
      <c r="L310" s="60" t="str">
        <f t="shared" si="38"/>
        <v/>
      </c>
      <c r="M310" s="61" t="str">
        <f t="shared" si="42"/>
        <v/>
      </c>
      <c r="N310" s="62">
        <v>66068309</v>
      </c>
      <c r="O310" s="62">
        <f t="shared" si="39"/>
        <v>0</v>
      </c>
      <c r="P310" s="101"/>
      <c r="Q310" s="102"/>
      <c r="R310" s="20">
        <f>IF(N310="",0,1)</f>
        <v>1</v>
      </c>
      <c r="S310" s="20">
        <f t="shared" si="40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7"/>
        <v/>
      </c>
      <c r="J311" s="60" t="str">
        <f t="shared" si="36"/>
        <v/>
      </c>
      <c r="K311" s="61" t="str">
        <f t="shared" si="41"/>
        <v/>
      </c>
      <c r="L311" s="60" t="str">
        <f t="shared" si="38"/>
        <v/>
      </c>
      <c r="M311" s="61" t="str">
        <f t="shared" si="42"/>
        <v/>
      </c>
      <c r="N311" s="62">
        <v>66068309</v>
      </c>
      <c r="O311" s="62">
        <f t="shared" si="39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7"/>
        <v/>
      </c>
      <c r="J312" s="60" t="str">
        <f t="shared" si="36"/>
        <v/>
      </c>
      <c r="K312" s="61" t="str">
        <f t="shared" si="41"/>
        <v/>
      </c>
      <c r="L312" s="60" t="str">
        <f t="shared" si="38"/>
        <v/>
      </c>
      <c r="M312" s="61" t="str">
        <f t="shared" si="42"/>
        <v/>
      </c>
      <c r="N312" s="62">
        <v>66068309</v>
      </c>
      <c r="O312" s="62">
        <f t="shared" si="39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6"/>
        <v/>
      </c>
      <c r="K313" s="61" t="str">
        <f t="shared" si="41"/>
        <v/>
      </c>
      <c r="L313" s="60" t="str">
        <f t="shared" si="38"/>
        <v/>
      </c>
      <c r="M313" s="61" t="str">
        <f t="shared" si="42"/>
        <v/>
      </c>
      <c r="N313" s="62">
        <v>66068309</v>
      </c>
      <c r="O313" s="62">
        <f t="shared" si="39"/>
        <v>0</v>
      </c>
      <c r="P313" s="63"/>
      <c r="Q313" s="65"/>
      <c r="R313" s="20">
        <f t="shared" si="35"/>
        <v>1</v>
      </c>
      <c r="S313" s="20">
        <f t="shared" si="40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7"/>
        <v/>
      </c>
      <c r="J314" s="60" t="str">
        <f t="shared" si="36"/>
        <v/>
      </c>
      <c r="K314" s="61" t="str">
        <f t="shared" si="41"/>
        <v/>
      </c>
      <c r="L314" s="60" t="str">
        <f t="shared" si="38"/>
        <v/>
      </c>
      <c r="M314" s="61" t="str">
        <f t="shared" si="42"/>
        <v/>
      </c>
      <c r="N314" s="62">
        <v>66068309</v>
      </c>
      <c r="O314" s="62">
        <f t="shared" si="39"/>
        <v>0</v>
      </c>
      <c r="P314" s="63"/>
      <c r="Q314" s="65"/>
      <c r="R314" s="20">
        <f t="shared" si="35"/>
        <v>1</v>
      </c>
      <c r="S314" s="20">
        <f t="shared" si="40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7"/>
        <v/>
      </c>
      <c r="J315" s="60" t="str">
        <f t="shared" si="36"/>
        <v/>
      </c>
      <c r="K315" s="61" t="str">
        <f t="shared" si="41"/>
        <v/>
      </c>
      <c r="L315" s="60" t="str">
        <f t="shared" si="38"/>
        <v/>
      </c>
      <c r="M315" s="61" t="str">
        <f t="shared" si="42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5"/>
        <v>1</v>
      </c>
      <c r="S315" s="20">
        <f t="shared" si="40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7"/>
        <v/>
      </c>
      <c r="J316" s="60" t="str">
        <f t="shared" si="36"/>
        <v/>
      </c>
      <c r="K316" s="61" t="str">
        <f t="shared" si="41"/>
        <v/>
      </c>
      <c r="L316" s="60" t="str">
        <f t="shared" si="38"/>
        <v/>
      </c>
      <c r="M316" s="61" t="str">
        <f t="shared" si="42"/>
        <v/>
      </c>
      <c r="N316" s="62">
        <v>66068309</v>
      </c>
      <c r="O316" s="62">
        <f t="shared" ref="O316:O368" si="43">IF(N316="","",N316-N315)</f>
        <v>0</v>
      </c>
      <c r="P316" s="63"/>
      <c r="Q316" s="64"/>
      <c r="R316" s="20">
        <f t="shared" si="35"/>
        <v>1</v>
      </c>
      <c r="S316" s="20">
        <f t="shared" si="40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7"/>
        <v/>
      </c>
      <c r="J317" s="60" t="str">
        <f t="shared" si="36"/>
        <v/>
      </c>
      <c r="K317" s="61" t="str">
        <f t="shared" si="41"/>
        <v/>
      </c>
      <c r="L317" s="60" t="str">
        <f t="shared" si="38"/>
        <v/>
      </c>
      <c r="M317" s="61" t="str">
        <f t="shared" si="42"/>
        <v/>
      </c>
      <c r="N317" s="62">
        <v>66068309</v>
      </c>
      <c r="O317" s="62">
        <f t="shared" si="43"/>
        <v>0</v>
      </c>
      <c r="P317" s="63"/>
      <c r="Q317" s="64"/>
      <c r="R317" s="20">
        <f t="shared" ref="R317:R368" si="44">IF(N317="",0,1)</f>
        <v>1</v>
      </c>
      <c r="S317" s="20">
        <f t="shared" si="40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7"/>
        <v/>
      </c>
      <c r="J318" s="60" t="str">
        <f t="shared" si="36"/>
        <v/>
      </c>
      <c r="K318" s="61" t="str">
        <f t="shared" si="41"/>
        <v/>
      </c>
      <c r="L318" s="60" t="str">
        <f t="shared" si="38"/>
        <v/>
      </c>
      <c r="M318" s="61" t="str">
        <f t="shared" si="42"/>
        <v/>
      </c>
      <c r="N318" s="62">
        <v>66068309</v>
      </c>
      <c r="O318" s="62">
        <f t="shared" si="43"/>
        <v>0</v>
      </c>
      <c r="P318" s="63"/>
      <c r="Q318" s="65"/>
      <c r="R318" s="20">
        <f t="shared" si="44"/>
        <v>1</v>
      </c>
      <c r="S318" s="20">
        <f t="shared" si="40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7"/>
        <v/>
      </c>
      <c r="J319" s="60" t="str">
        <f t="shared" si="36"/>
        <v/>
      </c>
      <c r="K319" s="61" t="str">
        <f t="shared" si="41"/>
        <v/>
      </c>
      <c r="L319" s="60" t="str">
        <f t="shared" si="38"/>
        <v/>
      </c>
      <c r="M319" s="61" t="str">
        <f t="shared" si="42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4"/>
        <v>1</v>
      </c>
      <c r="S319" s="20">
        <f t="shared" si="40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7"/>
        <v/>
      </c>
      <c r="J320" s="60" t="str">
        <f t="shared" si="36"/>
        <v/>
      </c>
      <c r="K320" s="61" t="str">
        <f t="shared" si="41"/>
        <v/>
      </c>
      <c r="L320" s="60" t="str">
        <f t="shared" si="38"/>
        <v/>
      </c>
      <c r="M320" s="61" t="str">
        <f t="shared" si="42"/>
        <v/>
      </c>
      <c r="N320" s="62">
        <v>66068309</v>
      </c>
      <c r="O320" s="62">
        <f t="shared" si="43"/>
        <v>0</v>
      </c>
      <c r="P320" s="63"/>
      <c r="Q320" s="64"/>
      <c r="R320" s="20">
        <f t="shared" si="44"/>
        <v>1</v>
      </c>
      <c r="S320" s="20">
        <f t="shared" si="40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7"/>
        <v/>
      </c>
      <c r="J321" s="60" t="str">
        <f t="shared" si="36"/>
        <v/>
      </c>
      <c r="K321" s="61" t="str">
        <f t="shared" si="41"/>
        <v/>
      </c>
      <c r="L321" s="60" t="str">
        <f t="shared" si="38"/>
        <v/>
      </c>
      <c r="M321" s="61" t="str">
        <f t="shared" si="42"/>
        <v/>
      </c>
      <c r="N321" s="62">
        <v>66068309</v>
      </c>
      <c r="O321" s="62">
        <f t="shared" si="43"/>
        <v>0</v>
      </c>
      <c r="P321" s="63"/>
      <c r="Q321" s="132"/>
      <c r="R321" s="20">
        <f t="shared" si="44"/>
        <v>1</v>
      </c>
      <c r="S321" s="20">
        <f t="shared" si="40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7"/>
        <v/>
      </c>
      <c r="J322" s="60" t="str">
        <f t="shared" si="36"/>
        <v/>
      </c>
      <c r="K322" s="61" t="str">
        <f t="shared" si="41"/>
        <v/>
      </c>
      <c r="L322" s="60" t="str">
        <f t="shared" si="38"/>
        <v/>
      </c>
      <c r="M322" s="61" t="str">
        <f t="shared" si="42"/>
        <v/>
      </c>
      <c r="N322" s="62">
        <v>66068309</v>
      </c>
      <c r="O322" s="62">
        <f t="shared" si="43"/>
        <v>0</v>
      </c>
      <c r="P322" s="63"/>
      <c r="Q322" s="64"/>
      <c r="R322" s="20">
        <f t="shared" si="44"/>
        <v>1</v>
      </c>
      <c r="S322" s="20">
        <f t="shared" si="40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7"/>
        <v/>
      </c>
      <c r="J323" s="60" t="str">
        <f t="shared" si="36"/>
        <v/>
      </c>
      <c r="K323" s="61" t="str">
        <f t="shared" si="41"/>
        <v/>
      </c>
      <c r="L323" s="60" t="str">
        <f t="shared" si="38"/>
        <v/>
      </c>
      <c r="M323" s="61" t="str">
        <f t="shared" si="42"/>
        <v/>
      </c>
      <c r="N323" s="62">
        <v>66068309</v>
      </c>
      <c r="O323" s="62">
        <f t="shared" si="43"/>
        <v>0</v>
      </c>
      <c r="P323" s="63"/>
      <c r="Q323" s="105"/>
      <c r="R323" s="20">
        <f t="shared" si="44"/>
        <v>1</v>
      </c>
      <c r="S323" s="20">
        <f t="shared" si="40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7"/>
        <v/>
      </c>
      <c r="J324" s="60" t="str">
        <f t="shared" si="37"/>
        <v/>
      </c>
      <c r="K324" s="61" t="str">
        <f t="shared" si="41"/>
        <v/>
      </c>
      <c r="L324" s="60" t="str">
        <f t="shared" si="38"/>
        <v/>
      </c>
      <c r="M324" s="61" t="str">
        <f t="shared" si="42"/>
        <v/>
      </c>
      <c r="N324" s="62">
        <v>66068309</v>
      </c>
      <c r="O324" s="62">
        <f t="shared" si="43"/>
        <v>0</v>
      </c>
      <c r="P324" s="63"/>
      <c r="Q324" s="105"/>
      <c r="R324" s="20">
        <f t="shared" si="44"/>
        <v>1</v>
      </c>
      <c r="S324" s="20">
        <f t="shared" si="40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5">IF(D325="","",+(D325-D324)*4140)</f>
        <v/>
      </c>
      <c r="J325" s="60" t="str">
        <f t="shared" si="45"/>
        <v/>
      </c>
      <c r="K325" s="61" t="str">
        <f t="shared" si="41"/>
        <v/>
      </c>
      <c r="L325" s="60" t="str">
        <f t="shared" ref="L325:L368" si="46">IF(F325="","",+(F325-F324)*4140)</f>
        <v/>
      </c>
      <c r="M325" s="61" t="str">
        <f t="shared" si="42"/>
        <v/>
      </c>
      <c r="N325" s="62">
        <v>66068309</v>
      </c>
      <c r="O325" s="62">
        <f t="shared" si="43"/>
        <v>0</v>
      </c>
      <c r="P325" s="201" t="s">
        <v>68</v>
      </c>
      <c r="Q325" s="202"/>
      <c r="R325" s="20">
        <f t="shared" si="44"/>
        <v>1</v>
      </c>
      <c r="S325" s="20">
        <f t="shared" si="40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5"/>
        <v/>
      </c>
      <c r="J326" s="60" t="str">
        <f t="shared" si="45"/>
        <v/>
      </c>
      <c r="K326" s="61" t="str">
        <f t="shared" si="41"/>
        <v/>
      </c>
      <c r="L326" s="60" t="str">
        <f t="shared" si="46"/>
        <v/>
      </c>
      <c r="M326" s="61" t="str">
        <f t="shared" si="42"/>
        <v/>
      </c>
      <c r="N326" s="62">
        <v>66068309</v>
      </c>
      <c r="O326" s="62">
        <f t="shared" si="43"/>
        <v>0</v>
      </c>
      <c r="P326" s="203"/>
      <c r="Q326" s="204"/>
      <c r="R326" s="20">
        <f t="shared" si="44"/>
        <v>1</v>
      </c>
      <c r="S326" s="20">
        <f t="shared" si="40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5"/>
        <v/>
      </c>
      <c r="J327" s="60" t="str">
        <f t="shared" si="45"/>
        <v/>
      </c>
      <c r="K327" s="61" t="str">
        <f t="shared" si="41"/>
        <v/>
      </c>
      <c r="L327" s="60" t="str">
        <f t="shared" si="46"/>
        <v/>
      </c>
      <c r="M327" s="61" t="str">
        <f t="shared" si="42"/>
        <v/>
      </c>
      <c r="N327" s="62">
        <v>66068309</v>
      </c>
      <c r="O327" s="62">
        <f t="shared" si="43"/>
        <v>0</v>
      </c>
      <c r="P327" s="70" t="s">
        <v>46</v>
      </c>
      <c r="Q327" s="70" t="s">
        <v>47</v>
      </c>
      <c r="R327" s="20">
        <f t="shared" si="44"/>
        <v>1</v>
      </c>
      <c r="S327" s="20">
        <f t="shared" si="40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5"/>
        <v/>
      </c>
      <c r="J328" s="60" t="str">
        <f t="shared" si="45"/>
        <v/>
      </c>
      <c r="K328" s="61" t="str">
        <f t="shared" si="41"/>
        <v/>
      </c>
      <c r="L328" s="60" t="str">
        <f t="shared" si="46"/>
        <v/>
      </c>
      <c r="M328" s="61" t="str">
        <f t="shared" si="42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4"/>
        <v>1</v>
      </c>
      <c r="S328" s="20">
        <f t="shared" ref="S328:S368" si="47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5"/>
        <v/>
      </c>
      <c r="J329" s="60" t="str">
        <f t="shared" si="45"/>
        <v/>
      </c>
      <c r="K329" s="61" t="str">
        <f t="shared" si="41"/>
        <v/>
      </c>
      <c r="L329" s="60" t="str">
        <f t="shared" si="46"/>
        <v/>
      </c>
      <c r="M329" s="61" t="str">
        <f t="shared" si="42"/>
        <v/>
      </c>
      <c r="N329" s="62">
        <v>66068309</v>
      </c>
      <c r="O329" s="62">
        <f t="shared" si="43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4"/>
        <v>1</v>
      </c>
      <c r="S329" s="20">
        <f t="shared" si="47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5"/>
        <v/>
      </c>
      <c r="J330" s="60" t="str">
        <f t="shared" si="45"/>
        <v/>
      </c>
      <c r="K330" s="61" t="str">
        <f t="shared" si="41"/>
        <v/>
      </c>
      <c r="L330" s="60" t="str">
        <f t="shared" si="46"/>
        <v/>
      </c>
      <c r="M330" s="61" t="str">
        <f t="shared" si="42"/>
        <v/>
      </c>
      <c r="N330" s="62">
        <v>66068309</v>
      </c>
      <c r="O330" s="62">
        <f t="shared" si="43"/>
        <v>0</v>
      </c>
      <c r="P330" s="73" t="s">
        <v>48</v>
      </c>
      <c r="Q330" s="74" t="s">
        <v>49</v>
      </c>
      <c r="R330" s="20">
        <f t="shared" si="44"/>
        <v>1</v>
      </c>
      <c r="S330" s="20">
        <f t="shared" si="47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5"/>
        <v/>
      </c>
      <c r="J331" s="60" t="str">
        <f t="shared" si="45"/>
        <v/>
      </c>
      <c r="K331" s="61" t="str">
        <f t="shared" si="41"/>
        <v/>
      </c>
      <c r="L331" s="60" t="str">
        <f t="shared" si="46"/>
        <v/>
      </c>
      <c r="M331" s="61" t="str">
        <f t="shared" si="42"/>
        <v/>
      </c>
      <c r="N331" s="62">
        <v>66068309</v>
      </c>
      <c r="O331" s="62">
        <f t="shared" si="43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4"/>
        <v>1</v>
      </c>
      <c r="S331" s="20">
        <f t="shared" si="47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5"/>
        <v/>
      </c>
      <c r="J332" s="60" t="str">
        <f t="shared" si="45"/>
        <v/>
      </c>
      <c r="K332" s="61" t="str">
        <f t="shared" si="41"/>
        <v/>
      </c>
      <c r="L332" s="60" t="str">
        <f t="shared" si="46"/>
        <v/>
      </c>
      <c r="M332" s="61" t="str">
        <f t="shared" si="42"/>
        <v/>
      </c>
      <c r="N332" s="62">
        <v>66068309</v>
      </c>
      <c r="O332" s="62">
        <f t="shared" si="43"/>
        <v>0</v>
      </c>
      <c r="P332" s="77" t="s">
        <v>50</v>
      </c>
      <c r="Q332" s="78" t="s">
        <v>58</v>
      </c>
      <c r="R332" s="20">
        <f t="shared" si="44"/>
        <v>1</v>
      </c>
      <c r="S332" s="20">
        <f t="shared" si="47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5"/>
        <v/>
      </c>
      <c r="J333" s="60" t="str">
        <f t="shared" si="45"/>
        <v/>
      </c>
      <c r="K333" s="61" t="str">
        <f t="shared" ref="K333:K337" si="48">IF(J333="","",+(J333/I333))</f>
        <v/>
      </c>
      <c r="L333" s="60" t="str">
        <f t="shared" si="46"/>
        <v/>
      </c>
      <c r="M333" s="61" t="str">
        <f t="shared" ref="M333:M362" si="49">IF(L333="","",(L333/I333))</f>
        <v/>
      </c>
      <c r="N333" s="62">
        <v>66068309</v>
      </c>
      <c r="O333" s="62">
        <f t="shared" si="43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4"/>
        <v>1</v>
      </c>
      <c r="S333" s="20">
        <f t="shared" si="47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5"/>
        <v/>
      </c>
      <c r="J334" s="60" t="str">
        <f t="shared" si="45"/>
        <v/>
      </c>
      <c r="K334" s="61" t="str">
        <f t="shared" si="48"/>
        <v/>
      </c>
      <c r="L334" s="60" t="str">
        <f t="shared" si="46"/>
        <v/>
      </c>
      <c r="M334" s="61" t="str">
        <f t="shared" si="49"/>
        <v/>
      </c>
      <c r="N334" s="62">
        <v>66068309</v>
      </c>
      <c r="O334" s="62">
        <f t="shared" si="43"/>
        <v>0</v>
      </c>
      <c r="P334" s="81" t="s">
        <v>52</v>
      </c>
      <c r="Q334" s="82" t="s">
        <v>59</v>
      </c>
      <c r="R334" s="20">
        <f t="shared" si="44"/>
        <v>1</v>
      </c>
      <c r="S334" s="20">
        <f t="shared" si="47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5"/>
        <v/>
      </c>
      <c r="J335" s="60" t="str">
        <f t="shared" si="45"/>
        <v/>
      </c>
      <c r="K335" s="61" t="str">
        <f t="shared" si="48"/>
        <v/>
      </c>
      <c r="L335" s="60" t="str">
        <f t="shared" si="46"/>
        <v/>
      </c>
      <c r="M335" s="61" t="str">
        <f t="shared" si="49"/>
        <v/>
      </c>
      <c r="N335" s="62">
        <v>66068309</v>
      </c>
      <c r="O335" s="62">
        <f t="shared" si="43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4"/>
        <v>1</v>
      </c>
      <c r="S335" s="20">
        <f t="shared" si="47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5"/>
        <v/>
      </c>
      <c r="J336" s="60" t="str">
        <f t="shared" si="45"/>
        <v/>
      </c>
      <c r="K336" s="61" t="str">
        <f t="shared" si="48"/>
        <v/>
      </c>
      <c r="L336" s="60" t="str">
        <f t="shared" si="46"/>
        <v/>
      </c>
      <c r="M336" s="61" t="str">
        <f t="shared" si="49"/>
        <v/>
      </c>
      <c r="N336" s="62">
        <v>66068309</v>
      </c>
      <c r="O336" s="62">
        <f t="shared" si="43"/>
        <v>0</v>
      </c>
      <c r="P336" s="135" t="s">
        <v>54</v>
      </c>
      <c r="Q336" s="135" t="s">
        <v>55</v>
      </c>
      <c r="R336" s="20">
        <f t="shared" si="44"/>
        <v>1</v>
      </c>
      <c r="S336" s="20">
        <f t="shared" si="47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5"/>
        <v/>
      </c>
      <c r="J337" s="91" t="str">
        <f t="shared" si="45"/>
        <v/>
      </c>
      <c r="K337" s="61" t="str">
        <f t="shared" si="48"/>
        <v/>
      </c>
      <c r="L337" s="91" t="str">
        <f t="shared" si="46"/>
        <v/>
      </c>
      <c r="M337" s="61" t="str">
        <f t="shared" si="49"/>
        <v/>
      </c>
      <c r="N337" s="93">
        <v>66068309</v>
      </c>
      <c r="O337" s="136">
        <f t="shared" si="43"/>
        <v>0</v>
      </c>
      <c r="P337" s="137">
        <f>(P335+Q333*SUM(S308:S337)*Q338)</f>
        <v>0</v>
      </c>
      <c r="Q337" s="138">
        <f>Q333*30</f>
        <v>0</v>
      </c>
      <c r="R337" s="20">
        <f t="shared" si="44"/>
        <v>1</v>
      </c>
      <c r="S337" s="20">
        <f t="shared" si="47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5"/>
        <v/>
      </c>
      <c r="J338" s="60" t="str">
        <f t="shared" si="45"/>
        <v/>
      </c>
      <c r="K338" s="61" t="str">
        <f t="shared" ref="K338:K368" si="50">IF(J338="","",+(J338/I338))</f>
        <v/>
      </c>
      <c r="L338" s="60" t="str">
        <f t="shared" si="46"/>
        <v/>
      </c>
      <c r="M338" s="61" t="str">
        <f t="shared" si="49"/>
        <v/>
      </c>
      <c r="N338" s="62">
        <v>66068309</v>
      </c>
      <c r="O338" s="62">
        <f t="shared" si="43"/>
        <v>0</v>
      </c>
      <c r="P338" s="139" t="s">
        <v>56</v>
      </c>
      <c r="Q338" s="140">
        <v>0.56999999999999995</v>
      </c>
      <c r="R338" s="20">
        <f t="shared" si="44"/>
        <v>1</v>
      </c>
      <c r="S338" s="20">
        <f t="shared" si="47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5"/>
        <v/>
      </c>
      <c r="J339" s="60" t="str">
        <f t="shared" si="45"/>
        <v/>
      </c>
      <c r="K339" s="61" t="str">
        <f t="shared" si="50"/>
        <v/>
      </c>
      <c r="L339" s="60" t="str">
        <f t="shared" si="46"/>
        <v/>
      </c>
      <c r="M339" s="61" t="str">
        <f t="shared" si="49"/>
        <v/>
      </c>
      <c r="N339" s="62">
        <v>66068309</v>
      </c>
      <c r="O339" s="62">
        <f t="shared" si="43"/>
        <v>0</v>
      </c>
      <c r="P339" s="131"/>
      <c r="Q339" s="131"/>
      <c r="R339" s="20">
        <f t="shared" si="44"/>
        <v>1</v>
      </c>
      <c r="S339" s="20">
        <f t="shared" si="47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5"/>
        <v/>
      </c>
      <c r="J340" s="60" t="str">
        <f t="shared" si="45"/>
        <v/>
      </c>
      <c r="K340" s="61" t="str">
        <f t="shared" si="50"/>
        <v/>
      </c>
      <c r="L340" s="60" t="str">
        <f t="shared" si="46"/>
        <v/>
      </c>
      <c r="M340" s="61" t="str">
        <f t="shared" si="49"/>
        <v/>
      </c>
      <c r="N340" s="62">
        <v>66068309</v>
      </c>
      <c r="O340" s="62">
        <f t="shared" si="43"/>
        <v>0</v>
      </c>
      <c r="P340" s="101"/>
      <c r="Q340" s="102"/>
      <c r="R340" s="20">
        <f t="shared" si="44"/>
        <v>1</v>
      </c>
      <c r="S340" s="20">
        <f t="shared" si="47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5"/>
        <v/>
      </c>
      <c r="J341" s="60" t="str">
        <f t="shared" si="45"/>
        <v/>
      </c>
      <c r="K341" s="61" t="str">
        <f t="shared" si="50"/>
        <v/>
      </c>
      <c r="L341" s="60" t="str">
        <f t="shared" si="46"/>
        <v/>
      </c>
      <c r="M341" s="61" t="str">
        <f t="shared" si="49"/>
        <v/>
      </c>
      <c r="N341" s="62">
        <v>66068309</v>
      </c>
      <c r="O341" s="62">
        <f t="shared" si="43"/>
        <v>0</v>
      </c>
      <c r="P341" s="103"/>
      <c r="Q341" s="104"/>
      <c r="R341" s="20">
        <f t="shared" si="44"/>
        <v>1</v>
      </c>
      <c r="S341" s="20">
        <f t="shared" si="47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5"/>
        <v/>
      </c>
      <c r="J342" s="60" t="str">
        <f t="shared" si="45"/>
        <v/>
      </c>
      <c r="K342" s="61" t="str">
        <f t="shared" si="50"/>
        <v/>
      </c>
      <c r="L342" s="60" t="str">
        <f t="shared" si="46"/>
        <v/>
      </c>
      <c r="M342" s="61" t="str">
        <f t="shared" si="49"/>
        <v/>
      </c>
      <c r="N342" s="62">
        <v>66068309</v>
      </c>
      <c r="O342" s="62">
        <f t="shared" si="43"/>
        <v>0</v>
      </c>
      <c r="P342" s="103"/>
      <c r="Q342" s="102"/>
      <c r="R342" s="20">
        <f t="shared" si="44"/>
        <v>1</v>
      </c>
      <c r="S342" s="20">
        <f t="shared" si="47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5"/>
        <v/>
      </c>
      <c r="J343" s="60" t="str">
        <f t="shared" si="45"/>
        <v/>
      </c>
      <c r="K343" s="61" t="str">
        <f t="shared" si="50"/>
        <v/>
      </c>
      <c r="L343" s="60" t="str">
        <f t="shared" si="46"/>
        <v/>
      </c>
      <c r="M343" s="61" t="str">
        <f t="shared" si="49"/>
        <v/>
      </c>
      <c r="N343" s="62">
        <v>66068309</v>
      </c>
      <c r="O343" s="62">
        <f t="shared" si="43"/>
        <v>0</v>
      </c>
      <c r="P343" s="63"/>
      <c r="Q343" s="64"/>
      <c r="R343" s="20">
        <f t="shared" si="44"/>
        <v>1</v>
      </c>
      <c r="S343" s="20">
        <f t="shared" si="47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5"/>
        <v/>
      </c>
      <c r="J344" s="60" t="str">
        <f t="shared" si="45"/>
        <v/>
      </c>
      <c r="K344" s="61" t="str">
        <f t="shared" si="50"/>
        <v/>
      </c>
      <c r="L344" s="60" t="str">
        <f t="shared" si="46"/>
        <v/>
      </c>
      <c r="M344" s="61" t="str">
        <f t="shared" si="49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4"/>
        <v>1</v>
      </c>
      <c r="S344" s="20">
        <f t="shared" si="47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5"/>
        <v/>
      </c>
      <c r="J345" s="60" t="str">
        <f t="shared" si="45"/>
        <v/>
      </c>
      <c r="K345" s="61" t="str">
        <f t="shared" si="50"/>
        <v/>
      </c>
      <c r="L345" s="60" t="str">
        <f t="shared" si="46"/>
        <v/>
      </c>
      <c r="M345" s="61" t="str">
        <f t="shared" si="49"/>
        <v/>
      </c>
      <c r="N345" s="62">
        <v>66068309</v>
      </c>
      <c r="O345" s="62">
        <f t="shared" si="43"/>
        <v>0</v>
      </c>
      <c r="P345" s="63"/>
      <c r="Q345" s="65"/>
      <c r="R345" s="20">
        <f t="shared" si="44"/>
        <v>1</v>
      </c>
      <c r="S345" s="20">
        <f t="shared" si="47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5"/>
        <v/>
      </c>
      <c r="J346" s="60" t="str">
        <f t="shared" si="45"/>
        <v/>
      </c>
      <c r="K346" s="61" t="str">
        <f t="shared" si="50"/>
        <v/>
      </c>
      <c r="L346" s="60" t="str">
        <f t="shared" si="46"/>
        <v/>
      </c>
      <c r="M346" s="61" t="str">
        <f t="shared" si="49"/>
        <v/>
      </c>
      <c r="N346" s="62">
        <v>66068309</v>
      </c>
      <c r="O346" s="62">
        <f t="shared" si="43"/>
        <v>0</v>
      </c>
      <c r="P346" s="63"/>
      <c r="Q346" s="65"/>
      <c r="R346" s="20">
        <f t="shared" si="44"/>
        <v>1</v>
      </c>
      <c r="S346" s="20">
        <f t="shared" si="47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5"/>
        <v/>
      </c>
      <c r="J347" s="60" t="str">
        <f t="shared" si="45"/>
        <v/>
      </c>
      <c r="K347" s="61" t="str">
        <f t="shared" si="50"/>
        <v/>
      </c>
      <c r="L347" s="60" t="str">
        <f t="shared" si="46"/>
        <v/>
      </c>
      <c r="M347" s="61" t="str">
        <f t="shared" si="49"/>
        <v/>
      </c>
      <c r="N347" s="62">
        <v>66068309</v>
      </c>
      <c r="O347" s="62">
        <f t="shared" si="43"/>
        <v>0</v>
      </c>
      <c r="P347" s="63"/>
      <c r="Q347" s="64"/>
      <c r="R347" s="20">
        <f t="shared" si="44"/>
        <v>1</v>
      </c>
      <c r="S347" s="20">
        <f t="shared" si="47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5"/>
        <v/>
      </c>
      <c r="J348" s="60" t="str">
        <f t="shared" si="45"/>
        <v/>
      </c>
      <c r="K348" s="61" t="str">
        <f t="shared" si="50"/>
        <v/>
      </c>
      <c r="L348" s="60" t="str">
        <f t="shared" si="46"/>
        <v/>
      </c>
      <c r="M348" s="61" t="str">
        <f t="shared" si="49"/>
        <v/>
      </c>
      <c r="N348" s="62">
        <v>66068309</v>
      </c>
      <c r="O348" s="62">
        <f t="shared" si="43"/>
        <v>0</v>
      </c>
      <c r="P348" s="63"/>
      <c r="Q348" s="64"/>
      <c r="R348" s="20">
        <f t="shared" si="44"/>
        <v>1</v>
      </c>
      <c r="S348" s="20">
        <f t="shared" si="47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5"/>
        <v/>
      </c>
      <c r="J349" s="60" t="str">
        <f t="shared" si="45"/>
        <v/>
      </c>
      <c r="K349" s="61" t="str">
        <f t="shared" si="50"/>
        <v/>
      </c>
      <c r="L349" s="60" t="str">
        <f t="shared" si="46"/>
        <v/>
      </c>
      <c r="M349" s="61" t="str">
        <f t="shared" si="49"/>
        <v/>
      </c>
      <c r="N349" s="62">
        <v>66068309</v>
      </c>
      <c r="O349" s="62">
        <f t="shared" si="43"/>
        <v>0</v>
      </c>
      <c r="P349" s="63"/>
      <c r="Q349" s="65"/>
      <c r="R349" s="20">
        <f t="shared" si="44"/>
        <v>1</v>
      </c>
      <c r="S349" s="20">
        <f t="shared" si="47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5"/>
        <v/>
      </c>
      <c r="J350" s="60" t="str">
        <f t="shared" si="45"/>
        <v/>
      </c>
      <c r="K350" s="61" t="str">
        <f t="shared" si="50"/>
        <v/>
      </c>
      <c r="L350" s="60" t="str">
        <f t="shared" si="46"/>
        <v/>
      </c>
      <c r="M350" s="61" t="str">
        <f t="shared" si="49"/>
        <v/>
      </c>
      <c r="N350" s="62">
        <v>66068309</v>
      </c>
      <c r="O350" s="62">
        <f t="shared" si="43"/>
        <v>0</v>
      </c>
      <c r="P350" s="63"/>
      <c r="Q350" s="65"/>
      <c r="R350" s="20">
        <f t="shared" si="44"/>
        <v>1</v>
      </c>
      <c r="S350" s="20">
        <f t="shared" si="47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5"/>
        <v/>
      </c>
      <c r="J351" s="60" t="str">
        <f t="shared" si="45"/>
        <v/>
      </c>
      <c r="K351" s="61" t="str">
        <f t="shared" si="50"/>
        <v/>
      </c>
      <c r="L351" s="60" t="str">
        <f t="shared" si="46"/>
        <v/>
      </c>
      <c r="M351" s="61" t="str">
        <f t="shared" si="49"/>
        <v/>
      </c>
      <c r="N351" s="62">
        <v>66068309</v>
      </c>
      <c r="O351" s="62">
        <f t="shared" si="43"/>
        <v>0</v>
      </c>
      <c r="P351" s="63"/>
      <c r="Q351" s="64"/>
      <c r="R351" s="20">
        <f t="shared" si="44"/>
        <v>1</v>
      </c>
      <c r="S351" s="20">
        <f t="shared" si="47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5"/>
        <v/>
      </c>
      <c r="J352" s="60" t="str">
        <f t="shared" si="45"/>
        <v/>
      </c>
      <c r="K352" s="61" t="str">
        <f t="shared" si="50"/>
        <v/>
      </c>
      <c r="L352" s="60" t="str">
        <f t="shared" si="46"/>
        <v/>
      </c>
      <c r="M352" s="61" t="str">
        <f t="shared" si="49"/>
        <v/>
      </c>
      <c r="N352" s="62">
        <v>66068309</v>
      </c>
      <c r="O352" s="62">
        <f t="shared" si="43"/>
        <v>0</v>
      </c>
      <c r="P352" s="63"/>
      <c r="Q352" s="64"/>
      <c r="R352" s="20">
        <f t="shared" si="44"/>
        <v>1</v>
      </c>
      <c r="S352" s="20">
        <f t="shared" si="47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5"/>
        <v/>
      </c>
      <c r="J353" s="60" t="str">
        <f t="shared" si="45"/>
        <v/>
      </c>
      <c r="K353" s="61" t="str">
        <f t="shared" si="50"/>
        <v/>
      </c>
      <c r="L353" s="60" t="str">
        <f t="shared" si="46"/>
        <v/>
      </c>
      <c r="M353" s="61" t="str">
        <f t="shared" si="49"/>
        <v/>
      </c>
      <c r="N353" s="62">
        <v>66068309</v>
      </c>
      <c r="O353" s="62">
        <f t="shared" si="43"/>
        <v>0</v>
      </c>
      <c r="P353" s="63"/>
      <c r="Q353" s="64"/>
      <c r="R353" s="20">
        <f t="shared" si="44"/>
        <v>1</v>
      </c>
      <c r="S353" s="20">
        <f t="shared" si="47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5"/>
        <v/>
      </c>
      <c r="J354" s="60" t="str">
        <f t="shared" si="45"/>
        <v/>
      </c>
      <c r="K354" s="61" t="str">
        <f t="shared" si="50"/>
        <v/>
      </c>
      <c r="L354" s="60" t="str">
        <f t="shared" si="46"/>
        <v/>
      </c>
      <c r="M354" s="61" t="str">
        <f t="shared" si="49"/>
        <v/>
      </c>
      <c r="N354" s="62">
        <v>66068309</v>
      </c>
      <c r="O354" s="62">
        <f t="shared" si="43"/>
        <v>0</v>
      </c>
      <c r="P354" s="63"/>
      <c r="Q354" s="105"/>
      <c r="R354" s="20">
        <f t="shared" si="44"/>
        <v>1</v>
      </c>
      <c r="S354" s="20">
        <f t="shared" si="47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5"/>
        <v/>
      </c>
      <c r="J355" s="60" t="str">
        <f>IF(E355="","",+(E355-E354)*4140)</f>
        <v/>
      </c>
      <c r="K355" s="61" t="str">
        <f t="shared" si="50"/>
        <v/>
      </c>
      <c r="L355" s="60" t="str">
        <f t="shared" si="46"/>
        <v/>
      </c>
      <c r="M355" s="61" t="str">
        <f t="shared" si="49"/>
        <v/>
      </c>
      <c r="N355" s="62">
        <v>66068309</v>
      </c>
      <c r="O355" s="62">
        <v>0</v>
      </c>
      <c r="P355" s="63"/>
      <c r="Q355" s="105"/>
      <c r="R355" s="20">
        <f t="shared" si="44"/>
        <v>1</v>
      </c>
      <c r="S355" s="20">
        <f t="shared" si="47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5"/>
        <v/>
      </c>
      <c r="J356" s="60" t="str">
        <f>IF(E356="","",+(E356-E355)*4140)</f>
        <v/>
      </c>
      <c r="K356" s="61" t="str">
        <f t="shared" si="50"/>
        <v/>
      </c>
      <c r="L356" s="60" t="str">
        <f t="shared" si="46"/>
        <v/>
      </c>
      <c r="M356" s="61" t="str">
        <f t="shared" si="49"/>
        <v/>
      </c>
      <c r="N356" s="62">
        <v>66068309</v>
      </c>
      <c r="O356" s="62">
        <f t="shared" si="43"/>
        <v>0</v>
      </c>
      <c r="P356" s="201" t="s">
        <v>69</v>
      </c>
      <c r="Q356" s="202"/>
      <c r="R356" s="20">
        <f t="shared" si="44"/>
        <v>1</v>
      </c>
      <c r="S356" s="20">
        <f t="shared" si="47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5"/>
        <v/>
      </c>
      <c r="J357" s="60" t="str">
        <f>IF(E357="","",+(E357-E356)*4140)</f>
        <v/>
      </c>
      <c r="K357" s="61" t="str">
        <f t="shared" si="50"/>
        <v/>
      </c>
      <c r="L357" s="60" t="str">
        <f t="shared" si="46"/>
        <v/>
      </c>
      <c r="M357" s="61" t="str">
        <f t="shared" si="49"/>
        <v/>
      </c>
      <c r="N357" s="62">
        <v>66068309</v>
      </c>
      <c r="O357" s="62">
        <f t="shared" si="43"/>
        <v>0</v>
      </c>
      <c r="P357" s="203"/>
      <c r="Q357" s="204"/>
      <c r="R357" s="20">
        <f t="shared" si="44"/>
        <v>1</v>
      </c>
      <c r="S357" s="20">
        <f t="shared" si="47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5"/>
        <v/>
      </c>
      <c r="J358" s="60" t="str">
        <f>IF(E358="","",+(E358-E357)*4140)</f>
        <v/>
      </c>
      <c r="K358" s="61" t="str">
        <f t="shared" si="50"/>
        <v/>
      </c>
      <c r="L358" s="60" t="str">
        <f t="shared" si="46"/>
        <v/>
      </c>
      <c r="M358" s="61" t="str">
        <f t="shared" si="49"/>
        <v/>
      </c>
      <c r="N358" s="62">
        <v>66068309</v>
      </c>
      <c r="O358" s="62">
        <f t="shared" si="43"/>
        <v>0</v>
      </c>
      <c r="P358" s="70" t="s">
        <v>46</v>
      </c>
      <c r="Q358" s="70" t="s">
        <v>47</v>
      </c>
      <c r="R358" s="20">
        <f t="shared" si="44"/>
        <v>1</v>
      </c>
      <c r="S358" s="20">
        <f t="shared" si="47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5"/>
        <v/>
      </c>
      <c r="J359" s="60" t="str">
        <f t="shared" si="45"/>
        <v/>
      </c>
      <c r="K359" s="61" t="str">
        <f t="shared" si="50"/>
        <v/>
      </c>
      <c r="L359" s="60" t="str">
        <f t="shared" si="46"/>
        <v/>
      </c>
      <c r="M359" s="61" t="str">
        <f t="shared" si="49"/>
        <v/>
      </c>
      <c r="N359" s="62">
        <v>66068309</v>
      </c>
      <c r="O359" s="62">
        <f t="shared" si="43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4"/>
        <v>1</v>
      </c>
      <c r="S359" s="20">
        <f t="shared" si="47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5"/>
        <v/>
      </c>
      <c r="J360" s="60" t="str">
        <f t="shared" si="45"/>
        <v/>
      </c>
      <c r="K360" s="61" t="str">
        <f t="shared" si="50"/>
        <v/>
      </c>
      <c r="L360" s="60" t="str">
        <f t="shared" si="46"/>
        <v/>
      </c>
      <c r="M360" s="61" t="str">
        <f t="shared" si="49"/>
        <v/>
      </c>
      <c r="N360" s="62">
        <v>66068309</v>
      </c>
      <c r="O360" s="62">
        <f t="shared" si="43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4"/>
        <v>1</v>
      </c>
      <c r="S360" s="20">
        <f t="shared" si="47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5"/>
        <v/>
      </c>
      <c r="J361" s="60" t="str">
        <f t="shared" si="45"/>
        <v/>
      </c>
      <c r="K361" s="61" t="str">
        <f t="shared" si="50"/>
        <v/>
      </c>
      <c r="L361" s="60" t="str">
        <f t="shared" si="46"/>
        <v/>
      </c>
      <c r="M361" s="61" t="str">
        <f t="shared" si="49"/>
        <v/>
      </c>
      <c r="N361" s="62">
        <v>66068309</v>
      </c>
      <c r="O361" s="62">
        <f t="shared" si="43"/>
        <v>0</v>
      </c>
      <c r="P361" s="73" t="s">
        <v>48</v>
      </c>
      <c r="Q361" s="74" t="s">
        <v>49</v>
      </c>
      <c r="R361" s="20">
        <f t="shared" si="44"/>
        <v>1</v>
      </c>
      <c r="S361" s="20">
        <f t="shared" si="47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5"/>
        <v/>
      </c>
      <c r="J362" s="60" t="str">
        <f t="shared" si="45"/>
        <v/>
      </c>
      <c r="K362" s="61" t="str">
        <f t="shared" si="50"/>
        <v/>
      </c>
      <c r="L362" s="60" t="str">
        <f t="shared" si="46"/>
        <v/>
      </c>
      <c r="M362" s="61" t="str">
        <f t="shared" si="49"/>
        <v/>
      </c>
      <c r="N362" s="62">
        <v>66068309</v>
      </c>
      <c r="O362" s="62">
        <f t="shared" si="43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4"/>
        <v>1</v>
      </c>
      <c r="S362" s="20">
        <f t="shared" si="47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5"/>
        <v/>
      </c>
      <c r="J363" s="60" t="str">
        <f t="shared" si="45"/>
        <v/>
      </c>
      <c r="K363" s="61" t="str">
        <f t="shared" si="50"/>
        <v/>
      </c>
      <c r="L363" s="60" t="str">
        <f t="shared" si="46"/>
        <v/>
      </c>
      <c r="M363" s="61" t="str">
        <f t="shared" ref="M363:M368" si="51">IF(L363="","",(L363/I363))</f>
        <v/>
      </c>
      <c r="N363" s="62">
        <v>66068309</v>
      </c>
      <c r="O363" s="62">
        <f t="shared" si="43"/>
        <v>0</v>
      </c>
      <c r="P363" s="77" t="s">
        <v>50</v>
      </c>
      <c r="Q363" s="78" t="s">
        <v>58</v>
      </c>
      <c r="R363" s="20">
        <f t="shared" si="44"/>
        <v>1</v>
      </c>
      <c r="S363" s="20">
        <f t="shared" si="47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5"/>
        <v/>
      </c>
      <c r="J364" s="60" t="str">
        <f t="shared" si="45"/>
        <v/>
      </c>
      <c r="K364" s="61" t="str">
        <f t="shared" si="50"/>
        <v/>
      </c>
      <c r="L364" s="60" t="str">
        <f t="shared" si="46"/>
        <v/>
      </c>
      <c r="M364" s="61" t="str">
        <f t="shared" si="51"/>
        <v/>
      </c>
      <c r="N364" s="62">
        <v>66068309</v>
      </c>
      <c r="O364" s="62">
        <f t="shared" si="43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4"/>
        <v>1</v>
      </c>
      <c r="S364" s="20">
        <f t="shared" si="47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5"/>
        <v/>
      </c>
      <c r="J365" s="60" t="str">
        <f t="shared" si="45"/>
        <v/>
      </c>
      <c r="K365" s="61" t="str">
        <f t="shared" si="50"/>
        <v/>
      </c>
      <c r="L365" s="60" t="str">
        <f t="shared" si="46"/>
        <v/>
      </c>
      <c r="M365" s="61" t="str">
        <f t="shared" si="51"/>
        <v/>
      </c>
      <c r="N365" s="62">
        <v>66068309</v>
      </c>
      <c r="O365" s="62">
        <f t="shared" si="43"/>
        <v>0</v>
      </c>
      <c r="P365" s="81" t="s">
        <v>52</v>
      </c>
      <c r="Q365" s="82" t="s">
        <v>59</v>
      </c>
      <c r="R365" s="20">
        <f t="shared" si="44"/>
        <v>1</v>
      </c>
      <c r="S365" s="20">
        <f t="shared" si="47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5"/>
        <v/>
      </c>
      <c r="K366" s="61" t="str">
        <f t="shared" si="50"/>
        <v/>
      </c>
      <c r="L366" s="60" t="str">
        <f t="shared" si="46"/>
        <v/>
      </c>
      <c r="M366" s="61" t="str">
        <f t="shared" si="51"/>
        <v/>
      </c>
      <c r="N366" s="62">
        <v>66068309</v>
      </c>
      <c r="O366" s="62">
        <f t="shared" si="43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4"/>
        <v>1</v>
      </c>
      <c r="S366" s="20">
        <f t="shared" si="47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5"/>
        <v/>
      </c>
      <c r="J367" s="60" t="str">
        <f t="shared" si="45"/>
        <v/>
      </c>
      <c r="K367" s="61" t="str">
        <f t="shared" si="50"/>
        <v/>
      </c>
      <c r="L367" s="60" t="str">
        <f t="shared" si="46"/>
        <v/>
      </c>
      <c r="M367" s="61" t="str">
        <f t="shared" si="51"/>
        <v/>
      </c>
      <c r="N367" s="62">
        <v>66068309</v>
      </c>
      <c r="O367" s="62">
        <f t="shared" si="43"/>
        <v>0</v>
      </c>
      <c r="P367" s="86" t="s">
        <v>54</v>
      </c>
      <c r="Q367" s="87" t="s">
        <v>55</v>
      </c>
      <c r="R367" s="20">
        <f t="shared" si="44"/>
        <v>1</v>
      </c>
      <c r="S367" s="20">
        <f t="shared" si="47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5"/>
        <v/>
      </c>
      <c r="J368" s="91" t="str">
        <f t="shared" si="45"/>
        <v/>
      </c>
      <c r="K368" s="92" t="str">
        <f t="shared" si="50"/>
        <v/>
      </c>
      <c r="L368" s="91" t="str">
        <f t="shared" si="46"/>
        <v/>
      </c>
      <c r="M368" s="92" t="str">
        <f t="shared" si="51"/>
        <v/>
      </c>
      <c r="N368" s="93">
        <v>66068309</v>
      </c>
      <c r="O368" s="94">
        <f t="shared" si="43"/>
        <v>0</v>
      </c>
      <c r="P368" s="95">
        <f>(P366+Q364*SUM(S338:S368)*Q369)</f>
        <v>0</v>
      </c>
      <c r="Q368" s="96">
        <f>Q364*31</f>
        <v>0</v>
      </c>
      <c r="R368" s="20">
        <f t="shared" si="44"/>
        <v>1</v>
      </c>
      <c r="S368" s="20">
        <f t="shared" si="47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3792810.8399999961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2021-06-23T06:19:32Z</dcterms:modified>
  <cp:category/>
  <cp:contentStatus/>
</cp:coreProperties>
</file>