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32" i="3" l="1"/>
  <c r="I32" i="3"/>
  <c r="G32" i="3"/>
  <c r="E32" i="3"/>
  <c r="K32" i="3"/>
  <c r="J32" i="2"/>
  <c r="I32" i="2"/>
  <c r="H32" i="2"/>
  <c r="F32" i="2"/>
  <c r="E32" i="2"/>
  <c r="L31" i="3" l="1"/>
  <c r="I31" i="3"/>
  <c r="G31" i="3"/>
  <c r="E31" i="3"/>
  <c r="K31" i="3"/>
  <c r="J31" i="2"/>
  <c r="I31" i="2"/>
  <c r="H31" i="2"/>
  <c r="F31" i="2"/>
  <c r="E31" i="2"/>
  <c r="L30" i="3" l="1"/>
  <c r="I30" i="3"/>
  <c r="G30" i="3"/>
  <c r="E30" i="3"/>
  <c r="K30" i="3"/>
  <c r="L29" i="3"/>
  <c r="I29" i="3"/>
  <c r="G29" i="3"/>
  <c r="E29" i="3"/>
  <c r="K29" i="3"/>
  <c r="J30" i="2"/>
  <c r="I30" i="2"/>
  <c r="H30" i="2"/>
  <c r="F30" i="2"/>
  <c r="E30" i="2"/>
  <c r="J29" i="2"/>
  <c r="I29" i="2"/>
  <c r="H29" i="2"/>
  <c r="F29" i="2"/>
  <c r="E29" i="2"/>
  <c r="J28" i="2" l="1"/>
  <c r="I28" i="2"/>
  <c r="H28" i="2"/>
  <c r="F28" i="2"/>
  <c r="E28" i="2"/>
  <c r="L28" i="3"/>
  <c r="I28" i="3"/>
  <c r="G28" i="3"/>
  <c r="E28" i="3"/>
  <c r="K28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<sst xmlns="http://schemas.openxmlformats.org/spreadsheetml/2006/main" count="106" uniqueCount="37">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</sst>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T33" sqref="T3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10141</v>
      </c>
      <c r="F24" s="25">
        <v>0.11799999999999999</v>
      </c>
      <c r="G24" s="27">
        <f>(('12 - 2019'!E29-'12 - 2019'!E28)+('12 - 2019'!F29-'12 - 2019'!F28)+('12 - 2019'!G29-'12 - 2019'!G28))*1.81</f>
        <v>125.48730000000151</v>
      </c>
      <c r="H24" s="25">
        <v>0.99</v>
      </c>
      <c r="I24" s="27">
        <f>'12 - 2019'!J29-'12 - 2019'!J28</f>
        <v>12376</v>
      </c>
      <c r="J24" s="25">
        <v>8.1000000000000003E-2</v>
      </c>
      <c r="K24" s="27">
        <f>'12 - 2019'!H29-'12 - 2019'!H28</f>
        <v>0</v>
      </c>
      <c r="L24" s="27">
        <f>'12 - 2019'!I29-'12 - 2019'!I28</f>
        <v>117</v>
      </c>
      <c r="M24" s="26">
        <v>4.393629424766913</v>
      </c>
      <c r="N24" s="6">
        <v>41</v>
      </c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9902</v>
      </c>
      <c r="F25" s="25">
        <v>0.11799999999999999</v>
      </c>
      <c r="G25" s="27">
        <f>(('12 - 2019'!E30-'12 - 2019'!E29)+('12 - 2019'!F30-'12 - 2019'!F29)+('12 - 2019'!G30-'12 - 2019'!G29))*1.81</f>
        <v>131.33359999999868</v>
      </c>
      <c r="H25" s="25">
        <v>0.99</v>
      </c>
      <c r="I25" s="27">
        <f>'12 - 2019'!J30-'12 - 2019'!J29</f>
        <v>12196</v>
      </c>
      <c r="J25" s="25">
        <v>8.1000000000000003E-2</v>
      </c>
      <c r="K25" s="27">
        <f>'12 - 2019'!H30-'12 - 2019'!H29</f>
        <v>0</v>
      </c>
      <c r="L25" s="27">
        <f>'12 - 2019'!I30-'12 - 2019'!I29</f>
        <v>106</v>
      </c>
      <c r="M25" s="26">
        <v>4.393629424766913</v>
      </c>
      <c r="N25" s="6">
        <v>45</v>
      </c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9276</v>
      </c>
      <c r="F26" s="25">
        <v>0.11799999999999999</v>
      </c>
      <c r="G26" s="27">
        <f>(('12 - 2019'!E31-'12 - 2019'!E30)+('12 - 2019'!F31-'12 - 2019'!F30)+('12 - 2019'!G31-'12 - 2019'!G30))*1.81</f>
        <v>115.11599999999984</v>
      </c>
      <c r="H26" s="25">
        <v>0.99</v>
      </c>
      <c r="I26" s="27">
        <f>'12 - 2019'!J31-'12 - 2019'!J30</f>
        <v>11719</v>
      </c>
      <c r="J26" s="25">
        <v>8.1000000000000003E-2</v>
      </c>
      <c r="K26" s="27">
        <f>'12 - 2019'!H31-'12 - 2019'!H30</f>
        <v>0</v>
      </c>
      <c r="L26" s="27">
        <f>'12 - 2019'!I31-'12 - 2019'!I30</f>
        <v>109</v>
      </c>
      <c r="M26" s="26">
        <v>4.393629424766913</v>
      </c>
      <c r="N26" s="6">
        <v>54</v>
      </c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10910</v>
      </c>
      <c r="F27" s="25">
        <v>0.11799999999999999</v>
      </c>
      <c r="G27" s="27">
        <f>(('12 - 2019'!E32-'12 - 2019'!E31)+('12 - 2019'!F32-'12 - 2019'!F31)+('12 - 2019'!G32-'12 - 2019'!G31))*1.81</f>
        <v>129.19779999999938</v>
      </c>
      <c r="H27" s="25">
        <v>0.99</v>
      </c>
      <c r="I27" s="27">
        <f>'12 - 2019'!J32-'12 - 2019'!J31</f>
        <v>14241</v>
      </c>
      <c r="J27" s="25">
        <v>8.1000000000000003E-2</v>
      </c>
      <c r="K27" s="27">
        <f>'12 - 2019'!H32-'12 - 2019'!H31</f>
        <v>0</v>
      </c>
      <c r="L27" s="27">
        <f>'12 - 2019'!I32-'12 - 2019'!I31</f>
        <v>100</v>
      </c>
      <c r="M27" s="26">
        <v>4.393629424766913</v>
      </c>
      <c r="N27" s="6">
        <v>59</v>
      </c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10338</v>
      </c>
      <c r="F28" s="25">
        <v>0.11799999999999999</v>
      </c>
      <c r="G28" s="27">
        <f>(('12 - 2019'!E33-'12 - 2019'!E32)+('12 - 2019'!F33-'12 - 2019'!F32)+('12 - 2019'!G33-'12 - 2019'!G32))*1.81</f>
        <v>147.82270000000136</v>
      </c>
      <c r="H28" s="25">
        <v>0.99</v>
      </c>
      <c r="I28" s="27">
        <f>'12 - 2019'!J33-'12 - 2019'!J32</f>
        <v>12537</v>
      </c>
      <c r="J28" s="25">
        <v>8.1000000000000003E-2</v>
      </c>
      <c r="K28" s="27">
        <f>'12 - 2019'!H33-'12 - 2019'!H32</f>
        <v>0</v>
      </c>
      <c r="L28" s="27">
        <f>'12 - 2019'!I33-'12 - 2019'!I32</f>
        <v>107</v>
      </c>
      <c r="M28" s="26">
        <v>4.393629424766913</v>
      </c>
      <c r="N28" s="6">
        <v>92</v>
      </c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9966</v>
      </c>
      <c r="F29" s="25">
        <v>0.11799999999999999</v>
      </c>
      <c r="G29" s="27">
        <f>(('12 - 2019'!E34-'12 - 2019'!E33)+('12 - 2019'!F34-'12 - 2019'!F33)+('12 - 2019'!G34-'12 - 2019'!G33))*1.81</f>
        <v>129.55979999999988</v>
      </c>
      <c r="H29" s="25">
        <v>0.99</v>
      </c>
      <c r="I29" s="27">
        <f>'12 - 2019'!J34-'12 - 2019'!J33</f>
        <v>13355</v>
      </c>
      <c r="J29" s="25">
        <v>8.1000000000000003E-2</v>
      </c>
      <c r="K29" s="27">
        <f>'12 - 2019'!H34-'12 - 2019'!H33</f>
        <v>0</v>
      </c>
      <c r="L29" s="27">
        <f>'12 - 2019'!I34-'12 - 2019'!I33</f>
        <v>126</v>
      </c>
      <c r="M29" s="26">
        <v>4.3936294247669103</v>
      </c>
      <c r="N29" s="6">
        <v>100</v>
      </c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f>'12 - 2019'!B35-'12 - 2019'!B34+'12 - 2019'!C35-'12 - 2019'!C34</f>
        <v>10063</v>
      </c>
      <c r="F30" s="25">
        <v>0.11799999999999999</v>
      </c>
      <c r="G30" s="27">
        <f>(('12 - 2019'!E35-'12 - 2019'!E34)+('12 - 2019'!F35-'12 - 2019'!F34)+('12 - 2019'!G35-'12 - 2019'!G34))*1.81</f>
        <v>130.89920000000154</v>
      </c>
      <c r="H30" s="25">
        <v>0.99</v>
      </c>
      <c r="I30" s="27">
        <f>'12 - 2019'!J35-'12 - 2019'!J34</f>
        <v>13825</v>
      </c>
      <c r="J30" s="25">
        <v>8.1000000000000003E-2</v>
      </c>
      <c r="K30" s="27">
        <f>'12 - 2019'!H35-'12 - 2019'!H34</f>
        <v>0</v>
      </c>
      <c r="L30" s="27">
        <f>'12 - 2019'!I35-'12 - 2019'!I34</f>
        <v>123</v>
      </c>
      <c r="M30" s="26">
        <v>4.3936294247669103</v>
      </c>
      <c r="N30" s="6">
        <v>102</v>
      </c>
    </row>
    <row r="31" spans="1:16" x14ac:dyDescent="0.25">
      <c r="A31" t="s">
        <v>27</v>
      </c>
      <c r="B31">
        <f t="shared" si="0"/>
        <v>30</v>
      </c>
      <c r="C31" s="25">
        <v>12</v>
      </c>
      <c r="D31" s="25">
        <v>2019</v>
      </c>
      <c r="E31" s="27">
        <f>'12 - 2019'!B36-'12 - 2019'!B35+'12 - 2019'!C36-'12 - 2019'!C35</f>
        <v>10093</v>
      </c>
      <c r="F31" s="25">
        <v>0.11799999999999999</v>
      </c>
      <c r="G31" s="27">
        <f>(('12 - 2019'!E36-'12 - 2019'!E35)+('12 - 2019'!F36-'12 - 2019'!F35)+('12 - 2019'!G36-'12 - 2019'!G35))*1.81</f>
        <v>134.66399999999729</v>
      </c>
      <c r="H31" s="25">
        <v>0.99</v>
      </c>
      <c r="I31" s="27">
        <f>'12 - 2019'!J36-'12 - 2019'!J35</f>
        <v>14887</v>
      </c>
      <c r="J31" s="25">
        <v>8.1000000000000003E-2</v>
      </c>
      <c r="K31" s="27">
        <f>'12 - 2019'!H36-'12 - 2019'!H35</f>
        <v>0</v>
      </c>
      <c r="L31" s="27">
        <f>'12 - 2019'!I36-'12 - 2019'!I35</f>
        <v>117</v>
      </c>
      <c r="M31" s="26">
        <v>4.3936294247669103</v>
      </c>
      <c r="N31" s="6">
        <v>98</v>
      </c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f>'12 - 2019'!B37-'12 - 2019'!B36+'12 - 2019'!C37-'12 - 2019'!C36</f>
        <v>10066</v>
      </c>
      <c r="F32" s="25">
        <v>0.11799999999999999</v>
      </c>
      <c r="G32" s="27">
        <f>(('12 - 2019'!E37-'12 - 2019'!E36)+('12 - 2019'!F37-'12 - 2019'!F36)+('12 - 2019'!G37-'12 - 2019'!G36))*1.81</f>
        <v>126.93530000000102</v>
      </c>
      <c r="H32" s="25">
        <v>0.99</v>
      </c>
      <c r="I32" s="27">
        <f>'12 - 2019'!J37-'12 - 2019'!J36</f>
        <v>14322</v>
      </c>
      <c r="J32" s="25">
        <v>8.1000000000000003E-2</v>
      </c>
      <c r="K32" s="27">
        <f>'12 - 2019'!H37-'12 - 2019'!H36</f>
        <v>0</v>
      </c>
      <c r="L32" s="27">
        <f>'12 - 2019'!I37-'12 - 2019'!I36</f>
        <v>138</v>
      </c>
      <c r="M32" s="26">
        <v>4.3936294247669103</v>
      </c>
      <c r="N32" s="27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3" sqref="K3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3995</v>
      </c>
      <c r="F24" s="27">
        <f>'12 - 2019'!C29-'12 - 2019'!C28</f>
        <v>6146</v>
      </c>
      <c r="G24" s="25">
        <v>0.11799999999999999</v>
      </c>
      <c r="H24" s="27">
        <f>'12 - 2019'!E29-'12 - 2019'!E28</f>
        <v>25.700000000000728</v>
      </c>
      <c r="I24" s="27">
        <f>'12 - 2019'!F29-'12 - 2019'!F28</f>
        <v>6.3000000000001819</v>
      </c>
      <c r="J24" s="27">
        <f>'12 - 2019'!G29-'12 - 2019'!G28</f>
        <v>37.329999999999927</v>
      </c>
      <c r="K24" s="25">
        <v>0.74</v>
      </c>
      <c r="L24" s="27">
        <v>41</v>
      </c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3881</v>
      </c>
      <c r="F25" s="27">
        <f>'12 - 2019'!C30-'12 - 2019'!C29</f>
        <v>6021</v>
      </c>
      <c r="G25" s="25">
        <v>0.11799999999999999</v>
      </c>
      <c r="H25" s="27">
        <f>'12 - 2019'!E30-'12 - 2019'!E29</f>
        <v>23.680000000000291</v>
      </c>
      <c r="I25" s="27">
        <f>'12 - 2019'!F30-'12 - 2019'!F29</f>
        <v>5.8399999999999181</v>
      </c>
      <c r="J25" s="27">
        <f>'12 - 2019'!G30-'12 - 2019'!G29</f>
        <v>43.039999999999054</v>
      </c>
      <c r="K25" s="25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3722</v>
      </c>
      <c r="F26" s="27">
        <f>'12 - 2019'!C31-'12 - 2019'!C30</f>
        <v>5554</v>
      </c>
      <c r="G26" s="25">
        <v>0.11799999999999999</v>
      </c>
      <c r="H26" s="27">
        <f>'12 - 2019'!E31-'12 - 2019'!E30</f>
        <v>23.049999999999272</v>
      </c>
      <c r="I26" s="27">
        <f>'12 - 2019'!F31-'12 - 2019'!F30</f>
        <v>4.2699999999999818</v>
      </c>
      <c r="J26" s="27">
        <f>'12 - 2019'!G31-'12 - 2019'!G30</f>
        <v>36.280000000000655</v>
      </c>
      <c r="K26" s="25">
        <v>0.74</v>
      </c>
      <c r="L26" s="6">
        <v>54</v>
      </c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4418</v>
      </c>
      <c r="F27" s="27">
        <f>'12 - 2019'!C32-'12 - 2019'!C31</f>
        <v>6492</v>
      </c>
      <c r="G27" s="25">
        <v>0.11799999999999999</v>
      </c>
      <c r="H27" s="27">
        <f>'12 - 2019'!E32-'12 - 2019'!E31</f>
        <v>27.079999999999927</v>
      </c>
      <c r="I27" s="27">
        <f>'12 - 2019'!F32-'12 - 2019'!F31</f>
        <v>5.6500000000000909</v>
      </c>
      <c r="J27" s="27">
        <f>'12 - 2019'!G32-'12 - 2019'!G31</f>
        <v>38.649999999999636</v>
      </c>
      <c r="K27" s="25">
        <v>0.74</v>
      </c>
      <c r="L27" s="6">
        <v>59</v>
      </c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4075</v>
      </c>
      <c r="F28" s="27">
        <f>'12 - 2019'!C33-'12 - 2019'!C32</f>
        <v>6263</v>
      </c>
      <c r="G28" s="25">
        <v>0.11799999999999999</v>
      </c>
      <c r="H28" s="27">
        <f>'12 - 2019'!E33-'12 - 2019'!E32</f>
        <v>29.920000000000073</v>
      </c>
      <c r="I28" s="27">
        <f>'12 - 2019'!F33-'12 - 2019'!F32</f>
        <v>5.459999999999809</v>
      </c>
      <c r="J28" s="27">
        <f>'12 - 2019'!G33-'12 - 2019'!G32</f>
        <v>46.290000000000873</v>
      </c>
      <c r="K28" s="25">
        <v>0.74</v>
      </c>
      <c r="L28" s="6">
        <v>92</v>
      </c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</f>
        <v>3971</v>
      </c>
      <c r="F29" s="27">
        <f>'12 - 2019'!C34-'12 - 2019'!C33</f>
        <v>5995</v>
      </c>
      <c r="G29" s="25">
        <v>0.11799999999999999</v>
      </c>
      <c r="H29" s="27">
        <f>'12 - 2019'!E34-'12 - 2019'!E33</f>
        <v>22.6200000000008</v>
      </c>
      <c r="I29" s="27">
        <f>'12 - 2019'!F34-'12 - 2019'!F33</f>
        <v>6.6700000000000728</v>
      </c>
      <c r="J29" s="27">
        <f>'12 - 2019'!G34-'12 - 2019'!G33</f>
        <v>42.289999999999054</v>
      </c>
      <c r="K29" s="25">
        <v>0.74</v>
      </c>
      <c r="L29" s="6">
        <v>100</v>
      </c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f>'12 - 2019'!B35-'12 - 2019'!B34</f>
        <v>3962</v>
      </c>
      <c r="F30" s="27">
        <f>'12 - 2019'!C35-'12 - 2019'!C34</f>
        <v>6101</v>
      </c>
      <c r="G30" s="25">
        <v>0.11799999999999999</v>
      </c>
      <c r="H30" s="27">
        <f>'12 - 2019'!E35-'12 - 2019'!E34</f>
        <v>24.409999999999854</v>
      </c>
      <c r="I30" s="27">
        <f>'12 - 2019'!F35-'12 - 2019'!F34</f>
        <v>6.1200000000001182</v>
      </c>
      <c r="J30" s="27">
        <f>'12 - 2019'!G35-'12 - 2019'!G34</f>
        <v>41.790000000000873</v>
      </c>
      <c r="K30" s="25">
        <v>0.74</v>
      </c>
      <c r="L30" s="6">
        <v>102</v>
      </c>
    </row>
    <row r="31" spans="1:13" x14ac:dyDescent="0.25">
      <c r="A31" t="s">
        <v>27</v>
      </c>
      <c r="B31">
        <f t="shared" si="0"/>
        <v>30</v>
      </c>
      <c r="C31" s="25">
        <v>12</v>
      </c>
      <c r="D31" s="25">
        <v>2019</v>
      </c>
      <c r="E31" s="27">
        <f>'12 - 2019'!B36-'12 - 2019'!B35</f>
        <v>3830</v>
      </c>
      <c r="F31" s="27">
        <f>'12 - 2019'!C36-'12 - 2019'!C35</f>
        <v>6263</v>
      </c>
      <c r="G31" s="25">
        <v>0.11799999999999999</v>
      </c>
      <c r="H31" s="27">
        <f>'12 - 2019'!E36-'12 - 2019'!E35</f>
        <v>26.349999999998545</v>
      </c>
      <c r="I31" s="27">
        <f>'12 - 2019'!F36-'12 - 2019'!F35</f>
        <v>4.7999999999999545</v>
      </c>
      <c r="J31" s="27">
        <f>'12 - 2019'!G36-'12 - 2019'!G35</f>
        <v>43.25</v>
      </c>
      <c r="K31" s="25">
        <v>0.74</v>
      </c>
      <c r="L31" s="27">
        <v>98</v>
      </c>
    </row>
    <row r="32" spans="1:13" x14ac:dyDescent="0.25">
      <c r="A32" s="25" t="s">
        <v>27</v>
      </c>
      <c r="B32">
        <v>31</v>
      </c>
      <c r="C32" s="25">
        <v>12</v>
      </c>
      <c r="D32" s="25">
        <v>2019</v>
      </c>
      <c r="E32" s="27">
        <f>'12 - 2019'!B37-'12 - 2019'!B36</f>
        <v>3850</v>
      </c>
      <c r="F32" s="27">
        <f>'12 - 2019'!C37-'12 - 2019'!C36</f>
        <v>6216</v>
      </c>
      <c r="G32" s="25">
        <v>0.11799999999999999</v>
      </c>
      <c r="H32" s="27">
        <f>'12 - 2019'!E37-'12 - 2019'!E36</f>
        <v>25.240000000001601</v>
      </c>
      <c r="I32" s="27">
        <f>'12 - 2019'!F37-'12 - 2019'!F36</f>
        <v>6.1900000000000546</v>
      </c>
      <c r="J32" s="27">
        <f>'12 - 2019'!G37-'12 - 2019'!G36</f>
        <v>38.699999999998909</v>
      </c>
      <c r="K32" s="25">
        <v>0.74</v>
      </c>
      <c r="L32" s="27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M34" sqref="M3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>
        <v>339311</v>
      </c>
      <c r="C29" s="16">
        <v>213998</v>
      </c>
      <c r="D29" s="17">
        <v>0.5</v>
      </c>
      <c r="E29" s="30">
        <v>8550.27</v>
      </c>
      <c r="F29" s="30">
        <v>1604.89</v>
      </c>
      <c r="G29" s="18">
        <v>14811.68</v>
      </c>
      <c r="H29" s="16">
        <v>14528</v>
      </c>
      <c r="I29" s="16">
        <v>82649</v>
      </c>
      <c r="J29" s="16">
        <v>37118128</v>
      </c>
      <c r="K29" s="19"/>
      <c r="L29" s="34"/>
      <c r="P29" s="6"/>
    </row>
    <row r="30" spans="1:16" ht="12.75" customHeight="1" x14ac:dyDescent="0.25">
      <c r="A30" s="49">
        <v>43823</v>
      </c>
      <c r="B30" s="16">
        <v>343192</v>
      </c>
      <c r="C30" s="16">
        <v>220019</v>
      </c>
      <c r="D30" s="17">
        <v>0.44</v>
      </c>
      <c r="E30" s="30">
        <v>8573.9500000000007</v>
      </c>
      <c r="F30" s="30">
        <v>1610.73</v>
      </c>
      <c r="G30" s="18">
        <v>14854.72</v>
      </c>
      <c r="H30" s="16">
        <v>14528</v>
      </c>
      <c r="I30" s="16">
        <v>82755</v>
      </c>
      <c r="J30" s="16">
        <v>37130324</v>
      </c>
      <c r="K30" s="19"/>
      <c r="L30" s="36"/>
      <c r="P30" s="6"/>
    </row>
    <row r="31" spans="1:16" ht="12.75" customHeight="1" x14ac:dyDescent="0.25">
      <c r="A31" s="49">
        <v>43824</v>
      </c>
      <c r="B31" s="16">
        <v>346914</v>
      </c>
      <c r="C31" s="16">
        <v>225573</v>
      </c>
      <c r="D31" s="17">
        <v>0.38</v>
      </c>
      <c r="E31" s="30">
        <v>8597</v>
      </c>
      <c r="F31" s="30">
        <v>1615</v>
      </c>
      <c r="G31" s="18">
        <v>14891</v>
      </c>
      <c r="H31" s="16">
        <v>14528</v>
      </c>
      <c r="I31" s="16">
        <v>82864</v>
      </c>
      <c r="J31" s="16">
        <v>37142043</v>
      </c>
      <c r="K31" s="19"/>
      <c r="L31" s="36"/>
      <c r="P31" s="6"/>
    </row>
    <row r="32" spans="1:16" ht="12.75" customHeight="1" x14ac:dyDescent="0.25">
      <c r="A32" s="49">
        <v>43825</v>
      </c>
      <c r="B32" s="16">
        <v>351332</v>
      </c>
      <c r="C32" s="16">
        <v>232065</v>
      </c>
      <c r="D32" s="17">
        <v>0.85</v>
      </c>
      <c r="E32" s="30">
        <v>8624.08</v>
      </c>
      <c r="F32" s="30">
        <v>1620.65</v>
      </c>
      <c r="G32" s="18">
        <v>14929.65</v>
      </c>
      <c r="H32" s="16">
        <v>14528</v>
      </c>
      <c r="I32" s="16">
        <v>82964</v>
      </c>
      <c r="J32" s="16">
        <v>37156284</v>
      </c>
      <c r="K32" s="19"/>
      <c r="L32" s="34"/>
      <c r="P32" s="6"/>
    </row>
    <row r="33" spans="1:12" ht="12.75" customHeight="1" x14ac:dyDescent="0.25">
      <c r="A33" s="49">
        <v>43826</v>
      </c>
      <c r="B33" s="18">
        <v>355407</v>
      </c>
      <c r="C33" s="21">
        <v>238328</v>
      </c>
      <c r="D33" s="29">
        <v>0.78</v>
      </c>
      <c r="E33" s="30">
        <v>8654</v>
      </c>
      <c r="F33" s="30">
        <v>1626.11</v>
      </c>
      <c r="G33" s="18">
        <v>14975.94</v>
      </c>
      <c r="H33" s="16">
        <v>14528</v>
      </c>
      <c r="I33" s="18">
        <v>83071</v>
      </c>
      <c r="J33" s="18">
        <v>37168821</v>
      </c>
      <c r="K33" s="19"/>
      <c r="L33" s="34"/>
    </row>
    <row r="34" spans="1:12" ht="12.75" customHeight="1" x14ac:dyDescent="0.25">
      <c r="A34" s="49">
        <v>43827</v>
      </c>
      <c r="B34" s="16">
        <v>359378</v>
      </c>
      <c r="C34" s="21">
        <v>244323</v>
      </c>
      <c r="D34" s="17">
        <v>0.7</v>
      </c>
      <c r="E34" s="30">
        <v>8676.6200000000008</v>
      </c>
      <c r="F34" s="30">
        <v>1632.78</v>
      </c>
      <c r="G34" s="18">
        <v>15018.23</v>
      </c>
      <c r="H34" s="18">
        <v>14528</v>
      </c>
      <c r="I34" s="16">
        <v>83197</v>
      </c>
      <c r="J34" s="16">
        <v>37182176</v>
      </c>
      <c r="K34" s="19"/>
      <c r="L34" s="34"/>
    </row>
    <row r="35" spans="1:12" ht="12.75" customHeight="1" x14ac:dyDescent="0.25">
      <c r="A35" s="49">
        <v>43828</v>
      </c>
      <c r="B35" s="16">
        <v>363340</v>
      </c>
      <c r="C35" s="21">
        <v>250424</v>
      </c>
      <c r="D35" s="17">
        <v>0.63</v>
      </c>
      <c r="E35" s="30">
        <v>8701.0300000000007</v>
      </c>
      <c r="F35" s="30">
        <v>1638.9</v>
      </c>
      <c r="G35" s="18">
        <v>15060.02</v>
      </c>
      <c r="H35" s="18">
        <v>14528</v>
      </c>
      <c r="I35" s="16">
        <v>83320</v>
      </c>
      <c r="J35" s="16">
        <v>37196001</v>
      </c>
      <c r="K35" s="19"/>
      <c r="L35" s="34"/>
    </row>
    <row r="36" spans="1:12" ht="12.75" customHeight="1" x14ac:dyDescent="0.25">
      <c r="A36" s="49">
        <v>43829</v>
      </c>
      <c r="B36" s="16">
        <v>367170</v>
      </c>
      <c r="C36" s="16">
        <v>256687</v>
      </c>
      <c r="D36" s="17">
        <v>0.56999999999999995</v>
      </c>
      <c r="E36" s="30">
        <v>8727.3799999999992</v>
      </c>
      <c r="F36" s="30">
        <v>1643.7</v>
      </c>
      <c r="G36" s="18">
        <v>15103.27</v>
      </c>
      <c r="H36" s="16">
        <v>14528</v>
      </c>
      <c r="I36" s="16">
        <v>83437</v>
      </c>
      <c r="J36" s="16">
        <v>37210888</v>
      </c>
      <c r="K36" s="19"/>
      <c r="L36" s="34"/>
    </row>
    <row r="37" spans="1:12" x14ac:dyDescent="0.25">
      <c r="A37" s="49">
        <v>43830</v>
      </c>
      <c r="B37" s="16">
        <v>371020</v>
      </c>
      <c r="C37" s="16">
        <v>262903</v>
      </c>
      <c r="D37" s="17">
        <v>0.5</v>
      </c>
      <c r="E37" s="30">
        <v>8752.6200000000008</v>
      </c>
      <c r="F37" s="30">
        <v>1649.89</v>
      </c>
      <c r="G37" s="18">
        <v>15141.97</v>
      </c>
      <c r="H37" s="16">
        <v>14528</v>
      </c>
      <c r="I37" s="16">
        <v>83575</v>
      </c>
      <c r="J37" s="16">
        <v>37225210</v>
      </c>
      <c r="K37" s="19"/>
      <c r="L37" s="34"/>
    </row>
    <row r="38" spans="1:12" x14ac:dyDescent="0.25">
      <c r="A38" s="52" t="s">
        <v>35</v>
      </c>
      <c r="B38" s="37">
        <f t="shared" ref="B38:H38" si="0">B37-B6</f>
        <v>117293</v>
      </c>
      <c r="C38" s="37">
        <f t="shared" si="0"/>
        <v>188245.1</v>
      </c>
      <c r="D38" s="37">
        <f t="shared" si="0"/>
        <v>-7.999999999999996E-2</v>
      </c>
      <c r="E38" s="37">
        <f t="shared" si="0"/>
        <v>798.6200000000008</v>
      </c>
      <c r="F38" s="37">
        <f t="shared" si="0"/>
        <v>172.71000000000004</v>
      </c>
      <c r="G38" s="37">
        <f t="shared" si="0"/>
        <v>1214.1599999999999</v>
      </c>
      <c r="H38" s="37">
        <f t="shared" si="0"/>
        <v>0</v>
      </c>
      <c r="I38" s="37">
        <f t="shared" ref="I38" si="1">I37-I6</f>
        <v>3395</v>
      </c>
      <c r="J38" s="37">
        <f>J37-J6</f>
        <v>458686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0</v>
      </c>
      <c r="I39" s="37">
        <f>I38*219.969</f>
        <v>746794.755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2019-12-31T07:09:37Z</dcterms:modified>
</cp:coreProperties>
</file>