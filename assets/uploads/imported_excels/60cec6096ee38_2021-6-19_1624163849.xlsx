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9" l="1"/>
  <c r="R23" i="9"/>
  <c r="R24" i="9"/>
  <c r="R25" i="9"/>
  <c r="R26" i="9"/>
  <c r="R27" i="9"/>
  <c r="R28" i="9"/>
  <c r="R29" i="9"/>
  <c r="R30" i="9"/>
  <c r="R31" i="9"/>
  <c r="R32" i="9"/>
  <c r="Q22" i="9"/>
  <c r="Q23" i="9"/>
  <c r="Q24" i="9"/>
  <c r="Q25" i="9"/>
  <c r="Q26" i="9"/>
  <c r="Q27" i="9"/>
  <c r="Q28" i="9"/>
  <c r="Q29" i="9"/>
  <c r="Q30" i="9"/>
  <c r="Q31" i="9"/>
  <c r="Q32" i="9"/>
  <c r="P22" i="9"/>
  <c r="P23" i="9"/>
  <c r="P24" i="9"/>
  <c r="P25" i="9"/>
  <c r="P26" i="9"/>
  <c r="P27" i="9"/>
  <c r="P28" i="9"/>
  <c r="P29" i="9"/>
  <c r="P30" i="9"/>
  <c r="P31" i="9"/>
  <c r="P32" i="9"/>
  <c r="O22" i="9"/>
  <c r="O23" i="9"/>
  <c r="O24" i="9"/>
  <c r="O25" i="9"/>
  <c r="O26" i="9"/>
  <c r="O27" i="9"/>
  <c r="O28" i="9"/>
  <c r="O29" i="9"/>
  <c r="O30" i="9"/>
  <c r="O31" i="9"/>
  <c r="O32" i="9"/>
  <c r="N22" i="9"/>
  <c r="N23" i="9"/>
  <c r="N24" i="9"/>
  <c r="N25" i="9"/>
  <c r="N26" i="9"/>
  <c r="N27" i="9"/>
  <c r="N28" i="9"/>
  <c r="N29" i="9"/>
  <c r="N30" i="9"/>
  <c r="N31" i="9"/>
  <c r="M22" i="9"/>
  <c r="M23" i="9"/>
  <c r="M24" i="9"/>
  <c r="M25" i="9"/>
  <c r="M26" i="9"/>
  <c r="M27" i="9"/>
  <c r="M28" i="9"/>
  <c r="M29" i="9"/>
  <c r="M30" i="9"/>
  <c r="M31" i="9"/>
  <c r="M32" i="9"/>
  <c r="L22" i="9"/>
  <c r="L23" i="9"/>
  <c r="L24" i="9"/>
  <c r="L25" i="9"/>
  <c r="L26" i="9"/>
  <c r="L27" i="9"/>
  <c r="L28" i="9"/>
  <c r="L29" i="9"/>
  <c r="L30" i="9"/>
  <c r="L31" i="9"/>
  <c r="L32" i="9"/>
  <c r="K22" i="9"/>
  <c r="K23" i="9"/>
  <c r="K24" i="9"/>
  <c r="K25" i="9"/>
  <c r="K26" i="9"/>
  <c r="K27" i="9"/>
  <c r="K28" i="9"/>
  <c r="K29" i="9"/>
  <c r="K30" i="9"/>
  <c r="K31" i="9"/>
  <c r="K32" i="9"/>
  <c r="J22" i="9"/>
  <c r="J23" i="9"/>
  <c r="J24" i="9"/>
  <c r="J25" i="9"/>
  <c r="J26" i="9"/>
  <c r="J27" i="9"/>
  <c r="J28" i="9"/>
  <c r="J29" i="9"/>
  <c r="J30" i="9"/>
  <c r="J31" i="9"/>
  <c r="J32" i="9"/>
  <c r="I22" i="9"/>
  <c r="I23" i="9"/>
  <c r="I24" i="9"/>
  <c r="I25" i="9"/>
  <c r="I26" i="9"/>
  <c r="I27" i="9"/>
  <c r="I28" i="9"/>
  <c r="I29" i="9"/>
  <c r="I30" i="9"/>
  <c r="I31" i="9"/>
  <c r="I32" i="9"/>
  <c r="H22" i="9"/>
  <c r="H23" i="9"/>
  <c r="H24" i="9"/>
  <c r="H25" i="9"/>
  <c r="H26" i="9"/>
  <c r="H27" i="9"/>
  <c r="H28" i="9"/>
  <c r="H29" i="9"/>
  <c r="H30" i="9"/>
  <c r="H31" i="9"/>
  <c r="H32" i="9"/>
  <c r="G22" i="9"/>
  <c r="G23" i="9"/>
  <c r="G24" i="9"/>
  <c r="G25" i="9"/>
  <c r="G26" i="9"/>
  <c r="G27" i="9"/>
  <c r="G28" i="9"/>
  <c r="G29" i="9"/>
  <c r="G30" i="9"/>
  <c r="G31" i="9"/>
  <c r="G32" i="9"/>
  <c r="F22" i="9"/>
  <c r="F23" i="9"/>
  <c r="F24" i="9"/>
  <c r="F25" i="9"/>
  <c r="F26" i="9"/>
  <c r="F27" i="9"/>
  <c r="F28" i="9"/>
  <c r="F29" i="9"/>
  <c r="F30" i="9"/>
  <c r="F31" i="9"/>
  <c r="F32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6" i="7" l="1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R20" i="9"/>
  <c r="G20" i="5" s="1"/>
  <c r="S38" i="7"/>
  <c r="R2" i="9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J38" i="7"/>
  <c r="AR38" i="7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<sst xmlns="http://schemas.openxmlformats.org/spreadsheetml/2006/main" count="128" uniqueCount="49">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</sst>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60670</v>
      </c>
      <c r="F4" s="11">
        <v>5.0000000000000001E-3</v>
      </c>
      <c r="G4" s="12">
        <f>Submetering!R4</f>
        <v>958.08727099999999</v>
      </c>
      <c r="H4" s="11">
        <v>0.52800000000000002</v>
      </c>
      <c r="I4" s="12">
        <f>Hotel!B9</f>
        <v>146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61640</v>
      </c>
      <c r="F5" s="11">
        <v>5.0000000000000001E-3</v>
      </c>
      <c r="G5" s="12">
        <f>Submetering!R5</f>
        <v>1133.7302950000001</v>
      </c>
      <c r="H5" s="11">
        <v>0.52800000000000002</v>
      </c>
      <c r="I5" s="12">
        <f>Hotel!B10</f>
        <v>168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57090</v>
      </c>
      <c r="F6" s="11">
        <v>5.0000000000000001E-3</v>
      </c>
      <c r="G6" s="12">
        <f>Submetering!R6</f>
        <v>870.64430000000004</v>
      </c>
      <c r="H6" s="11">
        <v>0.52800000000000002</v>
      </c>
      <c r="I6" s="12">
        <f>Hotel!B11</f>
        <v>89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60560</v>
      </c>
      <c r="F7" s="11">
        <v>5.0000000000000001E-3</v>
      </c>
      <c r="G7" s="12">
        <f>Submetering!R7</f>
        <v>903.95590800000002</v>
      </c>
      <c r="H7" s="11">
        <v>0.52800000000000002</v>
      </c>
      <c r="I7" s="12">
        <f>Hotel!B12</f>
        <v>97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57860</v>
      </c>
      <c r="F8" s="11">
        <v>5.0000000000000001E-3</v>
      </c>
      <c r="G8" s="12">
        <f>Submetering!R8</f>
        <v>707.87166999999999</v>
      </c>
      <c r="H8" s="11">
        <v>0.52800000000000002</v>
      </c>
      <c r="I8" s="12">
        <f>Hotel!B13</f>
        <v>84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61940</v>
      </c>
      <c r="F9" s="11">
        <v>5.0000000000000001E-3</v>
      </c>
      <c r="G9" s="12">
        <f>Submetering!R9</f>
        <v>774.11634500000002</v>
      </c>
      <c r="H9" s="11">
        <v>0.52800000000000002</v>
      </c>
      <c r="I9" s="12">
        <f>Hotel!B14</f>
        <v>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61700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86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65020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131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57800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141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62130</v>
      </c>
      <c r="F13" s="11">
        <v>5.0000000000000001E-3</v>
      </c>
      <c r="G13" s="12">
        <f>Submetering!R13</f>
        <v>0.37854100000000002</v>
      </c>
      <c r="H13" s="11">
        <v>0.52800000000000002</v>
      </c>
      <c r="I13" s="12">
        <f>Hotel!B18</f>
        <v>94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62400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80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61690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59430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62940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62120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65850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119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55670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71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>
        <f>Hotel!Q9</f>
        <v>1020</v>
      </c>
      <c r="F4" s="4">
        <f>Hotel!R9</f>
        <v>13170</v>
      </c>
      <c r="G4" s="4">
        <f>Hotel!S9</f>
        <v>3340</v>
      </c>
      <c r="H4" s="4">
        <f>Hotel!T9</f>
        <v>1660</v>
      </c>
      <c r="I4" s="4">
        <f>Hotel!U9</f>
        <v>4500</v>
      </c>
      <c r="J4" s="4">
        <f>Hotel!V9</f>
        <v>3350</v>
      </c>
      <c r="K4" s="4">
        <f>Hotel!W9</f>
        <v>2370</v>
      </c>
      <c r="L4" s="4">
        <f>Hotel!X9</f>
        <v>4130</v>
      </c>
      <c r="M4" s="4">
        <f>Hotel!Y9</f>
        <v>4280</v>
      </c>
      <c r="N4" s="4">
        <f>Hotel!Z9</f>
        <v>2790</v>
      </c>
      <c r="O4" s="4">
        <f>Hotel!AA9</f>
        <v>3420</v>
      </c>
      <c r="P4" s="4">
        <f>Hotel!AB9</f>
        <v>7350</v>
      </c>
      <c r="Q4" s="4">
        <f>Hotel!AC9</f>
        <v>9290</v>
      </c>
      <c r="R4" s="4">
        <f>Hotel!AV9*0.00378541*100</f>
        <v>958.08727099999999</v>
      </c>
      <c r="S4" s="4">
        <f>Hotel!B9</f>
        <v>146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1030</v>
      </c>
      <c r="F5" s="4">
        <f>Hotel!R10</f>
        <v>13320</v>
      </c>
      <c r="G5" s="4">
        <f>Hotel!S10</f>
        <v>3350</v>
      </c>
      <c r="H5" s="4">
        <f>Hotel!T10</f>
        <v>1670</v>
      </c>
      <c r="I5" s="4">
        <f>Hotel!U10</f>
        <v>4780</v>
      </c>
      <c r="J5" s="4">
        <f>Hotel!V10</f>
        <v>3460</v>
      </c>
      <c r="K5" s="4">
        <f>Hotel!W10</f>
        <v>2370</v>
      </c>
      <c r="L5" s="4">
        <f>Hotel!X10</f>
        <v>4080</v>
      </c>
      <c r="M5" s="4">
        <f>Hotel!Y10</f>
        <v>4740</v>
      </c>
      <c r="N5" s="4">
        <f>Hotel!Z10</f>
        <v>2930</v>
      </c>
      <c r="O5" s="4">
        <f>Hotel!AA10</f>
        <v>3570</v>
      </c>
      <c r="P5" s="4">
        <f>Hotel!AB10</f>
        <v>7470</v>
      </c>
      <c r="Q5" s="4">
        <f>Hotel!AC10</f>
        <v>8870</v>
      </c>
      <c r="R5" s="4">
        <f>Hotel!AV10*0.00378541*100</f>
        <v>1133.7302950000001</v>
      </c>
      <c r="S5" s="4">
        <f>Hotel!B10</f>
        <v>168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950</v>
      </c>
      <c r="F6" s="4">
        <f>Hotel!R11</f>
        <v>12530</v>
      </c>
      <c r="G6" s="4">
        <f>Hotel!S11</f>
        <v>3200</v>
      </c>
      <c r="H6" s="4">
        <f>Hotel!T11</f>
        <v>1570</v>
      </c>
      <c r="I6" s="4">
        <f>Hotel!U11</f>
        <v>4490</v>
      </c>
      <c r="J6" s="4">
        <f>Hotel!V11</f>
        <v>3120</v>
      </c>
      <c r="K6" s="4">
        <f>Hotel!W11</f>
        <v>2220</v>
      </c>
      <c r="L6" s="4">
        <f>Hotel!X11</f>
        <v>3930</v>
      </c>
      <c r="M6" s="4">
        <f>Hotel!Y11</f>
        <v>4900</v>
      </c>
      <c r="N6" s="4">
        <f>Hotel!Z11</f>
        <v>2550</v>
      </c>
      <c r="O6" s="4">
        <f>Hotel!AA11</f>
        <v>3180</v>
      </c>
      <c r="P6" s="4">
        <f>Hotel!AB11</f>
        <v>6800</v>
      </c>
      <c r="Q6" s="4">
        <f>Hotel!AC11</f>
        <v>7650</v>
      </c>
      <c r="R6" s="4">
        <f>Hotel!AV11*0.00378541*100</f>
        <v>870.64430000000004</v>
      </c>
      <c r="S6" s="4">
        <f>Hotel!B11</f>
        <v>89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1020</v>
      </c>
      <c r="F7" s="4">
        <f>Hotel!R12</f>
        <v>13550</v>
      </c>
      <c r="G7" s="4">
        <f>Hotel!S12</f>
        <v>3510</v>
      </c>
      <c r="H7" s="4">
        <f>Hotel!T12</f>
        <v>1690</v>
      </c>
      <c r="I7" s="4">
        <f>Hotel!U12</f>
        <v>4500</v>
      </c>
      <c r="J7" s="4">
        <f>Hotel!V12</f>
        <v>3290</v>
      </c>
      <c r="K7" s="4">
        <f>Hotel!W12</f>
        <v>2380</v>
      </c>
      <c r="L7" s="4">
        <f>Hotel!X12</f>
        <v>3650</v>
      </c>
      <c r="M7" s="4">
        <f>Hotel!Y12</f>
        <v>5170</v>
      </c>
      <c r="N7" s="4">
        <f>Hotel!Z12</f>
        <v>2590</v>
      </c>
      <c r="O7" s="4">
        <f>Hotel!AA12</f>
        <v>3360</v>
      </c>
      <c r="P7" s="4">
        <f>Hotel!AB12</f>
        <v>7290</v>
      </c>
      <c r="Q7" s="4">
        <f>Hotel!AC12</f>
        <v>8560</v>
      </c>
      <c r="R7" s="4">
        <f>Hotel!AV12*0.00378541*100</f>
        <v>903.95590800000002</v>
      </c>
      <c r="S7" s="4">
        <f>Hotel!B12</f>
        <v>97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>
        <f>Hotel!Q13</f>
        <v>970</v>
      </c>
      <c r="F8" s="4">
        <f>Hotel!R13</f>
        <v>12700</v>
      </c>
      <c r="G8" s="4">
        <f>Hotel!S13</f>
        <v>3200</v>
      </c>
      <c r="H8" s="4">
        <f>Hotel!T13</f>
        <v>1600</v>
      </c>
      <c r="I8" s="4">
        <f>Hotel!U13</f>
        <v>4360</v>
      </c>
      <c r="J8" s="4">
        <f>Hotel!V13</f>
        <v>3140</v>
      </c>
      <c r="K8" s="4">
        <f>Hotel!W13</f>
        <v>2250</v>
      </c>
      <c r="L8" s="4">
        <f>Hotel!X13</f>
        <v>3390</v>
      </c>
      <c r="M8" s="4">
        <f>Hotel!Y13</f>
        <v>4920</v>
      </c>
      <c r="N8" s="4">
        <f>Hotel!Z13</f>
        <v>2460</v>
      </c>
      <c r="O8" s="4">
        <f>Hotel!AA13</f>
        <v>3340</v>
      </c>
      <c r="P8" s="4">
        <f>Hotel!AB13</f>
        <v>6890</v>
      </c>
      <c r="Q8" s="4">
        <f>Hotel!AC13</f>
        <v>8640</v>
      </c>
      <c r="R8" s="4">
        <f>Hotel!AV13*0.00378541*100</f>
        <v>707.87166999999999</v>
      </c>
      <c r="S8" s="4">
        <f>Hotel!B13</f>
        <v>84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1020</v>
      </c>
      <c r="F9" s="4">
        <f>Hotel!R14</f>
        <v>13130</v>
      </c>
      <c r="G9" s="4">
        <f>Hotel!S14</f>
        <v>3310</v>
      </c>
      <c r="H9" s="4">
        <f>Hotel!T14</f>
        <v>1670</v>
      </c>
      <c r="I9" s="4">
        <f>Hotel!U14</f>
        <v>4620</v>
      </c>
      <c r="J9" s="4">
        <f>Hotel!V14</f>
        <v>3510</v>
      </c>
      <c r="K9" s="4">
        <f>Hotel!W14</f>
        <v>2380</v>
      </c>
      <c r="L9" s="4">
        <f>Hotel!X14</f>
        <v>4050</v>
      </c>
      <c r="M9" s="4">
        <f>Hotel!Y14</f>
        <v>5250</v>
      </c>
      <c r="N9" s="4">
        <f>Hotel!Z14</f>
        <v>2640</v>
      </c>
      <c r="O9" s="4">
        <f>Hotel!AA14</f>
        <v>3210</v>
      </c>
      <c r="P9" s="4">
        <f>Hotel!AB14</f>
        <v>7250</v>
      </c>
      <c r="Q9" s="4">
        <f>Hotel!AC14</f>
        <v>9900</v>
      </c>
      <c r="R9" s="4">
        <f>Hotel!AV14*0.00378541*100</f>
        <v>774.11634500000002</v>
      </c>
      <c r="S9" s="4">
        <f>Hotel!B14</f>
        <v>87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1030</v>
      </c>
      <c r="F10" s="4">
        <f>Hotel!R15</f>
        <v>13190</v>
      </c>
      <c r="G10" s="4">
        <f>Hotel!S15</f>
        <v>3300</v>
      </c>
      <c r="H10" s="4">
        <f>Hotel!T15</f>
        <v>1680</v>
      </c>
      <c r="I10" s="4">
        <f>Hotel!U15</f>
        <v>4630</v>
      </c>
      <c r="J10" s="4">
        <f>Hotel!V15</f>
        <v>3290</v>
      </c>
      <c r="K10" s="4">
        <f>Hotel!W15</f>
        <v>2410</v>
      </c>
      <c r="L10" s="4">
        <f>Hotel!X15</f>
        <v>4100</v>
      </c>
      <c r="M10" s="4">
        <f>Hotel!Y15</f>
        <v>5270</v>
      </c>
      <c r="N10" s="4">
        <f>Hotel!Z15</f>
        <v>2560</v>
      </c>
      <c r="O10" s="4">
        <f>Hotel!AA15</f>
        <v>3230</v>
      </c>
      <c r="P10" s="4">
        <f>Hotel!AB15</f>
        <v>7160</v>
      </c>
      <c r="Q10" s="4">
        <f>Hotel!AC15</f>
        <v>9850</v>
      </c>
      <c r="R10" s="4">
        <f>Hotel!AV15*0.00378541*100</f>
        <v>0</v>
      </c>
      <c r="S10" s="4">
        <f>Hotel!B15</f>
        <v>86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1030</v>
      </c>
      <c r="F11" s="4">
        <f>Hotel!R16</f>
        <v>13380</v>
      </c>
      <c r="G11" s="4">
        <f>Hotel!S16</f>
        <v>3370</v>
      </c>
      <c r="H11" s="4">
        <f>Hotel!T16</f>
        <v>1670</v>
      </c>
      <c r="I11" s="4">
        <f>Hotel!U16</f>
        <v>6270</v>
      </c>
      <c r="J11" s="4">
        <f>Hotel!V16</f>
        <v>3850</v>
      </c>
      <c r="K11" s="4">
        <f>Hotel!W16</f>
        <v>2410</v>
      </c>
      <c r="L11" s="4">
        <f>Hotel!X16</f>
        <v>4120</v>
      </c>
      <c r="M11" s="4">
        <f>Hotel!Y16</f>
        <v>5080</v>
      </c>
      <c r="N11" s="4">
        <f>Hotel!Z16</f>
        <v>2740</v>
      </c>
      <c r="O11" s="4">
        <f>Hotel!AA16</f>
        <v>3400</v>
      </c>
      <c r="P11" s="4">
        <f>Hotel!AB16</f>
        <v>7360</v>
      </c>
      <c r="Q11" s="4">
        <f>Hotel!AC16</f>
        <v>10340</v>
      </c>
      <c r="R11" s="4">
        <f>Hotel!AV16*0.00378541*100</f>
        <v>0</v>
      </c>
      <c r="S11" s="4">
        <f>Hotel!B16</f>
        <v>131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950</v>
      </c>
      <c r="F12" s="4">
        <f>Hotel!R17</f>
        <v>12580</v>
      </c>
      <c r="G12" s="4">
        <f>Hotel!S17</f>
        <v>3170</v>
      </c>
      <c r="H12" s="4">
        <f>Hotel!T17</f>
        <v>1560</v>
      </c>
      <c r="I12" s="4">
        <f>Hotel!U17</f>
        <v>2780</v>
      </c>
      <c r="J12" s="4">
        <f>Hotel!V17</f>
        <v>3340</v>
      </c>
      <c r="K12" s="4">
        <f>Hotel!W17</f>
        <v>2240</v>
      </c>
      <c r="L12" s="4">
        <f>Hotel!X17</f>
        <v>3950</v>
      </c>
      <c r="M12" s="4">
        <f>Hotel!Y17</f>
        <v>5010</v>
      </c>
      <c r="N12" s="4">
        <f>Hotel!Z17</f>
        <v>2570</v>
      </c>
      <c r="O12" s="4">
        <f>Hotel!AA17</f>
        <v>3260</v>
      </c>
      <c r="P12" s="4">
        <f>Hotel!AB17</f>
        <v>6950</v>
      </c>
      <c r="Q12" s="4">
        <f>Hotel!AC17</f>
        <v>9440</v>
      </c>
      <c r="R12" s="4">
        <f>Hotel!AV17*0.00378541*100</f>
        <v>0</v>
      </c>
      <c r="S12" s="4">
        <f>Hotel!B17</f>
        <v>141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1010</v>
      </c>
      <c r="F13" s="4">
        <f>Hotel!R18</f>
        <v>13170</v>
      </c>
      <c r="G13" s="4">
        <f>Hotel!S18</f>
        <v>3320</v>
      </c>
      <c r="H13" s="4">
        <f>Hotel!T18</f>
        <v>1650</v>
      </c>
      <c r="I13" s="4">
        <f>Hotel!U18</f>
        <v>4590</v>
      </c>
      <c r="J13" s="4">
        <f>Hotel!V18</f>
        <v>3380</v>
      </c>
      <c r="K13" s="4">
        <f>Hotel!W18</f>
        <v>2350</v>
      </c>
      <c r="L13" s="4">
        <f>Hotel!X18</f>
        <v>4110</v>
      </c>
      <c r="M13" s="4">
        <f>Hotel!Y18</f>
        <v>5170</v>
      </c>
      <c r="N13" s="4">
        <f>Hotel!Z18</f>
        <v>2550</v>
      </c>
      <c r="O13" s="4">
        <f>Hotel!AA18</f>
        <v>3340</v>
      </c>
      <c r="P13" s="4">
        <f>Hotel!AB18</f>
        <v>7230</v>
      </c>
      <c r="Q13" s="4">
        <f>Hotel!AC18</f>
        <v>10260</v>
      </c>
      <c r="R13" s="4">
        <f>Hotel!AV18*0.00378541*100</f>
        <v>0.37854100000000002</v>
      </c>
      <c r="S13" s="4">
        <f>Hotel!B18</f>
        <v>94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>
        <f>Hotel!Q19</f>
        <v>1020</v>
      </c>
      <c r="F14" s="4">
        <f>Hotel!R19</f>
        <v>12990</v>
      </c>
      <c r="G14" s="4">
        <f>Hotel!S19</f>
        <v>3250</v>
      </c>
      <c r="H14" s="4">
        <f>Hotel!T19</f>
        <v>1650</v>
      </c>
      <c r="I14" s="4">
        <f>Hotel!U19</f>
        <v>4400</v>
      </c>
      <c r="J14" s="4">
        <f>Hotel!V19</f>
        <v>3350</v>
      </c>
      <c r="K14" s="4">
        <f>Hotel!W19</f>
        <v>2380</v>
      </c>
      <c r="L14" s="4">
        <f>Hotel!X19</f>
        <v>3690</v>
      </c>
      <c r="M14" s="4">
        <f>Hotel!Y19</f>
        <v>4630</v>
      </c>
      <c r="N14" s="4">
        <f>Hotel!Z19</f>
        <v>2510</v>
      </c>
      <c r="O14" s="4">
        <f>Hotel!AA19</f>
        <v>3250</v>
      </c>
      <c r="P14" s="4">
        <f>Hotel!AB19</f>
        <v>7110</v>
      </c>
      <c r="Q14" s="4">
        <f>Hotel!AC19</f>
        <v>12170</v>
      </c>
      <c r="R14" s="4">
        <f>Hotel!AV19*0.00378541*100</f>
        <v>0</v>
      </c>
      <c r="S14" s="4">
        <f>Hotel!B19</f>
        <v>80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1010</v>
      </c>
      <c r="F15" s="4">
        <f>Hotel!R20</f>
        <v>13000</v>
      </c>
      <c r="G15" s="4">
        <f>Hotel!S20</f>
        <v>3290</v>
      </c>
      <c r="H15" s="4">
        <f>Hotel!T20</f>
        <v>1620</v>
      </c>
      <c r="I15" s="4">
        <f>Hotel!U20</f>
        <v>4360</v>
      </c>
      <c r="J15" s="4">
        <f>Hotel!V20</f>
        <v>3320</v>
      </c>
      <c r="K15" s="4">
        <f>Hotel!W20</f>
        <v>2370</v>
      </c>
      <c r="L15" s="4">
        <f>Hotel!X20</f>
        <v>3390</v>
      </c>
      <c r="M15" s="4">
        <f>Hotel!Y20</f>
        <v>4620</v>
      </c>
      <c r="N15" s="4">
        <f>Hotel!Z20</f>
        <v>2470</v>
      </c>
      <c r="O15" s="4">
        <f>Hotel!AA20</f>
        <v>3270</v>
      </c>
      <c r="P15" s="4">
        <f>Hotel!AB20</f>
        <v>6960</v>
      </c>
      <c r="Q15" s="4">
        <f>Hotel!AC20</f>
        <v>12010</v>
      </c>
      <c r="R15" s="4">
        <f>Hotel!AV20*0.00378541*100</f>
        <v>0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980</v>
      </c>
      <c r="F16" s="4">
        <f>Hotel!R21</f>
        <v>12730</v>
      </c>
      <c r="G16" s="4">
        <f>Hotel!S21</f>
        <v>3240</v>
      </c>
      <c r="H16" s="4">
        <f>Hotel!T21</f>
        <v>1590</v>
      </c>
      <c r="I16" s="4">
        <f>Hotel!U21</f>
        <v>4260</v>
      </c>
      <c r="J16" s="4">
        <f>Hotel!V21</f>
        <v>3290</v>
      </c>
      <c r="K16" s="4">
        <f>Hotel!W21</f>
        <v>2330</v>
      </c>
      <c r="L16" s="4">
        <f>Hotel!X21</f>
        <v>3810</v>
      </c>
      <c r="M16" s="4">
        <f>Hotel!Y21</f>
        <v>4560</v>
      </c>
      <c r="N16" s="4">
        <f>Hotel!Z21</f>
        <v>2380</v>
      </c>
      <c r="O16" s="4">
        <f>Hotel!AA21</f>
        <v>3010</v>
      </c>
      <c r="P16" s="4">
        <f>Hotel!AB21</f>
        <v>6840</v>
      </c>
      <c r="Q16" s="4">
        <f>Hotel!AC21</f>
        <v>10410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1030</v>
      </c>
      <c r="F17" s="4">
        <f>Hotel!R22</f>
        <v>13070</v>
      </c>
      <c r="G17" s="4">
        <f>Hotel!S22</f>
        <v>3260</v>
      </c>
      <c r="H17" s="4">
        <f>Hotel!T22</f>
        <v>1650</v>
      </c>
      <c r="I17" s="4">
        <f>Hotel!U22</f>
        <v>4450</v>
      </c>
      <c r="J17" s="4">
        <f>Hotel!V22</f>
        <v>3390</v>
      </c>
      <c r="K17" s="4">
        <f>Hotel!W22</f>
        <v>2380</v>
      </c>
      <c r="L17" s="4">
        <f>Hotel!X22</f>
        <v>3960</v>
      </c>
      <c r="M17" s="4">
        <f>Hotel!Y22</f>
        <v>4770</v>
      </c>
      <c r="N17" s="4">
        <f>Hotel!Z22</f>
        <v>2580</v>
      </c>
      <c r="O17" s="4">
        <f>Hotel!AA22</f>
        <v>3050</v>
      </c>
      <c r="P17" s="4">
        <f>Hotel!AB22</f>
        <v>7130</v>
      </c>
      <c r="Q17" s="4">
        <f>Hotel!AC22</f>
        <v>12220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1000</v>
      </c>
      <c r="F18" s="4">
        <f>Hotel!R23</f>
        <v>12850</v>
      </c>
      <c r="G18" s="4">
        <f>Hotel!S23</f>
        <v>3130</v>
      </c>
      <c r="H18" s="4">
        <f>Hotel!T23</f>
        <v>1610</v>
      </c>
      <c r="I18" s="4">
        <f>Hotel!U23</f>
        <v>4420</v>
      </c>
      <c r="J18" s="4">
        <f>Hotel!V23</f>
        <v>3440</v>
      </c>
      <c r="K18" s="4">
        <f>Hotel!W23</f>
        <v>2330</v>
      </c>
      <c r="L18" s="4">
        <f>Hotel!X23</f>
        <v>3960</v>
      </c>
      <c r="M18" s="4">
        <f>Hotel!Y23</f>
        <v>4700</v>
      </c>
      <c r="N18" s="4">
        <f>Hotel!Z23</f>
        <v>2520</v>
      </c>
      <c r="O18" s="4">
        <f>Hotel!AA23</f>
        <v>3180</v>
      </c>
      <c r="P18" s="4">
        <f>Hotel!AB23</f>
        <v>6920</v>
      </c>
      <c r="Q18" s="4">
        <f>Hotel!AC23</f>
        <v>12060</v>
      </c>
      <c r="R18" s="4">
        <f>Hotel!AV23*0.00378541*100</f>
        <v>0</v>
      </c>
      <c r="S18" s="4">
        <f>Hotel!B23</f>
        <v>114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1030</v>
      </c>
      <c r="F19" s="4">
        <f>Hotel!R24</f>
        <v>12590</v>
      </c>
      <c r="G19" s="4">
        <f>Hotel!S24</f>
        <v>3110</v>
      </c>
      <c r="H19" s="4">
        <f>Hotel!T24</f>
        <v>1650</v>
      </c>
      <c r="I19" s="4">
        <f>Hotel!U24</f>
        <v>4520</v>
      </c>
      <c r="J19" s="4">
        <f>Hotel!V24</f>
        <v>3950</v>
      </c>
      <c r="K19" s="4">
        <f>Hotel!W24</f>
        <v>2410</v>
      </c>
      <c r="L19" s="4">
        <f>Hotel!X24</f>
        <v>3910</v>
      </c>
      <c r="M19" s="4">
        <f>Hotel!Y24</f>
        <v>8000</v>
      </c>
      <c r="N19" s="4">
        <f>Hotel!Z24</f>
        <v>2550</v>
      </c>
      <c r="O19" s="4">
        <f>Hotel!AA24</f>
        <v>3400</v>
      </c>
      <c r="P19" s="4">
        <f>Hotel!AB24</f>
        <v>7150</v>
      </c>
      <c r="Q19" s="4">
        <f>Hotel!AC24</f>
        <v>11580</v>
      </c>
      <c r="R19" s="4">
        <f>Hotel!AV24*0.00378541*100</f>
        <v>0</v>
      </c>
      <c r="S19" s="4">
        <f>Hotel!B24</f>
        <v>119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990</v>
      </c>
      <c r="F20" s="4">
        <f>Hotel!R25</f>
        <v>12090</v>
      </c>
      <c r="G20" s="4">
        <f>Hotel!S25</f>
        <v>2960</v>
      </c>
      <c r="H20" s="4">
        <f>Hotel!T25</f>
        <v>1570</v>
      </c>
      <c r="I20" s="4">
        <f>Hotel!U25</f>
        <v>4420</v>
      </c>
      <c r="J20" s="4">
        <f>Hotel!V25</f>
        <v>2730</v>
      </c>
      <c r="K20" s="4">
        <f>Hotel!W25</f>
        <v>2310</v>
      </c>
      <c r="L20" s="4">
        <f>Hotel!X25</f>
        <v>3750</v>
      </c>
      <c r="M20" s="4">
        <f>Hotel!Y25</f>
        <v>1610</v>
      </c>
      <c r="N20" s="4">
        <f>Hotel!Z25</f>
        <v>2360</v>
      </c>
      <c r="O20" s="4">
        <f>Hotel!AA25</f>
        <v>3190</v>
      </c>
      <c r="P20" s="4">
        <f>Hotel!AB25</f>
        <v>6860</v>
      </c>
      <c r="Q20" s="4">
        <f>Hotel!AC25</f>
        <v>10830</v>
      </c>
      <c r="R20" s="4">
        <f>Hotel!AV25*0.00378541*100</f>
        <v>0</v>
      </c>
      <c r="S20" s="4">
        <f>Hotel!B25</f>
        <v>71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" zoomScale="93" zoomScaleNormal="93" workbookViewId="0">
      <selection activeCell="AU28" sqref="AU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>
        <v>146</v>
      </c>
      <c r="C9" s="24">
        <v>6600660</v>
      </c>
      <c r="D9" s="24">
        <v>15550110</v>
      </c>
      <c r="E9" s="24">
        <v>2715820</v>
      </c>
      <c r="F9" s="24">
        <v>3475740</v>
      </c>
      <c r="G9" s="24">
        <v>10353750</v>
      </c>
      <c r="H9" s="24">
        <v>5492790</v>
      </c>
      <c r="I9" s="24">
        <v>5067840</v>
      </c>
      <c r="J9" s="24">
        <v>5886280</v>
      </c>
      <c r="K9" s="24">
        <v>9141670</v>
      </c>
      <c r="L9" s="24">
        <v>3812720</v>
      </c>
      <c r="M9" s="24">
        <v>7874460</v>
      </c>
      <c r="N9" s="24">
        <v>11975350</v>
      </c>
      <c r="O9" s="24">
        <v>16565440</v>
      </c>
      <c r="Q9" s="37">
        <f t="shared" ref="Q9:Q30" si="16">IF((C9-C8&lt;0), "0",C9-C8)</f>
        <v>1020</v>
      </c>
      <c r="R9" s="37">
        <f t="shared" ref="R9:R35" si="17">IF((D9-D8&lt;0), "0",D9-D8)</f>
        <v>13170</v>
      </c>
      <c r="S9" s="37">
        <f t="shared" si="15"/>
        <v>3340</v>
      </c>
      <c r="T9" s="37">
        <f t="shared" ref="T9:T35" si="18">IF((F9-F8&lt;0), "0",F9-F8)</f>
        <v>1660</v>
      </c>
      <c r="U9" s="37">
        <f t="shared" ref="U9:U35" si="19">IF((G9-G8&lt;0), "0",G9-G8)</f>
        <v>4500</v>
      </c>
      <c r="V9" s="37">
        <f t="shared" ref="V9:V35" si="20">IF((H9-H8&lt;0), "0",H9-H8)</f>
        <v>3350</v>
      </c>
      <c r="W9" s="37">
        <f t="shared" ref="W9:W35" si="21">IF((I9-I8&lt;0), "0",I9-I8)</f>
        <v>2370</v>
      </c>
      <c r="X9" s="37">
        <f t="shared" ref="X9:X35" si="22">IF((J9-J8&lt;0), "0",J9-J8)</f>
        <v>4130</v>
      </c>
      <c r="Y9" s="37">
        <f t="shared" ref="Y9:Y35" si="23">IF((K9-K8&lt;0), "0",K9-K8)</f>
        <v>4280</v>
      </c>
      <c r="Z9" s="37">
        <f t="shared" ref="Z9:Z35" si="24">IF((L9-L8&lt;0), "0",L9-L8)</f>
        <v>2790</v>
      </c>
      <c r="AA9" s="37">
        <f t="shared" ref="AA9:AA35" si="25">IF((M9-M8&lt;0), "0",M9-M8)</f>
        <v>3420</v>
      </c>
      <c r="AB9" s="37">
        <f t="shared" ref="AB9:AB37" si="26">IF((N9-N8&lt;0), "0",N9-N8)</f>
        <v>7350</v>
      </c>
      <c r="AC9" s="37">
        <f t="shared" ref="AC9:AC37" si="27">IF((O9-O8&lt;0), "0",O9-O8)</f>
        <v>9290</v>
      </c>
      <c r="AD9" s="35">
        <f t="shared" ref="AD9:AD37" si="28">SUM(Q9:AC9)</f>
        <v>60670</v>
      </c>
      <c r="AF9" s="20">
        <f t="shared" si="1"/>
        <v>5.1000000000000005</v>
      </c>
      <c r="AG9" s="20">
        <f t="shared" si="2"/>
        <v>65.849999999999994</v>
      </c>
      <c r="AH9" s="20">
        <f t="shared" si="3"/>
        <v>16.7</v>
      </c>
      <c r="AI9" s="20">
        <f t="shared" si="4"/>
        <v>8.3000000000000007</v>
      </c>
      <c r="AJ9" s="20">
        <f t="shared" si="5"/>
        <v>22.5</v>
      </c>
      <c r="AK9" s="20">
        <f t="shared" si="6"/>
        <v>16.75</v>
      </c>
      <c r="AL9" s="20">
        <f t="shared" si="7"/>
        <v>11.85</v>
      </c>
      <c r="AM9" s="20">
        <f t="shared" si="8"/>
        <v>20.650000000000002</v>
      </c>
      <c r="AN9" s="20">
        <f t="shared" si="9"/>
        <v>21.400000000000002</v>
      </c>
      <c r="AO9" s="20">
        <f t="shared" si="10"/>
        <v>13.950000000000001</v>
      </c>
      <c r="AP9" s="20">
        <f t="shared" si="11"/>
        <v>17.100000000000001</v>
      </c>
      <c r="AQ9" s="20">
        <f t="shared" si="12"/>
        <v>36.75</v>
      </c>
      <c r="AR9" s="20">
        <f t="shared" si="13"/>
        <v>46.45</v>
      </c>
      <c r="AS9" s="35">
        <f t="shared" ref="AS9:AS33" si="29">SUM(AF9:AR9)</f>
        <v>303.34999999999997</v>
      </c>
      <c r="AU9" s="47">
        <v>665982</v>
      </c>
      <c r="AV9" s="37">
        <f>IF((AU9-AU8&lt;0),"0",AU9-AU8)</f>
        <v>2531</v>
      </c>
      <c r="AW9" s="35">
        <f t="shared" ref="AW9:AW35" si="30">AV9*$D$40</f>
        <v>5.0620000000000003</v>
      </c>
    </row>
    <row r="10" spans="1:49" x14ac:dyDescent="0.25">
      <c r="A10" s="23">
        <v>44351</v>
      </c>
      <c r="B10" s="40">
        <v>168</v>
      </c>
      <c r="C10" s="24">
        <v>6601690</v>
      </c>
      <c r="D10" s="24">
        <v>15563430</v>
      </c>
      <c r="E10" s="24">
        <v>2719170</v>
      </c>
      <c r="F10" s="24">
        <v>3477410</v>
      </c>
      <c r="G10" s="24">
        <v>10358530</v>
      </c>
      <c r="H10" s="24">
        <v>5496250</v>
      </c>
      <c r="I10" s="24">
        <v>5070210</v>
      </c>
      <c r="J10" s="24">
        <v>5890360</v>
      </c>
      <c r="K10" s="24">
        <v>9146410</v>
      </c>
      <c r="L10" s="24">
        <v>3815650</v>
      </c>
      <c r="M10" s="24">
        <v>7878030</v>
      </c>
      <c r="N10" s="24">
        <v>11982820</v>
      </c>
      <c r="O10" s="24">
        <v>16574310</v>
      </c>
      <c r="Q10" s="37">
        <f t="shared" si="16"/>
        <v>1030</v>
      </c>
      <c r="R10" s="37">
        <f t="shared" si="17"/>
        <v>13320</v>
      </c>
      <c r="S10" s="37">
        <f t="shared" si="15"/>
        <v>3350</v>
      </c>
      <c r="T10" s="37">
        <f t="shared" si="18"/>
        <v>1670</v>
      </c>
      <c r="U10" s="37">
        <f t="shared" si="19"/>
        <v>4780</v>
      </c>
      <c r="V10" s="37">
        <f t="shared" si="20"/>
        <v>3460</v>
      </c>
      <c r="W10" s="37">
        <f t="shared" si="21"/>
        <v>2370</v>
      </c>
      <c r="X10" s="37">
        <f t="shared" si="22"/>
        <v>4080</v>
      </c>
      <c r="Y10" s="37">
        <f t="shared" si="23"/>
        <v>4740</v>
      </c>
      <c r="Z10" s="37">
        <f t="shared" si="24"/>
        <v>2930</v>
      </c>
      <c r="AA10" s="37">
        <f t="shared" si="25"/>
        <v>3570</v>
      </c>
      <c r="AB10" s="37">
        <f t="shared" si="26"/>
        <v>7470</v>
      </c>
      <c r="AC10" s="37">
        <f t="shared" si="27"/>
        <v>8870</v>
      </c>
      <c r="AD10" s="35">
        <f t="shared" si="28"/>
        <v>61640</v>
      </c>
      <c r="AF10" s="20">
        <f t="shared" si="1"/>
        <v>5.15</v>
      </c>
      <c r="AG10" s="20">
        <f t="shared" si="2"/>
        <v>66.599999999999994</v>
      </c>
      <c r="AH10" s="20">
        <f t="shared" si="3"/>
        <v>16.75</v>
      </c>
      <c r="AI10" s="20">
        <f t="shared" si="4"/>
        <v>8.35</v>
      </c>
      <c r="AJ10" s="20">
        <f t="shared" si="5"/>
        <v>23.900000000000002</v>
      </c>
      <c r="AK10" s="20">
        <f t="shared" si="6"/>
        <v>17.3</v>
      </c>
      <c r="AL10" s="20">
        <f t="shared" si="7"/>
        <v>11.85</v>
      </c>
      <c r="AM10" s="20">
        <f t="shared" si="8"/>
        <v>20.400000000000002</v>
      </c>
      <c r="AN10" s="20">
        <f t="shared" si="9"/>
        <v>23.7</v>
      </c>
      <c r="AO10" s="20">
        <f t="shared" si="10"/>
        <v>14.65</v>
      </c>
      <c r="AP10" s="20">
        <f t="shared" si="11"/>
        <v>17.850000000000001</v>
      </c>
      <c r="AQ10" s="20">
        <f t="shared" si="12"/>
        <v>37.35</v>
      </c>
      <c r="AR10" s="20">
        <f t="shared" si="13"/>
        <v>44.35</v>
      </c>
      <c r="AS10" s="35">
        <f t="shared" si="29"/>
        <v>308.20000000000005</v>
      </c>
      <c r="AU10" s="47">
        <v>668977</v>
      </c>
      <c r="AV10" s="37">
        <f t="shared" ref="AV10:AV26" si="31">IF((AU10-AU9&lt;0),"0",AU10-AU9)</f>
        <v>2995</v>
      </c>
      <c r="AW10" s="35">
        <f t="shared" si="30"/>
        <v>5.99</v>
      </c>
    </row>
    <row r="11" spans="1:49" x14ac:dyDescent="0.25">
      <c r="A11" s="23">
        <v>44352</v>
      </c>
      <c r="B11" s="40">
        <v>89</v>
      </c>
      <c r="C11" s="24">
        <v>6602640</v>
      </c>
      <c r="D11" s="24">
        <v>15575960</v>
      </c>
      <c r="E11" s="24">
        <v>2722370</v>
      </c>
      <c r="F11" s="24">
        <v>3478980</v>
      </c>
      <c r="G11" s="24">
        <v>10363020</v>
      </c>
      <c r="H11" s="24">
        <v>5499370</v>
      </c>
      <c r="I11" s="24">
        <v>5072430</v>
      </c>
      <c r="J11" s="24">
        <v>5894290</v>
      </c>
      <c r="K11" s="24">
        <v>9151310</v>
      </c>
      <c r="L11" s="24">
        <v>3818200</v>
      </c>
      <c r="M11" s="24">
        <v>7881210</v>
      </c>
      <c r="N11" s="24">
        <v>11989620</v>
      </c>
      <c r="O11" s="24">
        <v>16581960</v>
      </c>
      <c r="Q11" s="37">
        <f t="shared" si="16"/>
        <v>950</v>
      </c>
      <c r="R11" s="37">
        <f t="shared" si="17"/>
        <v>12530</v>
      </c>
      <c r="S11" s="37">
        <f t="shared" si="15"/>
        <v>3200</v>
      </c>
      <c r="T11" s="37">
        <f t="shared" si="18"/>
        <v>1570</v>
      </c>
      <c r="U11" s="37">
        <f t="shared" si="19"/>
        <v>4490</v>
      </c>
      <c r="V11" s="37">
        <f t="shared" si="20"/>
        <v>3120</v>
      </c>
      <c r="W11" s="37">
        <f t="shared" si="21"/>
        <v>2220</v>
      </c>
      <c r="X11" s="37">
        <f t="shared" si="22"/>
        <v>3930</v>
      </c>
      <c r="Y11" s="37">
        <f t="shared" si="23"/>
        <v>4900</v>
      </c>
      <c r="Z11" s="37">
        <f t="shared" si="24"/>
        <v>2550</v>
      </c>
      <c r="AA11" s="37">
        <f t="shared" si="25"/>
        <v>3180</v>
      </c>
      <c r="AB11" s="37">
        <f t="shared" si="26"/>
        <v>6800</v>
      </c>
      <c r="AC11" s="37">
        <f t="shared" si="27"/>
        <v>7650</v>
      </c>
      <c r="AD11" s="35">
        <f t="shared" si="28"/>
        <v>57090</v>
      </c>
      <c r="AF11" s="20">
        <f t="shared" si="1"/>
        <v>4.75</v>
      </c>
      <c r="AG11" s="20">
        <f t="shared" si="2"/>
        <v>62.65</v>
      </c>
      <c r="AH11" s="20">
        <f t="shared" si="3"/>
        <v>16</v>
      </c>
      <c r="AI11" s="20">
        <f t="shared" si="4"/>
        <v>7.8500000000000005</v>
      </c>
      <c r="AJ11" s="20">
        <f t="shared" si="5"/>
        <v>22.45</v>
      </c>
      <c r="AK11" s="20">
        <f t="shared" si="6"/>
        <v>15.6</v>
      </c>
      <c r="AL11" s="20">
        <f t="shared" si="7"/>
        <v>11.1</v>
      </c>
      <c r="AM11" s="20">
        <f t="shared" si="8"/>
        <v>19.650000000000002</v>
      </c>
      <c r="AN11" s="20">
        <f t="shared" si="9"/>
        <v>24.5</v>
      </c>
      <c r="AO11" s="20">
        <f t="shared" si="10"/>
        <v>12.75</v>
      </c>
      <c r="AP11" s="20">
        <f t="shared" si="11"/>
        <v>15.9</v>
      </c>
      <c r="AQ11" s="20">
        <f t="shared" si="12"/>
        <v>34</v>
      </c>
      <c r="AR11" s="20">
        <f t="shared" si="13"/>
        <v>38.25</v>
      </c>
      <c r="AS11" s="35">
        <f t="shared" si="29"/>
        <v>285.45000000000005</v>
      </c>
      <c r="AU11" s="47">
        <v>671277</v>
      </c>
      <c r="AV11" s="37">
        <f t="shared" si="31"/>
        <v>2300</v>
      </c>
      <c r="AW11" s="35">
        <f t="shared" si="30"/>
        <v>4.6000000000000005</v>
      </c>
    </row>
    <row r="12" spans="1:49" x14ac:dyDescent="0.25">
      <c r="A12" s="23">
        <v>44353</v>
      </c>
      <c r="B12" s="40">
        <v>97</v>
      </c>
      <c r="C12" s="49">
        <v>6603660</v>
      </c>
      <c r="D12" s="24">
        <v>15589510</v>
      </c>
      <c r="E12" s="24">
        <v>2725880</v>
      </c>
      <c r="F12" s="24">
        <v>3480670</v>
      </c>
      <c r="G12" s="24">
        <v>10367520</v>
      </c>
      <c r="H12" s="24">
        <v>5502660</v>
      </c>
      <c r="I12" s="24">
        <v>5074810</v>
      </c>
      <c r="J12" s="24">
        <v>5897940</v>
      </c>
      <c r="K12" s="24">
        <v>9156480</v>
      </c>
      <c r="L12" s="24">
        <v>3820790</v>
      </c>
      <c r="M12" s="24">
        <v>7884570</v>
      </c>
      <c r="N12" s="24">
        <v>11996910</v>
      </c>
      <c r="O12" s="24">
        <v>16590520</v>
      </c>
      <c r="Q12" s="37">
        <f t="shared" si="16"/>
        <v>1020</v>
      </c>
      <c r="R12" s="37">
        <f t="shared" si="17"/>
        <v>13550</v>
      </c>
      <c r="S12" s="37">
        <f t="shared" si="15"/>
        <v>3510</v>
      </c>
      <c r="T12" s="37">
        <f t="shared" ref="T12:W14" si="32">IF((F12-F11&lt;0), "0",F12-F11)</f>
        <v>1690</v>
      </c>
      <c r="U12" s="37">
        <f t="shared" si="32"/>
        <v>4500</v>
      </c>
      <c r="V12" s="37">
        <f t="shared" si="32"/>
        <v>3290</v>
      </c>
      <c r="W12" s="37">
        <f t="shared" si="32"/>
        <v>2380</v>
      </c>
      <c r="X12" s="37">
        <f t="shared" si="22"/>
        <v>3650</v>
      </c>
      <c r="Y12" s="37">
        <f t="shared" si="23"/>
        <v>5170</v>
      </c>
      <c r="Z12" s="37">
        <f>IF((L12-L11&lt;0), "0",L12-L11)</f>
        <v>2590</v>
      </c>
      <c r="AA12" s="37">
        <f t="shared" si="25"/>
        <v>3360</v>
      </c>
      <c r="AB12" s="37">
        <f t="shared" si="26"/>
        <v>7290</v>
      </c>
      <c r="AC12" s="37">
        <f t="shared" si="27"/>
        <v>8560</v>
      </c>
      <c r="AD12" s="35">
        <f t="shared" si="28"/>
        <v>60560</v>
      </c>
      <c r="AF12" s="20">
        <f t="shared" si="1"/>
        <v>5.1000000000000005</v>
      </c>
      <c r="AG12" s="20">
        <f t="shared" si="2"/>
        <v>67.75</v>
      </c>
      <c r="AH12" s="20">
        <f t="shared" si="3"/>
        <v>17.55</v>
      </c>
      <c r="AI12" s="20">
        <f t="shared" si="4"/>
        <v>8.4499999999999993</v>
      </c>
      <c r="AJ12" s="20">
        <f t="shared" si="5"/>
        <v>22.5</v>
      </c>
      <c r="AK12" s="20">
        <f t="shared" si="6"/>
        <v>16.45</v>
      </c>
      <c r="AL12" s="20">
        <f t="shared" si="7"/>
        <v>11.9</v>
      </c>
      <c r="AM12" s="20">
        <f t="shared" si="8"/>
        <v>18.25</v>
      </c>
      <c r="AN12" s="20">
        <f t="shared" si="9"/>
        <v>25.85</v>
      </c>
      <c r="AO12" s="20">
        <f t="shared" si="10"/>
        <v>12.950000000000001</v>
      </c>
      <c r="AP12" s="20">
        <f t="shared" si="11"/>
        <v>16.8</v>
      </c>
      <c r="AQ12" s="20">
        <f t="shared" si="12"/>
        <v>36.450000000000003</v>
      </c>
      <c r="AR12" s="20">
        <f t="shared" si="13"/>
        <v>42.800000000000004</v>
      </c>
      <c r="AS12" s="35">
        <f t="shared" si="29"/>
        <v>302.8</v>
      </c>
      <c r="AU12" s="47">
        <v>673665</v>
      </c>
      <c r="AV12" s="37">
        <f t="shared" si="31"/>
        <v>2388</v>
      </c>
      <c r="AW12" s="35">
        <f t="shared" si="30"/>
        <v>4.7759999999999998</v>
      </c>
    </row>
    <row r="13" spans="1:49" x14ac:dyDescent="0.25">
      <c r="A13" s="23">
        <v>44354</v>
      </c>
      <c r="B13" s="40">
        <v>84</v>
      </c>
      <c r="C13" s="24">
        <v>6604630</v>
      </c>
      <c r="D13" s="24">
        <v>15602210</v>
      </c>
      <c r="E13" s="24">
        <v>2729080</v>
      </c>
      <c r="F13" s="24">
        <v>3482270</v>
      </c>
      <c r="G13" s="24">
        <v>10371880</v>
      </c>
      <c r="H13" s="24">
        <v>5505800</v>
      </c>
      <c r="I13" s="24">
        <v>5077060</v>
      </c>
      <c r="J13" s="24">
        <v>5901330</v>
      </c>
      <c r="K13" s="24">
        <v>9161400</v>
      </c>
      <c r="L13" s="24">
        <v>3823250</v>
      </c>
      <c r="M13" s="24">
        <v>7887910</v>
      </c>
      <c r="N13" s="24">
        <v>12003800</v>
      </c>
      <c r="O13" s="24">
        <v>16599160</v>
      </c>
      <c r="Q13" s="37">
        <f t="shared" si="16"/>
        <v>970</v>
      </c>
      <c r="R13" s="37">
        <f t="shared" si="17"/>
        <v>12700</v>
      </c>
      <c r="S13" s="37">
        <f t="shared" si="15"/>
        <v>3200</v>
      </c>
      <c r="T13" s="37">
        <f t="shared" si="32"/>
        <v>1600</v>
      </c>
      <c r="U13" s="37">
        <f t="shared" si="32"/>
        <v>4360</v>
      </c>
      <c r="V13" s="37">
        <f t="shared" si="32"/>
        <v>3140</v>
      </c>
      <c r="W13" s="37">
        <f t="shared" si="32"/>
        <v>2250</v>
      </c>
      <c r="X13" s="37">
        <f t="shared" si="22"/>
        <v>3390</v>
      </c>
      <c r="Y13" s="37">
        <f t="shared" si="23"/>
        <v>4920</v>
      </c>
      <c r="Z13" s="37">
        <f>IF((L13-L12&lt;0), "0",L13-L12)</f>
        <v>2460</v>
      </c>
      <c r="AA13" s="37">
        <f t="shared" si="25"/>
        <v>3340</v>
      </c>
      <c r="AB13" s="37">
        <f t="shared" si="26"/>
        <v>6890</v>
      </c>
      <c r="AC13" s="37">
        <f t="shared" si="27"/>
        <v>8640</v>
      </c>
      <c r="AD13" s="35">
        <f t="shared" si="28"/>
        <v>57860</v>
      </c>
      <c r="AF13" s="20">
        <f t="shared" si="1"/>
        <v>4.8500000000000005</v>
      </c>
      <c r="AG13" s="20">
        <f t="shared" si="2"/>
        <v>63.5</v>
      </c>
      <c r="AH13" s="20">
        <f t="shared" si="3"/>
        <v>16</v>
      </c>
      <c r="AI13" s="20">
        <f t="shared" si="4"/>
        <v>8</v>
      </c>
      <c r="AJ13" s="20">
        <f t="shared" si="5"/>
        <v>21.8</v>
      </c>
      <c r="AK13" s="20">
        <f t="shared" si="6"/>
        <v>15.700000000000001</v>
      </c>
      <c r="AL13" s="20">
        <f t="shared" si="7"/>
        <v>11.25</v>
      </c>
      <c r="AM13" s="20">
        <f t="shared" si="8"/>
        <v>16.95</v>
      </c>
      <c r="AN13" s="20">
        <f t="shared" si="9"/>
        <v>24.6</v>
      </c>
      <c r="AO13" s="20">
        <f t="shared" si="10"/>
        <v>12.3</v>
      </c>
      <c r="AP13" s="20">
        <f t="shared" si="11"/>
        <v>16.7</v>
      </c>
      <c r="AQ13" s="20">
        <f t="shared" si="12"/>
        <v>34.450000000000003</v>
      </c>
      <c r="AR13" s="20">
        <f t="shared" si="13"/>
        <v>43.2</v>
      </c>
      <c r="AS13" s="35">
        <f t="shared" si="29"/>
        <v>289.29999999999995</v>
      </c>
      <c r="AU13" s="47">
        <v>675535</v>
      </c>
      <c r="AV13" s="37">
        <f t="shared" si="31"/>
        <v>1870</v>
      </c>
      <c r="AW13" s="35">
        <f t="shared" si="30"/>
        <v>3.74</v>
      </c>
    </row>
    <row r="14" spans="1:49" x14ac:dyDescent="0.25">
      <c r="A14" s="23">
        <v>44355</v>
      </c>
      <c r="B14" s="40">
        <v>87</v>
      </c>
      <c r="C14" s="24">
        <v>6605650</v>
      </c>
      <c r="D14" s="24">
        <v>15615340</v>
      </c>
      <c r="E14" s="24">
        <v>2732390</v>
      </c>
      <c r="F14" s="24">
        <v>3483940</v>
      </c>
      <c r="G14" s="24">
        <v>10376500</v>
      </c>
      <c r="H14" s="24">
        <v>5509310</v>
      </c>
      <c r="I14" s="24">
        <v>5079440</v>
      </c>
      <c r="J14" s="24">
        <v>5905380</v>
      </c>
      <c r="K14" s="24">
        <v>9166650</v>
      </c>
      <c r="L14" s="24">
        <v>3825890</v>
      </c>
      <c r="M14" s="24">
        <v>7891120</v>
      </c>
      <c r="N14" s="24">
        <v>12011050</v>
      </c>
      <c r="O14" s="24">
        <v>16609060</v>
      </c>
      <c r="P14" s="54"/>
      <c r="Q14" s="37">
        <f t="shared" si="16"/>
        <v>1020</v>
      </c>
      <c r="R14" s="37">
        <f t="shared" si="17"/>
        <v>13130</v>
      </c>
      <c r="S14" s="37">
        <f t="shared" si="15"/>
        <v>3310</v>
      </c>
      <c r="T14" s="37">
        <f t="shared" si="32"/>
        <v>1670</v>
      </c>
      <c r="U14" s="37">
        <f t="shared" si="32"/>
        <v>4620</v>
      </c>
      <c r="V14" s="37">
        <f t="shared" si="32"/>
        <v>3510</v>
      </c>
      <c r="W14" s="37">
        <f t="shared" si="32"/>
        <v>2380</v>
      </c>
      <c r="X14" s="37">
        <f t="shared" si="22"/>
        <v>4050</v>
      </c>
      <c r="Y14" s="37">
        <f t="shared" si="23"/>
        <v>5250</v>
      </c>
      <c r="Z14" s="37">
        <f>IF((L14-L13&lt;0), "0",L14-L13)</f>
        <v>2640</v>
      </c>
      <c r="AA14" s="37">
        <f t="shared" si="25"/>
        <v>3210</v>
      </c>
      <c r="AB14" s="37">
        <f t="shared" si="26"/>
        <v>7250</v>
      </c>
      <c r="AC14" s="37">
        <f t="shared" si="27"/>
        <v>9900</v>
      </c>
      <c r="AD14" s="35">
        <f t="shared" si="28"/>
        <v>61940</v>
      </c>
      <c r="AF14" s="20">
        <f t="shared" si="1"/>
        <v>5.1000000000000005</v>
      </c>
      <c r="AG14" s="20">
        <f t="shared" si="2"/>
        <v>65.650000000000006</v>
      </c>
      <c r="AH14" s="20">
        <f t="shared" si="3"/>
        <v>16.55</v>
      </c>
      <c r="AI14" s="20">
        <f t="shared" si="4"/>
        <v>8.35</v>
      </c>
      <c r="AJ14" s="20">
        <f t="shared" si="5"/>
        <v>23.1</v>
      </c>
      <c r="AK14" s="20">
        <f t="shared" si="6"/>
        <v>17.55</v>
      </c>
      <c r="AL14" s="20">
        <f t="shared" si="7"/>
        <v>11.9</v>
      </c>
      <c r="AM14" s="20">
        <f t="shared" si="8"/>
        <v>20.25</v>
      </c>
      <c r="AN14" s="20">
        <f t="shared" si="9"/>
        <v>26.25</v>
      </c>
      <c r="AO14" s="20">
        <f t="shared" si="10"/>
        <v>13.200000000000001</v>
      </c>
      <c r="AP14" s="20">
        <f t="shared" si="11"/>
        <v>16.05</v>
      </c>
      <c r="AQ14" s="20">
        <f t="shared" si="12"/>
        <v>36.25</v>
      </c>
      <c r="AR14" s="20">
        <f t="shared" si="13"/>
        <v>49.5</v>
      </c>
      <c r="AS14" s="35">
        <f t="shared" si="29"/>
        <v>309.70000000000005</v>
      </c>
      <c r="AU14" s="47">
        <v>677580</v>
      </c>
      <c r="AV14" s="37">
        <f t="shared" si="31"/>
        <v>2045</v>
      </c>
      <c r="AW14" s="35">
        <f t="shared" si="30"/>
        <v>4.09</v>
      </c>
    </row>
    <row r="15" spans="1:49" x14ac:dyDescent="0.25">
      <c r="A15" s="23">
        <v>44356</v>
      </c>
      <c r="B15" s="40">
        <v>86</v>
      </c>
      <c r="C15" s="24">
        <v>6606680</v>
      </c>
      <c r="D15" s="24">
        <v>15628530</v>
      </c>
      <c r="E15" s="24">
        <v>2735690</v>
      </c>
      <c r="F15" s="24">
        <v>3485620</v>
      </c>
      <c r="G15" s="24">
        <v>10381130</v>
      </c>
      <c r="H15" s="24">
        <v>5512600</v>
      </c>
      <c r="I15" s="24">
        <v>5081850</v>
      </c>
      <c r="J15" s="24">
        <v>5909480</v>
      </c>
      <c r="K15" s="24">
        <v>9171920</v>
      </c>
      <c r="L15" s="24">
        <v>3828450</v>
      </c>
      <c r="M15" s="24">
        <v>7894350</v>
      </c>
      <c r="N15" s="24">
        <v>12018210</v>
      </c>
      <c r="O15" s="24">
        <v>16618910</v>
      </c>
      <c r="Q15" s="37">
        <f t="shared" si="16"/>
        <v>1030</v>
      </c>
      <c r="R15" s="37">
        <f t="shared" si="17"/>
        <v>13190</v>
      </c>
      <c r="S15" s="37">
        <f t="shared" si="15"/>
        <v>3300</v>
      </c>
      <c r="T15" s="37">
        <f t="shared" si="18"/>
        <v>1680</v>
      </c>
      <c r="U15" s="37">
        <f t="shared" si="19"/>
        <v>4630</v>
      </c>
      <c r="V15" s="37">
        <f t="shared" si="20"/>
        <v>3290</v>
      </c>
      <c r="W15" s="37">
        <f t="shared" si="21"/>
        <v>2410</v>
      </c>
      <c r="X15" s="37">
        <f t="shared" si="22"/>
        <v>4100</v>
      </c>
      <c r="Y15" s="37">
        <f t="shared" si="23"/>
        <v>5270</v>
      </c>
      <c r="Z15" s="37">
        <f t="shared" si="24"/>
        <v>2560</v>
      </c>
      <c r="AA15" s="37">
        <f t="shared" si="25"/>
        <v>3230</v>
      </c>
      <c r="AB15" s="37">
        <f t="shared" si="26"/>
        <v>7160</v>
      </c>
      <c r="AC15" s="37">
        <f t="shared" si="27"/>
        <v>9850</v>
      </c>
      <c r="AD15" s="35">
        <f t="shared" si="28"/>
        <v>61700</v>
      </c>
      <c r="AF15" s="20">
        <f t="shared" si="1"/>
        <v>5.15</v>
      </c>
      <c r="AG15" s="20">
        <f t="shared" si="2"/>
        <v>65.95</v>
      </c>
      <c r="AH15" s="20">
        <f t="shared" si="3"/>
        <v>16.5</v>
      </c>
      <c r="AI15" s="20">
        <f t="shared" si="4"/>
        <v>8.4</v>
      </c>
      <c r="AJ15" s="20">
        <f t="shared" si="5"/>
        <v>23.150000000000002</v>
      </c>
      <c r="AK15" s="20">
        <f t="shared" si="6"/>
        <v>16.45</v>
      </c>
      <c r="AL15" s="20">
        <f t="shared" si="7"/>
        <v>12.05</v>
      </c>
      <c r="AM15" s="20">
        <f t="shared" si="8"/>
        <v>20.5</v>
      </c>
      <c r="AN15" s="20">
        <f t="shared" si="9"/>
        <v>26.35</v>
      </c>
      <c r="AO15" s="20">
        <f t="shared" si="10"/>
        <v>12.8</v>
      </c>
      <c r="AP15" s="20">
        <f t="shared" si="11"/>
        <v>16.149999999999999</v>
      </c>
      <c r="AQ15" s="20">
        <f t="shared" si="12"/>
        <v>35.800000000000004</v>
      </c>
      <c r="AR15" s="20">
        <f t="shared" si="13"/>
        <v>49.25</v>
      </c>
      <c r="AS15" s="35">
        <f t="shared" si="29"/>
        <v>308.50000000000006</v>
      </c>
      <c r="AU15" s="47">
        <v>677580</v>
      </c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>
        <v>131</v>
      </c>
      <c r="C16" s="24">
        <v>6607710</v>
      </c>
      <c r="D16" s="24">
        <v>15641910</v>
      </c>
      <c r="E16" s="24">
        <v>2739060</v>
      </c>
      <c r="F16" s="24">
        <v>3487290</v>
      </c>
      <c r="G16" s="24">
        <v>10387400</v>
      </c>
      <c r="H16" s="24">
        <v>5516450</v>
      </c>
      <c r="I16" s="24">
        <v>5084260</v>
      </c>
      <c r="J16" s="24">
        <v>5913600</v>
      </c>
      <c r="K16" s="24">
        <v>9177000</v>
      </c>
      <c r="L16" s="24">
        <v>3831190</v>
      </c>
      <c r="M16" s="24">
        <v>7897750</v>
      </c>
      <c r="N16" s="24">
        <v>12025570</v>
      </c>
      <c r="O16" s="24">
        <v>16629250</v>
      </c>
      <c r="Q16" s="37">
        <f t="shared" si="16"/>
        <v>1030</v>
      </c>
      <c r="R16" s="37">
        <f t="shared" si="17"/>
        <v>13380</v>
      </c>
      <c r="S16" s="37">
        <f t="shared" si="15"/>
        <v>3370</v>
      </c>
      <c r="T16" s="37">
        <f t="shared" si="18"/>
        <v>1670</v>
      </c>
      <c r="U16" s="37">
        <f t="shared" si="19"/>
        <v>6270</v>
      </c>
      <c r="V16" s="37">
        <f t="shared" si="20"/>
        <v>3850</v>
      </c>
      <c r="W16" s="37">
        <f t="shared" si="21"/>
        <v>2410</v>
      </c>
      <c r="X16" s="37">
        <f t="shared" si="22"/>
        <v>4120</v>
      </c>
      <c r="Y16" s="37">
        <f t="shared" si="23"/>
        <v>5080</v>
      </c>
      <c r="Z16" s="37">
        <f t="shared" si="24"/>
        <v>2740</v>
      </c>
      <c r="AA16" s="37">
        <f t="shared" si="25"/>
        <v>3400</v>
      </c>
      <c r="AB16" s="37">
        <f t="shared" si="26"/>
        <v>7360</v>
      </c>
      <c r="AC16" s="37">
        <f t="shared" si="27"/>
        <v>10340</v>
      </c>
      <c r="AD16" s="35">
        <f t="shared" si="28"/>
        <v>65020</v>
      </c>
      <c r="AF16" s="20">
        <f t="shared" si="1"/>
        <v>5.15</v>
      </c>
      <c r="AG16" s="20">
        <f t="shared" si="2"/>
        <v>66.900000000000006</v>
      </c>
      <c r="AH16" s="20">
        <f t="shared" si="3"/>
        <v>16.850000000000001</v>
      </c>
      <c r="AI16" s="20">
        <f t="shared" si="4"/>
        <v>8.35</v>
      </c>
      <c r="AJ16" s="20">
        <f t="shared" si="5"/>
        <v>31.35</v>
      </c>
      <c r="AK16" s="20">
        <f t="shared" si="6"/>
        <v>19.25</v>
      </c>
      <c r="AL16" s="20">
        <f t="shared" si="7"/>
        <v>12.05</v>
      </c>
      <c r="AM16" s="20">
        <f t="shared" si="8"/>
        <v>20.6</v>
      </c>
      <c r="AN16" s="20">
        <f t="shared" si="9"/>
        <v>25.400000000000002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36.800000000000004</v>
      </c>
      <c r="AR16" s="20">
        <f t="shared" si="13"/>
        <v>51.7</v>
      </c>
      <c r="AS16" s="35">
        <f t="shared" si="29"/>
        <v>325.09999999999997</v>
      </c>
      <c r="AU16" s="47">
        <v>677580</v>
      </c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>
        <v>141</v>
      </c>
      <c r="C17" s="24">
        <v>6608660</v>
      </c>
      <c r="D17" s="24">
        <v>15654490</v>
      </c>
      <c r="E17" s="24">
        <v>2742230</v>
      </c>
      <c r="F17" s="24">
        <v>3488850</v>
      </c>
      <c r="G17" s="24">
        <v>10390180</v>
      </c>
      <c r="H17" s="24">
        <v>5519790</v>
      </c>
      <c r="I17" s="24">
        <v>5086500</v>
      </c>
      <c r="J17" s="24">
        <v>5917550</v>
      </c>
      <c r="K17" s="24">
        <v>9182010</v>
      </c>
      <c r="L17" s="24">
        <v>3833760</v>
      </c>
      <c r="M17" s="24">
        <v>7901010</v>
      </c>
      <c r="N17" s="24">
        <v>12032520</v>
      </c>
      <c r="O17" s="24">
        <v>16638690</v>
      </c>
      <c r="Q17" s="37">
        <f t="shared" si="16"/>
        <v>950</v>
      </c>
      <c r="R17" s="37">
        <f t="shared" si="17"/>
        <v>12580</v>
      </c>
      <c r="S17" s="37">
        <f t="shared" si="15"/>
        <v>3170</v>
      </c>
      <c r="T17" s="37">
        <f t="shared" si="18"/>
        <v>1560</v>
      </c>
      <c r="U17" s="37">
        <f t="shared" si="19"/>
        <v>2780</v>
      </c>
      <c r="V17" s="37">
        <f t="shared" si="20"/>
        <v>3340</v>
      </c>
      <c r="W17" s="37">
        <f t="shared" si="21"/>
        <v>2240</v>
      </c>
      <c r="X17" s="37">
        <f t="shared" si="22"/>
        <v>3950</v>
      </c>
      <c r="Y17" s="37">
        <f t="shared" si="23"/>
        <v>5010</v>
      </c>
      <c r="Z17" s="37">
        <f t="shared" si="24"/>
        <v>2570</v>
      </c>
      <c r="AA17" s="37">
        <f t="shared" si="25"/>
        <v>3260</v>
      </c>
      <c r="AB17" s="37">
        <f t="shared" si="26"/>
        <v>6950</v>
      </c>
      <c r="AC17" s="37">
        <f t="shared" si="27"/>
        <v>9440</v>
      </c>
      <c r="AD17" s="35">
        <f t="shared" si="28"/>
        <v>57800</v>
      </c>
      <c r="AF17" s="20">
        <f t="shared" si="1"/>
        <v>4.75</v>
      </c>
      <c r="AG17" s="20">
        <f t="shared" si="2"/>
        <v>62.9</v>
      </c>
      <c r="AH17" s="20">
        <f t="shared" si="3"/>
        <v>15.85</v>
      </c>
      <c r="AI17" s="20">
        <f t="shared" si="4"/>
        <v>7.8</v>
      </c>
      <c r="AJ17" s="20">
        <f t="shared" si="5"/>
        <v>13.9</v>
      </c>
      <c r="AK17" s="20">
        <f t="shared" si="6"/>
        <v>16.7</v>
      </c>
      <c r="AL17" s="20">
        <f t="shared" si="7"/>
        <v>11.200000000000001</v>
      </c>
      <c r="AM17" s="20">
        <f t="shared" si="8"/>
        <v>19.75</v>
      </c>
      <c r="AN17" s="20">
        <f t="shared" si="9"/>
        <v>25.05</v>
      </c>
      <c r="AO17" s="20">
        <f t="shared" si="10"/>
        <v>12.85</v>
      </c>
      <c r="AP17" s="20">
        <f t="shared" si="11"/>
        <v>16.3</v>
      </c>
      <c r="AQ17" s="20">
        <f t="shared" si="12"/>
        <v>34.75</v>
      </c>
      <c r="AR17" s="20">
        <f t="shared" si="13"/>
        <v>47.2</v>
      </c>
      <c r="AS17" s="35">
        <f t="shared" si="29"/>
        <v>289</v>
      </c>
      <c r="AU17" s="47">
        <v>677580</v>
      </c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>
        <v>94</v>
      </c>
      <c r="C18" s="24">
        <v>6609670</v>
      </c>
      <c r="D18" s="24">
        <v>15667660</v>
      </c>
      <c r="E18" s="24">
        <v>2745550</v>
      </c>
      <c r="F18" s="24">
        <v>3490500</v>
      </c>
      <c r="G18" s="24">
        <v>10394770</v>
      </c>
      <c r="H18" s="24">
        <v>5523170</v>
      </c>
      <c r="I18" s="24">
        <v>5088850</v>
      </c>
      <c r="J18" s="24">
        <v>5921660</v>
      </c>
      <c r="K18" s="24">
        <v>9187180</v>
      </c>
      <c r="L18" s="24">
        <v>3836310</v>
      </c>
      <c r="M18" s="24">
        <v>7904350</v>
      </c>
      <c r="N18" s="24">
        <v>12039750</v>
      </c>
      <c r="O18" s="24">
        <v>16648950</v>
      </c>
      <c r="Q18" s="37">
        <f t="shared" si="16"/>
        <v>1010</v>
      </c>
      <c r="R18" s="37">
        <f t="shared" si="17"/>
        <v>13170</v>
      </c>
      <c r="S18" s="37">
        <f t="shared" si="15"/>
        <v>3320</v>
      </c>
      <c r="T18" s="37">
        <f t="shared" si="18"/>
        <v>1650</v>
      </c>
      <c r="U18" s="37">
        <f t="shared" si="19"/>
        <v>4590</v>
      </c>
      <c r="V18" s="37">
        <f t="shared" si="20"/>
        <v>3380</v>
      </c>
      <c r="W18" s="37">
        <f t="shared" si="21"/>
        <v>2350</v>
      </c>
      <c r="X18" s="37">
        <f t="shared" si="22"/>
        <v>4110</v>
      </c>
      <c r="Y18" s="37">
        <f t="shared" si="23"/>
        <v>5170</v>
      </c>
      <c r="Z18" s="37">
        <f t="shared" si="24"/>
        <v>2550</v>
      </c>
      <c r="AA18" s="37">
        <f t="shared" si="25"/>
        <v>3340</v>
      </c>
      <c r="AB18" s="37">
        <f t="shared" si="26"/>
        <v>7230</v>
      </c>
      <c r="AC18" s="37">
        <f t="shared" si="27"/>
        <v>10260</v>
      </c>
      <c r="AD18" s="35">
        <f t="shared" si="28"/>
        <v>62130</v>
      </c>
      <c r="AF18" s="20">
        <f t="shared" si="1"/>
        <v>5.05</v>
      </c>
      <c r="AG18" s="20">
        <f t="shared" si="2"/>
        <v>65.849999999999994</v>
      </c>
      <c r="AH18" s="20">
        <f t="shared" si="3"/>
        <v>16.600000000000001</v>
      </c>
      <c r="AI18" s="20">
        <f t="shared" si="4"/>
        <v>8.25</v>
      </c>
      <c r="AJ18" s="20">
        <f t="shared" si="5"/>
        <v>22.95</v>
      </c>
      <c r="AK18" s="20">
        <f t="shared" si="6"/>
        <v>16.899999999999999</v>
      </c>
      <c r="AL18" s="20">
        <f t="shared" si="7"/>
        <v>11.75</v>
      </c>
      <c r="AM18" s="20">
        <f t="shared" si="8"/>
        <v>20.55</v>
      </c>
      <c r="AN18" s="20">
        <f t="shared" si="9"/>
        <v>25.85</v>
      </c>
      <c r="AO18" s="20">
        <f t="shared" si="10"/>
        <v>12.75</v>
      </c>
      <c r="AP18" s="20">
        <f t="shared" si="11"/>
        <v>16.7</v>
      </c>
      <c r="AQ18" s="20">
        <f t="shared" si="12"/>
        <v>36.15</v>
      </c>
      <c r="AR18" s="20">
        <f t="shared" si="13"/>
        <v>51.300000000000004</v>
      </c>
      <c r="AS18" s="35">
        <f t="shared" si="29"/>
        <v>310.64999999999998</v>
      </c>
      <c r="AU18" s="47">
        <v>677581</v>
      </c>
      <c r="AV18" s="37">
        <f t="shared" si="31"/>
        <v>1</v>
      </c>
      <c r="AW18" s="35">
        <f t="shared" si="30"/>
        <v>2E-3</v>
      </c>
    </row>
    <row r="19" spans="1:49" x14ac:dyDescent="0.25">
      <c r="A19" s="23">
        <v>44360</v>
      </c>
      <c r="B19" s="40">
        <v>80</v>
      </c>
      <c r="C19" s="24">
        <v>6610690</v>
      </c>
      <c r="D19" s="24">
        <v>15680650</v>
      </c>
      <c r="E19" s="24">
        <v>2748800</v>
      </c>
      <c r="F19" s="24">
        <v>3492150</v>
      </c>
      <c r="G19" s="24">
        <v>10399170</v>
      </c>
      <c r="H19" s="24">
        <v>5526520</v>
      </c>
      <c r="I19" s="24">
        <v>5091230</v>
      </c>
      <c r="J19" s="24">
        <v>5925350</v>
      </c>
      <c r="K19" s="24">
        <v>9191810</v>
      </c>
      <c r="L19" s="24">
        <v>3838820</v>
      </c>
      <c r="M19" s="24">
        <v>7907600</v>
      </c>
      <c r="N19" s="24">
        <v>12046860</v>
      </c>
      <c r="O19" s="24">
        <v>16661120</v>
      </c>
      <c r="Q19" s="37">
        <f t="shared" si="16"/>
        <v>1020</v>
      </c>
      <c r="R19" s="37">
        <f t="shared" si="17"/>
        <v>12990</v>
      </c>
      <c r="S19" s="37">
        <f t="shared" si="15"/>
        <v>3250</v>
      </c>
      <c r="T19" s="37">
        <f t="shared" si="18"/>
        <v>1650</v>
      </c>
      <c r="U19" s="37">
        <f t="shared" si="19"/>
        <v>4400</v>
      </c>
      <c r="V19" s="37">
        <f t="shared" si="20"/>
        <v>3350</v>
      </c>
      <c r="W19" s="37">
        <f t="shared" si="21"/>
        <v>2380</v>
      </c>
      <c r="X19" s="37">
        <f t="shared" si="22"/>
        <v>3690</v>
      </c>
      <c r="Y19" s="37">
        <f t="shared" si="23"/>
        <v>4630</v>
      </c>
      <c r="Z19" s="37">
        <f t="shared" si="24"/>
        <v>2510</v>
      </c>
      <c r="AA19" s="37">
        <f t="shared" si="25"/>
        <v>3250</v>
      </c>
      <c r="AB19" s="37">
        <f t="shared" si="26"/>
        <v>7110</v>
      </c>
      <c r="AC19" s="37">
        <f t="shared" si="27"/>
        <v>12170</v>
      </c>
      <c r="AD19" s="35">
        <f t="shared" si="28"/>
        <v>62400</v>
      </c>
      <c r="AF19" s="20">
        <f t="shared" si="1"/>
        <v>5.1000000000000005</v>
      </c>
      <c r="AG19" s="20">
        <f t="shared" si="2"/>
        <v>64.95</v>
      </c>
      <c r="AH19" s="20">
        <f t="shared" si="3"/>
        <v>16.25</v>
      </c>
      <c r="AI19" s="20">
        <f t="shared" si="4"/>
        <v>8.25</v>
      </c>
      <c r="AJ19" s="20">
        <f t="shared" si="5"/>
        <v>22</v>
      </c>
      <c r="AK19" s="20">
        <f t="shared" si="6"/>
        <v>16.75</v>
      </c>
      <c r="AL19" s="20">
        <f t="shared" si="7"/>
        <v>11.9</v>
      </c>
      <c r="AM19" s="20">
        <f t="shared" si="8"/>
        <v>18.45</v>
      </c>
      <c r="AN19" s="20">
        <f t="shared" si="9"/>
        <v>23.150000000000002</v>
      </c>
      <c r="AO19" s="20">
        <f t="shared" si="10"/>
        <v>12.55</v>
      </c>
      <c r="AP19" s="20">
        <f t="shared" si="11"/>
        <v>16.25</v>
      </c>
      <c r="AQ19" s="20">
        <f t="shared" si="12"/>
        <v>35.550000000000004</v>
      </c>
      <c r="AR19" s="20">
        <f t="shared" si="13"/>
        <v>60.85</v>
      </c>
      <c r="AS19" s="35">
        <f t="shared" si="29"/>
        <v>312.00000000000006</v>
      </c>
      <c r="AU19" s="47">
        <v>677581</v>
      </c>
      <c r="AV19" s="37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>
        <v>73</v>
      </c>
      <c r="C20" s="24">
        <v>6611700</v>
      </c>
      <c r="D20" s="24">
        <v>15693650</v>
      </c>
      <c r="E20" s="24">
        <v>2752090</v>
      </c>
      <c r="F20" s="24">
        <v>3493770</v>
      </c>
      <c r="G20" s="24">
        <v>10403530</v>
      </c>
      <c r="H20" s="24">
        <v>5529840</v>
      </c>
      <c r="I20" s="24">
        <v>5093600</v>
      </c>
      <c r="J20" s="24">
        <v>5928740</v>
      </c>
      <c r="K20" s="24">
        <v>9196430</v>
      </c>
      <c r="L20" s="24">
        <v>3841290</v>
      </c>
      <c r="M20" s="24">
        <v>7910870</v>
      </c>
      <c r="N20" s="24">
        <v>12053820</v>
      </c>
      <c r="O20" s="24">
        <v>16673130</v>
      </c>
      <c r="Q20" s="37">
        <f t="shared" si="16"/>
        <v>1010</v>
      </c>
      <c r="R20" s="37">
        <f t="shared" si="17"/>
        <v>13000</v>
      </c>
      <c r="S20" s="37">
        <f t="shared" si="15"/>
        <v>3290</v>
      </c>
      <c r="T20" s="37">
        <f t="shared" si="18"/>
        <v>1620</v>
      </c>
      <c r="U20" s="37">
        <f t="shared" si="19"/>
        <v>4360</v>
      </c>
      <c r="V20" s="37">
        <f t="shared" si="20"/>
        <v>3320</v>
      </c>
      <c r="W20" s="37">
        <f t="shared" si="21"/>
        <v>2370</v>
      </c>
      <c r="X20" s="37">
        <f t="shared" si="22"/>
        <v>3390</v>
      </c>
      <c r="Y20" s="37">
        <f t="shared" si="23"/>
        <v>4620</v>
      </c>
      <c r="Z20" s="37">
        <f t="shared" si="24"/>
        <v>2470</v>
      </c>
      <c r="AA20" s="37">
        <f t="shared" si="25"/>
        <v>3270</v>
      </c>
      <c r="AB20" s="37">
        <f t="shared" si="26"/>
        <v>6960</v>
      </c>
      <c r="AC20" s="37">
        <f t="shared" si="27"/>
        <v>12010</v>
      </c>
      <c r="AD20" s="35">
        <f t="shared" si="28"/>
        <v>61690</v>
      </c>
      <c r="AF20" s="20">
        <f t="shared" si="1"/>
        <v>5.05</v>
      </c>
      <c r="AG20" s="20">
        <f t="shared" si="2"/>
        <v>65</v>
      </c>
      <c r="AH20" s="20">
        <f t="shared" si="3"/>
        <v>16.45</v>
      </c>
      <c r="AI20" s="20">
        <f t="shared" si="4"/>
        <v>8.1</v>
      </c>
      <c r="AJ20" s="20">
        <f t="shared" si="5"/>
        <v>21.8</v>
      </c>
      <c r="AK20" s="20">
        <f t="shared" si="6"/>
        <v>16.600000000000001</v>
      </c>
      <c r="AL20" s="20">
        <f t="shared" si="7"/>
        <v>11.85</v>
      </c>
      <c r="AM20" s="20">
        <f t="shared" si="8"/>
        <v>16.95</v>
      </c>
      <c r="AN20" s="20">
        <f t="shared" si="9"/>
        <v>23.1</v>
      </c>
      <c r="AO20" s="20">
        <f t="shared" si="10"/>
        <v>12.35</v>
      </c>
      <c r="AP20" s="20">
        <f t="shared" si="11"/>
        <v>16.350000000000001</v>
      </c>
      <c r="AQ20" s="20">
        <f t="shared" si="12"/>
        <v>34.800000000000004</v>
      </c>
      <c r="AR20" s="20">
        <f t="shared" si="13"/>
        <v>60.050000000000004</v>
      </c>
      <c r="AS20" s="35">
        <f t="shared" si="29"/>
        <v>308.45</v>
      </c>
      <c r="AU20" s="47">
        <v>677581</v>
      </c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>
        <v>76</v>
      </c>
      <c r="C21" s="24">
        <v>6612680</v>
      </c>
      <c r="D21" s="24">
        <v>15706380</v>
      </c>
      <c r="E21" s="24">
        <v>2755330</v>
      </c>
      <c r="F21" s="24">
        <v>3495360</v>
      </c>
      <c r="G21" s="24">
        <v>10407790</v>
      </c>
      <c r="H21" s="24">
        <v>5533130</v>
      </c>
      <c r="I21" s="24">
        <v>5095930</v>
      </c>
      <c r="J21" s="24">
        <v>5932550</v>
      </c>
      <c r="K21" s="24">
        <v>9200990</v>
      </c>
      <c r="L21" s="24">
        <v>3843670</v>
      </c>
      <c r="M21" s="24">
        <v>7913880</v>
      </c>
      <c r="N21" s="24">
        <v>12060660</v>
      </c>
      <c r="O21" s="24">
        <v>16683540</v>
      </c>
      <c r="Q21" s="37">
        <f t="shared" si="16"/>
        <v>980</v>
      </c>
      <c r="R21" s="37">
        <f t="shared" si="17"/>
        <v>12730</v>
      </c>
      <c r="S21" s="37">
        <f t="shared" si="15"/>
        <v>3240</v>
      </c>
      <c r="T21" s="37">
        <f t="shared" si="18"/>
        <v>1590</v>
      </c>
      <c r="U21" s="37">
        <f t="shared" si="19"/>
        <v>4260</v>
      </c>
      <c r="V21" s="37">
        <f t="shared" si="20"/>
        <v>3290</v>
      </c>
      <c r="W21" s="37">
        <f t="shared" si="21"/>
        <v>2330</v>
      </c>
      <c r="X21" s="37">
        <f t="shared" si="22"/>
        <v>3810</v>
      </c>
      <c r="Y21" s="37">
        <f t="shared" si="23"/>
        <v>4560</v>
      </c>
      <c r="Z21" s="37">
        <f t="shared" si="24"/>
        <v>2380</v>
      </c>
      <c r="AA21" s="37">
        <f t="shared" si="25"/>
        <v>3010</v>
      </c>
      <c r="AB21" s="37">
        <f t="shared" si="26"/>
        <v>6840</v>
      </c>
      <c r="AC21" s="37">
        <f t="shared" si="27"/>
        <v>10410</v>
      </c>
      <c r="AD21" s="35">
        <f t="shared" si="28"/>
        <v>59430</v>
      </c>
      <c r="AF21" s="20">
        <f t="shared" si="1"/>
        <v>4.9000000000000004</v>
      </c>
      <c r="AG21" s="20">
        <f t="shared" si="2"/>
        <v>63.65</v>
      </c>
      <c r="AH21" s="20">
        <f t="shared" si="3"/>
        <v>16.2</v>
      </c>
      <c r="AI21" s="20">
        <f t="shared" si="4"/>
        <v>7.95</v>
      </c>
      <c r="AJ21" s="20">
        <f t="shared" si="5"/>
        <v>21.3</v>
      </c>
      <c r="AK21" s="20">
        <f t="shared" si="6"/>
        <v>16.45</v>
      </c>
      <c r="AL21" s="20">
        <f t="shared" si="7"/>
        <v>11.65</v>
      </c>
      <c r="AM21" s="20">
        <f t="shared" si="8"/>
        <v>19.05</v>
      </c>
      <c r="AN21" s="20">
        <f t="shared" si="9"/>
        <v>22.8</v>
      </c>
      <c r="AO21" s="20">
        <f t="shared" si="10"/>
        <v>11.9</v>
      </c>
      <c r="AP21" s="20">
        <f t="shared" si="11"/>
        <v>15.05</v>
      </c>
      <c r="AQ21" s="20">
        <f t="shared" si="12"/>
        <v>34.200000000000003</v>
      </c>
      <c r="AR21" s="20">
        <f t="shared" si="13"/>
        <v>52.050000000000004</v>
      </c>
      <c r="AS21" s="35">
        <f t="shared" si="29"/>
        <v>297.15000000000003</v>
      </c>
      <c r="AU21" s="47">
        <v>677581</v>
      </c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>
        <v>75</v>
      </c>
      <c r="C22" s="24">
        <v>6613710</v>
      </c>
      <c r="D22" s="24">
        <v>15719450</v>
      </c>
      <c r="E22" s="24">
        <v>2758590</v>
      </c>
      <c r="F22" s="24">
        <v>3497010</v>
      </c>
      <c r="G22" s="24">
        <v>10412240</v>
      </c>
      <c r="H22" s="24">
        <v>5536520</v>
      </c>
      <c r="I22" s="24">
        <v>5098310</v>
      </c>
      <c r="J22" s="44">
        <v>5936510</v>
      </c>
      <c r="K22" s="24">
        <v>9205760</v>
      </c>
      <c r="L22" s="24">
        <v>3846250</v>
      </c>
      <c r="M22" s="24">
        <v>7916930</v>
      </c>
      <c r="N22" s="24">
        <v>12067790</v>
      </c>
      <c r="O22" s="44">
        <v>16695760</v>
      </c>
      <c r="Q22" s="37">
        <f t="shared" si="16"/>
        <v>1030</v>
      </c>
      <c r="R22" s="37">
        <f t="shared" si="17"/>
        <v>13070</v>
      </c>
      <c r="S22" s="37">
        <f t="shared" si="15"/>
        <v>3260</v>
      </c>
      <c r="T22" s="37">
        <f t="shared" si="18"/>
        <v>1650</v>
      </c>
      <c r="U22" s="37">
        <f t="shared" si="19"/>
        <v>4450</v>
      </c>
      <c r="V22" s="37">
        <f t="shared" si="20"/>
        <v>3390</v>
      </c>
      <c r="W22" s="37">
        <f t="shared" si="21"/>
        <v>2380</v>
      </c>
      <c r="X22" s="37">
        <f t="shared" si="22"/>
        <v>3960</v>
      </c>
      <c r="Y22" s="37">
        <f t="shared" si="23"/>
        <v>4770</v>
      </c>
      <c r="Z22" s="37">
        <f t="shared" si="24"/>
        <v>2580</v>
      </c>
      <c r="AA22" s="37">
        <f t="shared" si="25"/>
        <v>3050</v>
      </c>
      <c r="AB22" s="37">
        <f t="shared" si="26"/>
        <v>7130</v>
      </c>
      <c r="AC22" s="37">
        <f t="shared" si="27"/>
        <v>12220</v>
      </c>
      <c r="AD22" s="35">
        <f t="shared" si="28"/>
        <v>62940</v>
      </c>
      <c r="AF22" s="20">
        <f t="shared" si="1"/>
        <v>5.15</v>
      </c>
      <c r="AG22" s="20">
        <f t="shared" si="2"/>
        <v>65.349999999999994</v>
      </c>
      <c r="AH22" s="20">
        <f t="shared" si="3"/>
        <v>16.3</v>
      </c>
      <c r="AI22" s="20">
        <f t="shared" si="4"/>
        <v>8.25</v>
      </c>
      <c r="AJ22" s="20">
        <f t="shared" si="5"/>
        <v>22.25</v>
      </c>
      <c r="AK22" s="20">
        <f t="shared" si="6"/>
        <v>16.95</v>
      </c>
      <c r="AL22" s="20">
        <f t="shared" si="7"/>
        <v>11.9</v>
      </c>
      <c r="AM22" s="20">
        <f t="shared" si="8"/>
        <v>19.8</v>
      </c>
      <c r="AN22" s="20">
        <f t="shared" si="9"/>
        <v>23.85</v>
      </c>
      <c r="AO22" s="20">
        <f t="shared" si="10"/>
        <v>12.9</v>
      </c>
      <c r="AP22" s="20">
        <f t="shared" si="11"/>
        <v>15.25</v>
      </c>
      <c r="AQ22" s="20">
        <f t="shared" si="12"/>
        <v>35.65</v>
      </c>
      <c r="AR22" s="20">
        <f t="shared" si="13"/>
        <v>61.1</v>
      </c>
      <c r="AS22" s="35">
        <f t="shared" si="29"/>
        <v>314.70000000000005</v>
      </c>
      <c r="AU22" s="47">
        <v>677581</v>
      </c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>
        <v>114</v>
      </c>
      <c r="C23" s="24">
        <v>6614710</v>
      </c>
      <c r="D23" s="24">
        <v>15732300</v>
      </c>
      <c r="E23" s="24">
        <v>2761720</v>
      </c>
      <c r="F23" s="24">
        <v>3498620</v>
      </c>
      <c r="G23" s="24">
        <v>10416660</v>
      </c>
      <c r="H23" s="24">
        <v>5539960</v>
      </c>
      <c r="I23" s="24">
        <v>5100640</v>
      </c>
      <c r="J23" s="24">
        <v>5940470</v>
      </c>
      <c r="K23" s="24">
        <v>9210460</v>
      </c>
      <c r="L23" s="24">
        <v>3848770</v>
      </c>
      <c r="M23" s="24">
        <v>7920110</v>
      </c>
      <c r="N23" s="24">
        <v>12074710</v>
      </c>
      <c r="O23" s="24">
        <v>16707820</v>
      </c>
      <c r="Q23" s="37">
        <f t="shared" si="16"/>
        <v>1000</v>
      </c>
      <c r="R23" s="37">
        <f t="shared" si="17"/>
        <v>12850</v>
      </c>
      <c r="S23" s="37">
        <f t="shared" si="15"/>
        <v>3130</v>
      </c>
      <c r="T23" s="37">
        <f t="shared" si="18"/>
        <v>1610</v>
      </c>
      <c r="U23" s="37">
        <f t="shared" si="19"/>
        <v>4420</v>
      </c>
      <c r="V23" s="37">
        <f t="shared" si="20"/>
        <v>3440</v>
      </c>
      <c r="W23" s="37">
        <f t="shared" si="21"/>
        <v>2330</v>
      </c>
      <c r="X23" s="37">
        <f t="shared" si="22"/>
        <v>3960</v>
      </c>
      <c r="Y23" s="37">
        <f t="shared" si="23"/>
        <v>4700</v>
      </c>
      <c r="Z23" s="37">
        <f t="shared" si="24"/>
        <v>2520</v>
      </c>
      <c r="AA23" s="37">
        <f t="shared" si="25"/>
        <v>3180</v>
      </c>
      <c r="AB23" s="37">
        <f t="shared" si="26"/>
        <v>6920</v>
      </c>
      <c r="AC23" s="37">
        <f t="shared" si="27"/>
        <v>12060</v>
      </c>
      <c r="AD23" s="35">
        <f t="shared" si="28"/>
        <v>62120</v>
      </c>
      <c r="AF23" s="20">
        <f t="shared" si="1"/>
        <v>5</v>
      </c>
      <c r="AG23" s="20">
        <f t="shared" si="2"/>
        <v>64.25</v>
      </c>
      <c r="AH23" s="20">
        <f t="shared" si="3"/>
        <v>15.65</v>
      </c>
      <c r="AI23" s="20">
        <f t="shared" si="4"/>
        <v>8.0500000000000007</v>
      </c>
      <c r="AJ23" s="20">
        <f t="shared" si="5"/>
        <v>22.1</v>
      </c>
      <c r="AK23" s="20">
        <f t="shared" si="6"/>
        <v>17.2</v>
      </c>
      <c r="AL23" s="20">
        <f t="shared" si="7"/>
        <v>11.65</v>
      </c>
      <c r="AM23" s="20">
        <f t="shared" si="8"/>
        <v>19.8</v>
      </c>
      <c r="AN23" s="20">
        <f t="shared" si="9"/>
        <v>23.5</v>
      </c>
      <c r="AO23" s="20">
        <f t="shared" si="10"/>
        <v>12.6</v>
      </c>
      <c r="AP23" s="20">
        <f t="shared" si="11"/>
        <v>15.9</v>
      </c>
      <c r="AQ23" s="20">
        <f t="shared" si="12"/>
        <v>34.6</v>
      </c>
      <c r="AR23" s="20">
        <f t="shared" si="13"/>
        <v>60.300000000000004</v>
      </c>
      <c r="AS23" s="35">
        <f t="shared" si="29"/>
        <v>310.60000000000002</v>
      </c>
      <c r="AU23" s="47">
        <v>677581</v>
      </c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>
        <v>119</v>
      </c>
      <c r="C24" s="24">
        <v>6615740</v>
      </c>
      <c r="D24" s="24">
        <v>15744890</v>
      </c>
      <c r="E24" s="24">
        <v>2764830</v>
      </c>
      <c r="F24" s="24">
        <v>3500270</v>
      </c>
      <c r="G24" s="24">
        <v>10421180</v>
      </c>
      <c r="H24" s="24">
        <v>5543910</v>
      </c>
      <c r="I24" s="24">
        <v>5103050</v>
      </c>
      <c r="J24" s="24">
        <v>5944380</v>
      </c>
      <c r="K24" s="24">
        <v>9218460</v>
      </c>
      <c r="L24" s="24">
        <v>3851320</v>
      </c>
      <c r="M24" s="24">
        <v>7923510</v>
      </c>
      <c r="N24" s="24">
        <v>12081860</v>
      </c>
      <c r="O24" s="24">
        <v>16719400</v>
      </c>
      <c r="Q24" s="37">
        <f t="shared" si="16"/>
        <v>1030</v>
      </c>
      <c r="R24" s="37">
        <f t="shared" si="17"/>
        <v>12590</v>
      </c>
      <c r="S24" s="37">
        <f t="shared" si="15"/>
        <v>3110</v>
      </c>
      <c r="T24" s="37">
        <f t="shared" si="18"/>
        <v>1650</v>
      </c>
      <c r="U24" s="37">
        <f t="shared" si="19"/>
        <v>4520</v>
      </c>
      <c r="V24" s="37">
        <f t="shared" si="20"/>
        <v>3950</v>
      </c>
      <c r="W24" s="37">
        <f t="shared" si="21"/>
        <v>2410</v>
      </c>
      <c r="X24" s="37">
        <f t="shared" si="22"/>
        <v>3910</v>
      </c>
      <c r="Y24" s="37">
        <f t="shared" si="23"/>
        <v>8000</v>
      </c>
      <c r="Z24" s="37">
        <f t="shared" si="24"/>
        <v>2550</v>
      </c>
      <c r="AA24" s="37">
        <f t="shared" si="25"/>
        <v>3400</v>
      </c>
      <c r="AB24" s="37">
        <f t="shared" si="26"/>
        <v>7150</v>
      </c>
      <c r="AC24" s="37">
        <f t="shared" si="27"/>
        <v>11580</v>
      </c>
      <c r="AD24" s="35">
        <f t="shared" si="28"/>
        <v>65850</v>
      </c>
      <c r="AF24" s="20">
        <f t="shared" si="1"/>
        <v>5.15</v>
      </c>
      <c r="AG24" s="20">
        <f t="shared" si="2"/>
        <v>62.95</v>
      </c>
      <c r="AH24" s="20">
        <f t="shared" si="3"/>
        <v>15.55</v>
      </c>
      <c r="AI24" s="20">
        <f t="shared" si="4"/>
        <v>8.25</v>
      </c>
      <c r="AJ24" s="20">
        <f t="shared" si="5"/>
        <v>22.6</v>
      </c>
      <c r="AK24" s="20">
        <f t="shared" si="6"/>
        <v>19.75</v>
      </c>
      <c r="AL24" s="20">
        <f t="shared" si="7"/>
        <v>12.05</v>
      </c>
      <c r="AM24" s="20">
        <f t="shared" si="8"/>
        <v>19.55</v>
      </c>
      <c r="AN24" s="20">
        <f t="shared" si="9"/>
        <v>40</v>
      </c>
      <c r="AO24" s="20">
        <f t="shared" si="10"/>
        <v>12.75</v>
      </c>
      <c r="AP24" s="20">
        <f t="shared" si="11"/>
        <v>17</v>
      </c>
      <c r="AQ24" s="20">
        <f t="shared" si="12"/>
        <v>35.75</v>
      </c>
      <c r="AR24" s="20">
        <f t="shared" si="13"/>
        <v>57.9</v>
      </c>
      <c r="AS24" s="35">
        <f t="shared" si="29"/>
        <v>329.25</v>
      </c>
      <c r="AU24" s="47">
        <v>677581</v>
      </c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>
        <v>71</v>
      </c>
      <c r="C25" s="24">
        <v>6616730</v>
      </c>
      <c r="D25" s="24">
        <v>15756980</v>
      </c>
      <c r="E25" s="24">
        <v>2767790</v>
      </c>
      <c r="F25" s="24">
        <v>3501840</v>
      </c>
      <c r="G25" s="24">
        <v>10425600</v>
      </c>
      <c r="H25" s="24">
        <v>5546640</v>
      </c>
      <c r="I25" s="24">
        <v>5105360</v>
      </c>
      <c r="J25" s="24">
        <v>5948130</v>
      </c>
      <c r="K25" s="24">
        <v>9220070</v>
      </c>
      <c r="L25" s="24">
        <v>3853680</v>
      </c>
      <c r="M25" s="24">
        <v>7926700</v>
      </c>
      <c r="N25" s="24">
        <v>12088720</v>
      </c>
      <c r="O25" s="24">
        <v>16730230</v>
      </c>
      <c r="Q25" s="37">
        <f t="shared" ref="Q25:AC27" si="33">IF((C25-C24&lt;0), "0",C25-C24)</f>
        <v>990</v>
      </c>
      <c r="R25" s="37">
        <f t="shared" si="33"/>
        <v>12090</v>
      </c>
      <c r="S25" s="37">
        <f t="shared" si="33"/>
        <v>2960</v>
      </c>
      <c r="T25" s="37">
        <f t="shared" si="33"/>
        <v>1570</v>
      </c>
      <c r="U25" s="37">
        <f t="shared" si="33"/>
        <v>4420</v>
      </c>
      <c r="V25" s="37">
        <f t="shared" si="33"/>
        <v>2730</v>
      </c>
      <c r="W25" s="37">
        <f t="shared" si="33"/>
        <v>2310</v>
      </c>
      <c r="X25" s="37">
        <f t="shared" si="33"/>
        <v>3750</v>
      </c>
      <c r="Y25" s="37">
        <f t="shared" si="33"/>
        <v>1610</v>
      </c>
      <c r="Z25" s="37">
        <f t="shared" si="33"/>
        <v>2360</v>
      </c>
      <c r="AA25" s="37">
        <f t="shared" si="33"/>
        <v>3190</v>
      </c>
      <c r="AB25" s="37">
        <f t="shared" si="33"/>
        <v>6860</v>
      </c>
      <c r="AC25" s="37">
        <f t="shared" si="33"/>
        <v>10830</v>
      </c>
      <c r="AD25" s="35">
        <f t="shared" si="28"/>
        <v>55670</v>
      </c>
      <c r="AF25" s="20">
        <f t="shared" si="1"/>
        <v>4.95</v>
      </c>
      <c r="AG25" s="20">
        <f t="shared" si="2"/>
        <v>60.45</v>
      </c>
      <c r="AH25" s="20">
        <f t="shared" si="3"/>
        <v>14.8</v>
      </c>
      <c r="AI25" s="20">
        <f t="shared" si="4"/>
        <v>7.8500000000000005</v>
      </c>
      <c r="AJ25" s="20">
        <f t="shared" si="5"/>
        <v>22.1</v>
      </c>
      <c r="AK25" s="20">
        <f t="shared" si="6"/>
        <v>13.65</v>
      </c>
      <c r="AL25" s="20">
        <f t="shared" si="7"/>
        <v>11.55</v>
      </c>
      <c r="AM25" s="20">
        <f t="shared" si="8"/>
        <v>18.75</v>
      </c>
      <c r="AN25" s="20">
        <f t="shared" si="9"/>
        <v>8.0500000000000007</v>
      </c>
      <c r="AO25" s="20">
        <f t="shared" si="10"/>
        <v>11.8</v>
      </c>
      <c r="AP25" s="20">
        <f t="shared" si="11"/>
        <v>15.950000000000001</v>
      </c>
      <c r="AQ25" s="20">
        <f t="shared" si="12"/>
        <v>34.300000000000004</v>
      </c>
      <c r="AR25" s="20">
        <f t="shared" si="13"/>
        <v>54.15</v>
      </c>
      <c r="AS25" s="35">
        <f t="shared" si="29"/>
        <v>278.35000000000002</v>
      </c>
      <c r="AU25" s="47">
        <v>677581</v>
      </c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44371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44372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44373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19160</v>
      </c>
      <c r="R38" s="38">
        <f t="shared" ref="R38:AC38" si="62">SUM(R7:R37)</f>
        <v>246360</v>
      </c>
      <c r="S38" s="38">
        <f t="shared" si="62"/>
        <v>61880</v>
      </c>
      <c r="T38" s="38">
        <f t="shared" si="62"/>
        <v>31090</v>
      </c>
      <c r="U38" s="38">
        <f t="shared" si="62"/>
        <v>85100</v>
      </c>
      <c r="V38" s="38">
        <f t="shared" si="62"/>
        <v>63940</v>
      </c>
      <c r="W38" s="38">
        <f t="shared" si="62"/>
        <v>44670</v>
      </c>
      <c r="X38" s="38">
        <f t="shared" si="62"/>
        <v>74130</v>
      </c>
      <c r="Y38" s="38">
        <f t="shared" si="62"/>
        <v>91510</v>
      </c>
      <c r="Z38" s="38">
        <f t="shared" si="62"/>
        <v>48930</v>
      </c>
      <c r="AA38" s="38">
        <f t="shared" si="62"/>
        <v>62340</v>
      </c>
      <c r="AB38" s="38">
        <f t="shared" si="62"/>
        <v>135270</v>
      </c>
      <c r="AC38" s="38">
        <f t="shared" si="62"/>
        <v>192610</v>
      </c>
      <c r="AD38" s="38">
        <f t="shared" ref="AD38" si="63">SUM(AD7:AD37)</f>
        <v>1156990</v>
      </c>
      <c r="AF38" s="35">
        <f>SUM(AF7:AF37)</f>
        <v>95.800000000000011</v>
      </c>
      <c r="AG38" s="35">
        <f t="shared" ref="AG38:AS38" si="64">SUM(AG7:AG37)</f>
        <v>1231.8</v>
      </c>
      <c r="AH38" s="35">
        <f t="shared" si="64"/>
        <v>309.39999999999998</v>
      </c>
      <c r="AI38" s="35">
        <f t="shared" si="64"/>
        <v>155.44999999999999</v>
      </c>
      <c r="AJ38" s="35">
        <f t="shared" si="64"/>
        <v>425.50000000000011</v>
      </c>
      <c r="AK38" s="35">
        <f t="shared" si="64"/>
        <v>319.69999999999993</v>
      </c>
      <c r="AL38" s="35">
        <f t="shared" si="64"/>
        <v>223.35000000000005</v>
      </c>
      <c r="AM38" s="35">
        <f t="shared" si="64"/>
        <v>370.65000000000003</v>
      </c>
      <c r="AN38" s="35">
        <f t="shared" si="64"/>
        <v>457.55000000000007</v>
      </c>
      <c r="AO38" s="35">
        <f t="shared" si="64"/>
        <v>244.65</v>
      </c>
      <c r="AP38" s="35">
        <f t="shared" si="64"/>
        <v>311.7</v>
      </c>
      <c r="AQ38" s="35">
        <f t="shared" si="64"/>
        <v>676.35</v>
      </c>
      <c r="AR38" s="35">
        <f t="shared" si="64"/>
        <v>963.04999999999984</v>
      </c>
      <c r="AS38" s="35">
        <f t="shared" si="64"/>
        <v>5784.95</v>
      </c>
      <c r="AU38" s="48"/>
      <c r="AV38" s="34">
        <f>SUM(AV7:AV37)</f>
        <v>19535</v>
      </c>
      <c r="AW38" s="34">
        <f>SUM(AW7:AW37)</f>
        <v>28.259999999999998</v>
      </c>
    </row>
    <row r="39" spans="1:49" x14ac:dyDescent="0.25">
      <c r="D39">
        <v>5.0000000000000001E-3</v>
      </c>
      <c r="AV39" s="36">
        <f>AV38*0.00378541*1000</f>
        <v>73947.984349999999</v>
      </c>
    </row>
    <row r="40" spans="1:49" x14ac:dyDescent="0.25">
      <c r="D40">
        <v>2E-3</v>
      </c>
      <c r="AV40">
        <f>AV39/31</f>
        <v>2385.41885</v>
      </c>
    </row>
    <row r="41" spans="1:49" x14ac:dyDescent="0.25">
      <c r="AV41">
        <f>AV38*0.00378541</f>
        <v>73.947984349999999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2021-06-20T04:36:59Z</dcterms:modified>
</cp:coreProperties>
</file>