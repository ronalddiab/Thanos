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<sst xmlns="http://schemas.openxmlformats.org/spreadsheetml/2006/main" count="138" uniqueCount="58">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</sst>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4" fillId="3" borderId="10" xfId="0" applyFont="1" applyFill="1" applyBorder="1" applyAlignment="1"/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 applyAlignment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52290</v>
      </c>
      <c r="F7" s="11">
        <v>5.0000000000000001E-3</v>
      </c>
      <c r="G7" s="12">
        <f>Submetering!S7</f>
        <v>423.96899999999999</v>
      </c>
      <c r="H7" s="11">
        <v>0.44440000000000002</v>
      </c>
      <c r="I7" s="12">
        <f>Submetering!R7</f>
        <v>623.4375</v>
      </c>
      <c r="J7" s="11">
        <v>0.14000000000000001</v>
      </c>
      <c r="K7" s="12">
        <f>Hotel!B12</f>
        <v>137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56410</v>
      </c>
      <c r="F8" s="11">
        <v>5.0000000000000001E-3</v>
      </c>
      <c r="G8" s="12">
        <f>Submetering!S8</f>
        <v>449.08499999999998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149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430</v>
      </c>
      <c r="F7" s="4">
        <f>Hotel!R12</f>
        <v>1770</v>
      </c>
      <c r="G7" s="4">
        <f>Hotel!S12</f>
        <v>3150</v>
      </c>
      <c r="H7" s="4">
        <f>Hotel!T12</f>
        <v>920</v>
      </c>
      <c r="I7" s="4">
        <f>Hotel!U12</f>
        <v>5660</v>
      </c>
      <c r="J7" s="4">
        <f>Hotel!V12</f>
        <v>3910</v>
      </c>
      <c r="K7" s="4">
        <f>Hotel!W12</f>
        <v>3030</v>
      </c>
      <c r="L7" s="4">
        <f>Hotel!X12</f>
        <v>4040</v>
      </c>
      <c r="M7" s="4">
        <f>Hotel!Y12</f>
        <v>5440</v>
      </c>
      <c r="N7" s="4">
        <f>Hotel!Z12</f>
        <v>2320</v>
      </c>
      <c r="O7" s="4">
        <f>Hotel!AA12</f>
        <v>2940</v>
      </c>
      <c r="P7" s="4">
        <f>Hotel!AB12</f>
        <v>7100</v>
      </c>
      <c r="Q7" s="4">
        <f>Hotel!AC12</f>
        <v>11580</v>
      </c>
      <c r="R7" s="4">
        <f>Hotel!AU12</f>
        <v>623.4375</v>
      </c>
      <c r="S7" s="4">
        <f>Hotel!BA12</f>
        <v>423.96899999999999</v>
      </c>
      <c r="T7" s="4">
        <f>Hotel!AX12</f>
        <v>131</v>
      </c>
      <c r="U7" s="4">
        <f>Hotel!B12</f>
        <v>137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560</v>
      </c>
      <c r="F8" s="4">
        <f>Hotel!R13</f>
        <v>1870</v>
      </c>
      <c r="G8" s="4">
        <f>Hotel!S13</f>
        <v>3540</v>
      </c>
      <c r="H8" s="4">
        <f>Hotel!T13</f>
        <v>980</v>
      </c>
      <c r="I8" s="4">
        <f>Hotel!U13</f>
        <v>6140</v>
      </c>
      <c r="J8" s="4">
        <f>Hotel!V13</f>
        <v>4240</v>
      </c>
      <c r="K8" s="4">
        <f>Hotel!W13</f>
        <v>3240</v>
      </c>
      <c r="L8" s="4">
        <f>Hotel!X13</f>
        <v>4210</v>
      </c>
      <c r="M8" s="4">
        <f>Hotel!Y13</f>
        <v>5900</v>
      </c>
      <c r="N8" s="4">
        <f>Hotel!Z13</f>
        <v>2510</v>
      </c>
      <c r="O8" s="4">
        <f>Hotel!AA13</f>
        <v>3040</v>
      </c>
      <c r="P8" s="4">
        <f>Hotel!AB13</f>
        <v>7580</v>
      </c>
      <c r="Q8" s="4">
        <f>Hotel!AC13</f>
        <v>12600</v>
      </c>
      <c r="R8" s="4">
        <f>Hotel!AU13</f>
        <v>0</v>
      </c>
      <c r="S8" s="4">
        <f>Hotel!BA13</f>
        <v>449.08499999999998</v>
      </c>
      <c r="T8" s="4">
        <f>Hotel!AX13</f>
        <v>129</v>
      </c>
      <c r="U8" s="4">
        <f>Hotel!B13</f>
        <v>149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Hotel!AU14</f>
        <v>0</v>
      </c>
      <c r="S9" s="4">
        <f>Hotel!BA14</f>
        <v>0</v>
      </c>
      <c r="T9" s="4" t="str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T1" zoomScale="93" zoomScaleNormal="93" workbookViewId="0">
      <selection activeCell="AT13" sqref="AT1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2" t="s">
        <v>44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Q4" s="104" t="s">
        <v>45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8" t="s">
        <v>46</v>
      </c>
      <c r="AF4" s="107" t="s">
        <v>47</v>
      </c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29" t="s">
        <v>48</v>
      </c>
      <c r="AT4" s="108" t="s">
        <v>49</v>
      </c>
      <c r="AU4" s="108" t="s">
        <v>50</v>
      </c>
      <c r="AW4" s="109" t="s">
        <v>51</v>
      </c>
      <c r="AX4" s="109" t="s">
        <v>52</v>
      </c>
      <c r="AY4" s="98" t="s">
        <v>53</v>
      </c>
      <c r="AZ4" s="99" t="s">
        <v>54</v>
      </c>
      <c r="BA4" s="99" t="s">
        <v>55</v>
      </c>
      <c r="BB4" s="101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8"/>
      <c r="AU5" s="108"/>
      <c r="AW5" s="109"/>
      <c r="AX5" s="109"/>
      <c r="AY5" s="98"/>
      <c r="AZ5" s="100"/>
      <c r="BA5" s="100"/>
      <c r="BB5" s="101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7">
        <v>70812</v>
      </c>
      <c r="AX8" s="89">
        <f t="shared" ref="AX8:AX39" si="17">(IF((AW8-AW7&lt;0),"0",AW8-AW7))</f>
        <v>137</v>
      </c>
      <c r="AY8" s="92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91">
        <v>8832090</v>
      </c>
      <c r="D9" s="91">
        <v>21237180</v>
      </c>
      <c r="E9" s="91">
        <v>4022470</v>
      </c>
      <c r="F9" s="91">
        <v>4495990</v>
      </c>
      <c r="G9" s="91">
        <v>13448230</v>
      </c>
      <c r="H9" s="91">
        <v>8044910</v>
      </c>
      <c r="I9" s="91">
        <v>6918250</v>
      </c>
      <c r="J9" s="91">
        <v>8695480</v>
      </c>
      <c r="K9" s="91">
        <v>12535420</v>
      </c>
      <c r="L9" s="91">
        <v>5469100</v>
      </c>
      <c r="M9" s="91">
        <v>9854570</v>
      </c>
      <c r="N9" s="91">
        <v>16604080</v>
      </c>
      <c r="O9" s="91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5">
        <v>70948</v>
      </c>
      <c r="AX9" s="96">
        <f t="shared" si="17"/>
        <v>136</v>
      </c>
      <c r="AY9" s="94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3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 x14ac:dyDescent="0.25">
      <c r="A12" s="23">
        <v>44991</v>
      </c>
      <c r="B12" s="40">
        <v>137</v>
      </c>
      <c r="C12" s="51">
        <v>8833720</v>
      </c>
      <c r="D12" s="51">
        <v>21242660</v>
      </c>
      <c r="E12" s="51">
        <v>4032260</v>
      </c>
      <c r="F12" s="51">
        <v>4498840</v>
      </c>
      <c r="G12" s="51">
        <v>13466040</v>
      </c>
      <c r="H12" s="51">
        <v>8057150</v>
      </c>
      <c r="I12" s="51">
        <v>6927110</v>
      </c>
      <c r="J12" s="51">
        <v>8707640</v>
      </c>
      <c r="K12" s="51">
        <v>12552880</v>
      </c>
      <c r="L12" s="51">
        <v>5476540</v>
      </c>
      <c r="M12" s="51">
        <v>9863880</v>
      </c>
      <c r="N12" s="51">
        <v>16625990</v>
      </c>
      <c r="O12" s="51">
        <v>23524030</v>
      </c>
      <c r="Q12" s="37">
        <f t="shared" si="21"/>
        <v>430</v>
      </c>
      <c r="R12" s="37">
        <f t="shared" si="22"/>
        <v>1770</v>
      </c>
      <c r="S12" s="37">
        <f t="shared" si="15"/>
        <v>3150</v>
      </c>
      <c r="T12" s="37">
        <f t="shared" ref="T12:W14" si="35">IF((F12-F11&lt;0), "0",F12-F11)</f>
        <v>920</v>
      </c>
      <c r="U12" s="37">
        <f t="shared" si="35"/>
        <v>5660</v>
      </c>
      <c r="V12" s="37">
        <f t="shared" si="35"/>
        <v>3910</v>
      </c>
      <c r="W12" s="37">
        <f t="shared" si="35"/>
        <v>3030</v>
      </c>
      <c r="X12" s="37">
        <f t="shared" si="27"/>
        <v>4040</v>
      </c>
      <c r="Y12" s="37">
        <f t="shared" si="28"/>
        <v>5440</v>
      </c>
      <c r="Z12" s="37">
        <f>IF((L12-L11&lt;0), "0",L12-L11)</f>
        <v>2320</v>
      </c>
      <c r="AA12" s="37">
        <f t="shared" si="30"/>
        <v>2940</v>
      </c>
      <c r="AB12" s="37">
        <f t="shared" si="31"/>
        <v>7100</v>
      </c>
      <c r="AC12" s="37">
        <f t="shared" si="32"/>
        <v>11580</v>
      </c>
      <c r="AD12" s="35">
        <f t="shared" si="33"/>
        <v>52290</v>
      </c>
      <c r="AF12" s="20">
        <f t="shared" si="1"/>
        <v>2.15</v>
      </c>
      <c r="AG12" s="20">
        <f t="shared" si="2"/>
        <v>8.85</v>
      </c>
      <c r="AH12" s="20">
        <f t="shared" si="3"/>
        <v>15.75</v>
      </c>
      <c r="AI12" s="20">
        <f t="shared" si="4"/>
        <v>4.6000000000000005</v>
      </c>
      <c r="AJ12" s="20">
        <f t="shared" si="5"/>
        <v>28.3</v>
      </c>
      <c r="AK12" s="20">
        <f t="shared" si="6"/>
        <v>19.55</v>
      </c>
      <c r="AL12" s="20">
        <f t="shared" si="7"/>
        <v>15.15</v>
      </c>
      <c r="AM12" s="20">
        <f t="shared" si="8"/>
        <v>20.2</v>
      </c>
      <c r="AN12" s="20">
        <f t="shared" si="9"/>
        <v>27.2</v>
      </c>
      <c r="AO12" s="20">
        <f t="shared" si="10"/>
        <v>11.6</v>
      </c>
      <c r="AP12" s="20">
        <f t="shared" si="11"/>
        <v>14.700000000000001</v>
      </c>
      <c r="AQ12" s="20">
        <f t="shared" si="12"/>
        <v>35.5</v>
      </c>
      <c r="AR12" s="20">
        <f t="shared" si="13"/>
        <v>57.9</v>
      </c>
      <c r="AS12" s="35">
        <f t="shared" si="34"/>
        <v>261.45</v>
      </c>
      <c r="AT12" s="63">
        <v>3.5</v>
      </c>
      <c r="AU12" s="65">
        <f t="shared" si="16"/>
        <v>623.4375</v>
      </c>
      <c r="AW12" s="61">
        <v>71345</v>
      </c>
      <c r="AX12" s="60">
        <f t="shared" si="17"/>
        <v>131</v>
      </c>
      <c r="AY12" s="54">
        <v>457795</v>
      </c>
      <c r="AZ12" s="37">
        <f t="shared" si="18"/>
        <v>155300</v>
      </c>
      <c r="BA12" s="37">
        <f t="shared" si="19"/>
        <v>423.96899999999999</v>
      </c>
      <c r="BB12" s="58">
        <f t="shared" si="20"/>
        <v>188.41182359999999</v>
      </c>
    </row>
    <row r="13" spans="1:54" x14ac:dyDescent="0.25">
      <c r="A13" s="23">
        <v>44992</v>
      </c>
      <c r="B13" s="40">
        <v>149</v>
      </c>
      <c r="C13" s="56">
        <v>8834280</v>
      </c>
      <c r="D13" s="56">
        <v>21244530</v>
      </c>
      <c r="E13" s="56">
        <v>4035800</v>
      </c>
      <c r="F13" s="56">
        <v>4499820</v>
      </c>
      <c r="G13" s="56">
        <v>13472180</v>
      </c>
      <c r="H13" s="56">
        <v>8061390</v>
      </c>
      <c r="I13" s="56">
        <v>6930350</v>
      </c>
      <c r="J13" s="56">
        <v>8711850</v>
      </c>
      <c r="K13" s="56">
        <v>12558780</v>
      </c>
      <c r="L13" s="56">
        <v>5479050</v>
      </c>
      <c r="M13" s="56">
        <v>9866920</v>
      </c>
      <c r="N13" s="56">
        <v>16633570</v>
      </c>
      <c r="O13" s="56">
        <v>23536630</v>
      </c>
      <c r="Q13" s="37">
        <f t="shared" si="21"/>
        <v>560</v>
      </c>
      <c r="R13" s="37">
        <f t="shared" si="22"/>
        <v>1870</v>
      </c>
      <c r="S13" s="37">
        <f t="shared" si="15"/>
        <v>3540</v>
      </c>
      <c r="T13" s="37">
        <f t="shared" si="35"/>
        <v>980</v>
      </c>
      <c r="U13" s="37">
        <f t="shared" si="35"/>
        <v>6140</v>
      </c>
      <c r="V13" s="37">
        <f t="shared" si="35"/>
        <v>4240</v>
      </c>
      <c r="W13" s="37">
        <f t="shared" si="35"/>
        <v>3240</v>
      </c>
      <c r="X13" s="37">
        <f t="shared" si="27"/>
        <v>4210</v>
      </c>
      <c r="Y13" s="37">
        <f t="shared" si="28"/>
        <v>5900</v>
      </c>
      <c r="Z13" s="37">
        <f>IF((L13-L12&lt;0), "0",L13-L12)</f>
        <v>2510</v>
      </c>
      <c r="AA13" s="37">
        <f t="shared" si="30"/>
        <v>3040</v>
      </c>
      <c r="AB13" s="37">
        <f t="shared" si="31"/>
        <v>7580</v>
      </c>
      <c r="AC13" s="37">
        <f t="shared" si="32"/>
        <v>12600</v>
      </c>
      <c r="AD13" s="35">
        <f t="shared" si="33"/>
        <v>56410</v>
      </c>
      <c r="AF13" s="20">
        <f t="shared" si="1"/>
        <v>2.8000000000000003</v>
      </c>
      <c r="AG13" s="20">
        <f t="shared" si="2"/>
        <v>9.35</v>
      </c>
      <c r="AH13" s="20">
        <f t="shared" si="3"/>
        <v>17.7</v>
      </c>
      <c r="AI13" s="20">
        <f t="shared" si="4"/>
        <v>4.9000000000000004</v>
      </c>
      <c r="AJ13" s="20">
        <f t="shared" si="5"/>
        <v>30.7</v>
      </c>
      <c r="AK13" s="20">
        <f t="shared" si="6"/>
        <v>21.2</v>
      </c>
      <c r="AL13" s="20">
        <f t="shared" si="7"/>
        <v>16.2</v>
      </c>
      <c r="AM13" s="20">
        <f t="shared" si="8"/>
        <v>21.05</v>
      </c>
      <c r="AN13" s="20">
        <f t="shared" si="9"/>
        <v>29.5</v>
      </c>
      <c r="AO13" s="20">
        <f t="shared" si="10"/>
        <v>12.55</v>
      </c>
      <c r="AP13" s="20">
        <f t="shared" si="11"/>
        <v>15.200000000000001</v>
      </c>
      <c r="AQ13" s="20">
        <f t="shared" si="12"/>
        <v>37.9</v>
      </c>
      <c r="AR13" s="20">
        <f t="shared" si="13"/>
        <v>63</v>
      </c>
      <c r="AS13" s="35">
        <f t="shared" si="34"/>
        <v>282.05</v>
      </c>
      <c r="AT13" s="63">
        <v>0</v>
      </c>
      <c r="AU13" s="65">
        <f t="shared" si="16"/>
        <v>0</v>
      </c>
      <c r="AW13" s="61">
        <v>71474</v>
      </c>
      <c r="AX13" s="60">
        <f t="shared" si="17"/>
        <v>129</v>
      </c>
      <c r="AY13" s="57">
        <v>459440</v>
      </c>
      <c r="AZ13" s="37">
        <f t="shared" si="18"/>
        <v>164500</v>
      </c>
      <c r="BA13" s="37">
        <f t="shared" si="19"/>
        <v>449.08499999999998</v>
      </c>
      <c r="BB13" s="58">
        <f t="shared" si="20"/>
        <v>199.573374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 t="str">
        <f t="shared" si="21"/>
        <v>0</v>
      </c>
      <c r="R14" s="37" t="str">
        <f t="shared" si="22"/>
        <v>0</v>
      </c>
      <c r="S14" s="37" t="str">
        <f t="shared" si="15"/>
        <v>0</v>
      </c>
      <c r="T14" s="37" t="str">
        <f t="shared" si="35"/>
        <v>0</v>
      </c>
      <c r="U14" s="37" t="str">
        <f t="shared" si="35"/>
        <v>0</v>
      </c>
      <c r="V14" s="37" t="str">
        <f t="shared" si="35"/>
        <v>0</v>
      </c>
      <c r="W14" s="37" t="str">
        <f t="shared" si="35"/>
        <v>0</v>
      </c>
      <c r="X14" s="37" t="str">
        <f t="shared" si="27"/>
        <v>0</v>
      </c>
      <c r="Y14" s="37" t="str">
        <f t="shared" si="28"/>
        <v>0</v>
      </c>
      <c r="Z14" s="37" t="str">
        <f>IF((L14-L13&lt;0), "0",L14-L13)</f>
        <v>0</v>
      </c>
      <c r="AA14" s="37" t="str">
        <f t="shared" si="30"/>
        <v>0</v>
      </c>
      <c r="AB14" s="37" t="str">
        <f t="shared" si="31"/>
        <v>0</v>
      </c>
      <c r="AC14" s="37" t="str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 t="str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3830</v>
      </c>
      <c r="R38" s="38">
        <f t="shared" ref="R38:AD38" si="60">SUM(R7:R37)</f>
        <v>12890</v>
      </c>
      <c r="S38" s="38">
        <f t="shared" si="60"/>
        <v>22830</v>
      </c>
      <c r="T38" s="38">
        <f t="shared" si="60"/>
        <v>6700</v>
      </c>
      <c r="U38" s="38">
        <f t="shared" si="60"/>
        <v>42110</v>
      </c>
      <c r="V38" s="38">
        <f t="shared" si="60"/>
        <v>29050</v>
      </c>
      <c r="W38" s="38">
        <f t="shared" si="60"/>
        <v>21610</v>
      </c>
      <c r="X38" s="38">
        <f t="shared" si="60"/>
        <v>28810</v>
      </c>
      <c r="Y38" s="38">
        <f t="shared" si="60"/>
        <v>40560</v>
      </c>
      <c r="Z38" s="38">
        <f t="shared" si="60"/>
        <v>17440</v>
      </c>
      <c r="AA38" s="38">
        <f t="shared" si="60"/>
        <v>21820</v>
      </c>
      <c r="AB38" s="38">
        <f t="shared" si="60"/>
        <v>51430</v>
      </c>
      <c r="AC38" s="38">
        <f t="shared" si="60"/>
        <v>88350</v>
      </c>
      <c r="AD38" s="38">
        <f t="shared" si="60"/>
        <v>387430</v>
      </c>
      <c r="AF38" s="35">
        <f>SUM(AF7:AF37)</f>
        <v>19.150000000000002</v>
      </c>
      <c r="AG38" s="35">
        <f t="shared" ref="AG38:AU38" si="61">SUM(AG7:AG37)</f>
        <v>64.45</v>
      </c>
      <c r="AH38" s="35">
        <f t="shared" si="61"/>
        <v>114.15</v>
      </c>
      <c r="AI38" s="35">
        <f t="shared" si="61"/>
        <v>33.5</v>
      </c>
      <c r="AJ38" s="35">
        <f t="shared" si="61"/>
        <v>210.55</v>
      </c>
      <c r="AK38" s="35">
        <f t="shared" si="61"/>
        <v>145.25</v>
      </c>
      <c r="AL38" s="35">
        <f t="shared" si="61"/>
        <v>108.05000000000001</v>
      </c>
      <c r="AM38" s="35">
        <f t="shared" si="61"/>
        <v>144.05000000000001</v>
      </c>
      <c r="AN38" s="35">
        <f t="shared" si="61"/>
        <v>202.79999999999998</v>
      </c>
      <c r="AO38" s="35">
        <f t="shared" si="61"/>
        <v>87.199999999999989</v>
      </c>
      <c r="AP38" s="35">
        <f t="shared" si="61"/>
        <v>109.10000000000001</v>
      </c>
      <c r="AQ38" s="35">
        <f t="shared" si="61"/>
        <v>257.14999999999998</v>
      </c>
      <c r="AR38" s="35">
        <f t="shared" si="61"/>
        <v>441.74999999999994</v>
      </c>
      <c r="AS38" s="35">
        <f t="shared" si="61"/>
        <v>1937.15</v>
      </c>
      <c r="AT38" s="63"/>
      <c r="AU38" s="66">
        <f t="shared" si="61"/>
        <v>1941.5625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2944.578</v>
      </c>
      <c r="BB38" s="58">
        <f t="shared" si="20"/>
        <v>1308.5704631999999</v>
      </c>
    </row>
    <row r="39" spans="1:54" x14ac:dyDescent="0.25">
      <c r="B39" s="39">
        <f>SUM(B7:B37)</f>
        <v>889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2023-03-08T09:29:11Z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