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suo.arai\Desktop\前のパソコン\DT\AA\Corporate\HEP\"/>
    </mc:Choice>
  </mc:AlternateContent>
  <xr:revisionPtr revIDLastSave="0" documentId="13_ncr:1_{92C4745B-7940-42EC-B03D-29BFA30BCFB3}" xr6:coauthVersionLast="36" xr6:coauthVersionMax="36" xr10:uidLastSave="{00000000-0000-0000-0000-000000000000}"/>
  <bookViews>
    <workbookView xWindow="-105" yWindow="-105" windowWidth="20715" windowHeight="13275" tabRatio="620" activeTab="1" xr2:uid="{00000000-000D-0000-FFFF-FFFF00000000}"/>
  </bookViews>
  <sheets>
    <sheet name="TOTAL" sheetId="117" r:id="rId1"/>
    <sheet name="Otemachi Daily" sheetId="119" r:id="rId2"/>
  </sheets>
  <calcPr calcId="191029"/>
</workbook>
</file>

<file path=xl/calcChain.xml><?xml version="1.0" encoding="utf-8"?>
<calcChain xmlns="http://schemas.openxmlformats.org/spreadsheetml/2006/main">
  <c r="S36" i="119" l="1"/>
  <c r="R6" i="119"/>
  <c r="R7" i="119"/>
  <c r="R8" i="119"/>
  <c r="R9" i="119"/>
  <c r="R10" i="119"/>
  <c r="R11" i="119"/>
  <c r="R12" i="119"/>
  <c r="R13" i="119"/>
  <c r="R14" i="119"/>
  <c r="R15" i="119"/>
  <c r="R16" i="119"/>
  <c r="R17" i="119"/>
  <c r="R18" i="119"/>
  <c r="R19" i="119"/>
  <c r="R20" i="119"/>
  <c r="R21" i="119"/>
  <c r="R22" i="119"/>
  <c r="R23" i="119"/>
  <c r="R24" i="119"/>
  <c r="R25" i="119"/>
  <c r="R26" i="119"/>
  <c r="R27" i="119"/>
  <c r="R28" i="119"/>
  <c r="R29" i="119"/>
  <c r="R30" i="119"/>
  <c r="R31" i="119"/>
  <c r="R32" i="119"/>
  <c r="R33" i="119"/>
  <c r="R34" i="119"/>
  <c r="R35" i="119"/>
  <c r="Q36" i="119"/>
  <c r="T35" i="119"/>
  <c r="T34" i="119"/>
  <c r="T33" i="119"/>
  <c r="T32" i="119"/>
  <c r="T31" i="119"/>
  <c r="T30" i="119"/>
  <c r="T29" i="119"/>
  <c r="T28" i="119"/>
  <c r="T27" i="119"/>
  <c r="T26" i="119"/>
  <c r="T25" i="119"/>
  <c r="T24" i="119"/>
  <c r="T23" i="119"/>
  <c r="T22" i="119"/>
  <c r="T21" i="119"/>
  <c r="T20" i="119"/>
  <c r="T19" i="119"/>
  <c r="T18" i="119"/>
  <c r="T17" i="119"/>
  <c r="T16" i="119"/>
  <c r="T15" i="119"/>
  <c r="T14" i="119"/>
  <c r="T13" i="119"/>
  <c r="T12" i="119"/>
  <c r="T11" i="119"/>
  <c r="T10" i="119"/>
  <c r="T9" i="119"/>
  <c r="T8" i="119"/>
  <c r="T7" i="119"/>
  <c r="T6" i="119"/>
  <c r="T5" i="119"/>
  <c r="R5" i="119"/>
  <c r="J6" i="119" l="1"/>
  <c r="K3" i="117" s="1"/>
  <c r="J7" i="119"/>
  <c r="K4" i="117" s="1"/>
  <c r="J8" i="119"/>
  <c r="K5" i="117" s="1"/>
  <c r="J9" i="119"/>
  <c r="K6" i="117" s="1"/>
  <c r="J10" i="119"/>
  <c r="K7" i="117" s="1"/>
  <c r="J11" i="119"/>
  <c r="K8" i="117" s="1"/>
  <c r="J12" i="119"/>
  <c r="K9" i="117" s="1"/>
  <c r="J13" i="119"/>
  <c r="K10" i="117" s="1"/>
  <c r="J14" i="119"/>
  <c r="K11" i="117" s="1"/>
  <c r="J15" i="119"/>
  <c r="K12" i="117" s="1"/>
  <c r="J16" i="119"/>
  <c r="K13" i="117" s="1"/>
  <c r="J17" i="119"/>
  <c r="K14" i="117" s="1"/>
  <c r="J18" i="119"/>
  <c r="K15" i="117" s="1"/>
  <c r="J19" i="119"/>
  <c r="K16" i="117" s="1"/>
  <c r="J20" i="119"/>
  <c r="K17" i="117" s="1"/>
  <c r="J21" i="119"/>
  <c r="K18" i="117" s="1"/>
  <c r="J22" i="119"/>
  <c r="K19" i="117" s="1"/>
  <c r="J23" i="119"/>
  <c r="K20" i="117" s="1"/>
  <c r="J24" i="119"/>
  <c r="K21" i="117" s="1"/>
  <c r="J25" i="119"/>
  <c r="K22" i="117" s="1"/>
  <c r="J26" i="119"/>
  <c r="K23" i="117" s="1"/>
  <c r="J27" i="119"/>
  <c r="K24" i="117" s="1"/>
  <c r="J28" i="119"/>
  <c r="K25" i="117" s="1"/>
  <c r="J29" i="119"/>
  <c r="K26" i="117" s="1"/>
  <c r="J30" i="119"/>
  <c r="K27" i="117" s="1"/>
  <c r="J31" i="119"/>
  <c r="K28" i="117" s="1"/>
  <c r="J32" i="119"/>
  <c r="K29" i="117" s="1"/>
  <c r="J33" i="119"/>
  <c r="K30" i="117" s="1"/>
  <c r="J34" i="119"/>
  <c r="K31" i="117" s="1"/>
  <c r="J35" i="119"/>
  <c r="K32" i="117" s="1"/>
  <c r="J5" i="119"/>
  <c r="K2" i="117" s="1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H5" i="119"/>
  <c r="I2" i="117" s="1"/>
  <c r="O32" i="117" l="1"/>
  <c r="P32" i="117"/>
  <c r="O3" i="117" l="1"/>
  <c r="P3" i="117"/>
  <c r="O4" i="117"/>
  <c r="P4" i="117"/>
  <c r="O5" i="117"/>
  <c r="P5" i="117"/>
  <c r="O6" i="117"/>
  <c r="P6" i="117"/>
  <c r="O7" i="117"/>
  <c r="P7" i="117"/>
  <c r="O8" i="117"/>
  <c r="P8" i="117"/>
  <c r="O9" i="117"/>
  <c r="P9" i="117"/>
  <c r="O10" i="117"/>
  <c r="P10" i="117"/>
  <c r="O11" i="117"/>
  <c r="P11" i="117"/>
  <c r="O12" i="117"/>
  <c r="P12" i="117"/>
  <c r="O13" i="117"/>
  <c r="P13" i="117"/>
  <c r="O14" i="117"/>
  <c r="P14" i="117"/>
  <c r="O15" i="117"/>
  <c r="P15" i="117"/>
  <c r="O16" i="117"/>
  <c r="P16" i="117"/>
  <c r="O17" i="117"/>
  <c r="P17" i="117"/>
  <c r="O18" i="117"/>
  <c r="P18" i="117"/>
  <c r="O19" i="117"/>
  <c r="P19" i="117"/>
  <c r="O20" i="117"/>
  <c r="P20" i="117"/>
  <c r="O21" i="117"/>
  <c r="P21" i="117"/>
  <c r="O22" i="117"/>
  <c r="P22" i="117"/>
  <c r="O23" i="117"/>
  <c r="P23" i="117"/>
  <c r="O24" i="117"/>
  <c r="P24" i="117"/>
  <c r="O25" i="117"/>
  <c r="P25" i="117"/>
  <c r="O26" i="117"/>
  <c r="P26" i="117"/>
  <c r="O27" i="117"/>
  <c r="P27" i="117"/>
  <c r="O28" i="117"/>
  <c r="P28" i="117"/>
  <c r="O29" i="117"/>
  <c r="P29" i="117"/>
  <c r="O30" i="117"/>
  <c r="P30" i="117"/>
  <c r="O31" i="117"/>
  <c r="P31" i="117"/>
  <c r="P2" i="117"/>
  <c r="O2" i="117"/>
  <c r="L35" i="119"/>
  <c r="M32" i="117" s="1"/>
  <c r="F35" i="119"/>
  <c r="G32" i="117" s="1"/>
  <c r="D35" i="119"/>
  <c r="E32" i="117" s="1"/>
  <c r="L34" i="119"/>
  <c r="M31" i="117" s="1"/>
  <c r="F34" i="119"/>
  <c r="G31" i="117" s="1"/>
  <c r="D34" i="119"/>
  <c r="E31" i="117" s="1"/>
  <c r="L33" i="119"/>
  <c r="M30" i="117" s="1"/>
  <c r="F33" i="119"/>
  <c r="G30" i="117" s="1"/>
  <c r="D33" i="119"/>
  <c r="E30" i="117" s="1"/>
  <c r="L32" i="119"/>
  <c r="M29" i="117" s="1"/>
  <c r="F32" i="119"/>
  <c r="G29" i="117" s="1"/>
  <c r="D32" i="119"/>
  <c r="E29" i="117" s="1"/>
  <c r="L31" i="119"/>
  <c r="M28" i="117" s="1"/>
  <c r="F31" i="119"/>
  <c r="G28" i="117" s="1"/>
  <c r="D31" i="119"/>
  <c r="E28" i="117" s="1"/>
  <c r="L30" i="119"/>
  <c r="M27" i="117" s="1"/>
  <c r="F30" i="119"/>
  <c r="G27" i="117" s="1"/>
  <c r="D30" i="119"/>
  <c r="E27" i="117" s="1"/>
  <c r="L29" i="119"/>
  <c r="M26" i="117" s="1"/>
  <c r="F29" i="119"/>
  <c r="G26" i="117" s="1"/>
  <c r="D29" i="119"/>
  <c r="E26" i="117" s="1"/>
  <c r="L28" i="119"/>
  <c r="M25" i="117" s="1"/>
  <c r="F28" i="119"/>
  <c r="G25" i="117" s="1"/>
  <c r="D28" i="119"/>
  <c r="E25" i="117" s="1"/>
  <c r="L27" i="119"/>
  <c r="M24" i="117" s="1"/>
  <c r="F27" i="119"/>
  <c r="G24" i="117" s="1"/>
  <c r="D27" i="119"/>
  <c r="E24" i="117" s="1"/>
  <c r="L26" i="119"/>
  <c r="M23" i="117" s="1"/>
  <c r="F26" i="119"/>
  <c r="G23" i="117" s="1"/>
  <c r="D26" i="119"/>
  <c r="E23" i="117" s="1"/>
  <c r="L25" i="119"/>
  <c r="M22" i="117" s="1"/>
  <c r="F25" i="119"/>
  <c r="G22" i="117" s="1"/>
  <c r="D25" i="119"/>
  <c r="E22" i="117" s="1"/>
  <c r="L24" i="119"/>
  <c r="M21" i="117" s="1"/>
  <c r="F24" i="119"/>
  <c r="G21" i="117" s="1"/>
  <c r="D24" i="119"/>
  <c r="E21" i="117" s="1"/>
  <c r="L23" i="119"/>
  <c r="M20" i="117" s="1"/>
  <c r="F23" i="119"/>
  <c r="G20" i="117" s="1"/>
  <c r="D23" i="119"/>
  <c r="E20" i="117" s="1"/>
  <c r="L22" i="119"/>
  <c r="M19" i="117" s="1"/>
  <c r="F22" i="119"/>
  <c r="G19" i="117" s="1"/>
  <c r="D22" i="119"/>
  <c r="E19" i="117" s="1"/>
  <c r="L21" i="119"/>
  <c r="M18" i="117" s="1"/>
  <c r="F21" i="119"/>
  <c r="G18" i="117" s="1"/>
  <c r="D21" i="119"/>
  <c r="E18" i="117" s="1"/>
  <c r="L20" i="119"/>
  <c r="M17" i="117" s="1"/>
  <c r="F20" i="119"/>
  <c r="G17" i="117" s="1"/>
  <c r="D20" i="119"/>
  <c r="E17" i="117" s="1"/>
  <c r="L19" i="119"/>
  <c r="M16" i="117" s="1"/>
  <c r="F19" i="119"/>
  <c r="G16" i="117" s="1"/>
  <c r="D19" i="119"/>
  <c r="E16" i="117" s="1"/>
  <c r="L18" i="119"/>
  <c r="M15" i="117" s="1"/>
  <c r="F18" i="119"/>
  <c r="G15" i="117" s="1"/>
  <c r="D18" i="119"/>
  <c r="E15" i="117" s="1"/>
  <c r="L17" i="119"/>
  <c r="M14" i="117" s="1"/>
  <c r="F17" i="119"/>
  <c r="G14" i="117" s="1"/>
  <c r="D17" i="119"/>
  <c r="E14" i="117" s="1"/>
  <c r="L16" i="119"/>
  <c r="M13" i="117" s="1"/>
  <c r="F16" i="119"/>
  <c r="G13" i="117" s="1"/>
  <c r="D16" i="119"/>
  <c r="E13" i="117" s="1"/>
  <c r="L15" i="119"/>
  <c r="M12" i="117" s="1"/>
  <c r="F15" i="119"/>
  <c r="G12" i="117" s="1"/>
  <c r="D15" i="119"/>
  <c r="E12" i="117" s="1"/>
  <c r="L14" i="119"/>
  <c r="M11" i="117" s="1"/>
  <c r="F14" i="119"/>
  <c r="G11" i="117" s="1"/>
  <c r="D14" i="119"/>
  <c r="E11" i="117" s="1"/>
  <c r="L13" i="119"/>
  <c r="M10" i="117" s="1"/>
  <c r="F13" i="119"/>
  <c r="G10" i="117" s="1"/>
  <c r="D13" i="119"/>
  <c r="E10" i="117" s="1"/>
  <c r="L12" i="119"/>
  <c r="M9" i="117" s="1"/>
  <c r="F12" i="119"/>
  <c r="G9" i="117" s="1"/>
  <c r="D12" i="119"/>
  <c r="E9" i="117" s="1"/>
  <c r="L11" i="119"/>
  <c r="M8" i="117" s="1"/>
  <c r="F11" i="119"/>
  <c r="G8" i="117" s="1"/>
  <c r="D11" i="119"/>
  <c r="E8" i="117" s="1"/>
  <c r="L10" i="119"/>
  <c r="M7" i="117" s="1"/>
  <c r="F10" i="119"/>
  <c r="G7" i="117" s="1"/>
  <c r="D10" i="119"/>
  <c r="E7" i="117" s="1"/>
  <c r="L9" i="119"/>
  <c r="M6" i="117" s="1"/>
  <c r="F9" i="119"/>
  <c r="G6" i="117" s="1"/>
  <c r="D9" i="119"/>
  <c r="E6" i="117" s="1"/>
  <c r="L8" i="119"/>
  <c r="M5" i="117" s="1"/>
  <c r="F8" i="119"/>
  <c r="G5" i="117" s="1"/>
  <c r="D8" i="119"/>
  <c r="E5" i="117" s="1"/>
  <c r="L7" i="119"/>
  <c r="M4" i="117" s="1"/>
  <c r="F7" i="119"/>
  <c r="G4" i="117" s="1"/>
  <c r="D7" i="119"/>
  <c r="E4" i="117" s="1"/>
  <c r="L6" i="119"/>
  <c r="M3" i="117" s="1"/>
  <c r="F6" i="119"/>
  <c r="G3" i="117" s="1"/>
  <c r="D6" i="119"/>
  <c r="E3" i="117" s="1"/>
  <c r="L5" i="119"/>
  <c r="M2" i="117" s="1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<sst xmlns="http://schemas.openxmlformats.org/spreadsheetml/2006/main" count="72" uniqueCount="34">
  <si>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</si>
  <si>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</si>
  <si>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</si>
  <si>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</si>
  <si>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</si>
  <si>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</si>
  <si>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</si>
  <si>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</si>
  <si>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</si>
  <si>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</si>
  <si>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</si>
  <si>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</si>
  <si>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</si>
  <si>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</si>
  <si>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</si>
  <si>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</si>
  <si>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</si>
  <si>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</si>
  <si>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</si>
  <si>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</si>
  <si>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</si>
  <si>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</si>
  <si>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</si>
  <si>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</si>
  <si>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</si>
  <si>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Gas m3</t>
  </si>
  <si>
    <t>Natural Gas (m3)</t>
  </si>
  <si>
    <t>Natural Gas $/m3</t>
  </si>
  <si>
    <t>Tokyo at Otemachi</t>
  </si>
  <si>
    <t>District Heating (KWh)</t>
  </si>
  <si>
    <t>District Energy Heating Kwh</t>
  </si>
  <si>
    <t>District Energy Heating $/Kwh</t>
  </si>
  <si>
    <t>MJ</t>
    <phoneticPr fontId="15"/>
  </si>
  <si>
    <t>KWH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</si>
</sst>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76" formatCode="_-* #,##0.00_-;\-* #,##0.00_-;_-* &quot;-&quot;??_-;_-@_-"/>
  </numFmts>
  <fonts count="17" x14ac:knownFonts="1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40" fontId="16" fillId="0" borderId="0" applyFont="0" applyFill="0" applyBorder="0" applyAlignment="0" applyProtection="0">
      <alignment vertical="center"/>
    </xf>
  </cellStyleXfs>
  <cellXfs count="51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0" fillId="0" borderId="1" xfId="14" applyNumberFormat="1" applyFont="1" applyBorder="1" applyAlignment="1">
      <alignment horizontal="center"/>
    </xf>
    <xf numFmtId="0" fontId="8" fillId="0" borderId="0" xfId="11" applyFont="1" applyAlignment="1">
      <alignment horizontal="center" vertical="center"/>
    </xf>
    <xf numFmtId="38" fontId="1" fillId="0" borderId="0" xfId="14" applyNumberFormat="1" applyFont="1" applyAlignment="1"/>
    <xf numFmtId="0" fontId="1" fillId="0" borderId="1" xfId="11" applyFont="1" applyBorder="1" applyAlignment="1">
      <alignment horizontal="center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桁区切り [0.00]" xfId="14" builtinId="3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/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26</v>
      </c>
      <c r="H1" s="4" t="s">
        <v>27</v>
      </c>
      <c r="I1" s="35" t="s">
        <v>23</v>
      </c>
      <c r="J1" s="36" t="s">
        <v>24</v>
      </c>
      <c r="K1" s="35" t="s">
        <v>30</v>
      </c>
      <c r="L1" s="36" t="s">
        <v>31</v>
      </c>
      <c r="M1" s="3" t="s">
        <v>7</v>
      </c>
      <c r="N1" s="5" t="s">
        <v>8</v>
      </c>
      <c r="O1" s="3" t="s">
        <v>9</v>
      </c>
      <c r="P1" s="3" t="s">
        <v>0</v>
      </c>
    </row>
    <row r="2" spans="1:16" ht="15" x14ac:dyDescent="0.25">
      <c r="A2" s="6" t="s">
        <v>28</v>
      </c>
      <c r="B2" s="7">
        <v>1</v>
      </c>
      <c r="C2" s="8">
        <v>12</v>
      </c>
      <c r="D2" s="7">
        <v>2020</v>
      </c>
      <c r="E2" s="38" t="str">
        <f>'Otemachi Daily'!D5</f>
        <v>0</v>
      </c>
      <c r="F2" s="37">
        <v>22.62</v>
      </c>
      <c r="G2" s="9">
        <f>'Otemachi Daily'!F5</f>
        <v>3</v>
      </c>
      <c r="H2" s="37">
        <v>90.7</v>
      </c>
      <c r="I2" s="9">
        <f>'Otemachi Daily'!H5</f>
        <v>1304</v>
      </c>
      <c r="J2" s="37">
        <v>10.79</v>
      </c>
      <c r="K2" s="9" t="str">
        <f>'Otemachi Daily'!J5</f>
        <v>0</v>
      </c>
      <c r="L2" s="37">
        <v>7.22</v>
      </c>
      <c r="M2" s="9">
        <f>'Otemachi Daily'!L5</f>
        <v>12</v>
      </c>
      <c r="N2" s="37">
        <v>741</v>
      </c>
      <c r="O2" s="9">
        <f>'Otemachi Daily'!M5</f>
        <v>45</v>
      </c>
      <c r="P2" s="9">
        <f>'Otemachi Daily'!N5</f>
        <v>94</v>
      </c>
    </row>
    <row r="3" spans="1:16" ht="15" x14ac:dyDescent="0.25">
      <c r="A3" s="6" t="s">
        <v>28</v>
      </c>
      <c r="B3" s="7">
        <f>B2+1</f>
        <v>2</v>
      </c>
      <c r="C3" s="8">
        <v>12</v>
      </c>
      <c r="D3" s="7">
        <v>2020</v>
      </c>
      <c r="E3" s="38" t="str">
        <f>'Otemachi Daily'!D6</f>
        <v>0</v>
      </c>
      <c r="F3" s="37">
        <v>22.62</v>
      </c>
      <c r="G3" s="9" t="str">
        <f>'Otemachi Daily'!F6</f>
        <v>0</v>
      </c>
      <c r="H3" s="37">
        <v>90.7</v>
      </c>
      <c r="I3" s="9" t="str">
        <f>'Otemachi Daily'!H6</f>
        <v>0</v>
      </c>
      <c r="J3" s="37">
        <v>10.79</v>
      </c>
      <c r="K3" s="9">
        <f>'Otemachi Daily'!J6</f>
        <v>5419</v>
      </c>
      <c r="L3" s="37">
        <v>7.22</v>
      </c>
      <c r="M3" s="9">
        <f>'Otemachi Daily'!L6</f>
        <v>0</v>
      </c>
      <c r="N3" s="37">
        <v>741</v>
      </c>
      <c r="O3" s="9">
        <f>'Otemachi Daily'!M6</f>
        <v>41</v>
      </c>
      <c r="P3" s="9">
        <f>'Otemachi Daily'!N6</f>
        <v>80</v>
      </c>
    </row>
    <row r="4" spans="1:16" ht="15" x14ac:dyDescent="0.25">
      <c r="A4" s="6" t="s">
        <v>28</v>
      </c>
      <c r="B4" s="7">
        <f t="shared" ref="B4:B32" si="0">B3+1</f>
        <v>3</v>
      </c>
      <c r="C4" s="8">
        <v>12</v>
      </c>
      <c r="D4" s="7">
        <v>2020</v>
      </c>
      <c r="E4" s="38" t="str">
        <f>'Otemachi Daily'!D7</f>
        <v>0</v>
      </c>
      <c r="F4" s="37">
        <v>22.62</v>
      </c>
      <c r="G4" s="9">
        <f>'Otemachi Daily'!F7</f>
        <v>10</v>
      </c>
      <c r="H4" s="37">
        <v>90.7</v>
      </c>
      <c r="I4" s="9" t="str">
        <f>'Otemachi Daily'!H7</f>
        <v>0</v>
      </c>
      <c r="J4" s="37">
        <v>10.79</v>
      </c>
      <c r="K4" s="9">
        <f>'Otemachi Daily'!J7</f>
        <v>6872</v>
      </c>
      <c r="L4" s="37">
        <v>7.22</v>
      </c>
      <c r="M4" s="9" t="str">
        <f>'Otemachi Daily'!L7</f>
        <v>0</v>
      </c>
      <c r="N4" s="37">
        <v>741</v>
      </c>
      <c r="O4" s="9">
        <f>'Otemachi Daily'!M7</f>
        <v>31</v>
      </c>
      <c r="P4" s="9">
        <f>'Otemachi Daily'!N7</f>
        <v>55</v>
      </c>
    </row>
    <row r="5" spans="1:16" ht="15" x14ac:dyDescent="0.25">
      <c r="A5" s="6" t="s">
        <v>28</v>
      </c>
      <c r="B5" s="7">
        <f t="shared" si="0"/>
        <v>4</v>
      </c>
      <c r="C5" s="8">
        <v>12</v>
      </c>
      <c r="D5" s="7">
        <v>2020</v>
      </c>
      <c r="E5" s="38">
        <f>'Otemachi Daily'!D8</f>
        <v>15</v>
      </c>
      <c r="F5" s="37">
        <v>22.62</v>
      </c>
      <c r="G5" s="9">
        <f>'Otemachi Daily'!F8</f>
        <v>1</v>
      </c>
      <c r="H5" s="37">
        <v>90.7</v>
      </c>
      <c r="I5" s="9">
        <f>'Otemachi Daily'!H8</f>
        <v>1189</v>
      </c>
      <c r="J5" s="37">
        <v>10.79</v>
      </c>
      <c r="K5" s="9">
        <f>'Otemachi Daily'!J8</f>
        <v>1379</v>
      </c>
      <c r="L5" s="37">
        <v>7.22</v>
      </c>
      <c r="M5" s="9">
        <f>'Otemachi Daily'!L8</f>
        <v>23</v>
      </c>
      <c r="N5" s="37">
        <v>741</v>
      </c>
      <c r="O5" s="9">
        <f>'Otemachi Daily'!M8</f>
        <v>39</v>
      </c>
      <c r="P5" s="9">
        <f>'Otemachi Daily'!N8</f>
        <v>85</v>
      </c>
    </row>
    <row r="6" spans="1:16" ht="15" x14ac:dyDescent="0.25">
      <c r="A6" s="6" t="s">
        <v>28</v>
      </c>
      <c r="B6" s="7">
        <f t="shared" si="0"/>
        <v>5</v>
      </c>
      <c r="C6" s="8">
        <v>12</v>
      </c>
      <c r="D6" s="7">
        <v>2020</v>
      </c>
      <c r="E6" s="38" t="str">
        <f>'Otemachi Daily'!D9</f>
        <v>0</v>
      </c>
      <c r="F6" s="37">
        <v>22.62</v>
      </c>
      <c r="G6" s="9" t="str">
        <f>'Otemachi Daily'!F9</f>
        <v>0</v>
      </c>
      <c r="H6" s="37">
        <v>90.7</v>
      </c>
      <c r="I6" s="9" t="str">
        <f>'Otemachi Daily'!H9</f>
        <v>0</v>
      </c>
      <c r="J6" s="37">
        <v>10.79</v>
      </c>
      <c r="K6" s="9" t="str">
        <f>'Otemachi Daily'!J9</f>
        <v>0</v>
      </c>
      <c r="L6" s="37">
        <v>7.22</v>
      </c>
      <c r="M6" s="9" t="str">
        <f>'Otemachi Daily'!L9</f>
        <v>0</v>
      </c>
      <c r="N6" s="37">
        <v>741</v>
      </c>
      <c r="O6" s="9">
        <f>'Otemachi Daily'!M9</f>
        <v>0</v>
      </c>
      <c r="P6" s="9">
        <f>'Otemachi Daily'!N9</f>
        <v>0</v>
      </c>
    </row>
    <row r="7" spans="1:16" ht="15" x14ac:dyDescent="0.25">
      <c r="A7" s="6" t="s">
        <v>28</v>
      </c>
      <c r="B7" s="7">
        <f t="shared" si="0"/>
        <v>6</v>
      </c>
      <c r="C7" s="8">
        <v>12</v>
      </c>
      <c r="D7" s="7">
        <v>2020</v>
      </c>
      <c r="E7" s="38">
        <f>'Otemachi Daily'!D10</f>
        <v>0</v>
      </c>
      <c r="F7" s="37">
        <v>22.62</v>
      </c>
      <c r="G7" s="9">
        <f>'Otemachi Daily'!F10</f>
        <v>0</v>
      </c>
      <c r="H7" s="37">
        <v>90.7</v>
      </c>
      <c r="I7" s="9">
        <f>'Otemachi Daily'!H10</f>
        <v>0</v>
      </c>
      <c r="J7" s="37">
        <v>10.79</v>
      </c>
      <c r="K7" s="9">
        <f>'Otemachi Daily'!J10</f>
        <v>0</v>
      </c>
      <c r="L7" s="37">
        <v>7.22</v>
      </c>
      <c r="M7" s="9">
        <f>'Otemachi Daily'!L10</f>
        <v>0</v>
      </c>
      <c r="N7" s="37">
        <v>741</v>
      </c>
      <c r="O7" s="9">
        <f>'Otemachi Daily'!M10</f>
        <v>0</v>
      </c>
      <c r="P7" s="9">
        <f>'Otemachi Daily'!N10</f>
        <v>0</v>
      </c>
    </row>
    <row r="8" spans="1:16" ht="15" x14ac:dyDescent="0.25">
      <c r="A8" s="6" t="s">
        <v>28</v>
      </c>
      <c r="B8" s="7">
        <f t="shared" si="0"/>
        <v>7</v>
      </c>
      <c r="C8" s="8">
        <v>12</v>
      </c>
      <c r="D8" s="7">
        <v>2020</v>
      </c>
      <c r="E8" s="38">
        <f>'Otemachi Daily'!D11</f>
        <v>0</v>
      </c>
      <c r="F8" s="37">
        <v>22.62</v>
      </c>
      <c r="G8" s="9">
        <f>'Otemachi Daily'!F11</f>
        <v>0</v>
      </c>
      <c r="H8" s="37">
        <v>90.7</v>
      </c>
      <c r="I8" s="9">
        <f>'Otemachi Daily'!H11</f>
        <v>0</v>
      </c>
      <c r="J8" s="37">
        <v>10.79</v>
      </c>
      <c r="K8" s="9">
        <f>'Otemachi Daily'!J11</f>
        <v>0</v>
      </c>
      <c r="L8" s="37">
        <v>7.22</v>
      </c>
      <c r="M8" s="9">
        <f>'Otemachi Daily'!L11</f>
        <v>0</v>
      </c>
      <c r="N8" s="37">
        <v>741</v>
      </c>
      <c r="O8" s="9">
        <f>'Otemachi Daily'!M11</f>
        <v>0</v>
      </c>
      <c r="P8" s="9">
        <f>'Otemachi Daily'!N11</f>
        <v>0</v>
      </c>
    </row>
    <row r="9" spans="1:16" ht="15" x14ac:dyDescent="0.25">
      <c r="A9" s="6" t="s">
        <v>28</v>
      </c>
      <c r="B9" s="7">
        <f t="shared" si="0"/>
        <v>8</v>
      </c>
      <c r="C9" s="8">
        <v>12</v>
      </c>
      <c r="D9" s="7">
        <v>2020</v>
      </c>
      <c r="E9" s="38">
        <f>'Otemachi Daily'!D12</f>
        <v>0</v>
      </c>
      <c r="F9" s="37">
        <v>22.62</v>
      </c>
      <c r="G9" s="9">
        <f>'Otemachi Daily'!F12</f>
        <v>0</v>
      </c>
      <c r="H9" s="37">
        <v>90.7</v>
      </c>
      <c r="I9" s="9">
        <f>'Otemachi Daily'!H12</f>
        <v>0</v>
      </c>
      <c r="J9" s="37">
        <v>10.79</v>
      </c>
      <c r="K9" s="9">
        <f>'Otemachi Daily'!J12</f>
        <v>0</v>
      </c>
      <c r="L9" s="37">
        <v>7.22</v>
      </c>
      <c r="M9" s="9">
        <f>'Otemachi Daily'!L12</f>
        <v>0</v>
      </c>
      <c r="N9" s="37">
        <v>741</v>
      </c>
      <c r="O9" s="9">
        <f>'Otemachi Daily'!M12</f>
        <v>0</v>
      </c>
      <c r="P9" s="9">
        <f>'Otemachi Daily'!N12</f>
        <v>0</v>
      </c>
    </row>
    <row r="10" spans="1:16" ht="15" x14ac:dyDescent="0.25">
      <c r="A10" s="6" t="s">
        <v>28</v>
      </c>
      <c r="B10" s="7">
        <f t="shared" si="0"/>
        <v>9</v>
      </c>
      <c r="C10" s="8">
        <v>12</v>
      </c>
      <c r="D10" s="7">
        <v>2020</v>
      </c>
      <c r="E10" s="38">
        <f>'Otemachi Daily'!D13</f>
        <v>0</v>
      </c>
      <c r="F10" s="37">
        <v>22.62</v>
      </c>
      <c r="G10" s="9">
        <f>'Otemachi Daily'!F13</f>
        <v>0</v>
      </c>
      <c r="H10" s="37">
        <v>90.7</v>
      </c>
      <c r="I10" s="9">
        <f>'Otemachi Daily'!H13</f>
        <v>0</v>
      </c>
      <c r="J10" s="37">
        <v>10.79</v>
      </c>
      <c r="K10" s="9">
        <f>'Otemachi Daily'!J13</f>
        <v>0</v>
      </c>
      <c r="L10" s="37">
        <v>7.22</v>
      </c>
      <c r="M10" s="9">
        <f>'Otemachi Daily'!L13</f>
        <v>0</v>
      </c>
      <c r="N10" s="37">
        <v>741</v>
      </c>
      <c r="O10" s="9">
        <f>'Otemachi Daily'!M13</f>
        <v>0</v>
      </c>
      <c r="P10" s="9">
        <f>'Otemachi Daily'!N13</f>
        <v>0</v>
      </c>
    </row>
    <row r="11" spans="1:16" ht="15" x14ac:dyDescent="0.25">
      <c r="A11" s="6" t="s">
        <v>28</v>
      </c>
      <c r="B11" s="7">
        <f t="shared" si="0"/>
        <v>10</v>
      </c>
      <c r="C11" s="8">
        <v>12</v>
      </c>
      <c r="D11" s="7">
        <v>2020</v>
      </c>
      <c r="E11" s="38">
        <f>'Otemachi Daily'!D14</f>
        <v>0</v>
      </c>
      <c r="F11" s="37">
        <v>22.62</v>
      </c>
      <c r="G11" s="9">
        <f>'Otemachi Daily'!F14</f>
        <v>0</v>
      </c>
      <c r="H11" s="37">
        <v>90.7</v>
      </c>
      <c r="I11" s="9">
        <f>'Otemachi Daily'!H14</f>
        <v>0</v>
      </c>
      <c r="J11" s="37">
        <v>10.79</v>
      </c>
      <c r="K11" s="9">
        <f>'Otemachi Daily'!J14</f>
        <v>0</v>
      </c>
      <c r="L11" s="37">
        <v>7.22</v>
      </c>
      <c r="M11" s="9">
        <f>'Otemachi Daily'!L14</f>
        <v>0</v>
      </c>
      <c r="N11" s="37">
        <v>741</v>
      </c>
      <c r="O11" s="9">
        <f>'Otemachi Daily'!M14</f>
        <v>0</v>
      </c>
      <c r="P11" s="9">
        <f>'Otemachi Daily'!N14</f>
        <v>0</v>
      </c>
    </row>
    <row r="12" spans="1:16" ht="15" x14ac:dyDescent="0.25">
      <c r="A12" s="6" t="s">
        <v>28</v>
      </c>
      <c r="B12" s="7">
        <f t="shared" si="0"/>
        <v>11</v>
      </c>
      <c r="C12" s="8">
        <v>12</v>
      </c>
      <c r="D12" s="7">
        <v>2020</v>
      </c>
      <c r="E12" s="38">
        <f>'Otemachi Daily'!D15</f>
        <v>0</v>
      </c>
      <c r="F12" s="37">
        <v>22.62</v>
      </c>
      <c r="G12" s="9">
        <f>'Otemachi Daily'!F15</f>
        <v>0</v>
      </c>
      <c r="H12" s="37">
        <v>90.7</v>
      </c>
      <c r="I12" s="9">
        <f>'Otemachi Daily'!H15</f>
        <v>0</v>
      </c>
      <c r="J12" s="37">
        <v>10.79</v>
      </c>
      <c r="K12" s="9">
        <f>'Otemachi Daily'!J15</f>
        <v>0</v>
      </c>
      <c r="L12" s="37">
        <v>7.22</v>
      </c>
      <c r="M12" s="9">
        <f>'Otemachi Daily'!L15</f>
        <v>0</v>
      </c>
      <c r="N12" s="37">
        <v>741</v>
      </c>
      <c r="O12" s="9">
        <f>'Otemachi Daily'!M15</f>
        <v>0</v>
      </c>
      <c r="P12" s="9">
        <f>'Otemachi Daily'!N15</f>
        <v>0</v>
      </c>
    </row>
    <row r="13" spans="1:16" ht="15" x14ac:dyDescent="0.25">
      <c r="A13" s="6" t="s">
        <v>28</v>
      </c>
      <c r="B13" s="7">
        <f t="shared" si="0"/>
        <v>12</v>
      </c>
      <c r="C13" s="8">
        <v>12</v>
      </c>
      <c r="D13" s="7">
        <v>2020</v>
      </c>
      <c r="E13" s="38">
        <f>'Otemachi Daily'!D16</f>
        <v>0</v>
      </c>
      <c r="F13" s="37">
        <v>22.62</v>
      </c>
      <c r="G13" s="9">
        <f>'Otemachi Daily'!F16</f>
        <v>0</v>
      </c>
      <c r="H13" s="37">
        <v>90.7</v>
      </c>
      <c r="I13" s="9">
        <f>'Otemachi Daily'!H16</f>
        <v>0</v>
      </c>
      <c r="J13" s="37">
        <v>10.79</v>
      </c>
      <c r="K13" s="9">
        <f>'Otemachi Daily'!J16</f>
        <v>0</v>
      </c>
      <c r="L13" s="37">
        <v>7.22</v>
      </c>
      <c r="M13" s="9">
        <f>'Otemachi Daily'!L16</f>
        <v>0</v>
      </c>
      <c r="N13" s="37">
        <v>741</v>
      </c>
      <c r="O13" s="9">
        <f>'Otemachi Daily'!M16</f>
        <v>0</v>
      </c>
      <c r="P13" s="9">
        <f>'Otemachi Daily'!N16</f>
        <v>0</v>
      </c>
    </row>
    <row r="14" spans="1:16" ht="15" x14ac:dyDescent="0.25">
      <c r="A14" s="6" t="s">
        <v>28</v>
      </c>
      <c r="B14" s="7">
        <f t="shared" si="0"/>
        <v>13</v>
      </c>
      <c r="C14" s="8">
        <v>12</v>
      </c>
      <c r="D14" s="7">
        <v>2020</v>
      </c>
      <c r="E14" s="38">
        <f>'Otemachi Daily'!D17</f>
        <v>0</v>
      </c>
      <c r="F14" s="37">
        <v>22.62</v>
      </c>
      <c r="G14" s="9">
        <f>'Otemachi Daily'!F17</f>
        <v>0</v>
      </c>
      <c r="H14" s="37">
        <v>90.7</v>
      </c>
      <c r="I14" s="9">
        <f>'Otemachi Daily'!H17</f>
        <v>0</v>
      </c>
      <c r="J14" s="37">
        <v>10.79</v>
      </c>
      <c r="K14" s="9">
        <f>'Otemachi Daily'!J17</f>
        <v>0</v>
      </c>
      <c r="L14" s="37">
        <v>7.22</v>
      </c>
      <c r="M14" s="9">
        <f>'Otemachi Daily'!L17</f>
        <v>0</v>
      </c>
      <c r="N14" s="37">
        <v>741</v>
      </c>
      <c r="O14" s="9">
        <f>'Otemachi Daily'!M17</f>
        <v>0</v>
      </c>
      <c r="P14" s="9">
        <f>'Otemachi Daily'!N17</f>
        <v>0</v>
      </c>
    </row>
    <row r="15" spans="1:16" ht="15" x14ac:dyDescent="0.25">
      <c r="A15" s="6" t="s">
        <v>28</v>
      </c>
      <c r="B15" s="7">
        <f t="shared" si="0"/>
        <v>14</v>
      </c>
      <c r="C15" s="8">
        <v>12</v>
      </c>
      <c r="D15" s="7">
        <v>2020</v>
      </c>
      <c r="E15" s="38">
        <f>'Otemachi Daily'!D18</f>
        <v>0</v>
      </c>
      <c r="F15" s="37">
        <v>22.62</v>
      </c>
      <c r="G15" s="9">
        <f>'Otemachi Daily'!F18</f>
        <v>0</v>
      </c>
      <c r="H15" s="37">
        <v>90.7</v>
      </c>
      <c r="I15" s="9">
        <f>'Otemachi Daily'!H18</f>
        <v>0</v>
      </c>
      <c r="J15" s="37">
        <v>10.79</v>
      </c>
      <c r="K15" s="9">
        <f>'Otemachi Daily'!J18</f>
        <v>0</v>
      </c>
      <c r="L15" s="37">
        <v>7.22</v>
      </c>
      <c r="M15" s="9">
        <f>'Otemachi Daily'!L18</f>
        <v>0</v>
      </c>
      <c r="N15" s="37">
        <v>741</v>
      </c>
      <c r="O15" s="9">
        <f>'Otemachi Daily'!M18</f>
        <v>0</v>
      </c>
      <c r="P15" s="9">
        <f>'Otemachi Daily'!N18</f>
        <v>0</v>
      </c>
    </row>
    <row r="16" spans="1:16" ht="15" x14ac:dyDescent="0.25">
      <c r="A16" s="6" t="s">
        <v>28</v>
      </c>
      <c r="B16" s="7">
        <f t="shared" si="0"/>
        <v>15</v>
      </c>
      <c r="C16" s="8">
        <v>12</v>
      </c>
      <c r="D16" s="7">
        <v>2020</v>
      </c>
      <c r="E16" s="38">
        <f>'Otemachi Daily'!D19</f>
        <v>0</v>
      </c>
      <c r="F16" s="37">
        <v>22.62</v>
      </c>
      <c r="G16" s="9">
        <f>'Otemachi Daily'!F19</f>
        <v>0</v>
      </c>
      <c r="H16" s="37">
        <v>90.7</v>
      </c>
      <c r="I16" s="9">
        <f>'Otemachi Daily'!H19</f>
        <v>0</v>
      </c>
      <c r="J16" s="37">
        <v>10.79</v>
      </c>
      <c r="K16" s="9">
        <f>'Otemachi Daily'!J19</f>
        <v>0</v>
      </c>
      <c r="L16" s="37">
        <v>7.22</v>
      </c>
      <c r="M16" s="9">
        <f>'Otemachi Daily'!L19</f>
        <v>0</v>
      </c>
      <c r="N16" s="37">
        <v>741</v>
      </c>
      <c r="O16" s="9">
        <f>'Otemachi Daily'!M19</f>
        <v>0</v>
      </c>
      <c r="P16" s="9">
        <f>'Otemachi Daily'!N19</f>
        <v>0</v>
      </c>
    </row>
    <row r="17" spans="1:16" ht="15" x14ac:dyDescent="0.25">
      <c r="A17" s="6" t="s">
        <v>28</v>
      </c>
      <c r="B17" s="7">
        <f t="shared" si="0"/>
        <v>16</v>
      </c>
      <c r="C17" s="8">
        <v>12</v>
      </c>
      <c r="D17" s="7">
        <v>2020</v>
      </c>
      <c r="E17" s="38">
        <f>'Otemachi Daily'!D20</f>
        <v>0</v>
      </c>
      <c r="F17" s="37">
        <v>22.62</v>
      </c>
      <c r="G17" s="9">
        <f>'Otemachi Daily'!F20</f>
        <v>0</v>
      </c>
      <c r="H17" s="37">
        <v>90.7</v>
      </c>
      <c r="I17" s="9">
        <f>'Otemachi Daily'!H20</f>
        <v>0</v>
      </c>
      <c r="J17" s="37">
        <v>10.79</v>
      </c>
      <c r="K17" s="9">
        <f>'Otemachi Daily'!J20</f>
        <v>0</v>
      </c>
      <c r="L17" s="37">
        <v>7.22</v>
      </c>
      <c r="M17" s="9">
        <f>'Otemachi Daily'!L20</f>
        <v>0</v>
      </c>
      <c r="N17" s="37">
        <v>741</v>
      </c>
      <c r="O17" s="9">
        <f>'Otemachi Daily'!M20</f>
        <v>0</v>
      </c>
      <c r="P17" s="9">
        <f>'Otemachi Daily'!N20</f>
        <v>0</v>
      </c>
    </row>
    <row r="18" spans="1:16" ht="15" x14ac:dyDescent="0.25">
      <c r="A18" s="6" t="s">
        <v>28</v>
      </c>
      <c r="B18" s="7">
        <f t="shared" si="0"/>
        <v>17</v>
      </c>
      <c r="C18" s="8">
        <v>12</v>
      </c>
      <c r="D18" s="7">
        <v>2020</v>
      </c>
      <c r="E18" s="38">
        <f>'Otemachi Daily'!D21</f>
        <v>0</v>
      </c>
      <c r="F18" s="37">
        <v>22.62</v>
      </c>
      <c r="G18" s="9">
        <f>'Otemachi Daily'!F21</f>
        <v>0</v>
      </c>
      <c r="H18" s="37">
        <v>90.7</v>
      </c>
      <c r="I18" s="9">
        <f>'Otemachi Daily'!H21</f>
        <v>0</v>
      </c>
      <c r="J18" s="37">
        <v>10.79</v>
      </c>
      <c r="K18" s="9">
        <f>'Otemachi Daily'!J21</f>
        <v>0</v>
      </c>
      <c r="L18" s="37">
        <v>7.22</v>
      </c>
      <c r="M18" s="9">
        <f>'Otemachi Daily'!L21</f>
        <v>0</v>
      </c>
      <c r="N18" s="37">
        <v>741</v>
      </c>
      <c r="O18" s="9">
        <f>'Otemachi Daily'!M21</f>
        <v>0</v>
      </c>
      <c r="P18" s="9">
        <f>'Otemachi Daily'!N21</f>
        <v>0</v>
      </c>
    </row>
    <row r="19" spans="1:16" ht="15" x14ac:dyDescent="0.25">
      <c r="A19" s="6" t="s">
        <v>28</v>
      </c>
      <c r="B19" s="7">
        <f t="shared" si="0"/>
        <v>18</v>
      </c>
      <c r="C19" s="8">
        <v>12</v>
      </c>
      <c r="D19" s="7">
        <v>2020</v>
      </c>
      <c r="E19" s="38">
        <f>'Otemachi Daily'!D22</f>
        <v>0</v>
      </c>
      <c r="F19" s="37">
        <v>22.62</v>
      </c>
      <c r="G19" s="9">
        <f>'Otemachi Daily'!F22</f>
        <v>0</v>
      </c>
      <c r="H19" s="37">
        <v>90.7</v>
      </c>
      <c r="I19" s="9">
        <f>'Otemachi Daily'!H22</f>
        <v>0</v>
      </c>
      <c r="J19" s="37">
        <v>10.79</v>
      </c>
      <c r="K19" s="9">
        <f>'Otemachi Daily'!J22</f>
        <v>0</v>
      </c>
      <c r="L19" s="37">
        <v>7.22</v>
      </c>
      <c r="M19" s="9">
        <f>'Otemachi Daily'!L22</f>
        <v>0</v>
      </c>
      <c r="N19" s="37">
        <v>741</v>
      </c>
      <c r="O19" s="9">
        <f>'Otemachi Daily'!M22</f>
        <v>0</v>
      </c>
      <c r="P19" s="9">
        <f>'Otemachi Daily'!N22</f>
        <v>0</v>
      </c>
    </row>
    <row r="20" spans="1:16" ht="15" x14ac:dyDescent="0.25">
      <c r="A20" s="6" t="s">
        <v>28</v>
      </c>
      <c r="B20" s="7">
        <f t="shared" si="0"/>
        <v>19</v>
      </c>
      <c r="C20" s="8">
        <v>12</v>
      </c>
      <c r="D20" s="7">
        <v>2020</v>
      </c>
      <c r="E20" s="38">
        <f>'Otemachi Daily'!D23</f>
        <v>0</v>
      </c>
      <c r="F20" s="37">
        <v>22.62</v>
      </c>
      <c r="G20" s="9">
        <f>'Otemachi Daily'!F23</f>
        <v>0</v>
      </c>
      <c r="H20" s="37">
        <v>90.7</v>
      </c>
      <c r="I20" s="9">
        <f>'Otemachi Daily'!H23</f>
        <v>0</v>
      </c>
      <c r="J20" s="37">
        <v>10.79</v>
      </c>
      <c r="K20" s="9">
        <f>'Otemachi Daily'!J23</f>
        <v>0</v>
      </c>
      <c r="L20" s="37">
        <v>7.22</v>
      </c>
      <c r="M20" s="9">
        <f>'Otemachi Daily'!L23</f>
        <v>0</v>
      </c>
      <c r="N20" s="37">
        <v>741</v>
      </c>
      <c r="O20" s="9">
        <f>'Otemachi Daily'!M23</f>
        <v>0</v>
      </c>
      <c r="P20" s="9">
        <f>'Otemachi Daily'!N23</f>
        <v>0</v>
      </c>
    </row>
    <row r="21" spans="1:16" ht="15" x14ac:dyDescent="0.25">
      <c r="A21" s="6" t="s">
        <v>28</v>
      </c>
      <c r="B21" s="7">
        <f t="shared" si="0"/>
        <v>20</v>
      </c>
      <c r="C21" s="8">
        <v>12</v>
      </c>
      <c r="D21" s="7">
        <v>2020</v>
      </c>
      <c r="E21" s="38">
        <f>'Otemachi Daily'!D24</f>
        <v>0</v>
      </c>
      <c r="F21" s="37">
        <v>22.62</v>
      </c>
      <c r="G21" s="9">
        <f>'Otemachi Daily'!F24</f>
        <v>0</v>
      </c>
      <c r="H21" s="37">
        <v>90.7</v>
      </c>
      <c r="I21" s="9">
        <f>'Otemachi Daily'!H24</f>
        <v>0</v>
      </c>
      <c r="J21" s="37">
        <v>10.79</v>
      </c>
      <c r="K21" s="9">
        <f>'Otemachi Daily'!J24</f>
        <v>0</v>
      </c>
      <c r="L21" s="37">
        <v>7.22</v>
      </c>
      <c r="M21" s="9">
        <f>'Otemachi Daily'!L24</f>
        <v>0</v>
      </c>
      <c r="N21" s="37">
        <v>741</v>
      </c>
      <c r="O21" s="9">
        <f>'Otemachi Daily'!M24</f>
        <v>0</v>
      </c>
      <c r="P21" s="9">
        <f>'Otemachi Daily'!N24</f>
        <v>0</v>
      </c>
    </row>
    <row r="22" spans="1:16" ht="15" x14ac:dyDescent="0.25">
      <c r="A22" s="6" t="s">
        <v>28</v>
      </c>
      <c r="B22" s="7">
        <f t="shared" si="0"/>
        <v>21</v>
      </c>
      <c r="C22" s="8">
        <v>12</v>
      </c>
      <c r="D22" s="7">
        <v>2020</v>
      </c>
      <c r="E22" s="38">
        <f>'Otemachi Daily'!D25</f>
        <v>0</v>
      </c>
      <c r="F22" s="37">
        <v>22.62</v>
      </c>
      <c r="G22" s="9">
        <f>'Otemachi Daily'!F25</f>
        <v>0</v>
      </c>
      <c r="H22" s="37">
        <v>90.7</v>
      </c>
      <c r="I22" s="9">
        <f>'Otemachi Daily'!H25</f>
        <v>0</v>
      </c>
      <c r="J22" s="37">
        <v>10.79</v>
      </c>
      <c r="K22" s="9">
        <f>'Otemachi Daily'!J25</f>
        <v>0</v>
      </c>
      <c r="L22" s="37">
        <v>7.22</v>
      </c>
      <c r="M22" s="9">
        <f>'Otemachi Daily'!L25</f>
        <v>0</v>
      </c>
      <c r="N22" s="37">
        <v>741</v>
      </c>
      <c r="O22" s="9">
        <f>'Otemachi Daily'!M25</f>
        <v>0</v>
      </c>
      <c r="P22" s="9">
        <f>'Otemachi Daily'!N25</f>
        <v>0</v>
      </c>
    </row>
    <row r="23" spans="1:16" ht="15" x14ac:dyDescent="0.25">
      <c r="A23" s="6" t="s">
        <v>28</v>
      </c>
      <c r="B23" s="7">
        <f t="shared" si="0"/>
        <v>22</v>
      </c>
      <c r="C23" s="8">
        <v>12</v>
      </c>
      <c r="D23" s="7">
        <v>2020</v>
      </c>
      <c r="E23" s="38">
        <f>'Otemachi Daily'!D26</f>
        <v>0</v>
      </c>
      <c r="F23" s="37">
        <v>22.62</v>
      </c>
      <c r="G23" s="9">
        <f>'Otemachi Daily'!F26</f>
        <v>0</v>
      </c>
      <c r="H23" s="37">
        <v>90.7</v>
      </c>
      <c r="I23" s="9">
        <f>'Otemachi Daily'!H26</f>
        <v>0</v>
      </c>
      <c r="J23" s="37">
        <v>10.79</v>
      </c>
      <c r="K23" s="9">
        <f>'Otemachi Daily'!J26</f>
        <v>0</v>
      </c>
      <c r="L23" s="37">
        <v>7.22</v>
      </c>
      <c r="M23" s="9">
        <f>'Otemachi Daily'!L26</f>
        <v>0</v>
      </c>
      <c r="N23" s="37">
        <v>741</v>
      </c>
      <c r="O23" s="9">
        <f>'Otemachi Daily'!M26</f>
        <v>0</v>
      </c>
      <c r="P23" s="9">
        <f>'Otemachi Daily'!N26</f>
        <v>0</v>
      </c>
    </row>
    <row r="24" spans="1:16" ht="15" x14ac:dyDescent="0.25">
      <c r="A24" s="6" t="s">
        <v>28</v>
      </c>
      <c r="B24" s="7">
        <f t="shared" si="0"/>
        <v>23</v>
      </c>
      <c r="C24" s="8">
        <v>12</v>
      </c>
      <c r="D24" s="7">
        <v>2020</v>
      </c>
      <c r="E24" s="38">
        <f>'Otemachi Daily'!D27</f>
        <v>0</v>
      </c>
      <c r="F24" s="37">
        <v>22.62</v>
      </c>
      <c r="G24" s="9">
        <f>'Otemachi Daily'!F27</f>
        <v>0</v>
      </c>
      <c r="H24" s="37">
        <v>90.7</v>
      </c>
      <c r="I24" s="9">
        <f>'Otemachi Daily'!H27</f>
        <v>0</v>
      </c>
      <c r="J24" s="37">
        <v>10.79</v>
      </c>
      <c r="K24" s="9">
        <f>'Otemachi Daily'!J27</f>
        <v>0</v>
      </c>
      <c r="L24" s="37">
        <v>7.22</v>
      </c>
      <c r="M24" s="9">
        <f>'Otemachi Daily'!L27</f>
        <v>0</v>
      </c>
      <c r="N24" s="37">
        <v>741</v>
      </c>
      <c r="O24" s="9">
        <f>'Otemachi Daily'!M27</f>
        <v>0</v>
      </c>
      <c r="P24" s="9">
        <f>'Otemachi Daily'!N27</f>
        <v>0</v>
      </c>
    </row>
    <row r="25" spans="1:16" ht="15" x14ac:dyDescent="0.25">
      <c r="A25" s="6" t="s">
        <v>28</v>
      </c>
      <c r="B25" s="7">
        <f t="shared" si="0"/>
        <v>24</v>
      </c>
      <c r="C25" s="8">
        <v>12</v>
      </c>
      <c r="D25" s="7">
        <v>2020</v>
      </c>
      <c r="E25" s="38">
        <f>'Otemachi Daily'!D28</f>
        <v>0</v>
      </c>
      <c r="F25" s="37">
        <v>22.62</v>
      </c>
      <c r="G25" s="9">
        <f>'Otemachi Daily'!F28</f>
        <v>0</v>
      </c>
      <c r="H25" s="37">
        <v>90.7</v>
      </c>
      <c r="I25" s="9">
        <f>'Otemachi Daily'!H28</f>
        <v>0</v>
      </c>
      <c r="J25" s="37">
        <v>10.79</v>
      </c>
      <c r="K25" s="9">
        <f>'Otemachi Daily'!J28</f>
        <v>0</v>
      </c>
      <c r="L25" s="37">
        <v>7.22</v>
      </c>
      <c r="M25" s="9">
        <f>'Otemachi Daily'!L28</f>
        <v>0</v>
      </c>
      <c r="N25" s="37">
        <v>741</v>
      </c>
      <c r="O25" s="9">
        <f>'Otemachi Daily'!M28</f>
        <v>0</v>
      </c>
      <c r="P25" s="9">
        <f>'Otemachi Daily'!N28</f>
        <v>0</v>
      </c>
    </row>
    <row r="26" spans="1:16" ht="15" x14ac:dyDescent="0.25">
      <c r="A26" s="6" t="s">
        <v>28</v>
      </c>
      <c r="B26" s="7">
        <f>B25+1</f>
        <v>25</v>
      </c>
      <c r="C26" s="8">
        <v>12</v>
      </c>
      <c r="D26" s="7">
        <v>2020</v>
      </c>
      <c r="E26" s="38">
        <f>'Otemachi Daily'!D29</f>
        <v>0</v>
      </c>
      <c r="F26" s="37">
        <v>22.62</v>
      </c>
      <c r="G26" s="9">
        <f>'Otemachi Daily'!F29</f>
        <v>0</v>
      </c>
      <c r="H26" s="37">
        <v>90.7</v>
      </c>
      <c r="I26" s="9">
        <f>'Otemachi Daily'!H29</f>
        <v>0</v>
      </c>
      <c r="J26" s="37">
        <v>10.79</v>
      </c>
      <c r="K26" s="9">
        <f>'Otemachi Daily'!J29</f>
        <v>0</v>
      </c>
      <c r="L26" s="37">
        <v>7.22</v>
      </c>
      <c r="M26" s="9">
        <f>'Otemachi Daily'!L29</f>
        <v>0</v>
      </c>
      <c r="N26" s="37">
        <v>741</v>
      </c>
      <c r="O26" s="9">
        <f>'Otemachi Daily'!M29</f>
        <v>0</v>
      </c>
      <c r="P26" s="9">
        <f>'Otemachi Daily'!N29</f>
        <v>0</v>
      </c>
    </row>
    <row r="27" spans="1:16" ht="15" x14ac:dyDescent="0.25">
      <c r="A27" s="6" t="s">
        <v>28</v>
      </c>
      <c r="B27" s="7">
        <f t="shared" si="0"/>
        <v>26</v>
      </c>
      <c r="C27" s="8">
        <v>12</v>
      </c>
      <c r="D27" s="7">
        <v>2020</v>
      </c>
      <c r="E27" s="38">
        <f>'Otemachi Daily'!D30</f>
        <v>0</v>
      </c>
      <c r="F27" s="37">
        <v>22.62</v>
      </c>
      <c r="G27" s="9">
        <f>'Otemachi Daily'!F30</f>
        <v>0</v>
      </c>
      <c r="H27" s="37">
        <v>90.7</v>
      </c>
      <c r="I27" s="9">
        <f>'Otemachi Daily'!H30</f>
        <v>0</v>
      </c>
      <c r="J27" s="37">
        <v>10.79</v>
      </c>
      <c r="K27" s="9">
        <f>'Otemachi Daily'!J30</f>
        <v>0</v>
      </c>
      <c r="L27" s="37">
        <v>7.22</v>
      </c>
      <c r="M27" s="9">
        <f>'Otemachi Daily'!L30</f>
        <v>0</v>
      </c>
      <c r="N27" s="37">
        <v>741</v>
      </c>
      <c r="O27" s="9">
        <f>'Otemachi Daily'!M30</f>
        <v>0</v>
      </c>
      <c r="P27" s="9">
        <f>'Otemachi Daily'!N30</f>
        <v>0</v>
      </c>
    </row>
    <row r="28" spans="1:16" ht="15" x14ac:dyDescent="0.25">
      <c r="A28" s="6" t="s">
        <v>28</v>
      </c>
      <c r="B28" s="7">
        <f t="shared" si="0"/>
        <v>27</v>
      </c>
      <c r="C28" s="8">
        <v>12</v>
      </c>
      <c r="D28" s="7">
        <v>2020</v>
      </c>
      <c r="E28" s="38">
        <f>'Otemachi Daily'!D31</f>
        <v>0</v>
      </c>
      <c r="F28" s="37">
        <v>22.62</v>
      </c>
      <c r="G28" s="9">
        <f>'Otemachi Daily'!F31</f>
        <v>0</v>
      </c>
      <c r="H28" s="37">
        <v>90.7</v>
      </c>
      <c r="I28" s="9">
        <f>'Otemachi Daily'!H31</f>
        <v>0</v>
      </c>
      <c r="J28" s="37">
        <v>10.79</v>
      </c>
      <c r="K28" s="9">
        <f>'Otemachi Daily'!J31</f>
        <v>0</v>
      </c>
      <c r="L28" s="37">
        <v>7.22</v>
      </c>
      <c r="M28" s="9">
        <f>'Otemachi Daily'!L31</f>
        <v>0</v>
      </c>
      <c r="N28" s="37">
        <v>741</v>
      </c>
      <c r="O28" s="9">
        <f>'Otemachi Daily'!M31</f>
        <v>0</v>
      </c>
      <c r="P28" s="9">
        <f>'Otemachi Daily'!N31</f>
        <v>0</v>
      </c>
    </row>
    <row r="29" spans="1:16" ht="15" x14ac:dyDescent="0.25">
      <c r="A29" s="6" t="s">
        <v>28</v>
      </c>
      <c r="B29" s="7">
        <f t="shared" si="0"/>
        <v>28</v>
      </c>
      <c r="C29" s="8">
        <v>12</v>
      </c>
      <c r="D29" s="7">
        <v>2020</v>
      </c>
      <c r="E29" s="38">
        <f>'Otemachi Daily'!D32</f>
        <v>0</v>
      </c>
      <c r="F29" s="37">
        <v>22.62</v>
      </c>
      <c r="G29" s="9">
        <f>'Otemachi Daily'!F32</f>
        <v>0</v>
      </c>
      <c r="H29" s="37">
        <v>90.7</v>
      </c>
      <c r="I29" s="9">
        <f>'Otemachi Daily'!H32</f>
        <v>0</v>
      </c>
      <c r="J29" s="37">
        <v>10.79</v>
      </c>
      <c r="K29" s="9">
        <f>'Otemachi Daily'!J32</f>
        <v>0</v>
      </c>
      <c r="L29" s="37">
        <v>7.22</v>
      </c>
      <c r="M29" s="9">
        <f>'Otemachi Daily'!L32</f>
        <v>0</v>
      </c>
      <c r="N29" s="37">
        <v>741</v>
      </c>
      <c r="O29" s="9">
        <f>'Otemachi Daily'!M32</f>
        <v>0</v>
      </c>
      <c r="P29" s="9">
        <f>'Otemachi Daily'!N32</f>
        <v>0</v>
      </c>
    </row>
    <row r="30" spans="1:16" ht="15" x14ac:dyDescent="0.25">
      <c r="A30" s="6" t="s">
        <v>28</v>
      </c>
      <c r="B30" s="7">
        <f t="shared" si="0"/>
        <v>29</v>
      </c>
      <c r="C30" s="8">
        <v>12</v>
      </c>
      <c r="D30" s="7">
        <v>2020</v>
      </c>
      <c r="E30" s="38">
        <f>'Otemachi Daily'!D33</f>
        <v>0</v>
      </c>
      <c r="F30" s="37">
        <v>22.62</v>
      </c>
      <c r="G30" s="9">
        <f>'Otemachi Daily'!F33</f>
        <v>0</v>
      </c>
      <c r="H30" s="37">
        <v>90.7</v>
      </c>
      <c r="I30" s="9">
        <f>'Otemachi Daily'!H33</f>
        <v>0</v>
      </c>
      <c r="J30" s="37">
        <v>10.79</v>
      </c>
      <c r="K30" s="9">
        <f>'Otemachi Daily'!J33</f>
        <v>0</v>
      </c>
      <c r="L30" s="37">
        <v>7.22</v>
      </c>
      <c r="M30" s="9">
        <f>'Otemachi Daily'!L33</f>
        <v>0</v>
      </c>
      <c r="N30" s="37">
        <v>741</v>
      </c>
      <c r="O30" s="9">
        <f>'Otemachi Daily'!M33</f>
        <v>0</v>
      </c>
      <c r="P30" s="9">
        <f>'Otemachi Daily'!N33</f>
        <v>0</v>
      </c>
    </row>
    <row r="31" spans="1:16" ht="15" x14ac:dyDescent="0.25">
      <c r="A31" s="6" t="s">
        <v>28</v>
      </c>
      <c r="B31" s="7">
        <f t="shared" si="0"/>
        <v>30</v>
      </c>
      <c r="C31" s="8">
        <v>12</v>
      </c>
      <c r="D31" s="7">
        <v>2020</v>
      </c>
      <c r="E31" s="38">
        <f>'Otemachi Daily'!D34</f>
        <v>0</v>
      </c>
      <c r="F31" s="37">
        <v>22.62</v>
      </c>
      <c r="G31" s="9">
        <f>'Otemachi Daily'!F34</f>
        <v>0</v>
      </c>
      <c r="H31" s="37">
        <v>90.7</v>
      </c>
      <c r="I31" s="9">
        <f>'Otemachi Daily'!H34</f>
        <v>0</v>
      </c>
      <c r="J31" s="37">
        <v>10.79</v>
      </c>
      <c r="K31" s="9">
        <f>'Otemachi Daily'!J34</f>
        <v>0</v>
      </c>
      <c r="L31" s="37">
        <v>7.22</v>
      </c>
      <c r="M31" s="9">
        <f>'Otemachi Daily'!L34</f>
        <v>0</v>
      </c>
      <c r="N31" s="37">
        <v>741</v>
      </c>
      <c r="O31" s="9">
        <f>'Otemachi Daily'!M34</f>
        <v>0</v>
      </c>
      <c r="P31" s="9">
        <f>'Otemachi Daily'!N34</f>
        <v>0</v>
      </c>
    </row>
    <row r="32" spans="1:16" ht="15" x14ac:dyDescent="0.25">
      <c r="A32" s="6" t="s">
        <v>28</v>
      </c>
      <c r="B32" s="7">
        <f t="shared" si="0"/>
        <v>31</v>
      </c>
      <c r="C32" s="8">
        <v>12</v>
      </c>
      <c r="D32" s="7">
        <v>2020</v>
      </c>
      <c r="E32" s="38">
        <f>'Otemachi Daily'!D35</f>
        <v>0</v>
      </c>
      <c r="F32" s="37">
        <v>22.62</v>
      </c>
      <c r="G32" s="9">
        <f>'Otemachi Daily'!F35</f>
        <v>0</v>
      </c>
      <c r="H32" s="37">
        <v>90.7</v>
      </c>
      <c r="I32" s="9">
        <f>'Otemachi Daily'!H35</f>
        <v>0</v>
      </c>
      <c r="J32" s="37">
        <v>10.79</v>
      </c>
      <c r="K32" s="9">
        <f>'Otemachi Daily'!J35</f>
        <v>0</v>
      </c>
      <c r="L32" s="37">
        <v>7.22</v>
      </c>
      <c r="M32" s="9">
        <f>'Otemachi Daily'!L35</f>
        <v>0</v>
      </c>
      <c r="N32" s="37">
        <v>741</v>
      </c>
      <c r="O32" s="9">
        <f>'Otemachi Daily'!M35</f>
        <v>0</v>
      </c>
      <c r="P32" s="9">
        <f>'Otemachi Daily'!N35</f>
        <v>0</v>
      </c>
    </row>
  </sheetData>
  <phoneticPr fontId="1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T36"/>
  <sheetViews>
    <sheetView tabSelected="1" zoomScale="85" zoomScaleNormal="85" workbookViewId="0">
      <pane xSplit="1" topLeftCell="B1" activePane="topRight" state="frozen"/>
      <selection pane="topRight" activeCell="C9" sqref="C9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10" width="14.85546875" style="32" customWidth="1"/>
    <col min="11" max="11" width="8.85546875" style="13" customWidth="1"/>
    <col min="12" max="12" width="12.5703125" style="13" customWidth="1"/>
    <col min="13" max="14" width="13" style="34" customWidth="1"/>
    <col min="15" max="16" width="9.140625" style="13"/>
    <col min="17" max="20" width="12.7109375" style="13" customWidth="1"/>
    <col min="21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20" ht="10.5" customHeight="1" thickBot="1" x14ac:dyDescent="0.45">
      <c r="A1" s="10"/>
      <c r="B1" s="44"/>
      <c r="C1" s="10"/>
      <c r="D1" s="11"/>
      <c r="E1" s="10"/>
      <c r="F1" s="10"/>
      <c r="G1" s="10"/>
      <c r="H1" s="10"/>
      <c r="I1" s="10"/>
      <c r="J1" s="10"/>
      <c r="K1" s="45"/>
      <c r="L1" s="45"/>
      <c r="M1" s="12"/>
      <c r="N1" s="12"/>
    </row>
    <row r="2" spans="1:20" ht="35.25" customHeight="1" thickBot="1" x14ac:dyDescent="0.2">
      <c r="A2" s="14" t="s">
        <v>10</v>
      </c>
      <c r="B2" s="44"/>
      <c r="C2" s="46" t="s">
        <v>20</v>
      </c>
      <c r="D2" s="47"/>
      <c r="E2" s="48" t="s">
        <v>25</v>
      </c>
      <c r="F2" s="48"/>
      <c r="G2" s="42" t="s">
        <v>21</v>
      </c>
      <c r="H2" s="43"/>
      <c r="I2" s="42" t="s">
        <v>29</v>
      </c>
      <c r="J2" s="43"/>
      <c r="K2" s="49" t="s">
        <v>11</v>
      </c>
      <c r="L2" s="50"/>
      <c r="M2" s="15"/>
      <c r="N2" s="15"/>
      <c r="Q2" s="42" t="s">
        <v>21</v>
      </c>
      <c r="R2" s="43"/>
      <c r="S2" s="42" t="s">
        <v>29</v>
      </c>
      <c r="T2" s="43"/>
    </row>
    <row r="3" spans="1:20" ht="44.25" customHeight="1" x14ac:dyDescent="0.15">
      <c r="A3" s="16" t="s">
        <v>12</v>
      </c>
      <c r="B3" s="44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22</v>
      </c>
      <c r="H3" s="19" t="s">
        <v>14</v>
      </c>
      <c r="I3" s="19" t="s">
        <v>22</v>
      </c>
      <c r="J3" s="19" t="s">
        <v>14</v>
      </c>
      <c r="K3" s="19" t="s">
        <v>16</v>
      </c>
      <c r="L3" s="20" t="s">
        <v>17</v>
      </c>
      <c r="M3" s="21" t="s">
        <v>18</v>
      </c>
      <c r="N3" s="21" t="s">
        <v>19</v>
      </c>
      <c r="R3" s="13">
        <v>0.27777800000000002</v>
      </c>
      <c r="T3" s="13">
        <v>0.27777800000000002</v>
      </c>
    </row>
    <row r="4" spans="1:20" s="26" customFormat="1" ht="35.25" customHeight="1" x14ac:dyDescent="0.15">
      <c r="A4" s="22">
        <v>44196</v>
      </c>
      <c r="B4" s="44"/>
      <c r="C4" s="23">
        <v>14812</v>
      </c>
      <c r="D4" s="24"/>
      <c r="E4" s="23">
        <v>105</v>
      </c>
      <c r="F4" s="25"/>
      <c r="G4" s="23">
        <v>432</v>
      </c>
      <c r="H4" s="25"/>
      <c r="I4" s="23">
        <v>41785</v>
      </c>
      <c r="J4" s="25"/>
      <c r="K4" s="23">
        <v>165</v>
      </c>
      <c r="M4" s="27"/>
      <c r="N4" s="27"/>
      <c r="Q4" s="39" t="s">
        <v>32</v>
      </c>
      <c r="R4" s="39" t="s">
        <v>33</v>
      </c>
      <c r="S4" s="39" t="s">
        <v>32</v>
      </c>
      <c r="T4" s="39" t="s">
        <v>33</v>
      </c>
    </row>
    <row r="5" spans="1:20" ht="33" customHeight="1" x14ac:dyDescent="0.15">
      <c r="A5" s="28">
        <v>44197</v>
      </c>
      <c r="B5" s="44"/>
      <c r="C5" s="29">
        <v>14364</v>
      </c>
      <c r="D5" s="30" t="str">
        <f t="shared" ref="D5:D22" si="0">IF((C5-C4&lt;0), "0",C5-C4)</f>
        <v>0</v>
      </c>
      <c r="E5" s="29">
        <v>108</v>
      </c>
      <c r="F5" s="30">
        <f>IF((E5-E4&lt;0), "0",E5-E4)</f>
        <v>3</v>
      </c>
      <c r="G5" s="12">
        <v>1736</v>
      </c>
      <c r="H5" s="30">
        <f>IF((G5-G4&lt;0), "0",G5-G4)</f>
        <v>1304</v>
      </c>
      <c r="I5" s="12">
        <v>31091</v>
      </c>
      <c r="J5" s="30" t="str">
        <f>IF((I5-I4&lt;0), "0",I5-I4)</f>
        <v>0</v>
      </c>
      <c r="K5" s="29">
        <v>177</v>
      </c>
      <c r="L5" s="30">
        <f>IF((K5-K4&lt;0), "0",K5-K4)</f>
        <v>12</v>
      </c>
      <c r="M5" s="31">
        <v>45</v>
      </c>
      <c r="N5" s="31">
        <v>94</v>
      </c>
      <c r="Q5" s="13">
        <v>6251</v>
      </c>
      <c r="R5" s="40">
        <f>Q5*$R$3</f>
        <v>1736.3902780000001</v>
      </c>
      <c r="S5" s="13">
        <v>111926</v>
      </c>
      <c r="T5" s="40">
        <f>S5*$T$3</f>
        <v>31090.580428000001</v>
      </c>
    </row>
    <row r="6" spans="1:20" ht="45" customHeight="1" x14ac:dyDescent="0.15">
      <c r="A6" s="28">
        <v>44198</v>
      </c>
      <c r="B6" s="44"/>
      <c r="C6" s="29">
        <v>13944</v>
      </c>
      <c r="D6" s="30" t="str">
        <f t="shared" si="0"/>
        <v>0</v>
      </c>
      <c r="E6" s="29">
        <v>84</v>
      </c>
      <c r="F6" s="30" t="str">
        <f t="shared" ref="F6:F35" si="1">IF((E6-E5&lt;0), "0",E6-E5)</f>
        <v>0</v>
      </c>
      <c r="G6" s="12">
        <v>1320</v>
      </c>
      <c r="H6" s="30" t="str">
        <f t="shared" ref="H6:H35" si="2">IF((G6-G5&lt;0), "0",G6-G5)</f>
        <v>0</v>
      </c>
      <c r="I6" s="12">
        <v>36510</v>
      </c>
      <c r="J6" s="30">
        <f t="shared" ref="J6:J35" si="3">IF((I6-I5&lt;0), "0",I6-I5)</f>
        <v>5419</v>
      </c>
      <c r="K6" s="29">
        <v>177</v>
      </c>
      <c r="L6" s="30">
        <f t="shared" ref="L6:L35" si="4">IF((K6-K5&lt;0), "0",K6-K5)</f>
        <v>0</v>
      </c>
      <c r="M6" s="12">
        <v>41</v>
      </c>
      <c r="N6" s="12">
        <v>80</v>
      </c>
      <c r="Q6" s="13">
        <v>4753</v>
      </c>
      <c r="R6" s="40">
        <f t="shared" ref="R6:R35" si="5">Q6*$R$3</f>
        <v>1320.2788340000002</v>
      </c>
      <c r="S6" s="13">
        <v>131436</v>
      </c>
      <c r="T6" s="40">
        <f t="shared" ref="T6:T35" si="6">S6*$T$3</f>
        <v>36510.029208</v>
      </c>
    </row>
    <row r="7" spans="1:20" ht="45" customHeight="1" x14ac:dyDescent="0.15">
      <c r="A7" s="28">
        <v>44199</v>
      </c>
      <c r="B7" s="44"/>
      <c r="C7" s="29">
        <v>13845</v>
      </c>
      <c r="D7" s="30" t="str">
        <f t="shared" si="0"/>
        <v>0</v>
      </c>
      <c r="E7" s="29">
        <v>94</v>
      </c>
      <c r="F7" s="30">
        <f t="shared" si="1"/>
        <v>10</v>
      </c>
      <c r="G7" s="12">
        <v>146</v>
      </c>
      <c r="H7" s="30" t="str">
        <f t="shared" si="2"/>
        <v>0</v>
      </c>
      <c r="I7" s="12">
        <v>43382</v>
      </c>
      <c r="J7" s="30">
        <f t="shared" si="3"/>
        <v>6872</v>
      </c>
      <c r="K7" s="29">
        <v>138</v>
      </c>
      <c r="L7" s="30" t="str">
        <f t="shared" si="4"/>
        <v>0</v>
      </c>
      <c r="M7" s="12">
        <v>31</v>
      </c>
      <c r="N7" s="12">
        <v>55</v>
      </c>
      <c r="Q7" s="13">
        <v>527</v>
      </c>
      <c r="R7" s="40">
        <f t="shared" si="5"/>
        <v>146.38900600000002</v>
      </c>
      <c r="S7" s="13">
        <v>156175</v>
      </c>
      <c r="T7" s="40">
        <f t="shared" si="6"/>
        <v>43381.979150000006</v>
      </c>
    </row>
    <row r="8" spans="1:20" ht="45" customHeight="1" x14ac:dyDescent="0.15">
      <c r="A8" s="28">
        <v>44200</v>
      </c>
      <c r="B8" s="44"/>
      <c r="C8" s="29">
        <v>13860</v>
      </c>
      <c r="D8" s="30">
        <f t="shared" si="0"/>
        <v>15</v>
      </c>
      <c r="E8" s="29">
        <v>95</v>
      </c>
      <c r="F8" s="30">
        <f t="shared" si="1"/>
        <v>1</v>
      </c>
      <c r="G8" s="12">
        <v>1335</v>
      </c>
      <c r="H8" s="30">
        <f t="shared" si="2"/>
        <v>1189</v>
      </c>
      <c r="I8" s="12">
        <v>44761</v>
      </c>
      <c r="J8" s="30">
        <f t="shared" si="3"/>
        <v>1379</v>
      </c>
      <c r="K8" s="29">
        <v>161</v>
      </c>
      <c r="L8" s="30">
        <f t="shared" si="4"/>
        <v>23</v>
      </c>
      <c r="M8" s="12">
        <v>39</v>
      </c>
      <c r="N8" s="12">
        <v>85</v>
      </c>
      <c r="Q8" s="13">
        <v>4807</v>
      </c>
      <c r="R8" s="40">
        <f t="shared" si="5"/>
        <v>1335.2788460000002</v>
      </c>
      <c r="S8" s="13">
        <v>161140</v>
      </c>
      <c r="T8" s="40">
        <f t="shared" si="6"/>
        <v>44761.146920000007</v>
      </c>
    </row>
    <row r="9" spans="1:20" ht="45" customHeight="1" x14ac:dyDescent="0.15">
      <c r="A9" s="28">
        <v>44201</v>
      </c>
      <c r="B9" s="44"/>
      <c r="C9" s="29"/>
      <c r="D9" s="30" t="str">
        <f t="shared" si="0"/>
        <v>0</v>
      </c>
      <c r="E9" s="29"/>
      <c r="F9" s="30" t="str">
        <f t="shared" si="1"/>
        <v>0</v>
      </c>
      <c r="G9" s="12"/>
      <c r="H9" s="30" t="str">
        <f t="shared" si="2"/>
        <v>0</v>
      </c>
      <c r="I9" s="12"/>
      <c r="J9" s="30" t="str">
        <f t="shared" si="3"/>
        <v>0</v>
      </c>
      <c r="K9" s="29"/>
      <c r="L9" s="30" t="str">
        <f t="shared" si="4"/>
        <v>0</v>
      </c>
      <c r="M9" s="12"/>
      <c r="N9" s="12"/>
      <c r="R9" s="40">
        <f t="shared" si="5"/>
        <v>0</v>
      </c>
      <c r="T9" s="40">
        <f t="shared" si="6"/>
        <v>0</v>
      </c>
    </row>
    <row r="10" spans="1:20" ht="45" customHeight="1" x14ac:dyDescent="0.15">
      <c r="A10" s="28">
        <v>44202</v>
      </c>
      <c r="B10" s="44"/>
      <c r="C10" s="29"/>
      <c r="D10" s="30">
        <f t="shared" si="0"/>
        <v>0</v>
      </c>
      <c r="E10" s="29"/>
      <c r="F10" s="30">
        <f t="shared" si="1"/>
        <v>0</v>
      </c>
      <c r="G10" s="12"/>
      <c r="H10" s="30">
        <f t="shared" si="2"/>
        <v>0</v>
      </c>
      <c r="I10" s="12"/>
      <c r="J10" s="30">
        <f t="shared" si="3"/>
        <v>0</v>
      </c>
      <c r="K10" s="29"/>
      <c r="L10" s="30">
        <f t="shared" si="4"/>
        <v>0</v>
      </c>
      <c r="M10" s="12"/>
      <c r="N10" s="12"/>
      <c r="R10" s="40">
        <f t="shared" si="5"/>
        <v>0</v>
      </c>
      <c r="T10" s="40">
        <f t="shared" si="6"/>
        <v>0</v>
      </c>
    </row>
    <row r="11" spans="1:20" ht="45" customHeight="1" x14ac:dyDescent="0.15">
      <c r="A11" s="28">
        <v>44203</v>
      </c>
      <c r="B11" s="44"/>
      <c r="C11" s="29"/>
      <c r="D11" s="30">
        <f t="shared" si="0"/>
        <v>0</v>
      </c>
      <c r="E11" s="29"/>
      <c r="F11" s="30">
        <f t="shared" si="1"/>
        <v>0</v>
      </c>
      <c r="G11" s="12"/>
      <c r="H11" s="30">
        <f t="shared" si="2"/>
        <v>0</v>
      </c>
      <c r="I11" s="12"/>
      <c r="J11" s="30">
        <f t="shared" si="3"/>
        <v>0</v>
      </c>
      <c r="K11" s="29"/>
      <c r="L11" s="30">
        <f t="shared" si="4"/>
        <v>0</v>
      </c>
      <c r="M11" s="12"/>
      <c r="N11" s="12"/>
      <c r="R11" s="40">
        <f t="shared" si="5"/>
        <v>0</v>
      </c>
      <c r="T11" s="40">
        <f t="shared" si="6"/>
        <v>0</v>
      </c>
    </row>
    <row r="12" spans="1:20" ht="45" customHeight="1" x14ac:dyDescent="0.15">
      <c r="A12" s="28">
        <v>44204</v>
      </c>
      <c r="B12" s="44"/>
      <c r="C12" s="29"/>
      <c r="D12" s="30">
        <f t="shared" si="0"/>
        <v>0</v>
      </c>
      <c r="E12" s="29"/>
      <c r="F12" s="30">
        <f t="shared" si="1"/>
        <v>0</v>
      </c>
      <c r="G12" s="12"/>
      <c r="H12" s="30">
        <f t="shared" si="2"/>
        <v>0</v>
      </c>
      <c r="I12" s="12"/>
      <c r="J12" s="30">
        <f t="shared" si="3"/>
        <v>0</v>
      </c>
      <c r="K12" s="29"/>
      <c r="L12" s="30">
        <f t="shared" si="4"/>
        <v>0</v>
      </c>
      <c r="M12" s="12"/>
      <c r="N12" s="12"/>
      <c r="R12" s="40">
        <f t="shared" si="5"/>
        <v>0</v>
      </c>
      <c r="T12" s="40">
        <f t="shared" si="6"/>
        <v>0</v>
      </c>
    </row>
    <row r="13" spans="1:20" ht="45" customHeight="1" x14ac:dyDescent="0.15">
      <c r="A13" s="28">
        <v>44205</v>
      </c>
      <c r="B13" s="44"/>
      <c r="C13" s="29"/>
      <c r="D13" s="30">
        <f t="shared" si="0"/>
        <v>0</v>
      </c>
      <c r="E13" s="29"/>
      <c r="F13" s="30">
        <f t="shared" si="1"/>
        <v>0</v>
      </c>
      <c r="G13" s="12"/>
      <c r="H13" s="30">
        <f t="shared" si="2"/>
        <v>0</v>
      </c>
      <c r="I13" s="12"/>
      <c r="J13" s="30">
        <f t="shared" si="3"/>
        <v>0</v>
      </c>
      <c r="K13" s="29"/>
      <c r="L13" s="30">
        <f t="shared" si="4"/>
        <v>0</v>
      </c>
      <c r="M13" s="12"/>
      <c r="N13" s="12"/>
      <c r="R13" s="40">
        <f t="shared" si="5"/>
        <v>0</v>
      </c>
      <c r="T13" s="40">
        <f t="shared" si="6"/>
        <v>0</v>
      </c>
    </row>
    <row r="14" spans="1:20" ht="45" customHeight="1" x14ac:dyDescent="0.15">
      <c r="A14" s="28">
        <v>44206</v>
      </c>
      <c r="B14" s="44"/>
      <c r="C14" s="29"/>
      <c r="D14" s="30">
        <f t="shared" si="0"/>
        <v>0</v>
      </c>
      <c r="E14" s="29"/>
      <c r="F14" s="30">
        <f t="shared" si="1"/>
        <v>0</v>
      </c>
      <c r="G14" s="12"/>
      <c r="H14" s="30">
        <f t="shared" si="2"/>
        <v>0</v>
      </c>
      <c r="I14" s="12"/>
      <c r="J14" s="30">
        <f t="shared" si="3"/>
        <v>0</v>
      </c>
      <c r="K14" s="29"/>
      <c r="L14" s="30">
        <f t="shared" si="4"/>
        <v>0</v>
      </c>
      <c r="M14" s="12"/>
      <c r="N14" s="12"/>
      <c r="R14" s="40">
        <f t="shared" si="5"/>
        <v>0</v>
      </c>
      <c r="T14" s="40">
        <f t="shared" si="6"/>
        <v>0</v>
      </c>
    </row>
    <row r="15" spans="1:20" ht="45" customHeight="1" x14ac:dyDescent="0.15">
      <c r="A15" s="28">
        <v>44207</v>
      </c>
      <c r="B15" s="44"/>
      <c r="C15" s="29"/>
      <c r="D15" s="30">
        <f t="shared" si="0"/>
        <v>0</v>
      </c>
      <c r="E15" s="29"/>
      <c r="F15" s="30">
        <f t="shared" si="1"/>
        <v>0</v>
      </c>
      <c r="G15" s="12"/>
      <c r="H15" s="30">
        <f t="shared" si="2"/>
        <v>0</v>
      </c>
      <c r="I15" s="12"/>
      <c r="J15" s="30">
        <f t="shared" si="3"/>
        <v>0</v>
      </c>
      <c r="K15" s="29"/>
      <c r="L15" s="30">
        <f t="shared" si="4"/>
        <v>0</v>
      </c>
      <c r="M15" s="12"/>
      <c r="N15" s="12"/>
      <c r="R15" s="40">
        <f t="shared" si="5"/>
        <v>0</v>
      </c>
      <c r="T15" s="40">
        <f t="shared" si="6"/>
        <v>0</v>
      </c>
    </row>
    <row r="16" spans="1:20" ht="45" customHeight="1" x14ac:dyDescent="0.15">
      <c r="A16" s="28">
        <v>44208</v>
      </c>
      <c r="B16" s="44"/>
      <c r="C16" s="29"/>
      <c r="D16" s="30">
        <f t="shared" si="0"/>
        <v>0</v>
      </c>
      <c r="E16" s="29"/>
      <c r="F16" s="30">
        <f t="shared" si="1"/>
        <v>0</v>
      </c>
      <c r="G16" s="12"/>
      <c r="H16" s="30">
        <f t="shared" si="2"/>
        <v>0</v>
      </c>
      <c r="I16" s="12"/>
      <c r="J16" s="30">
        <f t="shared" si="3"/>
        <v>0</v>
      </c>
      <c r="K16" s="29"/>
      <c r="L16" s="30">
        <f t="shared" si="4"/>
        <v>0</v>
      </c>
      <c r="M16" s="12"/>
      <c r="N16" s="12"/>
      <c r="R16" s="40">
        <f t="shared" si="5"/>
        <v>0</v>
      </c>
      <c r="T16" s="40">
        <f t="shared" si="6"/>
        <v>0</v>
      </c>
    </row>
    <row r="17" spans="1:20" ht="45" customHeight="1" x14ac:dyDescent="0.15">
      <c r="A17" s="28">
        <v>44209</v>
      </c>
      <c r="B17" s="44"/>
      <c r="C17" s="29"/>
      <c r="D17" s="30">
        <f t="shared" si="0"/>
        <v>0</v>
      </c>
      <c r="E17" s="29"/>
      <c r="F17" s="30">
        <f t="shared" si="1"/>
        <v>0</v>
      </c>
      <c r="G17" s="12"/>
      <c r="H17" s="30">
        <f t="shared" si="2"/>
        <v>0</v>
      </c>
      <c r="I17" s="12"/>
      <c r="J17" s="30">
        <f t="shared" si="3"/>
        <v>0</v>
      </c>
      <c r="K17" s="29"/>
      <c r="L17" s="30">
        <f t="shared" si="4"/>
        <v>0</v>
      </c>
      <c r="M17" s="12"/>
      <c r="N17" s="12"/>
      <c r="R17" s="40">
        <f t="shared" si="5"/>
        <v>0</v>
      </c>
      <c r="T17" s="40">
        <f t="shared" si="6"/>
        <v>0</v>
      </c>
    </row>
    <row r="18" spans="1:20" ht="45" customHeight="1" x14ac:dyDescent="0.15">
      <c r="A18" s="28">
        <v>44210</v>
      </c>
      <c r="B18" s="44"/>
      <c r="C18" s="29"/>
      <c r="D18" s="30">
        <f t="shared" si="0"/>
        <v>0</v>
      </c>
      <c r="E18" s="29"/>
      <c r="F18" s="30">
        <f t="shared" si="1"/>
        <v>0</v>
      </c>
      <c r="G18" s="12"/>
      <c r="H18" s="30">
        <f t="shared" si="2"/>
        <v>0</v>
      </c>
      <c r="I18" s="12"/>
      <c r="J18" s="30">
        <f t="shared" si="3"/>
        <v>0</v>
      </c>
      <c r="K18" s="29"/>
      <c r="L18" s="30">
        <f t="shared" si="4"/>
        <v>0</v>
      </c>
      <c r="M18" s="12"/>
      <c r="N18" s="12"/>
      <c r="R18" s="40">
        <f t="shared" si="5"/>
        <v>0</v>
      </c>
      <c r="T18" s="40">
        <f t="shared" si="6"/>
        <v>0</v>
      </c>
    </row>
    <row r="19" spans="1:20" ht="45" customHeight="1" x14ac:dyDescent="0.15">
      <c r="A19" s="28">
        <v>44211</v>
      </c>
      <c r="B19" s="44"/>
      <c r="C19" s="29"/>
      <c r="D19" s="30">
        <f t="shared" si="0"/>
        <v>0</v>
      </c>
      <c r="E19" s="29"/>
      <c r="F19" s="30">
        <f t="shared" si="1"/>
        <v>0</v>
      </c>
      <c r="G19" s="12"/>
      <c r="H19" s="30">
        <f t="shared" si="2"/>
        <v>0</v>
      </c>
      <c r="I19" s="12"/>
      <c r="J19" s="30">
        <f t="shared" si="3"/>
        <v>0</v>
      </c>
      <c r="K19" s="29"/>
      <c r="L19" s="30">
        <f t="shared" si="4"/>
        <v>0</v>
      </c>
      <c r="M19" s="12"/>
      <c r="N19" s="12"/>
      <c r="R19" s="40">
        <f t="shared" si="5"/>
        <v>0</v>
      </c>
      <c r="T19" s="40">
        <f t="shared" si="6"/>
        <v>0</v>
      </c>
    </row>
    <row r="20" spans="1:20" ht="45" customHeight="1" x14ac:dyDescent="0.15">
      <c r="A20" s="28">
        <v>44212</v>
      </c>
      <c r="B20" s="44"/>
      <c r="C20" s="29"/>
      <c r="D20" s="30">
        <f t="shared" si="0"/>
        <v>0</v>
      </c>
      <c r="E20" s="29"/>
      <c r="F20" s="30">
        <f t="shared" si="1"/>
        <v>0</v>
      </c>
      <c r="G20" s="12"/>
      <c r="H20" s="30">
        <f t="shared" si="2"/>
        <v>0</v>
      </c>
      <c r="I20" s="12"/>
      <c r="J20" s="30">
        <f t="shared" si="3"/>
        <v>0</v>
      </c>
      <c r="K20" s="29"/>
      <c r="L20" s="30">
        <f t="shared" si="4"/>
        <v>0</v>
      </c>
      <c r="M20" s="12"/>
      <c r="N20" s="12"/>
      <c r="R20" s="40">
        <f t="shared" si="5"/>
        <v>0</v>
      </c>
      <c r="T20" s="40">
        <f t="shared" si="6"/>
        <v>0</v>
      </c>
    </row>
    <row r="21" spans="1:20" ht="45" customHeight="1" x14ac:dyDescent="0.15">
      <c r="A21" s="28">
        <v>44213</v>
      </c>
      <c r="B21" s="44"/>
      <c r="C21" s="29"/>
      <c r="D21" s="30">
        <f t="shared" si="0"/>
        <v>0</v>
      </c>
      <c r="E21" s="29"/>
      <c r="F21" s="30">
        <f t="shared" si="1"/>
        <v>0</v>
      </c>
      <c r="G21" s="12"/>
      <c r="H21" s="30">
        <f t="shared" si="2"/>
        <v>0</v>
      </c>
      <c r="I21" s="12"/>
      <c r="J21" s="30">
        <f t="shared" si="3"/>
        <v>0</v>
      </c>
      <c r="K21" s="29"/>
      <c r="L21" s="30">
        <f t="shared" si="4"/>
        <v>0</v>
      </c>
      <c r="M21" s="12"/>
      <c r="N21" s="12"/>
      <c r="R21" s="40">
        <f t="shared" si="5"/>
        <v>0</v>
      </c>
      <c r="T21" s="40">
        <f t="shared" si="6"/>
        <v>0</v>
      </c>
    </row>
    <row r="22" spans="1:20" ht="45" customHeight="1" x14ac:dyDescent="0.15">
      <c r="A22" s="28">
        <v>44214</v>
      </c>
      <c r="B22" s="44"/>
      <c r="C22" s="29"/>
      <c r="D22" s="30">
        <f t="shared" si="0"/>
        <v>0</v>
      </c>
      <c r="E22" s="29"/>
      <c r="F22" s="30">
        <f t="shared" si="1"/>
        <v>0</v>
      </c>
      <c r="G22" s="12"/>
      <c r="H22" s="30">
        <f t="shared" si="2"/>
        <v>0</v>
      </c>
      <c r="I22" s="12"/>
      <c r="J22" s="30">
        <f t="shared" si="3"/>
        <v>0</v>
      </c>
      <c r="K22" s="29"/>
      <c r="L22" s="30">
        <f t="shared" si="4"/>
        <v>0</v>
      </c>
      <c r="M22" s="12"/>
      <c r="N22" s="12"/>
      <c r="R22" s="40">
        <f t="shared" si="5"/>
        <v>0</v>
      </c>
      <c r="T22" s="40">
        <f t="shared" si="6"/>
        <v>0</v>
      </c>
    </row>
    <row r="23" spans="1:20" ht="45" customHeight="1" x14ac:dyDescent="0.15">
      <c r="A23" s="28">
        <v>44215</v>
      </c>
      <c r="B23" s="44"/>
      <c r="C23" s="29"/>
      <c r="D23" s="30">
        <f>IF((C23-C22&lt;0), "0",C23-C22)</f>
        <v>0</v>
      </c>
      <c r="E23" s="29"/>
      <c r="F23" s="30">
        <f t="shared" si="1"/>
        <v>0</v>
      </c>
      <c r="G23" s="12"/>
      <c r="H23" s="30">
        <f t="shared" si="2"/>
        <v>0</v>
      </c>
      <c r="I23" s="12"/>
      <c r="J23" s="30">
        <f t="shared" si="3"/>
        <v>0</v>
      </c>
      <c r="K23" s="29"/>
      <c r="L23" s="30">
        <f t="shared" si="4"/>
        <v>0</v>
      </c>
      <c r="M23" s="12"/>
      <c r="N23" s="12"/>
      <c r="R23" s="40">
        <f t="shared" si="5"/>
        <v>0</v>
      </c>
      <c r="T23" s="40">
        <f t="shared" si="6"/>
        <v>0</v>
      </c>
    </row>
    <row r="24" spans="1:20" ht="45" customHeight="1" x14ac:dyDescent="0.15">
      <c r="A24" s="28">
        <v>44216</v>
      </c>
      <c r="B24" s="44"/>
      <c r="C24" s="29"/>
      <c r="D24" s="30">
        <f t="shared" ref="D24:D35" si="7">IF((C24-C23&lt;0), "0",C24-C23)</f>
        <v>0</v>
      </c>
      <c r="E24" s="29"/>
      <c r="F24" s="30">
        <f t="shared" si="1"/>
        <v>0</v>
      </c>
      <c r="G24" s="12"/>
      <c r="H24" s="30">
        <f t="shared" si="2"/>
        <v>0</v>
      </c>
      <c r="I24" s="12"/>
      <c r="J24" s="30">
        <f t="shared" si="3"/>
        <v>0</v>
      </c>
      <c r="K24" s="41"/>
      <c r="L24" s="30">
        <f t="shared" si="4"/>
        <v>0</v>
      </c>
      <c r="M24" s="12"/>
      <c r="N24" s="12"/>
      <c r="R24" s="40">
        <f t="shared" si="5"/>
        <v>0</v>
      </c>
      <c r="T24" s="40">
        <f t="shared" si="6"/>
        <v>0</v>
      </c>
    </row>
    <row r="25" spans="1:20" ht="45" customHeight="1" x14ac:dyDescent="0.15">
      <c r="A25" s="28">
        <v>44217</v>
      </c>
      <c r="B25" s="44"/>
      <c r="C25" s="29"/>
      <c r="D25" s="30">
        <f t="shared" si="7"/>
        <v>0</v>
      </c>
      <c r="E25" s="29"/>
      <c r="F25" s="30">
        <f t="shared" si="1"/>
        <v>0</v>
      </c>
      <c r="G25" s="12"/>
      <c r="H25" s="30">
        <f t="shared" si="2"/>
        <v>0</v>
      </c>
      <c r="I25" s="12"/>
      <c r="J25" s="30">
        <f t="shared" si="3"/>
        <v>0</v>
      </c>
      <c r="K25" s="29"/>
      <c r="L25" s="30">
        <f t="shared" si="4"/>
        <v>0</v>
      </c>
      <c r="M25" s="12"/>
      <c r="N25" s="12"/>
      <c r="R25" s="40">
        <f t="shared" si="5"/>
        <v>0</v>
      </c>
      <c r="T25" s="40">
        <f t="shared" si="6"/>
        <v>0</v>
      </c>
    </row>
    <row r="26" spans="1:20" ht="45" customHeight="1" x14ac:dyDescent="0.15">
      <c r="A26" s="28">
        <v>44218</v>
      </c>
      <c r="B26" s="44"/>
      <c r="C26" s="29"/>
      <c r="D26" s="30">
        <f t="shared" si="7"/>
        <v>0</v>
      </c>
      <c r="E26" s="29"/>
      <c r="F26" s="30">
        <f t="shared" si="1"/>
        <v>0</v>
      </c>
      <c r="G26" s="12"/>
      <c r="H26" s="30">
        <f t="shared" si="2"/>
        <v>0</v>
      </c>
      <c r="I26" s="12"/>
      <c r="J26" s="30">
        <f t="shared" si="3"/>
        <v>0</v>
      </c>
      <c r="K26" s="29"/>
      <c r="L26" s="30">
        <f t="shared" si="4"/>
        <v>0</v>
      </c>
      <c r="M26" s="12"/>
      <c r="N26" s="12"/>
      <c r="R26" s="40">
        <f t="shared" si="5"/>
        <v>0</v>
      </c>
      <c r="T26" s="40">
        <f t="shared" si="6"/>
        <v>0</v>
      </c>
    </row>
    <row r="27" spans="1:20" ht="45" customHeight="1" x14ac:dyDescent="0.15">
      <c r="A27" s="28">
        <v>44219</v>
      </c>
      <c r="B27" s="44"/>
      <c r="C27" s="29"/>
      <c r="D27" s="30">
        <f t="shared" si="7"/>
        <v>0</v>
      </c>
      <c r="E27" s="29"/>
      <c r="F27" s="30">
        <f t="shared" si="1"/>
        <v>0</v>
      </c>
      <c r="G27" s="12"/>
      <c r="H27" s="30">
        <f t="shared" si="2"/>
        <v>0</v>
      </c>
      <c r="I27" s="12"/>
      <c r="J27" s="30">
        <f t="shared" si="3"/>
        <v>0</v>
      </c>
      <c r="K27" s="29"/>
      <c r="L27" s="30">
        <f t="shared" si="4"/>
        <v>0</v>
      </c>
      <c r="M27" s="12"/>
      <c r="N27" s="12"/>
      <c r="R27" s="40">
        <f t="shared" si="5"/>
        <v>0</v>
      </c>
      <c r="T27" s="40">
        <f t="shared" si="6"/>
        <v>0</v>
      </c>
    </row>
    <row r="28" spans="1:20" ht="45" customHeight="1" x14ac:dyDescent="0.15">
      <c r="A28" s="28">
        <v>44220</v>
      </c>
      <c r="B28" s="44"/>
      <c r="C28" s="29"/>
      <c r="D28" s="30">
        <f t="shared" si="7"/>
        <v>0</v>
      </c>
      <c r="E28" s="29"/>
      <c r="F28" s="30">
        <f t="shared" si="1"/>
        <v>0</v>
      </c>
      <c r="G28" s="12"/>
      <c r="H28" s="30">
        <f t="shared" si="2"/>
        <v>0</v>
      </c>
      <c r="I28" s="12"/>
      <c r="J28" s="30">
        <f t="shared" si="3"/>
        <v>0</v>
      </c>
      <c r="K28" s="29"/>
      <c r="L28" s="30">
        <f t="shared" si="4"/>
        <v>0</v>
      </c>
      <c r="M28" s="12"/>
      <c r="N28" s="12"/>
      <c r="R28" s="40">
        <f t="shared" si="5"/>
        <v>0</v>
      </c>
      <c r="T28" s="40">
        <f t="shared" si="6"/>
        <v>0</v>
      </c>
    </row>
    <row r="29" spans="1:20" ht="45" customHeight="1" x14ac:dyDescent="0.15">
      <c r="A29" s="28">
        <v>44221</v>
      </c>
      <c r="B29" s="44"/>
      <c r="C29" s="29"/>
      <c r="D29" s="30">
        <f t="shared" si="7"/>
        <v>0</v>
      </c>
      <c r="E29" s="29"/>
      <c r="F29" s="30">
        <f t="shared" si="1"/>
        <v>0</v>
      </c>
      <c r="G29" s="12"/>
      <c r="H29" s="30">
        <f t="shared" si="2"/>
        <v>0</v>
      </c>
      <c r="I29" s="12"/>
      <c r="J29" s="30">
        <f t="shared" si="3"/>
        <v>0</v>
      </c>
      <c r="K29" s="29"/>
      <c r="L29" s="30">
        <f t="shared" si="4"/>
        <v>0</v>
      </c>
      <c r="M29" s="12"/>
      <c r="N29" s="12"/>
      <c r="R29" s="40">
        <f t="shared" si="5"/>
        <v>0</v>
      </c>
      <c r="T29" s="40">
        <f t="shared" si="6"/>
        <v>0</v>
      </c>
    </row>
    <row r="30" spans="1:20" ht="45" customHeight="1" x14ac:dyDescent="0.15">
      <c r="A30" s="28">
        <v>44222</v>
      </c>
      <c r="B30" s="44"/>
      <c r="C30" s="29"/>
      <c r="D30" s="30">
        <f t="shared" si="7"/>
        <v>0</v>
      </c>
      <c r="E30" s="29"/>
      <c r="F30" s="30">
        <f t="shared" si="1"/>
        <v>0</v>
      </c>
      <c r="G30" s="12"/>
      <c r="H30" s="30">
        <f t="shared" si="2"/>
        <v>0</v>
      </c>
      <c r="I30" s="12"/>
      <c r="J30" s="30">
        <f t="shared" si="3"/>
        <v>0</v>
      </c>
      <c r="K30" s="29"/>
      <c r="L30" s="30">
        <f t="shared" si="4"/>
        <v>0</v>
      </c>
      <c r="M30" s="12"/>
      <c r="N30" s="12"/>
      <c r="R30" s="40">
        <f t="shared" si="5"/>
        <v>0</v>
      </c>
      <c r="T30" s="40">
        <f t="shared" si="6"/>
        <v>0</v>
      </c>
    </row>
    <row r="31" spans="1:20" ht="45" customHeight="1" x14ac:dyDescent="0.15">
      <c r="A31" s="28">
        <v>44223</v>
      </c>
      <c r="B31" s="44"/>
      <c r="C31" s="29"/>
      <c r="D31" s="30">
        <f t="shared" si="7"/>
        <v>0</v>
      </c>
      <c r="E31" s="29"/>
      <c r="F31" s="30">
        <f t="shared" si="1"/>
        <v>0</v>
      </c>
      <c r="G31" s="12"/>
      <c r="H31" s="30">
        <f t="shared" si="2"/>
        <v>0</v>
      </c>
      <c r="I31" s="12"/>
      <c r="J31" s="30">
        <f t="shared" si="3"/>
        <v>0</v>
      </c>
      <c r="K31" s="29"/>
      <c r="L31" s="30">
        <f t="shared" si="4"/>
        <v>0</v>
      </c>
      <c r="M31" s="12"/>
      <c r="N31" s="12"/>
      <c r="R31" s="40">
        <f t="shared" si="5"/>
        <v>0</v>
      </c>
      <c r="T31" s="40">
        <f t="shared" si="6"/>
        <v>0</v>
      </c>
    </row>
    <row r="32" spans="1:20" ht="45" customHeight="1" x14ac:dyDescent="0.15">
      <c r="A32" s="28">
        <v>44224</v>
      </c>
      <c r="B32" s="44"/>
      <c r="C32" s="29"/>
      <c r="D32" s="30">
        <f t="shared" si="7"/>
        <v>0</v>
      </c>
      <c r="E32" s="29"/>
      <c r="F32" s="30">
        <f t="shared" si="1"/>
        <v>0</v>
      </c>
      <c r="G32" s="12"/>
      <c r="H32" s="30">
        <f t="shared" si="2"/>
        <v>0</v>
      </c>
      <c r="I32" s="12"/>
      <c r="J32" s="30">
        <f t="shared" si="3"/>
        <v>0</v>
      </c>
      <c r="K32" s="29"/>
      <c r="L32" s="30">
        <f t="shared" si="4"/>
        <v>0</v>
      </c>
      <c r="M32" s="12"/>
      <c r="N32" s="12"/>
      <c r="R32" s="40">
        <f t="shared" si="5"/>
        <v>0</v>
      </c>
      <c r="T32" s="40">
        <f t="shared" si="6"/>
        <v>0</v>
      </c>
    </row>
    <row r="33" spans="1:20" ht="36" customHeight="1" x14ac:dyDescent="0.15">
      <c r="A33" s="28">
        <v>44225</v>
      </c>
      <c r="C33" s="29"/>
      <c r="D33" s="30">
        <f t="shared" si="7"/>
        <v>0</v>
      </c>
      <c r="E33" s="29"/>
      <c r="F33" s="30">
        <f t="shared" si="1"/>
        <v>0</v>
      </c>
      <c r="G33" s="12"/>
      <c r="H33" s="30">
        <f t="shared" si="2"/>
        <v>0</v>
      </c>
      <c r="I33" s="12"/>
      <c r="J33" s="30">
        <f t="shared" si="3"/>
        <v>0</v>
      </c>
      <c r="K33" s="29"/>
      <c r="L33" s="30">
        <f t="shared" si="4"/>
        <v>0</v>
      </c>
      <c r="M33" s="12"/>
      <c r="N33" s="12"/>
      <c r="R33" s="40">
        <f t="shared" si="5"/>
        <v>0</v>
      </c>
      <c r="T33" s="40">
        <f t="shared" si="6"/>
        <v>0</v>
      </c>
    </row>
    <row r="34" spans="1:20" ht="45.6" customHeight="1" x14ac:dyDescent="0.15">
      <c r="A34" s="28">
        <v>44226</v>
      </c>
      <c r="C34" s="29"/>
      <c r="D34" s="30">
        <f t="shared" si="7"/>
        <v>0</v>
      </c>
      <c r="E34" s="29"/>
      <c r="F34" s="30">
        <f t="shared" si="1"/>
        <v>0</v>
      </c>
      <c r="G34" s="29"/>
      <c r="H34" s="30">
        <f t="shared" si="2"/>
        <v>0</v>
      </c>
      <c r="I34" s="29"/>
      <c r="J34" s="30">
        <f t="shared" si="3"/>
        <v>0</v>
      </c>
      <c r="K34" s="29"/>
      <c r="L34" s="30">
        <f t="shared" si="4"/>
        <v>0</v>
      </c>
      <c r="M34" s="12"/>
      <c r="N34" s="12"/>
      <c r="R34" s="40">
        <f t="shared" si="5"/>
        <v>0</v>
      </c>
      <c r="T34" s="40">
        <f t="shared" si="6"/>
        <v>0</v>
      </c>
    </row>
    <row r="35" spans="1:20" ht="47.45" customHeight="1" x14ac:dyDescent="0.15">
      <c r="A35" s="28">
        <v>44227</v>
      </c>
      <c r="C35" s="29"/>
      <c r="D35" s="30">
        <f t="shared" si="7"/>
        <v>0</v>
      </c>
      <c r="E35" s="29"/>
      <c r="F35" s="30">
        <f t="shared" si="1"/>
        <v>0</v>
      </c>
      <c r="G35" s="29"/>
      <c r="H35" s="30">
        <f t="shared" si="2"/>
        <v>0</v>
      </c>
      <c r="I35" s="29"/>
      <c r="J35" s="30">
        <f t="shared" si="3"/>
        <v>0</v>
      </c>
      <c r="K35" s="29"/>
      <c r="L35" s="30">
        <f t="shared" si="4"/>
        <v>0</v>
      </c>
      <c r="M35" s="12"/>
      <c r="N35" s="12"/>
      <c r="R35" s="40">
        <f t="shared" si="5"/>
        <v>0</v>
      </c>
      <c r="T35" s="40">
        <f t="shared" si="6"/>
        <v>0</v>
      </c>
    </row>
    <row r="36" spans="1:20" x14ac:dyDescent="0.15">
      <c r="Q36" s="13">
        <f>SUM(Q5:Q35)</f>
        <v>16338</v>
      </c>
      <c r="S36" s="13">
        <f>SUM(S5:S35)</f>
        <v>560677</v>
      </c>
    </row>
  </sheetData>
  <mergeCells count="9">
    <mergeCell ref="Q2:R2"/>
    <mergeCell ref="S2:T2"/>
    <mergeCell ref="B1:B32"/>
    <mergeCell ref="K1:L1"/>
    <mergeCell ref="C2:D2"/>
    <mergeCell ref="E2:F2"/>
    <mergeCell ref="K2:L2"/>
    <mergeCell ref="G2:H2"/>
    <mergeCell ref="I2:J2"/>
  </mergeCells>
  <phoneticPr fontId="1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Atsuo Arai</cp:lastModifiedBy>
  <cp:lastPrinted>2020-10-01T03:34:29Z</cp:lastPrinted>
  <dcterms:created xsi:type="dcterms:W3CDTF">2009-02-11T09:03:59Z</dcterms:created>
  <dcterms:modified xsi:type="dcterms:W3CDTF">2021-01-05T01:36:21Z</dcterms:modified>
</cp:coreProperties>
</file>