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 showInkAnnotation="0" codeName="ThisWorkbook" defaultThemeVersion="124226"/>
  <bookViews>
    <workbookView xWindow="-105" yWindow="-105" windowWidth="19425" windowHeight="10425" tabRatio="764"/>
  </bookViews>
  <sheets>
    <sheet name="TOTAL" sheetId="10" r:id="rId1"/>
    <sheet name="Consommation du 01.04 au 30.04" sheetId="1" r:id="rId2"/>
    <sheet name="Suvi Gaz" sheetId="4" r:id="rId3"/>
    <sheet name="Suivi EAU-ELEC" sheetId="6" r:id="rId4"/>
    <sheet name="Feuil1" sheetId="8" state="hidden" r:id="rId5"/>
  </sheets>
  <definedNames>
    <definedName name="_xlnm.Print_Area" localSheetId="3">'Suivi EAU-ELEC'!$A$1:$I$47</definedName>
    <definedName name="_xlnm.Print_Area" localSheetId="2">'Suvi Gaz'!$A$1:$AE$48</definedName>
  </definedNames>
  <calcPr calcId="145621"/>
</workbook>
</file>

<file path=xl/calcChain.xml><?xml version="1.0" encoding="utf-8"?>
<calcChain xmlns="http://schemas.openxmlformats.org/spreadsheetml/2006/main">
  <c r="G45" i="6" l="1"/>
  <c r="E45" i="6"/>
  <c r="C45" i="6"/>
  <c r="G40" i="4"/>
  <c r="E40" i="4"/>
  <c r="C40" i="4"/>
  <c r="G44" i="6" l="1"/>
  <c r="E44" i="6"/>
  <c r="C44" i="6"/>
  <c r="I39" i="4"/>
  <c r="G39" i="4"/>
  <c r="E39" i="4"/>
  <c r="C39" i="4"/>
  <c r="G38" i="4" l="1"/>
  <c r="E38" i="4"/>
  <c r="C38" i="4"/>
  <c r="G43" i="6"/>
  <c r="E43" i="6"/>
  <c r="C43" i="6"/>
  <c r="G42" i="6" l="1"/>
  <c r="E42" i="6"/>
  <c r="C42" i="6"/>
  <c r="G37" i="4"/>
  <c r="E37" i="4"/>
  <c r="C37" i="4"/>
  <c r="G41" i="6" l="1"/>
  <c r="E41" i="6"/>
  <c r="C41" i="6"/>
  <c r="G36" i="4"/>
  <c r="E36" i="4"/>
  <c r="C36" i="4"/>
  <c r="G35" i="6" l="1"/>
  <c r="E35" i="6"/>
  <c r="C35" i="6"/>
  <c r="G34" i="6" l="1"/>
  <c r="E34" i="6"/>
  <c r="C34" i="6"/>
  <c r="G31" i="6" l="1"/>
  <c r="E31" i="6"/>
  <c r="C31" i="6"/>
  <c r="G30" i="6"/>
  <c r="E30" i="6"/>
  <c r="C30" i="6"/>
  <c r="G29" i="6"/>
  <c r="E29" i="6"/>
  <c r="C29" i="6"/>
  <c r="G28" i="6"/>
  <c r="E28" i="6"/>
  <c r="C28" i="6"/>
  <c r="G27" i="6"/>
  <c r="E27" i="6"/>
  <c r="C27" i="6"/>
  <c r="G26" i="6"/>
  <c r="E26" i="6"/>
  <c r="C26" i="6"/>
  <c r="G25" i="6" l="1"/>
  <c r="E25" i="6"/>
  <c r="C25" i="6"/>
  <c r="G24" i="6"/>
  <c r="E24" i="6"/>
  <c r="C24" i="6"/>
  <c r="G23" i="6"/>
  <c r="E23" i="6"/>
  <c r="C23" i="6"/>
  <c r="G22" i="6" l="1"/>
  <c r="E22" i="6"/>
  <c r="C22" i="6"/>
  <c r="G21" i="6" l="1"/>
  <c r="E21" i="6"/>
  <c r="C21" i="6"/>
  <c r="G20" i="6" l="1"/>
  <c r="E20" i="6"/>
  <c r="C20" i="6"/>
  <c r="G19" i="6" l="1"/>
  <c r="E19" i="6"/>
  <c r="C19" i="6"/>
  <c r="G18" i="6"/>
  <c r="E18" i="6"/>
  <c r="C18" i="6"/>
  <c r="G17" i="6"/>
  <c r="E17" i="6"/>
  <c r="C17" i="6"/>
  <c r="G16" i="6"/>
  <c r="E16" i="6"/>
  <c r="C16" i="6"/>
  <c r="G15" i="6"/>
  <c r="E15" i="6"/>
  <c r="C15" i="6"/>
  <c r="D11" i="1" l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31" i="1"/>
  <c r="J11" i="1"/>
  <c r="K11" i="1"/>
  <c r="J12" i="1"/>
  <c r="K12" i="1"/>
  <c r="J13" i="1"/>
  <c r="K13" i="1"/>
  <c r="J14" i="1"/>
  <c r="K14" i="1"/>
  <c r="J15" i="1"/>
  <c r="K15" i="1"/>
  <c r="J16" i="1"/>
  <c r="K16" i="1"/>
  <c r="J17" i="1"/>
  <c r="K17" i="1"/>
  <c r="J18" i="1"/>
  <c r="K18" i="1"/>
  <c r="J19" i="1"/>
  <c r="K19" i="1"/>
  <c r="J20" i="1"/>
  <c r="K20" i="1"/>
  <c r="J21" i="1"/>
  <c r="K21" i="1"/>
  <c r="J22" i="1"/>
  <c r="K22" i="1"/>
  <c r="J23" i="1"/>
  <c r="K23" i="1"/>
  <c r="J24" i="1"/>
  <c r="K24" i="1"/>
  <c r="J25" i="1"/>
  <c r="K25" i="1"/>
  <c r="K10" i="1"/>
  <c r="J10" i="1"/>
  <c r="D10" i="1"/>
  <c r="C32" i="6"/>
  <c r="E32" i="6"/>
  <c r="G32" i="6"/>
  <c r="K26" i="1" s="1"/>
  <c r="C33" i="6"/>
  <c r="D27" i="1" s="1"/>
  <c r="E33" i="6"/>
  <c r="J27" i="1" s="1"/>
  <c r="G33" i="6"/>
  <c r="K27" i="1" s="1"/>
  <c r="D28" i="1"/>
  <c r="J28" i="1"/>
  <c r="K28" i="1"/>
  <c r="D29" i="1"/>
  <c r="J29" i="1"/>
  <c r="K29" i="1"/>
  <c r="C36" i="6"/>
  <c r="D30" i="1" s="1"/>
  <c r="E36" i="6"/>
  <c r="J30" i="1" s="1"/>
  <c r="G36" i="6"/>
  <c r="K30" i="1" s="1"/>
  <c r="C37" i="6"/>
  <c r="E37" i="6"/>
  <c r="J31" i="1" s="1"/>
  <c r="G37" i="6"/>
  <c r="K31" i="1" s="1"/>
  <c r="C38" i="6"/>
  <c r="D32" i="1" s="1"/>
  <c r="E38" i="6"/>
  <c r="J32" i="1" s="1"/>
  <c r="G38" i="6"/>
  <c r="K32" i="1" s="1"/>
  <c r="C39" i="6"/>
  <c r="D33" i="1" s="1"/>
  <c r="E39" i="6"/>
  <c r="J33" i="1" s="1"/>
  <c r="G39" i="6"/>
  <c r="K33" i="1" s="1"/>
  <c r="C40" i="6"/>
  <c r="D34" i="1" s="1"/>
  <c r="E40" i="6"/>
  <c r="J34" i="1" s="1"/>
  <c r="G40" i="6"/>
  <c r="K34" i="1" s="1"/>
  <c r="D35" i="1"/>
  <c r="J35" i="1"/>
  <c r="K35" i="1"/>
  <c r="D36" i="1"/>
  <c r="J36" i="1"/>
  <c r="K36" i="1"/>
  <c r="D37" i="1"/>
  <c r="J37" i="1"/>
  <c r="K37" i="1"/>
  <c r="D38" i="1"/>
  <c r="J38" i="1"/>
  <c r="K38" i="1"/>
  <c r="D39" i="1"/>
  <c r="J39" i="1"/>
  <c r="K39" i="1"/>
  <c r="C46" i="6"/>
  <c r="D40" i="1" s="1"/>
  <c r="E46" i="6"/>
  <c r="J40" i="1" s="1"/>
  <c r="G46" i="6"/>
  <c r="K40" i="1" s="1"/>
  <c r="C47" i="6"/>
  <c r="E47" i="6"/>
  <c r="G47" i="6"/>
  <c r="G14" i="6"/>
  <c r="E14" i="6"/>
  <c r="C14" i="6"/>
  <c r="G13" i="6"/>
  <c r="E13" i="6"/>
  <c r="C13" i="6"/>
  <c r="G12" i="6"/>
  <c r="E12" i="6"/>
  <c r="C12" i="6"/>
  <c r="G11" i="6"/>
  <c r="E11" i="6"/>
  <c r="C11" i="6"/>
  <c r="G10" i="6"/>
  <c r="E10" i="6"/>
  <c r="C10" i="6"/>
  <c r="G9" i="6"/>
  <c r="E9" i="6"/>
  <c r="C9" i="6"/>
  <c r="T43" i="4"/>
  <c r="W43" i="4"/>
  <c r="Z43" i="4"/>
  <c r="Q43" i="4"/>
  <c r="E48" i="6" l="1"/>
  <c r="C48" i="6"/>
  <c r="G48" i="6"/>
  <c r="J26" i="1"/>
  <c r="D26" i="1"/>
  <c r="M39" i="4"/>
  <c r="J39" i="4"/>
  <c r="K39" i="4" s="1"/>
  <c r="M38" i="4"/>
  <c r="J38" i="4"/>
  <c r="K38" i="4" s="1"/>
  <c r="M37" i="4"/>
  <c r="J37" i="4"/>
  <c r="K37" i="4" s="1"/>
  <c r="M36" i="4"/>
  <c r="J36" i="4"/>
  <c r="K36" i="4" s="1"/>
  <c r="M35" i="4"/>
  <c r="J35" i="4"/>
  <c r="K35" i="4" s="1"/>
  <c r="M34" i="4"/>
  <c r="J34" i="4"/>
  <c r="K34" i="4" s="1"/>
  <c r="M33" i="4"/>
  <c r="J33" i="4"/>
  <c r="K33" i="4" s="1"/>
  <c r="M32" i="4"/>
  <c r="J32" i="4"/>
  <c r="K32" i="4" s="1"/>
  <c r="M31" i="4"/>
  <c r="J31" i="4"/>
  <c r="K31" i="4" s="1"/>
  <c r="M30" i="4"/>
  <c r="J30" i="4"/>
  <c r="K30" i="4" s="1"/>
  <c r="M29" i="4"/>
  <c r="J29" i="4"/>
  <c r="K29" i="4" s="1"/>
  <c r="M28" i="4"/>
  <c r="J28" i="4"/>
  <c r="K28" i="4" s="1"/>
  <c r="M27" i="4"/>
  <c r="J27" i="4"/>
  <c r="K27" i="4" s="1"/>
  <c r="M26" i="4"/>
  <c r="J26" i="4"/>
  <c r="K26" i="4" s="1"/>
  <c r="M25" i="4"/>
  <c r="J25" i="4"/>
  <c r="K25" i="4" s="1"/>
  <c r="M24" i="4"/>
  <c r="J24" i="4"/>
  <c r="K24" i="4" s="1"/>
  <c r="M23" i="4"/>
  <c r="J23" i="4"/>
  <c r="K23" i="4" s="1"/>
  <c r="M22" i="4"/>
  <c r="J22" i="4"/>
  <c r="K22" i="4" s="1"/>
  <c r="M15" i="4" l="1"/>
  <c r="J15" i="4"/>
  <c r="K15" i="4" s="1"/>
  <c r="M14" i="4"/>
  <c r="J14" i="4"/>
  <c r="K14" i="4" s="1"/>
  <c r="J41" i="1" l="1"/>
  <c r="K41" i="1" l="1"/>
  <c r="D41" i="1"/>
  <c r="M31" i="10"/>
  <c r="K31" i="10"/>
  <c r="M40" i="4" l="1"/>
  <c r="J40" i="4"/>
  <c r="K40" i="4" s="1"/>
  <c r="M16" i="4" l="1"/>
  <c r="J16" i="4"/>
  <c r="K16" i="4" s="1"/>
  <c r="AD11" i="4" l="1"/>
  <c r="AE11" i="4"/>
  <c r="AD12" i="4"/>
  <c r="AE12" i="4"/>
  <c r="AD13" i="4"/>
  <c r="AE13" i="4"/>
  <c r="M19" i="10" l="1"/>
  <c r="M20" i="10"/>
  <c r="M21" i="10"/>
  <c r="M22" i="10"/>
  <c r="M23" i="10"/>
  <c r="M42" i="4" l="1"/>
  <c r="J42" i="4"/>
  <c r="K42" i="4" s="1"/>
  <c r="M41" i="4"/>
  <c r="J41" i="4"/>
  <c r="K41" i="4" s="1"/>
  <c r="M21" i="4"/>
  <c r="J21" i="4"/>
  <c r="K21" i="4" s="1"/>
  <c r="M20" i="4"/>
  <c r="J20" i="4"/>
  <c r="K20" i="4" s="1"/>
  <c r="M19" i="4"/>
  <c r="J19" i="4"/>
  <c r="K19" i="4" s="1"/>
  <c r="M18" i="4"/>
  <c r="J18" i="4"/>
  <c r="K18" i="4" s="1"/>
  <c r="M17" i="4"/>
  <c r="J17" i="4"/>
  <c r="K17" i="4" s="1"/>
  <c r="M13" i="4"/>
  <c r="J13" i="4"/>
  <c r="K13" i="4" s="1"/>
  <c r="M12" i="4"/>
  <c r="J12" i="4"/>
  <c r="K12" i="4" s="1"/>
  <c r="M11" i="4"/>
  <c r="J11" i="4"/>
  <c r="K11" i="4" s="1"/>
  <c r="M10" i="4"/>
  <c r="J10" i="4"/>
  <c r="K10" i="4" s="1"/>
  <c r="M9" i="4"/>
  <c r="J9" i="4"/>
  <c r="K9" i="4" s="1"/>
  <c r="M8" i="4"/>
  <c r="J8" i="4"/>
  <c r="K8" i="4" s="1"/>
  <c r="M7" i="4"/>
  <c r="J7" i="4"/>
  <c r="K7" i="4" s="1"/>
  <c r="M6" i="4"/>
  <c r="J6" i="4"/>
  <c r="K6" i="4" s="1"/>
  <c r="M5" i="4"/>
  <c r="J5" i="4"/>
  <c r="K5" i="4" s="1"/>
  <c r="M4" i="4"/>
  <c r="J4" i="4"/>
  <c r="K4" i="4" s="1"/>
  <c r="Y31" i="1" l="1"/>
  <c r="M13" i="10" l="1"/>
  <c r="M14" i="10"/>
  <c r="M15" i="10"/>
  <c r="M16" i="10"/>
  <c r="M17" i="10"/>
  <c r="M18" i="10"/>
  <c r="M24" i="10"/>
  <c r="M25" i="10"/>
  <c r="M26" i="10"/>
  <c r="M27" i="10"/>
  <c r="M28" i="10"/>
  <c r="M29" i="10"/>
  <c r="M30" i="10"/>
  <c r="K18" i="10"/>
  <c r="K19" i="10"/>
  <c r="K20" i="10"/>
  <c r="K21" i="10"/>
  <c r="K22" i="10"/>
  <c r="K10" i="10" l="1"/>
  <c r="K11" i="10"/>
  <c r="K12" i="10"/>
  <c r="K13" i="10"/>
  <c r="K14" i="10"/>
  <c r="K15" i="10"/>
  <c r="K16" i="10"/>
  <c r="K17" i="10"/>
  <c r="K26" i="10"/>
  <c r="K23" i="10"/>
  <c r="K24" i="10"/>
  <c r="K25" i="10"/>
  <c r="K27" i="10"/>
  <c r="K28" i="10"/>
  <c r="K29" i="10"/>
  <c r="K30" i="10"/>
  <c r="I17" i="6"/>
  <c r="L11" i="1" s="1"/>
  <c r="I16" i="6"/>
  <c r="I15" i="6"/>
  <c r="I14" i="6"/>
  <c r="I13" i="6"/>
  <c r="I12" i="6"/>
  <c r="I11" i="6"/>
  <c r="I10" i="6"/>
  <c r="I9" i="6"/>
  <c r="A10" i="6"/>
  <c r="A11" i="6" s="1"/>
  <c r="A12" i="6" s="1"/>
  <c r="A13" i="6" s="1"/>
  <c r="A14" i="6" s="1"/>
  <c r="A15" i="6" s="1"/>
  <c r="A16" i="6" s="1"/>
  <c r="L10" i="1" l="1"/>
  <c r="I47" i="6"/>
  <c r="I46" i="6"/>
  <c r="L40" i="1" s="1"/>
  <c r="I45" i="6"/>
  <c r="L39" i="1" s="1"/>
  <c r="I44" i="6"/>
  <c r="L38" i="1" s="1"/>
  <c r="I43" i="6"/>
  <c r="L37" i="1" s="1"/>
  <c r="I42" i="6"/>
  <c r="L36" i="1" s="1"/>
  <c r="I41" i="6"/>
  <c r="L35" i="1" s="1"/>
  <c r="I40" i="6"/>
  <c r="L34" i="1" s="1"/>
  <c r="I39" i="6"/>
  <c r="L33" i="1" s="1"/>
  <c r="I38" i="6"/>
  <c r="L32" i="1" s="1"/>
  <c r="I37" i="6"/>
  <c r="L31" i="1" s="1"/>
  <c r="I36" i="6"/>
  <c r="L30" i="1" s="1"/>
  <c r="I35" i="6"/>
  <c r="L29" i="1" s="1"/>
  <c r="I34" i="6"/>
  <c r="L28" i="1" s="1"/>
  <c r="I33" i="6"/>
  <c r="L27" i="1" s="1"/>
  <c r="I32" i="6"/>
  <c r="L26" i="1" s="1"/>
  <c r="I31" i="6"/>
  <c r="L25" i="1" s="1"/>
  <c r="I30" i="6"/>
  <c r="L24" i="1" s="1"/>
  <c r="I29" i="6"/>
  <c r="L23" i="1" s="1"/>
  <c r="I28" i="6"/>
  <c r="L22" i="1" s="1"/>
  <c r="I27" i="6"/>
  <c r="L21" i="1" s="1"/>
  <c r="I26" i="6"/>
  <c r="L20" i="1" s="1"/>
  <c r="I25" i="6"/>
  <c r="L19" i="1" s="1"/>
  <c r="I24" i="6"/>
  <c r="L18" i="1" s="1"/>
  <c r="I23" i="6"/>
  <c r="L17" i="1" s="1"/>
  <c r="I22" i="6"/>
  <c r="L16" i="1" s="1"/>
  <c r="I21" i="6"/>
  <c r="L15" i="1" s="1"/>
  <c r="I20" i="6"/>
  <c r="L14" i="1" s="1"/>
  <c r="I19" i="6"/>
  <c r="L13" i="1" s="1"/>
  <c r="I18" i="6"/>
  <c r="L12" i="1" l="1"/>
  <c r="L41" i="1" s="1"/>
  <c r="I48" i="6"/>
  <c r="A5" i="4"/>
  <c r="A6" i="4" s="1"/>
  <c r="A7" i="4" s="1"/>
  <c r="A8" i="4" s="1"/>
  <c r="A9" i="4" s="1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M21" i="1" l="1"/>
  <c r="E13" i="10" s="1"/>
  <c r="F11" i="1"/>
  <c r="K4" i="10"/>
  <c r="F14" i="1"/>
  <c r="K7" i="10"/>
  <c r="K8" i="10"/>
  <c r="F19" i="1"/>
  <c r="F28" i="1"/>
  <c r="F30" i="1"/>
  <c r="F35" i="1"/>
  <c r="F37" i="1"/>
  <c r="F27" i="1"/>
  <c r="K6" i="10"/>
  <c r="Y35" i="1"/>
  <c r="Y36" i="1"/>
  <c r="I28" i="10" s="1"/>
  <c r="F18" i="1"/>
  <c r="F13" i="1"/>
  <c r="M13" i="1"/>
  <c r="E5" i="10" s="1"/>
  <c r="M16" i="1"/>
  <c r="E8" i="10" s="1"/>
  <c r="M18" i="1"/>
  <c r="E10" i="10" s="1"/>
  <c r="M19" i="1"/>
  <c r="E11" i="10" s="1"/>
  <c r="M20" i="1"/>
  <c r="E12" i="10" s="1"/>
  <c r="M24" i="1"/>
  <c r="E16" i="10" s="1"/>
  <c r="M25" i="1"/>
  <c r="E17" i="10" s="1"/>
  <c r="M28" i="1"/>
  <c r="E20" i="10" s="1"/>
  <c r="Y28" i="1"/>
  <c r="M5" i="10"/>
  <c r="Y13" i="1"/>
  <c r="Y14" i="1"/>
  <c r="I6" i="10" s="1"/>
  <c r="AC8" i="4"/>
  <c r="AD8" i="4"/>
  <c r="AE8" i="4"/>
  <c r="AC9" i="4"/>
  <c r="AD9" i="4"/>
  <c r="AE9" i="4"/>
  <c r="AC10" i="4"/>
  <c r="AD10" i="4"/>
  <c r="AE10" i="4"/>
  <c r="AC11" i="4"/>
  <c r="AC12" i="4"/>
  <c r="AC13" i="4"/>
  <c r="AC14" i="4"/>
  <c r="AD14" i="4"/>
  <c r="AE14" i="4"/>
  <c r="AC15" i="4"/>
  <c r="AD15" i="4"/>
  <c r="AE15" i="4"/>
  <c r="AC16" i="4"/>
  <c r="AD16" i="4"/>
  <c r="AE16" i="4"/>
  <c r="AC17" i="4"/>
  <c r="AD17" i="4"/>
  <c r="AE17" i="4"/>
  <c r="AC18" i="4"/>
  <c r="AD18" i="4"/>
  <c r="AE18" i="4"/>
  <c r="AC19" i="4"/>
  <c r="AD19" i="4"/>
  <c r="AE19" i="4"/>
  <c r="AC20" i="4"/>
  <c r="AD20" i="4"/>
  <c r="AE20" i="4"/>
  <c r="AC21" i="4"/>
  <c r="AD21" i="4"/>
  <c r="AE21" i="4"/>
  <c r="AC22" i="4"/>
  <c r="AD22" i="4"/>
  <c r="AE22" i="4"/>
  <c r="AC23" i="4"/>
  <c r="AD23" i="4"/>
  <c r="AE23" i="4"/>
  <c r="AC24" i="4"/>
  <c r="AD24" i="4"/>
  <c r="AE24" i="4"/>
  <c r="AC25" i="4"/>
  <c r="AD25" i="4"/>
  <c r="AE25" i="4"/>
  <c r="AC26" i="4"/>
  <c r="AD26" i="4"/>
  <c r="AE26" i="4"/>
  <c r="AC27" i="4"/>
  <c r="AD27" i="4"/>
  <c r="AE27" i="4"/>
  <c r="AC28" i="4"/>
  <c r="AD28" i="4"/>
  <c r="AE28" i="4"/>
  <c r="AC29" i="4"/>
  <c r="AD29" i="4"/>
  <c r="AE29" i="4"/>
  <c r="AC30" i="4"/>
  <c r="AD30" i="4"/>
  <c r="AE30" i="4"/>
  <c r="AC31" i="4"/>
  <c r="AD31" i="4"/>
  <c r="AE31" i="4"/>
  <c r="AC32" i="4"/>
  <c r="AD32" i="4"/>
  <c r="AE32" i="4"/>
  <c r="AC33" i="4"/>
  <c r="AD33" i="4"/>
  <c r="AE33" i="4"/>
  <c r="AC34" i="4"/>
  <c r="AD34" i="4"/>
  <c r="AE34" i="4"/>
  <c r="AC35" i="4"/>
  <c r="AD35" i="4"/>
  <c r="AE35" i="4"/>
  <c r="AC36" i="4"/>
  <c r="AD36" i="4"/>
  <c r="AE36" i="4"/>
  <c r="AC37" i="4"/>
  <c r="AD37" i="4"/>
  <c r="AE37" i="4"/>
  <c r="AC38" i="4"/>
  <c r="AD38" i="4"/>
  <c r="AE38" i="4"/>
  <c r="AC39" i="4"/>
  <c r="AD39" i="4"/>
  <c r="AE39" i="4"/>
  <c r="AC40" i="4"/>
  <c r="AD40" i="4"/>
  <c r="AE40" i="4"/>
  <c r="AC41" i="4"/>
  <c r="AD41" i="4"/>
  <c r="AE41" i="4"/>
  <c r="AC42" i="4"/>
  <c r="AD42" i="4"/>
  <c r="AE42" i="4"/>
  <c r="AE7" i="4"/>
  <c r="AD7" i="4"/>
  <c r="AC7" i="4"/>
  <c r="AE6" i="4"/>
  <c r="AD6" i="4"/>
  <c r="AC6" i="4"/>
  <c r="AE5" i="4"/>
  <c r="AD5" i="4"/>
  <c r="AC5" i="4"/>
  <c r="AE4" i="4"/>
  <c r="AD4" i="4"/>
  <c r="AC4" i="4"/>
  <c r="Y40" i="1"/>
  <c r="Y39" i="1"/>
  <c r="I31" i="10" s="1"/>
  <c r="Y38" i="1"/>
  <c r="Y37" i="1"/>
  <c r="I29" i="10" s="1"/>
  <c r="Y34" i="1"/>
  <c r="Y33" i="1"/>
  <c r="I25" i="10" s="1"/>
  <c r="Y32" i="1"/>
  <c r="Y30" i="1"/>
  <c r="Y29" i="1"/>
  <c r="Y27" i="1"/>
  <c r="Y26" i="1"/>
  <c r="Y25" i="1"/>
  <c r="I17" i="10" s="1"/>
  <c r="Y24" i="1"/>
  <c r="Y23" i="1"/>
  <c r="I15" i="10" s="1"/>
  <c r="Y22" i="1"/>
  <c r="Y21" i="1"/>
  <c r="I13" i="10" s="1"/>
  <c r="Y20" i="1"/>
  <c r="I12" i="10" s="1"/>
  <c r="Y19" i="1"/>
  <c r="Y18" i="1"/>
  <c r="I10" i="10" s="1"/>
  <c r="Y17" i="1"/>
  <c r="I9" i="10" s="1"/>
  <c r="Y16" i="1"/>
  <c r="I8" i="10" s="1"/>
  <c r="Y15" i="1"/>
  <c r="I7" i="10" s="1"/>
  <c r="Y12" i="1"/>
  <c r="Y11" i="1"/>
  <c r="Y10" i="1"/>
  <c r="M12" i="1"/>
  <c r="E4" i="10" s="1"/>
  <c r="A17" i="6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G58" i="6"/>
  <c r="B11" i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S41" i="1"/>
  <c r="M2" i="10"/>
  <c r="B3" i="10"/>
  <c r="B4" i="10" s="1"/>
  <c r="B5" i="10" s="1"/>
  <c r="B6" i="10" s="1"/>
  <c r="B7" i="10" s="1"/>
  <c r="B8" i="10" s="1"/>
  <c r="B9" i="10" s="1"/>
  <c r="B10" i="10" s="1"/>
  <c r="B11" i="10" s="1"/>
  <c r="B12" i="10" s="1"/>
  <c r="B13" i="10" s="1"/>
  <c r="B14" i="10" s="1"/>
  <c r="B15" i="10" s="1"/>
  <c r="B16" i="10" s="1"/>
  <c r="B17" i="10" s="1"/>
  <c r="B18" i="10" s="1"/>
  <c r="B19" i="10" s="1"/>
  <c r="B20" i="10" s="1"/>
  <c r="B21" i="10" s="1"/>
  <c r="B22" i="10" s="1"/>
  <c r="B23" i="10" s="1"/>
  <c r="B24" i="10" s="1"/>
  <c r="B25" i="10" s="1"/>
  <c r="B26" i="10" s="1"/>
  <c r="B27" i="10" s="1"/>
  <c r="B28" i="10" s="1"/>
  <c r="B29" i="10" s="1"/>
  <c r="B30" i="10" s="1"/>
  <c r="B31" i="10" s="1"/>
  <c r="M3" i="10"/>
  <c r="M4" i="10"/>
  <c r="M6" i="10"/>
  <c r="M7" i="10"/>
  <c r="M8" i="10"/>
  <c r="M9" i="10"/>
  <c r="M10" i="10"/>
  <c r="M11" i="10"/>
  <c r="M12" i="10"/>
  <c r="F29" i="1"/>
  <c r="F36" i="1"/>
  <c r="F10" i="1"/>
  <c r="K5" i="10"/>
  <c r="F21" i="1"/>
  <c r="F22" i="1"/>
  <c r="F25" i="1"/>
  <c r="F34" i="1"/>
  <c r="K2" i="10"/>
  <c r="Q44" i="4"/>
  <c r="F17" i="1"/>
  <c r="K9" i="10"/>
  <c r="AC44" i="4"/>
  <c r="F26" i="1"/>
  <c r="F38" i="1"/>
  <c r="E29" i="4" l="1"/>
  <c r="G29" i="4"/>
  <c r="C29" i="4"/>
  <c r="E30" i="4"/>
  <c r="G30" i="4"/>
  <c r="C30" i="4"/>
  <c r="E32" i="4"/>
  <c r="C32" i="4"/>
  <c r="G32" i="4"/>
  <c r="C24" i="4"/>
  <c r="G24" i="4"/>
  <c r="E24" i="4"/>
  <c r="E21" i="4"/>
  <c r="C21" i="4"/>
  <c r="G21" i="4"/>
  <c r="G17" i="4"/>
  <c r="E17" i="4"/>
  <c r="C17" i="4"/>
  <c r="G42" i="4"/>
  <c r="C42" i="4"/>
  <c r="E42" i="4"/>
  <c r="G34" i="4"/>
  <c r="C34" i="4"/>
  <c r="E34" i="4"/>
  <c r="G26" i="4"/>
  <c r="E26" i="4"/>
  <c r="C26" i="4"/>
  <c r="C22" i="4"/>
  <c r="G22" i="4"/>
  <c r="E22" i="4"/>
  <c r="C18" i="4"/>
  <c r="G18" i="4"/>
  <c r="E18" i="4"/>
  <c r="E14" i="4"/>
  <c r="C14" i="4"/>
  <c r="G14" i="4"/>
  <c r="E28" i="4"/>
  <c r="G28" i="4"/>
  <c r="C28" i="4"/>
  <c r="G20" i="4"/>
  <c r="E20" i="4"/>
  <c r="C20" i="4"/>
  <c r="E16" i="4"/>
  <c r="C16" i="4"/>
  <c r="G16" i="4"/>
  <c r="G12" i="4"/>
  <c r="C12" i="4"/>
  <c r="E12" i="4"/>
  <c r="E10" i="4"/>
  <c r="C10" i="4"/>
  <c r="G10" i="4"/>
  <c r="G41" i="4"/>
  <c r="C41" i="4"/>
  <c r="E41" i="4"/>
  <c r="G33" i="4"/>
  <c r="C33" i="4"/>
  <c r="E33" i="4"/>
  <c r="E25" i="4"/>
  <c r="C25" i="4"/>
  <c r="G25" i="4"/>
  <c r="G11" i="4"/>
  <c r="C11" i="4"/>
  <c r="E11" i="4"/>
  <c r="AC43" i="4"/>
  <c r="K48" i="4" s="1"/>
  <c r="L48" i="4" s="1"/>
  <c r="M48" i="4" s="1"/>
  <c r="C35" i="4"/>
  <c r="G35" i="4"/>
  <c r="E35" i="4"/>
  <c r="C31" i="4"/>
  <c r="E31" i="4"/>
  <c r="G31" i="4"/>
  <c r="C27" i="4"/>
  <c r="E27" i="4"/>
  <c r="G27" i="4"/>
  <c r="G23" i="4"/>
  <c r="E23" i="4"/>
  <c r="C23" i="4"/>
  <c r="E19" i="4"/>
  <c r="C19" i="4"/>
  <c r="G19" i="4"/>
  <c r="E15" i="4"/>
  <c r="C15" i="4"/>
  <c r="G15" i="4"/>
  <c r="C13" i="4"/>
  <c r="E13" i="4"/>
  <c r="G13" i="4"/>
  <c r="E8" i="4"/>
  <c r="C8" i="4"/>
  <c r="G8" i="4"/>
  <c r="G7" i="4"/>
  <c r="E7" i="4"/>
  <c r="C7" i="4"/>
  <c r="G9" i="4"/>
  <c r="E9" i="4"/>
  <c r="C9" i="4"/>
  <c r="E4" i="4"/>
  <c r="C4" i="4"/>
  <c r="G4" i="4"/>
  <c r="E6" i="4"/>
  <c r="C6" i="4"/>
  <c r="G6" i="4"/>
  <c r="G5" i="4"/>
  <c r="E5" i="4"/>
  <c r="C5" i="4"/>
  <c r="Y41" i="1"/>
  <c r="I38" i="4"/>
  <c r="L38" i="4"/>
  <c r="N38" i="4" s="1"/>
  <c r="O38" i="4" s="1"/>
  <c r="U37" i="1" s="1"/>
  <c r="L36" i="4"/>
  <c r="N36" i="4" s="1"/>
  <c r="O36" i="4" s="1"/>
  <c r="U35" i="1" s="1"/>
  <c r="I36" i="4"/>
  <c r="I34" i="4"/>
  <c r="L34" i="4"/>
  <c r="N34" i="4" s="1"/>
  <c r="O34" i="4" s="1"/>
  <c r="U33" i="1" s="1"/>
  <c r="L32" i="4"/>
  <c r="N32" i="4" s="1"/>
  <c r="O32" i="4" s="1"/>
  <c r="U31" i="1" s="1"/>
  <c r="I32" i="4"/>
  <c r="L30" i="4"/>
  <c r="N30" i="4" s="1"/>
  <c r="O30" i="4" s="1"/>
  <c r="U29" i="1" s="1"/>
  <c r="I30" i="4"/>
  <c r="I28" i="4"/>
  <c r="L28" i="4"/>
  <c r="N28" i="4" s="1"/>
  <c r="O28" i="4" s="1"/>
  <c r="U27" i="1" s="1"/>
  <c r="L26" i="4"/>
  <c r="N26" i="4" s="1"/>
  <c r="O26" i="4" s="1"/>
  <c r="U25" i="1" s="1"/>
  <c r="I26" i="4"/>
  <c r="L24" i="4"/>
  <c r="N24" i="4" s="1"/>
  <c r="O24" i="4" s="1"/>
  <c r="U23" i="1" s="1"/>
  <c r="I24" i="4"/>
  <c r="I22" i="4"/>
  <c r="L22" i="4"/>
  <c r="N22" i="4" s="1"/>
  <c r="O22" i="4" s="1"/>
  <c r="U21" i="1" s="1"/>
  <c r="L37" i="4"/>
  <c r="N37" i="4" s="1"/>
  <c r="O37" i="4" s="1"/>
  <c r="U36" i="1" s="1"/>
  <c r="I37" i="4"/>
  <c r="I23" i="4"/>
  <c r="L23" i="4"/>
  <c r="N23" i="4" s="1"/>
  <c r="O23" i="4" s="1"/>
  <c r="U22" i="1" s="1"/>
  <c r="L39" i="4"/>
  <c r="N39" i="4" s="1"/>
  <c r="O39" i="4" s="1"/>
  <c r="U38" i="1" s="1"/>
  <c r="I33" i="4"/>
  <c r="L33" i="4"/>
  <c r="N33" i="4" s="1"/>
  <c r="O33" i="4" s="1"/>
  <c r="U32" i="1" s="1"/>
  <c r="I29" i="4"/>
  <c r="L29" i="4"/>
  <c r="N29" i="4" s="1"/>
  <c r="O29" i="4" s="1"/>
  <c r="U28" i="1" s="1"/>
  <c r="L25" i="4"/>
  <c r="N25" i="4" s="1"/>
  <c r="O25" i="4" s="1"/>
  <c r="U24" i="1" s="1"/>
  <c r="I25" i="4"/>
  <c r="L35" i="4"/>
  <c r="N35" i="4" s="1"/>
  <c r="O35" i="4" s="1"/>
  <c r="U34" i="1" s="1"/>
  <c r="I35" i="4"/>
  <c r="L31" i="4"/>
  <c r="N31" i="4" s="1"/>
  <c r="O31" i="4" s="1"/>
  <c r="U30" i="1" s="1"/>
  <c r="I31" i="4"/>
  <c r="I27" i="4"/>
  <c r="L27" i="4"/>
  <c r="N27" i="4" s="1"/>
  <c r="O27" i="4" s="1"/>
  <c r="U26" i="1" s="1"/>
  <c r="I14" i="4"/>
  <c r="L14" i="4"/>
  <c r="N14" i="4" s="1"/>
  <c r="O14" i="4" s="1"/>
  <c r="I15" i="4"/>
  <c r="L15" i="4"/>
  <c r="N15" i="4" s="1"/>
  <c r="O15" i="4" s="1"/>
  <c r="I10" i="4"/>
  <c r="I13" i="4"/>
  <c r="I12" i="4"/>
  <c r="I11" i="4"/>
  <c r="L40" i="4"/>
  <c r="N40" i="4" s="1"/>
  <c r="O40" i="4" s="1"/>
  <c r="I40" i="4"/>
  <c r="L16" i="4"/>
  <c r="N16" i="4" s="1"/>
  <c r="O16" i="4" s="1"/>
  <c r="I16" i="4"/>
  <c r="I3" i="10"/>
  <c r="Z13" i="1"/>
  <c r="I5" i="10"/>
  <c r="Z24" i="1"/>
  <c r="I16" i="10"/>
  <c r="Z19" i="1"/>
  <c r="I11" i="10"/>
  <c r="Z22" i="1"/>
  <c r="I14" i="10"/>
  <c r="Z12" i="1"/>
  <c r="I4" i="10"/>
  <c r="L4" i="4"/>
  <c r="N4" i="4" s="1"/>
  <c r="O4" i="4" s="1"/>
  <c r="P4" i="4" s="1"/>
  <c r="I4" i="4"/>
  <c r="I6" i="4"/>
  <c r="L6" i="4"/>
  <c r="N6" i="4" s="1"/>
  <c r="O6" i="4" s="1"/>
  <c r="P6" i="4" s="1"/>
  <c r="I42" i="4"/>
  <c r="L42" i="4"/>
  <c r="N42" i="4" s="1"/>
  <c r="O42" i="4" s="1"/>
  <c r="P42" i="4" s="1"/>
  <c r="I20" i="4"/>
  <c r="L20" i="4"/>
  <c r="N20" i="4" s="1"/>
  <c r="O20" i="4" s="1"/>
  <c r="I18" i="4"/>
  <c r="L18" i="4"/>
  <c r="N18" i="4" s="1"/>
  <c r="O18" i="4" s="1"/>
  <c r="L12" i="4"/>
  <c r="N12" i="4" s="1"/>
  <c r="L10" i="4"/>
  <c r="N10" i="4" s="1"/>
  <c r="O10" i="4" s="1"/>
  <c r="P10" i="4" s="1"/>
  <c r="I8" i="4"/>
  <c r="L8" i="4"/>
  <c r="N8" i="4" s="1"/>
  <c r="O8" i="4" s="1"/>
  <c r="P8" i="4" s="1"/>
  <c r="L5" i="4"/>
  <c r="N5" i="4" s="1"/>
  <c r="O5" i="4" s="1"/>
  <c r="P5" i="4" s="1"/>
  <c r="I5" i="4"/>
  <c r="I7" i="4"/>
  <c r="L7" i="4"/>
  <c r="N7" i="4" s="1"/>
  <c r="O7" i="4" s="1"/>
  <c r="P7" i="4" s="1"/>
  <c r="I41" i="4"/>
  <c r="L41" i="4"/>
  <c r="N41" i="4" s="1"/>
  <c r="O41" i="4" s="1"/>
  <c r="L21" i="4"/>
  <c r="N21" i="4" s="1"/>
  <c r="O21" i="4" s="1"/>
  <c r="I21" i="4"/>
  <c r="I19" i="4"/>
  <c r="L19" i="4"/>
  <c r="N19" i="4" s="1"/>
  <c r="O19" i="4" s="1"/>
  <c r="L17" i="4"/>
  <c r="N17" i="4" s="1"/>
  <c r="O17" i="4" s="1"/>
  <c r="I17" i="4"/>
  <c r="L13" i="4"/>
  <c r="N13" i="4" s="1"/>
  <c r="O13" i="4" s="1"/>
  <c r="L11" i="4"/>
  <c r="N11" i="4" s="1"/>
  <c r="L9" i="4"/>
  <c r="N9" i="4" s="1"/>
  <c r="I9" i="4"/>
  <c r="Z34" i="1"/>
  <c r="I26" i="10"/>
  <c r="Z35" i="1"/>
  <c r="I27" i="10"/>
  <c r="Z38" i="1"/>
  <c r="I30" i="10"/>
  <c r="Z32" i="1"/>
  <c r="I24" i="10"/>
  <c r="Z27" i="1"/>
  <c r="I19" i="10"/>
  <c r="Z29" i="1"/>
  <c r="I21" i="10"/>
  <c r="Z30" i="1"/>
  <c r="I22" i="10"/>
  <c r="Z26" i="1"/>
  <c r="I18" i="10"/>
  <c r="Z31" i="1"/>
  <c r="I23" i="10"/>
  <c r="Z28" i="1"/>
  <c r="I20" i="10"/>
  <c r="Z40" i="1"/>
  <c r="M39" i="1"/>
  <c r="E31" i="10" s="1"/>
  <c r="Z39" i="1"/>
  <c r="M37" i="1"/>
  <c r="M38" i="1"/>
  <c r="E30" i="10" s="1"/>
  <c r="Z36" i="1"/>
  <c r="Z37" i="1"/>
  <c r="M34" i="1"/>
  <c r="E26" i="10" s="1"/>
  <c r="M35" i="1"/>
  <c r="Z33" i="1"/>
  <c r="M31" i="1"/>
  <c r="E23" i="10" s="1"/>
  <c r="M32" i="1"/>
  <c r="E24" i="10" s="1"/>
  <c r="M27" i="1"/>
  <c r="E19" i="10" s="1"/>
  <c r="Z25" i="1"/>
  <c r="M22" i="1"/>
  <c r="E14" i="10" s="1"/>
  <c r="M17" i="1"/>
  <c r="E9" i="10" s="1"/>
  <c r="M15" i="1"/>
  <c r="Z18" i="1"/>
  <c r="Z10" i="1"/>
  <c r="Z11" i="1"/>
  <c r="Z16" i="1"/>
  <c r="Z20" i="1"/>
  <c r="Z14" i="1"/>
  <c r="Z17" i="1"/>
  <c r="Z21" i="1"/>
  <c r="Z15" i="1"/>
  <c r="Z23" i="1"/>
  <c r="M10" i="1"/>
  <c r="O13" i="1"/>
  <c r="F12" i="1"/>
  <c r="M11" i="1"/>
  <c r="M29" i="1"/>
  <c r="E21" i="10" s="1"/>
  <c r="F16" i="1"/>
  <c r="F23" i="1"/>
  <c r="M33" i="1"/>
  <c r="M23" i="1"/>
  <c r="E15" i="10" s="1"/>
  <c r="F39" i="1"/>
  <c r="M40" i="1"/>
  <c r="M14" i="1"/>
  <c r="F24" i="1"/>
  <c r="K3" i="10"/>
  <c r="G44" i="1"/>
  <c r="J44" i="1" s="1"/>
  <c r="M26" i="1"/>
  <c r="I2" i="10"/>
  <c r="O12" i="1"/>
  <c r="O20" i="1"/>
  <c r="O24" i="1"/>
  <c r="O16" i="1"/>
  <c r="O21" i="1"/>
  <c r="O18" i="1"/>
  <c r="F20" i="1"/>
  <c r="O25" i="1"/>
  <c r="O28" i="1"/>
  <c r="O19" i="1"/>
  <c r="F32" i="1"/>
  <c r="F15" i="1"/>
  <c r="F40" i="1"/>
  <c r="M36" i="1"/>
  <c r="E28" i="10" s="1"/>
  <c r="G46" i="1"/>
  <c r="J46" i="1" s="1"/>
  <c r="L46" i="1" s="1"/>
  <c r="G43" i="1"/>
  <c r="J43" i="1" s="1"/>
  <c r="M30" i="1"/>
  <c r="E22" i="10" s="1"/>
  <c r="F31" i="1"/>
  <c r="F33" i="1"/>
  <c r="P41" i="4" l="1"/>
  <c r="U40" i="1"/>
  <c r="E43" i="4"/>
  <c r="C43" i="4"/>
  <c r="P40" i="4"/>
  <c r="U39" i="1"/>
  <c r="G43" i="4"/>
  <c r="P18" i="4"/>
  <c r="U17" i="1"/>
  <c r="P20" i="4"/>
  <c r="U19" i="1"/>
  <c r="W19" i="1" s="1"/>
  <c r="P21" i="4"/>
  <c r="U20" i="1"/>
  <c r="W20" i="1" s="1"/>
  <c r="P19" i="4"/>
  <c r="U18" i="1"/>
  <c r="W18" i="1" s="1"/>
  <c r="P17" i="4"/>
  <c r="U16" i="1"/>
  <c r="P16" i="4"/>
  <c r="U15" i="1"/>
  <c r="W15" i="1" s="1"/>
  <c r="P15" i="4"/>
  <c r="U14" i="1"/>
  <c r="I43" i="4"/>
  <c r="O11" i="4"/>
  <c r="N43" i="4"/>
  <c r="P14" i="4"/>
  <c r="U13" i="1"/>
  <c r="P13" i="4"/>
  <c r="U12" i="1"/>
  <c r="W12" i="1" s="1"/>
  <c r="F41" i="1"/>
  <c r="E2" i="10"/>
  <c r="M41" i="1"/>
  <c r="Z41" i="1"/>
  <c r="P25" i="4"/>
  <c r="W26" i="1"/>
  <c r="P23" i="4"/>
  <c r="W24" i="1"/>
  <c r="P37" i="4"/>
  <c r="W38" i="1"/>
  <c r="P32" i="4"/>
  <c r="W33" i="1"/>
  <c r="P27" i="4"/>
  <c r="W28" i="1"/>
  <c r="P39" i="4"/>
  <c r="P28" i="4"/>
  <c r="W29" i="1"/>
  <c r="P31" i="4"/>
  <c r="W32" i="1"/>
  <c r="P35" i="4"/>
  <c r="W36" i="1"/>
  <c r="P29" i="4"/>
  <c r="W30" i="1"/>
  <c r="P33" i="4"/>
  <c r="W34" i="1"/>
  <c r="P38" i="4"/>
  <c r="P26" i="4"/>
  <c r="W27" i="1"/>
  <c r="P22" i="4"/>
  <c r="W23" i="1"/>
  <c r="P34" i="4"/>
  <c r="W35" i="1"/>
  <c r="P30" i="4"/>
  <c r="W31" i="1"/>
  <c r="P24" i="4"/>
  <c r="W25" i="1"/>
  <c r="P36" i="4"/>
  <c r="W37" i="1"/>
  <c r="W22" i="1"/>
  <c r="W21" i="1"/>
  <c r="W17" i="1"/>
  <c r="W16" i="1"/>
  <c r="W14" i="1"/>
  <c r="O9" i="4"/>
  <c r="E3" i="10"/>
  <c r="O12" i="4"/>
  <c r="O15" i="1"/>
  <c r="E7" i="10"/>
  <c r="O14" i="1"/>
  <c r="E6" i="10"/>
  <c r="O26" i="1"/>
  <c r="E18" i="10"/>
  <c r="O35" i="1"/>
  <c r="E27" i="10"/>
  <c r="O37" i="1"/>
  <c r="E29" i="10"/>
  <c r="O33" i="1"/>
  <c r="E25" i="10"/>
  <c r="O38" i="1"/>
  <c r="O22" i="1"/>
  <c r="O17" i="1"/>
  <c r="O11" i="1"/>
  <c r="O27" i="1"/>
  <c r="O31" i="1"/>
  <c r="G45" i="1"/>
  <c r="J45" i="1" s="1"/>
  <c r="L43" i="1" s="1"/>
  <c r="O39" i="1"/>
  <c r="O40" i="1"/>
  <c r="O34" i="1"/>
  <c r="O32" i="1"/>
  <c r="O29" i="1"/>
  <c r="O23" i="1"/>
  <c r="O10" i="1"/>
  <c r="O36" i="1"/>
  <c r="O30" i="1"/>
  <c r="P12" i="4" l="1"/>
  <c r="U11" i="1"/>
  <c r="W11" i="1" s="1"/>
  <c r="P11" i="4"/>
  <c r="O43" i="4"/>
  <c r="P43" i="4" s="1"/>
  <c r="U10" i="1"/>
  <c r="P9" i="4"/>
  <c r="W40" i="1"/>
  <c r="W39" i="1"/>
  <c r="G31" i="10"/>
  <c r="W13" i="1"/>
  <c r="G29" i="10"/>
  <c r="O29" i="10" s="1"/>
  <c r="G15" i="10"/>
  <c r="O15" i="10" s="1"/>
  <c r="G18" i="10"/>
  <c r="O18" i="10" s="1"/>
  <c r="G28" i="10"/>
  <c r="O28" i="10" s="1"/>
  <c r="G26" i="10"/>
  <c r="O26" i="10" s="1"/>
  <c r="G3" i="10"/>
  <c r="G7" i="10"/>
  <c r="O7" i="10" s="1"/>
  <c r="G23" i="10"/>
  <c r="O23" i="10" s="1"/>
  <c r="G8" i="10"/>
  <c r="O8" i="10" s="1"/>
  <c r="G25" i="10"/>
  <c r="O25" i="10" s="1"/>
  <c r="G22" i="10"/>
  <c r="O22" i="10" s="1"/>
  <c r="G24" i="10"/>
  <c r="O24" i="10" s="1"/>
  <c r="G9" i="10"/>
  <c r="O9" i="10" s="1"/>
  <c r="G16" i="10"/>
  <c r="O16" i="10" s="1"/>
  <c r="G21" i="10"/>
  <c r="O21" i="10" s="1"/>
  <c r="G6" i="10"/>
  <c r="O6" i="10" s="1"/>
  <c r="G11" i="10"/>
  <c r="O11" i="10" s="1"/>
  <c r="G10" i="10"/>
  <c r="O10" i="10" s="1"/>
  <c r="G17" i="10"/>
  <c r="O17" i="10" s="1"/>
  <c r="G19" i="10"/>
  <c r="O19" i="10" s="1"/>
  <c r="G13" i="10"/>
  <c r="O13" i="10" s="1"/>
  <c r="G20" i="10"/>
  <c r="O20" i="10" s="1"/>
  <c r="G4" i="10"/>
  <c r="O4" i="10" s="1"/>
  <c r="G12" i="10"/>
  <c r="O12" i="10" s="1"/>
  <c r="G14" i="10"/>
  <c r="O14" i="10" s="1"/>
  <c r="G30" i="10"/>
  <c r="G27" i="10"/>
  <c r="O27" i="10" s="1"/>
  <c r="K47" i="4"/>
  <c r="G5" i="10" l="1"/>
  <c r="O5" i="10" s="1"/>
  <c r="U41" i="1"/>
  <c r="G47" i="1" s="1"/>
  <c r="J47" i="1" s="1"/>
  <c r="L47" i="1" s="1"/>
  <c r="W10" i="1"/>
  <c r="W41" i="1" s="1"/>
  <c r="G2" i="10"/>
  <c r="O2" i="10" s="1"/>
  <c r="O3" i="10"/>
  <c r="L47" i="4"/>
  <c r="M47" i="4"/>
</calcChain>
</file>

<file path=xl/sharedStrings.xml><?xml version="1.0" encoding="utf-8"?>
<sst xmlns="http://schemas.openxmlformats.org/spreadsheetml/2006/main" count="240" uniqueCount="83">
  <si>
    <t xml:space="preserve"> </t>
  </si>
  <si>
    <t>Date</t>
  </si>
  <si>
    <t>total</t>
  </si>
  <si>
    <t>ELECTRICITE en KWH</t>
  </si>
  <si>
    <t>Cons Eau/Hotel</t>
  </si>
  <si>
    <t>Cons Elec/Villa</t>
  </si>
  <si>
    <t>Cons Elec/RIAD</t>
  </si>
  <si>
    <t>creuse 81</t>
  </si>
  <si>
    <t>pleine 82</t>
  </si>
  <si>
    <t>pointe 83</t>
  </si>
  <si>
    <t>ELECTRICITE /        Kw/h</t>
  </si>
  <si>
    <t>EAU HOTEL M3</t>
  </si>
  <si>
    <t>Consommation du jour en DH</t>
  </si>
  <si>
    <t>GAZ  Kg</t>
  </si>
  <si>
    <t>cons C1</t>
  </si>
  <si>
    <t>cons C2</t>
  </si>
  <si>
    <t>cons C3</t>
  </si>
  <si>
    <t>cons C4</t>
  </si>
  <si>
    <t>∑ des relevés</t>
  </si>
  <si>
    <t xml:space="preserve">moyen general % </t>
  </si>
  <si>
    <t>con.j</t>
  </si>
  <si>
    <t xml:space="preserve">∑ de volume en L </t>
  </si>
  <si>
    <t>cons./jen L</t>
  </si>
  <si>
    <t>cons./jen Kg</t>
  </si>
  <si>
    <t>cons./jen DH</t>
  </si>
  <si>
    <t xml:space="preserve">livraison C1 </t>
  </si>
  <si>
    <t>%Avant</t>
  </si>
  <si>
    <t>% Après</t>
  </si>
  <si>
    <t>livraison C2</t>
  </si>
  <si>
    <t>livraison C3</t>
  </si>
  <si>
    <t>livraison C4</t>
  </si>
  <si>
    <t xml:space="preserve">total livraison </t>
  </si>
  <si>
    <t>moyen general % Avant L</t>
  </si>
  <si>
    <t>moyen general % Aaprés L</t>
  </si>
  <si>
    <t>Litre</t>
  </si>
  <si>
    <t>Kg</t>
  </si>
  <si>
    <t>DH</t>
  </si>
  <si>
    <t xml:space="preserve">Consommation du mois </t>
  </si>
  <si>
    <t xml:space="preserve">Livraison  du mois </t>
  </si>
  <si>
    <t>GAZ en Kg</t>
  </si>
  <si>
    <t>Compteur</t>
  </si>
  <si>
    <t xml:space="preserve">Consommation </t>
  </si>
  <si>
    <t>Eau m3</t>
  </si>
  <si>
    <t>Electricité Kw/h</t>
  </si>
  <si>
    <t>Compteur H.Creuse</t>
  </si>
  <si>
    <t>Compteur H.Pleine</t>
  </si>
  <si>
    <t>Consommation H.Pleine</t>
  </si>
  <si>
    <t>Compteur H.Pointe</t>
  </si>
  <si>
    <t>Consommation  H.Pointe</t>
  </si>
  <si>
    <t>Consommation  H.Creuse</t>
  </si>
  <si>
    <t>Relvé C1</t>
  </si>
  <si>
    <t>Relvé C2</t>
  </si>
  <si>
    <t>Relvé C3</t>
  </si>
  <si>
    <t>Relvé C4</t>
  </si>
  <si>
    <t>% Occupation</t>
  </si>
  <si>
    <t>consommation  eau choud en            Mwh</t>
  </si>
  <si>
    <t>consommation du jour  en DH</t>
  </si>
  <si>
    <t xml:space="preserve">suivi Gaz </t>
  </si>
  <si>
    <t xml:space="preserve">Suivi  Compteur  d'Eau- électricité RADEEMA -  </t>
  </si>
  <si>
    <t>Temp Piscine Adulte à  7h00 °C</t>
  </si>
  <si>
    <t>Temp Piscine Adulte  à  15h00 °C</t>
  </si>
  <si>
    <t>Temp Piscine famille  à  07h00 ° C</t>
  </si>
  <si>
    <t>Temp Piscine famille  à  15h00 ° C</t>
  </si>
  <si>
    <t>Site Name</t>
  </si>
  <si>
    <t>Day</t>
  </si>
  <si>
    <t>Month</t>
  </si>
  <si>
    <t>Year</t>
  </si>
  <si>
    <t>Total Electricity Kwh</t>
  </si>
  <si>
    <t xml:space="preserve">LPG (Kg) </t>
  </si>
  <si>
    <t>LPG $/Kg</t>
  </si>
  <si>
    <t>Water Utility Supply (m3) m3</t>
  </si>
  <si>
    <t xml:space="preserve">Room Nights </t>
  </si>
  <si>
    <t xml:space="preserve">Total Guests </t>
  </si>
  <si>
    <t>District Energy Heating Kwh</t>
  </si>
  <si>
    <t>Marrakech</t>
  </si>
  <si>
    <t>Room Nights</t>
  </si>
  <si>
    <t>Utilities day cost dh</t>
  </si>
  <si>
    <t>Electricity Tariff ($/Kwh)</t>
  </si>
  <si>
    <t>District Energy Heating $/Kwh</t>
  </si>
  <si>
    <t>Water Utility Supply (m3) $/m3</t>
  </si>
  <si>
    <r>
      <t xml:space="preserve">Temp moyenne du jour </t>
    </r>
    <r>
      <rPr>
        <b/>
        <sz val="22"/>
        <rFont val="Arial"/>
        <family val="2"/>
      </rPr>
      <t>°</t>
    </r>
    <r>
      <rPr>
        <b/>
        <sz val="14"/>
        <rFont val="Arial"/>
        <family val="2"/>
      </rPr>
      <t>C</t>
    </r>
  </si>
  <si>
    <t>Compteur AVEO                     Mwh</t>
  </si>
  <si>
    <t>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</si>
</sst>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-* #,##0\ _€_-;\-* #,##0\ _€_-;_-* &quot;-&quot;\ _€_-;_-@_-"/>
    <numFmt numFmtId="165" formatCode="[$-40C]d\-mmm;@"/>
  </numFmts>
  <fonts count="30" x14ac:knownFonts="1">
    <font>
      <sz val="10"/>
      <name val="Arial"/>
    </font>
    <font>
      <b/>
      <sz val="14"/>
      <name val="Arial"/>
      <family val="2"/>
    </font>
    <font>
      <b/>
      <sz val="14"/>
      <color indexed="9"/>
      <name val="Arial"/>
      <family val="2"/>
    </font>
    <font>
      <sz val="14"/>
      <name val="Arial"/>
      <family val="2"/>
    </font>
    <font>
      <b/>
      <sz val="14"/>
      <color indexed="12"/>
      <name val="Arial"/>
      <family val="2"/>
    </font>
    <font>
      <b/>
      <sz val="14"/>
      <color indexed="52"/>
      <name val="Arial"/>
      <family val="2"/>
    </font>
    <font>
      <b/>
      <sz val="16"/>
      <name val="Arial"/>
      <family val="2"/>
    </font>
    <font>
      <b/>
      <sz val="16"/>
      <name val="Times New Roman"/>
      <family val="1"/>
    </font>
    <font>
      <sz val="10"/>
      <name val="Arial"/>
      <family val="2"/>
    </font>
    <font>
      <b/>
      <sz val="12"/>
      <name val="Arial"/>
      <family val="2"/>
    </font>
    <font>
      <b/>
      <sz val="36"/>
      <name val="Arial"/>
      <family val="2"/>
    </font>
    <font>
      <b/>
      <sz val="20"/>
      <name val="Arial"/>
      <family val="2"/>
    </font>
    <font>
      <b/>
      <sz val="20"/>
      <color indexed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18"/>
      <color indexed="9"/>
      <name val="Arial"/>
      <family val="2"/>
    </font>
    <font>
      <sz val="10"/>
      <color indexed="8"/>
      <name val="Comic Sans MS"/>
      <family val="4"/>
    </font>
    <font>
      <b/>
      <sz val="36"/>
      <color indexed="8"/>
      <name val="Comic Sans MS"/>
      <family val="4"/>
    </font>
    <font>
      <b/>
      <sz val="10"/>
      <color indexed="8"/>
      <name val="Comic Sans MS"/>
      <family val="4"/>
    </font>
    <font>
      <b/>
      <sz val="12"/>
      <color indexed="8"/>
      <name val="Comic Sans MS"/>
      <family val="4"/>
    </font>
    <font>
      <b/>
      <sz val="22"/>
      <name val="Arial"/>
      <family val="2"/>
    </font>
    <font>
      <sz val="14"/>
      <name val="Arial"/>
      <family val="2"/>
    </font>
    <font>
      <sz val="10"/>
      <name val="Arial"/>
      <family val="2"/>
    </font>
    <font>
      <sz val="18"/>
      <name val="Arial"/>
      <family val="2"/>
    </font>
    <font>
      <b/>
      <sz val="15"/>
      <name val="Arial"/>
      <family val="2"/>
    </font>
    <font>
      <b/>
      <sz val="16"/>
      <color indexed="9"/>
      <name val="Arial"/>
      <family val="2"/>
    </font>
    <font>
      <b/>
      <sz val="15"/>
      <name val="Times New Roman"/>
      <family val="1"/>
    </font>
    <font>
      <b/>
      <sz val="11"/>
      <color theme="1"/>
      <name val="Calibri"/>
      <family val="2"/>
      <scheme val="minor"/>
    </font>
    <font>
      <shadow/>
      <sz val="36"/>
      <color rgb="FF0000FF"/>
      <name val="Monotype Corsiva"/>
      <family val="4"/>
    </font>
    <font>
      <b/>
      <sz val="1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249977111117893"/>
        <bgColor indexed="64"/>
      </patternFill>
    </fill>
  </fills>
  <borders count="4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8" fillId="0" borderId="0"/>
    <xf numFmtId="0" fontId="22" fillId="0" borderId="0"/>
    <xf numFmtId="0" fontId="8" fillId="0" borderId="0"/>
  </cellStyleXfs>
  <cellXfs count="295">
    <xf numFmtId="0" fontId="0" fillId="0" borderId="0" xfId="0"/>
    <xf numFmtId="0" fontId="2" fillId="2" borderId="0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4" fillId="2" borderId="0" xfId="0" applyFont="1" applyFill="1" applyBorder="1" applyAlignment="1" applyProtection="1">
      <alignment horizontal="center" vertical="center" wrapText="1"/>
    </xf>
    <xf numFmtId="0" fontId="4" fillId="2" borderId="0" xfId="0" applyFont="1" applyFill="1" applyBorder="1" applyAlignment="1" applyProtection="1">
      <alignment horizontal="center" vertical="center"/>
    </xf>
    <xf numFmtId="0" fontId="1" fillId="2" borderId="0" xfId="0" applyFont="1" applyFill="1" applyBorder="1" applyAlignment="1" applyProtection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14" fontId="4" fillId="3" borderId="1" xfId="0" applyNumberFormat="1" applyFont="1" applyFill="1" applyBorder="1" applyAlignment="1" applyProtection="1">
      <alignment horizontal="center" vertical="center"/>
    </xf>
    <xf numFmtId="14" fontId="4" fillId="2" borderId="0" xfId="0" applyNumberFormat="1" applyFont="1" applyFill="1" applyBorder="1" applyAlignment="1" applyProtection="1">
      <alignment horizontal="center" vertical="center"/>
    </xf>
    <xf numFmtId="0" fontId="1" fillId="2" borderId="0" xfId="0" applyFont="1" applyFill="1" applyBorder="1" applyAlignment="1" applyProtection="1">
      <alignment horizontal="center" vertical="center" wrapText="1"/>
    </xf>
    <xf numFmtId="0" fontId="1" fillId="2" borderId="0" xfId="0" applyFont="1" applyFill="1" applyAlignment="1" applyProtection="1">
      <alignment horizontal="center" vertical="center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 applyProtection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0" xfId="0" applyFont="1" applyFill="1" applyBorder="1" applyAlignment="1" applyProtection="1">
      <alignment horizontal="center" vertical="center"/>
    </xf>
    <xf numFmtId="14" fontId="5" fillId="2" borderId="0" xfId="0" applyNumberFormat="1" applyFont="1" applyFill="1" applyBorder="1" applyAlignment="1" applyProtection="1">
      <alignment horizontal="center" vertical="center"/>
    </xf>
    <xf numFmtId="0" fontId="1" fillId="0" borderId="0" xfId="0" applyFont="1" applyFill="1" applyBorder="1" applyAlignment="1" applyProtection="1">
      <alignment vertical="center"/>
    </xf>
    <xf numFmtId="0" fontId="1" fillId="4" borderId="2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horizontal="center" vertical="center"/>
    </xf>
    <xf numFmtId="0" fontId="1" fillId="4" borderId="3" xfId="0" applyFont="1" applyFill="1" applyBorder="1" applyAlignment="1">
      <alignment horizontal="center" vertical="center" wrapText="1"/>
    </xf>
    <xf numFmtId="0" fontId="1" fillId="4" borderId="4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1" fillId="4" borderId="5" xfId="0" applyFont="1" applyFill="1" applyBorder="1" applyAlignment="1">
      <alignment horizontal="center" vertical="center" wrapText="1"/>
    </xf>
    <xf numFmtId="0" fontId="1" fillId="5" borderId="4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5" fillId="2" borderId="0" xfId="0" applyFont="1" applyFill="1" applyBorder="1" applyAlignment="1">
      <alignment horizontal="center" vertical="center"/>
    </xf>
    <xf numFmtId="0" fontId="1" fillId="2" borderId="0" xfId="0" applyFont="1" applyFill="1" applyBorder="1" applyAlignment="1" applyProtection="1">
      <alignment vertical="center"/>
    </xf>
    <xf numFmtId="0" fontId="1" fillId="2" borderId="0" xfId="0" applyFont="1" applyFill="1" applyBorder="1" applyAlignment="1">
      <alignment vertical="center"/>
    </xf>
    <xf numFmtId="14" fontId="16" fillId="0" borderId="0" xfId="0" applyNumberFormat="1" applyFont="1" applyAlignment="1">
      <alignment horizontal="center" vertical="center"/>
    </xf>
    <xf numFmtId="0" fontId="16" fillId="0" borderId="0" xfId="0" applyFont="1"/>
    <xf numFmtId="0" fontId="16" fillId="0" borderId="0" xfId="0" applyFont="1" applyAlignment="1">
      <alignment horizontal="center" vertical="center"/>
    </xf>
    <xf numFmtId="0" fontId="16" fillId="0" borderId="0" xfId="0" applyFont="1" applyAlignment="1"/>
    <xf numFmtId="0" fontId="19" fillId="0" borderId="6" xfId="0" applyFont="1" applyBorder="1" applyAlignment="1">
      <alignment horizontal="center" vertical="center"/>
    </xf>
    <xf numFmtId="165" fontId="19" fillId="0" borderId="6" xfId="0" applyNumberFormat="1" applyFont="1" applyBorder="1" applyAlignment="1">
      <alignment horizontal="center" vertical="center"/>
    </xf>
    <xf numFmtId="0" fontId="19" fillId="7" borderId="6" xfId="0" applyFont="1" applyFill="1" applyBorder="1" applyAlignment="1">
      <alignment horizontal="center" vertical="center"/>
    </xf>
    <xf numFmtId="0" fontId="19" fillId="8" borderId="6" xfId="0" applyFont="1" applyFill="1" applyBorder="1" applyAlignment="1">
      <alignment horizontal="center" vertical="center"/>
    </xf>
    <xf numFmtId="0" fontId="18" fillId="9" borderId="7" xfId="0" applyFont="1" applyFill="1" applyBorder="1" applyAlignment="1">
      <alignment horizontal="center" vertical="center"/>
    </xf>
    <xf numFmtId="0" fontId="18" fillId="9" borderId="8" xfId="0" applyFont="1" applyFill="1" applyBorder="1" applyAlignment="1">
      <alignment horizontal="center" vertical="center"/>
    </xf>
    <xf numFmtId="0" fontId="18" fillId="9" borderId="4" xfId="0" applyFont="1" applyFill="1" applyBorder="1" applyAlignment="1">
      <alignment horizontal="center" vertical="center"/>
    </xf>
    <xf numFmtId="0" fontId="18" fillId="9" borderId="9" xfId="0" applyFont="1" applyFill="1" applyBorder="1" applyAlignment="1">
      <alignment horizontal="center" vertical="center"/>
    </xf>
    <xf numFmtId="0" fontId="19" fillId="0" borderId="10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7" xfId="0" applyFont="1" applyBorder="1" applyAlignment="1">
      <alignment horizontal="center" vertical="center"/>
    </xf>
    <xf numFmtId="0" fontId="19" fillId="0" borderId="8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/>
    <xf numFmtId="14" fontId="0" fillId="0" borderId="0" xfId="0" applyNumberFormat="1" applyAlignment="1">
      <alignment horizontal="center"/>
    </xf>
    <xf numFmtId="0" fontId="0" fillId="0" borderId="12" xfId="0" applyBorder="1" applyAlignment="1"/>
    <xf numFmtId="0" fontId="14" fillId="6" borderId="13" xfId="0" applyFont="1" applyFill="1" applyBorder="1" applyAlignment="1">
      <alignment horizontal="center" vertical="center" wrapText="1"/>
    </xf>
    <xf numFmtId="0" fontId="14" fillId="10" borderId="13" xfId="0" applyFont="1" applyFill="1" applyBorder="1" applyAlignment="1">
      <alignment horizontal="center" vertical="center" wrapText="1"/>
    </xf>
    <xf numFmtId="0" fontId="1" fillId="0" borderId="14" xfId="0" applyFont="1" applyFill="1" applyBorder="1" applyAlignment="1">
      <alignment horizontal="center" vertical="center" wrapText="1"/>
    </xf>
    <xf numFmtId="0" fontId="1" fillId="0" borderId="15" xfId="0" applyFont="1" applyFill="1" applyBorder="1" applyAlignment="1">
      <alignment horizontal="center" vertical="center" wrapText="1"/>
    </xf>
    <xf numFmtId="0" fontId="18" fillId="9" borderId="16" xfId="0" applyFont="1" applyFill="1" applyBorder="1" applyAlignment="1">
      <alignment horizontal="center" vertical="center"/>
    </xf>
    <xf numFmtId="0" fontId="18" fillId="9" borderId="17" xfId="0" applyFont="1" applyFill="1" applyBorder="1" applyAlignment="1">
      <alignment horizontal="center" vertical="center"/>
    </xf>
    <xf numFmtId="0" fontId="18" fillId="9" borderId="18" xfId="0" applyFont="1" applyFill="1" applyBorder="1" applyAlignment="1">
      <alignment horizontal="center" vertical="center"/>
    </xf>
    <xf numFmtId="0" fontId="23" fillId="0" borderId="0" xfId="0" applyFont="1" applyAlignment="1">
      <alignment horizontal="center" vertical="center"/>
    </xf>
    <xf numFmtId="14" fontId="24" fillId="0" borderId="13" xfId="0" applyNumberFormat="1" applyFont="1" applyBorder="1" applyAlignment="1">
      <alignment horizontal="center"/>
    </xf>
    <xf numFmtId="14" fontId="5" fillId="11" borderId="0" xfId="0" applyNumberFormat="1" applyFont="1" applyFill="1" applyBorder="1" applyAlignment="1" applyProtection="1">
      <alignment horizontal="center" vertical="center"/>
    </xf>
    <xf numFmtId="14" fontId="24" fillId="0" borderId="0" xfId="0" applyNumberFormat="1" applyFont="1" applyBorder="1" applyAlignment="1">
      <alignment horizontal="center"/>
    </xf>
    <xf numFmtId="164" fontId="1" fillId="2" borderId="0" xfId="0" applyNumberFormat="1" applyFont="1" applyFill="1" applyBorder="1" applyAlignment="1">
      <alignment horizontal="center" vertical="center" wrapText="1"/>
    </xf>
    <xf numFmtId="0" fontId="28" fillId="0" borderId="0" xfId="0" applyFont="1"/>
    <xf numFmtId="14" fontId="4" fillId="3" borderId="15" xfId="0" applyNumberFormat="1" applyFont="1" applyFill="1" applyBorder="1" applyAlignment="1" applyProtection="1">
      <alignment horizontal="center" vertical="center"/>
    </xf>
    <xf numFmtId="0" fontId="1" fillId="2" borderId="19" xfId="0" applyFont="1" applyFill="1" applyBorder="1" applyAlignment="1" applyProtection="1">
      <alignment horizontal="center" vertical="center"/>
    </xf>
    <xf numFmtId="14" fontId="4" fillId="3" borderId="20" xfId="0" applyNumberFormat="1" applyFont="1" applyFill="1" applyBorder="1" applyAlignment="1" applyProtection="1">
      <alignment horizontal="center" vertical="center"/>
    </xf>
    <xf numFmtId="14" fontId="4" fillId="2" borderId="19" xfId="0" applyNumberFormat="1" applyFont="1" applyFill="1" applyBorder="1" applyAlignment="1" applyProtection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1" fillId="2" borderId="0" xfId="0" quotePrefix="1" applyFont="1" applyFill="1" applyBorder="1" applyAlignment="1" applyProtection="1">
      <alignment horizontal="center" vertical="center"/>
    </xf>
    <xf numFmtId="0" fontId="1" fillId="8" borderId="0" xfId="0" applyFont="1" applyFill="1" applyBorder="1" applyAlignment="1" applyProtection="1">
      <alignment horizontal="center" vertical="center" wrapText="1"/>
    </xf>
    <xf numFmtId="2" fontId="7" fillId="0" borderId="0" xfId="0" applyNumberFormat="1" applyFont="1" applyFill="1" applyBorder="1" applyAlignment="1">
      <alignment horizontal="center" vertical="center"/>
    </xf>
    <xf numFmtId="2" fontId="15" fillId="0" borderId="0" xfId="0" applyNumberFormat="1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24" fillId="0" borderId="0" xfId="0" applyFont="1" applyFill="1" applyBorder="1" applyAlignment="1">
      <alignment horizontal="center" vertical="center" wrapText="1"/>
    </xf>
    <xf numFmtId="14" fontId="16" fillId="0" borderId="3" xfId="0" applyNumberFormat="1" applyFont="1" applyBorder="1" applyAlignment="1">
      <alignment horizontal="center" vertical="center"/>
    </xf>
    <xf numFmtId="0" fontId="16" fillId="0" borderId="6" xfId="0" applyFont="1" applyBorder="1" applyAlignment="1">
      <alignment horizontal="center" vertical="center"/>
    </xf>
    <xf numFmtId="0" fontId="16" fillId="9" borderId="2" xfId="0" applyFont="1" applyFill="1" applyBorder="1" applyAlignment="1">
      <alignment horizontal="center" vertical="center"/>
    </xf>
    <xf numFmtId="0" fontId="16" fillId="9" borderId="1" xfId="0" applyFont="1" applyFill="1" applyBorder="1" applyAlignment="1">
      <alignment horizontal="center" vertical="center"/>
    </xf>
    <xf numFmtId="0" fontId="18" fillId="12" borderId="1" xfId="0" applyFont="1" applyFill="1" applyBorder="1" applyAlignment="1">
      <alignment horizontal="center" vertical="center"/>
    </xf>
    <xf numFmtId="0" fontId="0" fillId="0" borderId="0" xfId="0" applyBorder="1"/>
    <xf numFmtId="0" fontId="24" fillId="0" borderId="0" xfId="0" applyFont="1" applyBorder="1" applyAlignment="1">
      <alignment horizontal="center" vertical="center" wrapText="1"/>
    </xf>
    <xf numFmtId="164" fontId="2" fillId="13" borderId="15" xfId="0" applyNumberFormat="1" applyFont="1" applyFill="1" applyBorder="1" applyAlignment="1">
      <alignment horizontal="center" vertical="center"/>
    </xf>
    <xf numFmtId="0" fontId="15" fillId="13" borderId="15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1" fontId="7" fillId="4" borderId="6" xfId="0" applyNumberFormat="1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7" fillId="2" borderId="22" xfId="0" applyFont="1" applyFill="1" applyBorder="1" applyAlignment="1">
      <alignment horizontal="center" vertical="center"/>
    </xf>
    <xf numFmtId="0" fontId="6" fillId="2" borderId="22" xfId="0" applyFont="1" applyFill="1" applyBorder="1" applyAlignment="1" applyProtection="1">
      <alignment horizontal="center" vertical="center"/>
      <protection locked="0"/>
    </xf>
    <xf numFmtId="2" fontId="7" fillId="8" borderId="20" xfId="0" applyNumberFormat="1" applyFont="1" applyFill="1" applyBorder="1" applyAlignment="1">
      <alignment horizontal="center" vertical="center"/>
    </xf>
    <xf numFmtId="2" fontId="7" fillId="6" borderId="20" xfId="0" applyNumberFormat="1" applyFont="1" applyFill="1" applyBorder="1" applyAlignment="1">
      <alignment horizontal="center" vertical="center"/>
    </xf>
    <xf numFmtId="0" fontId="6" fillId="2" borderId="23" xfId="0" applyFont="1" applyFill="1" applyBorder="1" applyAlignment="1">
      <alignment horizontal="center" vertical="center"/>
    </xf>
    <xf numFmtId="0" fontId="7" fillId="2" borderId="22" xfId="0" applyFont="1" applyFill="1" applyBorder="1" applyAlignment="1">
      <alignment horizontal="center" vertical="center" wrapText="1"/>
    </xf>
    <xf numFmtId="0" fontId="24" fillId="17" borderId="16" xfId="0" applyFont="1" applyFill="1" applyBorder="1" applyAlignment="1">
      <alignment horizontal="center" vertical="center" wrapText="1"/>
    </xf>
    <xf numFmtId="2" fontId="7" fillId="17" borderId="24" xfId="0" applyNumberFormat="1" applyFont="1" applyFill="1" applyBorder="1" applyAlignment="1">
      <alignment horizontal="center" vertical="center"/>
    </xf>
    <xf numFmtId="0" fontId="6" fillId="17" borderId="1" xfId="0" applyFont="1" applyFill="1" applyBorder="1" applyAlignment="1">
      <alignment horizontal="center" vertical="center" wrapText="1"/>
    </xf>
    <xf numFmtId="0" fontId="6" fillId="17" borderId="2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 wrapText="1"/>
    </xf>
    <xf numFmtId="0" fontId="27" fillId="0" borderId="0" xfId="0" applyFont="1"/>
    <xf numFmtId="0" fontId="27" fillId="0" borderId="25" xfId="0" applyFont="1" applyBorder="1"/>
    <xf numFmtId="0" fontId="27" fillId="0" borderId="25" xfId="0" applyFont="1" applyBorder="1" applyAlignment="1">
      <alignment wrapText="1"/>
    </xf>
    <xf numFmtId="2" fontId="29" fillId="0" borderId="25" xfId="0" applyNumberFormat="1" applyFont="1" applyBorder="1" applyAlignment="1">
      <alignment wrapText="1"/>
    </xf>
    <xf numFmtId="2" fontId="0" fillId="0" borderId="0" xfId="0" applyNumberFormat="1"/>
    <xf numFmtId="0" fontId="8" fillId="0" borderId="0" xfId="0" applyFont="1"/>
    <xf numFmtId="0" fontId="7" fillId="5" borderId="26" xfId="0" applyFont="1" applyFill="1" applyBorder="1" applyAlignment="1">
      <alignment horizontal="center" vertical="center"/>
    </xf>
    <xf numFmtId="0" fontId="6" fillId="2" borderId="17" xfId="0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/>
    </xf>
    <xf numFmtId="0" fontId="6" fillId="2" borderId="6" xfId="0" applyFont="1" applyFill="1" applyBorder="1" applyAlignment="1" applyProtection="1">
      <alignment horizontal="center" vertical="center"/>
      <protection locked="0"/>
    </xf>
    <xf numFmtId="0" fontId="6" fillId="2" borderId="27" xfId="0" applyFont="1" applyFill="1" applyBorder="1" applyAlignment="1">
      <alignment horizontal="center" vertical="center"/>
    </xf>
    <xf numFmtId="0" fontId="7" fillId="14" borderId="28" xfId="0" applyNumberFormat="1" applyFont="1" applyFill="1" applyBorder="1" applyAlignment="1">
      <alignment horizontal="center" vertical="center"/>
    </xf>
    <xf numFmtId="0" fontId="1" fillId="18" borderId="29" xfId="0" applyFont="1" applyFill="1" applyBorder="1" applyAlignment="1">
      <alignment horizontal="center" vertical="center"/>
    </xf>
    <xf numFmtId="164" fontId="6" fillId="4" borderId="30" xfId="1" applyNumberFormat="1" applyFont="1" applyFill="1" applyBorder="1" applyAlignment="1" applyProtection="1">
      <alignment horizontal="center" vertical="center"/>
      <protection hidden="1"/>
    </xf>
    <xf numFmtId="164" fontId="6" fillId="4" borderId="16" xfId="1" applyNumberFormat="1" applyFont="1" applyFill="1" applyBorder="1" applyAlignment="1" applyProtection="1">
      <alignment horizontal="center" vertical="center"/>
      <protection hidden="1"/>
    </xf>
    <xf numFmtId="164" fontId="6" fillId="4" borderId="31" xfId="1" applyNumberFormat="1" applyFont="1" applyFill="1" applyBorder="1" applyAlignment="1" applyProtection="1">
      <alignment horizontal="center" vertical="center"/>
      <protection hidden="1"/>
    </xf>
    <xf numFmtId="0" fontId="24" fillId="17" borderId="27" xfId="0" applyFont="1" applyFill="1" applyBorder="1" applyAlignment="1">
      <alignment horizontal="center" vertical="center" wrapText="1"/>
    </xf>
    <xf numFmtId="0" fontId="27" fillId="0" borderId="0" xfId="0" applyFont="1" applyAlignment="1">
      <alignment wrapText="1"/>
    </xf>
    <xf numFmtId="1" fontId="0" fillId="0" borderId="0" xfId="0" applyNumberFormat="1"/>
    <xf numFmtId="0" fontId="7" fillId="14" borderId="32" xfId="0" applyNumberFormat="1" applyFont="1" applyFill="1" applyBorder="1" applyAlignment="1">
      <alignment horizontal="center" vertical="center"/>
    </xf>
    <xf numFmtId="10" fontId="7" fillId="15" borderId="6" xfId="0" applyNumberFormat="1" applyFont="1" applyFill="1" applyBorder="1" applyAlignment="1">
      <alignment horizontal="center" vertical="center"/>
    </xf>
    <xf numFmtId="0" fontId="26" fillId="17" borderId="1" xfId="0" applyFont="1" applyFill="1" applyBorder="1" applyAlignment="1">
      <alignment horizontal="center" vertical="center" wrapText="1"/>
    </xf>
    <xf numFmtId="0" fontId="7" fillId="19" borderId="6" xfId="0" applyFont="1" applyFill="1" applyBorder="1" applyAlignment="1">
      <alignment horizontal="center" vertical="center"/>
    </xf>
    <xf numFmtId="0" fontId="6" fillId="17" borderId="33" xfId="0" applyFont="1" applyFill="1" applyBorder="1" applyAlignment="1">
      <alignment horizontal="center" vertical="center" wrapText="1"/>
    </xf>
    <xf numFmtId="2" fontId="7" fillId="17" borderId="34" xfId="0" applyNumberFormat="1" applyFont="1" applyFill="1" applyBorder="1" applyAlignment="1">
      <alignment horizontal="center" vertical="center"/>
    </xf>
    <xf numFmtId="0" fontId="7" fillId="18" borderId="6" xfId="0" applyFont="1" applyFill="1" applyBorder="1" applyAlignment="1">
      <alignment horizontal="center" vertical="center"/>
    </xf>
    <xf numFmtId="0" fontId="7" fillId="18" borderId="31" xfId="0" applyFont="1" applyFill="1" applyBorder="1" applyAlignment="1">
      <alignment horizontal="center" vertical="center"/>
    </xf>
    <xf numFmtId="0" fontId="7" fillId="20" borderId="6" xfId="0" applyFont="1" applyFill="1" applyBorder="1" applyAlignment="1">
      <alignment horizontal="center" vertical="center"/>
    </xf>
    <xf numFmtId="2" fontId="7" fillId="17" borderId="28" xfId="0" applyNumberFormat="1" applyFont="1" applyFill="1" applyBorder="1" applyAlignment="1">
      <alignment horizontal="center" vertical="center"/>
    </xf>
    <xf numFmtId="0" fontId="19" fillId="7" borderId="6" xfId="0" applyFont="1" applyFill="1" applyBorder="1" applyAlignment="1">
      <alignment horizontal="center" vertical="center"/>
    </xf>
    <xf numFmtId="0" fontId="19" fillId="0" borderId="6" xfId="0" applyFont="1" applyBorder="1" applyAlignment="1">
      <alignment horizontal="center" vertical="center"/>
    </xf>
    <xf numFmtId="0" fontId="24" fillId="10" borderId="13" xfId="0" applyFont="1" applyFill="1" applyBorder="1" applyAlignment="1">
      <alignment horizontal="center" vertical="center" wrapText="1"/>
    </xf>
    <xf numFmtId="0" fontId="24" fillId="0" borderId="13" xfId="0" applyFont="1" applyBorder="1" applyAlignment="1">
      <alignment horizontal="center" vertical="center" wrapText="1"/>
    </xf>
    <xf numFmtId="0" fontId="24" fillId="6" borderId="13" xfId="0" applyFont="1" applyFill="1" applyBorder="1" applyAlignment="1">
      <alignment horizontal="center" vertical="center" wrapText="1"/>
    </xf>
    <xf numFmtId="2" fontId="7" fillId="0" borderId="12" xfId="0" applyNumberFormat="1" applyFont="1" applyFill="1" applyBorder="1" applyAlignment="1">
      <alignment horizontal="center" vertical="center"/>
    </xf>
    <xf numFmtId="2" fontId="15" fillId="0" borderId="12" xfId="0" applyNumberFormat="1" applyFont="1" applyFill="1" applyBorder="1" applyAlignment="1">
      <alignment horizontal="center" vertical="center"/>
    </xf>
    <xf numFmtId="0" fontId="7" fillId="20" borderId="1" xfId="0" applyFont="1" applyFill="1" applyBorder="1" applyAlignment="1">
      <alignment horizontal="center" vertical="center"/>
    </xf>
    <xf numFmtId="0" fontId="7" fillId="14" borderId="33" xfId="0" applyNumberFormat="1" applyFont="1" applyFill="1" applyBorder="1" applyAlignment="1">
      <alignment horizontal="center" vertical="center"/>
    </xf>
    <xf numFmtId="10" fontId="7" fillId="15" borderId="36" xfId="0" applyNumberFormat="1" applyFont="1" applyFill="1" applyBorder="1" applyAlignment="1">
      <alignment horizontal="center" vertical="center"/>
    </xf>
    <xf numFmtId="0" fontId="7" fillId="19" borderId="1" xfId="0" applyFont="1" applyFill="1" applyBorder="1" applyAlignment="1">
      <alignment horizontal="center" vertical="center"/>
    </xf>
    <xf numFmtId="0" fontId="7" fillId="18" borderId="1" xfId="0" applyFont="1" applyFill="1" applyBorder="1" applyAlignment="1">
      <alignment horizontal="center" vertical="center"/>
    </xf>
    <xf numFmtId="0" fontId="26" fillId="17" borderId="6" xfId="0" applyFont="1" applyFill="1" applyBorder="1" applyAlignment="1">
      <alignment horizontal="center" vertical="center" wrapText="1"/>
    </xf>
    <xf numFmtId="10" fontId="24" fillId="0" borderId="0" xfId="0" applyNumberFormat="1" applyFont="1" applyFill="1" applyBorder="1" applyAlignment="1">
      <alignment horizontal="center" vertical="center" wrapText="1"/>
    </xf>
    <xf numFmtId="0" fontId="1" fillId="4" borderId="1" xfId="0" applyFont="1" applyFill="1" applyBorder="1" applyAlignment="1" applyProtection="1">
      <alignment horizontal="center" vertical="center"/>
    </xf>
    <xf numFmtId="0" fontId="1" fillId="4" borderId="33" xfId="0" applyFont="1" applyFill="1" applyBorder="1" applyAlignment="1" applyProtection="1">
      <alignment horizontal="center" vertical="center"/>
    </xf>
    <xf numFmtId="164" fontId="6" fillId="4" borderId="24" xfId="1" applyNumberFormat="1" applyFont="1" applyFill="1" applyBorder="1" applyAlignment="1" applyProtection="1">
      <alignment horizontal="center" vertical="center"/>
      <protection hidden="1"/>
    </xf>
    <xf numFmtId="0" fontId="19" fillId="7" borderId="6" xfId="0" applyFont="1" applyFill="1" applyBorder="1" applyAlignment="1">
      <alignment horizontal="center" vertical="center"/>
    </xf>
    <xf numFmtId="0" fontId="19" fillId="7" borderId="6" xfId="0" applyFont="1" applyFill="1" applyBorder="1" applyAlignment="1">
      <alignment horizontal="center" vertical="center"/>
    </xf>
    <xf numFmtId="0" fontId="19" fillId="7" borderId="6" xfId="0" applyFont="1" applyFill="1" applyBorder="1" applyAlignment="1">
      <alignment horizontal="center" vertical="center"/>
    </xf>
    <xf numFmtId="0" fontId="19" fillId="7" borderId="6" xfId="0" applyFont="1" applyFill="1" applyBorder="1" applyAlignment="1">
      <alignment horizontal="center" vertical="center"/>
    </xf>
    <xf numFmtId="0" fontId="24" fillId="10" borderId="13" xfId="0" applyFont="1" applyFill="1" applyBorder="1" applyAlignment="1">
      <alignment horizontal="center" vertical="center" wrapText="1"/>
    </xf>
    <xf numFmtId="0" fontId="24" fillId="6" borderId="13" xfId="0" applyFont="1" applyFill="1" applyBorder="1" applyAlignment="1">
      <alignment horizontal="center" vertical="center" wrapText="1"/>
    </xf>
    <xf numFmtId="0" fontId="24" fillId="6" borderId="13" xfId="0" applyFont="1" applyFill="1" applyBorder="1" applyAlignment="1">
      <alignment horizontal="center" vertical="center" wrapText="1"/>
    </xf>
    <xf numFmtId="0" fontId="24" fillId="6" borderId="13" xfId="0" applyFont="1" applyFill="1" applyBorder="1" applyAlignment="1">
      <alignment horizontal="center" vertical="center" wrapText="1"/>
    </xf>
    <xf numFmtId="2" fontId="7" fillId="17" borderId="28" xfId="0" applyNumberFormat="1" applyFont="1" applyFill="1" applyBorder="1" applyAlignment="1">
      <alignment horizontal="center" vertical="center"/>
    </xf>
    <xf numFmtId="0" fontId="7" fillId="14" borderId="28" xfId="0" applyNumberFormat="1" applyFont="1" applyFill="1" applyBorder="1" applyAlignment="1">
      <alignment horizontal="center" vertical="center"/>
    </xf>
    <xf numFmtId="0" fontId="7" fillId="19" borderId="6" xfId="0" applyFont="1" applyFill="1" applyBorder="1" applyAlignment="1">
      <alignment horizontal="center" vertical="center"/>
    </xf>
    <xf numFmtId="10" fontId="7" fillId="15" borderId="6" xfId="0" applyNumberFormat="1" applyFont="1" applyFill="1" applyBorder="1" applyAlignment="1">
      <alignment horizontal="center" vertical="center"/>
    </xf>
    <xf numFmtId="0" fontId="7" fillId="18" borderId="6" xfId="0" applyFont="1" applyFill="1" applyBorder="1" applyAlignment="1">
      <alignment horizontal="center" vertical="center"/>
    </xf>
    <xf numFmtId="0" fontId="7" fillId="18" borderId="31" xfId="0" applyFont="1" applyFill="1" applyBorder="1" applyAlignment="1">
      <alignment horizontal="center" vertical="center"/>
    </xf>
    <xf numFmtId="0" fontId="7" fillId="20" borderId="6" xfId="0" applyFont="1" applyFill="1" applyBorder="1" applyAlignment="1">
      <alignment horizontal="center" vertical="center"/>
    </xf>
    <xf numFmtId="0" fontId="1" fillId="18" borderId="4" xfId="0" applyFont="1" applyFill="1" applyBorder="1" applyAlignment="1">
      <alignment horizontal="center" vertical="center" wrapText="1"/>
    </xf>
    <xf numFmtId="0" fontId="1" fillId="18" borderId="15" xfId="0" applyFont="1" applyFill="1" applyBorder="1" applyAlignment="1">
      <alignment horizontal="center" vertical="center" wrapText="1"/>
    </xf>
    <xf numFmtId="0" fontId="1" fillId="20" borderId="4" xfId="0" applyFont="1" applyFill="1" applyBorder="1" applyAlignment="1">
      <alignment horizontal="center" vertical="center" wrapText="1"/>
    </xf>
    <xf numFmtId="0" fontId="1" fillId="20" borderId="15" xfId="0" applyFont="1" applyFill="1" applyBorder="1" applyAlignment="1">
      <alignment horizontal="center" vertical="center" wrapText="1"/>
    </xf>
    <xf numFmtId="0" fontId="1" fillId="15" borderId="4" xfId="0" applyFont="1" applyFill="1" applyBorder="1" applyAlignment="1" applyProtection="1">
      <alignment horizontal="center" vertical="center" wrapText="1"/>
    </xf>
    <xf numFmtId="0" fontId="21" fillId="15" borderId="15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10" fillId="3" borderId="33" xfId="0" applyFont="1" applyFill="1" applyBorder="1" applyAlignment="1">
      <alignment horizontal="center" vertical="center"/>
    </xf>
    <xf numFmtId="0" fontId="10" fillId="3" borderId="36" xfId="0" applyFont="1" applyFill="1" applyBorder="1" applyAlignment="1">
      <alignment horizontal="center" vertical="center"/>
    </xf>
    <xf numFmtId="0" fontId="10" fillId="3" borderId="40" xfId="0" applyFont="1" applyFill="1" applyBorder="1" applyAlignment="1">
      <alignment horizontal="center" vertical="center"/>
    </xf>
    <xf numFmtId="0" fontId="9" fillId="8" borderId="9" xfId="0" applyFont="1" applyFill="1" applyBorder="1" applyAlignment="1" applyProtection="1">
      <alignment horizontal="center" vertical="center" wrapText="1"/>
    </xf>
    <xf numFmtId="0" fontId="9" fillId="8" borderId="38" xfId="0" applyFont="1" applyFill="1" applyBorder="1" applyAlignment="1" applyProtection="1">
      <alignment horizontal="center" vertical="center" wrapText="1"/>
    </xf>
    <xf numFmtId="0" fontId="9" fillId="8" borderId="3" xfId="0" applyFont="1" applyFill="1" applyBorder="1" applyAlignment="1" applyProtection="1">
      <alignment horizontal="center" vertical="center" wrapText="1"/>
    </xf>
    <xf numFmtId="0" fontId="9" fillId="8" borderId="12" xfId="0" applyFont="1" applyFill="1" applyBorder="1" applyAlignment="1" applyProtection="1">
      <alignment horizontal="center" vertical="center" wrapText="1"/>
    </xf>
    <xf numFmtId="0" fontId="9" fillId="8" borderId="0" xfId="0" applyFont="1" applyFill="1" applyBorder="1" applyAlignment="1" applyProtection="1">
      <alignment horizontal="center" vertical="center" wrapText="1"/>
    </xf>
    <xf numFmtId="0" fontId="9" fillId="8" borderId="39" xfId="0" applyFont="1" applyFill="1" applyBorder="1" applyAlignment="1" applyProtection="1">
      <alignment horizontal="center" vertical="center" wrapText="1"/>
    </xf>
    <xf numFmtId="0" fontId="1" fillId="8" borderId="4" xfId="0" applyFont="1" applyFill="1" applyBorder="1" applyAlignment="1" applyProtection="1">
      <alignment horizontal="center" vertical="center" wrapText="1"/>
    </xf>
    <xf numFmtId="0" fontId="3" fillId="8" borderId="14" xfId="0" applyFont="1" applyFill="1" applyBorder="1" applyAlignment="1">
      <alignment horizontal="center" vertical="center" wrapText="1"/>
    </xf>
    <xf numFmtId="0" fontId="3" fillId="0" borderId="33" xfId="0" applyFont="1" applyBorder="1" applyAlignment="1">
      <alignment horizontal="center" vertical="center"/>
    </xf>
    <xf numFmtId="0" fontId="3" fillId="0" borderId="36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" fillId="0" borderId="0" xfId="0" applyFont="1" applyFill="1" applyBorder="1" applyAlignment="1" applyProtection="1">
      <alignment horizontal="center" vertical="center" wrapText="1"/>
    </xf>
    <xf numFmtId="0" fontId="21" fillId="8" borderId="15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 applyProtection="1">
      <alignment horizontal="center" vertical="center"/>
    </xf>
    <xf numFmtId="0" fontId="4" fillId="3" borderId="1" xfId="0" applyFont="1" applyFill="1" applyBorder="1" applyAlignment="1" applyProtection="1">
      <alignment horizontal="center" vertical="center"/>
    </xf>
    <xf numFmtId="0" fontId="9" fillId="14" borderId="4" xfId="0" applyFont="1" applyFill="1" applyBorder="1" applyAlignment="1" applyProtection="1">
      <alignment horizontal="center" vertical="center" wrapText="1"/>
    </xf>
    <xf numFmtId="0" fontId="9" fillId="14" borderId="14" xfId="0" applyFont="1" applyFill="1" applyBorder="1" applyAlignment="1" applyProtection="1">
      <alignment horizontal="center" vertical="center" wrapText="1"/>
    </xf>
    <xf numFmtId="0" fontId="1" fillId="14" borderId="4" xfId="0" applyFont="1" applyFill="1" applyBorder="1" applyAlignment="1" applyProtection="1">
      <alignment horizontal="center" vertical="center" wrapText="1"/>
    </xf>
    <xf numFmtId="0" fontId="3" fillId="14" borderId="15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 applyProtection="1">
      <alignment horizontal="center" vertical="center" wrapText="1"/>
    </xf>
    <xf numFmtId="0" fontId="1" fillId="4" borderId="1" xfId="0" applyFont="1" applyFill="1" applyBorder="1" applyAlignment="1" applyProtection="1">
      <alignment horizontal="center" vertical="center"/>
    </xf>
    <xf numFmtId="0" fontId="1" fillId="5" borderId="33" xfId="0" applyFont="1" applyFill="1" applyBorder="1" applyAlignment="1">
      <alignment horizontal="center" vertical="center" wrapText="1"/>
    </xf>
    <xf numFmtId="0" fontId="1" fillId="5" borderId="36" xfId="0" applyFont="1" applyFill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 vertical="center" wrapText="1"/>
    </xf>
    <xf numFmtId="2" fontId="25" fillId="13" borderId="37" xfId="0" applyNumberFormat="1" applyFont="1" applyFill="1" applyBorder="1" applyAlignment="1">
      <alignment horizontal="center" vertical="center"/>
    </xf>
    <xf numFmtId="0" fontId="25" fillId="13" borderId="25" xfId="0" applyFont="1" applyFill="1" applyBorder="1" applyAlignment="1">
      <alignment horizontal="center" vertical="center"/>
    </xf>
    <xf numFmtId="0" fontId="25" fillId="13" borderId="5" xfId="0" applyFont="1" applyFill="1" applyBorder="1" applyAlignment="1">
      <alignment horizontal="center" vertical="center"/>
    </xf>
    <xf numFmtId="0" fontId="1" fillId="4" borderId="9" xfId="0" applyFont="1" applyFill="1" applyBorder="1" applyAlignment="1">
      <alignment horizontal="center" vertical="center" wrapText="1"/>
    </xf>
    <xf numFmtId="0" fontId="1" fillId="4" borderId="38" xfId="0" applyFont="1" applyFill="1" applyBorder="1" applyAlignment="1">
      <alignment horizontal="center" vertical="center" wrapText="1"/>
    </xf>
    <xf numFmtId="0" fontId="1" fillId="4" borderId="3" xfId="0" applyFont="1" applyFill="1" applyBorder="1" applyAlignment="1">
      <alignment horizontal="center" vertical="center" wrapText="1"/>
    </xf>
    <xf numFmtId="0" fontId="1" fillId="4" borderId="12" xfId="0" applyFont="1" applyFill="1" applyBorder="1" applyAlignment="1">
      <alignment horizontal="center" vertical="center" wrapText="1"/>
    </xf>
    <xf numFmtId="0" fontId="1" fillId="4" borderId="0" xfId="0" applyFont="1" applyFill="1" applyBorder="1" applyAlignment="1">
      <alignment horizontal="center" vertical="center" wrapText="1"/>
    </xf>
    <xf numFmtId="0" fontId="1" fillId="4" borderId="39" xfId="0" applyFont="1" applyFill="1" applyBorder="1" applyAlignment="1">
      <alignment horizontal="center" vertical="center" wrapText="1"/>
    </xf>
    <xf numFmtId="0" fontId="1" fillId="4" borderId="33" xfId="0" applyFont="1" applyFill="1" applyBorder="1" applyAlignment="1">
      <alignment horizontal="center" vertical="center" wrapText="1"/>
    </xf>
    <xf numFmtId="0" fontId="1" fillId="4" borderId="36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2" fontId="1" fillId="5" borderId="33" xfId="0" applyNumberFormat="1" applyFont="1" applyFill="1" applyBorder="1" applyAlignment="1">
      <alignment horizontal="center" vertical="center" wrapText="1"/>
    </xf>
    <xf numFmtId="2" fontId="1" fillId="5" borderId="2" xfId="0" applyNumberFormat="1" applyFont="1" applyFill="1" applyBorder="1" applyAlignment="1">
      <alignment horizontal="center" vertical="center" wrapText="1"/>
    </xf>
    <xf numFmtId="2" fontId="1" fillId="6" borderId="33" xfId="0" applyNumberFormat="1" applyFont="1" applyFill="1" applyBorder="1" applyAlignment="1">
      <alignment horizontal="center" vertical="center" wrapText="1"/>
    </xf>
    <xf numFmtId="2" fontId="1" fillId="6" borderId="36" xfId="0" applyNumberFormat="1" applyFont="1" applyFill="1" applyBorder="1" applyAlignment="1">
      <alignment horizontal="center" vertical="center" wrapText="1"/>
    </xf>
    <xf numFmtId="2" fontId="1" fillId="6" borderId="2" xfId="0" applyNumberFormat="1" applyFont="1" applyFill="1" applyBorder="1" applyAlignment="1">
      <alignment horizontal="center" vertical="center" wrapText="1"/>
    </xf>
    <xf numFmtId="0" fontId="1" fillId="6" borderId="33" xfId="0" applyFont="1" applyFill="1" applyBorder="1" applyAlignment="1">
      <alignment horizontal="center" vertical="center" wrapText="1"/>
    </xf>
    <xf numFmtId="0" fontId="1" fillId="6" borderId="36" xfId="0" applyFont="1" applyFill="1" applyBorder="1" applyAlignment="1">
      <alignment horizontal="center" vertical="center" wrapText="1"/>
    </xf>
    <xf numFmtId="0" fontId="1" fillId="6" borderId="2" xfId="0" applyFont="1" applyFill="1" applyBorder="1" applyAlignment="1">
      <alignment horizontal="center" vertical="center" wrapText="1"/>
    </xf>
    <xf numFmtId="2" fontId="12" fillId="5" borderId="33" xfId="0" applyNumberFormat="1" applyFont="1" applyFill="1" applyBorder="1" applyAlignment="1" applyProtection="1">
      <alignment horizontal="center" vertical="center" wrapText="1"/>
    </xf>
    <xf numFmtId="2" fontId="12" fillId="5" borderId="36" xfId="0" applyNumberFormat="1" applyFont="1" applyFill="1" applyBorder="1" applyAlignment="1" applyProtection="1">
      <alignment horizontal="center" vertical="center" wrapText="1"/>
    </xf>
    <xf numFmtId="2" fontId="12" fillId="5" borderId="2" xfId="0" applyNumberFormat="1" applyFont="1" applyFill="1" applyBorder="1" applyAlignment="1" applyProtection="1">
      <alignment horizontal="center" vertical="center" wrapText="1"/>
    </xf>
    <xf numFmtId="2" fontId="11" fillId="6" borderId="33" xfId="0" applyNumberFormat="1" applyFont="1" applyFill="1" applyBorder="1" applyAlignment="1" applyProtection="1">
      <alignment horizontal="center" vertical="center" wrapText="1"/>
    </xf>
    <xf numFmtId="2" fontId="11" fillId="6" borderId="36" xfId="0" applyNumberFormat="1" applyFont="1" applyFill="1" applyBorder="1" applyAlignment="1" applyProtection="1">
      <alignment horizontal="center" vertical="center" wrapText="1"/>
    </xf>
    <xf numFmtId="2" fontId="11" fillId="6" borderId="2" xfId="0" applyNumberFormat="1" applyFont="1" applyFill="1" applyBorder="1" applyAlignment="1" applyProtection="1">
      <alignment horizontal="center" vertical="center" wrapText="1"/>
    </xf>
    <xf numFmtId="2" fontId="1" fillId="4" borderId="33" xfId="0" applyNumberFormat="1" applyFont="1" applyFill="1" applyBorder="1" applyAlignment="1">
      <alignment horizontal="center" vertical="center" wrapText="1"/>
    </xf>
    <xf numFmtId="2" fontId="1" fillId="4" borderId="2" xfId="0" applyNumberFormat="1" applyFont="1" applyFill="1" applyBorder="1" applyAlignment="1">
      <alignment horizontal="center" vertical="center" wrapText="1"/>
    </xf>
    <xf numFmtId="2" fontId="12" fillId="4" borderId="9" xfId="0" applyNumberFormat="1" applyFont="1" applyFill="1" applyBorder="1" applyAlignment="1" applyProtection="1">
      <alignment horizontal="center" vertical="center" wrapText="1"/>
    </xf>
    <xf numFmtId="2" fontId="12" fillId="4" borderId="38" xfId="0" applyNumberFormat="1" applyFont="1" applyFill="1" applyBorder="1" applyAlignment="1" applyProtection="1">
      <alignment horizontal="center" vertical="center" wrapText="1"/>
    </xf>
    <xf numFmtId="2" fontId="12" fillId="4" borderId="3" xfId="0" applyNumberFormat="1" applyFont="1" applyFill="1" applyBorder="1" applyAlignment="1" applyProtection="1">
      <alignment horizontal="center" vertical="center" wrapText="1"/>
    </xf>
    <xf numFmtId="2" fontId="12" fillId="4" borderId="12" xfId="0" applyNumberFormat="1" applyFont="1" applyFill="1" applyBorder="1" applyAlignment="1" applyProtection="1">
      <alignment horizontal="center" vertical="center" wrapText="1"/>
    </xf>
    <xf numFmtId="2" fontId="12" fillId="4" borderId="0" xfId="0" applyNumberFormat="1" applyFont="1" applyFill="1" applyBorder="1" applyAlignment="1" applyProtection="1">
      <alignment horizontal="center" vertical="center" wrapText="1"/>
    </xf>
    <xf numFmtId="2" fontId="12" fillId="4" borderId="39" xfId="0" applyNumberFormat="1" applyFont="1" applyFill="1" applyBorder="1" applyAlignment="1" applyProtection="1">
      <alignment horizontal="center" vertical="center" wrapText="1"/>
    </xf>
    <xf numFmtId="2" fontId="12" fillId="4" borderId="37" xfId="0" applyNumberFormat="1" applyFont="1" applyFill="1" applyBorder="1" applyAlignment="1" applyProtection="1">
      <alignment horizontal="center" vertical="center" wrapText="1"/>
    </xf>
    <xf numFmtId="2" fontId="12" fillId="4" borderId="25" xfId="0" applyNumberFormat="1" applyFont="1" applyFill="1" applyBorder="1" applyAlignment="1" applyProtection="1">
      <alignment horizontal="center" vertical="center" wrapText="1"/>
    </xf>
    <xf numFmtId="2" fontId="12" fillId="4" borderId="5" xfId="0" applyNumberFormat="1" applyFont="1" applyFill="1" applyBorder="1" applyAlignment="1" applyProtection="1">
      <alignment horizontal="center" vertical="center" wrapText="1"/>
    </xf>
    <xf numFmtId="2" fontId="7" fillId="8" borderId="17" xfId="0" applyNumberFormat="1" applyFont="1" applyFill="1" applyBorder="1" applyAlignment="1">
      <alignment horizontal="center" vertical="center"/>
    </xf>
    <xf numFmtId="2" fontId="7" fillId="8" borderId="18" xfId="0" applyNumberFormat="1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3" fillId="2" borderId="0" xfId="0" applyFont="1" applyFill="1" applyAlignment="1" applyProtection="1">
      <alignment horizontal="center" vertical="center"/>
    </xf>
    <xf numFmtId="0" fontId="3" fillId="2" borderId="25" xfId="0" applyFont="1" applyFill="1" applyBorder="1" applyAlignment="1" applyProtection="1">
      <alignment horizontal="center" vertical="center"/>
    </xf>
    <xf numFmtId="0" fontId="1" fillId="6" borderId="1" xfId="0" applyFont="1" applyFill="1" applyBorder="1" applyAlignment="1" applyProtection="1">
      <alignment horizontal="center" vertical="center"/>
    </xf>
    <xf numFmtId="0" fontId="3" fillId="6" borderId="4" xfId="0" applyFont="1" applyFill="1" applyBorder="1" applyAlignment="1">
      <alignment horizontal="center" vertical="center"/>
    </xf>
    <xf numFmtId="0" fontId="1" fillId="4" borderId="4" xfId="0" applyFont="1" applyFill="1" applyBorder="1" applyAlignment="1" applyProtection="1">
      <alignment horizontal="center" vertical="center"/>
    </xf>
    <xf numFmtId="0" fontId="1" fillId="4" borderId="9" xfId="0" applyFont="1" applyFill="1" applyBorder="1" applyAlignment="1" applyProtection="1">
      <alignment horizontal="center" vertical="center"/>
    </xf>
    <xf numFmtId="0" fontId="19" fillId="0" borderId="10" xfId="0" applyFont="1" applyBorder="1" applyAlignment="1">
      <alignment horizontal="center" vertical="center"/>
    </xf>
    <xf numFmtId="0" fontId="19" fillId="0" borderId="35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8" fillId="16" borderId="44" xfId="0" applyFont="1" applyFill="1" applyBorder="1" applyAlignment="1">
      <alignment horizontal="center" vertical="center"/>
    </xf>
    <xf numFmtId="0" fontId="18" fillId="16" borderId="42" xfId="0" applyFont="1" applyFill="1" applyBorder="1" applyAlignment="1">
      <alignment horizontal="center" vertical="center"/>
    </xf>
    <xf numFmtId="0" fontId="18" fillId="16" borderId="43" xfId="0" applyFont="1" applyFill="1" applyBorder="1" applyAlignment="1">
      <alignment horizontal="center" vertical="center"/>
    </xf>
    <xf numFmtId="0" fontId="16" fillId="0" borderId="23" xfId="0" applyFont="1" applyBorder="1" applyAlignment="1">
      <alignment horizontal="center" vertical="center"/>
    </xf>
    <xf numFmtId="0" fontId="16" fillId="0" borderId="22" xfId="0" applyFont="1" applyBorder="1" applyAlignment="1">
      <alignment horizontal="center" vertical="center"/>
    </xf>
    <xf numFmtId="0" fontId="16" fillId="0" borderId="21" xfId="0" applyFont="1" applyBorder="1" applyAlignment="1">
      <alignment horizontal="center" vertical="center"/>
    </xf>
    <xf numFmtId="0" fontId="18" fillId="0" borderId="33" xfId="0" applyFont="1" applyBorder="1" applyAlignment="1">
      <alignment horizontal="center" vertical="center"/>
    </xf>
    <xf numFmtId="0" fontId="18" fillId="0" borderId="36" xfId="0" applyFont="1" applyBorder="1" applyAlignment="1">
      <alignment horizontal="center" vertical="center"/>
    </xf>
    <xf numFmtId="0" fontId="18" fillId="0" borderId="2" xfId="0" applyFont="1" applyBorder="1" applyAlignment="1">
      <alignment horizontal="center" vertical="center"/>
    </xf>
    <xf numFmtId="0" fontId="19" fillId="0" borderId="7" xfId="0" applyFont="1" applyBorder="1" applyAlignment="1">
      <alignment horizontal="center" vertical="center"/>
    </xf>
    <xf numFmtId="0" fontId="19" fillId="0" borderId="41" xfId="0" applyFont="1" applyBorder="1" applyAlignment="1">
      <alignment horizontal="center" vertical="center"/>
    </xf>
    <xf numFmtId="0" fontId="19" fillId="0" borderId="8" xfId="0" applyFont="1" applyBorder="1" applyAlignment="1">
      <alignment horizontal="center" vertical="center"/>
    </xf>
    <xf numFmtId="14" fontId="16" fillId="0" borderId="25" xfId="0" applyNumberFormat="1" applyFont="1" applyBorder="1" applyAlignment="1">
      <alignment horizontal="center" vertical="center"/>
    </xf>
    <xf numFmtId="14" fontId="16" fillId="0" borderId="5" xfId="0" applyNumberFormat="1" applyFont="1" applyBorder="1" applyAlignment="1">
      <alignment horizontal="center" vertical="center"/>
    </xf>
    <xf numFmtId="0" fontId="17" fillId="21" borderId="37" xfId="0" applyFont="1" applyFill="1" applyBorder="1" applyAlignment="1">
      <alignment horizontal="center" vertical="center"/>
    </xf>
    <xf numFmtId="0" fontId="17" fillId="21" borderId="25" xfId="0" applyFont="1" applyFill="1" applyBorder="1" applyAlignment="1">
      <alignment horizontal="center" vertical="center"/>
    </xf>
    <xf numFmtId="0" fontId="17" fillId="21" borderId="5" xfId="0" applyFont="1" applyFill="1" applyBorder="1" applyAlignment="1">
      <alignment horizontal="center" vertical="center"/>
    </xf>
    <xf numFmtId="0" fontId="16" fillId="0" borderId="37" xfId="0" applyFont="1" applyBorder="1" applyAlignment="1">
      <alignment horizontal="center"/>
    </xf>
    <xf numFmtId="0" fontId="16" fillId="0" borderId="25" xfId="0" applyFont="1" applyBorder="1" applyAlignment="1">
      <alignment horizontal="center"/>
    </xf>
    <xf numFmtId="0" fontId="18" fillId="0" borderId="10" xfId="0" applyFont="1" applyBorder="1" applyAlignment="1">
      <alignment horizontal="center"/>
    </xf>
    <xf numFmtId="0" fontId="18" fillId="0" borderId="35" xfId="0" applyFont="1" applyBorder="1" applyAlignment="1">
      <alignment horizontal="center"/>
    </xf>
    <xf numFmtId="0" fontId="16" fillId="0" borderId="36" xfId="0" applyFont="1" applyBorder="1" applyAlignment="1">
      <alignment horizontal="center"/>
    </xf>
    <xf numFmtId="0" fontId="16" fillId="0" borderId="2" xfId="0" applyFont="1" applyBorder="1" applyAlignment="1">
      <alignment horizontal="center"/>
    </xf>
    <xf numFmtId="0" fontId="18" fillId="0" borderId="11" xfId="0" applyFont="1" applyBorder="1" applyAlignment="1">
      <alignment horizontal="center"/>
    </xf>
    <xf numFmtId="0" fontId="14" fillId="0" borderId="13" xfId="0" applyFont="1" applyBorder="1" applyAlignment="1">
      <alignment horizontal="center" vertical="center" wrapText="1"/>
    </xf>
    <xf numFmtId="0" fontId="1" fillId="3" borderId="9" xfId="0" applyFont="1" applyFill="1" applyBorder="1" applyAlignment="1">
      <alignment horizontal="center" vertical="center" wrapText="1"/>
    </xf>
    <xf numFmtId="0" fontId="1" fillId="3" borderId="38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3" borderId="12" xfId="0" applyFont="1" applyFill="1" applyBorder="1" applyAlignment="1">
      <alignment horizontal="center" vertical="center" wrapText="1"/>
    </xf>
    <xf numFmtId="0" fontId="1" fillId="3" borderId="0" xfId="0" applyFont="1" applyFill="1" applyBorder="1" applyAlignment="1">
      <alignment horizontal="center" vertical="center" wrapText="1"/>
    </xf>
    <xf numFmtId="0" fontId="1" fillId="3" borderId="39" xfId="0" applyFont="1" applyFill="1" applyBorder="1" applyAlignment="1">
      <alignment horizontal="center" vertical="center" wrapText="1"/>
    </xf>
    <xf numFmtId="0" fontId="1" fillId="3" borderId="37" xfId="0" applyFont="1" applyFill="1" applyBorder="1" applyAlignment="1">
      <alignment horizontal="center" vertical="center" wrapText="1"/>
    </xf>
    <xf numFmtId="0" fontId="1" fillId="3" borderId="25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1" fillId="0" borderId="38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39" xfId="0" applyFont="1" applyFill="1" applyBorder="1" applyAlignment="1">
      <alignment horizontal="center" vertical="center"/>
    </xf>
    <xf numFmtId="0" fontId="1" fillId="0" borderId="25" xfId="0" applyFont="1" applyFill="1" applyBorder="1" applyAlignment="1">
      <alignment horizontal="center" vertical="center"/>
    </xf>
    <xf numFmtId="0" fontId="1" fillId="0" borderId="5" xfId="0" applyFont="1" applyFill="1" applyBorder="1" applyAlignment="1">
      <alignment horizontal="center" vertical="center"/>
    </xf>
    <xf numFmtId="0" fontId="14" fillId="10" borderId="13" xfId="0" applyFont="1" applyFill="1" applyBorder="1" applyAlignment="1">
      <alignment horizontal="center"/>
    </xf>
    <xf numFmtId="0" fontId="14" fillId="6" borderId="13" xfId="0" applyFont="1" applyFill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39" xfId="0" applyBorder="1" applyAlignment="1">
      <alignment horizontal="center"/>
    </xf>
    <xf numFmtId="0" fontId="0" fillId="0" borderId="37" xfId="0" applyBorder="1" applyAlignment="1">
      <alignment horizontal="center"/>
    </xf>
    <xf numFmtId="0" fontId="0" fillId="0" borderId="5" xfId="0" applyBorder="1" applyAlignment="1">
      <alignment horizontal="center"/>
    </xf>
  </cellXfs>
  <cellStyles count="4">
    <cellStyle name="Normal" xfId="0" builtinId="0"/>
    <cellStyle name="Normal 2" xfId="1"/>
    <cellStyle name="Normal 3" xfId="2"/>
    <cellStyle name="Normal 3 2" xfId="3"/>
  </cellStyles>
  <dxfs count="81"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9"/>
    </mc:Choice>
    <mc:Fallback>
      <c:style val="19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Eau en m3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4.793869226970314E-2"/>
          <c:y val="0.10320026356974787"/>
          <c:w val="0.92537354342610589"/>
          <c:h val="0.68260228189298988"/>
        </c:manualLayout>
      </c:layout>
      <c:lineChart>
        <c:grouping val="standard"/>
        <c:varyColors val="0"/>
        <c:ser>
          <c:idx val="0"/>
          <c:order val="0"/>
          <c:tx>
            <c:strRef>
              <c:f>'Suivi EAU-ELEC'!$B$7:$C$7</c:f>
              <c:strCache>
                <c:ptCount val="1"/>
                <c:pt idx="0">
                  <c:v>Eau m3</c:v>
                </c:pt>
              </c:strCache>
            </c:strRef>
          </c:tx>
          <c:cat>
            <c:numRef>
              <c:f>'Suivi EAU-ELEC'!$A$16:$A$46</c:f>
              <c:numCache>
                <c:formatCode>m/d/yyyy</c:formatCode>
                <c:ptCount val="31"/>
                <c:pt idx="0">
                  <c:v>43922</c:v>
                </c:pt>
                <c:pt idx="1">
                  <c:v>43923</c:v>
                </c:pt>
                <c:pt idx="2">
                  <c:v>43924</c:v>
                </c:pt>
                <c:pt idx="3">
                  <c:v>43925</c:v>
                </c:pt>
                <c:pt idx="4">
                  <c:v>43926</c:v>
                </c:pt>
                <c:pt idx="5">
                  <c:v>43927</c:v>
                </c:pt>
                <c:pt idx="6">
                  <c:v>43928</c:v>
                </c:pt>
                <c:pt idx="7">
                  <c:v>43929</c:v>
                </c:pt>
                <c:pt idx="8">
                  <c:v>43930</c:v>
                </c:pt>
                <c:pt idx="9">
                  <c:v>43931</c:v>
                </c:pt>
                <c:pt idx="10">
                  <c:v>43932</c:v>
                </c:pt>
                <c:pt idx="11">
                  <c:v>43933</c:v>
                </c:pt>
                <c:pt idx="12">
                  <c:v>43934</c:v>
                </c:pt>
                <c:pt idx="13">
                  <c:v>43935</c:v>
                </c:pt>
                <c:pt idx="14">
                  <c:v>43936</c:v>
                </c:pt>
                <c:pt idx="15">
                  <c:v>43937</c:v>
                </c:pt>
                <c:pt idx="16">
                  <c:v>43938</c:v>
                </c:pt>
                <c:pt idx="17">
                  <c:v>43939</c:v>
                </c:pt>
                <c:pt idx="18">
                  <c:v>43940</c:v>
                </c:pt>
                <c:pt idx="19">
                  <c:v>43941</c:v>
                </c:pt>
                <c:pt idx="20">
                  <c:v>43942</c:v>
                </c:pt>
                <c:pt idx="21">
                  <c:v>43943</c:v>
                </c:pt>
                <c:pt idx="22">
                  <c:v>43944</c:v>
                </c:pt>
                <c:pt idx="23">
                  <c:v>43945</c:v>
                </c:pt>
                <c:pt idx="24">
                  <c:v>43946</c:v>
                </c:pt>
                <c:pt idx="25">
                  <c:v>43947</c:v>
                </c:pt>
                <c:pt idx="26">
                  <c:v>43948</c:v>
                </c:pt>
                <c:pt idx="27">
                  <c:v>43949</c:v>
                </c:pt>
                <c:pt idx="28">
                  <c:v>43950</c:v>
                </c:pt>
                <c:pt idx="29">
                  <c:v>43951</c:v>
                </c:pt>
                <c:pt idx="30">
                  <c:v>43952</c:v>
                </c:pt>
              </c:numCache>
            </c:numRef>
          </c:cat>
          <c:val>
            <c:numRef>
              <c:f>'Suivi EAU-ELEC'!$C$16:$C$46</c:f>
              <c:numCache>
                <c:formatCode>General</c:formatCode>
                <c:ptCount val="31"/>
                <c:pt idx="0">
                  <c:v>350</c:v>
                </c:pt>
                <c:pt idx="1">
                  <c:v>350</c:v>
                </c:pt>
                <c:pt idx="2">
                  <c:v>320</c:v>
                </c:pt>
                <c:pt idx="3">
                  <c:v>340</c:v>
                </c:pt>
                <c:pt idx="4">
                  <c:v>350</c:v>
                </c:pt>
                <c:pt idx="5">
                  <c:v>330</c:v>
                </c:pt>
                <c:pt idx="6">
                  <c:v>190</c:v>
                </c:pt>
                <c:pt idx="7">
                  <c:v>170</c:v>
                </c:pt>
                <c:pt idx="8">
                  <c:v>160</c:v>
                </c:pt>
                <c:pt idx="9">
                  <c:v>160</c:v>
                </c:pt>
                <c:pt idx="10">
                  <c:v>160</c:v>
                </c:pt>
                <c:pt idx="11">
                  <c:v>160</c:v>
                </c:pt>
                <c:pt idx="12">
                  <c:v>150</c:v>
                </c:pt>
                <c:pt idx="13">
                  <c:v>150</c:v>
                </c:pt>
                <c:pt idx="14">
                  <c:v>190</c:v>
                </c:pt>
                <c:pt idx="15">
                  <c:v>200</c:v>
                </c:pt>
                <c:pt idx="16">
                  <c:v>200</c:v>
                </c:pt>
                <c:pt idx="17">
                  <c:v>230</c:v>
                </c:pt>
                <c:pt idx="18">
                  <c:v>230</c:v>
                </c:pt>
                <c:pt idx="19">
                  <c:v>300</c:v>
                </c:pt>
                <c:pt idx="20">
                  <c:v>160</c:v>
                </c:pt>
                <c:pt idx="21">
                  <c:v>120</c:v>
                </c:pt>
                <c:pt idx="22">
                  <c:v>130</c:v>
                </c:pt>
                <c:pt idx="23">
                  <c:v>120</c:v>
                </c:pt>
                <c:pt idx="24">
                  <c:v>120</c:v>
                </c:pt>
                <c:pt idx="25">
                  <c:v>120</c:v>
                </c:pt>
                <c:pt idx="26">
                  <c:v>120</c:v>
                </c:pt>
                <c:pt idx="27">
                  <c:v>110</c:v>
                </c:pt>
                <c:pt idx="28">
                  <c:v>140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85D1-4D6D-B4EA-D56BA3A48C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9074304"/>
        <c:axId val="239141632"/>
      </c:lineChart>
      <c:dateAx>
        <c:axId val="239074304"/>
        <c:scaling>
          <c:orientation val="minMax"/>
        </c:scaling>
        <c:delete val="0"/>
        <c:axPos val="b"/>
        <c:numFmt formatCode="m/d/yyyy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39141632"/>
        <c:crosses val="autoZero"/>
        <c:auto val="1"/>
        <c:lblOffset val="100"/>
        <c:baseTimeUnit val="days"/>
      </c:dateAx>
      <c:valAx>
        <c:axId val="23914163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39074304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Electricité en Kw/h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'Suivi EAU-ELEC'!$E$8</c:f>
              <c:strCache>
                <c:ptCount val="1"/>
                <c:pt idx="0">
                  <c:v>Consommation  H.Creuse</c:v>
                </c:pt>
              </c:strCache>
            </c:strRef>
          </c:tx>
          <c:cat>
            <c:numRef>
              <c:f>'Suivi EAU-ELEC'!$A$16:$A$46</c:f>
              <c:numCache>
                <c:formatCode>m/d/yyyy</c:formatCode>
                <c:ptCount val="31"/>
                <c:pt idx="0">
                  <c:v>43922</c:v>
                </c:pt>
                <c:pt idx="1">
                  <c:v>43923</c:v>
                </c:pt>
                <c:pt idx="2">
                  <c:v>43924</c:v>
                </c:pt>
                <c:pt idx="3">
                  <c:v>43925</c:v>
                </c:pt>
                <c:pt idx="4">
                  <c:v>43926</c:v>
                </c:pt>
                <c:pt idx="5">
                  <c:v>43927</c:v>
                </c:pt>
                <c:pt idx="6">
                  <c:v>43928</c:v>
                </c:pt>
                <c:pt idx="7">
                  <c:v>43929</c:v>
                </c:pt>
                <c:pt idx="8">
                  <c:v>43930</c:v>
                </c:pt>
                <c:pt idx="9">
                  <c:v>43931</c:v>
                </c:pt>
                <c:pt idx="10">
                  <c:v>43932</c:v>
                </c:pt>
                <c:pt idx="11">
                  <c:v>43933</c:v>
                </c:pt>
                <c:pt idx="12">
                  <c:v>43934</c:v>
                </c:pt>
                <c:pt idx="13">
                  <c:v>43935</c:v>
                </c:pt>
                <c:pt idx="14">
                  <c:v>43936</c:v>
                </c:pt>
                <c:pt idx="15">
                  <c:v>43937</c:v>
                </c:pt>
                <c:pt idx="16">
                  <c:v>43938</c:v>
                </c:pt>
                <c:pt idx="17">
                  <c:v>43939</c:v>
                </c:pt>
                <c:pt idx="18">
                  <c:v>43940</c:v>
                </c:pt>
                <c:pt idx="19">
                  <c:v>43941</c:v>
                </c:pt>
                <c:pt idx="20">
                  <c:v>43942</c:v>
                </c:pt>
                <c:pt idx="21">
                  <c:v>43943</c:v>
                </c:pt>
                <c:pt idx="22">
                  <c:v>43944</c:v>
                </c:pt>
                <c:pt idx="23">
                  <c:v>43945</c:v>
                </c:pt>
                <c:pt idx="24">
                  <c:v>43946</c:v>
                </c:pt>
                <c:pt idx="25">
                  <c:v>43947</c:v>
                </c:pt>
                <c:pt idx="26">
                  <c:v>43948</c:v>
                </c:pt>
                <c:pt idx="27">
                  <c:v>43949</c:v>
                </c:pt>
                <c:pt idx="28">
                  <c:v>43950</c:v>
                </c:pt>
                <c:pt idx="29">
                  <c:v>43951</c:v>
                </c:pt>
                <c:pt idx="30">
                  <c:v>43952</c:v>
                </c:pt>
              </c:numCache>
            </c:numRef>
          </c:cat>
          <c:val>
            <c:numRef>
              <c:f>'Suivi EAU-ELEC'!$E$16:$E$46</c:f>
              <c:numCache>
                <c:formatCode>General</c:formatCode>
                <c:ptCount val="31"/>
                <c:pt idx="0">
                  <c:v>1178</c:v>
                </c:pt>
                <c:pt idx="1">
                  <c:v>1176</c:v>
                </c:pt>
                <c:pt idx="2">
                  <c:v>1078</c:v>
                </c:pt>
                <c:pt idx="3">
                  <c:v>1143</c:v>
                </c:pt>
                <c:pt idx="4">
                  <c:v>1129</c:v>
                </c:pt>
                <c:pt idx="5">
                  <c:v>1243</c:v>
                </c:pt>
                <c:pt idx="6">
                  <c:v>1056</c:v>
                </c:pt>
                <c:pt idx="7">
                  <c:v>1204</c:v>
                </c:pt>
                <c:pt idx="8">
                  <c:v>1027</c:v>
                </c:pt>
                <c:pt idx="9">
                  <c:v>1162</c:v>
                </c:pt>
                <c:pt idx="10">
                  <c:v>1093</c:v>
                </c:pt>
                <c:pt idx="11">
                  <c:v>1078</c:v>
                </c:pt>
                <c:pt idx="12">
                  <c:v>1070</c:v>
                </c:pt>
                <c:pt idx="13">
                  <c:v>1061</c:v>
                </c:pt>
                <c:pt idx="14">
                  <c:v>1081</c:v>
                </c:pt>
                <c:pt idx="15">
                  <c:v>1124</c:v>
                </c:pt>
                <c:pt idx="16">
                  <c:v>979</c:v>
                </c:pt>
                <c:pt idx="17">
                  <c:v>1107</c:v>
                </c:pt>
                <c:pt idx="18">
                  <c:v>859</c:v>
                </c:pt>
                <c:pt idx="19">
                  <c:v>962</c:v>
                </c:pt>
                <c:pt idx="20">
                  <c:v>994</c:v>
                </c:pt>
                <c:pt idx="21">
                  <c:v>942</c:v>
                </c:pt>
                <c:pt idx="22">
                  <c:v>1101</c:v>
                </c:pt>
                <c:pt idx="23">
                  <c:v>886</c:v>
                </c:pt>
                <c:pt idx="24">
                  <c:v>1000</c:v>
                </c:pt>
                <c:pt idx="25">
                  <c:v>872</c:v>
                </c:pt>
                <c:pt idx="26">
                  <c:v>915</c:v>
                </c:pt>
                <c:pt idx="27">
                  <c:v>891</c:v>
                </c:pt>
                <c:pt idx="28">
                  <c:v>1054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06E3-4D6B-96BF-126E21515654}"/>
            </c:ext>
          </c:extLst>
        </c:ser>
        <c:ser>
          <c:idx val="1"/>
          <c:order val="1"/>
          <c:tx>
            <c:strRef>
              <c:f>'Suivi EAU-ELEC'!$G$8</c:f>
              <c:strCache>
                <c:ptCount val="1"/>
                <c:pt idx="0">
                  <c:v>Consommation H.Pleine</c:v>
                </c:pt>
              </c:strCache>
            </c:strRef>
          </c:tx>
          <c:cat>
            <c:numRef>
              <c:f>'Suivi EAU-ELEC'!$A$16:$A$46</c:f>
              <c:numCache>
                <c:formatCode>m/d/yyyy</c:formatCode>
                <c:ptCount val="31"/>
                <c:pt idx="0">
                  <c:v>43922</c:v>
                </c:pt>
                <c:pt idx="1">
                  <c:v>43923</c:v>
                </c:pt>
                <c:pt idx="2">
                  <c:v>43924</c:v>
                </c:pt>
                <c:pt idx="3">
                  <c:v>43925</c:v>
                </c:pt>
                <c:pt idx="4">
                  <c:v>43926</c:v>
                </c:pt>
                <c:pt idx="5">
                  <c:v>43927</c:v>
                </c:pt>
                <c:pt idx="6">
                  <c:v>43928</c:v>
                </c:pt>
                <c:pt idx="7">
                  <c:v>43929</c:v>
                </c:pt>
                <c:pt idx="8">
                  <c:v>43930</c:v>
                </c:pt>
                <c:pt idx="9">
                  <c:v>43931</c:v>
                </c:pt>
                <c:pt idx="10">
                  <c:v>43932</c:v>
                </c:pt>
                <c:pt idx="11">
                  <c:v>43933</c:v>
                </c:pt>
                <c:pt idx="12">
                  <c:v>43934</c:v>
                </c:pt>
                <c:pt idx="13">
                  <c:v>43935</c:v>
                </c:pt>
                <c:pt idx="14">
                  <c:v>43936</c:v>
                </c:pt>
                <c:pt idx="15">
                  <c:v>43937</c:v>
                </c:pt>
                <c:pt idx="16">
                  <c:v>43938</c:v>
                </c:pt>
                <c:pt idx="17">
                  <c:v>43939</c:v>
                </c:pt>
                <c:pt idx="18">
                  <c:v>43940</c:v>
                </c:pt>
                <c:pt idx="19">
                  <c:v>43941</c:v>
                </c:pt>
                <c:pt idx="20">
                  <c:v>43942</c:v>
                </c:pt>
                <c:pt idx="21">
                  <c:v>43943</c:v>
                </c:pt>
                <c:pt idx="22">
                  <c:v>43944</c:v>
                </c:pt>
                <c:pt idx="23">
                  <c:v>43945</c:v>
                </c:pt>
                <c:pt idx="24">
                  <c:v>43946</c:v>
                </c:pt>
                <c:pt idx="25">
                  <c:v>43947</c:v>
                </c:pt>
                <c:pt idx="26">
                  <c:v>43948</c:v>
                </c:pt>
                <c:pt idx="27">
                  <c:v>43949</c:v>
                </c:pt>
                <c:pt idx="28">
                  <c:v>43950</c:v>
                </c:pt>
                <c:pt idx="29">
                  <c:v>43951</c:v>
                </c:pt>
                <c:pt idx="30">
                  <c:v>43952</c:v>
                </c:pt>
              </c:numCache>
            </c:numRef>
          </c:cat>
          <c:val>
            <c:numRef>
              <c:f>'Suivi EAU-ELEC'!$G$16:$G$46</c:f>
              <c:numCache>
                <c:formatCode>General</c:formatCode>
                <c:ptCount val="31"/>
                <c:pt idx="0">
                  <c:v>1872</c:v>
                </c:pt>
                <c:pt idx="1">
                  <c:v>1718</c:v>
                </c:pt>
                <c:pt idx="2">
                  <c:v>1619</c:v>
                </c:pt>
                <c:pt idx="3">
                  <c:v>1688</c:v>
                </c:pt>
                <c:pt idx="4">
                  <c:v>1682</c:v>
                </c:pt>
                <c:pt idx="5">
                  <c:v>1791</c:v>
                </c:pt>
                <c:pt idx="6">
                  <c:v>1628</c:v>
                </c:pt>
                <c:pt idx="7">
                  <c:v>1697</c:v>
                </c:pt>
                <c:pt idx="8">
                  <c:v>1663</c:v>
                </c:pt>
                <c:pt idx="9">
                  <c:v>1707</c:v>
                </c:pt>
                <c:pt idx="10">
                  <c:v>1571</c:v>
                </c:pt>
                <c:pt idx="11">
                  <c:v>1627</c:v>
                </c:pt>
                <c:pt idx="12">
                  <c:v>1619</c:v>
                </c:pt>
                <c:pt idx="13">
                  <c:v>1684</c:v>
                </c:pt>
                <c:pt idx="14">
                  <c:v>1572</c:v>
                </c:pt>
                <c:pt idx="15">
                  <c:v>1546</c:v>
                </c:pt>
                <c:pt idx="16">
                  <c:v>1620</c:v>
                </c:pt>
                <c:pt idx="17">
                  <c:v>1526</c:v>
                </c:pt>
                <c:pt idx="18">
                  <c:v>1431</c:v>
                </c:pt>
                <c:pt idx="19">
                  <c:v>1405</c:v>
                </c:pt>
                <c:pt idx="20">
                  <c:v>1457</c:v>
                </c:pt>
                <c:pt idx="21">
                  <c:v>1604</c:v>
                </c:pt>
                <c:pt idx="22">
                  <c:v>1602</c:v>
                </c:pt>
                <c:pt idx="23">
                  <c:v>1528</c:v>
                </c:pt>
                <c:pt idx="24">
                  <c:v>1311</c:v>
                </c:pt>
                <c:pt idx="25">
                  <c:v>1266</c:v>
                </c:pt>
                <c:pt idx="26">
                  <c:v>1330</c:v>
                </c:pt>
                <c:pt idx="27">
                  <c:v>1326</c:v>
                </c:pt>
                <c:pt idx="28">
                  <c:v>1434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06E3-4D6B-96BF-126E21515654}"/>
            </c:ext>
          </c:extLst>
        </c:ser>
        <c:ser>
          <c:idx val="2"/>
          <c:order val="2"/>
          <c:tx>
            <c:strRef>
              <c:f>'Suivi EAU-ELEC'!$I$8</c:f>
              <c:strCache>
                <c:ptCount val="1"/>
                <c:pt idx="0">
                  <c:v>Consommation  H.Pointe</c:v>
                </c:pt>
              </c:strCache>
            </c:strRef>
          </c:tx>
          <c:cat>
            <c:numRef>
              <c:f>'Suivi EAU-ELEC'!$A$16:$A$46</c:f>
              <c:numCache>
                <c:formatCode>m/d/yyyy</c:formatCode>
                <c:ptCount val="31"/>
                <c:pt idx="0">
                  <c:v>43922</c:v>
                </c:pt>
                <c:pt idx="1">
                  <c:v>43923</c:v>
                </c:pt>
                <c:pt idx="2">
                  <c:v>43924</c:v>
                </c:pt>
                <c:pt idx="3">
                  <c:v>43925</c:v>
                </c:pt>
                <c:pt idx="4">
                  <c:v>43926</c:v>
                </c:pt>
                <c:pt idx="5">
                  <c:v>43927</c:v>
                </c:pt>
                <c:pt idx="6">
                  <c:v>43928</c:v>
                </c:pt>
                <c:pt idx="7">
                  <c:v>43929</c:v>
                </c:pt>
                <c:pt idx="8">
                  <c:v>43930</c:v>
                </c:pt>
                <c:pt idx="9">
                  <c:v>43931</c:v>
                </c:pt>
                <c:pt idx="10">
                  <c:v>43932</c:v>
                </c:pt>
                <c:pt idx="11">
                  <c:v>43933</c:v>
                </c:pt>
                <c:pt idx="12">
                  <c:v>43934</c:v>
                </c:pt>
                <c:pt idx="13">
                  <c:v>43935</c:v>
                </c:pt>
                <c:pt idx="14">
                  <c:v>43936</c:v>
                </c:pt>
                <c:pt idx="15">
                  <c:v>43937</c:v>
                </c:pt>
                <c:pt idx="16">
                  <c:v>43938</c:v>
                </c:pt>
                <c:pt idx="17">
                  <c:v>43939</c:v>
                </c:pt>
                <c:pt idx="18">
                  <c:v>43940</c:v>
                </c:pt>
                <c:pt idx="19">
                  <c:v>43941</c:v>
                </c:pt>
                <c:pt idx="20">
                  <c:v>43942</c:v>
                </c:pt>
                <c:pt idx="21">
                  <c:v>43943</c:v>
                </c:pt>
                <c:pt idx="22">
                  <c:v>43944</c:v>
                </c:pt>
                <c:pt idx="23">
                  <c:v>43945</c:v>
                </c:pt>
                <c:pt idx="24">
                  <c:v>43946</c:v>
                </c:pt>
                <c:pt idx="25">
                  <c:v>43947</c:v>
                </c:pt>
                <c:pt idx="26">
                  <c:v>43948</c:v>
                </c:pt>
                <c:pt idx="27">
                  <c:v>43949</c:v>
                </c:pt>
                <c:pt idx="28">
                  <c:v>43950</c:v>
                </c:pt>
                <c:pt idx="29">
                  <c:v>43951</c:v>
                </c:pt>
                <c:pt idx="30">
                  <c:v>43952</c:v>
                </c:pt>
              </c:numCache>
            </c:numRef>
          </c:cat>
          <c:val>
            <c:numRef>
              <c:f>'Suivi EAU-ELEC'!$I$16:$I$46</c:f>
              <c:numCache>
                <c:formatCode>General</c:formatCode>
                <c:ptCount val="31"/>
                <c:pt idx="0">
                  <c:v>737</c:v>
                </c:pt>
                <c:pt idx="1">
                  <c:v>745</c:v>
                </c:pt>
                <c:pt idx="2">
                  <c:v>762</c:v>
                </c:pt>
                <c:pt idx="3">
                  <c:v>701</c:v>
                </c:pt>
                <c:pt idx="4">
                  <c:v>755</c:v>
                </c:pt>
                <c:pt idx="5">
                  <c:v>787</c:v>
                </c:pt>
                <c:pt idx="6">
                  <c:v>658</c:v>
                </c:pt>
                <c:pt idx="7">
                  <c:v>752</c:v>
                </c:pt>
                <c:pt idx="8">
                  <c:v>762</c:v>
                </c:pt>
                <c:pt idx="9">
                  <c:v>756</c:v>
                </c:pt>
                <c:pt idx="10">
                  <c:v>665</c:v>
                </c:pt>
                <c:pt idx="11">
                  <c:v>725</c:v>
                </c:pt>
                <c:pt idx="12">
                  <c:v>708</c:v>
                </c:pt>
                <c:pt idx="13">
                  <c:v>674</c:v>
                </c:pt>
                <c:pt idx="14">
                  <c:v>671</c:v>
                </c:pt>
                <c:pt idx="15">
                  <c:v>692</c:v>
                </c:pt>
                <c:pt idx="16">
                  <c:v>689</c:v>
                </c:pt>
                <c:pt idx="17">
                  <c:v>673</c:v>
                </c:pt>
                <c:pt idx="18">
                  <c:v>590</c:v>
                </c:pt>
                <c:pt idx="19">
                  <c:v>630</c:v>
                </c:pt>
                <c:pt idx="20">
                  <c:v>616</c:v>
                </c:pt>
                <c:pt idx="21">
                  <c:v>603</c:v>
                </c:pt>
                <c:pt idx="22">
                  <c:v>691</c:v>
                </c:pt>
                <c:pt idx="23">
                  <c:v>621</c:v>
                </c:pt>
                <c:pt idx="24">
                  <c:v>561</c:v>
                </c:pt>
                <c:pt idx="25">
                  <c:v>558</c:v>
                </c:pt>
                <c:pt idx="26">
                  <c:v>571</c:v>
                </c:pt>
                <c:pt idx="27">
                  <c:v>563</c:v>
                </c:pt>
                <c:pt idx="28">
                  <c:v>666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06E3-4D6B-96BF-126E215156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9166208"/>
        <c:axId val="239167744"/>
      </c:lineChart>
      <c:dateAx>
        <c:axId val="239166208"/>
        <c:scaling>
          <c:orientation val="minMax"/>
        </c:scaling>
        <c:delete val="0"/>
        <c:axPos val="b"/>
        <c:numFmt formatCode="m/d/yyyy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39167744"/>
        <c:crosses val="autoZero"/>
        <c:auto val="1"/>
        <c:lblOffset val="100"/>
        <c:baseTimeUnit val="days"/>
      </c:dateAx>
      <c:valAx>
        <c:axId val="239167744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391662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0206185567010311"/>
          <c:y val="0.97013405336910463"/>
          <c:w val="0.18556701030927836"/>
          <c:h val="1.4380550392016375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4"/>
    </mc:Choice>
    <mc:Fallback>
      <c:style val="24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Gaz en  Kg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'Suvi Gaz'!$O$3</c:f>
              <c:strCache>
                <c:ptCount val="1"/>
                <c:pt idx="0">
                  <c:v>cons./jen Kg</c:v>
                </c:pt>
              </c:strCache>
            </c:strRef>
          </c:tx>
          <c:cat>
            <c:numRef>
              <c:f>'Suvi Gaz'!$A$10:$A$42</c:f>
              <c:numCache>
                <c:formatCode>[$-40C]d\-mmm;@</c:formatCode>
                <c:ptCount val="33"/>
                <c:pt idx="0">
                  <c:v>43921</c:v>
                </c:pt>
                <c:pt idx="1">
                  <c:v>43922</c:v>
                </c:pt>
                <c:pt idx="2">
                  <c:v>43923</c:v>
                </c:pt>
                <c:pt idx="3">
                  <c:v>43924</c:v>
                </c:pt>
                <c:pt idx="4">
                  <c:v>43925</c:v>
                </c:pt>
                <c:pt idx="5">
                  <c:v>43926</c:v>
                </c:pt>
                <c:pt idx="6">
                  <c:v>43927</c:v>
                </c:pt>
                <c:pt idx="7">
                  <c:v>43928</c:v>
                </c:pt>
                <c:pt idx="8">
                  <c:v>43929</c:v>
                </c:pt>
                <c:pt idx="9">
                  <c:v>43930</c:v>
                </c:pt>
                <c:pt idx="10">
                  <c:v>43931</c:v>
                </c:pt>
                <c:pt idx="11">
                  <c:v>43932</c:v>
                </c:pt>
                <c:pt idx="12">
                  <c:v>43933</c:v>
                </c:pt>
                <c:pt idx="13">
                  <c:v>43934</c:v>
                </c:pt>
                <c:pt idx="14">
                  <c:v>43935</c:v>
                </c:pt>
                <c:pt idx="15">
                  <c:v>43936</c:v>
                </c:pt>
                <c:pt idx="16">
                  <c:v>43937</c:v>
                </c:pt>
                <c:pt idx="17">
                  <c:v>43938</c:v>
                </c:pt>
                <c:pt idx="18">
                  <c:v>43939</c:v>
                </c:pt>
                <c:pt idx="19">
                  <c:v>43940</c:v>
                </c:pt>
                <c:pt idx="20">
                  <c:v>43941</c:v>
                </c:pt>
                <c:pt idx="21">
                  <c:v>43942</c:v>
                </c:pt>
                <c:pt idx="22">
                  <c:v>43943</c:v>
                </c:pt>
                <c:pt idx="23">
                  <c:v>43944</c:v>
                </c:pt>
                <c:pt idx="24">
                  <c:v>43945</c:v>
                </c:pt>
                <c:pt idx="25">
                  <c:v>43946</c:v>
                </c:pt>
                <c:pt idx="26">
                  <c:v>43947</c:v>
                </c:pt>
                <c:pt idx="27">
                  <c:v>43948</c:v>
                </c:pt>
                <c:pt idx="28">
                  <c:v>43949</c:v>
                </c:pt>
                <c:pt idx="29">
                  <c:v>43950</c:v>
                </c:pt>
                <c:pt idx="30">
                  <c:v>43951</c:v>
                </c:pt>
                <c:pt idx="31">
                  <c:v>43952</c:v>
                </c:pt>
                <c:pt idx="32">
                  <c:v>43953</c:v>
                </c:pt>
              </c:numCache>
            </c:numRef>
          </c:cat>
          <c:val>
            <c:numRef>
              <c:f>'Suvi Gaz'!$O$10:$O$42</c:f>
              <c:numCache>
                <c:formatCode>General</c:formatCode>
                <c:ptCount val="33"/>
                <c:pt idx="0">
                  <c:v>74.2</c:v>
                </c:pt>
                <c:pt idx="1">
                  <c:v>111.30000000000001</c:v>
                </c:pt>
                <c:pt idx="2">
                  <c:v>111.30000000000001</c:v>
                </c:pt>
                <c:pt idx="3">
                  <c:v>74.2</c:v>
                </c:pt>
                <c:pt idx="4">
                  <c:v>74.2</c:v>
                </c:pt>
                <c:pt idx="5">
                  <c:v>37.1</c:v>
                </c:pt>
                <c:pt idx="6">
                  <c:v>-37.1</c:v>
                </c:pt>
                <c:pt idx="7">
                  <c:v>37.1</c:v>
                </c:pt>
                <c:pt idx="8">
                  <c:v>37.1</c:v>
                </c:pt>
                <c:pt idx="9">
                  <c:v>37.1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37.1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37.1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F947-4F6A-83BD-1CADE276A9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9176320"/>
        <c:axId val="239182208"/>
      </c:lineChart>
      <c:dateAx>
        <c:axId val="239176320"/>
        <c:scaling>
          <c:orientation val="minMax"/>
        </c:scaling>
        <c:delete val="0"/>
        <c:axPos val="b"/>
        <c:numFmt formatCode="[$-40C]d\-mmm;@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39182208"/>
        <c:crosses val="autoZero"/>
        <c:auto val="1"/>
        <c:lblOffset val="100"/>
        <c:baseTimeUnit val="days"/>
      </c:dateAx>
      <c:valAx>
        <c:axId val="239182208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391763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7128129602356406"/>
          <c:y val="0.97329470868755086"/>
          <c:w val="5.1546391752577317E-2"/>
          <c:h val="1.2858568305831465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1155700</xdr:colOff>
      <xdr:row>3</xdr:row>
      <xdr:rowOff>57150</xdr:rowOff>
    </xdr:from>
    <xdr:to>
      <xdr:col>32</xdr:col>
      <xdr:colOff>946150</xdr:colOff>
      <xdr:row>4</xdr:row>
      <xdr:rowOff>323850</xdr:rowOff>
    </xdr:to>
    <xdr:sp macro="" textlink="">
      <xdr:nvSpPr>
        <xdr:cNvPr id="22496473" name="WordArt 12">
          <a:extLst>
            <a:ext uri="{FF2B5EF4-FFF2-40B4-BE49-F238E27FC236}">
              <a16:creationId xmlns:a16="http://schemas.microsoft.com/office/drawing/2014/main" xmlns="" id="{47B78F8B-4164-49C5-AF4A-D5327AF39945}"/>
            </a:ext>
          </a:extLst>
        </xdr:cNvPr>
        <xdr:cNvSpPr>
          <a:spLocks noChangeArrowheads="1" noChangeShapeType="1"/>
        </xdr:cNvSpPr>
      </xdr:nvSpPr>
      <xdr:spPr bwMode="auto">
        <a:xfrm>
          <a:off x="1422400" y="1885950"/>
          <a:ext cx="26803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11</xdr:col>
      <xdr:colOff>419100</xdr:colOff>
      <xdr:row>1</xdr:row>
      <xdr:rowOff>190500</xdr:rowOff>
    </xdr:from>
    <xdr:to>
      <xdr:col>25</xdr:col>
      <xdr:colOff>82549</xdr:colOff>
      <xdr:row>1</xdr:row>
      <xdr:rowOff>1455061</xdr:rowOff>
    </xdr:to>
    <xdr:sp macro="" textlink="">
      <xdr:nvSpPr>
        <xdr:cNvPr id="5" name="WordArt 1">
          <a:extLst>
            <a:ext uri="{FF2B5EF4-FFF2-40B4-BE49-F238E27FC236}">
              <a16:creationId xmlns:a16="http://schemas.microsoft.com/office/drawing/2014/main" xmlns="" id="{1F2320DE-87A6-4B94-9653-F2E0CF4738FE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7753350" y="438150"/>
          <a:ext cx="10267949" cy="1264561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186"/>
            </a:avLst>
          </a:prstTxWarp>
        </a:bodyPr>
        <a:lstStyle/>
        <a:p>
          <a:pPr algn="ctr" rtl="0"/>
          <a:r>
            <a:rPr lang="fr-FR" sz="3600" kern="10" spc="0">
              <a:ln w="9525">
                <a:solidFill>
                  <a:srgbClr val="000000"/>
                </a:solidFill>
                <a:round/>
                <a:headEnd/>
                <a:tailEnd/>
              </a:ln>
              <a:solidFill>
                <a:srgbClr val="0000FF"/>
              </a:solidFill>
              <a:effectLst>
                <a:outerShdw dist="45791" dir="2021404" algn="ctr" rotWithShape="0">
                  <a:srgbClr val="B2B2B2">
                    <a:alpha val="80000"/>
                  </a:srgbClr>
                </a:outerShdw>
              </a:effectLst>
              <a:latin typeface="Monotype Corsiva"/>
            </a:rPr>
            <a:t>Consommations mensuels </a:t>
          </a:r>
        </a:p>
      </xdr:txBody>
    </xdr:sp>
    <xdr:clientData/>
  </xdr:twoCellAnchor>
  <xdr:twoCellAnchor editAs="oneCell">
    <xdr:from>
      <xdr:col>0</xdr:col>
      <xdr:colOff>0</xdr:colOff>
      <xdr:row>1</xdr:row>
      <xdr:rowOff>38100</xdr:rowOff>
    </xdr:from>
    <xdr:to>
      <xdr:col>3</xdr:col>
      <xdr:colOff>1060450</xdr:colOff>
      <xdr:row>1</xdr:row>
      <xdr:rowOff>1581150</xdr:rowOff>
    </xdr:to>
    <xdr:pic>
      <xdr:nvPicPr>
        <xdr:cNvPr id="22496475" name="Picture 23">
          <a:extLst>
            <a:ext uri="{FF2B5EF4-FFF2-40B4-BE49-F238E27FC236}">
              <a16:creationId xmlns:a16="http://schemas.microsoft.com/office/drawing/2014/main" xmlns="" id="{4FFFD502-5BAA-4701-8F23-5449AEEF93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66700"/>
          <a:ext cx="2806700" cy="1543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638175</xdr:colOff>
      <xdr:row>1</xdr:row>
      <xdr:rowOff>0</xdr:rowOff>
    </xdr:to>
    <xdr:pic>
      <xdr:nvPicPr>
        <xdr:cNvPr id="22568036" name="Picture 23">
          <a:extLst>
            <a:ext uri="{FF2B5EF4-FFF2-40B4-BE49-F238E27FC236}">
              <a16:creationId xmlns:a16="http://schemas.microsoft.com/office/drawing/2014/main" xmlns="" id="{E5990674-A4C9-41E3-9ED6-28FC386996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622550" cy="787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26</xdr:col>
      <xdr:colOff>0</xdr:colOff>
      <xdr:row>0</xdr:row>
      <xdr:rowOff>0</xdr:rowOff>
    </xdr:from>
    <xdr:to>
      <xdr:col>28</xdr:col>
      <xdr:colOff>1016000</xdr:colOff>
      <xdr:row>1</xdr:row>
      <xdr:rowOff>0</xdr:rowOff>
    </xdr:to>
    <xdr:pic>
      <xdr:nvPicPr>
        <xdr:cNvPr id="22568037" name="Picture 23">
          <a:extLst>
            <a:ext uri="{FF2B5EF4-FFF2-40B4-BE49-F238E27FC236}">
              <a16:creationId xmlns:a16="http://schemas.microsoft.com/office/drawing/2014/main" xmlns="" id="{8158DB6D-FD84-4D8E-BB1C-9B947A86A2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285200" y="0"/>
          <a:ext cx="2311400" cy="787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127000</xdr:colOff>
      <xdr:row>8</xdr:row>
      <xdr:rowOff>0</xdr:rowOff>
    </xdr:from>
    <xdr:to>
      <xdr:col>19</xdr:col>
      <xdr:colOff>749300</xdr:colOff>
      <xdr:row>29</xdr:row>
      <xdr:rowOff>44450</xdr:rowOff>
    </xdr:to>
    <xdr:graphicFrame macro="">
      <xdr:nvGraphicFramePr>
        <xdr:cNvPr id="22253306" name="Graphique 3">
          <a:extLst>
            <a:ext uri="{FF2B5EF4-FFF2-40B4-BE49-F238E27FC236}">
              <a16:creationId xmlns:a16="http://schemas.microsoft.com/office/drawing/2014/main" xmlns="" id="{24980855-B7EF-476B-9E4B-F14F368136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107950</xdr:colOff>
      <xdr:row>30</xdr:row>
      <xdr:rowOff>0</xdr:rowOff>
    </xdr:from>
    <xdr:to>
      <xdr:col>19</xdr:col>
      <xdr:colOff>730250</xdr:colOff>
      <xdr:row>52</xdr:row>
      <xdr:rowOff>120650</xdr:rowOff>
    </xdr:to>
    <xdr:graphicFrame macro="">
      <xdr:nvGraphicFramePr>
        <xdr:cNvPr id="22253307" name="Graphique 4">
          <a:extLst>
            <a:ext uri="{FF2B5EF4-FFF2-40B4-BE49-F238E27FC236}">
              <a16:creationId xmlns:a16="http://schemas.microsoft.com/office/drawing/2014/main" xmlns="" id="{C6100F02-4C48-4B3E-8DD9-5302E45A6DC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53</xdr:row>
      <xdr:rowOff>63500</xdr:rowOff>
    </xdr:from>
    <xdr:to>
      <xdr:col>19</xdr:col>
      <xdr:colOff>622300</xdr:colOff>
      <xdr:row>91</xdr:row>
      <xdr:rowOff>38100</xdr:rowOff>
    </xdr:to>
    <xdr:graphicFrame macro="">
      <xdr:nvGraphicFramePr>
        <xdr:cNvPr id="22253308" name="Graphique 5">
          <a:extLst>
            <a:ext uri="{FF2B5EF4-FFF2-40B4-BE49-F238E27FC236}">
              <a16:creationId xmlns:a16="http://schemas.microsoft.com/office/drawing/2014/main" xmlns="" id="{0692F7FB-B376-4254-8B14-4F47BEE7F30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7</xdr:col>
      <xdr:colOff>0</xdr:colOff>
      <xdr:row>0</xdr:row>
      <xdr:rowOff>0</xdr:rowOff>
    </xdr:from>
    <xdr:to>
      <xdr:col>8</xdr:col>
      <xdr:colOff>1098550</xdr:colOff>
      <xdr:row>2</xdr:row>
      <xdr:rowOff>552450</xdr:rowOff>
    </xdr:to>
    <xdr:pic>
      <xdr:nvPicPr>
        <xdr:cNvPr id="22253309" name="Picture 23">
          <a:extLst>
            <a:ext uri="{FF2B5EF4-FFF2-40B4-BE49-F238E27FC236}">
              <a16:creationId xmlns:a16="http://schemas.microsoft.com/office/drawing/2014/main" xmlns="" id="{A041A911-7272-4072-B075-E26B839A46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75650" y="0"/>
          <a:ext cx="2266950" cy="920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1098550</xdr:colOff>
      <xdr:row>2</xdr:row>
      <xdr:rowOff>552450</xdr:rowOff>
    </xdr:to>
    <xdr:pic>
      <xdr:nvPicPr>
        <xdr:cNvPr id="22253310" name="Picture 23">
          <a:extLst>
            <a:ext uri="{FF2B5EF4-FFF2-40B4-BE49-F238E27FC236}">
              <a16:creationId xmlns:a16="http://schemas.microsoft.com/office/drawing/2014/main" xmlns="" id="{0A34174D-7D86-47E5-88C6-AF35F198C8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266950" cy="920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O40"/>
  <sheetViews>
    <sheetView tabSelected="1" workbookViewId="0">
      <selection activeCell="N29" sqref="N29:N30"/>
    </sheetView>
  </sheetViews>
  <sheetFormatPr defaultColWidth="11.5703125" defaultRowHeight="12.75" x14ac:dyDescent="0.2"/>
  <cols>
    <col min="1" max="1" width="23" customWidth="1"/>
    <col min="2" max="2" width="11.5703125" customWidth="1"/>
    <col min="4" max="4" width="13.42578125" customWidth="1"/>
    <col min="5" max="6" width="12.5703125" customWidth="1"/>
    <col min="14" max="14" width="11.5703125" customWidth="1"/>
    <col min="15" max="15" width="0" hidden="1" customWidth="1"/>
    <col min="17" max="17" width="11.5703125" customWidth="1"/>
  </cols>
  <sheetData>
    <row r="1" spans="1:15" s="103" customFormat="1" ht="60.75" thickBot="1" x14ac:dyDescent="0.3">
      <c r="A1" s="104" t="s">
        <v>63</v>
      </c>
      <c r="B1" s="104" t="s">
        <v>64</v>
      </c>
      <c r="C1" s="104" t="s">
        <v>65</v>
      </c>
      <c r="D1" s="104" t="s">
        <v>66</v>
      </c>
      <c r="E1" s="105" t="s">
        <v>67</v>
      </c>
      <c r="F1" s="105" t="s">
        <v>77</v>
      </c>
      <c r="G1" s="105" t="s">
        <v>68</v>
      </c>
      <c r="H1" s="105" t="s">
        <v>69</v>
      </c>
      <c r="I1" s="106" t="s">
        <v>73</v>
      </c>
      <c r="J1" s="106" t="s">
        <v>78</v>
      </c>
      <c r="K1" s="105" t="s">
        <v>70</v>
      </c>
      <c r="L1" s="105" t="s">
        <v>79</v>
      </c>
      <c r="M1" s="105" t="s">
        <v>71</v>
      </c>
      <c r="N1" s="105" t="s">
        <v>72</v>
      </c>
      <c r="O1" s="120" t="s">
        <v>76</v>
      </c>
    </row>
    <row r="2" spans="1:15" x14ac:dyDescent="0.2">
      <c r="A2" s="108" t="s">
        <v>74</v>
      </c>
      <c r="B2">
        <v>1</v>
      </c>
      <c r="C2">
        <v>4</v>
      </c>
      <c r="D2" s="121">
        <v>2020</v>
      </c>
      <c r="E2" s="107">
        <f>'Consommation du 01.04 au 30.04'!M10</f>
        <v>3787</v>
      </c>
      <c r="F2" s="107">
        <v>1.002</v>
      </c>
      <c r="G2" s="107">
        <f>'Consommation du 01.04 au 30.04'!U10</f>
        <v>111.30000000000001</v>
      </c>
      <c r="H2" s="107">
        <v>7.8338000000000001</v>
      </c>
      <c r="I2" s="107">
        <f>'Consommation du 01.04 au 30.04'!Y10*1000</f>
        <v>0</v>
      </c>
      <c r="J2" s="107">
        <v>0.53</v>
      </c>
      <c r="K2" s="107">
        <f>'Consommation du 01.04 au 30.04'!D10</f>
        <v>350</v>
      </c>
      <c r="L2" s="107">
        <v>12.67</v>
      </c>
      <c r="M2" s="121">
        <f>'Consommation du 01.04 au 30.04'!AC10</f>
        <v>0</v>
      </c>
      <c r="N2" s="121">
        <v>0</v>
      </c>
      <c r="O2" s="107">
        <f>E2*F2+G2*H2+I2*J2+K2*L2</f>
        <v>9100.9759400000003</v>
      </c>
    </row>
    <row r="3" spans="1:15" x14ac:dyDescent="0.2">
      <c r="A3" s="108" t="s">
        <v>74</v>
      </c>
      <c r="B3">
        <f>B2+1</f>
        <v>2</v>
      </c>
      <c r="C3">
        <v>4</v>
      </c>
      <c r="D3" s="121">
        <v>2020</v>
      </c>
      <c r="E3" s="107">
        <f>'Consommation du 01.04 au 30.04'!M11</f>
        <v>3639</v>
      </c>
      <c r="F3" s="107">
        <v>1.002</v>
      </c>
      <c r="G3" s="107">
        <f>'Consommation du 01.04 au 30.04'!U11</f>
        <v>111.30000000000001</v>
      </c>
      <c r="H3" s="107">
        <v>7.8338000000000001</v>
      </c>
      <c r="I3" s="107">
        <f>'Consommation du 01.04 au 30.04'!Y11*1000</f>
        <v>0</v>
      </c>
      <c r="J3" s="107">
        <v>0.53</v>
      </c>
      <c r="K3" s="107">
        <f>'Consommation du 01.04 au 30.04'!D11</f>
        <v>350</v>
      </c>
      <c r="L3" s="107">
        <v>12.67</v>
      </c>
      <c r="M3" s="121">
        <f>'Consommation du 01.04 au 30.04'!AC11</f>
        <v>0</v>
      </c>
      <c r="N3" s="121">
        <v>0</v>
      </c>
      <c r="O3" s="107">
        <f t="shared" ref="O3:O29" si="0">E3*F3+G3*H3+I3*J3+K3*L3</f>
        <v>8952.67994</v>
      </c>
    </row>
    <row r="4" spans="1:15" x14ac:dyDescent="0.2">
      <c r="A4" s="108" t="s">
        <v>74</v>
      </c>
      <c r="B4">
        <f t="shared" ref="B4:B31" si="1">B3+1</f>
        <v>3</v>
      </c>
      <c r="C4">
        <v>4</v>
      </c>
      <c r="D4" s="121">
        <v>2020</v>
      </c>
      <c r="E4" s="107">
        <f>'Consommation du 01.04 au 30.04'!M12</f>
        <v>3459</v>
      </c>
      <c r="F4" s="107">
        <v>1.002</v>
      </c>
      <c r="G4" s="107">
        <f>'Consommation du 01.04 au 30.04'!U12</f>
        <v>74.2</v>
      </c>
      <c r="H4" s="107">
        <v>7.8338000000000001</v>
      </c>
      <c r="I4" s="107">
        <f>'Consommation du 01.04 au 30.04'!Y12*1000</f>
        <v>0</v>
      </c>
      <c r="J4" s="107">
        <v>0.53</v>
      </c>
      <c r="K4" s="107">
        <f>'Consommation du 01.04 au 30.04'!D12</f>
        <v>320</v>
      </c>
      <c r="L4" s="107">
        <v>12.67</v>
      </c>
      <c r="M4" s="121">
        <f>'Consommation du 01.04 au 30.04'!AC12</f>
        <v>0</v>
      </c>
      <c r="N4" s="121">
        <v>0</v>
      </c>
      <c r="O4" s="107">
        <f t="shared" si="0"/>
        <v>8101.5859600000003</v>
      </c>
    </row>
    <row r="5" spans="1:15" x14ac:dyDescent="0.2">
      <c r="A5" s="108" t="s">
        <v>74</v>
      </c>
      <c r="B5">
        <f t="shared" si="1"/>
        <v>4</v>
      </c>
      <c r="C5">
        <v>4</v>
      </c>
      <c r="D5" s="121">
        <v>2020</v>
      </c>
      <c r="E5" s="107">
        <f>'Consommation du 01.04 au 30.04'!M13</f>
        <v>3532</v>
      </c>
      <c r="F5" s="107">
        <v>1.002</v>
      </c>
      <c r="G5" s="107">
        <f>'Consommation du 01.04 au 30.04'!U13</f>
        <v>74.2</v>
      </c>
      <c r="H5" s="107">
        <v>7.8338000000000001</v>
      </c>
      <c r="I5" s="107">
        <f>'Consommation du 01.04 au 30.04'!Y13*1000</f>
        <v>0</v>
      </c>
      <c r="J5" s="107">
        <v>0.53</v>
      </c>
      <c r="K5" s="107">
        <f>'Consommation du 01.04 au 30.04'!D13</f>
        <v>340</v>
      </c>
      <c r="L5" s="107">
        <v>12.67</v>
      </c>
      <c r="M5" s="121">
        <f>'Consommation du 01.04 au 30.04'!AC13</f>
        <v>0</v>
      </c>
      <c r="N5" s="121">
        <v>0</v>
      </c>
      <c r="O5" s="107">
        <f t="shared" si="0"/>
        <v>8428.1319599999988</v>
      </c>
    </row>
    <row r="6" spans="1:15" x14ac:dyDescent="0.2">
      <c r="A6" s="108" t="s">
        <v>74</v>
      </c>
      <c r="B6">
        <f t="shared" si="1"/>
        <v>5</v>
      </c>
      <c r="C6">
        <v>4</v>
      </c>
      <c r="D6" s="121">
        <v>2020</v>
      </c>
      <c r="E6" s="107">
        <f>'Consommation du 01.04 au 30.04'!M14</f>
        <v>3566</v>
      </c>
      <c r="F6" s="107">
        <v>1.002</v>
      </c>
      <c r="G6" s="107">
        <f>'Consommation du 01.04 au 30.04'!U14</f>
        <v>37.1</v>
      </c>
      <c r="H6" s="107">
        <v>7.8338000000000001</v>
      </c>
      <c r="I6" s="107">
        <f>'Consommation du 01.04 au 30.04'!Y14*1000</f>
        <v>0</v>
      </c>
      <c r="J6" s="107">
        <v>0.53</v>
      </c>
      <c r="K6" s="107">
        <f>'Consommation du 01.04 au 30.04'!D14</f>
        <v>350</v>
      </c>
      <c r="L6" s="107">
        <v>12.67</v>
      </c>
      <c r="M6" s="121">
        <f>'Consommation du 01.04 au 30.04'!AC14</f>
        <v>0</v>
      </c>
      <c r="N6" s="121">
        <v>0</v>
      </c>
      <c r="O6" s="107">
        <f t="shared" si="0"/>
        <v>8298.2659800000001</v>
      </c>
    </row>
    <row r="7" spans="1:15" x14ac:dyDescent="0.2">
      <c r="A7" s="108" t="s">
        <v>74</v>
      </c>
      <c r="B7">
        <f t="shared" si="1"/>
        <v>6</v>
      </c>
      <c r="C7">
        <v>4</v>
      </c>
      <c r="D7" s="121">
        <v>2020</v>
      </c>
      <c r="E7" s="107">
        <f>'Consommation du 01.04 au 30.04'!M15</f>
        <v>3821</v>
      </c>
      <c r="F7" s="107">
        <v>1.002</v>
      </c>
      <c r="G7" s="107">
        <f>'Consommation du 01.04 au 30.04'!U15</f>
        <v>-37.1</v>
      </c>
      <c r="H7" s="107">
        <v>7.8338000000000001</v>
      </c>
      <c r="I7" s="107">
        <f>'Consommation du 01.04 au 30.04'!Y15*1000</f>
        <v>0</v>
      </c>
      <c r="J7" s="107">
        <v>0.53</v>
      </c>
      <c r="K7" s="107">
        <f>'Consommation du 01.04 au 30.04'!D15</f>
        <v>330</v>
      </c>
      <c r="L7" s="107">
        <v>12.67</v>
      </c>
      <c r="M7" s="121">
        <f>'Consommation du 01.04 au 30.04'!AC15</f>
        <v>0</v>
      </c>
      <c r="N7" s="121">
        <v>0</v>
      </c>
      <c r="O7" s="107">
        <f t="shared" si="0"/>
        <v>7719.1080199999997</v>
      </c>
    </row>
    <row r="8" spans="1:15" x14ac:dyDescent="0.2">
      <c r="A8" s="108" t="s">
        <v>74</v>
      </c>
      <c r="B8">
        <f t="shared" si="1"/>
        <v>7</v>
      </c>
      <c r="C8">
        <v>4</v>
      </c>
      <c r="D8" s="121">
        <v>2020</v>
      </c>
      <c r="E8" s="107">
        <f>'Consommation du 01.04 au 30.04'!M16</f>
        <v>3342</v>
      </c>
      <c r="F8" s="107">
        <v>1.002</v>
      </c>
      <c r="G8" s="107">
        <f>'Consommation du 01.04 au 30.04'!U16</f>
        <v>37.1</v>
      </c>
      <c r="H8" s="107">
        <v>7.8338000000000001</v>
      </c>
      <c r="I8" s="107">
        <f>'Consommation du 01.04 au 30.04'!Y16*1000</f>
        <v>0</v>
      </c>
      <c r="J8" s="107">
        <v>0.53</v>
      </c>
      <c r="K8" s="107">
        <f>'Consommation du 01.04 au 30.04'!D16</f>
        <v>190</v>
      </c>
      <c r="L8" s="107">
        <v>12.67</v>
      </c>
      <c r="M8" s="121">
        <f>'Consommation du 01.04 au 30.04'!AC16</f>
        <v>0</v>
      </c>
      <c r="N8" s="121">
        <v>0</v>
      </c>
      <c r="O8" s="107">
        <f t="shared" si="0"/>
        <v>6046.6179800000009</v>
      </c>
    </row>
    <row r="9" spans="1:15" x14ac:dyDescent="0.2">
      <c r="A9" s="108" t="s">
        <v>74</v>
      </c>
      <c r="B9">
        <f t="shared" si="1"/>
        <v>8</v>
      </c>
      <c r="C9">
        <v>4</v>
      </c>
      <c r="D9" s="121">
        <v>2020</v>
      </c>
      <c r="E9" s="107">
        <f>'Consommation du 01.04 au 30.04'!M17</f>
        <v>3653</v>
      </c>
      <c r="F9" s="107">
        <v>1.002</v>
      </c>
      <c r="G9" s="107">
        <f>'Consommation du 01.04 au 30.04'!U17</f>
        <v>37.1</v>
      </c>
      <c r="H9" s="107">
        <v>7.8338000000000001</v>
      </c>
      <c r="I9" s="107">
        <f>'Consommation du 01.04 au 30.04'!Y17*1000</f>
        <v>0</v>
      </c>
      <c r="J9" s="107">
        <v>0.53</v>
      </c>
      <c r="K9" s="107">
        <f>'Consommation du 01.04 au 30.04'!D17</f>
        <v>170</v>
      </c>
      <c r="L9" s="107">
        <v>12.67</v>
      </c>
      <c r="M9" s="121">
        <f>'Consommation du 01.04 au 30.04'!AC17</f>
        <v>0</v>
      </c>
      <c r="N9" s="121">
        <v>0</v>
      </c>
      <c r="O9" s="107">
        <f t="shared" si="0"/>
        <v>6104.8399800000007</v>
      </c>
    </row>
    <row r="10" spans="1:15" x14ac:dyDescent="0.2">
      <c r="A10" s="108" t="s">
        <v>74</v>
      </c>
      <c r="B10">
        <f t="shared" si="1"/>
        <v>9</v>
      </c>
      <c r="C10">
        <v>4</v>
      </c>
      <c r="D10" s="121">
        <v>2020</v>
      </c>
      <c r="E10" s="107">
        <f>'Consommation du 01.04 au 30.04'!M18</f>
        <v>3452</v>
      </c>
      <c r="F10" s="107">
        <v>1.002</v>
      </c>
      <c r="G10" s="107">
        <f>'Consommation du 01.04 au 30.04'!U18</f>
        <v>37.1</v>
      </c>
      <c r="H10" s="107">
        <v>7.8338000000000001</v>
      </c>
      <c r="I10" s="107">
        <f>'Consommation du 01.04 au 30.04'!Y18*1000</f>
        <v>0</v>
      </c>
      <c r="J10" s="107">
        <v>0.53</v>
      </c>
      <c r="K10" s="107">
        <f>'Consommation du 01.04 au 30.04'!D18</f>
        <v>160</v>
      </c>
      <c r="L10" s="107">
        <v>12.67</v>
      </c>
      <c r="M10" s="121">
        <f>'Consommation du 01.04 au 30.04'!AC18</f>
        <v>0</v>
      </c>
      <c r="N10" s="121">
        <v>0</v>
      </c>
      <c r="O10" s="107">
        <f t="shared" si="0"/>
        <v>5776.7379799999999</v>
      </c>
    </row>
    <row r="11" spans="1:15" x14ac:dyDescent="0.2">
      <c r="A11" s="108" t="s">
        <v>74</v>
      </c>
      <c r="B11">
        <f t="shared" si="1"/>
        <v>10</v>
      </c>
      <c r="C11">
        <v>4</v>
      </c>
      <c r="D11" s="121">
        <v>2020</v>
      </c>
      <c r="E11" s="107">
        <f>'Consommation du 01.04 au 30.04'!M19</f>
        <v>3625</v>
      </c>
      <c r="F11" s="107">
        <v>1.002</v>
      </c>
      <c r="G11" s="107">
        <f>'Consommation du 01.04 au 30.04'!U19</f>
        <v>0</v>
      </c>
      <c r="H11" s="107">
        <v>7.8338000000000001</v>
      </c>
      <c r="I11" s="107">
        <f>'Consommation du 01.04 au 30.04'!Y19*1000</f>
        <v>0</v>
      </c>
      <c r="J11" s="107">
        <v>0.53</v>
      </c>
      <c r="K11" s="107">
        <f>'Consommation du 01.04 au 30.04'!D19</f>
        <v>160</v>
      </c>
      <c r="L11" s="107">
        <v>12.67</v>
      </c>
      <c r="M11" s="121">
        <f>'Consommation du 01.04 au 30.04'!AC19</f>
        <v>0</v>
      </c>
      <c r="N11" s="121">
        <v>0</v>
      </c>
      <c r="O11" s="107">
        <f t="shared" si="0"/>
        <v>5659.45</v>
      </c>
    </row>
    <row r="12" spans="1:15" x14ac:dyDescent="0.2">
      <c r="A12" s="108" t="s">
        <v>74</v>
      </c>
      <c r="B12">
        <f t="shared" si="1"/>
        <v>11</v>
      </c>
      <c r="C12">
        <v>4</v>
      </c>
      <c r="D12" s="121">
        <v>2020</v>
      </c>
      <c r="E12" s="107">
        <f>'Consommation du 01.04 au 30.04'!M20</f>
        <v>3329</v>
      </c>
      <c r="F12" s="107">
        <v>1.002</v>
      </c>
      <c r="G12" s="107">
        <f>'Consommation du 01.04 au 30.04'!U20</f>
        <v>0</v>
      </c>
      <c r="H12" s="107">
        <v>7.8338000000000001</v>
      </c>
      <c r="I12" s="107">
        <f>'Consommation du 01.04 au 30.04'!Y20*1000</f>
        <v>0</v>
      </c>
      <c r="J12" s="107">
        <v>0.53</v>
      </c>
      <c r="K12" s="107">
        <f>'Consommation du 01.04 au 30.04'!D20</f>
        <v>160</v>
      </c>
      <c r="L12" s="107">
        <v>12.67</v>
      </c>
      <c r="M12" s="121">
        <f>'Consommation du 01.04 au 30.04'!AC20</f>
        <v>0</v>
      </c>
      <c r="N12" s="121">
        <v>0</v>
      </c>
      <c r="O12" s="107">
        <f t="shared" si="0"/>
        <v>5362.8580000000002</v>
      </c>
    </row>
    <row r="13" spans="1:15" x14ac:dyDescent="0.2">
      <c r="A13" s="108" t="s">
        <v>74</v>
      </c>
      <c r="B13">
        <f t="shared" si="1"/>
        <v>12</v>
      </c>
      <c r="C13">
        <v>4</v>
      </c>
      <c r="D13" s="121">
        <v>2020</v>
      </c>
      <c r="E13" s="107">
        <f>'Consommation du 01.04 au 30.04'!M21</f>
        <v>3430</v>
      </c>
      <c r="F13" s="107">
        <v>1.002</v>
      </c>
      <c r="G13" s="107">
        <f>'Consommation du 01.04 au 30.04'!U21</f>
        <v>0</v>
      </c>
      <c r="H13" s="107">
        <v>7.8338000000000001</v>
      </c>
      <c r="I13" s="107">
        <f>'Consommation du 01.04 au 30.04'!Y21*1000</f>
        <v>0</v>
      </c>
      <c r="J13" s="107">
        <v>0.53</v>
      </c>
      <c r="K13" s="107">
        <f>'Consommation du 01.04 au 30.04'!D21</f>
        <v>160</v>
      </c>
      <c r="L13" s="107">
        <v>12.67</v>
      </c>
      <c r="M13" s="121">
        <f>'Consommation du 01.04 au 30.04'!AC21</f>
        <v>0</v>
      </c>
      <c r="N13" s="121">
        <v>0</v>
      </c>
      <c r="O13" s="107">
        <f t="shared" si="0"/>
        <v>5464.06</v>
      </c>
    </row>
    <row r="14" spans="1:15" x14ac:dyDescent="0.2">
      <c r="A14" s="108" t="s">
        <v>74</v>
      </c>
      <c r="B14">
        <f t="shared" si="1"/>
        <v>13</v>
      </c>
      <c r="C14">
        <v>4</v>
      </c>
      <c r="D14" s="121">
        <v>2020</v>
      </c>
      <c r="E14" s="107">
        <f>'Consommation du 01.04 au 30.04'!M22</f>
        <v>3397</v>
      </c>
      <c r="F14" s="107">
        <v>1.002</v>
      </c>
      <c r="G14" s="107">
        <f>'Consommation du 01.04 au 30.04'!U22</f>
        <v>0</v>
      </c>
      <c r="H14" s="107">
        <v>7.8338000000000001</v>
      </c>
      <c r="I14" s="107">
        <f>'Consommation du 01.04 au 30.04'!Y22*1000</f>
        <v>0</v>
      </c>
      <c r="J14" s="107">
        <v>0.53</v>
      </c>
      <c r="K14" s="107">
        <f>'Consommation du 01.04 au 30.04'!D22</f>
        <v>150</v>
      </c>
      <c r="L14" s="107">
        <v>12.67</v>
      </c>
      <c r="M14" s="121">
        <f>'Consommation du 01.04 au 30.04'!AC22</f>
        <v>0</v>
      </c>
      <c r="N14" s="121">
        <v>0</v>
      </c>
      <c r="O14" s="107">
        <f t="shared" si="0"/>
        <v>5304.2939999999999</v>
      </c>
    </row>
    <row r="15" spans="1:15" x14ac:dyDescent="0.2">
      <c r="A15" s="108" t="s">
        <v>74</v>
      </c>
      <c r="B15">
        <f t="shared" si="1"/>
        <v>14</v>
      </c>
      <c r="C15">
        <v>4</v>
      </c>
      <c r="D15" s="121">
        <v>2020</v>
      </c>
      <c r="E15" s="107">
        <f>'Consommation du 01.04 au 30.04'!M23</f>
        <v>3419</v>
      </c>
      <c r="F15" s="107">
        <v>1.002</v>
      </c>
      <c r="G15" s="107">
        <f>'Consommation du 01.04 au 30.04'!U23</f>
        <v>0</v>
      </c>
      <c r="H15" s="107">
        <v>7.8338000000000001</v>
      </c>
      <c r="I15" s="107">
        <f>'Consommation du 01.04 au 30.04'!Y23*1000</f>
        <v>0</v>
      </c>
      <c r="J15" s="107">
        <v>0.53</v>
      </c>
      <c r="K15" s="107">
        <f>'Consommation du 01.04 au 30.04'!D23</f>
        <v>150</v>
      </c>
      <c r="L15" s="107">
        <v>12.67</v>
      </c>
      <c r="M15" s="121">
        <f>'Consommation du 01.04 au 30.04'!AC23</f>
        <v>0</v>
      </c>
      <c r="N15" s="121">
        <v>0</v>
      </c>
      <c r="O15" s="107">
        <f t="shared" si="0"/>
        <v>5326.3379999999997</v>
      </c>
    </row>
    <row r="16" spans="1:15" ht="13.5" customHeight="1" x14ac:dyDescent="0.2">
      <c r="A16" s="108" t="s">
        <v>74</v>
      </c>
      <c r="B16">
        <f t="shared" si="1"/>
        <v>15</v>
      </c>
      <c r="C16">
        <v>4</v>
      </c>
      <c r="D16" s="121">
        <v>2020</v>
      </c>
      <c r="E16" s="107">
        <f>'Consommation du 01.04 au 30.04'!M24</f>
        <v>3324</v>
      </c>
      <c r="F16" s="107">
        <v>1.002</v>
      </c>
      <c r="G16" s="107">
        <f>'Consommation du 01.04 au 30.04'!U24</f>
        <v>0</v>
      </c>
      <c r="H16" s="107">
        <v>7.8338000000000001</v>
      </c>
      <c r="I16" s="107">
        <f>'Consommation du 01.04 au 30.04'!Y24*1000</f>
        <v>0</v>
      </c>
      <c r="J16" s="107">
        <v>0.53</v>
      </c>
      <c r="K16" s="107">
        <f>'Consommation du 01.04 au 30.04'!D24</f>
        <v>190</v>
      </c>
      <c r="L16" s="107">
        <v>12.67</v>
      </c>
      <c r="M16" s="121">
        <f>'Consommation du 01.04 au 30.04'!AC24</f>
        <v>0</v>
      </c>
      <c r="N16" s="121">
        <v>0</v>
      </c>
      <c r="O16" s="107">
        <f t="shared" si="0"/>
        <v>5737.9480000000003</v>
      </c>
    </row>
    <row r="17" spans="1:15" x14ac:dyDescent="0.2">
      <c r="A17" s="108" t="s">
        <v>74</v>
      </c>
      <c r="B17">
        <f t="shared" si="1"/>
        <v>16</v>
      </c>
      <c r="C17">
        <v>4</v>
      </c>
      <c r="D17" s="121">
        <v>2020</v>
      </c>
      <c r="E17" s="107">
        <f>'Consommation du 01.04 au 30.04'!M25</f>
        <v>3362</v>
      </c>
      <c r="F17" s="107">
        <v>1.002</v>
      </c>
      <c r="G17" s="107">
        <f>'Consommation du 01.04 au 30.04'!U25</f>
        <v>0</v>
      </c>
      <c r="H17" s="107">
        <v>7.8338000000000001</v>
      </c>
      <c r="I17" s="107">
        <f>'Consommation du 01.04 au 30.04'!Y25*1000</f>
        <v>0</v>
      </c>
      <c r="J17" s="107">
        <v>0.53</v>
      </c>
      <c r="K17" s="107">
        <f>'Consommation du 01.04 au 30.04'!D25</f>
        <v>200</v>
      </c>
      <c r="L17" s="107">
        <v>12.67</v>
      </c>
      <c r="M17" s="121">
        <f>'Consommation du 01.04 au 30.04'!AC25</f>
        <v>0</v>
      </c>
      <c r="N17" s="121">
        <v>0</v>
      </c>
      <c r="O17" s="107">
        <f t="shared" si="0"/>
        <v>5902.7240000000002</v>
      </c>
    </row>
    <row r="18" spans="1:15" x14ac:dyDescent="0.2">
      <c r="A18" s="108" t="s">
        <v>74</v>
      </c>
      <c r="B18">
        <f t="shared" si="1"/>
        <v>17</v>
      </c>
      <c r="C18">
        <v>4</v>
      </c>
      <c r="D18" s="121">
        <v>2020</v>
      </c>
      <c r="E18" s="107">
        <f>'Consommation du 01.04 au 30.04'!M26</f>
        <v>3288</v>
      </c>
      <c r="F18" s="107">
        <v>1.002</v>
      </c>
      <c r="G18" s="107">
        <f>'Consommation du 01.04 au 30.04'!U26</f>
        <v>0</v>
      </c>
      <c r="H18" s="107">
        <v>7.8338000000000001</v>
      </c>
      <c r="I18" s="107">
        <f>'Consommation du 01.04 au 30.04'!Y26*1000</f>
        <v>0</v>
      </c>
      <c r="J18" s="107">
        <v>0.53</v>
      </c>
      <c r="K18" s="107">
        <f>'Consommation du 01.04 au 30.04'!D26</f>
        <v>200</v>
      </c>
      <c r="L18" s="107">
        <v>12.67</v>
      </c>
      <c r="M18" s="121">
        <f>'Consommation du 01.04 au 30.04'!AC26</f>
        <v>0</v>
      </c>
      <c r="N18" s="121">
        <v>0</v>
      </c>
      <c r="O18" s="107">
        <f t="shared" si="0"/>
        <v>5828.576</v>
      </c>
    </row>
    <row r="19" spans="1:15" x14ac:dyDescent="0.2">
      <c r="A19" s="108" t="s">
        <v>74</v>
      </c>
      <c r="B19">
        <f t="shared" si="1"/>
        <v>18</v>
      </c>
      <c r="C19">
        <v>4</v>
      </c>
      <c r="D19" s="121">
        <v>2020</v>
      </c>
      <c r="E19" s="107">
        <f>'Consommation du 01.04 au 30.04'!M27</f>
        <v>3306</v>
      </c>
      <c r="F19" s="107">
        <v>1.002</v>
      </c>
      <c r="G19" s="107">
        <f>'Consommation du 01.04 au 30.04'!U27</f>
        <v>37.1</v>
      </c>
      <c r="H19" s="107">
        <v>7.8338000000000001</v>
      </c>
      <c r="I19" s="107">
        <f>'Consommation du 01.04 au 30.04'!Y27*1000</f>
        <v>0</v>
      </c>
      <c r="J19" s="107">
        <v>0.53</v>
      </c>
      <c r="K19" s="107">
        <f>'Consommation du 01.04 au 30.04'!D27</f>
        <v>230</v>
      </c>
      <c r="L19" s="107">
        <v>12.67</v>
      </c>
      <c r="M19" s="121">
        <f>'Consommation du 01.04 au 30.04'!AC27</f>
        <v>0</v>
      </c>
      <c r="N19" s="121">
        <v>0</v>
      </c>
      <c r="O19" s="107">
        <f t="shared" si="0"/>
        <v>6517.3459800000001</v>
      </c>
    </row>
    <row r="20" spans="1:15" x14ac:dyDescent="0.2">
      <c r="A20" s="108" t="s">
        <v>74</v>
      </c>
      <c r="B20">
        <f t="shared" si="1"/>
        <v>19</v>
      </c>
      <c r="C20">
        <v>4</v>
      </c>
      <c r="D20" s="121">
        <v>2020</v>
      </c>
      <c r="E20" s="107">
        <f>'Consommation du 01.04 au 30.04'!M28</f>
        <v>2880</v>
      </c>
      <c r="F20" s="107">
        <v>1.002</v>
      </c>
      <c r="G20" s="107">
        <f>'Consommation du 01.04 au 30.04'!U28</f>
        <v>0</v>
      </c>
      <c r="H20" s="107">
        <v>7.8338000000000001</v>
      </c>
      <c r="I20" s="107">
        <f>'Consommation du 01.04 au 30.04'!Y28*1000</f>
        <v>0</v>
      </c>
      <c r="J20" s="107">
        <v>0.53</v>
      </c>
      <c r="K20" s="107">
        <f>'Consommation du 01.04 au 30.04'!D28</f>
        <v>230</v>
      </c>
      <c r="L20" s="107">
        <v>12.67</v>
      </c>
      <c r="M20" s="121">
        <f>'Consommation du 01.04 au 30.04'!AC28</f>
        <v>0</v>
      </c>
      <c r="N20" s="121">
        <v>0</v>
      </c>
      <c r="O20" s="107">
        <f t="shared" si="0"/>
        <v>5799.8600000000006</v>
      </c>
    </row>
    <row r="21" spans="1:15" x14ac:dyDescent="0.2">
      <c r="A21" s="108" t="s">
        <v>74</v>
      </c>
      <c r="B21">
        <f t="shared" si="1"/>
        <v>20</v>
      </c>
      <c r="C21">
        <v>4</v>
      </c>
      <c r="D21" s="121">
        <v>2020</v>
      </c>
      <c r="E21" s="107">
        <f>'Consommation du 01.04 au 30.04'!M29</f>
        <v>2997</v>
      </c>
      <c r="F21" s="107">
        <v>1.002</v>
      </c>
      <c r="G21" s="107">
        <f>'Consommation du 01.04 au 30.04'!U29</f>
        <v>0</v>
      </c>
      <c r="H21" s="107">
        <v>7.8338000000000001</v>
      </c>
      <c r="I21" s="107">
        <f>'Consommation du 01.04 au 30.04'!Y29*1000</f>
        <v>0</v>
      </c>
      <c r="J21" s="107">
        <v>0.53</v>
      </c>
      <c r="K21" s="107">
        <f>'Consommation du 01.04 au 30.04'!D29</f>
        <v>300</v>
      </c>
      <c r="L21" s="107">
        <v>12.67</v>
      </c>
      <c r="M21" s="121">
        <f>'Consommation du 01.04 au 30.04'!AC29</f>
        <v>0</v>
      </c>
      <c r="N21" s="121">
        <v>0</v>
      </c>
      <c r="O21" s="107">
        <f t="shared" si="0"/>
        <v>6803.9940000000006</v>
      </c>
    </row>
    <row r="22" spans="1:15" x14ac:dyDescent="0.2">
      <c r="A22" s="108" t="s">
        <v>74</v>
      </c>
      <c r="B22">
        <f t="shared" si="1"/>
        <v>21</v>
      </c>
      <c r="C22">
        <v>4</v>
      </c>
      <c r="D22" s="121">
        <v>2020</v>
      </c>
      <c r="E22" s="107">
        <f>'Consommation du 01.04 au 30.04'!M30</f>
        <v>3067</v>
      </c>
      <c r="F22" s="107">
        <v>1.002</v>
      </c>
      <c r="G22" s="107">
        <f>'Consommation du 01.04 au 30.04'!U30</f>
        <v>0</v>
      </c>
      <c r="H22" s="107">
        <v>7.8338000000000001</v>
      </c>
      <c r="I22" s="107">
        <f>'Consommation du 01.04 au 30.04'!Y30*1000</f>
        <v>0</v>
      </c>
      <c r="J22" s="107">
        <v>0.53</v>
      </c>
      <c r="K22" s="107">
        <f>'Consommation du 01.04 au 30.04'!D30</f>
        <v>160</v>
      </c>
      <c r="L22" s="107">
        <v>12.67</v>
      </c>
      <c r="M22" s="121">
        <f>'Consommation du 01.04 au 30.04'!AC30</f>
        <v>0</v>
      </c>
      <c r="N22" s="121">
        <v>0</v>
      </c>
      <c r="O22" s="107">
        <f t="shared" si="0"/>
        <v>5100.3339999999998</v>
      </c>
    </row>
    <row r="23" spans="1:15" x14ac:dyDescent="0.2">
      <c r="A23" s="108" t="s">
        <v>74</v>
      </c>
      <c r="B23">
        <f t="shared" si="1"/>
        <v>22</v>
      </c>
      <c r="C23">
        <v>4</v>
      </c>
      <c r="D23" s="121">
        <v>2020</v>
      </c>
      <c r="E23" s="107">
        <f>'Consommation du 01.04 au 30.04'!M31</f>
        <v>3149</v>
      </c>
      <c r="F23" s="107">
        <v>1.002</v>
      </c>
      <c r="G23" s="107">
        <f>'Consommation du 01.04 au 30.04'!U31</f>
        <v>0</v>
      </c>
      <c r="H23" s="107">
        <v>7.8338000000000001</v>
      </c>
      <c r="I23" s="107">
        <f>'Consommation du 01.04 au 30.04'!Y31*1000</f>
        <v>0</v>
      </c>
      <c r="J23" s="107">
        <v>0.53</v>
      </c>
      <c r="K23" s="107">
        <f>'Consommation du 01.04 au 30.04'!D31</f>
        <v>120</v>
      </c>
      <c r="L23" s="107">
        <v>12.67</v>
      </c>
      <c r="M23" s="121">
        <f>'Consommation du 01.04 au 30.04'!AC31</f>
        <v>0</v>
      </c>
      <c r="N23" s="121">
        <v>0</v>
      </c>
      <c r="O23" s="107">
        <f t="shared" si="0"/>
        <v>4675.6980000000003</v>
      </c>
    </row>
    <row r="24" spans="1:15" x14ac:dyDescent="0.2">
      <c r="A24" s="108" t="s">
        <v>74</v>
      </c>
      <c r="B24">
        <f t="shared" si="1"/>
        <v>23</v>
      </c>
      <c r="C24">
        <v>4</v>
      </c>
      <c r="D24" s="121">
        <v>2020</v>
      </c>
      <c r="E24" s="107">
        <f>'Consommation du 01.04 au 30.04'!M32</f>
        <v>3394</v>
      </c>
      <c r="F24" s="107">
        <v>1.002</v>
      </c>
      <c r="G24" s="107">
        <f>'Consommation du 01.04 au 30.04'!U32</f>
        <v>0</v>
      </c>
      <c r="H24" s="107">
        <v>7.8338000000000001</v>
      </c>
      <c r="I24" s="107">
        <f>'Consommation du 01.04 au 30.04'!Y32*1000</f>
        <v>0</v>
      </c>
      <c r="J24" s="107">
        <v>0.53</v>
      </c>
      <c r="K24" s="107">
        <f>'Consommation du 01.04 au 30.04'!D32</f>
        <v>130</v>
      </c>
      <c r="L24" s="107">
        <v>12.67</v>
      </c>
      <c r="M24" s="121">
        <f>'Consommation du 01.04 au 30.04'!AC32</f>
        <v>0</v>
      </c>
      <c r="N24" s="121">
        <v>0</v>
      </c>
      <c r="O24" s="107">
        <f t="shared" si="0"/>
        <v>5047.8879999999999</v>
      </c>
    </row>
    <row r="25" spans="1:15" x14ac:dyDescent="0.2">
      <c r="A25" s="108" t="s">
        <v>74</v>
      </c>
      <c r="B25">
        <f t="shared" si="1"/>
        <v>24</v>
      </c>
      <c r="C25">
        <v>4</v>
      </c>
      <c r="D25" s="121">
        <v>2020</v>
      </c>
      <c r="E25" s="107">
        <f>'Consommation du 01.04 au 30.04'!M33</f>
        <v>3035</v>
      </c>
      <c r="F25" s="107">
        <v>1.002</v>
      </c>
      <c r="G25" s="107">
        <f>'Consommation du 01.04 au 30.04'!U33</f>
        <v>0</v>
      </c>
      <c r="H25" s="107">
        <v>7.8338000000000001</v>
      </c>
      <c r="I25" s="107">
        <f>'Consommation du 01.04 au 30.04'!Y33*1000</f>
        <v>0</v>
      </c>
      <c r="J25" s="107">
        <v>0.53</v>
      </c>
      <c r="K25" s="107">
        <f>'Consommation du 01.04 au 30.04'!D33</f>
        <v>120</v>
      </c>
      <c r="L25" s="107">
        <v>12.67</v>
      </c>
      <c r="M25" s="121">
        <f>'Consommation du 01.04 au 30.04'!AC33</f>
        <v>0</v>
      </c>
      <c r="N25" s="121">
        <v>0</v>
      </c>
      <c r="O25" s="107">
        <f t="shared" si="0"/>
        <v>4561.47</v>
      </c>
    </row>
    <row r="26" spans="1:15" x14ac:dyDescent="0.2">
      <c r="A26" s="108" t="s">
        <v>74</v>
      </c>
      <c r="B26">
        <f>B25+1</f>
        <v>25</v>
      </c>
      <c r="C26">
        <v>4</v>
      </c>
      <c r="D26" s="121">
        <v>2020</v>
      </c>
      <c r="E26" s="107">
        <f>'Consommation du 01.04 au 30.04'!M34</f>
        <v>2872</v>
      </c>
      <c r="F26" s="107">
        <v>1.002</v>
      </c>
      <c r="G26" s="107">
        <f>'Consommation du 01.04 au 30.04'!U34</f>
        <v>37.1</v>
      </c>
      <c r="H26" s="107">
        <v>7.8338000000000001</v>
      </c>
      <c r="I26" s="107">
        <f>'Consommation du 01.04 au 30.04'!Y34*1000</f>
        <v>0</v>
      </c>
      <c r="J26" s="107">
        <v>0.53</v>
      </c>
      <c r="K26" s="107">
        <f>'Consommation du 01.04 au 30.04'!D34</f>
        <v>120</v>
      </c>
      <c r="L26" s="107">
        <v>12.67</v>
      </c>
      <c r="M26" s="121">
        <f>'Consommation du 01.04 au 30.04'!AC34</f>
        <v>0</v>
      </c>
      <c r="N26" s="121">
        <v>0</v>
      </c>
      <c r="O26" s="107">
        <f t="shared" si="0"/>
        <v>4688.7779800000008</v>
      </c>
    </row>
    <row r="27" spans="1:15" x14ac:dyDescent="0.2">
      <c r="A27" s="108" t="s">
        <v>74</v>
      </c>
      <c r="B27">
        <f t="shared" si="1"/>
        <v>26</v>
      </c>
      <c r="C27">
        <v>4</v>
      </c>
      <c r="D27" s="121">
        <v>2020</v>
      </c>
      <c r="E27" s="107">
        <f>'Consommation du 01.04 au 30.04'!M35</f>
        <v>2696</v>
      </c>
      <c r="F27" s="107">
        <v>1.002</v>
      </c>
      <c r="G27" s="107">
        <f>'Consommation du 01.04 au 30.04'!U35</f>
        <v>0</v>
      </c>
      <c r="H27" s="107">
        <v>7.8338000000000001</v>
      </c>
      <c r="I27" s="107">
        <f>'Consommation du 01.04 au 30.04'!Y35*1000</f>
        <v>0</v>
      </c>
      <c r="J27" s="107">
        <v>0.53</v>
      </c>
      <c r="K27" s="107">
        <f>'Consommation du 01.04 au 30.04'!D35</f>
        <v>120</v>
      </c>
      <c r="L27" s="107">
        <v>12.67</v>
      </c>
      <c r="M27" s="121">
        <f>'Consommation du 01.04 au 30.04'!AC35</f>
        <v>0</v>
      </c>
      <c r="N27" s="121">
        <v>0</v>
      </c>
      <c r="O27" s="107">
        <f t="shared" si="0"/>
        <v>4221.7919999999995</v>
      </c>
    </row>
    <row r="28" spans="1:15" x14ac:dyDescent="0.2">
      <c r="A28" s="108" t="s">
        <v>74</v>
      </c>
      <c r="B28">
        <f t="shared" si="1"/>
        <v>27</v>
      </c>
      <c r="C28">
        <v>4</v>
      </c>
      <c r="D28" s="121">
        <v>2020</v>
      </c>
      <c r="E28" s="107">
        <f>'Consommation du 01.04 au 30.04'!M36</f>
        <v>2816</v>
      </c>
      <c r="F28" s="107">
        <v>1.002</v>
      </c>
      <c r="G28" s="107">
        <f>'Consommation du 01.04 au 30.04'!U36</f>
        <v>0</v>
      </c>
      <c r="H28" s="107">
        <v>7.8338000000000001</v>
      </c>
      <c r="I28" s="107">
        <f>'Consommation du 01.04 au 30.04'!Y36*1000</f>
        <v>0</v>
      </c>
      <c r="J28" s="107">
        <v>0.53</v>
      </c>
      <c r="K28" s="107">
        <f>'Consommation du 01.04 au 30.04'!D36</f>
        <v>120</v>
      </c>
      <c r="L28" s="107">
        <v>12.67</v>
      </c>
      <c r="M28" s="121">
        <f>'Consommation du 01.04 au 30.04'!AC36</f>
        <v>0</v>
      </c>
      <c r="N28" s="121">
        <v>0</v>
      </c>
      <c r="O28" s="107">
        <f t="shared" si="0"/>
        <v>4342.0320000000002</v>
      </c>
    </row>
    <row r="29" spans="1:15" x14ac:dyDescent="0.2">
      <c r="A29" s="108" t="s">
        <v>74</v>
      </c>
      <c r="B29">
        <f t="shared" si="1"/>
        <v>28</v>
      </c>
      <c r="C29">
        <v>4</v>
      </c>
      <c r="D29" s="121">
        <v>2020</v>
      </c>
      <c r="E29" s="107">
        <f>'Consommation du 01.04 au 30.04'!M37</f>
        <v>2780</v>
      </c>
      <c r="F29" s="107">
        <v>1.002</v>
      </c>
      <c r="G29" s="107">
        <f>'Consommation du 01.04 au 30.04'!U37</f>
        <v>0</v>
      </c>
      <c r="H29" s="107">
        <v>7.8338000000000001</v>
      </c>
      <c r="I29" s="107">
        <f>'Consommation du 01.04 au 30.04'!Y37*1000</f>
        <v>0</v>
      </c>
      <c r="J29" s="107">
        <v>0.53</v>
      </c>
      <c r="K29" s="107">
        <f>'Consommation du 01.04 au 30.04'!D37</f>
        <v>110</v>
      </c>
      <c r="L29" s="107">
        <v>12.67</v>
      </c>
      <c r="M29" s="121">
        <f>'Consommation du 01.04 au 30.04'!AC37</f>
        <v>0</v>
      </c>
      <c r="N29" s="121">
        <v>0</v>
      </c>
      <c r="O29" s="107">
        <f t="shared" si="0"/>
        <v>4179.26</v>
      </c>
    </row>
    <row r="30" spans="1:15" x14ac:dyDescent="0.2">
      <c r="A30" s="108" t="s">
        <v>74</v>
      </c>
      <c r="B30">
        <f t="shared" si="1"/>
        <v>29</v>
      </c>
      <c r="C30">
        <v>4</v>
      </c>
      <c r="D30" s="121">
        <v>2020</v>
      </c>
      <c r="E30" s="107">
        <f>'Consommation du 01.04 au 30.04'!M38</f>
        <v>3154</v>
      </c>
      <c r="F30" s="107">
        <v>1.002</v>
      </c>
      <c r="G30" s="107">
        <f>'Consommation du 01.04 au 30.04'!U38</f>
        <v>0</v>
      </c>
      <c r="H30" s="107">
        <v>7.8338000000000001</v>
      </c>
      <c r="I30" s="107">
        <f>'Consommation du 01.04 au 30.04'!Y38*1000</f>
        <v>0</v>
      </c>
      <c r="J30" s="107">
        <v>0.53</v>
      </c>
      <c r="K30" s="107">
        <f>'Consommation du 01.04 au 30.04'!D38</f>
        <v>140</v>
      </c>
      <c r="L30" s="107">
        <v>12.67</v>
      </c>
      <c r="M30" s="121">
        <f>'Consommation du 01.04 au 30.04'!AC38</f>
        <v>0</v>
      </c>
      <c r="N30" s="121">
        <v>0</v>
      </c>
      <c r="O30" s="107"/>
    </row>
    <row r="31" spans="1:15" x14ac:dyDescent="0.2">
      <c r="A31" s="108" t="s">
        <v>74</v>
      </c>
      <c r="B31">
        <f t="shared" si="1"/>
        <v>30</v>
      </c>
      <c r="C31">
        <v>4</v>
      </c>
      <c r="D31" s="121">
        <v>2020</v>
      </c>
      <c r="E31" s="107">
        <f>'Consommation du 01.04 au 30.04'!M39</f>
        <v>0</v>
      </c>
      <c r="F31" s="107">
        <v>1.002</v>
      </c>
      <c r="G31" s="107">
        <f>'Consommation du 01.04 au 30.04'!U39</f>
        <v>0</v>
      </c>
      <c r="H31" s="107">
        <v>7.8338000000000001</v>
      </c>
      <c r="I31" s="107">
        <f>'Consommation du 01.04 au 30.04'!Y39*1000</f>
        <v>0</v>
      </c>
      <c r="J31" s="107">
        <v>0.53</v>
      </c>
      <c r="K31" s="107">
        <f>'Consommation du 01.04 au 30.04'!D39</f>
        <v>0</v>
      </c>
      <c r="L31" s="107">
        <v>12.67</v>
      </c>
      <c r="M31" s="121">
        <f>'Consommation du 01.04 au 30.04'!AC39</f>
        <v>0</v>
      </c>
      <c r="N31" s="121"/>
      <c r="O31" s="107"/>
    </row>
    <row r="32" spans="1:15" x14ac:dyDescent="0.2">
      <c r="A32" s="108"/>
      <c r="D32" s="121"/>
      <c r="E32" s="107"/>
      <c r="F32" s="107"/>
      <c r="G32" s="107"/>
      <c r="H32" s="107"/>
      <c r="I32" s="107"/>
      <c r="J32" s="107"/>
      <c r="K32" s="107"/>
      <c r="L32" s="107"/>
      <c r="M32" s="121"/>
      <c r="O32" s="107"/>
    </row>
    <row r="33" spans="4:14" x14ac:dyDescent="0.2">
      <c r="D33" s="107"/>
      <c r="E33" s="107"/>
      <c r="F33" s="107"/>
      <c r="G33" s="107"/>
      <c r="H33" s="107"/>
      <c r="I33" s="107"/>
      <c r="J33" s="107"/>
      <c r="K33" s="107"/>
      <c r="L33" s="107"/>
      <c r="M33" s="107"/>
      <c r="N33" s="107"/>
    </row>
    <row r="34" spans="4:14" x14ac:dyDescent="0.2">
      <c r="D34" s="107"/>
      <c r="E34" s="107"/>
      <c r="F34" s="107"/>
      <c r="G34" s="107"/>
      <c r="H34" s="107"/>
      <c r="I34" s="107"/>
      <c r="J34" s="107"/>
      <c r="K34" s="107"/>
      <c r="L34" s="107"/>
      <c r="M34" s="107"/>
      <c r="N34" s="107"/>
    </row>
    <row r="35" spans="4:14" x14ac:dyDescent="0.2">
      <c r="D35" s="107"/>
      <c r="E35" s="107"/>
      <c r="F35" s="107"/>
      <c r="G35" s="107"/>
      <c r="H35" s="107"/>
      <c r="I35" s="107"/>
      <c r="J35" s="107"/>
      <c r="K35" s="107"/>
      <c r="L35" s="107"/>
      <c r="M35" s="107"/>
      <c r="N35" s="107"/>
    </row>
    <row r="36" spans="4:14" x14ac:dyDescent="0.2">
      <c r="D36" s="107"/>
      <c r="E36" s="107"/>
      <c r="F36" s="107"/>
      <c r="G36" s="107"/>
      <c r="H36" s="107"/>
      <c r="I36" s="107"/>
      <c r="J36" s="107"/>
      <c r="K36" s="107"/>
      <c r="L36" s="107"/>
      <c r="M36" s="107"/>
      <c r="N36" s="107"/>
    </row>
    <row r="37" spans="4:14" x14ac:dyDescent="0.2">
      <c r="D37" s="107"/>
      <c r="E37" s="107"/>
      <c r="F37" s="107"/>
      <c r="G37" s="107"/>
      <c r="H37" s="107"/>
      <c r="I37" s="107"/>
      <c r="J37" s="107"/>
      <c r="K37" s="107"/>
      <c r="L37" s="107"/>
      <c r="M37" s="107"/>
      <c r="N37" s="107"/>
    </row>
    <row r="38" spans="4:14" x14ac:dyDescent="0.2">
      <c r="D38" s="107"/>
      <c r="E38" s="107"/>
      <c r="F38" s="107"/>
      <c r="G38" s="107"/>
      <c r="H38" s="107"/>
      <c r="I38" s="107"/>
      <c r="J38" s="107"/>
      <c r="K38" s="107"/>
      <c r="L38" s="107"/>
      <c r="M38" s="107"/>
      <c r="N38" s="107"/>
    </row>
    <row r="39" spans="4:14" x14ac:dyDescent="0.2">
      <c r="D39" s="107"/>
      <c r="E39" s="107"/>
      <c r="F39" s="107"/>
      <c r="G39" s="107"/>
      <c r="H39" s="107"/>
      <c r="I39" s="107"/>
      <c r="J39" s="107"/>
      <c r="K39" s="107"/>
      <c r="L39" s="107"/>
      <c r="M39" s="107"/>
      <c r="N39" s="107"/>
    </row>
    <row r="40" spans="4:14" x14ac:dyDescent="0.2">
      <c r="D40" s="107"/>
      <c r="E40" s="107"/>
      <c r="F40" s="107"/>
      <c r="G40" s="107"/>
      <c r="H40" s="107"/>
      <c r="I40" s="107"/>
      <c r="J40" s="107"/>
      <c r="K40" s="107"/>
      <c r="L40" s="107"/>
      <c r="M40" s="107"/>
      <c r="N40" s="107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">
    <tabColor indexed="29"/>
  </sheetPr>
  <dimension ref="A1:AK112"/>
  <sheetViews>
    <sheetView topLeftCell="A21" zoomScale="55" zoomScaleNormal="55" zoomScaleSheetLayoutView="50" workbookViewId="0">
      <selection activeCell="X38" sqref="X38:X39"/>
    </sheetView>
  </sheetViews>
  <sheetFormatPr defaultColWidth="11.42578125" defaultRowHeight="18" x14ac:dyDescent="0.2"/>
  <cols>
    <col min="1" max="1" width="3.85546875" style="11" customWidth="1"/>
    <col min="2" max="2" width="19.42578125" style="11" customWidth="1"/>
    <col min="3" max="3" width="1.7109375" style="11" customWidth="1"/>
    <col min="4" max="4" width="18.42578125" style="11" customWidth="1"/>
    <col min="5" max="5" width="1.7109375" style="11" hidden="1" customWidth="1"/>
    <col min="6" max="6" width="14" style="11" customWidth="1"/>
    <col min="7" max="7" width="1.7109375" style="11" customWidth="1"/>
    <col min="8" max="8" width="13.140625" style="11" customWidth="1"/>
    <col min="9" max="9" width="1.7109375" style="11" customWidth="1"/>
    <col min="10" max="12" width="17.85546875" style="11" customWidth="1"/>
    <col min="13" max="13" width="22" style="11" customWidth="1"/>
    <col min="14" max="14" width="1.5703125" style="11" customWidth="1"/>
    <col min="15" max="15" width="22.140625" style="11" customWidth="1"/>
    <col min="16" max="16" width="1.28515625" style="11" hidden="1" customWidth="1"/>
    <col min="17" max="17" width="16" style="11" hidden="1" customWidth="1"/>
    <col min="18" max="18" width="1" style="11" customWidth="1"/>
    <col min="19" max="19" width="14.42578125" style="11" hidden="1" customWidth="1"/>
    <col min="20" max="20" width="1.7109375" style="11" customWidth="1"/>
    <col min="21" max="21" width="22.42578125" style="11" customWidth="1"/>
    <col min="22" max="22" width="1.28515625" style="11" customWidth="1"/>
    <col min="23" max="26" width="24" style="11" customWidth="1"/>
    <col min="27" max="27" width="2.28515625" style="13" customWidth="1"/>
    <col min="28" max="28" width="18.85546875" style="11" customWidth="1"/>
    <col min="29" max="29" width="18.5703125" style="11" customWidth="1"/>
    <col min="30" max="30" width="19.7109375" style="11" customWidth="1"/>
    <col min="31" max="34" width="17.7109375" style="11" customWidth="1"/>
    <col min="35" max="35" width="21.42578125" style="11" customWidth="1"/>
    <col min="36" max="36" width="21.140625" style="11" customWidth="1"/>
    <col min="37" max="37" width="22.28515625" style="11" customWidth="1"/>
    <col min="38" max="16384" width="11.42578125" style="11"/>
  </cols>
  <sheetData>
    <row r="1" spans="1:37" ht="18.75" thickBot="1" x14ac:dyDescent="0.25"/>
    <row r="2" spans="1:37" ht="129" customHeight="1" thickBot="1" x14ac:dyDescent="0.75">
      <c r="A2" s="182"/>
      <c r="B2" s="183"/>
      <c r="C2" s="183"/>
      <c r="D2" s="183"/>
      <c r="E2" s="183"/>
      <c r="F2" s="184"/>
      <c r="G2" s="171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Z2" s="172"/>
      <c r="AA2" s="172"/>
      <c r="AB2" s="172"/>
      <c r="AC2" s="173"/>
      <c r="AD2" s="170"/>
      <c r="AE2" s="170"/>
      <c r="AF2" s="170"/>
      <c r="AJ2" s="63"/>
    </row>
    <row r="3" spans="1:37" ht="1.5" customHeight="1" x14ac:dyDescent="0.2"/>
    <row r="4" spans="1:37" ht="39" hidden="1" customHeight="1" x14ac:dyDescent="0.2">
      <c r="A4" s="185"/>
      <c r="B4" s="185"/>
      <c r="C4" s="185"/>
      <c r="D4" s="6"/>
      <c r="E4" s="6"/>
      <c r="F4" s="6"/>
      <c r="G4" s="6"/>
      <c r="H4" s="6"/>
      <c r="I4" s="6"/>
      <c r="J4" s="6"/>
      <c r="K4" s="5" t="s">
        <v>0</v>
      </c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</row>
    <row r="5" spans="1:37" ht="37.5" hidden="1" customHeight="1" x14ac:dyDescent="0.2">
      <c r="A5" s="185"/>
      <c r="B5" s="185"/>
      <c r="C5" s="185"/>
      <c r="D5" s="6"/>
      <c r="E5" s="6"/>
      <c r="F5" s="6"/>
      <c r="G5" s="6"/>
      <c r="H5" s="6"/>
      <c r="I5" s="6"/>
      <c r="J5" s="6"/>
      <c r="K5" s="238"/>
      <c r="L5" s="238"/>
      <c r="M5" s="238"/>
      <c r="N5" s="238"/>
      <c r="O5" s="238"/>
      <c r="P5" s="238"/>
      <c r="Q5" s="238"/>
      <c r="R5" s="238"/>
      <c r="S5" s="238"/>
      <c r="T5" s="238"/>
      <c r="U5" s="238"/>
      <c r="V5" s="238"/>
      <c r="W5" s="238"/>
      <c r="X5" s="238"/>
      <c r="Y5" s="238"/>
      <c r="Z5" s="238"/>
      <c r="AA5" s="238"/>
      <c r="AB5" s="12"/>
      <c r="AC5" s="12"/>
      <c r="AE5" s="58"/>
    </row>
    <row r="6" spans="1:37" s="13" customFormat="1" ht="51" customHeight="1" thickBot="1" x14ac:dyDescent="0.25">
      <c r="A6" s="3"/>
      <c r="B6" s="3"/>
      <c r="C6" s="3"/>
      <c r="D6" s="6"/>
      <c r="E6" s="6"/>
      <c r="F6" s="6"/>
      <c r="G6" s="6"/>
      <c r="H6" s="6"/>
      <c r="I6" s="6"/>
      <c r="J6" s="6"/>
      <c r="K6" s="238"/>
      <c r="L6" s="238"/>
      <c r="M6" s="238"/>
      <c r="N6" s="238"/>
      <c r="O6" s="238"/>
      <c r="P6" s="238"/>
      <c r="Q6" s="238"/>
      <c r="R6" s="238"/>
      <c r="S6" s="238"/>
      <c r="T6" s="238"/>
      <c r="U6" s="238"/>
      <c r="V6" s="238"/>
      <c r="W6" s="238"/>
      <c r="X6" s="238"/>
      <c r="Y6" s="238"/>
      <c r="Z6" s="238"/>
      <c r="AA6" s="238"/>
      <c r="AB6" s="12"/>
      <c r="AC6" s="12"/>
      <c r="AI6" s="6"/>
      <c r="AJ6" s="6"/>
      <c r="AK6" s="6"/>
    </row>
    <row r="7" spans="1:37" s="13" customFormat="1" ht="3.75" hidden="1" customHeight="1" thickBot="1" x14ac:dyDescent="0.25">
      <c r="A7" s="12"/>
      <c r="B7" s="12"/>
      <c r="C7" s="12"/>
      <c r="D7" s="187"/>
      <c r="E7" s="187"/>
      <c r="F7" s="187"/>
      <c r="G7" s="187"/>
      <c r="H7" s="187"/>
      <c r="I7" s="187"/>
      <c r="J7" s="187"/>
      <c r="K7" s="187"/>
      <c r="L7" s="239"/>
      <c r="M7" s="187"/>
      <c r="N7" s="187"/>
      <c r="O7" s="187"/>
      <c r="P7" s="187"/>
      <c r="Q7" s="187"/>
      <c r="R7" s="187"/>
      <c r="S7" s="187"/>
      <c r="T7" s="187"/>
      <c r="U7" s="187"/>
      <c r="V7" s="187"/>
      <c r="W7" s="187"/>
      <c r="X7" s="187"/>
      <c r="Y7" s="187"/>
      <c r="Z7" s="187"/>
      <c r="AA7" s="187"/>
      <c r="AB7" s="14"/>
      <c r="AC7" s="14"/>
      <c r="AI7" s="6"/>
      <c r="AJ7" s="6"/>
      <c r="AK7" s="6"/>
    </row>
    <row r="8" spans="1:37" ht="2.25" customHeight="1" thickBot="1" x14ac:dyDescent="0.25">
      <c r="A8" s="187"/>
      <c r="B8" s="188" t="s">
        <v>1</v>
      </c>
      <c r="C8" s="4"/>
      <c r="D8" s="189" t="s">
        <v>4</v>
      </c>
      <c r="E8" s="5"/>
      <c r="F8" s="174" t="s">
        <v>12</v>
      </c>
      <c r="G8" s="175"/>
      <c r="H8" s="176"/>
      <c r="I8" s="5"/>
      <c r="J8" s="194" t="s">
        <v>3</v>
      </c>
      <c r="K8" s="242"/>
      <c r="L8" s="243"/>
      <c r="M8" s="194" t="s">
        <v>2</v>
      </c>
      <c r="N8" s="5"/>
      <c r="O8" s="180" t="s">
        <v>12</v>
      </c>
      <c r="P8" s="5"/>
      <c r="Q8" s="180" t="s">
        <v>5</v>
      </c>
      <c r="R8" s="5"/>
      <c r="S8" s="180" t="s">
        <v>6</v>
      </c>
      <c r="T8" s="5"/>
      <c r="U8" s="240" t="s">
        <v>39</v>
      </c>
      <c r="V8" s="5"/>
      <c r="W8" s="180" t="s">
        <v>12</v>
      </c>
      <c r="X8" s="70"/>
      <c r="Y8" s="70"/>
      <c r="Z8" s="70"/>
      <c r="AA8" s="193"/>
      <c r="AB8" s="191" t="s">
        <v>80</v>
      </c>
      <c r="AC8" s="180" t="s">
        <v>75</v>
      </c>
      <c r="AD8" s="168" t="s">
        <v>54</v>
      </c>
      <c r="AE8" s="166" t="s">
        <v>59</v>
      </c>
      <c r="AF8" s="166" t="s">
        <v>60</v>
      </c>
      <c r="AG8" s="164" t="s">
        <v>61</v>
      </c>
      <c r="AH8" s="164" t="s">
        <v>62</v>
      </c>
      <c r="AI8" s="74"/>
      <c r="AJ8" s="74"/>
      <c r="AK8" s="74"/>
    </row>
    <row r="9" spans="1:37" ht="116.25" customHeight="1" thickBot="1" x14ac:dyDescent="0.25">
      <c r="A9" s="187"/>
      <c r="B9" s="188"/>
      <c r="C9" s="4"/>
      <c r="D9" s="190"/>
      <c r="E9" s="5"/>
      <c r="F9" s="177"/>
      <c r="G9" s="178"/>
      <c r="H9" s="179"/>
      <c r="I9" s="5"/>
      <c r="J9" s="147" t="s">
        <v>7</v>
      </c>
      <c r="K9" s="146" t="s">
        <v>8</v>
      </c>
      <c r="L9" s="146" t="s">
        <v>9</v>
      </c>
      <c r="M9" s="194"/>
      <c r="N9" s="5"/>
      <c r="O9" s="181"/>
      <c r="P9" s="5"/>
      <c r="Q9" s="181"/>
      <c r="R9" s="5"/>
      <c r="S9" s="181"/>
      <c r="T9" s="5"/>
      <c r="U9" s="241"/>
      <c r="V9" s="5"/>
      <c r="W9" s="181"/>
      <c r="X9" s="126" t="s">
        <v>81</v>
      </c>
      <c r="Y9" s="100" t="s">
        <v>55</v>
      </c>
      <c r="Z9" s="101" t="s">
        <v>56</v>
      </c>
      <c r="AA9" s="193"/>
      <c r="AB9" s="192"/>
      <c r="AC9" s="186"/>
      <c r="AD9" s="169"/>
      <c r="AE9" s="167"/>
      <c r="AF9" s="167"/>
      <c r="AG9" s="165"/>
      <c r="AH9" s="165"/>
      <c r="AI9" s="102"/>
      <c r="AJ9" s="75"/>
      <c r="AK9" s="75"/>
    </row>
    <row r="10" spans="1:37" ht="32.25" customHeight="1" thickBot="1" x14ac:dyDescent="0.25">
      <c r="A10" s="14"/>
      <c r="B10" s="7">
        <v>43922</v>
      </c>
      <c r="C10" s="8"/>
      <c r="D10" s="109">
        <f>'Suivi EAU-ELEC'!C16</f>
        <v>350</v>
      </c>
      <c r="E10" s="110"/>
      <c r="F10" s="235">
        <f>D10*12.67</f>
        <v>4434.5</v>
      </c>
      <c r="G10" s="235"/>
      <c r="H10" s="236"/>
      <c r="I10" s="91"/>
      <c r="J10" s="116">
        <f>'Suivi EAU-ELEC'!E16</f>
        <v>1178</v>
      </c>
      <c r="K10" s="117">
        <f>'Suivi EAU-ELEC'!G16</f>
        <v>1872</v>
      </c>
      <c r="L10" s="117">
        <f>'Suivi EAU-ELEC'!I16</f>
        <v>737</v>
      </c>
      <c r="M10" s="148">
        <f>L10+K10+J10</f>
        <v>3787</v>
      </c>
      <c r="N10" s="91"/>
      <c r="O10" s="94">
        <f>M10*1.002</f>
        <v>3794.5740000000001</v>
      </c>
      <c r="P10" s="90"/>
      <c r="Q10" s="89"/>
      <c r="R10" s="88"/>
      <c r="S10" s="89"/>
      <c r="T10" s="96"/>
      <c r="U10" s="95">
        <f>'Suvi Gaz'!O11</f>
        <v>111.30000000000001</v>
      </c>
      <c r="V10" s="91"/>
      <c r="W10" s="94">
        <f>U10*7.8338</f>
        <v>871.90194000000008</v>
      </c>
      <c r="X10" s="131">
        <v>17028.32</v>
      </c>
      <c r="Y10" s="98">
        <f>IF(X11&lt;X10,0,X11-X10)</f>
        <v>0</v>
      </c>
      <c r="Z10" s="99">
        <f>Y10*0.53*1000</f>
        <v>0</v>
      </c>
      <c r="AA10" s="91"/>
      <c r="AB10" s="122">
        <v>19</v>
      </c>
      <c r="AC10" s="125">
        <v>0</v>
      </c>
      <c r="AD10" s="123">
        <v>0</v>
      </c>
      <c r="AE10" s="130" t="s">
        <v>82</v>
      </c>
      <c r="AF10" s="130" t="s">
        <v>82</v>
      </c>
      <c r="AG10" s="128" t="s">
        <v>82</v>
      </c>
      <c r="AH10" s="129" t="s">
        <v>82</v>
      </c>
      <c r="AI10" s="71"/>
      <c r="AJ10" s="78"/>
      <c r="AK10" s="71"/>
    </row>
    <row r="11" spans="1:37" ht="32.25" customHeight="1" thickBot="1" x14ac:dyDescent="0.25">
      <c r="A11" s="14"/>
      <c r="B11" s="7">
        <f>B10+1</f>
        <v>43923</v>
      </c>
      <c r="C11" s="8"/>
      <c r="D11" s="109">
        <f>'Suivi EAU-ELEC'!C17</f>
        <v>350</v>
      </c>
      <c r="E11" s="88"/>
      <c r="F11" s="235">
        <f t="shared" ref="F11:F40" si="0">D11*12.67</f>
        <v>4434.5</v>
      </c>
      <c r="G11" s="235"/>
      <c r="H11" s="236"/>
      <c r="I11" s="91"/>
      <c r="J11" s="116">
        <f>'Suivi EAU-ELEC'!E17</f>
        <v>1176</v>
      </c>
      <c r="K11" s="117">
        <f>'Suivi EAU-ELEC'!G17</f>
        <v>1718</v>
      </c>
      <c r="L11" s="117">
        <f>'Suivi EAU-ELEC'!I17</f>
        <v>745</v>
      </c>
      <c r="M11" s="118">
        <f t="shared" ref="M11:M40" si="1">L11+K11+J11</f>
        <v>3639</v>
      </c>
      <c r="N11" s="91"/>
      <c r="O11" s="94">
        <f t="shared" ref="O11:O40" si="2">M11*1.002</f>
        <v>3646.2779999999998</v>
      </c>
      <c r="P11" s="90"/>
      <c r="Q11" s="89"/>
      <c r="R11" s="88"/>
      <c r="S11" s="89"/>
      <c r="T11" s="96"/>
      <c r="U11" s="95">
        <f>'Suvi Gaz'!O12</f>
        <v>111.30000000000001</v>
      </c>
      <c r="V11" s="91"/>
      <c r="W11" s="94">
        <f t="shared" ref="W11:W40" si="3">U11*7.8338</f>
        <v>871.90194000000008</v>
      </c>
      <c r="X11" s="131">
        <v>17028.32</v>
      </c>
      <c r="Y11" s="98">
        <f t="shared" ref="Y11:Y40" si="4">IF(X12&lt;X11,0,X12-X11)</f>
        <v>0</v>
      </c>
      <c r="Z11" s="99">
        <f t="shared" ref="Z11:Z40" si="5">Y11*0.53*1000</f>
        <v>0</v>
      </c>
      <c r="AA11" s="91"/>
      <c r="AB11" s="114">
        <v>16</v>
      </c>
      <c r="AC11" s="125">
        <v>0</v>
      </c>
      <c r="AD11" s="123">
        <v>0</v>
      </c>
      <c r="AE11" s="130" t="s">
        <v>82</v>
      </c>
      <c r="AF11" s="130" t="s">
        <v>82</v>
      </c>
      <c r="AG11" s="128" t="s">
        <v>82</v>
      </c>
      <c r="AH11" s="129" t="s">
        <v>82</v>
      </c>
      <c r="AI11" s="137"/>
      <c r="AJ11" s="78"/>
      <c r="AK11" s="71"/>
    </row>
    <row r="12" spans="1:37" s="13" customFormat="1" ht="32.25" customHeight="1" thickBot="1" x14ac:dyDescent="0.25">
      <c r="A12" s="5"/>
      <c r="B12" s="7">
        <f t="shared" ref="B12:B40" si="6">B11+1</f>
        <v>43924</v>
      </c>
      <c r="C12" s="8"/>
      <c r="D12" s="109">
        <f>'Suivi EAU-ELEC'!C18</f>
        <v>320</v>
      </c>
      <c r="E12" s="88"/>
      <c r="F12" s="235">
        <f t="shared" si="0"/>
        <v>4054.4</v>
      </c>
      <c r="G12" s="235"/>
      <c r="H12" s="236"/>
      <c r="I12" s="91"/>
      <c r="J12" s="116">
        <f>'Suivi EAU-ELEC'!E18</f>
        <v>1078</v>
      </c>
      <c r="K12" s="117">
        <f>'Suivi EAU-ELEC'!G18</f>
        <v>1619</v>
      </c>
      <c r="L12" s="117">
        <f>'Suivi EAU-ELEC'!I18</f>
        <v>762</v>
      </c>
      <c r="M12" s="118">
        <f t="shared" si="1"/>
        <v>3459</v>
      </c>
      <c r="N12" s="91"/>
      <c r="O12" s="94">
        <f t="shared" si="2"/>
        <v>3465.9180000000001</v>
      </c>
      <c r="P12" s="90"/>
      <c r="Q12" s="89"/>
      <c r="R12" s="88"/>
      <c r="S12" s="89"/>
      <c r="T12" s="96"/>
      <c r="U12" s="95">
        <f>'Suvi Gaz'!O13</f>
        <v>74.2</v>
      </c>
      <c r="V12" s="92"/>
      <c r="W12" s="94">
        <f t="shared" si="3"/>
        <v>581.26796000000002</v>
      </c>
      <c r="X12" s="131">
        <v>17028.32</v>
      </c>
      <c r="Y12" s="98">
        <f t="shared" si="4"/>
        <v>0</v>
      </c>
      <c r="Z12" s="99">
        <f t="shared" si="5"/>
        <v>0</v>
      </c>
      <c r="AA12" s="91"/>
      <c r="AB12" s="114">
        <v>21</v>
      </c>
      <c r="AC12" s="125">
        <v>0</v>
      </c>
      <c r="AD12" s="123">
        <v>0</v>
      </c>
      <c r="AE12" s="130" t="s">
        <v>82</v>
      </c>
      <c r="AF12" s="130" t="s">
        <v>82</v>
      </c>
      <c r="AG12" s="128" t="s">
        <v>82</v>
      </c>
      <c r="AH12" s="129" t="s">
        <v>82</v>
      </c>
      <c r="AI12" s="71"/>
      <c r="AJ12" s="78"/>
      <c r="AK12" s="71"/>
    </row>
    <row r="13" spans="1:37" ht="32.25" customHeight="1" thickBot="1" x14ac:dyDescent="0.25">
      <c r="A13" s="5"/>
      <c r="B13" s="7">
        <f t="shared" si="6"/>
        <v>43925</v>
      </c>
      <c r="C13" s="8"/>
      <c r="D13" s="109">
        <f>'Suivi EAU-ELEC'!C19</f>
        <v>340</v>
      </c>
      <c r="E13" s="88"/>
      <c r="F13" s="235">
        <f t="shared" si="0"/>
        <v>4307.8</v>
      </c>
      <c r="G13" s="235"/>
      <c r="H13" s="236"/>
      <c r="I13" s="91"/>
      <c r="J13" s="116">
        <f>'Suivi EAU-ELEC'!E19</f>
        <v>1143</v>
      </c>
      <c r="K13" s="117">
        <f>'Suivi EAU-ELEC'!G19</f>
        <v>1688</v>
      </c>
      <c r="L13" s="117">
        <f>'Suivi EAU-ELEC'!I19</f>
        <v>701</v>
      </c>
      <c r="M13" s="118">
        <f t="shared" si="1"/>
        <v>3532</v>
      </c>
      <c r="N13" s="91"/>
      <c r="O13" s="94">
        <f t="shared" si="2"/>
        <v>3539.0639999999999</v>
      </c>
      <c r="P13" s="90"/>
      <c r="Q13" s="89"/>
      <c r="R13" s="88"/>
      <c r="S13" s="89"/>
      <c r="T13" s="96"/>
      <c r="U13" s="95">
        <f>'Suvi Gaz'!O14</f>
        <v>74.2</v>
      </c>
      <c r="V13" s="92"/>
      <c r="W13" s="94">
        <f t="shared" si="3"/>
        <v>581.26796000000002</v>
      </c>
      <c r="X13" s="131">
        <v>17028.32</v>
      </c>
      <c r="Y13" s="98">
        <f>IF(X14&lt;X13,0,X14-X13)</f>
        <v>0</v>
      </c>
      <c r="Z13" s="99">
        <f t="shared" si="5"/>
        <v>0</v>
      </c>
      <c r="AA13" s="91"/>
      <c r="AB13" s="114">
        <v>22</v>
      </c>
      <c r="AC13" s="125">
        <v>0</v>
      </c>
      <c r="AD13" s="123">
        <v>0</v>
      </c>
      <c r="AE13" s="130" t="s">
        <v>82</v>
      </c>
      <c r="AF13" s="130" t="s">
        <v>82</v>
      </c>
      <c r="AG13" s="128" t="s">
        <v>82</v>
      </c>
      <c r="AH13" s="129" t="s">
        <v>82</v>
      </c>
      <c r="AI13" s="71"/>
      <c r="AJ13" s="78"/>
      <c r="AK13" s="71"/>
    </row>
    <row r="14" spans="1:37" ht="32.25" customHeight="1" thickBot="1" x14ac:dyDescent="0.25">
      <c r="A14" s="5"/>
      <c r="B14" s="7">
        <f t="shared" si="6"/>
        <v>43926</v>
      </c>
      <c r="C14" s="8"/>
      <c r="D14" s="109">
        <f>'Suivi EAU-ELEC'!C20</f>
        <v>350</v>
      </c>
      <c r="E14" s="111"/>
      <c r="F14" s="235">
        <f t="shared" si="0"/>
        <v>4434.5</v>
      </c>
      <c r="G14" s="235"/>
      <c r="H14" s="236"/>
      <c r="I14" s="92"/>
      <c r="J14" s="116">
        <f>'Suivi EAU-ELEC'!E20</f>
        <v>1129</v>
      </c>
      <c r="K14" s="117">
        <f>'Suivi EAU-ELEC'!G20</f>
        <v>1682</v>
      </c>
      <c r="L14" s="117">
        <f>'Suivi EAU-ELEC'!I20</f>
        <v>755</v>
      </c>
      <c r="M14" s="118">
        <f t="shared" si="1"/>
        <v>3566</v>
      </c>
      <c r="N14" s="91"/>
      <c r="O14" s="94">
        <f t="shared" si="2"/>
        <v>3573.1320000000001</v>
      </c>
      <c r="P14" s="90"/>
      <c r="Q14" s="89"/>
      <c r="R14" s="88"/>
      <c r="S14" s="89"/>
      <c r="T14" s="96"/>
      <c r="U14" s="95">
        <f>'Suvi Gaz'!O15</f>
        <v>37.1</v>
      </c>
      <c r="V14" s="92"/>
      <c r="W14" s="94">
        <f t="shared" si="3"/>
        <v>290.63398000000001</v>
      </c>
      <c r="X14" s="131">
        <v>17028.32</v>
      </c>
      <c r="Y14" s="98">
        <f>IF(X15&lt;X14,0,X15-X14)</f>
        <v>0</v>
      </c>
      <c r="Z14" s="99">
        <f t="shared" si="5"/>
        <v>0</v>
      </c>
      <c r="AA14" s="91"/>
      <c r="AB14" s="114">
        <v>23</v>
      </c>
      <c r="AC14" s="125">
        <v>0</v>
      </c>
      <c r="AD14" s="123">
        <v>0</v>
      </c>
      <c r="AE14" s="130" t="s">
        <v>82</v>
      </c>
      <c r="AF14" s="130" t="s">
        <v>82</v>
      </c>
      <c r="AG14" s="128" t="s">
        <v>82</v>
      </c>
      <c r="AH14" s="129" t="s">
        <v>82</v>
      </c>
      <c r="AI14" s="71"/>
      <c r="AJ14" s="78"/>
      <c r="AK14" s="71"/>
    </row>
    <row r="15" spans="1:37" ht="32.25" customHeight="1" thickBot="1" x14ac:dyDescent="0.25">
      <c r="A15" s="5"/>
      <c r="B15" s="7">
        <f t="shared" si="6"/>
        <v>43927</v>
      </c>
      <c r="C15" s="8"/>
      <c r="D15" s="109">
        <f>'Suivi EAU-ELEC'!C21</f>
        <v>330</v>
      </c>
      <c r="E15" s="88"/>
      <c r="F15" s="235">
        <f t="shared" si="0"/>
        <v>4181.1000000000004</v>
      </c>
      <c r="G15" s="235"/>
      <c r="H15" s="236"/>
      <c r="I15" s="91"/>
      <c r="J15" s="116">
        <f>'Suivi EAU-ELEC'!E21</f>
        <v>1243</v>
      </c>
      <c r="K15" s="117">
        <f>'Suivi EAU-ELEC'!G21</f>
        <v>1791</v>
      </c>
      <c r="L15" s="117">
        <f>'Suivi EAU-ELEC'!I21</f>
        <v>787</v>
      </c>
      <c r="M15" s="118">
        <f t="shared" si="1"/>
        <v>3821</v>
      </c>
      <c r="N15" s="91"/>
      <c r="O15" s="94">
        <f t="shared" si="2"/>
        <v>3828.6419999999998</v>
      </c>
      <c r="P15" s="90"/>
      <c r="Q15" s="89"/>
      <c r="R15" s="88"/>
      <c r="S15" s="89"/>
      <c r="T15" s="96"/>
      <c r="U15" s="95">
        <f>'Suvi Gaz'!O16</f>
        <v>-37.1</v>
      </c>
      <c r="V15" s="92"/>
      <c r="W15" s="94">
        <f t="shared" si="3"/>
        <v>-290.63398000000001</v>
      </c>
      <c r="X15" s="131">
        <v>17028.32</v>
      </c>
      <c r="Y15" s="98">
        <f t="shared" si="4"/>
        <v>0</v>
      </c>
      <c r="Z15" s="99">
        <f t="shared" si="5"/>
        <v>0</v>
      </c>
      <c r="AA15" s="91"/>
      <c r="AB15" s="114">
        <v>24</v>
      </c>
      <c r="AC15" s="125">
        <v>0</v>
      </c>
      <c r="AD15" s="123">
        <v>0</v>
      </c>
      <c r="AE15" s="130" t="s">
        <v>82</v>
      </c>
      <c r="AF15" s="130" t="s">
        <v>82</v>
      </c>
      <c r="AG15" s="128" t="s">
        <v>82</v>
      </c>
      <c r="AH15" s="129" t="s">
        <v>82</v>
      </c>
      <c r="AI15" s="71"/>
      <c r="AJ15" s="78"/>
      <c r="AK15" s="71"/>
    </row>
    <row r="16" spans="1:37" ht="32.25" customHeight="1" thickBot="1" x14ac:dyDescent="0.25">
      <c r="A16" s="5"/>
      <c r="B16" s="7">
        <f t="shared" si="6"/>
        <v>43928</v>
      </c>
      <c r="C16" s="8"/>
      <c r="D16" s="109">
        <f>'Suivi EAU-ELEC'!C22</f>
        <v>190</v>
      </c>
      <c r="E16" s="111"/>
      <c r="F16" s="235">
        <f t="shared" si="0"/>
        <v>2407.3000000000002</v>
      </c>
      <c r="G16" s="235"/>
      <c r="H16" s="236"/>
      <c r="I16" s="92"/>
      <c r="J16" s="116">
        <f>'Suivi EAU-ELEC'!E22</f>
        <v>1056</v>
      </c>
      <c r="K16" s="117">
        <f>'Suivi EAU-ELEC'!G22</f>
        <v>1628</v>
      </c>
      <c r="L16" s="117">
        <f>'Suivi EAU-ELEC'!I22</f>
        <v>658</v>
      </c>
      <c r="M16" s="118">
        <f t="shared" si="1"/>
        <v>3342</v>
      </c>
      <c r="N16" s="91"/>
      <c r="O16" s="94">
        <f t="shared" si="2"/>
        <v>3348.6840000000002</v>
      </c>
      <c r="P16" s="90"/>
      <c r="Q16" s="89"/>
      <c r="R16" s="88"/>
      <c r="S16" s="89"/>
      <c r="T16" s="96"/>
      <c r="U16" s="95">
        <f>'Suvi Gaz'!O17</f>
        <v>37.1</v>
      </c>
      <c r="V16" s="92"/>
      <c r="W16" s="94">
        <f t="shared" si="3"/>
        <v>290.63398000000001</v>
      </c>
      <c r="X16" s="131">
        <v>17028.32</v>
      </c>
      <c r="Y16" s="98">
        <f t="shared" si="4"/>
        <v>0</v>
      </c>
      <c r="Z16" s="99">
        <f t="shared" si="5"/>
        <v>0</v>
      </c>
      <c r="AA16" s="91"/>
      <c r="AB16" s="114">
        <v>27</v>
      </c>
      <c r="AC16" s="125">
        <v>0</v>
      </c>
      <c r="AD16" s="123">
        <v>0</v>
      </c>
      <c r="AE16" s="130" t="s">
        <v>82</v>
      </c>
      <c r="AF16" s="130" t="s">
        <v>82</v>
      </c>
      <c r="AG16" s="128" t="s">
        <v>82</v>
      </c>
      <c r="AH16" s="129" t="s">
        <v>82</v>
      </c>
      <c r="AI16" s="71"/>
      <c r="AJ16" s="78"/>
      <c r="AK16" s="71"/>
    </row>
    <row r="17" spans="1:37" ht="32.25" customHeight="1" thickBot="1" x14ac:dyDescent="0.25">
      <c r="A17" s="5"/>
      <c r="B17" s="7">
        <f t="shared" si="6"/>
        <v>43929</v>
      </c>
      <c r="C17" s="8"/>
      <c r="D17" s="109">
        <f>'Suivi EAU-ELEC'!C23</f>
        <v>170</v>
      </c>
      <c r="E17" s="111"/>
      <c r="F17" s="235">
        <f t="shared" si="0"/>
        <v>2153.9</v>
      </c>
      <c r="G17" s="235"/>
      <c r="H17" s="236"/>
      <c r="I17" s="92"/>
      <c r="J17" s="116">
        <f>'Suivi EAU-ELEC'!E23</f>
        <v>1204</v>
      </c>
      <c r="K17" s="117">
        <f>'Suivi EAU-ELEC'!G23</f>
        <v>1697</v>
      </c>
      <c r="L17" s="117">
        <f>'Suivi EAU-ELEC'!I23</f>
        <v>752</v>
      </c>
      <c r="M17" s="118">
        <f t="shared" si="1"/>
        <v>3653</v>
      </c>
      <c r="N17" s="91"/>
      <c r="O17" s="94">
        <f t="shared" si="2"/>
        <v>3660.306</v>
      </c>
      <c r="P17" s="90"/>
      <c r="Q17" s="89"/>
      <c r="R17" s="88"/>
      <c r="S17" s="89"/>
      <c r="T17" s="96"/>
      <c r="U17" s="95">
        <f>'Suvi Gaz'!O18</f>
        <v>37.1</v>
      </c>
      <c r="V17" s="92"/>
      <c r="W17" s="94">
        <f t="shared" si="3"/>
        <v>290.63398000000001</v>
      </c>
      <c r="X17" s="131">
        <v>17028.32</v>
      </c>
      <c r="Y17" s="98">
        <f t="shared" si="4"/>
        <v>0</v>
      </c>
      <c r="Z17" s="99">
        <f t="shared" si="5"/>
        <v>0</v>
      </c>
      <c r="AA17" s="97"/>
      <c r="AB17" s="114">
        <v>30</v>
      </c>
      <c r="AC17" s="125">
        <v>0</v>
      </c>
      <c r="AD17" s="123">
        <v>0</v>
      </c>
      <c r="AE17" s="130" t="s">
        <v>82</v>
      </c>
      <c r="AF17" s="130" t="s">
        <v>82</v>
      </c>
      <c r="AG17" s="128" t="s">
        <v>82</v>
      </c>
      <c r="AH17" s="129" t="s">
        <v>82</v>
      </c>
      <c r="AI17" s="71"/>
      <c r="AJ17" s="78"/>
      <c r="AK17" s="71"/>
    </row>
    <row r="18" spans="1:37" ht="32.25" customHeight="1" thickBot="1" x14ac:dyDescent="0.25">
      <c r="A18" s="5"/>
      <c r="B18" s="7">
        <f t="shared" si="6"/>
        <v>43930</v>
      </c>
      <c r="C18" s="8"/>
      <c r="D18" s="109">
        <f>'Suivi EAU-ELEC'!C24</f>
        <v>160</v>
      </c>
      <c r="E18" s="111"/>
      <c r="F18" s="235">
        <f t="shared" si="0"/>
        <v>2027.2</v>
      </c>
      <c r="G18" s="235"/>
      <c r="H18" s="236"/>
      <c r="I18" s="92"/>
      <c r="J18" s="116">
        <f>'Suivi EAU-ELEC'!E24</f>
        <v>1027</v>
      </c>
      <c r="K18" s="117">
        <f>'Suivi EAU-ELEC'!G24</f>
        <v>1663</v>
      </c>
      <c r="L18" s="117">
        <f>'Suivi EAU-ELEC'!I24</f>
        <v>762</v>
      </c>
      <c r="M18" s="118">
        <f t="shared" si="1"/>
        <v>3452</v>
      </c>
      <c r="N18" s="91"/>
      <c r="O18" s="94">
        <f t="shared" si="2"/>
        <v>3458.904</v>
      </c>
      <c r="P18" s="90"/>
      <c r="Q18" s="89"/>
      <c r="R18" s="88"/>
      <c r="S18" s="89"/>
      <c r="T18" s="96"/>
      <c r="U18" s="95">
        <f>'Suvi Gaz'!O19</f>
        <v>37.1</v>
      </c>
      <c r="V18" s="92"/>
      <c r="W18" s="94">
        <f t="shared" si="3"/>
        <v>290.63398000000001</v>
      </c>
      <c r="X18" s="131">
        <v>17028.32</v>
      </c>
      <c r="Y18" s="98">
        <f t="shared" si="4"/>
        <v>0</v>
      </c>
      <c r="Z18" s="99">
        <f t="shared" si="5"/>
        <v>0</v>
      </c>
      <c r="AA18" s="97"/>
      <c r="AB18" s="114">
        <v>26</v>
      </c>
      <c r="AC18" s="125">
        <v>0</v>
      </c>
      <c r="AD18" s="123">
        <v>0</v>
      </c>
      <c r="AE18" s="130" t="s">
        <v>82</v>
      </c>
      <c r="AF18" s="130" t="s">
        <v>82</v>
      </c>
      <c r="AG18" s="128" t="s">
        <v>82</v>
      </c>
      <c r="AH18" s="129" t="s">
        <v>82</v>
      </c>
      <c r="AI18" s="71"/>
      <c r="AJ18" s="78"/>
      <c r="AK18" s="71"/>
    </row>
    <row r="19" spans="1:37" ht="32.25" customHeight="1" thickBot="1" x14ac:dyDescent="0.25">
      <c r="A19" s="5"/>
      <c r="B19" s="7">
        <f t="shared" si="6"/>
        <v>43931</v>
      </c>
      <c r="C19" s="8"/>
      <c r="D19" s="109">
        <f>'Suivi EAU-ELEC'!C25</f>
        <v>160</v>
      </c>
      <c r="E19" s="111"/>
      <c r="F19" s="235">
        <f t="shared" si="0"/>
        <v>2027.2</v>
      </c>
      <c r="G19" s="235"/>
      <c r="H19" s="236"/>
      <c r="I19" s="92"/>
      <c r="J19" s="116">
        <f>'Suivi EAU-ELEC'!E25</f>
        <v>1162</v>
      </c>
      <c r="K19" s="117">
        <f>'Suivi EAU-ELEC'!G25</f>
        <v>1707</v>
      </c>
      <c r="L19" s="117">
        <f>'Suivi EAU-ELEC'!I25</f>
        <v>756</v>
      </c>
      <c r="M19" s="118">
        <f t="shared" si="1"/>
        <v>3625</v>
      </c>
      <c r="N19" s="91"/>
      <c r="O19" s="94">
        <f t="shared" si="2"/>
        <v>3632.25</v>
      </c>
      <c r="P19" s="90"/>
      <c r="Q19" s="89"/>
      <c r="R19" s="88"/>
      <c r="S19" s="89"/>
      <c r="T19" s="96"/>
      <c r="U19" s="95">
        <f>'Suvi Gaz'!O20</f>
        <v>0</v>
      </c>
      <c r="V19" s="92"/>
      <c r="W19" s="94">
        <f t="shared" si="3"/>
        <v>0</v>
      </c>
      <c r="X19" s="131">
        <v>17028.32</v>
      </c>
      <c r="Y19" s="98">
        <f t="shared" si="4"/>
        <v>0</v>
      </c>
      <c r="Z19" s="99">
        <f t="shared" si="5"/>
        <v>0</v>
      </c>
      <c r="AA19" s="97"/>
      <c r="AB19" s="114">
        <v>24</v>
      </c>
      <c r="AC19" s="125">
        <v>0</v>
      </c>
      <c r="AD19" s="123">
        <v>0</v>
      </c>
      <c r="AE19" s="130" t="s">
        <v>82</v>
      </c>
      <c r="AF19" s="130" t="s">
        <v>82</v>
      </c>
      <c r="AG19" s="128" t="s">
        <v>82</v>
      </c>
      <c r="AH19" s="129" t="s">
        <v>82</v>
      </c>
      <c r="AI19" s="71"/>
      <c r="AJ19" s="78"/>
      <c r="AK19" s="71"/>
    </row>
    <row r="20" spans="1:37" ht="32.25" customHeight="1" thickBot="1" x14ac:dyDescent="0.25">
      <c r="A20" s="5"/>
      <c r="B20" s="7">
        <f>B19+1</f>
        <v>43932</v>
      </c>
      <c r="C20" s="8"/>
      <c r="D20" s="109">
        <f>'Suivi EAU-ELEC'!C26</f>
        <v>160</v>
      </c>
      <c r="E20" s="111"/>
      <c r="F20" s="235">
        <f t="shared" si="0"/>
        <v>2027.2</v>
      </c>
      <c r="G20" s="235"/>
      <c r="H20" s="236"/>
      <c r="I20" s="92"/>
      <c r="J20" s="116">
        <f>'Suivi EAU-ELEC'!E26</f>
        <v>1093</v>
      </c>
      <c r="K20" s="117">
        <f>'Suivi EAU-ELEC'!G26</f>
        <v>1571</v>
      </c>
      <c r="L20" s="117">
        <f>'Suivi EAU-ELEC'!I26</f>
        <v>665</v>
      </c>
      <c r="M20" s="118">
        <f t="shared" si="1"/>
        <v>3329</v>
      </c>
      <c r="N20" s="91"/>
      <c r="O20" s="94">
        <f t="shared" si="2"/>
        <v>3335.6579999999999</v>
      </c>
      <c r="P20" s="90"/>
      <c r="Q20" s="89"/>
      <c r="R20" s="88"/>
      <c r="S20" s="89"/>
      <c r="T20" s="96"/>
      <c r="U20" s="95">
        <f>'Suvi Gaz'!O21</f>
        <v>0</v>
      </c>
      <c r="V20" s="92"/>
      <c r="W20" s="94">
        <f t="shared" si="3"/>
        <v>0</v>
      </c>
      <c r="X20" s="131">
        <v>17028.32</v>
      </c>
      <c r="Y20" s="98">
        <f t="shared" si="4"/>
        <v>0</v>
      </c>
      <c r="Z20" s="99">
        <f t="shared" si="5"/>
        <v>0</v>
      </c>
      <c r="AA20" s="97">
        <v>14</v>
      </c>
      <c r="AB20" s="114">
        <v>22</v>
      </c>
      <c r="AC20" s="125">
        <v>0</v>
      </c>
      <c r="AD20" s="123">
        <v>0</v>
      </c>
      <c r="AE20" s="130" t="s">
        <v>82</v>
      </c>
      <c r="AF20" s="130" t="s">
        <v>82</v>
      </c>
      <c r="AG20" s="128" t="s">
        <v>82</v>
      </c>
      <c r="AH20" s="129" t="s">
        <v>82</v>
      </c>
      <c r="AI20" s="71"/>
      <c r="AJ20" s="78"/>
      <c r="AK20" s="71"/>
    </row>
    <row r="21" spans="1:37" ht="32.25" customHeight="1" thickBot="1" x14ac:dyDescent="0.25">
      <c r="A21" s="5"/>
      <c r="B21" s="7">
        <f t="shared" si="6"/>
        <v>43933</v>
      </c>
      <c r="C21" s="8"/>
      <c r="D21" s="109">
        <f>'Suivi EAU-ELEC'!C27</f>
        <v>160</v>
      </c>
      <c r="E21" s="111"/>
      <c r="F21" s="235">
        <f t="shared" si="0"/>
        <v>2027.2</v>
      </c>
      <c r="G21" s="235"/>
      <c r="H21" s="236"/>
      <c r="I21" s="92"/>
      <c r="J21" s="116">
        <f>'Suivi EAU-ELEC'!E27</f>
        <v>1078</v>
      </c>
      <c r="K21" s="117">
        <f>'Suivi EAU-ELEC'!G27</f>
        <v>1627</v>
      </c>
      <c r="L21" s="117">
        <f>'Suivi EAU-ELEC'!I27</f>
        <v>725</v>
      </c>
      <c r="M21" s="118">
        <f t="shared" si="1"/>
        <v>3430</v>
      </c>
      <c r="N21" s="91"/>
      <c r="O21" s="94">
        <f t="shared" si="2"/>
        <v>3436.86</v>
      </c>
      <c r="P21" s="90"/>
      <c r="Q21" s="89"/>
      <c r="R21" s="88"/>
      <c r="S21" s="89"/>
      <c r="T21" s="96"/>
      <c r="U21" s="95">
        <f>'Suvi Gaz'!O22</f>
        <v>0</v>
      </c>
      <c r="V21" s="92"/>
      <c r="W21" s="94">
        <f t="shared" si="3"/>
        <v>0</v>
      </c>
      <c r="X21" s="131">
        <v>17028.32</v>
      </c>
      <c r="Y21" s="98">
        <f t="shared" si="4"/>
        <v>0</v>
      </c>
      <c r="Z21" s="99">
        <f t="shared" si="5"/>
        <v>0</v>
      </c>
      <c r="AA21" s="97">
        <v>14</v>
      </c>
      <c r="AB21" s="114">
        <v>20</v>
      </c>
      <c r="AC21" s="125">
        <v>0</v>
      </c>
      <c r="AD21" s="123">
        <v>0</v>
      </c>
      <c r="AE21" s="130" t="s">
        <v>82</v>
      </c>
      <c r="AF21" s="130" t="s">
        <v>82</v>
      </c>
      <c r="AG21" s="128" t="s">
        <v>82</v>
      </c>
      <c r="AH21" s="129" t="s">
        <v>82</v>
      </c>
      <c r="AI21" s="71"/>
      <c r="AJ21" s="78"/>
      <c r="AK21" s="71"/>
    </row>
    <row r="22" spans="1:37" ht="32.25" customHeight="1" thickBot="1" x14ac:dyDescent="0.25">
      <c r="A22" s="5"/>
      <c r="B22" s="7">
        <f t="shared" si="6"/>
        <v>43934</v>
      </c>
      <c r="C22" s="8"/>
      <c r="D22" s="109">
        <f>'Suivi EAU-ELEC'!C28</f>
        <v>150</v>
      </c>
      <c r="E22" s="111"/>
      <c r="F22" s="235">
        <f t="shared" si="0"/>
        <v>1900.5</v>
      </c>
      <c r="G22" s="235"/>
      <c r="H22" s="236"/>
      <c r="I22" s="92"/>
      <c r="J22" s="116">
        <f>'Suivi EAU-ELEC'!E28</f>
        <v>1070</v>
      </c>
      <c r="K22" s="117">
        <f>'Suivi EAU-ELEC'!G28</f>
        <v>1619</v>
      </c>
      <c r="L22" s="117">
        <f>'Suivi EAU-ELEC'!I28</f>
        <v>708</v>
      </c>
      <c r="M22" s="118">
        <f t="shared" si="1"/>
        <v>3397</v>
      </c>
      <c r="N22" s="91"/>
      <c r="O22" s="94">
        <f t="shared" si="2"/>
        <v>3403.7939999999999</v>
      </c>
      <c r="P22" s="90"/>
      <c r="Q22" s="89"/>
      <c r="R22" s="88"/>
      <c r="S22" s="89"/>
      <c r="T22" s="96"/>
      <c r="U22" s="95">
        <f>'Suvi Gaz'!O23</f>
        <v>0</v>
      </c>
      <c r="V22" s="92"/>
      <c r="W22" s="94">
        <f t="shared" si="3"/>
        <v>0</v>
      </c>
      <c r="X22" s="131">
        <v>17028.32</v>
      </c>
      <c r="Y22" s="98">
        <f t="shared" si="4"/>
        <v>0</v>
      </c>
      <c r="Z22" s="99">
        <f t="shared" si="5"/>
        <v>0</v>
      </c>
      <c r="AA22" s="92"/>
      <c r="AB22" s="114">
        <v>18</v>
      </c>
      <c r="AC22" s="125">
        <v>0</v>
      </c>
      <c r="AD22" s="123">
        <v>0</v>
      </c>
      <c r="AE22" s="130" t="s">
        <v>82</v>
      </c>
      <c r="AF22" s="130" t="s">
        <v>82</v>
      </c>
      <c r="AG22" s="128" t="s">
        <v>82</v>
      </c>
      <c r="AH22" s="129" t="s">
        <v>82</v>
      </c>
      <c r="AI22" s="71"/>
      <c r="AJ22" s="78"/>
      <c r="AK22" s="71"/>
    </row>
    <row r="23" spans="1:37" ht="32.25" customHeight="1" thickBot="1" x14ac:dyDescent="0.25">
      <c r="A23" s="5"/>
      <c r="B23" s="7">
        <f>B22+1</f>
        <v>43935</v>
      </c>
      <c r="C23" s="8"/>
      <c r="D23" s="109">
        <f>'Suivi EAU-ELEC'!C29</f>
        <v>150</v>
      </c>
      <c r="E23" s="111"/>
      <c r="F23" s="235">
        <f t="shared" si="0"/>
        <v>1900.5</v>
      </c>
      <c r="G23" s="235"/>
      <c r="H23" s="236"/>
      <c r="I23" s="92"/>
      <c r="J23" s="116">
        <f>'Suivi EAU-ELEC'!E29</f>
        <v>1061</v>
      </c>
      <c r="K23" s="117">
        <f>'Suivi EAU-ELEC'!G29</f>
        <v>1684</v>
      </c>
      <c r="L23" s="117">
        <f>'Suivi EAU-ELEC'!I29</f>
        <v>674</v>
      </c>
      <c r="M23" s="118">
        <f t="shared" si="1"/>
        <v>3419</v>
      </c>
      <c r="N23" s="91"/>
      <c r="O23" s="94">
        <f t="shared" si="2"/>
        <v>3425.8380000000002</v>
      </c>
      <c r="P23" s="90"/>
      <c r="Q23" s="89"/>
      <c r="R23" s="88"/>
      <c r="S23" s="89"/>
      <c r="T23" s="96"/>
      <c r="U23" s="95">
        <f>'Suvi Gaz'!O24</f>
        <v>0</v>
      </c>
      <c r="V23" s="92"/>
      <c r="W23" s="94">
        <f t="shared" si="3"/>
        <v>0</v>
      </c>
      <c r="X23" s="131">
        <v>17028.32</v>
      </c>
      <c r="Y23" s="98">
        <f t="shared" si="4"/>
        <v>0</v>
      </c>
      <c r="Z23" s="99">
        <f t="shared" si="5"/>
        <v>0</v>
      </c>
      <c r="AA23" s="92"/>
      <c r="AB23" s="114">
        <v>21</v>
      </c>
      <c r="AC23" s="125">
        <v>0</v>
      </c>
      <c r="AD23" s="123">
        <v>0</v>
      </c>
      <c r="AE23" s="130" t="s">
        <v>82</v>
      </c>
      <c r="AF23" s="130" t="s">
        <v>82</v>
      </c>
      <c r="AG23" s="128" t="s">
        <v>82</v>
      </c>
      <c r="AH23" s="129" t="s">
        <v>82</v>
      </c>
      <c r="AI23" s="71"/>
      <c r="AJ23" s="78"/>
      <c r="AK23" s="71"/>
    </row>
    <row r="24" spans="1:37" ht="32.25" customHeight="1" thickBot="1" x14ac:dyDescent="0.25">
      <c r="A24" s="5"/>
      <c r="B24" s="7">
        <f t="shared" si="6"/>
        <v>43936</v>
      </c>
      <c r="C24" s="8"/>
      <c r="D24" s="109">
        <f>'Suivi EAU-ELEC'!C30</f>
        <v>190</v>
      </c>
      <c r="E24" s="111"/>
      <c r="F24" s="235">
        <f t="shared" si="0"/>
        <v>2407.3000000000002</v>
      </c>
      <c r="G24" s="235"/>
      <c r="H24" s="236"/>
      <c r="I24" s="92"/>
      <c r="J24" s="116">
        <f>'Suivi EAU-ELEC'!E30</f>
        <v>1081</v>
      </c>
      <c r="K24" s="117">
        <f>'Suivi EAU-ELEC'!G30</f>
        <v>1572</v>
      </c>
      <c r="L24" s="117">
        <f>'Suivi EAU-ELEC'!I30</f>
        <v>671</v>
      </c>
      <c r="M24" s="118">
        <f t="shared" si="1"/>
        <v>3324</v>
      </c>
      <c r="N24" s="91"/>
      <c r="O24" s="94">
        <f t="shared" si="2"/>
        <v>3330.6480000000001</v>
      </c>
      <c r="P24" s="90"/>
      <c r="Q24" s="89"/>
      <c r="R24" s="88"/>
      <c r="S24" s="89"/>
      <c r="T24" s="96"/>
      <c r="U24" s="95">
        <f>'Suvi Gaz'!O25</f>
        <v>0</v>
      </c>
      <c r="V24" s="92"/>
      <c r="W24" s="94">
        <f t="shared" si="3"/>
        <v>0</v>
      </c>
      <c r="X24" s="131">
        <v>17028.32</v>
      </c>
      <c r="Y24" s="98">
        <f t="shared" si="4"/>
        <v>0</v>
      </c>
      <c r="Z24" s="99">
        <f t="shared" si="5"/>
        <v>0</v>
      </c>
      <c r="AA24" s="92"/>
      <c r="AB24" s="114">
        <v>22</v>
      </c>
      <c r="AC24" s="125">
        <v>0</v>
      </c>
      <c r="AD24" s="123">
        <v>0</v>
      </c>
      <c r="AE24" s="130" t="s">
        <v>82</v>
      </c>
      <c r="AF24" s="130" t="s">
        <v>82</v>
      </c>
      <c r="AG24" s="128" t="s">
        <v>82</v>
      </c>
      <c r="AH24" s="129" t="s">
        <v>82</v>
      </c>
      <c r="AI24" s="71"/>
      <c r="AJ24" s="78"/>
      <c r="AK24" s="71"/>
    </row>
    <row r="25" spans="1:37" ht="32.25" customHeight="1" thickBot="1" x14ac:dyDescent="0.25">
      <c r="A25" s="5"/>
      <c r="B25" s="7">
        <f t="shared" si="6"/>
        <v>43937</v>
      </c>
      <c r="C25" s="8"/>
      <c r="D25" s="109">
        <f>'Suivi EAU-ELEC'!C31</f>
        <v>200</v>
      </c>
      <c r="E25" s="111"/>
      <c r="F25" s="235">
        <f t="shared" si="0"/>
        <v>2534</v>
      </c>
      <c r="G25" s="235"/>
      <c r="H25" s="236"/>
      <c r="I25" s="92"/>
      <c r="J25" s="116">
        <f>'Suivi EAU-ELEC'!E31</f>
        <v>1124</v>
      </c>
      <c r="K25" s="117">
        <f>'Suivi EAU-ELEC'!G31</f>
        <v>1546</v>
      </c>
      <c r="L25" s="117">
        <f>'Suivi EAU-ELEC'!I31</f>
        <v>692</v>
      </c>
      <c r="M25" s="118">
        <f t="shared" si="1"/>
        <v>3362</v>
      </c>
      <c r="N25" s="91"/>
      <c r="O25" s="94">
        <f t="shared" si="2"/>
        <v>3368.7240000000002</v>
      </c>
      <c r="P25" s="90"/>
      <c r="Q25" s="89"/>
      <c r="R25" s="88"/>
      <c r="S25" s="89"/>
      <c r="T25" s="96"/>
      <c r="U25" s="95">
        <f>'Suvi Gaz'!O26</f>
        <v>0</v>
      </c>
      <c r="V25" s="92"/>
      <c r="W25" s="94">
        <f t="shared" si="3"/>
        <v>0</v>
      </c>
      <c r="X25" s="131">
        <v>17028.32</v>
      </c>
      <c r="Y25" s="98">
        <f t="shared" si="4"/>
        <v>0</v>
      </c>
      <c r="Z25" s="99">
        <f t="shared" si="5"/>
        <v>0</v>
      </c>
      <c r="AA25" s="92"/>
      <c r="AB25" s="114">
        <v>24</v>
      </c>
      <c r="AC25" s="125">
        <v>0</v>
      </c>
      <c r="AD25" s="123">
        <v>0</v>
      </c>
      <c r="AE25" s="130" t="s">
        <v>82</v>
      </c>
      <c r="AF25" s="130" t="s">
        <v>82</v>
      </c>
      <c r="AG25" s="128" t="s">
        <v>82</v>
      </c>
      <c r="AH25" s="129" t="s">
        <v>82</v>
      </c>
      <c r="AI25" s="71"/>
      <c r="AJ25" s="145"/>
      <c r="AK25" s="71"/>
    </row>
    <row r="26" spans="1:37" ht="32.25" customHeight="1" thickBot="1" x14ac:dyDescent="0.25">
      <c r="A26" s="5"/>
      <c r="B26" s="7">
        <f t="shared" si="6"/>
        <v>43938</v>
      </c>
      <c r="C26" s="8"/>
      <c r="D26" s="109">
        <f>'Suivi EAU-ELEC'!C32</f>
        <v>200</v>
      </c>
      <c r="E26" s="112"/>
      <c r="F26" s="235">
        <f t="shared" si="0"/>
        <v>2534</v>
      </c>
      <c r="G26" s="235"/>
      <c r="H26" s="236"/>
      <c r="I26" s="92"/>
      <c r="J26" s="116">
        <f>'Suivi EAU-ELEC'!E32</f>
        <v>979</v>
      </c>
      <c r="K26" s="117">
        <f>'Suivi EAU-ELEC'!G32</f>
        <v>1620</v>
      </c>
      <c r="L26" s="117">
        <f>'Suivi EAU-ELEC'!I32</f>
        <v>689</v>
      </c>
      <c r="M26" s="118">
        <f t="shared" si="1"/>
        <v>3288</v>
      </c>
      <c r="N26" s="91"/>
      <c r="O26" s="94">
        <f t="shared" si="2"/>
        <v>3294.576</v>
      </c>
      <c r="P26" s="90"/>
      <c r="Q26" s="89"/>
      <c r="R26" s="88"/>
      <c r="S26" s="89"/>
      <c r="T26" s="96"/>
      <c r="U26" s="95">
        <f>'Suvi Gaz'!O27</f>
        <v>0</v>
      </c>
      <c r="V26" s="93"/>
      <c r="W26" s="94">
        <f t="shared" si="3"/>
        <v>0</v>
      </c>
      <c r="X26" s="131">
        <v>17028.32</v>
      </c>
      <c r="Y26" s="98">
        <f t="shared" si="4"/>
        <v>0</v>
      </c>
      <c r="Z26" s="99">
        <f t="shared" si="5"/>
        <v>0</v>
      </c>
      <c r="AA26" s="93"/>
      <c r="AB26" s="114">
        <v>22</v>
      </c>
      <c r="AC26" s="125">
        <v>0</v>
      </c>
      <c r="AD26" s="123">
        <v>0</v>
      </c>
      <c r="AE26" s="130" t="s">
        <v>82</v>
      </c>
      <c r="AF26" s="130" t="s">
        <v>82</v>
      </c>
      <c r="AG26" s="128" t="s">
        <v>82</v>
      </c>
      <c r="AH26" s="129" t="s">
        <v>82</v>
      </c>
      <c r="AI26" s="71"/>
      <c r="AJ26" s="145"/>
      <c r="AK26" s="71"/>
    </row>
    <row r="27" spans="1:37" ht="32.25" customHeight="1" thickBot="1" x14ac:dyDescent="0.25">
      <c r="A27" s="5"/>
      <c r="B27" s="7">
        <f>B26+1</f>
        <v>43939</v>
      </c>
      <c r="C27" s="8"/>
      <c r="D27" s="109">
        <f>'Suivi EAU-ELEC'!C33</f>
        <v>230</v>
      </c>
      <c r="E27" s="112"/>
      <c r="F27" s="235">
        <f t="shared" si="0"/>
        <v>2914.1</v>
      </c>
      <c r="G27" s="235"/>
      <c r="H27" s="236"/>
      <c r="I27" s="92"/>
      <c r="J27" s="116">
        <f>'Suivi EAU-ELEC'!E33</f>
        <v>1107</v>
      </c>
      <c r="K27" s="117">
        <f>'Suivi EAU-ELEC'!G33</f>
        <v>1526</v>
      </c>
      <c r="L27" s="117">
        <f>'Suivi EAU-ELEC'!I33</f>
        <v>673</v>
      </c>
      <c r="M27" s="118">
        <f t="shared" si="1"/>
        <v>3306</v>
      </c>
      <c r="N27" s="91"/>
      <c r="O27" s="94">
        <f>M27*1.002</f>
        <v>3312.6120000000001</v>
      </c>
      <c r="P27" s="90"/>
      <c r="Q27" s="89"/>
      <c r="R27" s="88"/>
      <c r="S27" s="89"/>
      <c r="T27" s="96"/>
      <c r="U27" s="95">
        <f>'Suvi Gaz'!O28</f>
        <v>37.1</v>
      </c>
      <c r="V27" s="93"/>
      <c r="W27" s="94">
        <f t="shared" si="3"/>
        <v>290.63398000000001</v>
      </c>
      <c r="X27" s="131">
        <v>17028.32</v>
      </c>
      <c r="Y27" s="98">
        <f t="shared" si="4"/>
        <v>0</v>
      </c>
      <c r="Z27" s="99">
        <f t="shared" si="5"/>
        <v>0</v>
      </c>
      <c r="AA27" s="93"/>
      <c r="AB27" s="114">
        <v>24</v>
      </c>
      <c r="AC27" s="125">
        <v>0</v>
      </c>
      <c r="AD27" s="123">
        <v>0</v>
      </c>
      <c r="AE27" s="130" t="s">
        <v>82</v>
      </c>
      <c r="AF27" s="130" t="s">
        <v>82</v>
      </c>
      <c r="AG27" s="128" t="s">
        <v>82</v>
      </c>
      <c r="AH27" s="129" t="s">
        <v>82</v>
      </c>
      <c r="AI27" s="71"/>
      <c r="AJ27" s="145"/>
      <c r="AK27" s="71"/>
    </row>
    <row r="28" spans="1:37" ht="32.25" customHeight="1" thickBot="1" x14ac:dyDescent="0.25">
      <c r="A28" s="5"/>
      <c r="B28" s="7">
        <f t="shared" si="6"/>
        <v>43940</v>
      </c>
      <c r="C28" s="8"/>
      <c r="D28" s="109">
        <f>'Suivi EAU-ELEC'!C34</f>
        <v>230</v>
      </c>
      <c r="E28" s="112"/>
      <c r="F28" s="235">
        <f t="shared" si="0"/>
        <v>2914.1</v>
      </c>
      <c r="G28" s="235"/>
      <c r="H28" s="236"/>
      <c r="I28" s="93"/>
      <c r="J28" s="116">
        <f>'Suivi EAU-ELEC'!E34</f>
        <v>859</v>
      </c>
      <c r="K28" s="117">
        <f>'Suivi EAU-ELEC'!G34</f>
        <v>1431</v>
      </c>
      <c r="L28" s="117">
        <f>'Suivi EAU-ELEC'!I34</f>
        <v>590</v>
      </c>
      <c r="M28" s="118">
        <f t="shared" si="1"/>
        <v>2880</v>
      </c>
      <c r="N28" s="91"/>
      <c r="O28" s="94">
        <f t="shared" si="2"/>
        <v>2885.76</v>
      </c>
      <c r="P28" s="90"/>
      <c r="Q28" s="89"/>
      <c r="R28" s="88"/>
      <c r="S28" s="89"/>
      <c r="T28" s="96"/>
      <c r="U28" s="95">
        <f>'Suvi Gaz'!O29</f>
        <v>0</v>
      </c>
      <c r="V28" s="93"/>
      <c r="W28" s="94">
        <f t="shared" si="3"/>
        <v>0</v>
      </c>
      <c r="X28" s="131">
        <v>17028.32</v>
      </c>
      <c r="Y28" s="98">
        <f t="shared" si="4"/>
        <v>0</v>
      </c>
      <c r="Z28" s="99">
        <f t="shared" si="5"/>
        <v>0</v>
      </c>
      <c r="AA28" s="93"/>
      <c r="AB28" s="114">
        <v>19</v>
      </c>
      <c r="AC28" s="125">
        <v>0</v>
      </c>
      <c r="AD28" s="123">
        <v>0</v>
      </c>
      <c r="AE28" s="130" t="s">
        <v>82</v>
      </c>
      <c r="AF28" s="130" t="s">
        <v>82</v>
      </c>
      <c r="AG28" s="128" t="s">
        <v>82</v>
      </c>
      <c r="AH28" s="129" t="s">
        <v>82</v>
      </c>
      <c r="AI28" s="71"/>
      <c r="AJ28" s="78"/>
      <c r="AK28" s="71"/>
    </row>
    <row r="29" spans="1:37" ht="32.25" customHeight="1" thickBot="1" x14ac:dyDescent="0.25">
      <c r="A29" s="5"/>
      <c r="B29" s="7">
        <f t="shared" si="6"/>
        <v>43941</v>
      </c>
      <c r="C29" s="8"/>
      <c r="D29" s="109">
        <f>'Suivi EAU-ELEC'!C35</f>
        <v>300</v>
      </c>
      <c r="E29" s="112"/>
      <c r="F29" s="235">
        <f t="shared" si="0"/>
        <v>3801</v>
      </c>
      <c r="G29" s="235"/>
      <c r="H29" s="236"/>
      <c r="I29" s="93"/>
      <c r="J29" s="116">
        <f>'Suivi EAU-ELEC'!E35</f>
        <v>962</v>
      </c>
      <c r="K29" s="117">
        <f>'Suivi EAU-ELEC'!G35</f>
        <v>1405</v>
      </c>
      <c r="L29" s="117">
        <f>'Suivi EAU-ELEC'!I35</f>
        <v>630</v>
      </c>
      <c r="M29" s="118">
        <f t="shared" si="1"/>
        <v>2997</v>
      </c>
      <c r="N29" s="91"/>
      <c r="O29" s="94">
        <f t="shared" si="2"/>
        <v>3002.9940000000001</v>
      </c>
      <c r="P29" s="90"/>
      <c r="Q29" s="89"/>
      <c r="R29" s="88"/>
      <c r="S29" s="89"/>
      <c r="T29" s="96"/>
      <c r="U29" s="95">
        <f>'Suvi Gaz'!O30</f>
        <v>0</v>
      </c>
      <c r="V29" s="93"/>
      <c r="W29" s="94">
        <f t="shared" si="3"/>
        <v>0</v>
      </c>
      <c r="X29" s="131">
        <v>17028.32</v>
      </c>
      <c r="Y29" s="98">
        <f t="shared" si="4"/>
        <v>0</v>
      </c>
      <c r="Z29" s="99">
        <f t="shared" si="5"/>
        <v>0</v>
      </c>
      <c r="AA29" s="93"/>
      <c r="AB29" s="114">
        <v>21</v>
      </c>
      <c r="AC29" s="125">
        <v>0</v>
      </c>
      <c r="AD29" s="123">
        <v>0</v>
      </c>
      <c r="AE29" s="130" t="s">
        <v>82</v>
      </c>
      <c r="AF29" s="130" t="s">
        <v>82</v>
      </c>
      <c r="AG29" s="128" t="s">
        <v>82</v>
      </c>
      <c r="AH29" s="129" t="s">
        <v>82</v>
      </c>
      <c r="AI29" s="71"/>
      <c r="AJ29" s="78"/>
      <c r="AK29" s="71"/>
    </row>
    <row r="30" spans="1:37" s="68" customFormat="1" ht="32.25" customHeight="1" thickBot="1" x14ac:dyDescent="0.25">
      <c r="A30" s="65"/>
      <c r="B30" s="66">
        <f t="shared" si="6"/>
        <v>43942</v>
      </c>
      <c r="C30" s="67"/>
      <c r="D30" s="109">
        <f>'Suivi EAU-ELEC'!C36</f>
        <v>160</v>
      </c>
      <c r="E30" s="112"/>
      <c r="F30" s="235">
        <f t="shared" si="0"/>
        <v>2027.2</v>
      </c>
      <c r="G30" s="235"/>
      <c r="H30" s="236"/>
      <c r="I30" s="93"/>
      <c r="J30" s="116">
        <f>'Suivi EAU-ELEC'!E36</f>
        <v>994</v>
      </c>
      <c r="K30" s="117">
        <f>'Suivi EAU-ELEC'!G36</f>
        <v>1457</v>
      </c>
      <c r="L30" s="117">
        <f>'Suivi EAU-ELEC'!I36</f>
        <v>616</v>
      </c>
      <c r="M30" s="118">
        <f t="shared" si="1"/>
        <v>3067</v>
      </c>
      <c r="N30" s="91"/>
      <c r="O30" s="94">
        <f t="shared" si="2"/>
        <v>3073.134</v>
      </c>
      <c r="P30" s="90"/>
      <c r="Q30" s="89"/>
      <c r="R30" s="88"/>
      <c r="S30" s="89"/>
      <c r="T30" s="96"/>
      <c r="U30" s="95">
        <f>'Suvi Gaz'!O31</f>
        <v>0</v>
      </c>
      <c r="V30" s="93"/>
      <c r="W30" s="94">
        <f t="shared" si="3"/>
        <v>0</v>
      </c>
      <c r="X30" s="157">
        <v>17028.32</v>
      </c>
      <c r="Y30" s="98">
        <f t="shared" si="4"/>
        <v>0</v>
      </c>
      <c r="Z30" s="99">
        <f t="shared" si="5"/>
        <v>0</v>
      </c>
      <c r="AA30" s="93"/>
      <c r="AB30" s="158">
        <v>19</v>
      </c>
      <c r="AC30" s="159">
        <v>0</v>
      </c>
      <c r="AD30" s="160">
        <v>0</v>
      </c>
      <c r="AE30" s="163" t="s">
        <v>82</v>
      </c>
      <c r="AF30" s="163" t="s">
        <v>82</v>
      </c>
      <c r="AG30" s="161" t="s">
        <v>82</v>
      </c>
      <c r="AH30" s="162" t="s">
        <v>82</v>
      </c>
      <c r="AI30" s="71"/>
      <c r="AJ30" s="78"/>
      <c r="AK30" s="71"/>
    </row>
    <row r="31" spans="1:37" ht="32.25" customHeight="1" thickBot="1" x14ac:dyDescent="0.25">
      <c r="A31" s="5"/>
      <c r="B31" s="64">
        <f t="shared" si="6"/>
        <v>43943</v>
      </c>
      <c r="C31" s="8"/>
      <c r="D31" s="109">
        <f>'Suivi EAU-ELEC'!C37</f>
        <v>120</v>
      </c>
      <c r="E31" s="88"/>
      <c r="F31" s="235">
        <f t="shared" si="0"/>
        <v>1520.4</v>
      </c>
      <c r="G31" s="235"/>
      <c r="H31" s="236"/>
      <c r="I31" s="91"/>
      <c r="J31" s="116">
        <f>'Suivi EAU-ELEC'!E37</f>
        <v>942</v>
      </c>
      <c r="K31" s="117">
        <f>'Suivi EAU-ELEC'!G37</f>
        <v>1604</v>
      </c>
      <c r="L31" s="117">
        <f>'Suivi EAU-ELEC'!I37</f>
        <v>603</v>
      </c>
      <c r="M31" s="118">
        <f t="shared" si="1"/>
        <v>3149</v>
      </c>
      <c r="N31" s="91"/>
      <c r="O31" s="94">
        <f t="shared" si="2"/>
        <v>3155.2980000000002</v>
      </c>
      <c r="P31" s="90"/>
      <c r="Q31" s="89"/>
      <c r="R31" s="88"/>
      <c r="S31" s="89"/>
      <c r="T31" s="96"/>
      <c r="U31" s="95">
        <f>'Suvi Gaz'!O32</f>
        <v>0</v>
      </c>
      <c r="V31" s="91"/>
      <c r="W31" s="94">
        <f t="shared" si="3"/>
        <v>0</v>
      </c>
      <c r="X31" s="157">
        <v>17028.32</v>
      </c>
      <c r="Y31" s="144">
        <f t="shared" si="4"/>
        <v>0</v>
      </c>
      <c r="Z31" s="99">
        <f t="shared" si="5"/>
        <v>0</v>
      </c>
      <c r="AA31" s="91"/>
      <c r="AB31" s="158">
        <v>22</v>
      </c>
      <c r="AC31" s="159">
        <v>0</v>
      </c>
      <c r="AD31" s="160">
        <v>0</v>
      </c>
      <c r="AE31" s="163" t="s">
        <v>82</v>
      </c>
      <c r="AF31" s="163" t="s">
        <v>82</v>
      </c>
      <c r="AG31" s="161" t="s">
        <v>82</v>
      </c>
      <c r="AH31" s="162" t="s">
        <v>82</v>
      </c>
      <c r="AI31" s="71"/>
      <c r="AJ31" s="78"/>
      <c r="AK31" s="71"/>
    </row>
    <row r="32" spans="1:37" ht="32.25" customHeight="1" thickBot="1" x14ac:dyDescent="0.25">
      <c r="A32" s="5"/>
      <c r="B32" s="7">
        <f t="shared" si="6"/>
        <v>43944</v>
      </c>
      <c r="C32" s="8"/>
      <c r="D32" s="109">
        <f>'Suivi EAU-ELEC'!C38</f>
        <v>130</v>
      </c>
      <c r="E32" s="88"/>
      <c r="F32" s="235">
        <f t="shared" si="0"/>
        <v>1647.1</v>
      </c>
      <c r="G32" s="235"/>
      <c r="H32" s="236"/>
      <c r="I32" s="91"/>
      <c r="J32" s="116">
        <f>'Suivi EAU-ELEC'!E38</f>
        <v>1101</v>
      </c>
      <c r="K32" s="117">
        <f>'Suivi EAU-ELEC'!G38</f>
        <v>1602</v>
      </c>
      <c r="L32" s="117">
        <f>'Suivi EAU-ELEC'!I38</f>
        <v>691</v>
      </c>
      <c r="M32" s="118">
        <f t="shared" si="1"/>
        <v>3394</v>
      </c>
      <c r="N32" s="91"/>
      <c r="O32" s="94">
        <f t="shared" si="2"/>
        <v>3400.788</v>
      </c>
      <c r="P32" s="90"/>
      <c r="Q32" s="89"/>
      <c r="R32" s="88"/>
      <c r="S32" s="89"/>
      <c r="T32" s="96"/>
      <c r="U32" s="95">
        <f>'Suvi Gaz'!O33</f>
        <v>0</v>
      </c>
      <c r="V32" s="91"/>
      <c r="W32" s="94">
        <f t="shared" si="3"/>
        <v>0</v>
      </c>
      <c r="X32" s="157">
        <v>17028.32</v>
      </c>
      <c r="Y32" s="98">
        <f t="shared" si="4"/>
        <v>0</v>
      </c>
      <c r="Z32" s="99">
        <f t="shared" si="5"/>
        <v>0</v>
      </c>
      <c r="AA32" s="91"/>
      <c r="AB32" s="158">
        <v>21</v>
      </c>
      <c r="AC32" s="159">
        <v>0</v>
      </c>
      <c r="AD32" s="160">
        <v>0</v>
      </c>
      <c r="AE32" s="163" t="s">
        <v>82</v>
      </c>
      <c r="AF32" s="163" t="s">
        <v>82</v>
      </c>
      <c r="AG32" s="161" t="s">
        <v>82</v>
      </c>
      <c r="AH32" s="162" t="s">
        <v>82</v>
      </c>
      <c r="AI32" s="71"/>
      <c r="AJ32" s="78"/>
      <c r="AK32" s="71"/>
    </row>
    <row r="33" spans="1:37" ht="32.25" customHeight="1" thickBot="1" x14ac:dyDescent="0.25">
      <c r="A33" s="5"/>
      <c r="B33" s="7">
        <f t="shared" si="6"/>
        <v>43945</v>
      </c>
      <c r="C33" s="8"/>
      <c r="D33" s="109">
        <f>'Suivi EAU-ELEC'!C39</f>
        <v>120</v>
      </c>
      <c r="E33" s="88"/>
      <c r="F33" s="235">
        <f t="shared" si="0"/>
        <v>1520.4</v>
      </c>
      <c r="G33" s="235"/>
      <c r="H33" s="236"/>
      <c r="I33" s="91"/>
      <c r="J33" s="116">
        <f>'Suivi EAU-ELEC'!E39</f>
        <v>886</v>
      </c>
      <c r="K33" s="117">
        <f>'Suivi EAU-ELEC'!G39</f>
        <v>1528</v>
      </c>
      <c r="L33" s="117">
        <f>'Suivi EAU-ELEC'!I39</f>
        <v>621</v>
      </c>
      <c r="M33" s="118">
        <f t="shared" si="1"/>
        <v>3035</v>
      </c>
      <c r="N33" s="91"/>
      <c r="O33" s="94">
        <f t="shared" si="2"/>
        <v>3041.07</v>
      </c>
      <c r="P33" s="90"/>
      <c r="Q33" s="89"/>
      <c r="R33" s="88"/>
      <c r="S33" s="89"/>
      <c r="T33" s="96"/>
      <c r="U33" s="95">
        <f>'Suvi Gaz'!O34</f>
        <v>0</v>
      </c>
      <c r="V33" s="91"/>
      <c r="W33" s="94">
        <f t="shared" si="3"/>
        <v>0</v>
      </c>
      <c r="X33" s="157">
        <v>17028.32</v>
      </c>
      <c r="Y33" s="98">
        <f t="shared" si="4"/>
        <v>0</v>
      </c>
      <c r="Z33" s="99">
        <f t="shared" si="5"/>
        <v>0</v>
      </c>
      <c r="AA33" s="91"/>
      <c r="AB33" s="158">
        <v>17</v>
      </c>
      <c r="AC33" s="159">
        <v>0</v>
      </c>
      <c r="AD33" s="160">
        <v>0</v>
      </c>
      <c r="AE33" s="163" t="s">
        <v>82</v>
      </c>
      <c r="AF33" s="163" t="s">
        <v>82</v>
      </c>
      <c r="AG33" s="161" t="s">
        <v>82</v>
      </c>
      <c r="AH33" s="162" t="s">
        <v>82</v>
      </c>
      <c r="AI33" s="71"/>
      <c r="AJ33" s="78"/>
      <c r="AK33" s="71"/>
    </row>
    <row r="34" spans="1:37" ht="32.25" customHeight="1" thickBot="1" x14ac:dyDescent="0.25">
      <c r="A34" s="69"/>
      <c r="B34" s="7">
        <f t="shared" si="6"/>
        <v>43946</v>
      </c>
      <c r="C34" s="8"/>
      <c r="D34" s="109">
        <f>'Suivi EAU-ELEC'!C40</f>
        <v>120</v>
      </c>
      <c r="E34" s="88"/>
      <c r="F34" s="235">
        <f t="shared" si="0"/>
        <v>1520.4</v>
      </c>
      <c r="G34" s="235"/>
      <c r="H34" s="236"/>
      <c r="I34" s="91"/>
      <c r="J34" s="116">
        <f>'Suivi EAU-ELEC'!E40</f>
        <v>1000</v>
      </c>
      <c r="K34" s="117">
        <f>'Suivi EAU-ELEC'!G40</f>
        <v>1311</v>
      </c>
      <c r="L34" s="117">
        <f>'Suivi EAU-ELEC'!I40</f>
        <v>561</v>
      </c>
      <c r="M34" s="118">
        <f t="shared" si="1"/>
        <v>2872</v>
      </c>
      <c r="N34" s="91"/>
      <c r="O34" s="94">
        <f t="shared" si="2"/>
        <v>2877.7440000000001</v>
      </c>
      <c r="P34" s="90"/>
      <c r="Q34" s="89"/>
      <c r="R34" s="88"/>
      <c r="S34" s="89"/>
      <c r="T34" s="96"/>
      <c r="U34" s="95">
        <f>'Suvi Gaz'!O35</f>
        <v>37.1</v>
      </c>
      <c r="V34" s="91"/>
      <c r="W34" s="94">
        <f t="shared" si="3"/>
        <v>290.63398000000001</v>
      </c>
      <c r="X34" s="157">
        <v>17028.32</v>
      </c>
      <c r="Y34" s="98">
        <f t="shared" si="4"/>
        <v>0</v>
      </c>
      <c r="Z34" s="99">
        <f t="shared" si="5"/>
        <v>0</v>
      </c>
      <c r="AA34" s="91"/>
      <c r="AB34" s="158">
        <v>18</v>
      </c>
      <c r="AC34" s="159">
        <v>0</v>
      </c>
      <c r="AD34" s="160">
        <v>0</v>
      </c>
      <c r="AE34" s="163" t="s">
        <v>82</v>
      </c>
      <c r="AF34" s="163" t="s">
        <v>82</v>
      </c>
      <c r="AG34" s="161" t="s">
        <v>82</v>
      </c>
      <c r="AH34" s="162" t="s">
        <v>82</v>
      </c>
      <c r="AI34" s="71"/>
      <c r="AJ34" s="78"/>
      <c r="AK34" s="71"/>
    </row>
    <row r="35" spans="1:37" ht="32.25" customHeight="1" thickBot="1" x14ac:dyDescent="0.25">
      <c r="A35" s="5"/>
      <c r="B35" s="7">
        <f t="shared" si="6"/>
        <v>43947</v>
      </c>
      <c r="C35" s="8"/>
      <c r="D35" s="109">
        <f>'Suivi EAU-ELEC'!C41</f>
        <v>120</v>
      </c>
      <c r="E35" s="88"/>
      <c r="F35" s="235">
        <f t="shared" si="0"/>
        <v>1520.4</v>
      </c>
      <c r="G35" s="235"/>
      <c r="H35" s="236"/>
      <c r="I35" s="91"/>
      <c r="J35" s="116">
        <f>'Suivi EAU-ELEC'!E41</f>
        <v>872</v>
      </c>
      <c r="K35" s="117">
        <f>'Suivi EAU-ELEC'!G41</f>
        <v>1266</v>
      </c>
      <c r="L35" s="117">
        <f>'Suivi EAU-ELEC'!I41</f>
        <v>558</v>
      </c>
      <c r="M35" s="118">
        <f t="shared" si="1"/>
        <v>2696</v>
      </c>
      <c r="N35" s="91"/>
      <c r="O35" s="94">
        <f t="shared" si="2"/>
        <v>2701.3919999999998</v>
      </c>
      <c r="P35" s="90"/>
      <c r="Q35" s="89"/>
      <c r="R35" s="88"/>
      <c r="S35" s="89"/>
      <c r="T35" s="96"/>
      <c r="U35" s="95">
        <f>'Suvi Gaz'!O36</f>
        <v>0</v>
      </c>
      <c r="V35" s="91"/>
      <c r="W35" s="94">
        <f t="shared" si="3"/>
        <v>0</v>
      </c>
      <c r="X35" s="157">
        <v>17028.32</v>
      </c>
      <c r="Y35" s="98">
        <f t="shared" si="4"/>
        <v>0</v>
      </c>
      <c r="Z35" s="99">
        <f t="shared" si="5"/>
        <v>0</v>
      </c>
      <c r="AA35" s="91"/>
      <c r="AB35" s="158">
        <v>19</v>
      </c>
      <c r="AC35" s="159">
        <v>0</v>
      </c>
      <c r="AD35" s="160">
        <v>0</v>
      </c>
      <c r="AE35" s="163" t="s">
        <v>82</v>
      </c>
      <c r="AF35" s="163" t="s">
        <v>82</v>
      </c>
      <c r="AG35" s="161" t="s">
        <v>82</v>
      </c>
      <c r="AH35" s="162" t="s">
        <v>82</v>
      </c>
      <c r="AI35" s="71"/>
      <c r="AJ35" s="78"/>
      <c r="AK35" s="71"/>
    </row>
    <row r="36" spans="1:37" ht="32.25" customHeight="1" thickBot="1" x14ac:dyDescent="0.25">
      <c r="A36" s="5"/>
      <c r="B36" s="7">
        <f t="shared" si="6"/>
        <v>43948</v>
      </c>
      <c r="C36" s="8"/>
      <c r="D36" s="109">
        <f>'Suivi EAU-ELEC'!C42</f>
        <v>120</v>
      </c>
      <c r="E36" s="88"/>
      <c r="F36" s="235">
        <f t="shared" si="0"/>
        <v>1520.4</v>
      </c>
      <c r="G36" s="235"/>
      <c r="H36" s="236"/>
      <c r="I36" s="91"/>
      <c r="J36" s="116">
        <f>'Suivi EAU-ELEC'!E42</f>
        <v>915</v>
      </c>
      <c r="K36" s="117">
        <f>'Suivi EAU-ELEC'!G42</f>
        <v>1330</v>
      </c>
      <c r="L36" s="117">
        <f>'Suivi EAU-ELEC'!I42</f>
        <v>571</v>
      </c>
      <c r="M36" s="118">
        <f t="shared" si="1"/>
        <v>2816</v>
      </c>
      <c r="N36" s="91"/>
      <c r="O36" s="94">
        <f t="shared" si="2"/>
        <v>2821.6320000000001</v>
      </c>
      <c r="P36" s="90"/>
      <c r="Q36" s="89"/>
      <c r="R36" s="88"/>
      <c r="S36" s="89"/>
      <c r="T36" s="96"/>
      <c r="U36" s="95">
        <f>'Suvi Gaz'!O37</f>
        <v>0</v>
      </c>
      <c r="V36" s="91"/>
      <c r="W36" s="94">
        <f t="shared" si="3"/>
        <v>0</v>
      </c>
      <c r="X36" s="157">
        <v>17028.32</v>
      </c>
      <c r="Y36" s="98">
        <f t="shared" si="4"/>
        <v>0</v>
      </c>
      <c r="Z36" s="99">
        <f t="shared" si="5"/>
        <v>0</v>
      </c>
      <c r="AA36" s="91"/>
      <c r="AB36" s="158">
        <v>22</v>
      </c>
      <c r="AC36" s="159">
        <v>0</v>
      </c>
      <c r="AD36" s="160">
        <v>0</v>
      </c>
      <c r="AE36" s="163" t="s">
        <v>82</v>
      </c>
      <c r="AF36" s="163" t="s">
        <v>82</v>
      </c>
      <c r="AG36" s="161" t="s">
        <v>82</v>
      </c>
      <c r="AH36" s="162" t="s">
        <v>82</v>
      </c>
      <c r="AI36" s="71"/>
      <c r="AJ36" s="78"/>
      <c r="AK36" s="71"/>
    </row>
    <row r="37" spans="1:37" ht="32.25" customHeight="1" thickBot="1" x14ac:dyDescent="0.25">
      <c r="A37" s="5"/>
      <c r="B37" s="7">
        <f t="shared" si="6"/>
        <v>43949</v>
      </c>
      <c r="C37" s="8"/>
      <c r="D37" s="109">
        <f>'Suivi EAU-ELEC'!C43</f>
        <v>110</v>
      </c>
      <c r="E37" s="88"/>
      <c r="F37" s="235">
        <f t="shared" si="0"/>
        <v>1393.7</v>
      </c>
      <c r="G37" s="235"/>
      <c r="H37" s="236"/>
      <c r="I37" s="91"/>
      <c r="J37" s="116">
        <f>'Suivi EAU-ELEC'!E43</f>
        <v>891</v>
      </c>
      <c r="K37" s="117">
        <f>'Suivi EAU-ELEC'!G43</f>
        <v>1326</v>
      </c>
      <c r="L37" s="117">
        <f>'Suivi EAU-ELEC'!I43</f>
        <v>563</v>
      </c>
      <c r="M37" s="118">
        <f t="shared" si="1"/>
        <v>2780</v>
      </c>
      <c r="N37" s="91"/>
      <c r="O37" s="94">
        <f t="shared" si="2"/>
        <v>2785.56</v>
      </c>
      <c r="P37" s="90"/>
      <c r="Q37" s="89"/>
      <c r="R37" s="88"/>
      <c r="S37" s="89"/>
      <c r="T37" s="96"/>
      <c r="U37" s="95">
        <f>'Suvi Gaz'!O38</f>
        <v>0</v>
      </c>
      <c r="V37" s="91"/>
      <c r="W37" s="94">
        <f t="shared" si="3"/>
        <v>0</v>
      </c>
      <c r="X37" s="157">
        <v>17028.32</v>
      </c>
      <c r="Y37" s="98">
        <f t="shared" si="4"/>
        <v>0</v>
      </c>
      <c r="Z37" s="99">
        <f t="shared" si="5"/>
        <v>0</v>
      </c>
      <c r="AA37" s="91"/>
      <c r="AB37" s="158">
        <v>20</v>
      </c>
      <c r="AC37" s="159">
        <v>0</v>
      </c>
      <c r="AD37" s="160">
        <v>0</v>
      </c>
      <c r="AE37" s="163" t="s">
        <v>82</v>
      </c>
      <c r="AF37" s="163" t="s">
        <v>82</v>
      </c>
      <c r="AG37" s="161" t="s">
        <v>82</v>
      </c>
      <c r="AH37" s="162" t="s">
        <v>82</v>
      </c>
      <c r="AI37" s="71"/>
      <c r="AJ37" s="78"/>
      <c r="AK37" s="71"/>
    </row>
    <row r="38" spans="1:37" ht="32.25" customHeight="1" thickBot="1" x14ac:dyDescent="0.25">
      <c r="A38" s="5"/>
      <c r="B38" s="7">
        <f t="shared" si="6"/>
        <v>43950</v>
      </c>
      <c r="C38" s="8"/>
      <c r="D38" s="109">
        <f>'Suivi EAU-ELEC'!C44</f>
        <v>140</v>
      </c>
      <c r="E38" s="88"/>
      <c r="F38" s="235">
        <f t="shared" si="0"/>
        <v>1773.8</v>
      </c>
      <c r="G38" s="235"/>
      <c r="H38" s="236"/>
      <c r="I38" s="91"/>
      <c r="J38" s="116">
        <f>'Suivi EAU-ELEC'!E44</f>
        <v>1054</v>
      </c>
      <c r="K38" s="117">
        <f>'Suivi EAU-ELEC'!G44</f>
        <v>1434</v>
      </c>
      <c r="L38" s="117">
        <f>'Suivi EAU-ELEC'!I44</f>
        <v>666</v>
      </c>
      <c r="M38" s="118">
        <f t="shared" si="1"/>
        <v>3154</v>
      </c>
      <c r="N38" s="91"/>
      <c r="O38" s="94">
        <f t="shared" si="2"/>
        <v>3160.308</v>
      </c>
      <c r="P38" s="90"/>
      <c r="Q38" s="89"/>
      <c r="R38" s="88"/>
      <c r="S38" s="89"/>
      <c r="T38" s="96"/>
      <c r="U38" s="95">
        <f>'Suvi Gaz'!O39</f>
        <v>0</v>
      </c>
      <c r="V38" s="91"/>
      <c r="W38" s="94">
        <f t="shared" si="3"/>
        <v>0</v>
      </c>
      <c r="X38" s="157">
        <v>17028.32</v>
      </c>
      <c r="Y38" s="98">
        <f t="shared" si="4"/>
        <v>0</v>
      </c>
      <c r="Z38" s="99">
        <f t="shared" si="5"/>
        <v>0</v>
      </c>
      <c r="AA38" s="91"/>
      <c r="AB38" s="158">
        <v>22</v>
      </c>
      <c r="AC38" s="159">
        <v>0</v>
      </c>
      <c r="AD38" s="160">
        <v>0</v>
      </c>
      <c r="AE38" s="163" t="s">
        <v>82</v>
      </c>
      <c r="AF38" s="163" t="s">
        <v>82</v>
      </c>
      <c r="AG38" s="161" t="s">
        <v>82</v>
      </c>
      <c r="AH38" s="162" t="s">
        <v>82</v>
      </c>
      <c r="AI38" s="71"/>
      <c r="AJ38" s="78"/>
      <c r="AK38" s="71"/>
    </row>
    <row r="39" spans="1:37" ht="32.25" customHeight="1" thickBot="1" x14ac:dyDescent="0.25">
      <c r="A39" s="5"/>
      <c r="B39" s="7">
        <f t="shared" si="6"/>
        <v>43951</v>
      </c>
      <c r="C39" s="8"/>
      <c r="D39" s="109">
        <f>'Suivi EAU-ELEC'!C45</f>
        <v>0</v>
      </c>
      <c r="E39" s="88"/>
      <c r="F39" s="235">
        <f t="shared" si="0"/>
        <v>0</v>
      </c>
      <c r="G39" s="235"/>
      <c r="H39" s="236"/>
      <c r="I39" s="91"/>
      <c r="J39" s="116">
        <f>'Suivi EAU-ELEC'!E45</f>
        <v>0</v>
      </c>
      <c r="K39" s="117">
        <f>'Suivi EAU-ELEC'!G45</f>
        <v>0</v>
      </c>
      <c r="L39" s="117">
        <f>'Suivi EAU-ELEC'!I45</f>
        <v>0</v>
      </c>
      <c r="M39" s="118">
        <f t="shared" si="1"/>
        <v>0</v>
      </c>
      <c r="N39" s="91"/>
      <c r="O39" s="94">
        <f t="shared" si="2"/>
        <v>0</v>
      </c>
      <c r="P39" s="90"/>
      <c r="Q39" s="89"/>
      <c r="R39" s="88"/>
      <c r="S39" s="89"/>
      <c r="T39" s="96"/>
      <c r="U39" s="95">
        <f>'Suvi Gaz'!O40</f>
        <v>0</v>
      </c>
      <c r="V39" s="91"/>
      <c r="W39" s="94">
        <f t="shared" si="3"/>
        <v>0</v>
      </c>
      <c r="X39" s="157">
        <v>17028.32</v>
      </c>
      <c r="Y39" s="98">
        <f t="shared" si="4"/>
        <v>0</v>
      </c>
      <c r="Z39" s="99">
        <f t="shared" si="5"/>
        <v>0</v>
      </c>
      <c r="AA39" s="91"/>
      <c r="AB39" s="114"/>
      <c r="AC39" s="125"/>
      <c r="AD39" s="123"/>
      <c r="AE39" s="130"/>
      <c r="AF39" s="130"/>
      <c r="AG39" s="128"/>
      <c r="AH39" s="129"/>
      <c r="AI39" s="71"/>
      <c r="AJ39" s="78"/>
      <c r="AK39" s="71"/>
    </row>
    <row r="40" spans="1:37" ht="32.25" customHeight="1" thickBot="1" x14ac:dyDescent="0.25">
      <c r="A40" s="5"/>
      <c r="B40" s="7">
        <f t="shared" si="6"/>
        <v>43952</v>
      </c>
      <c r="C40" s="8"/>
      <c r="D40" s="109">
        <f>'Suivi EAU-ELEC'!C46</f>
        <v>0</v>
      </c>
      <c r="E40" s="113"/>
      <c r="F40" s="235">
        <f t="shared" si="0"/>
        <v>0</v>
      </c>
      <c r="G40" s="235"/>
      <c r="H40" s="236"/>
      <c r="I40" s="91"/>
      <c r="J40" s="116">
        <f>'Suivi EAU-ELEC'!E46</f>
        <v>0</v>
      </c>
      <c r="K40" s="117">
        <f>'Suivi EAU-ELEC'!G46</f>
        <v>0</v>
      </c>
      <c r="L40" s="117">
        <f>'Suivi EAU-ELEC'!I46</f>
        <v>0</v>
      </c>
      <c r="M40" s="118">
        <f t="shared" si="1"/>
        <v>0</v>
      </c>
      <c r="N40" s="91"/>
      <c r="O40" s="94">
        <f t="shared" si="2"/>
        <v>0</v>
      </c>
      <c r="P40" s="90"/>
      <c r="Q40" s="89"/>
      <c r="R40" s="88"/>
      <c r="S40" s="89"/>
      <c r="T40" s="96"/>
      <c r="U40" s="95">
        <f>'Suvi Gaz'!O41</f>
        <v>0</v>
      </c>
      <c r="V40" s="91"/>
      <c r="W40" s="94">
        <f t="shared" si="3"/>
        <v>0</v>
      </c>
      <c r="X40" s="127"/>
      <c r="Y40" s="119">
        <f t="shared" si="4"/>
        <v>0</v>
      </c>
      <c r="Z40" s="99">
        <f t="shared" si="5"/>
        <v>0</v>
      </c>
      <c r="AA40" s="91"/>
      <c r="AB40" s="122"/>
      <c r="AC40" s="125"/>
      <c r="AD40" s="123"/>
      <c r="AE40" s="130"/>
      <c r="AF40" s="130"/>
      <c r="AG40" s="128"/>
      <c r="AH40" s="129"/>
      <c r="AI40" s="71"/>
      <c r="AJ40" s="78"/>
      <c r="AK40" s="71"/>
    </row>
    <row r="41" spans="1:37" ht="44.25" customHeight="1" thickBot="1" x14ac:dyDescent="0.25">
      <c r="A41" s="5"/>
      <c r="B41" s="60"/>
      <c r="C41" s="15"/>
      <c r="D41" s="86">
        <f>SUM(D10:D39)</f>
        <v>5830</v>
      </c>
      <c r="E41" s="1"/>
      <c r="F41" s="198">
        <f>SUM(F10:H39)</f>
        <v>73866.099999999977</v>
      </c>
      <c r="G41" s="199"/>
      <c r="H41" s="200"/>
      <c r="I41" s="1"/>
      <c r="J41" s="86">
        <f>SUM(J10:J39)</f>
        <v>30465</v>
      </c>
      <c r="K41" s="86">
        <f t="shared" ref="K41:M41" si="7">SUM(K10:K39)</f>
        <v>45524</v>
      </c>
      <c r="L41" s="86">
        <f t="shared" si="7"/>
        <v>19582</v>
      </c>
      <c r="M41" s="86">
        <f t="shared" si="7"/>
        <v>95571</v>
      </c>
      <c r="N41" s="28"/>
      <c r="O41" s="198">
        <v>338168</v>
      </c>
      <c r="P41" s="199"/>
      <c r="Q41" s="200"/>
      <c r="R41" s="28"/>
      <c r="S41" s="87">
        <f>SUM(S10:S40)</f>
        <v>0</v>
      </c>
      <c r="T41" s="28"/>
      <c r="U41" s="86">
        <f t="shared" ref="U41" si="8">SUM(U10:U39)</f>
        <v>556.50000000000011</v>
      </c>
      <c r="V41" s="28"/>
      <c r="W41" s="86">
        <f t="shared" ref="W41" si="9">SUM(W10:W39)</f>
        <v>4359.5097000000005</v>
      </c>
      <c r="X41" s="124"/>
      <c r="Y41" s="86">
        <f t="shared" ref="Y41:Z41" si="10">SUM(Y10:Y39)</f>
        <v>0</v>
      </c>
      <c r="Z41" s="86">
        <f t="shared" si="10"/>
        <v>0</v>
      </c>
      <c r="AA41" s="1"/>
      <c r="AB41" s="140"/>
      <c r="AC41" s="142"/>
      <c r="AD41" s="141"/>
      <c r="AE41" s="139"/>
      <c r="AF41" s="139"/>
      <c r="AG41" s="143"/>
      <c r="AH41" s="143"/>
      <c r="AI41" s="138"/>
      <c r="AJ41" s="72"/>
      <c r="AK41" s="72"/>
    </row>
    <row r="42" spans="1:37" s="13" customFormat="1" ht="30.75" customHeight="1" thickBot="1" x14ac:dyDescent="0.25">
      <c r="A42" s="2"/>
      <c r="B42" s="2"/>
      <c r="C42" s="2"/>
      <c r="D42" s="2"/>
      <c r="E42" s="2"/>
      <c r="F42" s="237"/>
      <c r="G42" s="237"/>
      <c r="H42" s="237"/>
      <c r="I42" s="2"/>
      <c r="M42" s="1"/>
      <c r="N42" s="1"/>
      <c r="O42" s="2"/>
      <c r="P42" s="1"/>
      <c r="Q42" s="2"/>
      <c r="R42" s="1"/>
      <c r="S42" s="2"/>
      <c r="T42" s="1"/>
      <c r="U42" s="2"/>
      <c r="V42" s="1"/>
      <c r="W42" s="2"/>
      <c r="X42" s="6"/>
      <c r="Y42" s="6"/>
      <c r="Z42" s="2"/>
      <c r="AA42" s="2"/>
      <c r="AB42" s="2"/>
      <c r="AC42" s="2"/>
      <c r="AD42" s="22"/>
      <c r="AH42" s="115"/>
      <c r="AI42" s="73"/>
      <c r="AJ42" s="73"/>
      <c r="AK42" s="73"/>
    </row>
    <row r="43" spans="1:37" s="22" customFormat="1" ht="36.75" customHeight="1" thickBot="1" x14ac:dyDescent="0.25">
      <c r="A43" s="201" t="s">
        <v>10</v>
      </c>
      <c r="B43" s="202"/>
      <c r="C43" s="203"/>
      <c r="D43" s="19" t="s">
        <v>7</v>
      </c>
      <c r="E43" s="53"/>
      <c r="F43" s="20">
        <v>1.002</v>
      </c>
      <c r="G43" s="207">
        <f>J41</f>
        <v>30465</v>
      </c>
      <c r="H43" s="208"/>
      <c r="I43" s="209"/>
      <c r="J43" s="224">
        <f>G43*F43</f>
        <v>30525.93</v>
      </c>
      <c r="K43" s="225"/>
      <c r="L43" s="226">
        <f>J43+J44+J45</f>
        <v>95762.142000000007</v>
      </c>
      <c r="M43" s="227"/>
      <c r="N43" s="227"/>
      <c r="O43" s="227"/>
      <c r="P43" s="227"/>
      <c r="Q43" s="227"/>
      <c r="R43" s="227"/>
      <c r="S43" s="227"/>
      <c r="T43" s="227"/>
      <c r="U43" s="228"/>
      <c r="V43" s="9"/>
      <c r="W43" s="9"/>
      <c r="X43" s="2"/>
      <c r="Y43" s="9"/>
      <c r="Z43" s="9"/>
      <c r="AA43" s="21"/>
      <c r="AB43" s="9"/>
      <c r="AC43" s="62"/>
      <c r="AD43" s="9"/>
      <c r="AG43" s="13"/>
      <c r="AH43" s="115"/>
      <c r="AJ43" s="76"/>
      <c r="AK43" s="76"/>
    </row>
    <row r="44" spans="1:37" s="22" customFormat="1" ht="36.75" customHeight="1" thickBot="1" x14ac:dyDescent="0.25">
      <c r="A44" s="204"/>
      <c r="B44" s="205"/>
      <c r="C44" s="206"/>
      <c r="D44" s="17" t="s">
        <v>8</v>
      </c>
      <c r="E44" s="53"/>
      <c r="F44" s="20">
        <v>1.002</v>
      </c>
      <c r="G44" s="207">
        <f>K41</f>
        <v>45524</v>
      </c>
      <c r="H44" s="208"/>
      <c r="I44" s="209"/>
      <c r="J44" s="224">
        <f>G44*F44</f>
        <v>45615.048000000003</v>
      </c>
      <c r="K44" s="225"/>
      <c r="L44" s="229"/>
      <c r="M44" s="230"/>
      <c r="N44" s="230"/>
      <c r="O44" s="230"/>
      <c r="P44" s="230"/>
      <c r="Q44" s="230"/>
      <c r="R44" s="230"/>
      <c r="S44" s="230"/>
      <c r="T44" s="230"/>
      <c r="U44" s="231"/>
      <c r="V44" s="9"/>
      <c r="W44" s="9"/>
      <c r="X44" s="9"/>
      <c r="Y44" s="9"/>
      <c r="Z44" s="9"/>
      <c r="AA44" s="21"/>
      <c r="AB44" s="9"/>
      <c r="AC44" s="21"/>
      <c r="AD44" s="9"/>
      <c r="AE44" s="9"/>
      <c r="AF44" s="21"/>
      <c r="AG44" s="9"/>
      <c r="AH44" s="13"/>
      <c r="AK44" s="76"/>
    </row>
    <row r="45" spans="1:37" s="22" customFormat="1" ht="36.75" customHeight="1" thickBot="1" x14ac:dyDescent="0.25">
      <c r="A45" s="204"/>
      <c r="B45" s="205"/>
      <c r="C45" s="206"/>
      <c r="D45" s="23" t="s">
        <v>9</v>
      </c>
      <c r="E45" s="54"/>
      <c r="F45" s="20">
        <v>1.002</v>
      </c>
      <c r="G45" s="207">
        <f>L41</f>
        <v>19582</v>
      </c>
      <c r="H45" s="208"/>
      <c r="I45" s="209"/>
      <c r="J45" s="224">
        <f>G45*F45</f>
        <v>19621.164000000001</v>
      </c>
      <c r="K45" s="225"/>
      <c r="L45" s="232"/>
      <c r="M45" s="233"/>
      <c r="N45" s="233"/>
      <c r="O45" s="233"/>
      <c r="P45" s="233"/>
      <c r="Q45" s="233"/>
      <c r="R45" s="233"/>
      <c r="S45" s="233"/>
      <c r="T45" s="233"/>
      <c r="U45" s="234"/>
      <c r="V45" s="9"/>
      <c r="W45" s="9"/>
      <c r="X45" s="9"/>
      <c r="Y45" s="9"/>
      <c r="Z45" s="9"/>
      <c r="AA45" s="21"/>
      <c r="AB45" s="9"/>
      <c r="AC45" s="21"/>
      <c r="AD45" s="9"/>
      <c r="AE45" s="9"/>
      <c r="AF45" s="21"/>
      <c r="AG45" s="9"/>
      <c r="AK45" s="76"/>
    </row>
    <row r="46" spans="1:37" s="25" customFormat="1" ht="59.25" customHeight="1" thickBot="1" x14ac:dyDescent="0.25">
      <c r="A46" s="195" t="s">
        <v>11</v>
      </c>
      <c r="B46" s="196"/>
      <c r="C46" s="196"/>
      <c r="D46" s="197"/>
      <c r="E46" s="53"/>
      <c r="F46" s="24">
        <v>12.67</v>
      </c>
      <c r="G46" s="195">
        <f>D41</f>
        <v>5830</v>
      </c>
      <c r="H46" s="196"/>
      <c r="I46" s="197"/>
      <c r="J46" s="210">
        <f>G46*F46</f>
        <v>73866.100000000006</v>
      </c>
      <c r="K46" s="211"/>
      <c r="L46" s="218">
        <f>J46</f>
        <v>73866.100000000006</v>
      </c>
      <c r="M46" s="219"/>
      <c r="N46" s="219"/>
      <c r="O46" s="219"/>
      <c r="P46" s="219"/>
      <c r="Q46" s="219"/>
      <c r="R46" s="219"/>
      <c r="S46" s="219"/>
      <c r="T46" s="219"/>
      <c r="U46" s="220"/>
      <c r="V46" s="9"/>
      <c r="W46" s="9"/>
      <c r="X46" s="9"/>
      <c r="Y46" s="9"/>
      <c r="Z46" s="9"/>
      <c r="AA46" s="21"/>
      <c r="AB46" s="9"/>
      <c r="AC46" s="21"/>
      <c r="AD46" s="9"/>
      <c r="AE46" s="9"/>
      <c r="AF46" s="21"/>
      <c r="AG46" s="9"/>
      <c r="AH46" s="9"/>
      <c r="AK46" s="77"/>
    </row>
    <row r="47" spans="1:37" s="25" customFormat="1" ht="69.75" customHeight="1" thickBot="1" x14ac:dyDescent="0.25">
      <c r="A47" s="215" t="s">
        <v>13</v>
      </c>
      <c r="B47" s="216"/>
      <c r="C47" s="216"/>
      <c r="D47" s="217"/>
      <c r="E47" s="53"/>
      <c r="F47" s="26">
        <v>7.8338000000000001</v>
      </c>
      <c r="G47" s="212">
        <f>U41</f>
        <v>556.50000000000011</v>
      </c>
      <c r="H47" s="213"/>
      <c r="I47" s="214"/>
      <c r="J47" s="212">
        <f>G47*F47</f>
        <v>4359.5097000000005</v>
      </c>
      <c r="K47" s="214"/>
      <c r="L47" s="221">
        <f>J47</f>
        <v>4359.5097000000005</v>
      </c>
      <c r="M47" s="222"/>
      <c r="N47" s="222"/>
      <c r="O47" s="222"/>
      <c r="P47" s="222"/>
      <c r="Q47" s="222"/>
      <c r="R47" s="222"/>
      <c r="S47" s="222"/>
      <c r="T47" s="222"/>
      <c r="U47" s="223"/>
      <c r="V47" s="9"/>
      <c r="W47" s="9"/>
      <c r="X47" s="9"/>
      <c r="Y47" s="9"/>
      <c r="Z47" s="9"/>
      <c r="AA47" s="21"/>
      <c r="AB47" s="9"/>
      <c r="AC47" s="21"/>
      <c r="AD47" s="29"/>
      <c r="AE47" s="9"/>
      <c r="AF47" s="21"/>
      <c r="AG47" s="9"/>
      <c r="AH47" s="9"/>
      <c r="AK47" s="77"/>
    </row>
    <row r="48" spans="1:37" s="18" customFormat="1" ht="27" customHeight="1" x14ac:dyDescent="0.2">
      <c r="A48" s="2"/>
      <c r="B48" s="2"/>
      <c r="C48" s="2"/>
      <c r="D48" s="2"/>
      <c r="E48" s="30"/>
      <c r="F48" s="30"/>
      <c r="G48" s="2"/>
      <c r="H48" s="2"/>
      <c r="I48" s="2"/>
      <c r="J48" s="2"/>
      <c r="K48" s="2"/>
      <c r="L48" s="5"/>
      <c r="M48" s="5"/>
      <c r="N48" s="5"/>
      <c r="O48" s="5"/>
      <c r="P48" s="5"/>
      <c r="Q48" s="5"/>
      <c r="R48" s="29"/>
      <c r="S48" s="29"/>
      <c r="T48" s="29"/>
      <c r="U48" s="29"/>
      <c r="V48" s="16"/>
      <c r="W48" s="29"/>
      <c r="X48" s="29"/>
      <c r="Y48" s="29"/>
      <c r="Z48" s="29"/>
      <c r="AA48" s="2"/>
      <c r="AB48" s="29"/>
      <c r="AC48" s="2"/>
      <c r="AD48" s="6"/>
      <c r="AE48" s="29"/>
      <c r="AF48" s="2"/>
      <c r="AG48" s="29"/>
      <c r="AH48" s="9"/>
      <c r="AK48" s="73"/>
    </row>
    <row r="49" spans="2:37" s="13" customFormat="1" x14ac:dyDescent="0.2"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E49" s="6"/>
      <c r="AF49" s="6"/>
      <c r="AG49" s="6"/>
      <c r="AH49" s="9"/>
      <c r="AK49" s="6"/>
    </row>
    <row r="50" spans="2:37" s="13" customFormat="1" x14ac:dyDescent="0.2">
      <c r="AD50" s="11"/>
      <c r="AH50" s="29"/>
      <c r="AK50" s="6"/>
    </row>
    <row r="51" spans="2:37" ht="18.75" customHeight="1" x14ac:dyDescent="0.2">
      <c r="AH51" s="6"/>
      <c r="AK51" s="74"/>
    </row>
    <row r="52" spans="2:37" x14ac:dyDescent="0.2">
      <c r="AH52" s="13"/>
      <c r="AK52" s="74"/>
    </row>
    <row r="53" spans="2:37" x14ac:dyDescent="0.2">
      <c r="AK53" s="74"/>
    </row>
    <row r="54" spans="2:37" x14ac:dyDescent="0.2">
      <c r="AK54" s="74"/>
    </row>
    <row r="55" spans="2:37" ht="39" customHeight="1" x14ac:dyDescent="0.2">
      <c r="B55" s="170"/>
      <c r="C55" s="170"/>
      <c r="D55" s="170"/>
      <c r="E55" s="170"/>
      <c r="F55" s="170"/>
      <c r="G55" s="170"/>
      <c r="H55" s="170"/>
      <c r="I55" s="170"/>
      <c r="J55" s="170"/>
      <c r="K55" s="170"/>
      <c r="L55" s="170"/>
      <c r="M55" s="170"/>
      <c r="N55" s="170"/>
      <c r="O55" s="170"/>
      <c r="P55" s="170"/>
      <c r="Q55" s="170"/>
      <c r="R55" s="170"/>
      <c r="S55" s="170"/>
      <c r="T55" s="170"/>
      <c r="U55" s="170"/>
      <c r="V55" s="170"/>
      <c r="W55" s="170"/>
      <c r="X55" s="170"/>
      <c r="Y55" s="170"/>
      <c r="Z55" s="170"/>
      <c r="AA55" s="170"/>
      <c r="AK55" s="74"/>
    </row>
    <row r="56" spans="2:37" x14ac:dyDescent="0.2">
      <c r="AK56" s="74"/>
    </row>
    <row r="57" spans="2:37" x14ac:dyDescent="0.2">
      <c r="AK57" s="74"/>
    </row>
    <row r="58" spans="2:37" x14ac:dyDescent="0.2">
      <c r="AK58" s="74"/>
    </row>
    <row r="59" spans="2:37" x14ac:dyDescent="0.2">
      <c r="AK59" s="74"/>
    </row>
    <row r="60" spans="2:37" x14ac:dyDescent="0.2">
      <c r="AK60" s="74"/>
    </row>
    <row r="61" spans="2:37" x14ac:dyDescent="0.2">
      <c r="AK61" s="74"/>
    </row>
    <row r="62" spans="2:37" x14ac:dyDescent="0.2">
      <c r="AK62" s="74"/>
    </row>
    <row r="63" spans="2:37" x14ac:dyDescent="0.2">
      <c r="AK63" s="74"/>
    </row>
    <row r="64" spans="2:37" x14ac:dyDescent="0.2">
      <c r="AK64" s="74"/>
    </row>
    <row r="65" spans="37:37" x14ac:dyDescent="0.2">
      <c r="AK65" s="74"/>
    </row>
    <row r="66" spans="37:37" x14ac:dyDescent="0.2">
      <c r="AK66" s="74"/>
    </row>
    <row r="67" spans="37:37" x14ac:dyDescent="0.2">
      <c r="AK67" s="74"/>
    </row>
    <row r="68" spans="37:37" x14ac:dyDescent="0.2">
      <c r="AK68" s="74"/>
    </row>
    <row r="69" spans="37:37" x14ac:dyDescent="0.2">
      <c r="AK69" s="74"/>
    </row>
    <row r="70" spans="37:37" x14ac:dyDescent="0.2">
      <c r="AK70" s="74"/>
    </row>
    <row r="71" spans="37:37" x14ac:dyDescent="0.2">
      <c r="AK71" s="74"/>
    </row>
    <row r="72" spans="37:37" x14ac:dyDescent="0.2">
      <c r="AK72" s="74"/>
    </row>
    <row r="73" spans="37:37" x14ac:dyDescent="0.2">
      <c r="AK73" s="74"/>
    </row>
    <row r="74" spans="37:37" x14ac:dyDescent="0.2">
      <c r="AK74" s="74"/>
    </row>
    <row r="75" spans="37:37" x14ac:dyDescent="0.2">
      <c r="AK75" s="74"/>
    </row>
    <row r="76" spans="37:37" x14ac:dyDescent="0.2">
      <c r="AK76" s="74"/>
    </row>
    <row r="77" spans="37:37" x14ac:dyDescent="0.2">
      <c r="AK77" s="74"/>
    </row>
    <row r="78" spans="37:37" x14ac:dyDescent="0.2">
      <c r="AK78" s="74"/>
    </row>
    <row r="79" spans="37:37" x14ac:dyDescent="0.2">
      <c r="AK79" s="74"/>
    </row>
    <row r="80" spans="37:37" x14ac:dyDescent="0.2">
      <c r="AK80" s="74"/>
    </row>
    <row r="81" spans="37:37" x14ac:dyDescent="0.2">
      <c r="AK81" s="74"/>
    </row>
    <row r="82" spans="37:37" x14ac:dyDescent="0.2">
      <c r="AK82" s="74"/>
    </row>
    <row r="83" spans="37:37" x14ac:dyDescent="0.2">
      <c r="AK83" s="74"/>
    </row>
    <row r="84" spans="37:37" x14ac:dyDescent="0.2">
      <c r="AK84" s="74"/>
    </row>
    <row r="85" spans="37:37" x14ac:dyDescent="0.2">
      <c r="AK85" s="74"/>
    </row>
    <row r="86" spans="37:37" x14ac:dyDescent="0.2">
      <c r="AK86" s="74"/>
    </row>
    <row r="87" spans="37:37" x14ac:dyDescent="0.2">
      <c r="AK87" s="74"/>
    </row>
    <row r="88" spans="37:37" x14ac:dyDescent="0.2">
      <c r="AK88" s="74"/>
    </row>
    <row r="89" spans="37:37" x14ac:dyDescent="0.2">
      <c r="AK89" s="74"/>
    </row>
    <row r="90" spans="37:37" x14ac:dyDescent="0.2">
      <c r="AK90" s="74"/>
    </row>
    <row r="91" spans="37:37" x14ac:dyDescent="0.2">
      <c r="AK91" s="74"/>
    </row>
    <row r="92" spans="37:37" x14ac:dyDescent="0.2">
      <c r="AK92" s="74"/>
    </row>
    <row r="93" spans="37:37" x14ac:dyDescent="0.2">
      <c r="AK93" s="74"/>
    </row>
    <row r="94" spans="37:37" x14ac:dyDescent="0.2">
      <c r="AK94" s="74"/>
    </row>
    <row r="95" spans="37:37" x14ac:dyDescent="0.2">
      <c r="AK95" s="74"/>
    </row>
    <row r="96" spans="37:37" x14ac:dyDescent="0.2">
      <c r="AK96" s="74"/>
    </row>
    <row r="97" spans="37:37" x14ac:dyDescent="0.2">
      <c r="AK97" s="74"/>
    </row>
    <row r="98" spans="37:37" x14ac:dyDescent="0.2">
      <c r="AK98" s="74"/>
    </row>
    <row r="99" spans="37:37" x14ac:dyDescent="0.2">
      <c r="AK99" s="74"/>
    </row>
    <row r="100" spans="37:37" x14ac:dyDescent="0.2">
      <c r="AK100" s="74"/>
    </row>
    <row r="101" spans="37:37" x14ac:dyDescent="0.2">
      <c r="AK101" s="74"/>
    </row>
    <row r="102" spans="37:37" x14ac:dyDescent="0.2">
      <c r="AK102" s="74"/>
    </row>
    <row r="103" spans="37:37" x14ac:dyDescent="0.2">
      <c r="AK103" s="74"/>
    </row>
    <row r="104" spans="37:37" x14ac:dyDescent="0.2">
      <c r="AK104" s="74"/>
    </row>
    <row r="105" spans="37:37" x14ac:dyDescent="0.2">
      <c r="AK105" s="74"/>
    </row>
    <row r="106" spans="37:37" x14ac:dyDescent="0.2">
      <c r="AK106" s="74"/>
    </row>
    <row r="107" spans="37:37" x14ac:dyDescent="0.2">
      <c r="AK107" s="74"/>
    </row>
    <row r="108" spans="37:37" x14ac:dyDescent="0.2">
      <c r="AK108" s="74"/>
    </row>
    <row r="109" spans="37:37" x14ac:dyDescent="0.2">
      <c r="AK109" s="74"/>
    </row>
    <row r="110" spans="37:37" x14ac:dyDescent="0.2">
      <c r="AK110" s="74"/>
    </row>
    <row r="111" spans="37:37" x14ac:dyDescent="0.2">
      <c r="AK111" s="74"/>
    </row>
    <row r="112" spans="37:37" x14ac:dyDescent="0.2">
      <c r="AK112" s="74"/>
    </row>
  </sheetData>
  <mergeCells count="76">
    <mergeCell ref="F18:H18"/>
    <mergeCell ref="F12:H12"/>
    <mergeCell ref="F13:H13"/>
    <mergeCell ref="F36:H36"/>
    <mergeCell ref="F38:H38"/>
    <mergeCell ref="F30:H30"/>
    <mergeCell ref="F28:H28"/>
    <mergeCell ref="F33:H33"/>
    <mergeCell ref="F29:H29"/>
    <mergeCell ref="F16:H16"/>
    <mergeCell ref="F27:H27"/>
    <mergeCell ref="F19:H19"/>
    <mergeCell ref="F31:H31"/>
    <mergeCell ref="F20:H20"/>
    <mergeCell ref="F34:H34"/>
    <mergeCell ref="F35:H35"/>
    <mergeCell ref="G44:I44"/>
    <mergeCell ref="G43:I43"/>
    <mergeCell ref="F24:H24"/>
    <mergeCell ref="F22:H22"/>
    <mergeCell ref="K5:AA7"/>
    <mergeCell ref="U8:U9"/>
    <mergeCell ref="J8:L8"/>
    <mergeCell ref="F26:H26"/>
    <mergeCell ref="F15:H15"/>
    <mergeCell ref="F25:H25"/>
    <mergeCell ref="F23:H23"/>
    <mergeCell ref="F14:H14"/>
    <mergeCell ref="F17:H17"/>
    <mergeCell ref="F10:H10"/>
    <mergeCell ref="F11:H11"/>
    <mergeCell ref="D7:J7"/>
    <mergeCell ref="F21:H21"/>
    <mergeCell ref="J43:K43"/>
    <mergeCell ref="F32:H32"/>
    <mergeCell ref="F40:H40"/>
    <mergeCell ref="F39:H39"/>
    <mergeCell ref="F37:H37"/>
    <mergeCell ref="F42:H42"/>
    <mergeCell ref="A46:D46"/>
    <mergeCell ref="F41:H41"/>
    <mergeCell ref="A43:C45"/>
    <mergeCell ref="G45:I45"/>
    <mergeCell ref="B55:AA55"/>
    <mergeCell ref="G46:I46"/>
    <mergeCell ref="J46:K46"/>
    <mergeCell ref="G47:I47"/>
    <mergeCell ref="J47:K47"/>
    <mergeCell ref="A47:D47"/>
    <mergeCell ref="L46:U46"/>
    <mergeCell ref="L47:U47"/>
    <mergeCell ref="J45:K45"/>
    <mergeCell ref="O41:Q41"/>
    <mergeCell ref="L43:U45"/>
    <mergeCell ref="J44:K44"/>
    <mergeCell ref="AD2:AF2"/>
    <mergeCell ref="G2:AC2"/>
    <mergeCell ref="F8:H9"/>
    <mergeCell ref="Q8:Q9"/>
    <mergeCell ref="A2:F2"/>
    <mergeCell ref="A4:C5"/>
    <mergeCell ref="S8:S9"/>
    <mergeCell ref="AC8:AC9"/>
    <mergeCell ref="A8:A9"/>
    <mergeCell ref="B8:B9"/>
    <mergeCell ref="D8:D9"/>
    <mergeCell ref="AB8:AB9"/>
    <mergeCell ref="AA8:AA9"/>
    <mergeCell ref="M8:M9"/>
    <mergeCell ref="W8:W9"/>
    <mergeCell ref="O8:O9"/>
    <mergeCell ref="AG8:AG9"/>
    <mergeCell ref="AH8:AH9"/>
    <mergeCell ref="AE8:AE9"/>
    <mergeCell ref="AF8:AF9"/>
    <mergeCell ref="AD8:AD9"/>
  </mergeCells>
  <phoneticPr fontId="0" type="noConversion"/>
  <printOptions gridLines="1"/>
  <pageMargins left="1.73" right="0.19685039370078741" top="0.2" bottom="0.2" header="0.15748031496062992" footer="0.23622047244094491"/>
  <pageSetup paperSize="9" scale="28" fitToHeight="4" orientation="landscape" verticalDpi="300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AE48"/>
  <sheetViews>
    <sheetView view="pageBreakPreview" zoomScale="85" zoomScaleNormal="60" zoomScaleSheetLayoutView="85" workbookViewId="0">
      <pane xSplit="1" ySplit="3" topLeftCell="B25" activePane="bottomRight" state="frozen"/>
      <selection pane="topRight" activeCell="B1" sqref="B1"/>
      <selection pane="bottomLeft" activeCell="A4" sqref="A4"/>
      <selection pane="bottomRight" activeCell="B40" sqref="B40:H40"/>
    </sheetView>
  </sheetViews>
  <sheetFormatPr defaultColWidth="11.42578125" defaultRowHeight="15" x14ac:dyDescent="0.3"/>
  <cols>
    <col min="1" max="1" width="18.7109375" style="31" customWidth="1"/>
    <col min="2" max="3" width="9.5703125" style="32" customWidth="1"/>
    <col min="4" max="4" width="9.85546875" style="32" customWidth="1"/>
    <col min="5" max="5" width="8.85546875" style="32" customWidth="1"/>
    <col min="6" max="6" width="11.42578125" style="32" customWidth="1"/>
    <col min="7" max="7" width="8.85546875" style="32" customWidth="1"/>
    <col min="8" max="9" width="9.85546875" style="32" customWidth="1"/>
    <col min="10" max="10" width="16.140625" style="32" customWidth="1"/>
    <col min="11" max="11" width="17.28515625" style="32" customWidth="1"/>
    <col min="12" max="12" width="14.28515625" style="32" customWidth="1"/>
    <col min="13" max="13" width="16.28515625" style="32" customWidth="1"/>
    <col min="14" max="14" width="14.140625" style="32" customWidth="1"/>
    <col min="15" max="15" width="14.42578125" style="32" customWidth="1"/>
    <col min="16" max="16" width="15.85546875" style="32" customWidth="1"/>
    <col min="17" max="17" width="11.28515625" style="32" customWidth="1"/>
    <col min="18" max="18" width="8.42578125" style="32" customWidth="1"/>
    <col min="19" max="19" width="9.85546875" style="32" customWidth="1"/>
    <col min="20" max="20" width="11.28515625" style="32" customWidth="1"/>
    <col min="21" max="21" width="8.42578125" style="32" customWidth="1"/>
    <col min="22" max="22" width="9.85546875" style="32" customWidth="1"/>
    <col min="23" max="23" width="11.28515625" style="32" customWidth="1"/>
    <col min="24" max="24" width="8.42578125" style="32" customWidth="1"/>
    <col min="25" max="25" width="9.85546875" style="32" customWidth="1"/>
    <col min="26" max="26" width="11.28515625" style="32" customWidth="1"/>
    <col min="27" max="27" width="8.42578125" style="32" customWidth="1"/>
    <col min="28" max="28" width="9.85546875" style="32" customWidth="1"/>
    <col min="29" max="29" width="15.28515625" style="33" customWidth="1"/>
    <col min="30" max="30" width="20.140625" style="32" customWidth="1"/>
    <col min="31" max="31" width="24.5703125" style="32" customWidth="1"/>
    <col min="32" max="16384" width="11.42578125" style="32"/>
  </cols>
  <sheetData>
    <row r="1" spans="1:31" ht="62.25" customHeight="1" thickBot="1" x14ac:dyDescent="0.35">
      <c r="A1" s="259" t="s">
        <v>0</v>
      </c>
      <c r="B1" s="259"/>
      <c r="C1" s="260"/>
      <c r="D1" s="261" t="s">
        <v>57</v>
      </c>
      <c r="E1" s="262"/>
      <c r="F1" s="262"/>
      <c r="G1" s="262"/>
      <c r="H1" s="262"/>
      <c r="I1" s="262"/>
      <c r="J1" s="262"/>
      <c r="K1" s="262"/>
      <c r="L1" s="262"/>
      <c r="M1" s="262"/>
      <c r="N1" s="262"/>
      <c r="O1" s="262"/>
      <c r="P1" s="262"/>
      <c r="Q1" s="262"/>
      <c r="R1" s="262"/>
      <c r="S1" s="262"/>
      <c r="T1" s="262"/>
      <c r="U1" s="262"/>
      <c r="V1" s="262"/>
      <c r="W1" s="262"/>
      <c r="X1" s="262"/>
      <c r="Y1" s="262"/>
      <c r="Z1" s="263"/>
      <c r="AA1" s="264"/>
      <c r="AB1" s="265"/>
      <c r="AC1" s="265"/>
    </row>
    <row r="2" spans="1:31" ht="41.25" customHeight="1" thickBot="1" x14ac:dyDescent="0.4">
      <c r="A2" s="79"/>
      <c r="B2" s="268"/>
      <c r="C2" s="268"/>
      <c r="D2" s="268"/>
      <c r="E2" s="268"/>
      <c r="F2" s="268"/>
      <c r="G2" s="268"/>
      <c r="H2" s="268"/>
      <c r="I2" s="268"/>
      <c r="J2" s="268"/>
      <c r="K2" s="268"/>
      <c r="L2" s="268"/>
      <c r="M2" s="268"/>
      <c r="N2" s="268"/>
      <c r="O2" s="268"/>
      <c r="P2" s="269"/>
      <c r="Q2" s="266">
        <v>803</v>
      </c>
      <c r="R2" s="267"/>
      <c r="S2" s="267"/>
      <c r="T2" s="267">
        <v>519</v>
      </c>
      <c r="U2" s="267"/>
      <c r="V2" s="267"/>
      <c r="W2" s="267">
        <v>800</v>
      </c>
      <c r="X2" s="267"/>
      <c r="Y2" s="267"/>
      <c r="Z2" s="267">
        <v>802</v>
      </c>
      <c r="AA2" s="267"/>
      <c r="AB2" s="270"/>
      <c r="AC2" s="34"/>
    </row>
    <row r="3" spans="1:31" ht="50.25" customHeight="1" thickBot="1" x14ac:dyDescent="0.35">
      <c r="B3" s="39" t="s">
        <v>50</v>
      </c>
      <c r="C3" s="40" t="s">
        <v>14</v>
      </c>
      <c r="D3" s="39" t="s">
        <v>51</v>
      </c>
      <c r="E3" s="40" t="s">
        <v>15</v>
      </c>
      <c r="F3" s="39" t="s">
        <v>52</v>
      </c>
      <c r="G3" s="40" t="s">
        <v>16</v>
      </c>
      <c r="H3" s="39" t="s">
        <v>53</v>
      </c>
      <c r="I3" s="40" t="s">
        <v>17</v>
      </c>
      <c r="J3" s="41" t="s">
        <v>18</v>
      </c>
      <c r="K3" s="41" t="s">
        <v>19</v>
      </c>
      <c r="L3" s="41" t="s">
        <v>20</v>
      </c>
      <c r="M3" s="41" t="s">
        <v>21</v>
      </c>
      <c r="N3" s="41" t="s">
        <v>22</v>
      </c>
      <c r="O3" s="42" t="s">
        <v>23</v>
      </c>
      <c r="P3" s="42" t="s">
        <v>24</v>
      </c>
      <c r="Q3" s="55" t="s">
        <v>25</v>
      </c>
      <c r="R3" s="55" t="s">
        <v>26</v>
      </c>
      <c r="S3" s="55" t="s">
        <v>27</v>
      </c>
      <c r="T3" s="56" t="s">
        <v>28</v>
      </c>
      <c r="U3" s="56" t="s">
        <v>26</v>
      </c>
      <c r="V3" s="56" t="s">
        <v>27</v>
      </c>
      <c r="W3" s="56" t="s">
        <v>29</v>
      </c>
      <c r="X3" s="56" t="s">
        <v>26</v>
      </c>
      <c r="Y3" s="56" t="s">
        <v>27</v>
      </c>
      <c r="Z3" s="56" t="s">
        <v>30</v>
      </c>
      <c r="AA3" s="56" t="s">
        <v>26</v>
      </c>
      <c r="AB3" s="57" t="s">
        <v>27</v>
      </c>
      <c r="AC3" s="83" t="s">
        <v>31</v>
      </c>
      <c r="AD3" s="82" t="s">
        <v>32</v>
      </c>
      <c r="AE3" s="81" t="s">
        <v>33</v>
      </c>
    </row>
    <row r="4" spans="1:31" ht="32.25" customHeight="1" x14ac:dyDescent="0.3">
      <c r="A4" s="36">
        <v>43915</v>
      </c>
      <c r="B4" s="132">
        <v>85</v>
      </c>
      <c r="C4" s="133">
        <f t="shared" ref="C4:C21" si="0">IF(AC4&gt;0,((B4-R4)+(S4-B5)),IF(B5=0, ,(B4-B5)))</f>
        <v>0</v>
      </c>
      <c r="D4" s="132">
        <v>85</v>
      </c>
      <c r="E4" s="133">
        <f t="shared" ref="E4:E21" si="1">IF(AC4&gt;0,((D4-U4)+(V4-D5)),IF(D5=0, ,(D4-D5)))</f>
        <v>0</v>
      </c>
      <c r="F4" s="132">
        <v>82</v>
      </c>
      <c r="G4" s="133">
        <f t="shared" ref="G4:G21" si="2">IF(AC4&gt;0,((F4-X4)+(Y4-F5)),IF(F5=0, ,(F4-F5)))</f>
        <v>0</v>
      </c>
      <c r="H4" s="132">
        <v>84</v>
      </c>
      <c r="I4" s="133">
        <f t="shared" ref="I4:I42" si="3">IF(AC4&gt;0,((H4-AA4)+(AB4-H5)),IF(H5=0, ,(H4-H5)))</f>
        <v>1</v>
      </c>
      <c r="J4" s="133">
        <f t="shared" ref="J4:J42" si="4">B4+D4+F4+H4</f>
        <v>336</v>
      </c>
      <c r="K4" s="133">
        <f t="shared" ref="K4:K42" si="5">J4/4</f>
        <v>84</v>
      </c>
      <c r="L4" s="133">
        <f t="shared" ref="L4:L42" si="6">IF(AC4&gt;0,((K4-AD4)+(AE4-K5)),IF(K5=0, ,(K4-K5)))</f>
        <v>0.25</v>
      </c>
      <c r="M4" s="133">
        <f t="shared" ref="M4:M42" si="7">7000*4</f>
        <v>28000</v>
      </c>
      <c r="N4" s="133">
        <f t="shared" ref="N4:N42" si="8">L4*M4/100</f>
        <v>70</v>
      </c>
      <c r="O4" s="133">
        <f t="shared" ref="O4:O42" si="9">N4*0.53</f>
        <v>37.1</v>
      </c>
      <c r="P4" s="38">
        <f>O4*8.39</f>
        <v>311.26900000000001</v>
      </c>
      <c r="Q4" s="133"/>
      <c r="R4" s="133"/>
      <c r="S4" s="133"/>
      <c r="T4" s="133"/>
      <c r="U4" s="133"/>
      <c r="V4" s="133"/>
      <c r="W4" s="133"/>
      <c r="X4" s="133"/>
      <c r="Y4" s="133"/>
      <c r="Z4" s="133"/>
      <c r="AA4" s="133"/>
      <c r="AB4" s="133"/>
      <c r="AC4" s="35">
        <f>Q4+T4+W4+Z4</f>
        <v>0</v>
      </c>
      <c r="AD4" s="80">
        <f t="shared" ref="AD4:AE7" si="10">(R4+U4+X4+AA4)/4</f>
        <v>0</v>
      </c>
      <c r="AE4" s="80">
        <f t="shared" si="10"/>
        <v>0</v>
      </c>
    </row>
    <row r="5" spans="1:31" ht="32.25" customHeight="1" x14ac:dyDescent="0.3">
      <c r="A5" s="36">
        <f>(A4+1)</f>
        <v>43916</v>
      </c>
      <c r="B5" s="132">
        <v>85</v>
      </c>
      <c r="C5" s="133">
        <f t="shared" si="0"/>
        <v>2</v>
      </c>
      <c r="D5" s="132">
        <v>85</v>
      </c>
      <c r="E5" s="133">
        <f t="shared" si="1"/>
        <v>0</v>
      </c>
      <c r="F5" s="132">
        <v>82</v>
      </c>
      <c r="G5" s="133">
        <f t="shared" si="2"/>
        <v>0</v>
      </c>
      <c r="H5" s="132">
        <v>83</v>
      </c>
      <c r="I5" s="133">
        <f t="shared" si="3"/>
        <v>0</v>
      </c>
      <c r="J5" s="133">
        <f t="shared" si="4"/>
        <v>335</v>
      </c>
      <c r="K5" s="133">
        <f t="shared" si="5"/>
        <v>83.75</v>
      </c>
      <c r="L5" s="133">
        <f t="shared" si="6"/>
        <v>0.5</v>
      </c>
      <c r="M5" s="133">
        <f t="shared" si="7"/>
        <v>28000</v>
      </c>
      <c r="N5" s="133">
        <f t="shared" si="8"/>
        <v>140</v>
      </c>
      <c r="O5" s="133">
        <f t="shared" si="9"/>
        <v>74.2</v>
      </c>
      <c r="P5" s="38">
        <f t="shared" ref="P5:P8" si="11">O5*8.39</f>
        <v>622.53800000000001</v>
      </c>
      <c r="Q5" s="133"/>
      <c r="R5" s="133"/>
      <c r="S5" s="133"/>
      <c r="T5" s="133"/>
      <c r="U5" s="133"/>
      <c r="V5" s="133"/>
      <c r="W5" s="133"/>
      <c r="X5" s="133"/>
      <c r="Y5" s="133"/>
      <c r="Z5" s="133"/>
      <c r="AA5" s="133"/>
      <c r="AB5" s="133"/>
      <c r="AC5" s="35">
        <f>Q5+T5+W5+Z5</f>
        <v>0</v>
      </c>
      <c r="AD5" s="80">
        <f t="shared" si="10"/>
        <v>0</v>
      </c>
      <c r="AE5" s="80">
        <f t="shared" si="10"/>
        <v>0</v>
      </c>
    </row>
    <row r="6" spans="1:31" ht="32.25" customHeight="1" x14ac:dyDescent="0.3">
      <c r="A6" s="36">
        <f t="shared" ref="A6:A42" si="12">(A5+1)</f>
        <v>43917</v>
      </c>
      <c r="B6" s="132">
        <v>83</v>
      </c>
      <c r="C6" s="133">
        <f t="shared" si="0"/>
        <v>1</v>
      </c>
      <c r="D6" s="132">
        <v>85</v>
      </c>
      <c r="E6" s="133">
        <f t="shared" si="1"/>
        <v>1</v>
      </c>
      <c r="F6" s="132">
        <v>82</v>
      </c>
      <c r="G6" s="133">
        <f t="shared" si="2"/>
        <v>1</v>
      </c>
      <c r="H6" s="132">
        <v>83</v>
      </c>
      <c r="I6" s="133">
        <f t="shared" si="3"/>
        <v>1</v>
      </c>
      <c r="J6" s="133">
        <f t="shared" si="4"/>
        <v>333</v>
      </c>
      <c r="K6" s="133">
        <f t="shared" si="5"/>
        <v>83.25</v>
      </c>
      <c r="L6" s="133">
        <f t="shared" si="6"/>
        <v>1</v>
      </c>
      <c r="M6" s="133">
        <f t="shared" si="7"/>
        <v>28000</v>
      </c>
      <c r="N6" s="133">
        <f t="shared" si="8"/>
        <v>280</v>
      </c>
      <c r="O6" s="133">
        <f t="shared" si="9"/>
        <v>148.4</v>
      </c>
      <c r="P6" s="38">
        <f t="shared" si="11"/>
        <v>1245.076</v>
      </c>
      <c r="Q6" s="133"/>
      <c r="R6" s="133"/>
      <c r="S6" s="133"/>
      <c r="T6" s="133"/>
      <c r="U6" s="133"/>
      <c r="V6" s="133"/>
      <c r="W6" s="133"/>
      <c r="X6" s="133"/>
      <c r="Y6" s="133"/>
      <c r="Z6" s="133"/>
      <c r="AA6" s="133"/>
      <c r="AB6" s="133"/>
      <c r="AC6" s="35">
        <f>Q6+T6+W6+Z6</f>
        <v>0</v>
      </c>
      <c r="AD6" s="80">
        <f t="shared" si="10"/>
        <v>0</v>
      </c>
      <c r="AE6" s="80">
        <f t="shared" si="10"/>
        <v>0</v>
      </c>
    </row>
    <row r="7" spans="1:31" ht="32.25" customHeight="1" x14ac:dyDescent="0.3">
      <c r="A7" s="36">
        <f t="shared" si="12"/>
        <v>43918</v>
      </c>
      <c r="B7" s="132">
        <v>82</v>
      </c>
      <c r="C7" s="133">
        <f t="shared" si="0"/>
        <v>0</v>
      </c>
      <c r="D7" s="132">
        <v>84</v>
      </c>
      <c r="E7" s="133">
        <f t="shared" si="1"/>
        <v>0</v>
      </c>
      <c r="F7" s="132">
        <v>81</v>
      </c>
      <c r="G7" s="133">
        <f t="shared" si="2"/>
        <v>1</v>
      </c>
      <c r="H7" s="132">
        <v>82</v>
      </c>
      <c r="I7" s="133">
        <f t="shared" si="3"/>
        <v>2</v>
      </c>
      <c r="J7" s="133">
        <f t="shared" si="4"/>
        <v>329</v>
      </c>
      <c r="K7" s="133">
        <f t="shared" si="5"/>
        <v>82.25</v>
      </c>
      <c r="L7" s="133">
        <f t="shared" si="6"/>
        <v>0.75</v>
      </c>
      <c r="M7" s="133">
        <f t="shared" si="7"/>
        <v>28000</v>
      </c>
      <c r="N7" s="133">
        <f t="shared" si="8"/>
        <v>210</v>
      </c>
      <c r="O7" s="133">
        <f t="shared" si="9"/>
        <v>111.30000000000001</v>
      </c>
      <c r="P7" s="38">
        <f t="shared" si="11"/>
        <v>933.80700000000013</v>
      </c>
      <c r="Q7" s="133"/>
      <c r="R7" s="133"/>
      <c r="S7" s="133"/>
      <c r="T7" s="133"/>
      <c r="U7" s="133"/>
      <c r="V7" s="133"/>
      <c r="W7" s="133"/>
      <c r="X7" s="133"/>
      <c r="Y7" s="133"/>
      <c r="Z7" s="133"/>
      <c r="AA7" s="133"/>
      <c r="AB7" s="133"/>
      <c r="AC7" s="35">
        <f>Q7+T7+W7+Z7</f>
        <v>0</v>
      </c>
      <c r="AD7" s="80">
        <f t="shared" si="10"/>
        <v>0</v>
      </c>
      <c r="AE7" s="80">
        <f t="shared" si="10"/>
        <v>0</v>
      </c>
    </row>
    <row r="8" spans="1:31" ht="32.25" customHeight="1" x14ac:dyDescent="0.3">
      <c r="A8" s="36">
        <f t="shared" si="12"/>
        <v>43919</v>
      </c>
      <c r="B8" s="132">
        <v>82</v>
      </c>
      <c r="C8" s="133">
        <f t="shared" si="0"/>
        <v>1</v>
      </c>
      <c r="D8" s="132">
        <v>84</v>
      </c>
      <c r="E8" s="133">
        <f t="shared" si="1"/>
        <v>1</v>
      </c>
      <c r="F8" s="132">
        <v>80</v>
      </c>
      <c r="G8" s="133">
        <f t="shared" si="2"/>
        <v>0</v>
      </c>
      <c r="H8" s="132">
        <v>80</v>
      </c>
      <c r="I8" s="133">
        <f t="shared" si="3"/>
        <v>0</v>
      </c>
      <c r="J8" s="133">
        <f t="shared" si="4"/>
        <v>326</v>
      </c>
      <c r="K8" s="133">
        <f t="shared" si="5"/>
        <v>81.5</v>
      </c>
      <c r="L8" s="133">
        <f t="shared" si="6"/>
        <v>0.5</v>
      </c>
      <c r="M8" s="133">
        <f t="shared" si="7"/>
        <v>28000</v>
      </c>
      <c r="N8" s="133">
        <f t="shared" si="8"/>
        <v>140</v>
      </c>
      <c r="O8" s="133">
        <f t="shared" si="9"/>
        <v>74.2</v>
      </c>
      <c r="P8" s="38">
        <f t="shared" si="11"/>
        <v>622.53800000000001</v>
      </c>
      <c r="Q8" s="133"/>
      <c r="R8" s="133"/>
      <c r="S8" s="133"/>
      <c r="T8" s="133"/>
      <c r="U8" s="133"/>
      <c r="V8" s="133"/>
      <c r="W8" s="133"/>
      <c r="X8" s="133"/>
      <c r="Y8" s="133"/>
      <c r="Z8" s="133"/>
      <c r="AA8" s="133"/>
      <c r="AB8" s="133"/>
      <c r="AC8" s="35">
        <f t="shared" ref="AC8:AC42" si="13">Q8+T8+W8+Z8</f>
        <v>0</v>
      </c>
      <c r="AD8" s="80">
        <f t="shared" ref="AD8:AD42" si="14">(R8+U8+X8+AA8)/4</f>
        <v>0</v>
      </c>
      <c r="AE8" s="80">
        <f t="shared" ref="AE8:AE42" si="15">(S8+V8+Y8+AB8)/4</f>
        <v>0</v>
      </c>
    </row>
    <row r="9" spans="1:31" ht="32.25" customHeight="1" x14ac:dyDescent="0.3">
      <c r="A9" s="36">
        <f t="shared" si="12"/>
        <v>43920</v>
      </c>
      <c r="B9" s="132">
        <v>81</v>
      </c>
      <c r="C9" s="133">
        <f t="shared" si="0"/>
        <v>1</v>
      </c>
      <c r="D9" s="132">
        <v>83</v>
      </c>
      <c r="E9" s="133">
        <f t="shared" si="1"/>
        <v>1</v>
      </c>
      <c r="F9" s="132">
        <v>80</v>
      </c>
      <c r="G9" s="133">
        <f t="shared" si="2"/>
        <v>1</v>
      </c>
      <c r="H9" s="132">
        <v>80</v>
      </c>
      <c r="I9" s="133">
        <f t="shared" si="3"/>
        <v>0</v>
      </c>
      <c r="J9" s="133">
        <f t="shared" si="4"/>
        <v>324</v>
      </c>
      <c r="K9" s="133">
        <f t="shared" si="5"/>
        <v>81</v>
      </c>
      <c r="L9" s="133">
        <f t="shared" si="6"/>
        <v>0.75</v>
      </c>
      <c r="M9" s="133">
        <f t="shared" si="7"/>
        <v>28000</v>
      </c>
      <c r="N9" s="133">
        <f t="shared" si="8"/>
        <v>210</v>
      </c>
      <c r="O9" s="133">
        <f t="shared" si="9"/>
        <v>111.30000000000001</v>
      </c>
      <c r="P9" s="38">
        <f>O9*7.8338</f>
        <v>871.90194000000008</v>
      </c>
      <c r="Q9" s="133"/>
      <c r="R9" s="133"/>
      <c r="S9" s="133"/>
      <c r="T9" s="133"/>
      <c r="U9" s="133"/>
      <c r="V9" s="133"/>
      <c r="W9" s="133"/>
      <c r="X9" s="133"/>
      <c r="Y9" s="133"/>
      <c r="Z9" s="133"/>
      <c r="AA9" s="133"/>
      <c r="AB9" s="133"/>
      <c r="AC9" s="35">
        <f t="shared" si="13"/>
        <v>0</v>
      </c>
      <c r="AD9" s="80">
        <f t="shared" si="14"/>
        <v>0</v>
      </c>
      <c r="AE9" s="80">
        <f t="shared" si="15"/>
        <v>0</v>
      </c>
    </row>
    <row r="10" spans="1:31" ht="32.25" customHeight="1" x14ac:dyDescent="0.3">
      <c r="A10" s="36">
        <f t="shared" si="12"/>
        <v>43921</v>
      </c>
      <c r="B10" s="132">
        <v>80</v>
      </c>
      <c r="C10" s="133">
        <f t="shared" si="0"/>
        <v>0</v>
      </c>
      <c r="D10" s="132">
        <v>82</v>
      </c>
      <c r="E10" s="133">
        <f t="shared" si="1"/>
        <v>1</v>
      </c>
      <c r="F10" s="132">
        <v>79</v>
      </c>
      <c r="G10" s="133">
        <f t="shared" si="2"/>
        <v>1</v>
      </c>
      <c r="H10" s="132">
        <v>80</v>
      </c>
      <c r="I10" s="133">
        <f t="shared" si="3"/>
        <v>0</v>
      </c>
      <c r="J10" s="133">
        <f t="shared" si="4"/>
        <v>321</v>
      </c>
      <c r="K10" s="133">
        <f t="shared" si="5"/>
        <v>80.25</v>
      </c>
      <c r="L10" s="133">
        <f t="shared" si="6"/>
        <v>0.5</v>
      </c>
      <c r="M10" s="133">
        <f t="shared" si="7"/>
        <v>28000</v>
      </c>
      <c r="N10" s="133">
        <f t="shared" si="8"/>
        <v>140</v>
      </c>
      <c r="O10" s="133">
        <f t="shared" si="9"/>
        <v>74.2</v>
      </c>
      <c r="P10" s="38">
        <f t="shared" ref="P10:P42" si="16">O10*7.8338</f>
        <v>581.26796000000002</v>
      </c>
      <c r="Q10" s="133"/>
      <c r="R10" s="133"/>
      <c r="S10" s="133"/>
      <c r="T10" s="133"/>
      <c r="U10" s="133"/>
      <c r="V10" s="133"/>
      <c r="W10" s="133"/>
      <c r="X10" s="133"/>
      <c r="Y10" s="133"/>
      <c r="Z10" s="133"/>
      <c r="AA10" s="133"/>
      <c r="AB10" s="133"/>
      <c r="AC10" s="35">
        <f t="shared" si="13"/>
        <v>0</v>
      </c>
      <c r="AD10" s="80">
        <f t="shared" si="14"/>
        <v>0</v>
      </c>
      <c r="AE10" s="80">
        <f t="shared" si="15"/>
        <v>0</v>
      </c>
    </row>
    <row r="11" spans="1:31" ht="32.25" customHeight="1" x14ac:dyDescent="0.3">
      <c r="A11" s="36">
        <f t="shared" si="12"/>
        <v>43922</v>
      </c>
      <c r="B11" s="132">
        <v>80</v>
      </c>
      <c r="C11" s="133">
        <f t="shared" si="0"/>
        <v>0</v>
      </c>
      <c r="D11" s="132">
        <v>81</v>
      </c>
      <c r="E11" s="133">
        <f t="shared" si="1"/>
        <v>1</v>
      </c>
      <c r="F11" s="132">
        <v>78</v>
      </c>
      <c r="G11" s="133">
        <f t="shared" si="2"/>
        <v>1</v>
      </c>
      <c r="H11" s="132">
        <v>80</v>
      </c>
      <c r="I11" s="133">
        <f t="shared" si="3"/>
        <v>1</v>
      </c>
      <c r="J11" s="133">
        <f t="shared" si="4"/>
        <v>319</v>
      </c>
      <c r="K11" s="133">
        <f t="shared" si="5"/>
        <v>79.75</v>
      </c>
      <c r="L11" s="133">
        <f t="shared" si="6"/>
        <v>0.75</v>
      </c>
      <c r="M11" s="133">
        <f t="shared" si="7"/>
        <v>28000</v>
      </c>
      <c r="N11" s="133">
        <f t="shared" si="8"/>
        <v>210</v>
      </c>
      <c r="O11" s="133">
        <f t="shared" si="9"/>
        <v>111.30000000000001</v>
      </c>
      <c r="P11" s="38">
        <f t="shared" si="16"/>
        <v>871.90194000000008</v>
      </c>
      <c r="Q11" s="133"/>
      <c r="R11" s="133"/>
      <c r="S11" s="133"/>
      <c r="T11" s="133"/>
      <c r="U11" s="133"/>
      <c r="V11" s="133"/>
      <c r="W11" s="133"/>
      <c r="X11" s="133"/>
      <c r="Y11" s="133"/>
      <c r="Z11" s="133"/>
      <c r="AA11" s="133"/>
      <c r="AB11" s="133"/>
      <c r="AC11" s="35">
        <f t="shared" si="13"/>
        <v>0</v>
      </c>
      <c r="AD11" s="80">
        <f t="shared" ref="AD11:AD13" si="17">(R11+U11+X11+AA11)/4</f>
        <v>0</v>
      </c>
      <c r="AE11" s="80">
        <f t="shared" ref="AE11:AE13" si="18">(S11+V11+Y11+AB11)/4</f>
        <v>0</v>
      </c>
    </row>
    <row r="12" spans="1:31" ht="32.25" customHeight="1" x14ac:dyDescent="0.3">
      <c r="A12" s="36">
        <f t="shared" si="12"/>
        <v>43923</v>
      </c>
      <c r="B12" s="132">
        <v>80</v>
      </c>
      <c r="C12" s="133">
        <f t="shared" si="0"/>
        <v>1</v>
      </c>
      <c r="D12" s="132">
        <v>80</v>
      </c>
      <c r="E12" s="133">
        <f t="shared" si="1"/>
        <v>0</v>
      </c>
      <c r="F12" s="132">
        <v>77</v>
      </c>
      <c r="G12" s="133">
        <f t="shared" si="2"/>
        <v>1</v>
      </c>
      <c r="H12" s="132">
        <v>79</v>
      </c>
      <c r="I12" s="133">
        <f t="shared" si="3"/>
        <v>1</v>
      </c>
      <c r="J12" s="133">
        <f t="shared" si="4"/>
        <v>316</v>
      </c>
      <c r="K12" s="133">
        <f t="shared" si="5"/>
        <v>79</v>
      </c>
      <c r="L12" s="133">
        <f t="shared" si="6"/>
        <v>0.75</v>
      </c>
      <c r="M12" s="133">
        <f t="shared" si="7"/>
        <v>28000</v>
      </c>
      <c r="N12" s="133">
        <f t="shared" si="8"/>
        <v>210</v>
      </c>
      <c r="O12" s="133">
        <f t="shared" si="9"/>
        <v>111.30000000000001</v>
      </c>
      <c r="P12" s="38">
        <f t="shared" si="16"/>
        <v>871.90194000000008</v>
      </c>
      <c r="Q12" s="133"/>
      <c r="R12" s="133"/>
      <c r="S12" s="133"/>
      <c r="T12" s="133"/>
      <c r="U12" s="133"/>
      <c r="V12" s="133"/>
      <c r="W12" s="133"/>
      <c r="X12" s="133"/>
      <c r="Y12" s="133"/>
      <c r="Z12" s="133"/>
      <c r="AA12" s="133"/>
      <c r="AB12" s="133"/>
      <c r="AC12" s="35">
        <f t="shared" si="13"/>
        <v>0</v>
      </c>
      <c r="AD12" s="80">
        <f t="shared" si="17"/>
        <v>0</v>
      </c>
      <c r="AE12" s="80">
        <f t="shared" si="18"/>
        <v>0</v>
      </c>
    </row>
    <row r="13" spans="1:31" ht="32.25" customHeight="1" x14ac:dyDescent="0.3">
      <c r="A13" s="36">
        <f t="shared" si="12"/>
        <v>43924</v>
      </c>
      <c r="B13" s="132">
        <v>79</v>
      </c>
      <c r="C13" s="133">
        <f t="shared" si="0"/>
        <v>1</v>
      </c>
      <c r="D13" s="132">
        <v>80</v>
      </c>
      <c r="E13" s="133">
        <f t="shared" si="1"/>
        <v>0</v>
      </c>
      <c r="F13" s="132">
        <v>76</v>
      </c>
      <c r="G13" s="133">
        <f t="shared" si="2"/>
        <v>1</v>
      </c>
      <c r="H13" s="132">
        <v>78</v>
      </c>
      <c r="I13" s="133">
        <f t="shared" si="3"/>
        <v>0</v>
      </c>
      <c r="J13" s="133">
        <f t="shared" si="4"/>
        <v>313</v>
      </c>
      <c r="K13" s="133">
        <f t="shared" si="5"/>
        <v>78.25</v>
      </c>
      <c r="L13" s="133">
        <f t="shared" si="6"/>
        <v>0.5</v>
      </c>
      <c r="M13" s="133">
        <f t="shared" si="7"/>
        <v>28000</v>
      </c>
      <c r="N13" s="133">
        <f t="shared" si="8"/>
        <v>140</v>
      </c>
      <c r="O13" s="133">
        <f t="shared" si="9"/>
        <v>74.2</v>
      </c>
      <c r="P13" s="38">
        <f t="shared" si="16"/>
        <v>581.26796000000002</v>
      </c>
      <c r="Q13" s="133"/>
      <c r="R13" s="133"/>
      <c r="S13" s="133"/>
      <c r="T13" s="133"/>
      <c r="U13" s="133"/>
      <c r="V13" s="133"/>
      <c r="W13" s="133"/>
      <c r="X13" s="133"/>
      <c r="Y13" s="133"/>
      <c r="Z13" s="133"/>
      <c r="AA13" s="133"/>
      <c r="AB13" s="133"/>
      <c r="AC13" s="35">
        <f t="shared" si="13"/>
        <v>0</v>
      </c>
      <c r="AD13" s="80">
        <f t="shared" si="17"/>
        <v>0</v>
      </c>
      <c r="AE13" s="80">
        <f t="shared" si="18"/>
        <v>0</v>
      </c>
    </row>
    <row r="14" spans="1:31" ht="32.25" customHeight="1" x14ac:dyDescent="0.3">
      <c r="A14" s="36">
        <f t="shared" si="12"/>
        <v>43925</v>
      </c>
      <c r="B14" s="132">
        <v>78</v>
      </c>
      <c r="C14" s="133">
        <f t="shared" si="0"/>
        <v>0</v>
      </c>
      <c r="D14" s="132">
        <v>80</v>
      </c>
      <c r="E14" s="133">
        <f t="shared" si="1"/>
        <v>0</v>
      </c>
      <c r="F14" s="132">
        <v>75</v>
      </c>
      <c r="G14" s="133">
        <f t="shared" si="2"/>
        <v>0</v>
      </c>
      <c r="H14" s="132">
        <v>78</v>
      </c>
      <c r="I14" s="133">
        <f t="shared" si="3"/>
        <v>2</v>
      </c>
      <c r="J14" s="133">
        <f t="shared" si="4"/>
        <v>311</v>
      </c>
      <c r="K14" s="133">
        <f t="shared" si="5"/>
        <v>77.75</v>
      </c>
      <c r="L14" s="133">
        <f t="shared" si="6"/>
        <v>0.5</v>
      </c>
      <c r="M14" s="133">
        <f t="shared" si="7"/>
        <v>28000</v>
      </c>
      <c r="N14" s="133">
        <f t="shared" si="8"/>
        <v>140</v>
      </c>
      <c r="O14" s="133">
        <f t="shared" si="9"/>
        <v>74.2</v>
      </c>
      <c r="P14" s="38">
        <f t="shared" si="16"/>
        <v>581.26796000000002</v>
      </c>
      <c r="Q14" s="133"/>
      <c r="R14" s="133"/>
      <c r="S14" s="133"/>
      <c r="T14" s="133"/>
      <c r="U14" s="133"/>
      <c r="V14" s="133"/>
      <c r="W14" s="133"/>
      <c r="X14" s="133"/>
      <c r="Y14" s="133"/>
      <c r="Z14" s="133"/>
      <c r="AA14" s="133"/>
      <c r="AB14" s="133"/>
      <c r="AC14" s="35">
        <f t="shared" si="13"/>
        <v>0</v>
      </c>
      <c r="AD14" s="80">
        <f t="shared" si="14"/>
        <v>0</v>
      </c>
      <c r="AE14" s="80">
        <f t="shared" si="15"/>
        <v>0</v>
      </c>
    </row>
    <row r="15" spans="1:31" ht="32.25" customHeight="1" x14ac:dyDescent="0.3">
      <c r="A15" s="36">
        <f t="shared" si="12"/>
        <v>43926</v>
      </c>
      <c r="B15" s="132">
        <v>78</v>
      </c>
      <c r="C15" s="133">
        <f t="shared" si="0"/>
        <v>0</v>
      </c>
      <c r="D15" s="132">
        <v>80</v>
      </c>
      <c r="E15" s="133">
        <f t="shared" si="1"/>
        <v>1</v>
      </c>
      <c r="F15" s="132">
        <v>75</v>
      </c>
      <c r="G15" s="133">
        <f t="shared" si="2"/>
        <v>0</v>
      </c>
      <c r="H15" s="132">
        <v>76</v>
      </c>
      <c r="I15" s="133">
        <f t="shared" si="3"/>
        <v>0</v>
      </c>
      <c r="J15" s="133">
        <f t="shared" si="4"/>
        <v>309</v>
      </c>
      <c r="K15" s="133">
        <f t="shared" si="5"/>
        <v>77.25</v>
      </c>
      <c r="L15" s="133">
        <f t="shared" si="6"/>
        <v>0.25</v>
      </c>
      <c r="M15" s="133">
        <f t="shared" si="7"/>
        <v>28000</v>
      </c>
      <c r="N15" s="133">
        <f t="shared" si="8"/>
        <v>70</v>
      </c>
      <c r="O15" s="133">
        <f t="shared" si="9"/>
        <v>37.1</v>
      </c>
      <c r="P15" s="38">
        <f t="shared" si="16"/>
        <v>290.63398000000001</v>
      </c>
      <c r="Q15" s="133"/>
      <c r="R15" s="133"/>
      <c r="S15" s="133"/>
      <c r="T15" s="133"/>
      <c r="U15" s="133"/>
      <c r="V15" s="133"/>
      <c r="W15" s="133"/>
      <c r="X15" s="133"/>
      <c r="Y15" s="133"/>
      <c r="Z15" s="133"/>
      <c r="AA15" s="133"/>
      <c r="AB15" s="133"/>
      <c r="AC15" s="35">
        <f t="shared" si="13"/>
        <v>0</v>
      </c>
      <c r="AD15" s="80">
        <f t="shared" si="14"/>
        <v>0</v>
      </c>
      <c r="AE15" s="80">
        <f t="shared" si="15"/>
        <v>0</v>
      </c>
    </row>
    <row r="16" spans="1:31" ht="32.25" customHeight="1" x14ac:dyDescent="0.3">
      <c r="A16" s="36">
        <f t="shared" si="12"/>
        <v>43927</v>
      </c>
      <c r="B16" s="132">
        <v>78</v>
      </c>
      <c r="C16" s="133">
        <f t="shared" si="0"/>
        <v>1</v>
      </c>
      <c r="D16" s="132">
        <v>79</v>
      </c>
      <c r="E16" s="133">
        <f t="shared" si="1"/>
        <v>1</v>
      </c>
      <c r="F16" s="132">
        <v>75</v>
      </c>
      <c r="G16" s="133">
        <f t="shared" si="2"/>
        <v>-1</v>
      </c>
      <c r="H16" s="132">
        <v>76</v>
      </c>
      <c r="I16" s="133">
        <f t="shared" si="3"/>
        <v>-2</v>
      </c>
      <c r="J16" s="133">
        <f t="shared" si="4"/>
        <v>308</v>
      </c>
      <c r="K16" s="133">
        <f t="shared" si="5"/>
        <v>77</v>
      </c>
      <c r="L16" s="133">
        <f t="shared" si="6"/>
        <v>-0.25</v>
      </c>
      <c r="M16" s="133">
        <f t="shared" si="7"/>
        <v>28000</v>
      </c>
      <c r="N16" s="133">
        <f t="shared" si="8"/>
        <v>-70</v>
      </c>
      <c r="O16" s="133">
        <f t="shared" si="9"/>
        <v>-37.1</v>
      </c>
      <c r="P16" s="38">
        <f t="shared" si="16"/>
        <v>-290.63398000000001</v>
      </c>
      <c r="Q16" s="133"/>
      <c r="R16" s="133"/>
      <c r="S16" s="133"/>
      <c r="T16" s="133"/>
      <c r="U16" s="133"/>
      <c r="V16" s="133"/>
      <c r="W16" s="133"/>
      <c r="X16" s="133"/>
      <c r="Y16" s="133"/>
      <c r="Z16" s="133"/>
      <c r="AA16" s="133"/>
      <c r="AB16" s="133"/>
      <c r="AC16" s="35">
        <f t="shared" si="13"/>
        <v>0</v>
      </c>
      <c r="AD16" s="80">
        <f t="shared" si="14"/>
        <v>0</v>
      </c>
      <c r="AE16" s="80">
        <f t="shared" si="15"/>
        <v>0</v>
      </c>
    </row>
    <row r="17" spans="1:31" ht="32.25" customHeight="1" x14ac:dyDescent="0.3">
      <c r="A17" s="36">
        <f t="shared" si="12"/>
        <v>43928</v>
      </c>
      <c r="B17" s="132">
        <v>77</v>
      </c>
      <c r="C17" s="133">
        <f t="shared" si="0"/>
        <v>0</v>
      </c>
      <c r="D17" s="132">
        <v>78</v>
      </c>
      <c r="E17" s="133">
        <f t="shared" si="1"/>
        <v>0</v>
      </c>
      <c r="F17" s="132">
        <v>76</v>
      </c>
      <c r="G17" s="133">
        <f t="shared" si="2"/>
        <v>1</v>
      </c>
      <c r="H17" s="132">
        <v>78</v>
      </c>
      <c r="I17" s="133">
        <f t="shared" si="3"/>
        <v>0</v>
      </c>
      <c r="J17" s="133">
        <f t="shared" si="4"/>
        <v>309</v>
      </c>
      <c r="K17" s="133">
        <f t="shared" si="5"/>
        <v>77.25</v>
      </c>
      <c r="L17" s="133">
        <f t="shared" si="6"/>
        <v>0.25</v>
      </c>
      <c r="M17" s="133">
        <f t="shared" si="7"/>
        <v>28000</v>
      </c>
      <c r="N17" s="133">
        <f t="shared" si="8"/>
        <v>70</v>
      </c>
      <c r="O17" s="133">
        <f t="shared" si="9"/>
        <v>37.1</v>
      </c>
      <c r="P17" s="38">
        <f t="shared" si="16"/>
        <v>290.63398000000001</v>
      </c>
      <c r="Q17" s="133"/>
      <c r="R17" s="133"/>
      <c r="S17" s="133"/>
      <c r="T17" s="133"/>
      <c r="U17" s="133"/>
      <c r="V17" s="133"/>
      <c r="W17" s="133"/>
      <c r="X17" s="133"/>
      <c r="Y17" s="133"/>
      <c r="Z17" s="133"/>
      <c r="AA17" s="133"/>
      <c r="AB17" s="133"/>
      <c r="AC17" s="35">
        <f t="shared" si="13"/>
        <v>0</v>
      </c>
      <c r="AD17" s="80">
        <f t="shared" si="14"/>
        <v>0</v>
      </c>
      <c r="AE17" s="80">
        <f t="shared" si="15"/>
        <v>0</v>
      </c>
    </row>
    <row r="18" spans="1:31" ht="32.25" customHeight="1" x14ac:dyDescent="0.3">
      <c r="A18" s="36">
        <f t="shared" si="12"/>
        <v>43929</v>
      </c>
      <c r="B18" s="132">
        <v>77</v>
      </c>
      <c r="C18" s="133">
        <f t="shared" si="0"/>
        <v>0</v>
      </c>
      <c r="D18" s="132">
        <v>78</v>
      </c>
      <c r="E18" s="133">
        <f t="shared" si="1"/>
        <v>0</v>
      </c>
      <c r="F18" s="132">
        <v>75</v>
      </c>
      <c r="G18" s="133">
        <f t="shared" si="2"/>
        <v>0</v>
      </c>
      <c r="H18" s="132">
        <v>78</v>
      </c>
      <c r="I18" s="133">
        <f t="shared" si="3"/>
        <v>1</v>
      </c>
      <c r="J18" s="133">
        <f t="shared" si="4"/>
        <v>308</v>
      </c>
      <c r="K18" s="133">
        <f t="shared" si="5"/>
        <v>77</v>
      </c>
      <c r="L18" s="133">
        <f t="shared" si="6"/>
        <v>0.25</v>
      </c>
      <c r="M18" s="133">
        <f t="shared" si="7"/>
        <v>28000</v>
      </c>
      <c r="N18" s="133">
        <f t="shared" si="8"/>
        <v>70</v>
      </c>
      <c r="O18" s="133">
        <f t="shared" si="9"/>
        <v>37.1</v>
      </c>
      <c r="P18" s="38">
        <f t="shared" si="16"/>
        <v>290.63398000000001</v>
      </c>
      <c r="Q18" s="133"/>
      <c r="R18" s="133"/>
      <c r="S18" s="133"/>
      <c r="T18" s="133"/>
      <c r="U18" s="133"/>
      <c r="V18" s="133"/>
      <c r="W18" s="133"/>
      <c r="X18" s="133"/>
      <c r="Y18" s="133"/>
      <c r="Z18" s="133"/>
      <c r="AA18" s="133"/>
      <c r="AB18" s="133"/>
      <c r="AC18" s="35">
        <f t="shared" si="13"/>
        <v>0</v>
      </c>
      <c r="AD18" s="80">
        <f t="shared" si="14"/>
        <v>0</v>
      </c>
      <c r="AE18" s="80">
        <f t="shared" si="15"/>
        <v>0</v>
      </c>
    </row>
    <row r="19" spans="1:31" ht="32.25" customHeight="1" x14ac:dyDescent="0.3">
      <c r="A19" s="36">
        <f t="shared" si="12"/>
        <v>43930</v>
      </c>
      <c r="B19" s="132">
        <v>77</v>
      </c>
      <c r="C19" s="133">
        <f t="shared" si="0"/>
        <v>0</v>
      </c>
      <c r="D19" s="132">
        <v>78</v>
      </c>
      <c r="E19" s="133">
        <f t="shared" si="1"/>
        <v>1</v>
      </c>
      <c r="F19" s="132">
        <v>75</v>
      </c>
      <c r="G19" s="133">
        <f t="shared" si="2"/>
        <v>0</v>
      </c>
      <c r="H19" s="132">
        <v>77</v>
      </c>
      <c r="I19" s="133">
        <f t="shared" si="3"/>
        <v>0</v>
      </c>
      <c r="J19" s="133">
        <f t="shared" si="4"/>
        <v>307</v>
      </c>
      <c r="K19" s="133">
        <f t="shared" si="5"/>
        <v>76.75</v>
      </c>
      <c r="L19" s="133">
        <f t="shared" si="6"/>
        <v>0.25</v>
      </c>
      <c r="M19" s="133">
        <f t="shared" si="7"/>
        <v>28000</v>
      </c>
      <c r="N19" s="133">
        <f t="shared" si="8"/>
        <v>70</v>
      </c>
      <c r="O19" s="133">
        <f t="shared" si="9"/>
        <v>37.1</v>
      </c>
      <c r="P19" s="38">
        <f t="shared" si="16"/>
        <v>290.63398000000001</v>
      </c>
      <c r="Q19" s="133"/>
      <c r="R19" s="133"/>
      <c r="S19" s="133"/>
      <c r="T19" s="133"/>
      <c r="U19" s="133"/>
      <c r="V19" s="133"/>
      <c r="W19" s="133"/>
      <c r="X19" s="133"/>
      <c r="Y19" s="133"/>
      <c r="Z19" s="133"/>
      <c r="AA19" s="133"/>
      <c r="AB19" s="133"/>
      <c r="AC19" s="35">
        <f t="shared" si="13"/>
        <v>0</v>
      </c>
      <c r="AD19" s="80">
        <f t="shared" si="14"/>
        <v>0</v>
      </c>
      <c r="AE19" s="80">
        <f t="shared" si="15"/>
        <v>0</v>
      </c>
    </row>
    <row r="20" spans="1:31" ht="32.25" customHeight="1" x14ac:dyDescent="0.3">
      <c r="A20" s="36">
        <f t="shared" si="12"/>
        <v>43931</v>
      </c>
      <c r="B20" s="132">
        <v>77</v>
      </c>
      <c r="C20" s="133">
        <f t="shared" si="0"/>
        <v>0</v>
      </c>
      <c r="D20" s="132">
        <v>77</v>
      </c>
      <c r="E20" s="133">
        <f t="shared" si="1"/>
        <v>0</v>
      </c>
      <c r="F20" s="132">
        <v>75</v>
      </c>
      <c r="G20" s="133">
        <f t="shared" si="2"/>
        <v>0</v>
      </c>
      <c r="H20" s="132">
        <v>77</v>
      </c>
      <c r="I20" s="133">
        <f t="shared" si="3"/>
        <v>0</v>
      </c>
      <c r="J20" s="133">
        <f t="shared" si="4"/>
        <v>306</v>
      </c>
      <c r="K20" s="133">
        <f t="shared" si="5"/>
        <v>76.5</v>
      </c>
      <c r="L20" s="133">
        <f t="shared" si="6"/>
        <v>0</v>
      </c>
      <c r="M20" s="133">
        <f t="shared" si="7"/>
        <v>28000</v>
      </c>
      <c r="N20" s="133">
        <f t="shared" si="8"/>
        <v>0</v>
      </c>
      <c r="O20" s="133">
        <f t="shared" si="9"/>
        <v>0</v>
      </c>
      <c r="P20" s="38">
        <f t="shared" si="16"/>
        <v>0</v>
      </c>
      <c r="Q20" s="133"/>
      <c r="R20" s="133"/>
      <c r="S20" s="133"/>
      <c r="T20" s="133"/>
      <c r="U20" s="133"/>
      <c r="V20" s="133"/>
      <c r="W20" s="133"/>
      <c r="X20" s="133"/>
      <c r="Y20" s="133"/>
      <c r="Z20" s="133"/>
      <c r="AA20" s="133"/>
      <c r="AB20" s="133"/>
      <c r="AC20" s="35">
        <f t="shared" si="13"/>
        <v>0</v>
      </c>
      <c r="AD20" s="80">
        <f t="shared" si="14"/>
        <v>0</v>
      </c>
      <c r="AE20" s="80">
        <f t="shared" si="15"/>
        <v>0</v>
      </c>
    </row>
    <row r="21" spans="1:31" ht="32.25" customHeight="1" x14ac:dyDescent="0.3">
      <c r="A21" s="36">
        <f t="shared" si="12"/>
        <v>43932</v>
      </c>
      <c r="B21" s="132">
        <v>77</v>
      </c>
      <c r="C21" s="133">
        <f t="shared" si="0"/>
        <v>0</v>
      </c>
      <c r="D21" s="132">
        <v>77</v>
      </c>
      <c r="E21" s="133">
        <f t="shared" si="1"/>
        <v>0</v>
      </c>
      <c r="F21" s="132">
        <v>75</v>
      </c>
      <c r="G21" s="133">
        <f t="shared" si="2"/>
        <v>0</v>
      </c>
      <c r="H21" s="132">
        <v>77</v>
      </c>
      <c r="I21" s="133">
        <f t="shared" si="3"/>
        <v>0</v>
      </c>
      <c r="J21" s="133">
        <f t="shared" si="4"/>
        <v>306</v>
      </c>
      <c r="K21" s="133">
        <f t="shared" si="5"/>
        <v>76.5</v>
      </c>
      <c r="L21" s="133">
        <f t="shared" si="6"/>
        <v>0</v>
      </c>
      <c r="M21" s="133">
        <f t="shared" si="7"/>
        <v>28000</v>
      </c>
      <c r="N21" s="133">
        <f t="shared" si="8"/>
        <v>0</v>
      </c>
      <c r="O21" s="133">
        <f t="shared" si="9"/>
        <v>0</v>
      </c>
      <c r="P21" s="38">
        <f t="shared" si="16"/>
        <v>0</v>
      </c>
      <c r="Q21" s="133"/>
      <c r="R21" s="133"/>
      <c r="S21" s="133"/>
      <c r="T21" s="133"/>
      <c r="U21" s="133"/>
      <c r="V21" s="133"/>
      <c r="W21" s="133"/>
      <c r="X21" s="133"/>
      <c r="Y21" s="133"/>
      <c r="Z21" s="133"/>
      <c r="AA21" s="133"/>
      <c r="AB21" s="133"/>
      <c r="AC21" s="35">
        <f t="shared" si="13"/>
        <v>0</v>
      </c>
      <c r="AD21" s="80">
        <f t="shared" si="14"/>
        <v>0</v>
      </c>
      <c r="AE21" s="80">
        <f t="shared" si="15"/>
        <v>0</v>
      </c>
    </row>
    <row r="22" spans="1:31" ht="32.25" customHeight="1" x14ac:dyDescent="0.3">
      <c r="A22" s="36">
        <f t="shared" si="12"/>
        <v>43933</v>
      </c>
      <c r="B22" s="132">
        <v>77</v>
      </c>
      <c r="C22" s="133">
        <f t="shared" ref="C22:C25" si="19">IF(AC22&gt;0,((B22-R22)+(S22-B23)),IF(B23=0, ,(B22-B23)))</f>
        <v>0</v>
      </c>
      <c r="D22" s="132">
        <v>77</v>
      </c>
      <c r="E22" s="133">
        <f t="shared" ref="E22:E25" si="20">IF(AC22&gt;0,((D22-U22)+(V22-D23)),IF(D23=0, ,(D22-D23)))</f>
        <v>0</v>
      </c>
      <c r="F22" s="132">
        <v>75</v>
      </c>
      <c r="G22" s="133">
        <f t="shared" ref="G22:G25" si="21">IF(AC22&gt;0,((F22-X22)+(Y22-F23)),IF(F23=0, ,(F22-F23)))</f>
        <v>0</v>
      </c>
      <c r="H22" s="132">
        <v>77</v>
      </c>
      <c r="I22" s="133">
        <f t="shared" si="3"/>
        <v>0</v>
      </c>
      <c r="J22" s="133">
        <f t="shared" si="4"/>
        <v>306</v>
      </c>
      <c r="K22" s="133">
        <f t="shared" si="5"/>
        <v>76.5</v>
      </c>
      <c r="L22" s="133">
        <f t="shared" si="6"/>
        <v>0</v>
      </c>
      <c r="M22" s="133">
        <f t="shared" si="7"/>
        <v>28000</v>
      </c>
      <c r="N22" s="133">
        <f t="shared" si="8"/>
        <v>0</v>
      </c>
      <c r="O22" s="133">
        <f t="shared" si="9"/>
        <v>0</v>
      </c>
      <c r="P22" s="38">
        <f t="shared" si="16"/>
        <v>0</v>
      </c>
      <c r="Q22" s="133"/>
      <c r="R22" s="133"/>
      <c r="S22" s="133"/>
      <c r="T22" s="133"/>
      <c r="U22" s="133"/>
      <c r="V22" s="133"/>
      <c r="W22" s="133"/>
      <c r="X22" s="133"/>
      <c r="Y22" s="133"/>
      <c r="Z22" s="133"/>
      <c r="AA22" s="133"/>
      <c r="AB22" s="133"/>
      <c r="AC22" s="35">
        <f t="shared" si="13"/>
        <v>0</v>
      </c>
      <c r="AD22" s="80">
        <f t="shared" si="14"/>
        <v>0</v>
      </c>
      <c r="AE22" s="80">
        <f t="shared" si="15"/>
        <v>0</v>
      </c>
    </row>
    <row r="23" spans="1:31" ht="32.25" customHeight="1" x14ac:dyDescent="0.3">
      <c r="A23" s="36">
        <f t="shared" si="12"/>
        <v>43934</v>
      </c>
      <c r="B23" s="132">
        <v>77</v>
      </c>
      <c r="C23" s="133">
        <f t="shared" si="19"/>
        <v>0</v>
      </c>
      <c r="D23" s="132">
        <v>77</v>
      </c>
      <c r="E23" s="133">
        <f t="shared" si="20"/>
        <v>0</v>
      </c>
      <c r="F23" s="132">
        <v>75</v>
      </c>
      <c r="G23" s="133">
        <f t="shared" si="21"/>
        <v>0</v>
      </c>
      <c r="H23" s="132">
        <v>77</v>
      </c>
      <c r="I23" s="133">
        <f t="shared" si="3"/>
        <v>0</v>
      </c>
      <c r="J23" s="133">
        <f t="shared" si="4"/>
        <v>306</v>
      </c>
      <c r="K23" s="133">
        <f t="shared" si="5"/>
        <v>76.5</v>
      </c>
      <c r="L23" s="133">
        <f t="shared" si="6"/>
        <v>0</v>
      </c>
      <c r="M23" s="133">
        <f t="shared" si="7"/>
        <v>28000</v>
      </c>
      <c r="N23" s="133">
        <f t="shared" si="8"/>
        <v>0</v>
      </c>
      <c r="O23" s="133">
        <f t="shared" si="9"/>
        <v>0</v>
      </c>
      <c r="P23" s="38">
        <f t="shared" si="16"/>
        <v>0</v>
      </c>
      <c r="Q23" s="133"/>
      <c r="R23" s="133"/>
      <c r="S23" s="133"/>
      <c r="T23" s="133"/>
      <c r="U23" s="133"/>
      <c r="V23" s="133"/>
      <c r="W23" s="133"/>
      <c r="X23" s="133"/>
      <c r="Y23" s="133"/>
      <c r="Z23" s="133"/>
      <c r="AA23" s="133"/>
      <c r="AB23" s="133"/>
      <c r="AC23" s="35">
        <f t="shared" si="13"/>
        <v>0</v>
      </c>
      <c r="AD23" s="80">
        <f t="shared" si="14"/>
        <v>0</v>
      </c>
      <c r="AE23" s="80">
        <f t="shared" si="15"/>
        <v>0</v>
      </c>
    </row>
    <row r="24" spans="1:31" ht="32.25" customHeight="1" x14ac:dyDescent="0.3">
      <c r="A24" s="36">
        <f t="shared" si="12"/>
        <v>43935</v>
      </c>
      <c r="B24" s="132">
        <v>77</v>
      </c>
      <c r="C24" s="133">
        <f t="shared" si="19"/>
        <v>0</v>
      </c>
      <c r="D24" s="132">
        <v>77</v>
      </c>
      <c r="E24" s="133">
        <f t="shared" si="20"/>
        <v>0</v>
      </c>
      <c r="F24" s="132">
        <v>75</v>
      </c>
      <c r="G24" s="133">
        <f t="shared" si="21"/>
        <v>0</v>
      </c>
      <c r="H24" s="132">
        <v>77</v>
      </c>
      <c r="I24" s="133">
        <f t="shared" si="3"/>
        <v>0</v>
      </c>
      <c r="J24" s="133">
        <f t="shared" si="4"/>
        <v>306</v>
      </c>
      <c r="K24" s="133">
        <f t="shared" si="5"/>
        <v>76.5</v>
      </c>
      <c r="L24" s="133">
        <f t="shared" si="6"/>
        <v>0</v>
      </c>
      <c r="M24" s="133">
        <f t="shared" si="7"/>
        <v>28000</v>
      </c>
      <c r="N24" s="133">
        <f t="shared" si="8"/>
        <v>0</v>
      </c>
      <c r="O24" s="133">
        <f t="shared" si="9"/>
        <v>0</v>
      </c>
      <c r="P24" s="38">
        <f t="shared" si="16"/>
        <v>0</v>
      </c>
      <c r="Q24" s="133"/>
      <c r="R24" s="133"/>
      <c r="S24" s="133"/>
      <c r="T24" s="133"/>
      <c r="U24" s="133"/>
      <c r="V24" s="133"/>
      <c r="W24" s="133"/>
      <c r="X24" s="133"/>
      <c r="Y24" s="133"/>
      <c r="Z24" s="133"/>
      <c r="AA24" s="133"/>
      <c r="AB24" s="133"/>
      <c r="AC24" s="35">
        <f t="shared" si="13"/>
        <v>0</v>
      </c>
      <c r="AD24" s="80">
        <f t="shared" si="14"/>
        <v>0</v>
      </c>
      <c r="AE24" s="80">
        <f t="shared" si="15"/>
        <v>0</v>
      </c>
    </row>
    <row r="25" spans="1:31" ht="32.25" customHeight="1" x14ac:dyDescent="0.3">
      <c r="A25" s="36">
        <f t="shared" si="12"/>
        <v>43936</v>
      </c>
      <c r="B25" s="132">
        <v>77</v>
      </c>
      <c r="C25" s="133">
        <f t="shared" si="19"/>
        <v>0</v>
      </c>
      <c r="D25" s="132">
        <v>77</v>
      </c>
      <c r="E25" s="133">
        <f t="shared" si="20"/>
        <v>0</v>
      </c>
      <c r="F25" s="132">
        <v>75</v>
      </c>
      <c r="G25" s="133">
        <f t="shared" si="21"/>
        <v>0</v>
      </c>
      <c r="H25" s="132">
        <v>77</v>
      </c>
      <c r="I25" s="133">
        <f t="shared" si="3"/>
        <v>0</v>
      </c>
      <c r="J25" s="133">
        <f t="shared" si="4"/>
        <v>306</v>
      </c>
      <c r="K25" s="133">
        <f t="shared" si="5"/>
        <v>76.5</v>
      </c>
      <c r="L25" s="133">
        <f t="shared" si="6"/>
        <v>0</v>
      </c>
      <c r="M25" s="133">
        <f t="shared" si="7"/>
        <v>28000</v>
      </c>
      <c r="N25" s="133">
        <f t="shared" si="8"/>
        <v>0</v>
      </c>
      <c r="O25" s="133">
        <f t="shared" si="9"/>
        <v>0</v>
      </c>
      <c r="P25" s="38">
        <f t="shared" si="16"/>
        <v>0</v>
      </c>
      <c r="Q25" s="133"/>
      <c r="R25" s="133"/>
      <c r="S25" s="133"/>
      <c r="T25" s="133"/>
      <c r="U25" s="133"/>
      <c r="V25" s="133"/>
      <c r="W25" s="133"/>
      <c r="X25" s="133"/>
      <c r="Y25" s="133"/>
      <c r="Z25" s="133"/>
      <c r="AA25" s="133"/>
      <c r="AB25" s="133"/>
      <c r="AC25" s="35">
        <f t="shared" si="13"/>
        <v>0</v>
      </c>
      <c r="AD25" s="80">
        <f t="shared" si="14"/>
        <v>0</v>
      </c>
      <c r="AE25" s="80">
        <f t="shared" si="15"/>
        <v>0</v>
      </c>
    </row>
    <row r="26" spans="1:31" ht="32.25" customHeight="1" x14ac:dyDescent="0.3">
      <c r="A26" s="36">
        <f t="shared" si="12"/>
        <v>43937</v>
      </c>
      <c r="B26" s="132">
        <v>77</v>
      </c>
      <c r="C26" s="133">
        <f t="shared" ref="C26" si="22">IF(AC26&gt;0,((B26-R26)+(S26-B27)),IF(B27=0, ,(B26-B27)))</f>
        <v>0</v>
      </c>
      <c r="D26" s="132">
        <v>77</v>
      </c>
      <c r="E26" s="133">
        <f t="shared" ref="E26" si="23">IF(AC26&gt;0,((D26-U26)+(V26-D27)),IF(D27=0, ,(D26-D27)))</f>
        <v>0</v>
      </c>
      <c r="F26" s="132">
        <v>75</v>
      </c>
      <c r="G26" s="133">
        <f t="shared" ref="G26" si="24">IF(AC26&gt;0,((F26-X26)+(Y26-F27)),IF(F27=0, ,(F26-F27)))</f>
        <v>0</v>
      </c>
      <c r="H26" s="132">
        <v>77</v>
      </c>
      <c r="I26" s="133">
        <f t="shared" si="3"/>
        <v>0</v>
      </c>
      <c r="J26" s="133">
        <f t="shared" si="4"/>
        <v>306</v>
      </c>
      <c r="K26" s="133">
        <f t="shared" si="5"/>
        <v>76.5</v>
      </c>
      <c r="L26" s="133">
        <f t="shared" si="6"/>
        <v>0</v>
      </c>
      <c r="M26" s="133">
        <f t="shared" si="7"/>
        <v>28000</v>
      </c>
      <c r="N26" s="133">
        <f t="shared" si="8"/>
        <v>0</v>
      </c>
      <c r="O26" s="133">
        <f t="shared" si="9"/>
        <v>0</v>
      </c>
      <c r="P26" s="38">
        <f t="shared" si="16"/>
        <v>0</v>
      </c>
      <c r="Q26" s="133"/>
      <c r="R26" s="133"/>
      <c r="S26" s="133"/>
      <c r="T26" s="133"/>
      <c r="U26" s="133"/>
      <c r="V26" s="133"/>
      <c r="W26" s="133"/>
      <c r="X26" s="133"/>
      <c r="Y26" s="133"/>
      <c r="Z26" s="133"/>
      <c r="AA26" s="133"/>
      <c r="AB26" s="133"/>
      <c r="AC26" s="35">
        <f t="shared" si="13"/>
        <v>0</v>
      </c>
      <c r="AD26" s="80">
        <f t="shared" si="14"/>
        <v>0</v>
      </c>
      <c r="AE26" s="80">
        <f t="shared" si="15"/>
        <v>0</v>
      </c>
    </row>
    <row r="27" spans="1:31" ht="32.25" customHeight="1" x14ac:dyDescent="0.3">
      <c r="A27" s="36">
        <f t="shared" si="12"/>
        <v>43938</v>
      </c>
      <c r="B27" s="132">
        <v>77</v>
      </c>
      <c r="C27" s="133">
        <f t="shared" ref="C27:C42" si="25">IF(AC27&gt;0,((B27-R27)+(S27-B28)),IF(B28=0, ,(B27-B28)))</f>
        <v>0</v>
      </c>
      <c r="D27" s="132">
        <v>77</v>
      </c>
      <c r="E27" s="133">
        <f t="shared" ref="E27:E42" si="26">IF(AC27&gt;0,((D27-U27)+(V27-D28)),IF(D28=0, ,(D27-D28)))</f>
        <v>0</v>
      </c>
      <c r="F27" s="132">
        <v>75</v>
      </c>
      <c r="G27" s="133">
        <f t="shared" ref="G27:G42" si="27">IF(AC27&gt;0,((F27-X27)+(Y27-F28)),IF(F28=0, ,(F27-F28)))</f>
        <v>0</v>
      </c>
      <c r="H27" s="132">
        <v>77</v>
      </c>
      <c r="I27" s="133">
        <f t="shared" si="3"/>
        <v>0</v>
      </c>
      <c r="J27" s="133">
        <f t="shared" si="4"/>
        <v>306</v>
      </c>
      <c r="K27" s="133">
        <f t="shared" si="5"/>
        <v>76.5</v>
      </c>
      <c r="L27" s="133">
        <f t="shared" si="6"/>
        <v>0</v>
      </c>
      <c r="M27" s="133">
        <f t="shared" si="7"/>
        <v>28000</v>
      </c>
      <c r="N27" s="133">
        <f t="shared" si="8"/>
        <v>0</v>
      </c>
      <c r="O27" s="133">
        <f t="shared" si="9"/>
        <v>0</v>
      </c>
      <c r="P27" s="38">
        <f t="shared" si="16"/>
        <v>0</v>
      </c>
      <c r="Q27" s="133"/>
      <c r="R27" s="133"/>
      <c r="S27" s="133"/>
      <c r="T27" s="133"/>
      <c r="U27" s="133"/>
      <c r="V27" s="133"/>
      <c r="W27" s="133"/>
      <c r="X27" s="133"/>
      <c r="Y27" s="133"/>
      <c r="Z27" s="133"/>
      <c r="AA27" s="133"/>
      <c r="AB27" s="133"/>
      <c r="AC27" s="35">
        <f t="shared" si="13"/>
        <v>0</v>
      </c>
      <c r="AD27" s="80">
        <f t="shared" si="14"/>
        <v>0</v>
      </c>
      <c r="AE27" s="80">
        <f t="shared" si="15"/>
        <v>0</v>
      </c>
    </row>
    <row r="28" spans="1:31" ht="32.25" customHeight="1" x14ac:dyDescent="0.3">
      <c r="A28" s="36">
        <f t="shared" si="12"/>
        <v>43939</v>
      </c>
      <c r="B28" s="132">
        <v>77</v>
      </c>
      <c r="C28" s="133">
        <f t="shared" si="25"/>
        <v>1</v>
      </c>
      <c r="D28" s="132">
        <v>77</v>
      </c>
      <c r="E28" s="133">
        <f t="shared" si="26"/>
        <v>0</v>
      </c>
      <c r="F28" s="132">
        <v>75</v>
      </c>
      <c r="G28" s="133">
        <f t="shared" si="27"/>
        <v>0</v>
      </c>
      <c r="H28" s="132">
        <v>77</v>
      </c>
      <c r="I28" s="133">
        <f t="shared" si="3"/>
        <v>0</v>
      </c>
      <c r="J28" s="133">
        <f t="shared" si="4"/>
        <v>306</v>
      </c>
      <c r="K28" s="133">
        <f t="shared" si="5"/>
        <v>76.5</v>
      </c>
      <c r="L28" s="133">
        <f t="shared" si="6"/>
        <v>0.25</v>
      </c>
      <c r="M28" s="133">
        <f t="shared" si="7"/>
        <v>28000</v>
      </c>
      <c r="N28" s="133">
        <f t="shared" si="8"/>
        <v>70</v>
      </c>
      <c r="O28" s="133">
        <f t="shared" si="9"/>
        <v>37.1</v>
      </c>
      <c r="P28" s="38">
        <f t="shared" si="16"/>
        <v>290.63398000000001</v>
      </c>
      <c r="Q28" s="133"/>
      <c r="R28" s="133"/>
      <c r="S28" s="133"/>
      <c r="T28" s="133"/>
      <c r="U28" s="133"/>
      <c r="V28" s="133"/>
      <c r="W28" s="133"/>
      <c r="X28" s="133"/>
      <c r="Y28" s="133"/>
      <c r="Z28" s="133"/>
      <c r="AA28" s="133"/>
      <c r="AB28" s="133"/>
      <c r="AC28" s="35">
        <f t="shared" si="13"/>
        <v>0</v>
      </c>
      <c r="AD28" s="80">
        <f t="shared" si="14"/>
        <v>0</v>
      </c>
      <c r="AE28" s="80">
        <f t="shared" si="15"/>
        <v>0</v>
      </c>
    </row>
    <row r="29" spans="1:31" ht="32.25" customHeight="1" x14ac:dyDescent="0.3">
      <c r="A29" s="36">
        <f t="shared" si="12"/>
        <v>43940</v>
      </c>
      <c r="B29" s="132">
        <v>76</v>
      </c>
      <c r="C29" s="133">
        <f t="shared" si="25"/>
        <v>0</v>
      </c>
      <c r="D29" s="132">
        <v>77</v>
      </c>
      <c r="E29" s="133">
        <f t="shared" si="26"/>
        <v>0</v>
      </c>
      <c r="F29" s="132">
        <v>75</v>
      </c>
      <c r="G29" s="133">
        <f t="shared" si="27"/>
        <v>0</v>
      </c>
      <c r="H29" s="132">
        <v>77</v>
      </c>
      <c r="I29" s="133">
        <f t="shared" si="3"/>
        <v>0</v>
      </c>
      <c r="J29" s="133">
        <f t="shared" si="4"/>
        <v>305</v>
      </c>
      <c r="K29" s="133">
        <f t="shared" si="5"/>
        <v>76.25</v>
      </c>
      <c r="L29" s="133">
        <f t="shared" si="6"/>
        <v>0</v>
      </c>
      <c r="M29" s="133">
        <f t="shared" si="7"/>
        <v>28000</v>
      </c>
      <c r="N29" s="133">
        <f t="shared" si="8"/>
        <v>0</v>
      </c>
      <c r="O29" s="133">
        <f t="shared" si="9"/>
        <v>0</v>
      </c>
      <c r="P29" s="38">
        <f t="shared" si="16"/>
        <v>0</v>
      </c>
      <c r="Q29" s="133"/>
      <c r="R29" s="133"/>
      <c r="S29" s="133"/>
      <c r="T29" s="133"/>
      <c r="U29" s="133"/>
      <c r="V29" s="133"/>
      <c r="W29" s="133"/>
      <c r="X29" s="133"/>
      <c r="Y29" s="133"/>
      <c r="Z29" s="133"/>
      <c r="AA29" s="133"/>
      <c r="AB29" s="133"/>
      <c r="AC29" s="35">
        <f t="shared" si="13"/>
        <v>0</v>
      </c>
      <c r="AD29" s="80">
        <f t="shared" si="14"/>
        <v>0</v>
      </c>
      <c r="AE29" s="80">
        <f t="shared" si="15"/>
        <v>0</v>
      </c>
    </row>
    <row r="30" spans="1:31" ht="32.25" customHeight="1" x14ac:dyDescent="0.3">
      <c r="A30" s="36">
        <f t="shared" si="12"/>
        <v>43941</v>
      </c>
      <c r="B30" s="132">
        <v>76</v>
      </c>
      <c r="C30" s="133">
        <f t="shared" ref="C30" si="28">IF(AC30&gt;0,((B30-R30)+(S30-B31)),IF(B31=0, ,(B30-B31)))</f>
        <v>0</v>
      </c>
      <c r="D30" s="132">
        <v>77</v>
      </c>
      <c r="E30" s="133">
        <f t="shared" ref="E30" si="29">IF(AC30&gt;0,((D30-U30)+(V30-D31)),IF(D31=0, ,(D30-D31)))</f>
        <v>0</v>
      </c>
      <c r="F30" s="132">
        <v>75</v>
      </c>
      <c r="G30" s="133">
        <f t="shared" ref="G30" si="30">IF(AC30&gt;0,((F30-X30)+(Y30-F31)),IF(F31=0, ,(F30-F31)))</f>
        <v>0</v>
      </c>
      <c r="H30" s="132">
        <v>77</v>
      </c>
      <c r="I30" s="133">
        <f t="shared" si="3"/>
        <v>0</v>
      </c>
      <c r="J30" s="133">
        <f t="shared" si="4"/>
        <v>305</v>
      </c>
      <c r="K30" s="133">
        <f t="shared" si="5"/>
        <v>76.25</v>
      </c>
      <c r="L30" s="133">
        <f t="shared" si="6"/>
        <v>0</v>
      </c>
      <c r="M30" s="133">
        <f t="shared" si="7"/>
        <v>28000</v>
      </c>
      <c r="N30" s="133">
        <f t="shared" si="8"/>
        <v>0</v>
      </c>
      <c r="O30" s="133">
        <f t="shared" si="9"/>
        <v>0</v>
      </c>
      <c r="P30" s="38">
        <f t="shared" si="16"/>
        <v>0</v>
      </c>
      <c r="Q30" s="133"/>
      <c r="R30" s="133"/>
      <c r="S30" s="133"/>
      <c r="T30" s="133"/>
      <c r="U30" s="133"/>
      <c r="V30" s="133"/>
      <c r="W30" s="133"/>
      <c r="X30" s="133"/>
      <c r="Y30" s="133"/>
      <c r="Z30" s="133"/>
      <c r="AA30" s="133"/>
      <c r="AB30" s="133"/>
      <c r="AC30" s="35">
        <f t="shared" si="13"/>
        <v>0</v>
      </c>
      <c r="AD30" s="80">
        <f t="shared" si="14"/>
        <v>0</v>
      </c>
      <c r="AE30" s="80">
        <f t="shared" si="15"/>
        <v>0</v>
      </c>
    </row>
    <row r="31" spans="1:31" ht="32.25" customHeight="1" x14ac:dyDescent="0.3">
      <c r="A31" s="36">
        <f t="shared" si="12"/>
        <v>43942</v>
      </c>
      <c r="B31" s="149">
        <v>76</v>
      </c>
      <c r="C31" s="133">
        <f t="shared" si="25"/>
        <v>0</v>
      </c>
      <c r="D31" s="150">
        <v>77</v>
      </c>
      <c r="E31" s="133">
        <f t="shared" si="26"/>
        <v>0</v>
      </c>
      <c r="F31" s="151">
        <v>75</v>
      </c>
      <c r="G31" s="133">
        <f t="shared" si="27"/>
        <v>0</v>
      </c>
      <c r="H31" s="152">
        <v>77</v>
      </c>
      <c r="I31" s="133">
        <f t="shared" si="3"/>
        <v>0</v>
      </c>
      <c r="J31" s="133">
        <f t="shared" si="4"/>
        <v>305</v>
      </c>
      <c r="K31" s="133">
        <f t="shared" si="5"/>
        <v>76.25</v>
      </c>
      <c r="L31" s="133">
        <f t="shared" si="6"/>
        <v>0</v>
      </c>
      <c r="M31" s="133">
        <f t="shared" si="7"/>
        <v>28000</v>
      </c>
      <c r="N31" s="133">
        <f t="shared" si="8"/>
        <v>0</v>
      </c>
      <c r="O31" s="133">
        <f t="shared" si="9"/>
        <v>0</v>
      </c>
      <c r="P31" s="38">
        <f t="shared" si="16"/>
        <v>0</v>
      </c>
      <c r="Q31" s="133"/>
      <c r="R31" s="133"/>
      <c r="S31" s="133"/>
      <c r="T31" s="133"/>
      <c r="U31" s="133"/>
      <c r="V31" s="133"/>
      <c r="W31" s="133"/>
      <c r="X31" s="133"/>
      <c r="Y31" s="133"/>
      <c r="Z31" s="133"/>
      <c r="AA31" s="133"/>
      <c r="AB31" s="133"/>
      <c r="AC31" s="35">
        <f t="shared" si="13"/>
        <v>0</v>
      </c>
      <c r="AD31" s="80">
        <f t="shared" si="14"/>
        <v>0</v>
      </c>
      <c r="AE31" s="80">
        <f t="shared" si="15"/>
        <v>0</v>
      </c>
    </row>
    <row r="32" spans="1:31" ht="32.25" customHeight="1" x14ac:dyDescent="0.3">
      <c r="A32" s="36">
        <f t="shared" si="12"/>
        <v>43943</v>
      </c>
      <c r="B32" s="149">
        <v>76</v>
      </c>
      <c r="C32" s="133">
        <f t="shared" si="25"/>
        <v>0</v>
      </c>
      <c r="D32" s="150">
        <v>77</v>
      </c>
      <c r="E32" s="133">
        <f t="shared" si="26"/>
        <v>0</v>
      </c>
      <c r="F32" s="151">
        <v>75</v>
      </c>
      <c r="G32" s="133">
        <f t="shared" si="27"/>
        <v>0</v>
      </c>
      <c r="H32" s="152">
        <v>77</v>
      </c>
      <c r="I32" s="133">
        <f t="shared" si="3"/>
        <v>0</v>
      </c>
      <c r="J32" s="133">
        <f t="shared" si="4"/>
        <v>305</v>
      </c>
      <c r="K32" s="133">
        <f t="shared" si="5"/>
        <v>76.25</v>
      </c>
      <c r="L32" s="133">
        <f t="shared" si="6"/>
        <v>0</v>
      </c>
      <c r="M32" s="133">
        <f t="shared" si="7"/>
        <v>28000</v>
      </c>
      <c r="N32" s="133">
        <f t="shared" si="8"/>
        <v>0</v>
      </c>
      <c r="O32" s="133">
        <f t="shared" si="9"/>
        <v>0</v>
      </c>
      <c r="P32" s="38">
        <f t="shared" si="16"/>
        <v>0</v>
      </c>
      <c r="Q32" s="133"/>
      <c r="R32" s="133"/>
      <c r="S32" s="133"/>
      <c r="T32" s="133"/>
      <c r="U32" s="133"/>
      <c r="V32" s="133"/>
      <c r="W32" s="133"/>
      <c r="X32" s="133"/>
      <c r="Y32" s="133"/>
      <c r="Z32" s="133"/>
      <c r="AA32" s="133"/>
      <c r="AB32" s="133"/>
      <c r="AC32" s="35">
        <f t="shared" si="13"/>
        <v>0</v>
      </c>
      <c r="AD32" s="80">
        <f t="shared" si="14"/>
        <v>0</v>
      </c>
      <c r="AE32" s="80">
        <f t="shared" si="15"/>
        <v>0</v>
      </c>
    </row>
    <row r="33" spans="1:31" ht="32.25" customHeight="1" x14ac:dyDescent="0.3">
      <c r="A33" s="36">
        <f t="shared" si="12"/>
        <v>43944</v>
      </c>
      <c r="B33" s="149">
        <v>76</v>
      </c>
      <c r="C33" s="133">
        <f t="shared" si="25"/>
        <v>0</v>
      </c>
      <c r="D33" s="150">
        <v>77</v>
      </c>
      <c r="E33" s="133">
        <f t="shared" si="26"/>
        <v>0</v>
      </c>
      <c r="F33" s="151">
        <v>75</v>
      </c>
      <c r="G33" s="133">
        <f t="shared" si="27"/>
        <v>0</v>
      </c>
      <c r="H33" s="152">
        <v>77</v>
      </c>
      <c r="I33" s="133">
        <f t="shared" si="3"/>
        <v>0</v>
      </c>
      <c r="J33" s="133">
        <f t="shared" si="4"/>
        <v>305</v>
      </c>
      <c r="K33" s="133">
        <f t="shared" si="5"/>
        <v>76.25</v>
      </c>
      <c r="L33" s="133">
        <f t="shared" si="6"/>
        <v>0</v>
      </c>
      <c r="M33" s="133">
        <f t="shared" si="7"/>
        <v>28000</v>
      </c>
      <c r="N33" s="133">
        <f t="shared" si="8"/>
        <v>0</v>
      </c>
      <c r="O33" s="133">
        <f t="shared" si="9"/>
        <v>0</v>
      </c>
      <c r="P33" s="38">
        <f t="shared" si="16"/>
        <v>0</v>
      </c>
      <c r="Q33" s="133"/>
      <c r="R33" s="133"/>
      <c r="S33" s="133"/>
      <c r="T33" s="133"/>
      <c r="U33" s="133"/>
      <c r="V33" s="133"/>
      <c r="W33" s="133"/>
      <c r="X33" s="133"/>
      <c r="Y33" s="133"/>
      <c r="Z33" s="133"/>
      <c r="AA33" s="133"/>
      <c r="AB33" s="133"/>
      <c r="AC33" s="35">
        <f t="shared" si="13"/>
        <v>0</v>
      </c>
      <c r="AD33" s="80">
        <f t="shared" si="14"/>
        <v>0</v>
      </c>
      <c r="AE33" s="80">
        <f t="shared" si="15"/>
        <v>0</v>
      </c>
    </row>
    <row r="34" spans="1:31" ht="32.25" customHeight="1" x14ac:dyDescent="0.3">
      <c r="A34" s="36">
        <f t="shared" si="12"/>
        <v>43945</v>
      </c>
      <c r="B34" s="149">
        <v>76</v>
      </c>
      <c r="C34" s="133">
        <f t="shared" si="25"/>
        <v>0</v>
      </c>
      <c r="D34" s="150">
        <v>77</v>
      </c>
      <c r="E34" s="133">
        <f t="shared" si="26"/>
        <v>0</v>
      </c>
      <c r="F34" s="151">
        <v>75</v>
      </c>
      <c r="G34" s="133">
        <f t="shared" si="27"/>
        <v>0</v>
      </c>
      <c r="H34" s="152">
        <v>77</v>
      </c>
      <c r="I34" s="133">
        <f t="shared" si="3"/>
        <v>0</v>
      </c>
      <c r="J34" s="133">
        <f t="shared" si="4"/>
        <v>305</v>
      </c>
      <c r="K34" s="133">
        <f t="shared" si="5"/>
        <v>76.25</v>
      </c>
      <c r="L34" s="133">
        <f t="shared" si="6"/>
        <v>0</v>
      </c>
      <c r="M34" s="133">
        <f t="shared" si="7"/>
        <v>28000</v>
      </c>
      <c r="N34" s="133">
        <f t="shared" si="8"/>
        <v>0</v>
      </c>
      <c r="O34" s="133">
        <f t="shared" si="9"/>
        <v>0</v>
      </c>
      <c r="P34" s="38">
        <f t="shared" si="16"/>
        <v>0</v>
      </c>
      <c r="Q34" s="133"/>
      <c r="R34" s="133"/>
      <c r="S34" s="133"/>
      <c r="T34" s="133"/>
      <c r="U34" s="133"/>
      <c r="V34" s="133"/>
      <c r="W34" s="133"/>
      <c r="X34" s="133"/>
      <c r="Y34" s="133"/>
      <c r="Z34" s="133"/>
      <c r="AA34" s="133"/>
      <c r="AB34" s="133"/>
      <c r="AC34" s="35">
        <f t="shared" si="13"/>
        <v>0</v>
      </c>
      <c r="AD34" s="80">
        <f t="shared" si="14"/>
        <v>0</v>
      </c>
      <c r="AE34" s="80">
        <f t="shared" si="15"/>
        <v>0</v>
      </c>
    </row>
    <row r="35" spans="1:31" ht="32.25" customHeight="1" x14ac:dyDescent="0.3">
      <c r="A35" s="36">
        <f t="shared" si="12"/>
        <v>43946</v>
      </c>
      <c r="B35" s="149">
        <v>76</v>
      </c>
      <c r="C35" s="133">
        <f t="shared" si="25"/>
        <v>0</v>
      </c>
      <c r="D35" s="150">
        <v>77</v>
      </c>
      <c r="E35" s="133">
        <f t="shared" si="26"/>
        <v>0</v>
      </c>
      <c r="F35" s="151">
        <v>75</v>
      </c>
      <c r="G35" s="133">
        <f t="shared" si="27"/>
        <v>0</v>
      </c>
      <c r="H35" s="152">
        <v>77</v>
      </c>
      <c r="I35" s="133">
        <f t="shared" si="3"/>
        <v>1</v>
      </c>
      <c r="J35" s="133">
        <f t="shared" si="4"/>
        <v>305</v>
      </c>
      <c r="K35" s="133">
        <f t="shared" si="5"/>
        <v>76.25</v>
      </c>
      <c r="L35" s="133">
        <f t="shared" si="6"/>
        <v>0.25</v>
      </c>
      <c r="M35" s="133">
        <f t="shared" si="7"/>
        <v>28000</v>
      </c>
      <c r="N35" s="133">
        <f t="shared" si="8"/>
        <v>70</v>
      </c>
      <c r="O35" s="133">
        <f t="shared" si="9"/>
        <v>37.1</v>
      </c>
      <c r="P35" s="38">
        <f t="shared" si="16"/>
        <v>290.63398000000001</v>
      </c>
      <c r="Q35" s="133"/>
      <c r="R35" s="133"/>
      <c r="S35" s="133"/>
      <c r="T35" s="133"/>
      <c r="U35" s="133"/>
      <c r="V35" s="133"/>
      <c r="W35" s="133"/>
      <c r="X35" s="133"/>
      <c r="Y35" s="133"/>
      <c r="Z35" s="133"/>
      <c r="AA35" s="133"/>
      <c r="AB35" s="133"/>
      <c r="AC35" s="35">
        <f t="shared" si="13"/>
        <v>0</v>
      </c>
      <c r="AD35" s="80">
        <f t="shared" si="14"/>
        <v>0</v>
      </c>
      <c r="AE35" s="80">
        <f t="shared" si="15"/>
        <v>0</v>
      </c>
    </row>
    <row r="36" spans="1:31" ht="32.25" customHeight="1" x14ac:dyDescent="0.3">
      <c r="A36" s="36">
        <f t="shared" si="12"/>
        <v>43947</v>
      </c>
      <c r="B36" s="152">
        <v>76</v>
      </c>
      <c r="C36" s="133">
        <f>IF(AC36&gt;0,((B36-R36)+(S36-B37)),IF(B37=0, ,(B36-B37)))</f>
        <v>0</v>
      </c>
      <c r="D36" s="152">
        <v>77</v>
      </c>
      <c r="E36" s="133">
        <f>IF(AC36&gt;0,((D36-U36)+(V36-D37)),IF(D37=0, ,(D36-D37)))</f>
        <v>0</v>
      </c>
      <c r="F36" s="152">
        <v>75</v>
      </c>
      <c r="G36" s="133">
        <f>IF(AC36&gt;0,((F36-X36)+(Y36-F37)),IF(F37=0, ,(F36-F37)))</f>
        <v>0</v>
      </c>
      <c r="H36" s="152">
        <v>76</v>
      </c>
      <c r="I36" s="133">
        <f t="shared" si="3"/>
        <v>0</v>
      </c>
      <c r="J36" s="133">
        <f t="shared" si="4"/>
        <v>304</v>
      </c>
      <c r="K36" s="133">
        <f t="shared" si="5"/>
        <v>76</v>
      </c>
      <c r="L36" s="133">
        <f t="shared" si="6"/>
        <v>0</v>
      </c>
      <c r="M36" s="133">
        <f t="shared" si="7"/>
        <v>28000</v>
      </c>
      <c r="N36" s="133">
        <f t="shared" si="8"/>
        <v>0</v>
      </c>
      <c r="O36" s="133">
        <f t="shared" si="9"/>
        <v>0</v>
      </c>
      <c r="P36" s="38">
        <f t="shared" si="16"/>
        <v>0</v>
      </c>
      <c r="Q36" s="133"/>
      <c r="R36" s="133"/>
      <c r="S36" s="133"/>
      <c r="T36" s="133"/>
      <c r="U36" s="133"/>
      <c r="V36" s="133"/>
      <c r="W36" s="133"/>
      <c r="X36" s="133"/>
      <c r="Y36" s="133"/>
      <c r="Z36" s="133"/>
      <c r="AA36" s="133"/>
      <c r="AB36" s="133"/>
      <c r="AC36" s="35">
        <f t="shared" si="13"/>
        <v>0</v>
      </c>
      <c r="AD36" s="80">
        <f t="shared" si="14"/>
        <v>0</v>
      </c>
      <c r="AE36" s="80">
        <f t="shared" si="15"/>
        <v>0</v>
      </c>
    </row>
    <row r="37" spans="1:31" ht="32.25" customHeight="1" x14ac:dyDescent="0.3">
      <c r="A37" s="36">
        <f t="shared" si="12"/>
        <v>43948</v>
      </c>
      <c r="B37" s="152">
        <v>76</v>
      </c>
      <c r="C37" s="133">
        <f>IF(AC37&gt;0,((B37-R37)+(S37-B38)),IF(B38=0, ,(B37-B38)))</f>
        <v>0</v>
      </c>
      <c r="D37" s="152">
        <v>77</v>
      </c>
      <c r="E37" s="133">
        <f>IF(AC37&gt;0,((D37-U37)+(V37-D38)),IF(D38=0, ,(D37-D38)))</f>
        <v>0</v>
      </c>
      <c r="F37" s="152">
        <v>75</v>
      </c>
      <c r="G37" s="133">
        <f>IF(AC37&gt;0,((F37-X37)+(Y37-F38)),IF(F38=0, ,(F37-F38)))</f>
        <v>0</v>
      </c>
      <c r="H37" s="152">
        <v>76</v>
      </c>
      <c r="I37" s="133">
        <f t="shared" si="3"/>
        <v>0</v>
      </c>
      <c r="J37" s="133">
        <f t="shared" si="4"/>
        <v>304</v>
      </c>
      <c r="K37" s="133">
        <f t="shared" si="5"/>
        <v>76</v>
      </c>
      <c r="L37" s="133">
        <f t="shared" si="6"/>
        <v>0</v>
      </c>
      <c r="M37" s="133">
        <f t="shared" si="7"/>
        <v>28000</v>
      </c>
      <c r="N37" s="133">
        <f t="shared" si="8"/>
        <v>0</v>
      </c>
      <c r="O37" s="133">
        <f t="shared" si="9"/>
        <v>0</v>
      </c>
      <c r="P37" s="38">
        <f t="shared" si="16"/>
        <v>0</v>
      </c>
      <c r="Q37" s="133"/>
      <c r="R37" s="133"/>
      <c r="S37" s="133"/>
      <c r="T37" s="133"/>
      <c r="U37" s="133"/>
      <c r="V37" s="133"/>
      <c r="W37" s="133"/>
      <c r="X37" s="133"/>
      <c r="Y37" s="133"/>
      <c r="Z37" s="133"/>
      <c r="AA37" s="133"/>
      <c r="AB37" s="133"/>
      <c r="AC37" s="35">
        <f t="shared" si="13"/>
        <v>0</v>
      </c>
      <c r="AD37" s="80">
        <f t="shared" si="14"/>
        <v>0</v>
      </c>
      <c r="AE37" s="80">
        <f t="shared" si="15"/>
        <v>0</v>
      </c>
    </row>
    <row r="38" spans="1:31" ht="32.25" customHeight="1" x14ac:dyDescent="0.3">
      <c r="A38" s="36">
        <f t="shared" si="12"/>
        <v>43949</v>
      </c>
      <c r="B38" s="152">
        <v>76</v>
      </c>
      <c r="C38" s="133">
        <f>IF(AC38&gt;0,((B38-R38)+(S38-B39)),IF(B39=0, ,(B38-B39)))</f>
        <v>0</v>
      </c>
      <c r="D38" s="152">
        <v>77</v>
      </c>
      <c r="E38" s="133">
        <f>IF(AC38&gt;0,((D38-U38)+(V38-D39)),IF(D39=0, ,(D38-D39)))</f>
        <v>0</v>
      </c>
      <c r="F38" s="152">
        <v>75</v>
      </c>
      <c r="G38" s="133">
        <f>IF(AC38&gt;0,((F38-X38)+(Y38-F39)),IF(F39=0, ,(F38-F39)))</f>
        <v>0</v>
      </c>
      <c r="H38" s="152">
        <v>76</v>
      </c>
      <c r="I38" s="133">
        <f t="shared" si="3"/>
        <v>0</v>
      </c>
      <c r="J38" s="133">
        <f t="shared" si="4"/>
        <v>304</v>
      </c>
      <c r="K38" s="133">
        <f t="shared" si="5"/>
        <v>76</v>
      </c>
      <c r="L38" s="133">
        <f t="shared" si="6"/>
        <v>0</v>
      </c>
      <c r="M38" s="133">
        <f t="shared" si="7"/>
        <v>28000</v>
      </c>
      <c r="N38" s="133">
        <f t="shared" si="8"/>
        <v>0</v>
      </c>
      <c r="O38" s="133">
        <f t="shared" si="9"/>
        <v>0</v>
      </c>
      <c r="P38" s="38">
        <f t="shared" si="16"/>
        <v>0</v>
      </c>
      <c r="Q38" s="133"/>
      <c r="R38" s="133"/>
      <c r="S38" s="133"/>
      <c r="T38" s="133"/>
      <c r="U38" s="133"/>
      <c r="V38" s="133"/>
      <c r="W38" s="133"/>
      <c r="X38" s="133"/>
      <c r="Y38" s="133"/>
      <c r="Z38" s="133"/>
      <c r="AA38" s="133"/>
      <c r="AB38" s="133"/>
      <c r="AC38" s="35">
        <f t="shared" si="13"/>
        <v>0</v>
      </c>
      <c r="AD38" s="80">
        <f t="shared" si="14"/>
        <v>0</v>
      </c>
      <c r="AE38" s="80">
        <f t="shared" si="15"/>
        <v>0</v>
      </c>
    </row>
    <row r="39" spans="1:31" ht="32.25" customHeight="1" x14ac:dyDescent="0.3">
      <c r="A39" s="36">
        <f t="shared" si="12"/>
        <v>43950</v>
      </c>
      <c r="B39" s="152">
        <v>76</v>
      </c>
      <c r="C39" s="133">
        <f>IF(AC39&gt;0,((B39-R39)+(S39-B40)),IF(B40=0, ,(B39-B40)))</f>
        <v>0</v>
      </c>
      <c r="D39" s="152">
        <v>77</v>
      </c>
      <c r="E39" s="133">
        <f>IF(AC39&gt;0,((D39-U39)+(V39-D40)),IF(D40=0, ,(D39-D40)))</f>
        <v>0</v>
      </c>
      <c r="F39" s="152">
        <v>75</v>
      </c>
      <c r="G39" s="133">
        <f>IF(AC39&gt;0,((F39-X39)+(Y39-F40)),IF(F40=0, ,(F39-F40)))</f>
        <v>0</v>
      </c>
      <c r="H39" s="152">
        <v>76</v>
      </c>
      <c r="I39" s="133">
        <f t="shared" ref="I39" si="31">IF(AC39&gt;0,((H39-AA39)+(AB39-H40)),IF(H40=0, ,(H39-H40)))</f>
        <v>0</v>
      </c>
      <c r="J39" s="133">
        <f t="shared" si="4"/>
        <v>304</v>
      </c>
      <c r="K39" s="133">
        <f t="shared" si="5"/>
        <v>76</v>
      </c>
      <c r="L39" s="133">
        <f t="shared" si="6"/>
        <v>0</v>
      </c>
      <c r="M39" s="133">
        <f t="shared" si="7"/>
        <v>28000</v>
      </c>
      <c r="N39" s="133">
        <f t="shared" si="8"/>
        <v>0</v>
      </c>
      <c r="O39" s="133">
        <f t="shared" si="9"/>
        <v>0</v>
      </c>
      <c r="P39" s="38">
        <f t="shared" si="16"/>
        <v>0</v>
      </c>
      <c r="Q39" s="133"/>
      <c r="R39" s="133"/>
      <c r="S39" s="133"/>
      <c r="T39" s="133"/>
      <c r="U39" s="133"/>
      <c r="V39" s="133"/>
      <c r="W39" s="133"/>
      <c r="X39" s="133"/>
      <c r="Y39" s="133"/>
      <c r="Z39" s="133"/>
      <c r="AA39" s="133"/>
      <c r="AB39" s="133"/>
      <c r="AC39" s="35">
        <f t="shared" si="13"/>
        <v>0</v>
      </c>
      <c r="AD39" s="80">
        <f t="shared" si="14"/>
        <v>0</v>
      </c>
      <c r="AE39" s="80">
        <f t="shared" si="15"/>
        <v>0</v>
      </c>
    </row>
    <row r="40" spans="1:31" ht="32.25" customHeight="1" x14ac:dyDescent="0.3">
      <c r="A40" s="36">
        <f t="shared" si="12"/>
        <v>43951</v>
      </c>
      <c r="B40" s="152">
        <v>76</v>
      </c>
      <c r="C40" s="133">
        <f>IF(AC40&gt;0,((B40-R40)+(S40-B41)),IF(B41=0, ,(B40-B41)))</f>
        <v>0</v>
      </c>
      <c r="D40" s="152">
        <v>77</v>
      </c>
      <c r="E40" s="133">
        <f>IF(AC40&gt;0,((D40-U40)+(V40-D41)),IF(D41=0, ,(D40-D41)))</f>
        <v>0</v>
      </c>
      <c r="F40" s="152">
        <v>75</v>
      </c>
      <c r="G40" s="133">
        <f>IF(AC40&gt;0,((F40-X40)+(Y40-F41)),IF(F41=0, ,(F40-F41)))</f>
        <v>0</v>
      </c>
      <c r="H40" s="152">
        <v>76</v>
      </c>
      <c r="I40" s="133">
        <f t="shared" si="3"/>
        <v>0</v>
      </c>
      <c r="J40" s="133">
        <f t="shared" si="4"/>
        <v>304</v>
      </c>
      <c r="K40" s="133">
        <f t="shared" si="5"/>
        <v>76</v>
      </c>
      <c r="L40" s="133">
        <f t="shared" si="6"/>
        <v>0</v>
      </c>
      <c r="M40" s="133">
        <f t="shared" si="7"/>
        <v>28000</v>
      </c>
      <c r="N40" s="133">
        <f t="shared" si="8"/>
        <v>0</v>
      </c>
      <c r="O40" s="133">
        <f t="shared" si="9"/>
        <v>0</v>
      </c>
      <c r="P40" s="38">
        <f t="shared" si="16"/>
        <v>0</v>
      </c>
      <c r="Q40" s="133"/>
      <c r="R40" s="133"/>
      <c r="S40" s="133"/>
      <c r="T40" s="133"/>
      <c r="U40" s="133"/>
      <c r="V40" s="133"/>
      <c r="W40" s="133"/>
      <c r="X40" s="133"/>
      <c r="Y40" s="133"/>
      <c r="Z40" s="133"/>
      <c r="AA40" s="133"/>
      <c r="AB40" s="133"/>
      <c r="AC40" s="35">
        <f t="shared" si="13"/>
        <v>0</v>
      </c>
      <c r="AD40" s="80">
        <f t="shared" si="14"/>
        <v>0</v>
      </c>
      <c r="AE40" s="80">
        <f t="shared" si="15"/>
        <v>0</v>
      </c>
    </row>
    <row r="41" spans="1:31" ht="32.25" customHeight="1" x14ac:dyDescent="0.3">
      <c r="A41" s="36">
        <f t="shared" si="12"/>
        <v>43952</v>
      </c>
      <c r="B41" s="132"/>
      <c r="C41" s="133">
        <f t="shared" si="25"/>
        <v>0</v>
      </c>
      <c r="D41" s="132"/>
      <c r="E41" s="133">
        <f t="shared" si="26"/>
        <v>0</v>
      </c>
      <c r="F41" s="132"/>
      <c r="G41" s="133">
        <f t="shared" si="27"/>
        <v>0</v>
      </c>
      <c r="H41" s="132"/>
      <c r="I41" s="133">
        <f t="shared" si="3"/>
        <v>0</v>
      </c>
      <c r="J41" s="133">
        <f t="shared" si="4"/>
        <v>0</v>
      </c>
      <c r="K41" s="133">
        <f t="shared" si="5"/>
        <v>0</v>
      </c>
      <c r="L41" s="133">
        <f t="shared" si="6"/>
        <v>0</v>
      </c>
      <c r="M41" s="133">
        <f t="shared" si="7"/>
        <v>28000</v>
      </c>
      <c r="N41" s="133">
        <f t="shared" si="8"/>
        <v>0</v>
      </c>
      <c r="O41" s="133">
        <f t="shared" si="9"/>
        <v>0</v>
      </c>
      <c r="P41" s="38">
        <f t="shared" si="16"/>
        <v>0</v>
      </c>
      <c r="Q41" s="133"/>
      <c r="R41" s="133"/>
      <c r="S41" s="133"/>
      <c r="T41" s="133"/>
      <c r="U41" s="133"/>
      <c r="V41" s="133"/>
      <c r="W41" s="133"/>
      <c r="X41" s="133"/>
      <c r="Y41" s="133"/>
      <c r="Z41" s="133"/>
      <c r="AA41" s="133"/>
      <c r="AB41" s="133"/>
      <c r="AC41" s="35">
        <f t="shared" si="13"/>
        <v>0</v>
      </c>
      <c r="AD41" s="80">
        <f t="shared" si="14"/>
        <v>0</v>
      </c>
      <c r="AE41" s="80">
        <f t="shared" si="15"/>
        <v>0</v>
      </c>
    </row>
    <row r="42" spans="1:31" ht="32.25" customHeight="1" x14ac:dyDescent="0.3">
      <c r="A42" s="36">
        <f t="shared" si="12"/>
        <v>43953</v>
      </c>
      <c r="B42" s="132"/>
      <c r="C42" s="133">
        <f t="shared" si="25"/>
        <v>0</v>
      </c>
      <c r="D42" s="132"/>
      <c r="E42" s="133">
        <f t="shared" si="26"/>
        <v>0</v>
      </c>
      <c r="F42" s="132"/>
      <c r="G42" s="133">
        <f t="shared" si="27"/>
        <v>0</v>
      </c>
      <c r="H42" s="132"/>
      <c r="I42" s="133">
        <f t="shared" si="3"/>
        <v>0</v>
      </c>
      <c r="J42" s="133">
        <f t="shared" si="4"/>
        <v>0</v>
      </c>
      <c r="K42" s="133">
        <f t="shared" si="5"/>
        <v>0</v>
      </c>
      <c r="L42" s="133">
        <f t="shared" si="6"/>
        <v>0</v>
      </c>
      <c r="M42" s="133">
        <f t="shared" si="7"/>
        <v>28000</v>
      </c>
      <c r="N42" s="133">
        <f t="shared" si="8"/>
        <v>0</v>
      </c>
      <c r="O42" s="133">
        <f t="shared" si="9"/>
        <v>0</v>
      </c>
      <c r="P42" s="38">
        <f t="shared" si="16"/>
        <v>0</v>
      </c>
      <c r="Q42" s="133"/>
      <c r="R42" s="133"/>
      <c r="S42" s="133"/>
      <c r="T42" s="133"/>
      <c r="U42" s="133"/>
      <c r="V42" s="133"/>
      <c r="W42" s="133"/>
      <c r="X42" s="133"/>
      <c r="Y42" s="133"/>
      <c r="Z42" s="133"/>
      <c r="AA42" s="133"/>
      <c r="AB42" s="133"/>
      <c r="AC42" s="35">
        <f t="shared" si="13"/>
        <v>0</v>
      </c>
      <c r="AD42" s="80">
        <f t="shared" si="14"/>
        <v>0</v>
      </c>
      <c r="AE42" s="80">
        <f t="shared" si="15"/>
        <v>0</v>
      </c>
    </row>
    <row r="43" spans="1:31" ht="32.25" customHeight="1" thickBot="1" x14ac:dyDescent="0.35">
      <c r="B43" s="37"/>
      <c r="C43" s="35">
        <f>SUM(C11:C40)</f>
        <v>4</v>
      </c>
      <c r="D43" s="37"/>
      <c r="E43" s="133">
        <f>SUM(E11:E40)</f>
        <v>4</v>
      </c>
      <c r="F43" s="37"/>
      <c r="G43" s="133">
        <f>SUM(G11:G40)</f>
        <v>3</v>
      </c>
      <c r="H43" s="37"/>
      <c r="I43" s="133">
        <f>SUM(I11:I40)</f>
        <v>4</v>
      </c>
      <c r="J43" s="33"/>
      <c r="K43" s="33"/>
      <c r="L43" s="33"/>
      <c r="M43" s="33"/>
      <c r="N43" s="133">
        <f>SUM(N11:N40)</f>
        <v>1050</v>
      </c>
      <c r="O43" s="133">
        <f>SUM(O11:O40)</f>
        <v>556.50000000000011</v>
      </c>
      <c r="P43" s="38">
        <f t="shared" ref="P43" si="32">O43*8.39</f>
        <v>4669.0350000000017</v>
      </c>
      <c r="Q43" s="247">
        <f>SUM(Q11:Q40)</f>
        <v>0</v>
      </c>
      <c r="R43" s="248"/>
      <c r="S43" s="249"/>
      <c r="T43" s="247">
        <f t="shared" ref="T43" si="33">SUM(T11:T40)</f>
        <v>0</v>
      </c>
      <c r="U43" s="248"/>
      <c r="V43" s="249"/>
      <c r="W43" s="247">
        <f t="shared" ref="W43" si="34">SUM(W11:W40)</f>
        <v>0</v>
      </c>
      <c r="X43" s="248"/>
      <c r="Y43" s="249"/>
      <c r="Z43" s="247">
        <f t="shared" ref="Z43" si="35">SUM(Z11:Z40)</f>
        <v>0</v>
      </c>
      <c r="AA43" s="248"/>
      <c r="AB43" s="249"/>
      <c r="AC43" s="35">
        <f>SUM(AC11:AC40)</f>
        <v>0</v>
      </c>
      <c r="AD43" s="33"/>
      <c r="AE43" s="33"/>
    </row>
    <row r="44" spans="1:31" ht="35.25" customHeight="1" thickBot="1" x14ac:dyDescent="0.35">
      <c r="B44" s="250"/>
      <c r="C44" s="251"/>
      <c r="D44" s="251"/>
      <c r="E44" s="251"/>
      <c r="F44" s="251"/>
      <c r="G44" s="251"/>
      <c r="H44" s="251"/>
      <c r="I44" s="252"/>
      <c r="J44" s="33"/>
      <c r="K44" s="33"/>
      <c r="L44" s="33"/>
      <c r="M44" s="33"/>
      <c r="N44" s="33"/>
      <c r="O44" s="33"/>
      <c r="P44" s="33"/>
      <c r="Q44" s="253">
        <f>Q43+T43+W43+Z43</f>
        <v>0</v>
      </c>
      <c r="R44" s="254"/>
      <c r="S44" s="254"/>
      <c r="T44" s="254"/>
      <c r="U44" s="254"/>
      <c r="V44" s="254"/>
      <c r="W44" s="254"/>
      <c r="X44" s="254"/>
      <c r="Y44" s="254"/>
      <c r="Z44" s="254"/>
      <c r="AA44" s="254"/>
      <c r="AB44" s="255"/>
      <c r="AC44" s="35">
        <f>Q43+T43+W43+Z43</f>
        <v>0</v>
      </c>
      <c r="AD44" s="33"/>
      <c r="AE44" s="33"/>
    </row>
    <row r="45" spans="1:31" ht="7.5" customHeight="1" thickBot="1" x14ac:dyDescent="0.35"/>
    <row r="46" spans="1:31" ht="51" customHeight="1" thickBot="1" x14ac:dyDescent="0.35">
      <c r="H46" s="33"/>
      <c r="I46" s="33"/>
      <c r="J46" s="33"/>
      <c r="K46" s="43" t="s">
        <v>34</v>
      </c>
      <c r="L46" s="44" t="s">
        <v>35</v>
      </c>
      <c r="M46" s="44" t="s">
        <v>36</v>
      </c>
    </row>
    <row r="47" spans="1:31" ht="48" customHeight="1" thickBot="1" x14ac:dyDescent="0.35">
      <c r="H47" s="256" t="s">
        <v>37</v>
      </c>
      <c r="I47" s="257"/>
      <c r="J47" s="258"/>
      <c r="K47" s="45">
        <f>N43</f>
        <v>1050</v>
      </c>
      <c r="L47" s="46">
        <f>O43</f>
        <v>556.50000000000011</v>
      </c>
      <c r="M47" s="46">
        <f>P43</f>
        <v>4669.0350000000017</v>
      </c>
    </row>
    <row r="48" spans="1:31" ht="54.75" customHeight="1" thickBot="1" x14ac:dyDescent="0.35">
      <c r="H48" s="244" t="s">
        <v>38</v>
      </c>
      <c r="I48" s="245"/>
      <c r="J48" s="246"/>
      <c r="K48" s="43">
        <f>AC43</f>
        <v>0</v>
      </c>
      <c r="L48" s="44">
        <f>K48*0.53</f>
        <v>0</v>
      </c>
      <c r="M48" s="44">
        <f>L48*7.8338</f>
        <v>0</v>
      </c>
    </row>
  </sheetData>
  <mergeCells count="16">
    <mergeCell ref="A1:C1"/>
    <mergeCell ref="D1:Z1"/>
    <mergeCell ref="AA1:AC1"/>
    <mergeCell ref="Q2:S2"/>
    <mergeCell ref="B2:P2"/>
    <mergeCell ref="T2:V2"/>
    <mergeCell ref="W2:Y2"/>
    <mergeCell ref="Z2:AB2"/>
    <mergeCell ref="H48:J48"/>
    <mergeCell ref="Q43:S43"/>
    <mergeCell ref="T43:V43"/>
    <mergeCell ref="W43:Y43"/>
    <mergeCell ref="Z43:AB43"/>
    <mergeCell ref="B44:I44"/>
    <mergeCell ref="Q44:AB44"/>
    <mergeCell ref="H47:J47"/>
  </mergeCells>
  <phoneticPr fontId="13" type="noConversion"/>
  <pageMargins left="0.2" right="0" top="0" bottom="0" header="0" footer="0"/>
  <pageSetup paperSize="9" scale="35" orientation="landscape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T61"/>
  <sheetViews>
    <sheetView zoomScale="85" zoomScaleNormal="85" workbookViewId="0">
      <pane xSplit="1" ySplit="8" topLeftCell="B27" activePane="bottomRight" state="frozen"/>
      <selection pane="topRight" activeCell="B1" sqref="B1"/>
      <selection pane="bottomLeft" activeCell="A9" sqref="A9"/>
      <selection pane="bottomRight" activeCell="B45" sqref="B45:H45"/>
    </sheetView>
  </sheetViews>
  <sheetFormatPr defaultColWidth="11.42578125" defaultRowHeight="12.75" x14ac:dyDescent="0.2"/>
  <cols>
    <col min="1" max="1" width="16.7109375" style="47" customWidth="1"/>
    <col min="2" max="2" width="16.7109375" customWidth="1"/>
    <col min="3" max="3" width="19.5703125" customWidth="1"/>
    <col min="4" max="9" width="16.7109375" customWidth="1"/>
  </cols>
  <sheetData>
    <row r="1" spans="1:20" ht="12.75" customHeight="1" x14ac:dyDescent="0.2">
      <c r="A1" s="289"/>
      <c r="B1" s="290"/>
      <c r="C1" s="272" t="s">
        <v>58</v>
      </c>
      <c r="D1" s="273"/>
      <c r="E1" s="273"/>
      <c r="F1" s="273"/>
      <c r="G1" s="274"/>
      <c r="H1" s="281"/>
      <c r="I1" s="282"/>
      <c r="J1" s="50"/>
      <c r="K1" s="48"/>
      <c r="L1" s="48"/>
    </row>
    <row r="2" spans="1:20" ht="16.5" customHeight="1" x14ac:dyDescent="0.2">
      <c r="A2" s="291"/>
      <c r="B2" s="292"/>
      <c r="C2" s="275"/>
      <c r="D2" s="276"/>
      <c r="E2" s="276"/>
      <c r="F2" s="276"/>
      <c r="G2" s="277"/>
      <c r="H2" s="283"/>
      <c r="I2" s="284"/>
      <c r="J2" s="50"/>
      <c r="K2" s="48"/>
      <c r="L2" s="48"/>
    </row>
    <row r="3" spans="1:20" ht="48" customHeight="1" thickBot="1" x14ac:dyDescent="0.25">
      <c r="A3" s="293"/>
      <c r="B3" s="294"/>
      <c r="C3" s="278"/>
      <c r="D3" s="279"/>
      <c r="E3" s="279"/>
      <c r="F3" s="279"/>
      <c r="G3" s="280"/>
      <c r="H3" s="285"/>
      <c r="I3" s="286"/>
      <c r="J3" s="50"/>
      <c r="K3" s="48"/>
      <c r="L3" s="48"/>
      <c r="M3" s="48"/>
      <c r="N3" s="48"/>
      <c r="O3" s="48"/>
      <c r="P3" s="48"/>
      <c r="Q3" s="48"/>
      <c r="R3" s="48"/>
      <c r="S3" s="48"/>
      <c r="T3" s="48"/>
    </row>
    <row r="6" spans="1:20" ht="10.5" customHeight="1" thickBot="1" x14ac:dyDescent="0.25"/>
    <row r="7" spans="1:20" ht="16.5" customHeight="1" thickTop="1" thickBot="1" x14ac:dyDescent="0.25">
      <c r="A7" s="271" t="s">
        <v>1</v>
      </c>
      <c r="B7" s="287" t="s">
        <v>42</v>
      </c>
      <c r="C7" s="287"/>
      <c r="D7" s="288" t="s">
        <v>43</v>
      </c>
      <c r="E7" s="288"/>
      <c r="F7" s="288"/>
      <c r="G7" s="288"/>
      <c r="H7" s="288"/>
      <c r="I7" s="288"/>
    </row>
    <row r="8" spans="1:20" s="27" customFormat="1" ht="28.5" customHeight="1" thickTop="1" thickBot="1" x14ac:dyDescent="0.25">
      <c r="A8" s="271"/>
      <c r="B8" s="52" t="s">
        <v>40</v>
      </c>
      <c r="C8" s="52" t="s">
        <v>41</v>
      </c>
      <c r="D8" s="51" t="s">
        <v>44</v>
      </c>
      <c r="E8" s="51" t="s">
        <v>49</v>
      </c>
      <c r="F8" s="51" t="s">
        <v>45</v>
      </c>
      <c r="G8" s="51" t="s">
        <v>46</v>
      </c>
      <c r="H8" s="51" t="s">
        <v>47</v>
      </c>
      <c r="I8" s="51" t="s">
        <v>48</v>
      </c>
    </row>
    <row r="9" spans="1:20" ht="21" thickTop="1" thickBot="1" x14ac:dyDescent="0.35">
      <c r="A9" s="59">
        <v>43915</v>
      </c>
      <c r="B9" s="134">
        <v>122243</v>
      </c>
      <c r="C9" s="135">
        <f t="shared" ref="C9:C14" si="0">IF(B10&lt;B9,0,B10-B9)*10</f>
        <v>320</v>
      </c>
      <c r="D9" s="136">
        <v>18385622</v>
      </c>
      <c r="E9" s="135">
        <f t="shared" ref="E9:E14" si="1">IF(D10&lt;D9,0,D10-D9)</f>
        <v>1404</v>
      </c>
      <c r="F9" s="136">
        <v>33076924</v>
      </c>
      <c r="G9" s="135">
        <f t="shared" ref="G9:G15" si="2">IF(F10&lt;F9,0,F10-F9)</f>
        <v>1499</v>
      </c>
      <c r="H9" s="136">
        <v>14643728</v>
      </c>
      <c r="I9" s="135">
        <f t="shared" ref="I9:I16" si="3">IF(H10&lt;H9,0,H10-H9)</f>
        <v>799</v>
      </c>
    </row>
    <row r="10" spans="1:20" ht="21" thickTop="1" thickBot="1" x14ac:dyDescent="0.35">
      <c r="A10" s="59">
        <f>A9+1</f>
        <v>43916</v>
      </c>
      <c r="B10" s="134">
        <v>122275</v>
      </c>
      <c r="C10" s="135">
        <f t="shared" si="0"/>
        <v>390</v>
      </c>
      <c r="D10" s="136">
        <v>18387026</v>
      </c>
      <c r="E10" s="135">
        <f t="shared" si="1"/>
        <v>1349</v>
      </c>
      <c r="F10" s="136">
        <v>33078423</v>
      </c>
      <c r="G10" s="135">
        <f t="shared" si="2"/>
        <v>1770</v>
      </c>
      <c r="H10" s="136">
        <v>14644527</v>
      </c>
      <c r="I10" s="135">
        <f t="shared" si="3"/>
        <v>773</v>
      </c>
    </row>
    <row r="11" spans="1:20" ht="21" thickTop="1" thickBot="1" x14ac:dyDescent="0.35">
      <c r="A11" s="59">
        <f t="shared" ref="A11:A47" si="4">A10+1</f>
        <v>43917</v>
      </c>
      <c r="B11" s="134">
        <v>122314</v>
      </c>
      <c r="C11" s="135">
        <f t="shared" si="0"/>
        <v>350</v>
      </c>
      <c r="D11" s="136">
        <v>18388375</v>
      </c>
      <c r="E11" s="135">
        <f t="shared" si="1"/>
        <v>1331</v>
      </c>
      <c r="F11" s="136">
        <v>33080193</v>
      </c>
      <c r="G11" s="135">
        <f t="shared" si="2"/>
        <v>1481</v>
      </c>
      <c r="H11" s="136">
        <v>14645300</v>
      </c>
      <c r="I11" s="135">
        <f t="shared" si="3"/>
        <v>761</v>
      </c>
    </row>
    <row r="12" spans="1:20" ht="21" thickTop="1" thickBot="1" x14ac:dyDescent="0.35">
      <c r="A12" s="59">
        <f t="shared" si="4"/>
        <v>43918</v>
      </c>
      <c r="B12" s="134">
        <v>122349</v>
      </c>
      <c r="C12" s="135">
        <f t="shared" si="0"/>
        <v>350</v>
      </c>
      <c r="D12" s="136">
        <v>18389706</v>
      </c>
      <c r="E12" s="135">
        <f t="shared" si="1"/>
        <v>1327</v>
      </c>
      <c r="F12" s="136">
        <v>33081674</v>
      </c>
      <c r="G12" s="135">
        <f t="shared" si="2"/>
        <v>1581</v>
      </c>
      <c r="H12" s="136">
        <v>14646061</v>
      </c>
      <c r="I12" s="135">
        <f t="shared" si="3"/>
        <v>744</v>
      </c>
    </row>
    <row r="13" spans="1:20" ht="21" thickTop="1" thickBot="1" x14ac:dyDescent="0.35">
      <c r="A13" s="59">
        <f t="shared" si="4"/>
        <v>43919</v>
      </c>
      <c r="B13" s="134">
        <v>122384</v>
      </c>
      <c r="C13" s="135">
        <f t="shared" si="0"/>
        <v>440</v>
      </c>
      <c r="D13" s="136">
        <v>18391033</v>
      </c>
      <c r="E13" s="135">
        <f t="shared" si="1"/>
        <v>1321</v>
      </c>
      <c r="F13" s="136">
        <v>33083255</v>
      </c>
      <c r="G13" s="135">
        <f t="shared" si="2"/>
        <v>1923</v>
      </c>
      <c r="H13" s="136">
        <v>14646805</v>
      </c>
      <c r="I13" s="135">
        <f t="shared" si="3"/>
        <v>736</v>
      </c>
    </row>
    <row r="14" spans="1:20" ht="21" thickTop="1" thickBot="1" x14ac:dyDescent="0.35">
      <c r="A14" s="59">
        <f t="shared" si="4"/>
        <v>43920</v>
      </c>
      <c r="B14" s="134">
        <v>122428</v>
      </c>
      <c r="C14" s="135">
        <f t="shared" si="0"/>
        <v>320</v>
      </c>
      <c r="D14" s="136">
        <v>18392354</v>
      </c>
      <c r="E14" s="135">
        <f t="shared" si="1"/>
        <v>1436</v>
      </c>
      <c r="F14" s="136">
        <v>33085178</v>
      </c>
      <c r="G14" s="135">
        <f t="shared" si="2"/>
        <v>1121</v>
      </c>
      <c r="H14" s="136">
        <v>14647541</v>
      </c>
      <c r="I14" s="135">
        <f t="shared" si="3"/>
        <v>799</v>
      </c>
    </row>
    <row r="15" spans="1:20" ht="21" thickTop="1" thickBot="1" x14ac:dyDescent="0.35">
      <c r="A15" s="59">
        <f t="shared" si="4"/>
        <v>43921</v>
      </c>
      <c r="B15" s="134">
        <v>122460</v>
      </c>
      <c r="C15" s="135">
        <f>IF(B16&lt;B15,0,B16-B15)*10</f>
        <v>320</v>
      </c>
      <c r="D15" s="136">
        <v>18393790</v>
      </c>
      <c r="E15" s="135">
        <f>IF(D16&lt;D15,0,D16-D15)</f>
        <v>1371</v>
      </c>
      <c r="F15" s="136">
        <v>33086299</v>
      </c>
      <c r="G15" s="135">
        <f t="shared" si="2"/>
        <v>1736</v>
      </c>
      <c r="H15" s="136">
        <v>14648340</v>
      </c>
      <c r="I15" s="135">
        <f t="shared" si="3"/>
        <v>767</v>
      </c>
    </row>
    <row r="16" spans="1:20" ht="21" thickTop="1" thickBot="1" x14ac:dyDescent="0.35">
      <c r="A16" s="59">
        <f t="shared" si="4"/>
        <v>43922</v>
      </c>
      <c r="B16" s="134">
        <v>122492</v>
      </c>
      <c r="C16" s="135">
        <f>IF(B17&lt;B16,0,B17-B16)*10</f>
        <v>350</v>
      </c>
      <c r="D16" s="136">
        <v>18395161</v>
      </c>
      <c r="E16" s="135">
        <f>IF(D17&lt;D16,0,D17-D16)</f>
        <v>1178</v>
      </c>
      <c r="F16" s="136">
        <v>33088035</v>
      </c>
      <c r="G16" s="135">
        <f>IF(F17&lt;F16,0,F17-F16)</f>
        <v>1872</v>
      </c>
      <c r="H16" s="136">
        <v>14649107</v>
      </c>
      <c r="I16" s="135">
        <f t="shared" si="3"/>
        <v>737</v>
      </c>
    </row>
    <row r="17" spans="1:9" ht="21" thickTop="1" thickBot="1" x14ac:dyDescent="0.35">
      <c r="A17" s="59">
        <f t="shared" si="4"/>
        <v>43923</v>
      </c>
      <c r="B17" s="134">
        <v>122527</v>
      </c>
      <c r="C17" s="135">
        <f t="shared" ref="C17:C31" si="5">IF(B18&lt;B17,0,B18-B17)*10</f>
        <v>350</v>
      </c>
      <c r="D17" s="136">
        <v>18396339</v>
      </c>
      <c r="E17" s="135">
        <f t="shared" ref="E17:E31" si="6">IF(D18&lt;D17,0,D18-D17)</f>
        <v>1176</v>
      </c>
      <c r="F17" s="136">
        <v>33089907</v>
      </c>
      <c r="G17" s="135">
        <f t="shared" ref="G17:G31" si="7">IF(F18&lt;F17,0,F18-F17)</f>
        <v>1718</v>
      </c>
      <c r="H17" s="136">
        <v>14649844</v>
      </c>
      <c r="I17" s="135">
        <f>IF(H18&lt;H17,0,H18-H17)</f>
        <v>745</v>
      </c>
    </row>
    <row r="18" spans="1:9" ht="21" thickTop="1" thickBot="1" x14ac:dyDescent="0.35">
      <c r="A18" s="59">
        <f t="shared" si="4"/>
        <v>43924</v>
      </c>
      <c r="B18" s="134">
        <v>122562</v>
      </c>
      <c r="C18" s="135">
        <f t="shared" si="5"/>
        <v>320</v>
      </c>
      <c r="D18" s="136">
        <v>18397515</v>
      </c>
      <c r="E18" s="135">
        <f t="shared" si="6"/>
        <v>1078</v>
      </c>
      <c r="F18" s="136">
        <v>33091625</v>
      </c>
      <c r="G18" s="135">
        <f t="shared" si="7"/>
        <v>1619</v>
      </c>
      <c r="H18" s="136">
        <v>14650589</v>
      </c>
      <c r="I18" s="135">
        <f>IF(H19&lt;H18,0,H19-H18)</f>
        <v>762</v>
      </c>
    </row>
    <row r="19" spans="1:9" ht="21" thickTop="1" thickBot="1" x14ac:dyDescent="0.35">
      <c r="A19" s="59">
        <f t="shared" si="4"/>
        <v>43925</v>
      </c>
      <c r="B19" s="134">
        <v>122594</v>
      </c>
      <c r="C19" s="135">
        <f t="shared" si="5"/>
        <v>340</v>
      </c>
      <c r="D19" s="136">
        <v>18398593</v>
      </c>
      <c r="E19" s="135">
        <f t="shared" si="6"/>
        <v>1143</v>
      </c>
      <c r="F19" s="136">
        <v>33093244</v>
      </c>
      <c r="G19" s="135">
        <f t="shared" si="7"/>
        <v>1688</v>
      </c>
      <c r="H19" s="136">
        <v>14651351</v>
      </c>
      <c r="I19" s="135">
        <f>IF(H20&lt;H19,0,H20-H19)</f>
        <v>701</v>
      </c>
    </row>
    <row r="20" spans="1:9" ht="21" thickTop="1" thickBot="1" x14ac:dyDescent="0.35">
      <c r="A20" s="59">
        <f t="shared" si="4"/>
        <v>43926</v>
      </c>
      <c r="B20" s="134">
        <v>122628</v>
      </c>
      <c r="C20" s="135">
        <f t="shared" si="5"/>
        <v>350</v>
      </c>
      <c r="D20" s="136">
        <v>18399736</v>
      </c>
      <c r="E20" s="135">
        <f t="shared" si="6"/>
        <v>1129</v>
      </c>
      <c r="F20" s="136">
        <v>33094932</v>
      </c>
      <c r="G20" s="135">
        <f t="shared" si="7"/>
        <v>1682</v>
      </c>
      <c r="H20" s="136">
        <v>14652052</v>
      </c>
      <c r="I20" s="135">
        <f t="shared" ref="I20:I46" si="8">IF(H21&lt;H20,0,H21-H20)</f>
        <v>755</v>
      </c>
    </row>
    <row r="21" spans="1:9" ht="21" thickTop="1" thickBot="1" x14ac:dyDescent="0.35">
      <c r="A21" s="59">
        <f t="shared" si="4"/>
        <v>43927</v>
      </c>
      <c r="B21" s="134">
        <v>122663</v>
      </c>
      <c r="C21" s="135">
        <f t="shared" si="5"/>
        <v>330</v>
      </c>
      <c r="D21" s="136">
        <v>18400865</v>
      </c>
      <c r="E21" s="135">
        <f t="shared" si="6"/>
        <v>1243</v>
      </c>
      <c r="F21" s="136">
        <v>33096614</v>
      </c>
      <c r="G21" s="135">
        <f t="shared" si="7"/>
        <v>1791</v>
      </c>
      <c r="H21" s="136">
        <v>14652807</v>
      </c>
      <c r="I21" s="135">
        <f t="shared" si="8"/>
        <v>787</v>
      </c>
    </row>
    <row r="22" spans="1:9" ht="21" thickTop="1" thickBot="1" x14ac:dyDescent="0.35">
      <c r="A22" s="59">
        <f t="shared" si="4"/>
        <v>43928</v>
      </c>
      <c r="B22" s="134">
        <v>122696</v>
      </c>
      <c r="C22" s="135">
        <f t="shared" si="5"/>
        <v>190</v>
      </c>
      <c r="D22" s="136">
        <v>18402108</v>
      </c>
      <c r="E22" s="135">
        <f t="shared" si="6"/>
        <v>1056</v>
      </c>
      <c r="F22" s="136">
        <v>33098405</v>
      </c>
      <c r="G22" s="135">
        <f t="shared" si="7"/>
        <v>1628</v>
      </c>
      <c r="H22" s="136">
        <v>14653594</v>
      </c>
      <c r="I22" s="135">
        <f t="shared" si="8"/>
        <v>658</v>
      </c>
    </row>
    <row r="23" spans="1:9" ht="21" thickTop="1" thickBot="1" x14ac:dyDescent="0.35">
      <c r="A23" s="59">
        <f t="shared" si="4"/>
        <v>43929</v>
      </c>
      <c r="B23" s="134">
        <v>122715</v>
      </c>
      <c r="C23" s="135">
        <f t="shared" si="5"/>
        <v>170</v>
      </c>
      <c r="D23" s="136">
        <v>18403164</v>
      </c>
      <c r="E23" s="135">
        <f t="shared" si="6"/>
        <v>1204</v>
      </c>
      <c r="F23" s="136">
        <v>33100033</v>
      </c>
      <c r="G23" s="135">
        <f t="shared" si="7"/>
        <v>1697</v>
      </c>
      <c r="H23" s="136">
        <v>14654252</v>
      </c>
      <c r="I23" s="135">
        <f t="shared" si="8"/>
        <v>752</v>
      </c>
    </row>
    <row r="24" spans="1:9" ht="21" thickTop="1" thickBot="1" x14ac:dyDescent="0.35">
      <c r="A24" s="59">
        <f t="shared" si="4"/>
        <v>43930</v>
      </c>
      <c r="B24" s="134">
        <v>122732</v>
      </c>
      <c r="C24" s="135">
        <f t="shared" si="5"/>
        <v>160</v>
      </c>
      <c r="D24" s="136">
        <v>18404368</v>
      </c>
      <c r="E24" s="135">
        <f t="shared" si="6"/>
        <v>1027</v>
      </c>
      <c r="F24" s="136">
        <v>33101730</v>
      </c>
      <c r="G24" s="135">
        <f t="shared" si="7"/>
        <v>1663</v>
      </c>
      <c r="H24" s="136">
        <v>14655004</v>
      </c>
      <c r="I24" s="135">
        <f t="shared" si="8"/>
        <v>762</v>
      </c>
    </row>
    <row r="25" spans="1:9" ht="21" thickTop="1" thickBot="1" x14ac:dyDescent="0.35">
      <c r="A25" s="59">
        <f t="shared" si="4"/>
        <v>43931</v>
      </c>
      <c r="B25" s="134">
        <v>122748</v>
      </c>
      <c r="C25" s="135">
        <f t="shared" si="5"/>
        <v>160</v>
      </c>
      <c r="D25" s="136">
        <v>18405395</v>
      </c>
      <c r="E25" s="135">
        <f t="shared" si="6"/>
        <v>1162</v>
      </c>
      <c r="F25" s="136">
        <v>33103393</v>
      </c>
      <c r="G25" s="135">
        <f t="shared" si="7"/>
        <v>1707</v>
      </c>
      <c r="H25" s="136">
        <v>14655766</v>
      </c>
      <c r="I25" s="135">
        <f t="shared" si="8"/>
        <v>756</v>
      </c>
    </row>
    <row r="26" spans="1:9" ht="21" thickTop="1" thickBot="1" x14ac:dyDescent="0.35">
      <c r="A26" s="59">
        <f t="shared" si="4"/>
        <v>43932</v>
      </c>
      <c r="B26" s="134">
        <v>122764</v>
      </c>
      <c r="C26" s="135">
        <f t="shared" si="5"/>
        <v>160</v>
      </c>
      <c r="D26" s="136">
        <v>18406557</v>
      </c>
      <c r="E26" s="135">
        <f t="shared" si="6"/>
        <v>1093</v>
      </c>
      <c r="F26" s="136">
        <v>33105100</v>
      </c>
      <c r="G26" s="135">
        <f t="shared" si="7"/>
        <v>1571</v>
      </c>
      <c r="H26" s="136">
        <v>14656522</v>
      </c>
      <c r="I26" s="135">
        <f t="shared" si="8"/>
        <v>665</v>
      </c>
    </row>
    <row r="27" spans="1:9" ht="21" thickTop="1" thickBot="1" x14ac:dyDescent="0.35">
      <c r="A27" s="59">
        <f t="shared" si="4"/>
        <v>43933</v>
      </c>
      <c r="B27" s="134">
        <v>122780</v>
      </c>
      <c r="C27" s="135">
        <f t="shared" si="5"/>
        <v>160</v>
      </c>
      <c r="D27" s="136">
        <v>18407650</v>
      </c>
      <c r="E27" s="135">
        <f t="shared" si="6"/>
        <v>1078</v>
      </c>
      <c r="F27" s="136">
        <v>33106671</v>
      </c>
      <c r="G27" s="135">
        <f t="shared" si="7"/>
        <v>1627</v>
      </c>
      <c r="H27" s="136">
        <v>14657187</v>
      </c>
      <c r="I27" s="135">
        <f t="shared" si="8"/>
        <v>725</v>
      </c>
    </row>
    <row r="28" spans="1:9" ht="21" thickTop="1" thickBot="1" x14ac:dyDescent="0.35">
      <c r="A28" s="59">
        <f t="shared" si="4"/>
        <v>43934</v>
      </c>
      <c r="B28" s="134">
        <v>122796</v>
      </c>
      <c r="C28" s="135">
        <f t="shared" si="5"/>
        <v>150</v>
      </c>
      <c r="D28" s="136">
        <v>18408728</v>
      </c>
      <c r="E28" s="135">
        <f t="shared" si="6"/>
        <v>1070</v>
      </c>
      <c r="F28" s="136">
        <v>33108298</v>
      </c>
      <c r="G28" s="135">
        <f t="shared" si="7"/>
        <v>1619</v>
      </c>
      <c r="H28" s="136">
        <v>14657912</v>
      </c>
      <c r="I28" s="135">
        <f t="shared" si="8"/>
        <v>708</v>
      </c>
    </row>
    <row r="29" spans="1:9" ht="21" thickTop="1" thickBot="1" x14ac:dyDescent="0.35">
      <c r="A29" s="59">
        <f t="shared" si="4"/>
        <v>43935</v>
      </c>
      <c r="B29" s="134">
        <v>122811</v>
      </c>
      <c r="C29" s="135">
        <f t="shared" si="5"/>
        <v>150</v>
      </c>
      <c r="D29" s="136">
        <v>18409798</v>
      </c>
      <c r="E29" s="135">
        <f t="shared" si="6"/>
        <v>1061</v>
      </c>
      <c r="F29" s="136">
        <v>33109917</v>
      </c>
      <c r="G29" s="135">
        <f t="shared" si="7"/>
        <v>1684</v>
      </c>
      <c r="H29" s="136">
        <v>14658620</v>
      </c>
      <c r="I29" s="135">
        <f t="shared" si="8"/>
        <v>674</v>
      </c>
    </row>
    <row r="30" spans="1:9" ht="21" thickTop="1" thickBot="1" x14ac:dyDescent="0.35">
      <c r="A30" s="59">
        <f t="shared" si="4"/>
        <v>43936</v>
      </c>
      <c r="B30" s="134">
        <v>122826</v>
      </c>
      <c r="C30" s="135">
        <f t="shared" si="5"/>
        <v>190</v>
      </c>
      <c r="D30" s="136">
        <v>18410859</v>
      </c>
      <c r="E30" s="135">
        <f t="shared" si="6"/>
        <v>1081</v>
      </c>
      <c r="F30" s="136">
        <v>33111601</v>
      </c>
      <c r="G30" s="135">
        <f t="shared" si="7"/>
        <v>1572</v>
      </c>
      <c r="H30" s="136">
        <v>14659294</v>
      </c>
      <c r="I30" s="135">
        <f t="shared" si="8"/>
        <v>671</v>
      </c>
    </row>
    <row r="31" spans="1:9" ht="21" thickTop="1" thickBot="1" x14ac:dyDescent="0.35">
      <c r="A31" s="59">
        <f>A30+1</f>
        <v>43937</v>
      </c>
      <c r="B31" s="134">
        <v>122845</v>
      </c>
      <c r="C31" s="135">
        <f t="shared" si="5"/>
        <v>200</v>
      </c>
      <c r="D31" s="136">
        <v>18411940</v>
      </c>
      <c r="E31" s="135">
        <f t="shared" si="6"/>
        <v>1124</v>
      </c>
      <c r="F31" s="136">
        <v>33113173</v>
      </c>
      <c r="G31" s="135">
        <f t="shared" si="7"/>
        <v>1546</v>
      </c>
      <c r="H31" s="136">
        <v>14659965</v>
      </c>
      <c r="I31" s="135">
        <f t="shared" si="8"/>
        <v>692</v>
      </c>
    </row>
    <row r="32" spans="1:9" ht="21" thickTop="1" thickBot="1" x14ac:dyDescent="0.35">
      <c r="A32" s="59">
        <f t="shared" si="4"/>
        <v>43938</v>
      </c>
      <c r="B32" s="134">
        <v>122865</v>
      </c>
      <c r="C32" s="135">
        <f t="shared" ref="C32:C47" si="9">IF(B33&lt;B32,0,B33-B32)*10</f>
        <v>200</v>
      </c>
      <c r="D32" s="136">
        <v>18413064</v>
      </c>
      <c r="E32" s="135">
        <f t="shared" ref="E32:E47" si="10">IF(D33&lt;D32,0,D33-D32)</f>
        <v>979</v>
      </c>
      <c r="F32" s="136">
        <v>33114719</v>
      </c>
      <c r="G32" s="135">
        <f t="shared" ref="G32:G47" si="11">IF(F33&lt;F32,0,F33-F32)</f>
        <v>1620</v>
      </c>
      <c r="H32" s="136">
        <v>14660657</v>
      </c>
      <c r="I32" s="135">
        <f t="shared" si="8"/>
        <v>689</v>
      </c>
    </row>
    <row r="33" spans="1:9" ht="21" thickTop="1" thickBot="1" x14ac:dyDescent="0.35">
      <c r="A33" s="59">
        <f t="shared" si="4"/>
        <v>43939</v>
      </c>
      <c r="B33" s="134">
        <v>122885</v>
      </c>
      <c r="C33" s="135">
        <f t="shared" si="9"/>
        <v>230</v>
      </c>
      <c r="D33" s="136">
        <v>18414043</v>
      </c>
      <c r="E33" s="135">
        <f t="shared" si="10"/>
        <v>1107</v>
      </c>
      <c r="F33" s="136">
        <v>33116339</v>
      </c>
      <c r="G33" s="135">
        <f t="shared" si="11"/>
        <v>1526</v>
      </c>
      <c r="H33" s="136">
        <v>14661346</v>
      </c>
      <c r="I33" s="135">
        <f t="shared" si="8"/>
        <v>673</v>
      </c>
    </row>
    <row r="34" spans="1:9" ht="21" thickTop="1" thickBot="1" x14ac:dyDescent="0.35">
      <c r="A34" s="59">
        <f t="shared" si="4"/>
        <v>43940</v>
      </c>
      <c r="B34" s="134">
        <v>122908</v>
      </c>
      <c r="C34" s="135">
        <f t="shared" si="9"/>
        <v>230</v>
      </c>
      <c r="D34" s="136">
        <v>18415150</v>
      </c>
      <c r="E34" s="135">
        <f t="shared" si="10"/>
        <v>859</v>
      </c>
      <c r="F34" s="136">
        <v>33117865</v>
      </c>
      <c r="G34" s="135">
        <f t="shared" si="11"/>
        <v>1431</v>
      </c>
      <c r="H34" s="136">
        <v>14662019</v>
      </c>
      <c r="I34" s="135">
        <f t="shared" si="8"/>
        <v>590</v>
      </c>
    </row>
    <row r="35" spans="1:9" ht="21" thickTop="1" thickBot="1" x14ac:dyDescent="0.35">
      <c r="A35" s="59">
        <f t="shared" si="4"/>
        <v>43941</v>
      </c>
      <c r="B35" s="134">
        <v>122931</v>
      </c>
      <c r="C35" s="135">
        <f t="shared" si="9"/>
        <v>300</v>
      </c>
      <c r="D35" s="136">
        <v>18416009</v>
      </c>
      <c r="E35" s="135">
        <f t="shared" si="10"/>
        <v>962</v>
      </c>
      <c r="F35" s="136">
        <v>33119296</v>
      </c>
      <c r="G35" s="135">
        <f t="shared" si="11"/>
        <v>1405</v>
      </c>
      <c r="H35" s="136">
        <v>14662609</v>
      </c>
      <c r="I35" s="135">
        <f t="shared" si="8"/>
        <v>630</v>
      </c>
    </row>
    <row r="36" spans="1:9" ht="21" thickTop="1" thickBot="1" x14ac:dyDescent="0.35">
      <c r="A36" s="59">
        <f t="shared" si="4"/>
        <v>43942</v>
      </c>
      <c r="B36" s="153">
        <v>122961</v>
      </c>
      <c r="C36" s="135">
        <f t="shared" si="9"/>
        <v>160</v>
      </c>
      <c r="D36" s="154">
        <v>18416971</v>
      </c>
      <c r="E36" s="135">
        <f t="shared" si="10"/>
        <v>994</v>
      </c>
      <c r="F36" s="155">
        <v>33120701</v>
      </c>
      <c r="G36" s="135">
        <f t="shared" si="11"/>
        <v>1457</v>
      </c>
      <c r="H36" s="156">
        <v>14663239</v>
      </c>
      <c r="I36" s="135">
        <f t="shared" si="8"/>
        <v>616</v>
      </c>
    </row>
    <row r="37" spans="1:9" ht="21" thickTop="1" thickBot="1" x14ac:dyDescent="0.35">
      <c r="A37" s="59">
        <f t="shared" si="4"/>
        <v>43943</v>
      </c>
      <c r="B37" s="153">
        <v>122977</v>
      </c>
      <c r="C37" s="135">
        <f t="shared" si="9"/>
        <v>120</v>
      </c>
      <c r="D37" s="154">
        <v>18417965</v>
      </c>
      <c r="E37" s="135">
        <f t="shared" si="10"/>
        <v>942</v>
      </c>
      <c r="F37" s="155">
        <v>33122158</v>
      </c>
      <c r="G37" s="135">
        <f t="shared" si="11"/>
        <v>1604</v>
      </c>
      <c r="H37" s="156">
        <v>14663855</v>
      </c>
      <c r="I37" s="135">
        <f t="shared" si="8"/>
        <v>603</v>
      </c>
    </row>
    <row r="38" spans="1:9" ht="21" thickTop="1" thickBot="1" x14ac:dyDescent="0.35">
      <c r="A38" s="59">
        <f t="shared" si="4"/>
        <v>43944</v>
      </c>
      <c r="B38" s="153">
        <v>122989</v>
      </c>
      <c r="C38" s="135">
        <f t="shared" si="9"/>
        <v>130</v>
      </c>
      <c r="D38" s="154">
        <v>18418907</v>
      </c>
      <c r="E38" s="135">
        <f t="shared" si="10"/>
        <v>1101</v>
      </c>
      <c r="F38" s="155">
        <v>33123762</v>
      </c>
      <c r="G38" s="135">
        <f t="shared" si="11"/>
        <v>1602</v>
      </c>
      <c r="H38" s="156">
        <v>14664458</v>
      </c>
      <c r="I38" s="135">
        <f t="shared" si="8"/>
        <v>691</v>
      </c>
    </row>
    <row r="39" spans="1:9" ht="21" thickTop="1" thickBot="1" x14ac:dyDescent="0.35">
      <c r="A39" s="59">
        <f t="shared" si="4"/>
        <v>43945</v>
      </c>
      <c r="B39" s="153">
        <v>123002</v>
      </c>
      <c r="C39" s="135">
        <f t="shared" si="9"/>
        <v>120</v>
      </c>
      <c r="D39" s="154">
        <v>18420008</v>
      </c>
      <c r="E39" s="135">
        <f t="shared" si="10"/>
        <v>886</v>
      </c>
      <c r="F39" s="155">
        <v>33125364</v>
      </c>
      <c r="G39" s="135">
        <f t="shared" si="11"/>
        <v>1528</v>
      </c>
      <c r="H39" s="156">
        <v>14665149</v>
      </c>
      <c r="I39" s="135">
        <f t="shared" si="8"/>
        <v>621</v>
      </c>
    </row>
    <row r="40" spans="1:9" ht="21" thickTop="1" thickBot="1" x14ac:dyDescent="0.35">
      <c r="A40" s="59">
        <f t="shared" si="4"/>
        <v>43946</v>
      </c>
      <c r="B40" s="153">
        <v>123014</v>
      </c>
      <c r="C40" s="135">
        <f t="shared" si="9"/>
        <v>120</v>
      </c>
      <c r="D40" s="154">
        <v>18420894</v>
      </c>
      <c r="E40" s="135">
        <f t="shared" si="10"/>
        <v>1000</v>
      </c>
      <c r="F40" s="155">
        <v>33126892</v>
      </c>
      <c r="G40" s="135">
        <f t="shared" si="11"/>
        <v>1311</v>
      </c>
      <c r="H40" s="156">
        <v>14665770</v>
      </c>
      <c r="I40" s="135">
        <f t="shared" si="8"/>
        <v>561</v>
      </c>
    </row>
    <row r="41" spans="1:9" ht="21" thickTop="1" thickBot="1" x14ac:dyDescent="0.35">
      <c r="A41" s="59">
        <f t="shared" si="4"/>
        <v>43947</v>
      </c>
      <c r="B41" s="153">
        <v>123026</v>
      </c>
      <c r="C41" s="135">
        <f t="shared" si="9"/>
        <v>120</v>
      </c>
      <c r="D41" s="156">
        <v>18421894</v>
      </c>
      <c r="E41" s="135">
        <f t="shared" si="10"/>
        <v>872</v>
      </c>
      <c r="F41" s="156">
        <v>33128203</v>
      </c>
      <c r="G41" s="135">
        <f t="shared" si="11"/>
        <v>1266</v>
      </c>
      <c r="H41" s="156">
        <v>14666331</v>
      </c>
      <c r="I41" s="135">
        <f t="shared" si="8"/>
        <v>558</v>
      </c>
    </row>
    <row r="42" spans="1:9" ht="21" thickTop="1" thickBot="1" x14ac:dyDescent="0.35">
      <c r="A42" s="59">
        <f t="shared" si="4"/>
        <v>43948</v>
      </c>
      <c r="B42" s="153">
        <v>123038</v>
      </c>
      <c r="C42" s="135">
        <f t="shared" si="9"/>
        <v>120</v>
      </c>
      <c r="D42" s="156">
        <v>18422766</v>
      </c>
      <c r="E42" s="135">
        <f t="shared" si="10"/>
        <v>915</v>
      </c>
      <c r="F42" s="156">
        <v>33129469</v>
      </c>
      <c r="G42" s="135">
        <f t="shared" si="11"/>
        <v>1330</v>
      </c>
      <c r="H42" s="156">
        <v>14666889</v>
      </c>
      <c r="I42" s="135">
        <f t="shared" si="8"/>
        <v>571</v>
      </c>
    </row>
    <row r="43" spans="1:9" ht="21" thickTop="1" thickBot="1" x14ac:dyDescent="0.35">
      <c r="A43" s="59">
        <f t="shared" si="4"/>
        <v>43949</v>
      </c>
      <c r="B43" s="153">
        <v>123050</v>
      </c>
      <c r="C43" s="135">
        <f t="shared" si="9"/>
        <v>110</v>
      </c>
      <c r="D43" s="156">
        <v>18423681</v>
      </c>
      <c r="E43" s="135">
        <f t="shared" si="10"/>
        <v>891</v>
      </c>
      <c r="F43" s="156">
        <v>33130799</v>
      </c>
      <c r="G43" s="135">
        <f t="shared" si="11"/>
        <v>1326</v>
      </c>
      <c r="H43" s="156">
        <v>14667460</v>
      </c>
      <c r="I43" s="135">
        <f t="shared" si="8"/>
        <v>563</v>
      </c>
    </row>
    <row r="44" spans="1:9" ht="21" thickTop="1" thickBot="1" x14ac:dyDescent="0.35">
      <c r="A44" s="59">
        <f t="shared" si="4"/>
        <v>43950</v>
      </c>
      <c r="B44" s="153">
        <v>123061</v>
      </c>
      <c r="C44" s="135">
        <f t="shared" si="9"/>
        <v>140</v>
      </c>
      <c r="D44" s="156">
        <v>18424572</v>
      </c>
      <c r="E44" s="135">
        <f t="shared" si="10"/>
        <v>1054</v>
      </c>
      <c r="F44" s="156">
        <v>33132125</v>
      </c>
      <c r="G44" s="135">
        <f t="shared" si="11"/>
        <v>1434</v>
      </c>
      <c r="H44" s="156">
        <v>14668023</v>
      </c>
      <c r="I44" s="135">
        <f t="shared" si="8"/>
        <v>666</v>
      </c>
    </row>
    <row r="45" spans="1:9" ht="21" thickTop="1" thickBot="1" x14ac:dyDescent="0.35">
      <c r="A45" s="59">
        <f t="shared" si="4"/>
        <v>43951</v>
      </c>
      <c r="B45" s="153">
        <v>123075</v>
      </c>
      <c r="C45" s="135">
        <f t="shared" si="9"/>
        <v>0</v>
      </c>
      <c r="D45" s="156">
        <v>18425626</v>
      </c>
      <c r="E45" s="135">
        <f t="shared" si="10"/>
        <v>0</v>
      </c>
      <c r="F45" s="156">
        <v>33133559</v>
      </c>
      <c r="G45" s="135">
        <f t="shared" si="11"/>
        <v>0</v>
      </c>
      <c r="H45" s="156">
        <v>14668689</v>
      </c>
      <c r="I45" s="135">
        <f t="shared" si="8"/>
        <v>0</v>
      </c>
    </row>
    <row r="46" spans="1:9" ht="21" thickTop="1" thickBot="1" x14ac:dyDescent="0.35">
      <c r="A46" s="59">
        <f t="shared" si="4"/>
        <v>43952</v>
      </c>
      <c r="B46" s="134"/>
      <c r="C46" s="135">
        <f t="shared" si="9"/>
        <v>0</v>
      </c>
      <c r="D46" s="136"/>
      <c r="E46" s="135">
        <f t="shared" si="10"/>
        <v>0</v>
      </c>
      <c r="F46" s="136"/>
      <c r="G46" s="135">
        <f t="shared" si="11"/>
        <v>0</v>
      </c>
      <c r="H46" s="136"/>
      <c r="I46" s="135">
        <f t="shared" si="8"/>
        <v>0</v>
      </c>
    </row>
    <row r="47" spans="1:9" ht="21" thickTop="1" thickBot="1" x14ac:dyDescent="0.35">
      <c r="A47" s="59">
        <f t="shared" si="4"/>
        <v>43953</v>
      </c>
      <c r="B47" s="134"/>
      <c r="C47" s="135">
        <f t="shared" si="9"/>
        <v>0</v>
      </c>
      <c r="D47" s="136"/>
      <c r="E47" s="135">
        <f t="shared" si="10"/>
        <v>0</v>
      </c>
      <c r="F47" s="136"/>
      <c r="G47" s="135">
        <f t="shared" si="11"/>
        <v>0</v>
      </c>
      <c r="H47" s="136"/>
      <c r="I47" s="135">
        <f>IF(H48&lt;H47,0,H48-H47)</f>
        <v>0</v>
      </c>
    </row>
    <row r="48" spans="1:9" ht="21.75" customHeight="1" thickTop="1" thickBot="1" x14ac:dyDescent="0.35">
      <c r="A48" s="61"/>
      <c r="C48" s="135">
        <f>SUM(C16:C45)</f>
        <v>5830</v>
      </c>
      <c r="E48" s="135">
        <f>SUM(E16:E45)</f>
        <v>30465</v>
      </c>
      <c r="F48" s="84"/>
      <c r="G48" s="135">
        <f>SUM(G16:G45)</f>
        <v>45524</v>
      </c>
      <c r="H48" s="84"/>
      <c r="I48" s="135">
        <f>SUM(I16:I45)</f>
        <v>19582</v>
      </c>
    </row>
    <row r="49" spans="1:8" ht="24" customHeight="1" thickTop="1" x14ac:dyDescent="0.3">
      <c r="A49" s="61"/>
      <c r="F49" s="84"/>
      <c r="G49" s="85"/>
      <c r="H49" s="84"/>
    </row>
    <row r="50" spans="1:8" ht="19.5" x14ac:dyDescent="0.2">
      <c r="A50" s="49"/>
      <c r="F50" s="84"/>
      <c r="G50" s="85"/>
      <c r="H50" s="84"/>
    </row>
    <row r="51" spans="1:8" ht="19.5" x14ac:dyDescent="0.2">
      <c r="A51" s="49"/>
      <c r="F51" s="84"/>
      <c r="G51" s="85"/>
      <c r="H51" s="84"/>
    </row>
    <row r="52" spans="1:8" ht="19.5" x14ac:dyDescent="0.2">
      <c r="F52" s="84"/>
      <c r="G52" s="85"/>
      <c r="H52" s="84"/>
    </row>
    <row r="53" spans="1:8" ht="19.5" x14ac:dyDescent="0.2">
      <c r="F53" s="84"/>
      <c r="G53" s="85"/>
      <c r="H53" s="84"/>
    </row>
    <row r="54" spans="1:8" ht="19.5" x14ac:dyDescent="0.2">
      <c r="F54" s="84"/>
      <c r="G54" s="85"/>
      <c r="H54" s="84"/>
    </row>
    <row r="55" spans="1:8" ht="19.5" x14ac:dyDescent="0.2">
      <c r="F55" s="84"/>
      <c r="G55" s="85"/>
      <c r="H55" s="84"/>
    </row>
    <row r="56" spans="1:8" ht="19.5" x14ac:dyDescent="0.2">
      <c r="F56" s="84"/>
      <c r="G56" s="85"/>
      <c r="H56" s="84"/>
    </row>
    <row r="57" spans="1:8" ht="19.5" x14ac:dyDescent="0.2">
      <c r="F57" s="84"/>
      <c r="G57" s="85"/>
      <c r="H57" s="84"/>
    </row>
    <row r="58" spans="1:8" ht="19.5" x14ac:dyDescent="0.2">
      <c r="F58" s="84"/>
      <c r="G58" s="85">
        <f>IF(F59&lt;F58,0,F59-F58)</f>
        <v>0</v>
      </c>
      <c r="H58" s="84"/>
    </row>
    <row r="59" spans="1:8" x14ac:dyDescent="0.2">
      <c r="F59" s="84"/>
      <c r="G59" s="84"/>
      <c r="H59" s="84"/>
    </row>
    <row r="60" spans="1:8" x14ac:dyDescent="0.2">
      <c r="F60" s="84"/>
      <c r="G60" s="84"/>
      <c r="H60" s="84"/>
    </row>
    <row r="61" spans="1:8" x14ac:dyDescent="0.2">
      <c r="F61" s="84"/>
      <c r="G61" s="84"/>
      <c r="H61" s="84"/>
    </row>
  </sheetData>
  <mergeCells count="6">
    <mergeCell ref="A7:A8"/>
    <mergeCell ref="C1:G3"/>
    <mergeCell ref="H1:I3"/>
    <mergeCell ref="B7:C7"/>
    <mergeCell ref="D7:I7"/>
    <mergeCell ref="A1:B3"/>
  </mergeCells>
  <phoneticPr fontId="13" type="noConversion"/>
  <conditionalFormatting sqref="C1 C4:C8 C4855:C65536">
    <cfRule type="cellIs" dxfId="80" priority="3238" stopIfTrue="1" operator="lessThanOrEqual">
      <formula>0</formula>
    </cfRule>
  </conditionalFormatting>
  <conditionalFormatting sqref="C48">
    <cfRule type="cellIs" dxfId="79" priority="348" stopIfTrue="1" operator="lessThanOrEqual">
      <formula>0</formula>
    </cfRule>
  </conditionalFormatting>
  <conditionalFormatting sqref="C48">
    <cfRule type="cellIs" dxfId="78" priority="347" stopIfTrue="1" operator="lessThanOrEqual">
      <formula>0</formula>
    </cfRule>
  </conditionalFormatting>
  <conditionalFormatting sqref="C48">
    <cfRule type="cellIs" dxfId="77" priority="346" stopIfTrue="1" operator="lessThanOrEqual">
      <formula>0</formula>
    </cfRule>
  </conditionalFormatting>
  <conditionalFormatting sqref="C48">
    <cfRule type="cellIs" dxfId="76" priority="345" stopIfTrue="1" operator="lessThanOrEqual">
      <formula>0</formula>
    </cfRule>
  </conditionalFormatting>
  <conditionalFormatting sqref="C32:C33 C36:C40 C46:C47">
    <cfRule type="cellIs" dxfId="75" priority="80" stopIfTrue="1" operator="lessThanOrEqual">
      <formula>0</formula>
    </cfRule>
  </conditionalFormatting>
  <conditionalFormatting sqref="C32:C33 C36:C40 C46:C47">
    <cfRule type="cellIs" dxfId="74" priority="79" stopIfTrue="1" operator="lessThanOrEqual">
      <formula>0</formula>
    </cfRule>
  </conditionalFormatting>
  <conditionalFormatting sqref="C32:C33 C36:C40 C46:C47">
    <cfRule type="cellIs" dxfId="73" priority="78" stopIfTrue="1" operator="lessThanOrEqual">
      <formula>0</formula>
    </cfRule>
  </conditionalFormatting>
  <conditionalFormatting sqref="C32:C33 C36:C40 C46:C47">
    <cfRule type="cellIs" dxfId="72" priority="77" stopIfTrue="1" operator="lessThanOrEqual">
      <formula>0</formula>
    </cfRule>
  </conditionalFormatting>
  <conditionalFormatting sqref="C9:C14">
    <cfRule type="cellIs" dxfId="71" priority="72" stopIfTrue="1" operator="lessThanOrEqual">
      <formula>0</formula>
    </cfRule>
  </conditionalFormatting>
  <conditionalFormatting sqref="C9:C14">
    <cfRule type="cellIs" dxfId="70" priority="71" stopIfTrue="1" operator="lessThanOrEqual">
      <formula>0</formula>
    </cfRule>
  </conditionalFormatting>
  <conditionalFormatting sqref="C9:C14">
    <cfRule type="cellIs" dxfId="69" priority="70" stopIfTrue="1" operator="lessThanOrEqual">
      <formula>0</formula>
    </cfRule>
  </conditionalFormatting>
  <conditionalFormatting sqref="C9:C14">
    <cfRule type="cellIs" dxfId="68" priority="69" stopIfTrue="1" operator="lessThanOrEqual">
      <formula>0</formula>
    </cfRule>
  </conditionalFormatting>
  <conditionalFormatting sqref="G48 E48">
    <cfRule type="cellIs" dxfId="67" priority="64" stopIfTrue="1" operator="lessThanOrEqual">
      <formula>0</formula>
    </cfRule>
  </conditionalFormatting>
  <conditionalFormatting sqref="G48 E48">
    <cfRule type="cellIs" dxfId="66" priority="63" stopIfTrue="1" operator="lessThanOrEqual">
      <formula>0</formula>
    </cfRule>
  </conditionalFormatting>
  <conditionalFormatting sqref="G48 E48">
    <cfRule type="cellIs" dxfId="65" priority="62" stopIfTrue="1" operator="lessThanOrEqual">
      <formula>0</formula>
    </cfRule>
  </conditionalFormatting>
  <conditionalFormatting sqref="G48 E48">
    <cfRule type="cellIs" dxfId="64" priority="61" stopIfTrue="1" operator="lessThanOrEqual">
      <formula>0</formula>
    </cfRule>
  </conditionalFormatting>
  <conditionalFormatting sqref="I48">
    <cfRule type="cellIs" dxfId="63" priority="60" stopIfTrue="1" operator="lessThanOrEqual">
      <formula>0</formula>
    </cfRule>
  </conditionalFormatting>
  <conditionalFormatting sqref="I48">
    <cfRule type="cellIs" dxfId="62" priority="59" stopIfTrue="1" operator="lessThanOrEqual">
      <formula>0</formula>
    </cfRule>
  </conditionalFormatting>
  <conditionalFormatting sqref="I48">
    <cfRule type="cellIs" dxfId="61" priority="58" stopIfTrue="1" operator="lessThanOrEqual">
      <formula>0</formula>
    </cfRule>
  </conditionalFormatting>
  <conditionalFormatting sqref="I48">
    <cfRule type="cellIs" dxfId="60" priority="57" stopIfTrue="1" operator="lessThanOrEqual">
      <formula>0</formula>
    </cfRule>
  </conditionalFormatting>
  <conditionalFormatting sqref="C15 C17:C19">
    <cfRule type="cellIs" dxfId="59" priority="56" stopIfTrue="1" operator="lessThanOrEqual">
      <formula>0</formula>
    </cfRule>
  </conditionalFormatting>
  <conditionalFormatting sqref="C15 C17:C19">
    <cfRule type="cellIs" dxfId="58" priority="55" stopIfTrue="1" operator="lessThanOrEqual">
      <formula>0</formula>
    </cfRule>
  </conditionalFormatting>
  <conditionalFormatting sqref="C15 C17:C19">
    <cfRule type="cellIs" dxfId="57" priority="54" stopIfTrue="1" operator="lessThanOrEqual">
      <formula>0</formula>
    </cfRule>
  </conditionalFormatting>
  <conditionalFormatting sqref="C15 C17:C19">
    <cfRule type="cellIs" dxfId="56" priority="53" stopIfTrue="1" operator="lessThanOrEqual">
      <formula>0</formula>
    </cfRule>
  </conditionalFormatting>
  <conditionalFormatting sqref="C16">
    <cfRule type="cellIs" dxfId="55" priority="52" stopIfTrue="1" operator="lessThanOrEqual">
      <formula>0</formula>
    </cfRule>
  </conditionalFormatting>
  <conditionalFormatting sqref="C16">
    <cfRule type="cellIs" dxfId="54" priority="51" stopIfTrue="1" operator="lessThanOrEqual">
      <formula>0</formula>
    </cfRule>
  </conditionalFormatting>
  <conditionalFormatting sqref="C16">
    <cfRule type="cellIs" dxfId="53" priority="50" stopIfTrue="1" operator="lessThanOrEqual">
      <formula>0</formula>
    </cfRule>
  </conditionalFormatting>
  <conditionalFormatting sqref="C16">
    <cfRule type="cellIs" dxfId="52" priority="49" stopIfTrue="1" operator="lessThanOrEqual">
      <formula>0</formula>
    </cfRule>
  </conditionalFormatting>
  <conditionalFormatting sqref="C20">
    <cfRule type="cellIs" dxfId="51" priority="48" stopIfTrue="1" operator="lessThanOrEqual">
      <formula>0</formula>
    </cfRule>
  </conditionalFormatting>
  <conditionalFormatting sqref="C20">
    <cfRule type="cellIs" dxfId="50" priority="47" stopIfTrue="1" operator="lessThanOrEqual">
      <formula>0</formula>
    </cfRule>
  </conditionalFormatting>
  <conditionalFormatting sqref="C20">
    <cfRule type="cellIs" dxfId="49" priority="46" stopIfTrue="1" operator="lessThanOrEqual">
      <formula>0</formula>
    </cfRule>
  </conditionalFormatting>
  <conditionalFormatting sqref="C20">
    <cfRule type="cellIs" dxfId="48" priority="45" stopIfTrue="1" operator="lessThanOrEqual">
      <formula>0</formula>
    </cfRule>
  </conditionalFormatting>
  <conditionalFormatting sqref="C21">
    <cfRule type="cellIs" dxfId="47" priority="44" stopIfTrue="1" operator="lessThanOrEqual">
      <formula>0</formula>
    </cfRule>
  </conditionalFormatting>
  <conditionalFormatting sqref="C21">
    <cfRule type="cellIs" dxfId="46" priority="43" stopIfTrue="1" operator="lessThanOrEqual">
      <formula>0</formula>
    </cfRule>
  </conditionalFormatting>
  <conditionalFormatting sqref="C21">
    <cfRule type="cellIs" dxfId="45" priority="42" stopIfTrue="1" operator="lessThanOrEqual">
      <formula>0</formula>
    </cfRule>
  </conditionalFormatting>
  <conditionalFormatting sqref="C21">
    <cfRule type="cellIs" dxfId="44" priority="41" stopIfTrue="1" operator="lessThanOrEqual">
      <formula>0</formula>
    </cfRule>
  </conditionalFormatting>
  <conditionalFormatting sqref="C22">
    <cfRule type="cellIs" dxfId="43" priority="40" stopIfTrue="1" operator="lessThanOrEqual">
      <formula>0</formula>
    </cfRule>
  </conditionalFormatting>
  <conditionalFormatting sqref="C22">
    <cfRule type="cellIs" dxfId="42" priority="39" stopIfTrue="1" operator="lessThanOrEqual">
      <formula>0</formula>
    </cfRule>
  </conditionalFormatting>
  <conditionalFormatting sqref="C22">
    <cfRule type="cellIs" dxfId="41" priority="38" stopIfTrue="1" operator="lessThanOrEqual">
      <formula>0</formula>
    </cfRule>
  </conditionalFormatting>
  <conditionalFormatting sqref="C22">
    <cfRule type="cellIs" dxfId="40" priority="37" stopIfTrue="1" operator="lessThanOrEqual">
      <formula>0</formula>
    </cfRule>
  </conditionalFormatting>
  <conditionalFormatting sqref="C23:C25">
    <cfRule type="cellIs" dxfId="39" priority="36" stopIfTrue="1" operator="lessThanOrEqual">
      <formula>0</formula>
    </cfRule>
  </conditionalFormatting>
  <conditionalFormatting sqref="C23:C25">
    <cfRule type="cellIs" dxfId="38" priority="35" stopIfTrue="1" operator="lessThanOrEqual">
      <formula>0</formula>
    </cfRule>
  </conditionalFormatting>
  <conditionalFormatting sqref="C23:C25">
    <cfRule type="cellIs" dxfId="37" priority="34" stopIfTrue="1" operator="lessThanOrEqual">
      <formula>0</formula>
    </cfRule>
  </conditionalFormatting>
  <conditionalFormatting sqref="C23:C25">
    <cfRule type="cellIs" dxfId="36" priority="33" stopIfTrue="1" operator="lessThanOrEqual">
      <formula>0</formula>
    </cfRule>
  </conditionalFormatting>
  <conditionalFormatting sqref="C26:C31">
    <cfRule type="cellIs" dxfId="35" priority="32" stopIfTrue="1" operator="lessThanOrEqual">
      <formula>0</formula>
    </cfRule>
  </conditionalFormatting>
  <conditionalFormatting sqref="C26:C31">
    <cfRule type="cellIs" dxfId="34" priority="31" stopIfTrue="1" operator="lessThanOrEqual">
      <formula>0</formula>
    </cfRule>
  </conditionalFormatting>
  <conditionalFormatting sqref="C26:C31">
    <cfRule type="cellIs" dxfId="33" priority="30" stopIfTrue="1" operator="lessThanOrEqual">
      <formula>0</formula>
    </cfRule>
  </conditionalFormatting>
  <conditionalFormatting sqref="C26:C31">
    <cfRule type="cellIs" dxfId="32" priority="29" stopIfTrue="1" operator="lessThanOrEqual">
      <formula>0</formula>
    </cfRule>
  </conditionalFormatting>
  <conditionalFormatting sqref="C34">
    <cfRule type="cellIs" dxfId="31" priority="28" stopIfTrue="1" operator="lessThanOrEqual">
      <formula>0</formula>
    </cfRule>
  </conditionalFormatting>
  <conditionalFormatting sqref="C34">
    <cfRule type="cellIs" dxfId="30" priority="27" stopIfTrue="1" operator="lessThanOrEqual">
      <formula>0</formula>
    </cfRule>
  </conditionalFormatting>
  <conditionalFormatting sqref="C34">
    <cfRule type="cellIs" dxfId="29" priority="26" stopIfTrue="1" operator="lessThanOrEqual">
      <formula>0</formula>
    </cfRule>
  </conditionalFormatting>
  <conditionalFormatting sqref="C34">
    <cfRule type="cellIs" dxfId="28" priority="25" stopIfTrue="1" operator="lessThanOrEqual">
      <formula>0</formula>
    </cfRule>
  </conditionalFormatting>
  <conditionalFormatting sqref="C35">
    <cfRule type="cellIs" dxfId="27" priority="24" stopIfTrue="1" operator="lessThanOrEqual">
      <formula>0</formula>
    </cfRule>
  </conditionalFormatting>
  <conditionalFormatting sqref="C35">
    <cfRule type="cellIs" dxfId="26" priority="23" stopIfTrue="1" operator="lessThanOrEqual">
      <formula>0</formula>
    </cfRule>
  </conditionalFormatting>
  <conditionalFormatting sqref="C35">
    <cfRule type="cellIs" dxfId="25" priority="22" stopIfTrue="1" operator="lessThanOrEqual">
      <formula>0</formula>
    </cfRule>
  </conditionalFormatting>
  <conditionalFormatting sqref="C35">
    <cfRule type="cellIs" dxfId="24" priority="21" stopIfTrue="1" operator="lessThanOrEqual">
      <formula>0</formula>
    </cfRule>
  </conditionalFormatting>
  <conditionalFormatting sqref="C41">
    <cfRule type="cellIs" dxfId="23" priority="20" stopIfTrue="1" operator="lessThanOrEqual">
      <formula>0</formula>
    </cfRule>
  </conditionalFormatting>
  <conditionalFormatting sqref="C41">
    <cfRule type="cellIs" dxfId="22" priority="19" stopIfTrue="1" operator="lessThanOrEqual">
      <formula>0</formula>
    </cfRule>
  </conditionalFormatting>
  <conditionalFormatting sqref="C41">
    <cfRule type="cellIs" dxfId="21" priority="18" stopIfTrue="1" operator="lessThanOrEqual">
      <formula>0</formula>
    </cfRule>
  </conditionalFormatting>
  <conditionalFormatting sqref="C41">
    <cfRule type="cellIs" dxfId="20" priority="17" stopIfTrue="1" operator="lessThanOrEqual">
      <formula>0</formula>
    </cfRule>
  </conditionalFormatting>
  <conditionalFormatting sqref="C42">
    <cfRule type="cellIs" dxfId="19" priority="16" stopIfTrue="1" operator="lessThanOrEqual">
      <formula>0</formula>
    </cfRule>
  </conditionalFormatting>
  <conditionalFormatting sqref="C42">
    <cfRule type="cellIs" dxfId="18" priority="15" stopIfTrue="1" operator="lessThanOrEqual">
      <formula>0</formula>
    </cfRule>
  </conditionalFormatting>
  <conditionalFormatting sqref="C42">
    <cfRule type="cellIs" dxfId="17" priority="14" stopIfTrue="1" operator="lessThanOrEqual">
      <formula>0</formula>
    </cfRule>
  </conditionalFormatting>
  <conditionalFormatting sqref="C42">
    <cfRule type="cellIs" dxfId="16" priority="13" stopIfTrue="1" operator="lessThanOrEqual">
      <formula>0</formula>
    </cfRule>
  </conditionalFormatting>
  <conditionalFormatting sqref="C43">
    <cfRule type="cellIs" dxfId="15" priority="12" stopIfTrue="1" operator="lessThanOrEqual">
      <formula>0</formula>
    </cfRule>
  </conditionalFormatting>
  <conditionalFormatting sqref="C43">
    <cfRule type="cellIs" dxfId="14" priority="11" stopIfTrue="1" operator="lessThanOrEqual">
      <formula>0</formula>
    </cfRule>
  </conditionalFormatting>
  <conditionalFormatting sqref="C43">
    <cfRule type="cellIs" dxfId="13" priority="10" stopIfTrue="1" operator="lessThanOrEqual">
      <formula>0</formula>
    </cfRule>
  </conditionalFormatting>
  <conditionalFormatting sqref="C43">
    <cfRule type="cellIs" dxfId="12" priority="9" stopIfTrue="1" operator="lessThanOrEqual">
      <formula>0</formula>
    </cfRule>
  </conditionalFormatting>
  <conditionalFormatting sqref="C44">
    <cfRule type="cellIs" dxfId="11" priority="8" stopIfTrue="1" operator="lessThanOrEqual">
      <formula>0</formula>
    </cfRule>
  </conditionalFormatting>
  <conditionalFormatting sqref="C44">
    <cfRule type="cellIs" dxfId="10" priority="7" stopIfTrue="1" operator="lessThanOrEqual">
      <formula>0</formula>
    </cfRule>
  </conditionalFormatting>
  <conditionalFormatting sqref="C44">
    <cfRule type="cellIs" dxfId="9" priority="6" stopIfTrue="1" operator="lessThanOrEqual">
      <formula>0</formula>
    </cfRule>
  </conditionalFormatting>
  <conditionalFormatting sqref="C44">
    <cfRule type="cellIs" dxfId="8" priority="5" stopIfTrue="1" operator="lessThanOrEqual">
      <formula>0</formula>
    </cfRule>
  </conditionalFormatting>
  <conditionalFormatting sqref="C45">
    <cfRule type="cellIs" dxfId="7" priority="4" stopIfTrue="1" operator="lessThanOrEqual">
      <formula>0</formula>
    </cfRule>
  </conditionalFormatting>
  <conditionalFormatting sqref="C45">
    <cfRule type="cellIs" dxfId="5" priority="3" stopIfTrue="1" operator="lessThanOrEqual">
      <formula>0</formula>
    </cfRule>
  </conditionalFormatting>
  <conditionalFormatting sqref="C45">
    <cfRule type="cellIs" dxfId="3" priority="2" stopIfTrue="1" operator="lessThanOrEqual">
      <formula>0</formula>
    </cfRule>
  </conditionalFormatting>
  <conditionalFormatting sqref="C45">
    <cfRule type="cellIs" dxfId="1" priority="1" stopIfTrue="1" operator="lessThanOrEqual">
      <formula>0</formula>
    </cfRule>
  </conditionalFormatting>
  <pageMargins left="0.2" right="0.2" top="0.2" bottom="0.47" header="0.2" footer="0.28999999999999998"/>
  <pageSetup paperSize="9" scale="66" orientation="portrait" verticalDpi="200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"/>
  <sheetViews>
    <sheetView workbookViewId="0"/>
  </sheetViews>
  <sheetFormatPr defaultColWidth="11.42578125" defaultRowHeight="12.7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TOTAL</vt:lpstr>
      <vt:lpstr>Consommation du 01.04 au 30.04</vt:lpstr>
      <vt:lpstr>Suvi Gaz</vt:lpstr>
      <vt:lpstr>Suivi EAU-ELEC</vt:lpstr>
      <vt:lpstr>Feuil1</vt:lpstr>
      <vt:lpstr>'Suivi EAU-ELEC'!Print_Area</vt:lpstr>
      <vt:lpstr>'Suvi Gaz'!Print_Area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Corporation</dc:creator>
  <cp:lastModifiedBy>Abderrahim Arjouzi</cp:lastModifiedBy>
  <cp:lastPrinted>2016-11-26T06:58:46Z</cp:lastPrinted>
  <dcterms:created xsi:type="dcterms:W3CDTF">1996-10-21T11:03:58Z</dcterms:created>
  <dcterms:modified xsi:type="dcterms:W3CDTF">2020-04-30T06:24:05Z</dcterms:modified>
</cp:coreProperties>
</file>