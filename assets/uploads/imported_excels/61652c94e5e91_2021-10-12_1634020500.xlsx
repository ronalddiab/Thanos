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K202" i="4" s="1"/>
  <c r="J203" i="4"/>
  <c r="K203" i="4" s="1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4" i="4" l="1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L118" i="4"/>
  <c r="M118" i="4" s="1"/>
  <c r="L119" i="4"/>
  <c r="L120" i="4"/>
  <c r="L121" i="4"/>
  <c r="L122" i="4"/>
  <c r="L123" i="4"/>
  <c r="L124" i="4"/>
  <c r="M124" i="4" s="1"/>
  <c r="L125" i="4"/>
  <c r="L126" i="4"/>
  <c r="L127" i="4"/>
  <c r="L128" i="4"/>
  <c r="L129" i="4"/>
  <c r="L130" i="4"/>
  <c r="L131" i="4"/>
  <c r="L132" i="4"/>
  <c r="L133" i="4"/>
  <c r="L134" i="4"/>
  <c r="L135" i="4"/>
  <c r="L136" i="4"/>
  <c r="M136" i="4" s="1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3" i="4" l="1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K325" i="4"/>
  <c r="I325" i="4"/>
  <c r="S324" i="4"/>
  <c r="R324" i="4"/>
  <c r="O324" i="4"/>
  <c r="L324" i="4"/>
  <c r="M324" i="4" s="1"/>
  <c r="K324" i="4"/>
  <c r="I324" i="4"/>
  <c r="S323" i="4"/>
  <c r="R323" i="4"/>
  <c r="O323" i="4"/>
  <c r="L323" i="4"/>
  <c r="M323" i="4" s="1"/>
  <c r="K323" i="4"/>
  <c r="I323" i="4"/>
  <c r="S322" i="4"/>
  <c r="R322" i="4"/>
  <c r="O322" i="4"/>
  <c r="L322" i="4"/>
  <c r="M322" i="4" s="1"/>
  <c r="K322" i="4"/>
  <c r="I322" i="4"/>
  <c r="S321" i="4"/>
  <c r="R321" i="4"/>
  <c r="O321" i="4"/>
  <c r="L321" i="4"/>
  <c r="M321" i="4" s="1"/>
  <c r="K321" i="4"/>
  <c r="I321" i="4"/>
  <c r="S320" i="4"/>
  <c r="R320" i="4"/>
  <c r="O320" i="4"/>
  <c r="L320" i="4"/>
  <c r="M320" i="4" s="1"/>
  <c r="K320" i="4"/>
  <c r="I320" i="4"/>
  <c r="S319" i="4"/>
  <c r="R319" i="4"/>
  <c r="O319" i="4"/>
  <c r="L319" i="4"/>
  <c r="M319" i="4" s="1"/>
  <c r="K319" i="4"/>
  <c r="I319" i="4"/>
  <c r="S318" i="4"/>
  <c r="R318" i="4"/>
  <c r="O318" i="4"/>
  <c r="L318" i="4"/>
  <c r="M318" i="4" s="1"/>
  <c r="K318" i="4"/>
  <c r="I318" i="4"/>
  <c r="S317" i="4"/>
  <c r="R317" i="4"/>
  <c r="O317" i="4"/>
  <c r="L317" i="4"/>
  <c r="M317" i="4" s="1"/>
  <c r="K317" i="4"/>
  <c r="I317" i="4"/>
  <c r="S316" i="4"/>
  <c r="R316" i="4"/>
  <c r="O316" i="4"/>
  <c r="L316" i="4"/>
  <c r="M316" i="4" s="1"/>
  <c r="K316" i="4"/>
  <c r="I316" i="4"/>
  <c r="S315" i="4"/>
  <c r="R315" i="4"/>
  <c r="O315" i="4"/>
  <c r="L315" i="4"/>
  <c r="M315" i="4" s="1"/>
  <c r="K315" i="4"/>
  <c r="I315" i="4"/>
  <c r="S314" i="4"/>
  <c r="R314" i="4"/>
  <c r="O314" i="4"/>
  <c r="L314" i="4"/>
  <c r="M314" i="4" s="1"/>
  <c r="K314" i="4"/>
  <c r="I314" i="4"/>
  <c r="S313" i="4"/>
  <c r="R313" i="4"/>
  <c r="O313" i="4"/>
  <c r="L313" i="4"/>
  <c r="M313" i="4" s="1"/>
  <c r="K313" i="4"/>
  <c r="I313" i="4"/>
  <c r="S312" i="4"/>
  <c r="R312" i="4"/>
  <c r="O312" i="4"/>
  <c r="L312" i="4"/>
  <c r="M312" i="4" s="1"/>
  <c r="K312" i="4"/>
  <c r="I312" i="4"/>
  <c r="S311" i="4"/>
  <c r="R311" i="4"/>
  <c r="O311" i="4"/>
  <c r="L311" i="4"/>
  <c r="M311" i="4" s="1"/>
  <c r="K311" i="4"/>
  <c r="I311" i="4"/>
  <c r="S310" i="4"/>
  <c r="R310" i="4"/>
  <c r="O310" i="4"/>
  <c r="L310" i="4"/>
  <c r="M310" i="4" s="1"/>
  <c r="K310" i="4"/>
  <c r="I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L281" i="4"/>
  <c r="M281" i="4" s="1"/>
  <c r="K281" i="4"/>
  <c r="E280" i="1"/>
  <c r="S280" i="4"/>
  <c r="R280" i="4"/>
  <c r="O280" i="4"/>
  <c r="L280" i="4"/>
  <c r="M280" i="4" s="1"/>
  <c r="K280" i="4"/>
  <c r="E279" i="1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L277" i="4"/>
  <c r="M277" i="4" s="1"/>
  <c r="K277" i="4"/>
  <c r="E276" i="1"/>
  <c r="S276" i="4"/>
  <c r="R276" i="4"/>
  <c r="O276" i="4"/>
  <c r="L276" i="4"/>
  <c r="E275" i="1"/>
  <c r="S275" i="4"/>
  <c r="R275" i="4"/>
  <c r="O275" i="4"/>
  <c r="L275" i="4"/>
  <c r="M275" i="4" s="1"/>
  <c r="K275" i="4"/>
  <c r="S274" i="4"/>
  <c r="R274" i="4"/>
  <c r="O274" i="4"/>
  <c r="L274" i="4"/>
  <c r="M274" i="4" s="1"/>
  <c r="K274" i="4"/>
  <c r="E273" i="1"/>
  <c r="S273" i="4"/>
  <c r="R273" i="4"/>
  <c r="O273" i="4"/>
  <c r="L273" i="4"/>
  <c r="M273" i="4" s="1"/>
  <c r="K273" i="4"/>
  <c r="E272" i="1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3" i="1" s="1"/>
  <c r="K285" i="3"/>
  <c r="J285" i="3"/>
  <c r="I285" i="3"/>
  <c r="H285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Q288" i="3" l="1"/>
  <c r="Q285" i="3"/>
  <c r="Q284" i="3"/>
  <c r="Q281" i="3"/>
  <c r="K276" i="4"/>
  <c r="M276" i="4"/>
  <c r="Q268" i="3"/>
  <c r="K245" i="4"/>
  <c r="M236" i="3"/>
  <c r="G234" i="1" s="1"/>
  <c r="Q219" i="3"/>
  <c r="K213" i="4"/>
  <c r="K212" i="4"/>
  <c r="K188" i="4"/>
  <c r="E181" i="1"/>
  <c r="E203" i="1"/>
  <c r="E228" i="1"/>
  <c r="E229" i="1"/>
  <c r="E230" i="1"/>
  <c r="E232" i="1"/>
  <c r="E233" i="1"/>
  <c r="E234" i="1"/>
  <c r="E236" i="1"/>
  <c r="E237" i="1"/>
  <c r="E238" i="1"/>
  <c r="E305" i="1"/>
  <c r="E314" i="1"/>
  <c r="E315" i="1"/>
  <c r="F315" i="1" s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E296" i="1"/>
  <c r="E300" i="1"/>
  <c r="Q360" i="4"/>
  <c r="M338" i="4"/>
  <c r="P207" i="4"/>
  <c r="P329" i="4"/>
  <c r="K308" i="4"/>
  <c r="E361" i="1"/>
  <c r="E242" i="1"/>
  <c r="E243" i="1"/>
  <c r="E245" i="1"/>
  <c r="E246" i="1"/>
  <c r="E247" i="1"/>
  <c r="E249" i="1"/>
  <c r="E250" i="1"/>
  <c r="E251" i="1"/>
  <c r="E252" i="1"/>
  <c r="E254" i="1"/>
  <c r="E255" i="1"/>
  <c r="E256" i="1"/>
  <c r="E258" i="1"/>
  <c r="E259" i="1"/>
  <c r="E260" i="1"/>
  <c r="E262" i="1"/>
  <c r="E263" i="1"/>
  <c r="E264" i="1"/>
  <c r="E266" i="1"/>
  <c r="E267" i="1"/>
  <c r="E268" i="1"/>
  <c r="Q329" i="4"/>
  <c r="M308" i="4"/>
  <c r="E333" i="1"/>
  <c r="E336" i="1"/>
  <c r="E338" i="1"/>
  <c r="F338" i="1" s="1"/>
  <c r="E339" i="1"/>
  <c r="F339" i="1" s="1"/>
  <c r="E366" i="1"/>
  <c r="F366" i="1" s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E323" i="1"/>
  <c r="F323" i="1" s="1"/>
  <c r="E329" i="1"/>
  <c r="E330" i="1"/>
  <c r="E162" i="1"/>
  <c r="E163" i="1"/>
  <c r="E301" i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M79" i="3"/>
  <c r="G77" i="1" s="1"/>
  <c r="Q143" i="3"/>
  <c r="Q155" i="3"/>
  <c r="Q158" i="3"/>
  <c r="Q181" i="3"/>
  <c r="F319" i="1"/>
  <c r="Q146" i="4"/>
  <c r="E157" i="1"/>
  <c r="E188" i="1"/>
  <c r="E201" i="1"/>
  <c r="E270" i="1"/>
  <c r="E332" i="1"/>
  <c r="F332" i="1" s="1"/>
  <c r="E350" i="1"/>
  <c r="F350" i="1" s="1"/>
  <c r="E358" i="1"/>
  <c r="F358" i="1" s="1"/>
  <c r="E363" i="1"/>
  <c r="F363" i="1" s="1"/>
  <c r="E67" i="1"/>
  <c r="F67" i="1" s="1"/>
  <c r="E205" i="1"/>
  <c r="E253" i="1"/>
  <c r="E257" i="1"/>
  <c r="E261" i="1"/>
  <c r="E265" i="1"/>
  <c r="E269" i="1"/>
  <c r="E274" i="1"/>
  <c r="E278" i="1"/>
  <c r="E282" i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E291" i="1"/>
  <c r="E295" i="1"/>
  <c r="E299" i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E195" i="1"/>
  <c r="E222" i="1"/>
  <c r="E227" i="1"/>
  <c r="E231" i="1"/>
  <c r="E235" i="1"/>
  <c r="E239" i="1"/>
  <c r="E244" i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E290" i="1"/>
  <c r="E294" i="1"/>
  <c r="E298" i="1"/>
  <c r="E325" i="1"/>
  <c r="F325" i="1" s="1"/>
  <c r="E335" i="1"/>
  <c r="F335" i="1" s="1"/>
  <c r="E348" i="1"/>
  <c r="F348" i="1" s="1"/>
  <c r="E352" i="1"/>
  <c r="F352" i="1" s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Q84" i="4"/>
  <c r="E85" i="1"/>
  <c r="E158" i="1"/>
  <c r="E167" i="1"/>
  <c r="E198" i="1"/>
  <c r="E212" i="1"/>
  <c r="E216" i="1"/>
  <c r="E293" i="1"/>
  <c r="E297" i="1"/>
  <c r="E302" i="1"/>
  <c r="E311" i="1"/>
  <c r="F311" i="1" s="1"/>
  <c r="E324" i="1"/>
  <c r="F324" i="1" s="1"/>
  <c r="E347" i="1"/>
  <c r="E63" i="1"/>
  <c r="F63" i="1" s="1"/>
  <c r="Q98" i="3"/>
  <c r="M105" i="3"/>
  <c r="G103" i="1" s="1"/>
  <c r="O336" i="3"/>
  <c r="E91" i="1"/>
  <c r="E140" i="1"/>
  <c r="E149" i="1"/>
  <c r="E154" i="1"/>
  <c r="E214" i="1"/>
  <c r="E219" i="1"/>
  <c r="E224" i="1"/>
  <c r="E241" i="1"/>
  <c r="E118" i="1"/>
  <c r="E177" i="1"/>
  <c r="E218" i="1"/>
  <c r="E223" i="1"/>
  <c r="E287" i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E284" i="1"/>
  <c r="E289" i="1"/>
  <c r="E303" i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E364" i="1"/>
  <c r="F364" i="1" s="1"/>
  <c r="E10" i="1"/>
  <c r="E128" i="1"/>
  <c r="E359" i="1"/>
  <c r="F359" i="1" s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F331" i="1" s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Q253" i="3"/>
  <c r="Q256" i="3"/>
  <c r="Q259" i="3"/>
  <c r="I257" i="1"/>
  <c r="M264" i="3"/>
  <c r="G262" i="1" s="1"/>
  <c r="M267" i="3"/>
  <c r="G265" i="1" s="1"/>
  <c r="Q269" i="3"/>
  <c r="O275" i="3"/>
  <c r="I273" i="1"/>
  <c r="M283" i="3"/>
  <c r="G281" i="1" s="1"/>
  <c r="Q291" i="3"/>
  <c r="I289" i="1"/>
  <c r="M299" i="3"/>
  <c r="G297" i="1" s="1"/>
  <c r="M306" i="3"/>
  <c r="G304" i="1" s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O246" i="3"/>
  <c r="I244" i="1"/>
  <c r="M254" i="3"/>
  <c r="G252" i="1" s="1"/>
  <c r="Q262" i="3"/>
  <c r="I260" i="1"/>
  <c r="M270" i="3"/>
  <c r="G268" i="1" s="1"/>
  <c r="Q272" i="3"/>
  <c r="I270" i="1"/>
  <c r="M286" i="3"/>
  <c r="G284" i="1" s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Q258" i="3"/>
  <c r="I256" i="1"/>
  <c r="M266" i="3"/>
  <c r="G264" i="1" s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Q250" i="3"/>
  <c r="I248" i="1"/>
  <c r="M258" i="3"/>
  <c r="G256" i="1" s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P307" i="4" l="1"/>
  <c r="P276" i="4"/>
  <c r="O216" i="3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<sst xmlns="http://schemas.openxmlformats.org/spreadsheetml/2006/main" count="608" uniqueCount="78">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</sst>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262" workbookViewId="0">
      <selection activeCell="O281" sqref="O281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0.85</v>
      </c>
      <c r="G214" s="4">
        <f>'Gas Water'!M216</f>
        <v>1288</v>
      </c>
      <c r="H214" s="153">
        <v>1.9</v>
      </c>
      <c r="I214" s="2">
        <f>'Gas Water'!L216</f>
        <v>243</v>
      </c>
      <c r="J214" s="153">
        <v>13.9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0.85</v>
      </c>
      <c r="G215" s="4">
        <f>'Gas Water'!M217</f>
        <v>1305</v>
      </c>
      <c r="H215" s="153">
        <v>1.9</v>
      </c>
      <c r="I215" s="2">
        <f>'Gas Water'!L217</f>
        <v>291</v>
      </c>
      <c r="J215" s="153">
        <v>13.9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0.85</v>
      </c>
      <c r="G216" s="4">
        <f>'Gas Water'!M218</f>
        <v>1316</v>
      </c>
      <c r="H216" s="153">
        <v>1.9</v>
      </c>
      <c r="I216" s="2">
        <f>'Gas Water'!L218</f>
        <v>282</v>
      </c>
      <c r="J216" s="153">
        <v>13.9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0.85</v>
      </c>
      <c r="G217" s="4">
        <f>'Gas Water'!M219</f>
        <v>1492</v>
      </c>
      <c r="H217" s="153">
        <v>1.9</v>
      </c>
      <c r="I217" s="2">
        <f>'Gas Water'!L219</f>
        <v>274</v>
      </c>
      <c r="J217" s="153">
        <v>13.9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0.85</v>
      </c>
      <c r="G218" s="4">
        <f>'Gas Water'!M220</f>
        <v>1403</v>
      </c>
      <c r="H218" s="153">
        <v>1.9</v>
      </c>
      <c r="I218" s="2">
        <f>'Gas Water'!L220</f>
        <v>302</v>
      </c>
      <c r="J218" s="153">
        <v>13.9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0.85</v>
      </c>
      <c r="G219" s="4">
        <f>'Gas Water'!M221</f>
        <v>1424</v>
      </c>
      <c r="H219" s="153">
        <v>1.9</v>
      </c>
      <c r="I219" s="2">
        <f>'Gas Water'!L221</f>
        <v>292</v>
      </c>
      <c r="J219" s="153">
        <v>13.9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0.85</v>
      </c>
      <c r="G220" s="4">
        <f>'Gas Water'!M222</f>
        <v>1481</v>
      </c>
      <c r="H220" s="153">
        <v>1.9</v>
      </c>
      <c r="I220" s="2">
        <f>'Gas Water'!L222</f>
        <v>265</v>
      </c>
      <c r="J220" s="153">
        <v>13.9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53">
        <v>0.85</v>
      </c>
      <c r="G221" s="4">
        <f>'Gas Water'!M223</f>
        <v>1553</v>
      </c>
      <c r="H221" s="153">
        <v>1.9</v>
      </c>
      <c r="I221" s="2">
        <f>'Gas Water'!L223</f>
        <v>266</v>
      </c>
      <c r="J221" s="153">
        <v>13.9</v>
      </c>
      <c r="K221" s="5">
        <v>139</v>
      </c>
      <c r="L221" s="5">
        <v>265</v>
      </c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>
        <f>'Electricity '!I223+'Electricity '!O223</f>
        <v>35587.440000000017</v>
      </c>
      <c r="F222" s="153">
        <v>0.85</v>
      </c>
      <c r="G222" s="4">
        <f>'Gas Water'!M224</f>
        <v>1376</v>
      </c>
      <c r="H222" s="153">
        <v>1.9</v>
      </c>
      <c r="I222" s="2">
        <f>'Gas Water'!L224</f>
        <v>231</v>
      </c>
      <c r="J222" s="153">
        <v>13.9</v>
      </c>
      <c r="K222" s="5">
        <v>137</v>
      </c>
      <c r="L222" s="5">
        <v>246</v>
      </c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>
        <f>'Electricity '!I224+'Electricity '!O224</f>
        <v>32999.940000000017</v>
      </c>
      <c r="F223" s="153">
        <v>0.85</v>
      </c>
      <c r="G223" s="4">
        <f>'Gas Water'!M225</f>
        <v>1302</v>
      </c>
      <c r="H223" s="153">
        <v>1.9</v>
      </c>
      <c r="I223" s="2">
        <f>'Gas Water'!L225</f>
        <v>311</v>
      </c>
      <c r="J223" s="153">
        <v>13.9</v>
      </c>
      <c r="K223" s="5">
        <v>141</v>
      </c>
      <c r="L223" s="5">
        <v>253</v>
      </c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>
        <f>'Electricity '!I225+'Electricity '!O225</f>
        <v>34130.159999999647</v>
      </c>
      <c r="F224" s="153">
        <v>0.85</v>
      </c>
      <c r="G224" s="4">
        <f>'Gas Water'!M226</f>
        <v>1285</v>
      </c>
      <c r="H224" s="153">
        <v>1.9</v>
      </c>
      <c r="I224" s="2">
        <f>'Gas Water'!L226</f>
        <v>277</v>
      </c>
      <c r="J224" s="153">
        <v>13.9</v>
      </c>
      <c r="K224" s="5">
        <v>132</v>
      </c>
      <c r="L224" s="5">
        <v>245</v>
      </c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>
        <f>'Electricity '!I226+'Electricity '!O226</f>
        <v>36287.09999999994</v>
      </c>
      <c r="F225" s="153">
        <v>0.85</v>
      </c>
      <c r="G225" s="4">
        <f>'Gas Water'!M227</f>
        <v>1300</v>
      </c>
      <c r="H225" s="153">
        <v>1.9</v>
      </c>
      <c r="I225" s="2">
        <f>'Gas Water'!L227</f>
        <v>241</v>
      </c>
      <c r="J225" s="153">
        <v>13.9</v>
      </c>
      <c r="K225" s="5">
        <v>121</v>
      </c>
      <c r="L225" s="5">
        <v>218</v>
      </c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>
        <f>'Electricity '!I227+'Electricity '!O227</f>
        <v>35413.560000000361</v>
      </c>
      <c r="F226" s="153">
        <v>0.85</v>
      </c>
      <c r="G226" s="4">
        <f>'Gas Water'!M228</f>
        <v>1542</v>
      </c>
      <c r="H226" s="153">
        <v>1.9</v>
      </c>
      <c r="I226" s="2">
        <f>'Gas Water'!L228</f>
        <v>269</v>
      </c>
      <c r="J226" s="153">
        <v>13.9</v>
      </c>
      <c r="K226" s="5">
        <v>144</v>
      </c>
      <c r="L226" s="5">
        <v>294</v>
      </c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>
        <f>'Electricity '!I228+'Electricity '!O228</f>
        <v>30031.560000000078</v>
      </c>
      <c r="F227" s="153">
        <v>0.85</v>
      </c>
      <c r="G227" s="4">
        <f>'Gas Water'!M229</f>
        <v>1347</v>
      </c>
      <c r="H227" s="153">
        <v>1.9</v>
      </c>
      <c r="I227" s="2">
        <f>'Gas Water'!L229</f>
        <v>277</v>
      </c>
      <c r="J227" s="153">
        <v>13.9</v>
      </c>
      <c r="K227" s="5">
        <v>139</v>
      </c>
      <c r="L227" s="5">
        <v>272</v>
      </c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>
        <f>'Electricity '!I229+'Electricity '!O229</f>
        <v>33542.279999999897</v>
      </c>
      <c r="F228" s="153">
        <v>0.85</v>
      </c>
      <c r="G228" s="4">
        <f>'Gas Water'!M230</f>
        <v>1396</v>
      </c>
      <c r="H228" s="153">
        <v>1.9</v>
      </c>
      <c r="I228" s="2">
        <f>'Gas Water'!L230</f>
        <v>240</v>
      </c>
      <c r="J228" s="153">
        <v>13.9</v>
      </c>
      <c r="K228" s="5">
        <v>140</v>
      </c>
      <c r="L228" s="5">
        <v>284</v>
      </c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>
        <f>'Electricity '!I230+'Electricity '!O230</f>
        <v>31124.519999999651</v>
      </c>
      <c r="F229" s="153">
        <v>0.85</v>
      </c>
      <c r="G229" s="4">
        <f>'Gas Water'!M231</f>
        <v>1403</v>
      </c>
      <c r="H229" s="153">
        <v>1.9</v>
      </c>
      <c r="I229" s="2">
        <f>'Gas Water'!L231</f>
        <v>283</v>
      </c>
      <c r="J229" s="153">
        <v>13.9</v>
      </c>
      <c r="K229" s="5">
        <v>149</v>
      </c>
      <c r="L229" s="5">
        <v>288</v>
      </c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>
        <f>'Electricity '!I231+'Electricity '!O231</f>
        <v>36692.820000000233</v>
      </c>
      <c r="F230" s="153">
        <v>0.85</v>
      </c>
      <c r="G230" s="4">
        <f>'Gas Water'!M232</f>
        <v>1344</v>
      </c>
      <c r="H230" s="153">
        <v>1.9</v>
      </c>
      <c r="I230" s="2">
        <f>'Gas Water'!L232</f>
        <v>279</v>
      </c>
      <c r="J230" s="153">
        <v>13.9</v>
      </c>
      <c r="K230" s="5">
        <v>149</v>
      </c>
      <c r="L230" s="5">
        <v>269</v>
      </c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>
        <f>'Electricity '!I232+'Electricity '!O232</f>
        <v>37309.679999999767</v>
      </c>
      <c r="F231" s="153">
        <v>0.85</v>
      </c>
      <c r="G231" s="4">
        <f>'Gas Water'!M233</f>
        <v>1369</v>
      </c>
      <c r="H231" s="153">
        <v>1.9</v>
      </c>
      <c r="I231" s="2">
        <f>'Gas Water'!L233</f>
        <v>262</v>
      </c>
      <c r="J231" s="153">
        <v>13.9</v>
      </c>
      <c r="K231" s="5">
        <v>153</v>
      </c>
      <c r="L231" s="5">
        <v>266</v>
      </c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>
        <f>'Electricity '!I233+'Electricity '!O233</f>
        <v>38704.860000000663</v>
      </c>
      <c r="F232" s="153">
        <v>0.85</v>
      </c>
      <c r="G232" s="4">
        <f>'Gas Water'!M234</f>
        <v>1569</v>
      </c>
      <c r="H232" s="153">
        <v>1.9</v>
      </c>
      <c r="I232" s="2">
        <f>'Gas Water'!L234</f>
        <v>268</v>
      </c>
      <c r="J232" s="153">
        <v>13.9</v>
      </c>
      <c r="K232" s="5">
        <v>145</v>
      </c>
      <c r="L232" s="5">
        <v>259</v>
      </c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>
        <f>'Electricity '!I234+'Electricity '!O234</f>
        <v>30855.419999999896</v>
      </c>
      <c r="F233" s="153">
        <v>0.85</v>
      </c>
      <c r="G233" s="4">
        <f>'Gas Water'!M235</f>
        <v>1466</v>
      </c>
      <c r="H233" s="153">
        <v>1.9</v>
      </c>
      <c r="I233" s="2">
        <f>'Gas Water'!L235</f>
        <v>235</v>
      </c>
      <c r="J233" s="153">
        <v>13.9</v>
      </c>
      <c r="K233" s="5">
        <v>132</v>
      </c>
      <c r="L233" s="5">
        <v>247</v>
      </c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>
        <f>'Electricity '!I235+'Electricity '!O235</f>
        <v>34010.099999999664</v>
      </c>
      <c r="F234" s="153">
        <v>0.85</v>
      </c>
      <c r="G234" s="4">
        <f>'Gas Water'!M236</f>
        <v>1412</v>
      </c>
      <c r="H234" s="153">
        <v>1.9</v>
      </c>
      <c r="I234" s="2">
        <f>'Gas Water'!L236</f>
        <v>244</v>
      </c>
      <c r="J234" s="153">
        <v>13.9</v>
      </c>
      <c r="K234" s="5">
        <v>130</v>
      </c>
      <c r="L234" s="5">
        <v>253</v>
      </c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>
        <f>'Electricity '!I236+'Electricity '!O236</f>
        <v>35318.339999999793</v>
      </c>
      <c r="F235" s="153">
        <v>0.85</v>
      </c>
      <c r="G235" s="4">
        <f>'Gas Water'!M237</f>
        <v>1416</v>
      </c>
      <c r="H235" s="153">
        <v>1.9</v>
      </c>
      <c r="I235" s="2">
        <f>'Gas Water'!L237</f>
        <v>282</v>
      </c>
      <c r="J235" s="153">
        <v>13.9</v>
      </c>
      <c r="K235" s="5">
        <v>138</v>
      </c>
      <c r="L235" s="5">
        <v>278</v>
      </c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>
        <f>'Electricity '!I237+'Electricity '!O237</f>
        <v>35575.02000000031</v>
      </c>
      <c r="F236" s="153">
        <v>0.85</v>
      </c>
      <c r="G236" s="4">
        <f>'Gas Water'!M238</f>
        <v>1412</v>
      </c>
      <c r="H236" s="153">
        <v>1.9</v>
      </c>
      <c r="I236" s="2">
        <f>'Gas Water'!L238</f>
        <v>275</v>
      </c>
      <c r="J236" s="153">
        <v>13.9</v>
      </c>
      <c r="K236" s="5">
        <v>127</v>
      </c>
      <c r="L236" s="5">
        <v>254</v>
      </c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>
        <f>'Electricity '!I238+'Electricity '!O238</f>
        <v>36572.760000000249</v>
      </c>
      <c r="F237" s="153">
        <v>0.85</v>
      </c>
      <c r="G237" s="4">
        <f>'Gas Water'!M239</f>
        <v>1402</v>
      </c>
      <c r="H237" s="153">
        <v>1.9</v>
      </c>
      <c r="I237" s="2">
        <f>'Gas Water'!L239</f>
        <v>301</v>
      </c>
      <c r="J237" s="153">
        <v>13.9</v>
      </c>
      <c r="K237" s="5">
        <v>135</v>
      </c>
      <c r="L237" s="5">
        <v>266</v>
      </c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>
        <f>'Electricity '!I239+'Electricity '!O239</f>
        <v>38613.779999999992</v>
      </c>
      <c r="F238" s="153">
        <v>0.85</v>
      </c>
      <c r="G238" s="4">
        <f>'Gas Water'!M240</f>
        <v>1399</v>
      </c>
      <c r="H238" s="153">
        <v>1.9</v>
      </c>
      <c r="I238" s="2">
        <f>'Gas Water'!L240</f>
        <v>273</v>
      </c>
      <c r="J238" s="153">
        <v>13.9</v>
      </c>
      <c r="K238" s="5">
        <v>144</v>
      </c>
      <c r="L238" s="5">
        <v>286</v>
      </c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>
        <f>'Electricity '!I240+'Electricity '!O240</f>
        <v>35446.679999999578</v>
      </c>
      <c r="F239" s="153">
        <v>0.85</v>
      </c>
      <c r="G239" s="4">
        <f>'Gas Water'!M241</f>
        <v>1380</v>
      </c>
      <c r="H239" s="153">
        <v>1.9</v>
      </c>
      <c r="I239" s="2">
        <f>'Gas Water'!L241</f>
        <v>267</v>
      </c>
      <c r="J239" s="153">
        <v>13.9</v>
      </c>
      <c r="K239" s="5">
        <v>147</v>
      </c>
      <c r="L239" s="5">
        <v>298</v>
      </c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>
        <f>'Electricity '!I241+'Electricity '!O241</f>
        <v>36200.159999999647</v>
      </c>
      <c r="F240" s="153">
        <v>0.85</v>
      </c>
      <c r="G240" s="4">
        <f>'Gas Water'!M242</f>
        <v>1428</v>
      </c>
      <c r="H240" s="153">
        <v>1.9</v>
      </c>
      <c r="I240" s="2">
        <f>'Gas Water'!L242</f>
        <v>330</v>
      </c>
      <c r="J240" s="153">
        <v>13.9</v>
      </c>
      <c r="K240" s="5">
        <v>134</v>
      </c>
      <c r="L240" s="5">
        <v>273</v>
      </c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>
        <f>'Electricity '!I242+'Electricity '!O242</f>
        <v>36357.480000000636</v>
      </c>
      <c r="F241" s="153">
        <v>0.85</v>
      </c>
      <c r="G241" s="4">
        <f>'Gas Water'!M243</f>
        <v>1332</v>
      </c>
      <c r="H241" s="153">
        <v>1.9</v>
      </c>
      <c r="I241" s="2">
        <f>'Gas Water'!L243</f>
        <v>295</v>
      </c>
      <c r="J241" s="153">
        <v>13.9</v>
      </c>
      <c r="K241" s="5">
        <v>145</v>
      </c>
      <c r="L241" s="5">
        <v>286</v>
      </c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>
        <f>'Electricity '!I243+'Electricity '!O243</f>
        <v>38137.679999999957</v>
      </c>
      <c r="F242" s="153">
        <v>0.85</v>
      </c>
      <c r="G242" s="4">
        <f>'Gas Water'!M244</f>
        <v>1335</v>
      </c>
      <c r="H242" s="153">
        <v>1.9</v>
      </c>
      <c r="I242" s="2">
        <f>'Gas Water'!L244</f>
        <v>295</v>
      </c>
      <c r="J242" s="153">
        <v>13.9</v>
      </c>
      <c r="K242" s="5">
        <v>131</v>
      </c>
      <c r="L242" s="5">
        <v>264</v>
      </c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>
        <f>'Electricity '!I244+'Electricity '!O244</f>
        <v>34378.559999999423</v>
      </c>
      <c r="F243" s="153">
        <v>0.85</v>
      </c>
      <c r="G243" s="4">
        <f>'Gas Water'!M245</f>
        <v>1243</v>
      </c>
      <c r="H243" s="153">
        <v>1.9</v>
      </c>
      <c r="I243" s="2">
        <f>'Gas Water'!L245</f>
        <v>304</v>
      </c>
      <c r="J243" s="153">
        <v>13.9</v>
      </c>
      <c r="K243" s="5">
        <v>106</v>
      </c>
      <c r="L243" s="5">
        <v>295</v>
      </c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>
        <f>'Electricity '!I245+'Electricity '!O245</f>
        <v>32076.720000000198</v>
      </c>
      <c r="F244" s="153">
        <v>0.85</v>
      </c>
      <c r="G244" s="4">
        <f>'Gas Water'!M246</f>
        <v>1320</v>
      </c>
      <c r="H244" s="153">
        <v>1.9</v>
      </c>
      <c r="I244" s="2">
        <f>'Gas Water'!L246</f>
        <v>294</v>
      </c>
      <c r="J244" s="153">
        <v>13.9</v>
      </c>
      <c r="K244" s="5">
        <v>118</v>
      </c>
      <c r="L244" s="5">
        <v>214</v>
      </c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>
        <f>'Electricity '!I246+'Electricity '!O246</f>
        <v>32664.600000000413</v>
      </c>
      <c r="F245" s="153">
        <v>0.85</v>
      </c>
      <c r="G245" s="4">
        <f>'Gas Water'!M247</f>
        <v>1362</v>
      </c>
      <c r="H245" s="153">
        <v>2</v>
      </c>
      <c r="I245" s="2">
        <f>'Gas Water'!L247</f>
        <v>241</v>
      </c>
      <c r="J245" s="153">
        <v>13.9</v>
      </c>
      <c r="K245" s="5">
        <v>136</v>
      </c>
      <c r="L245" s="5">
        <v>245</v>
      </c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>
        <f>'Electricity '!I247+'Electricity '!O247</f>
        <v>30772.61999999997</v>
      </c>
      <c r="F246" s="153">
        <v>0.85</v>
      </c>
      <c r="G246" s="4">
        <f>'Gas Water'!M248</f>
        <v>1530</v>
      </c>
      <c r="H246" s="153">
        <v>2</v>
      </c>
      <c r="I246" s="2">
        <f>'Gas Water'!L248</f>
        <v>243</v>
      </c>
      <c r="J246" s="153">
        <v>13.9</v>
      </c>
      <c r="K246" s="5">
        <v>120</v>
      </c>
      <c r="L246" s="5">
        <v>217</v>
      </c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>
        <f>'Electricity '!I248+'Electricity '!O248</f>
        <v>29559.599999999475</v>
      </c>
      <c r="F247" s="153">
        <v>0.85</v>
      </c>
      <c r="G247" s="4">
        <f>'Gas Water'!M249</f>
        <v>1649</v>
      </c>
      <c r="H247" s="153">
        <v>2</v>
      </c>
      <c r="I247" s="2">
        <f>'Gas Water'!L249</f>
        <v>303</v>
      </c>
      <c r="J247" s="153">
        <v>13.9</v>
      </c>
      <c r="K247" s="5">
        <v>117</v>
      </c>
      <c r="L247" s="5">
        <v>229</v>
      </c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>
        <f>'Electricity '!I249+'Electricity '!O249</f>
        <v>28851.660000000211</v>
      </c>
      <c r="F248" s="153">
        <v>0.85</v>
      </c>
      <c r="G248" s="4">
        <f>'Gas Water'!M250</f>
        <v>1606</v>
      </c>
      <c r="H248" s="153">
        <v>2</v>
      </c>
      <c r="I248" s="2">
        <f>'Gas Water'!L250</f>
        <v>319</v>
      </c>
      <c r="J248" s="153">
        <v>13.9</v>
      </c>
      <c r="K248" s="5">
        <v>141</v>
      </c>
      <c r="L248" s="5">
        <v>276</v>
      </c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>
        <f>'Electricity '!I250+'Electricity '!O250</f>
        <v>28301.040000000052</v>
      </c>
      <c r="F249" s="153">
        <v>0.85</v>
      </c>
      <c r="G249" s="4">
        <f>'Gas Water'!M251</f>
        <v>1491</v>
      </c>
      <c r="H249" s="153">
        <v>2</v>
      </c>
      <c r="I249" s="2">
        <f>'Gas Water'!L251</f>
        <v>231</v>
      </c>
      <c r="J249" s="153">
        <v>13.9</v>
      </c>
      <c r="K249" s="5">
        <v>96</v>
      </c>
      <c r="L249" s="5">
        <v>173</v>
      </c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>
        <f>'Electricity '!I251+'Electricity '!O251</f>
        <v>27713.159999999836</v>
      </c>
      <c r="F250" s="153">
        <v>0.85</v>
      </c>
      <c r="G250" s="4">
        <f>'Gas Water'!M252</f>
        <v>1610</v>
      </c>
      <c r="H250" s="153">
        <v>2</v>
      </c>
      <c r="I250" s="2">
        <f>'Gas Water'!L252</f>
        <v>262</v>
      </c>
      <c r="J250" s="153">
        <v>13.9</v>
      </c>
      <c r="K250" s="5">
        <v>90</v>
      </c>
      <c r="L250" s="5">
        <v>158</v>
      </c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>
        <f>'Electricity '!I252+'Electricity '!O252</f>
        <v>25187.760000000249</v>
      </c>
      <c r="F251" s="153">
        <v>0.85</v>
      </c>
      <c r="G251" s="4">
        <f>'Gas Water'!M253</f>
        <v>1602</v>
      </c>
      <c r="H251" s="153">
        <v>2</v>
      </c>
      <c r="I251" s="2">
        <f>'Gas Water'!L253</f>
        <v>270</v>
      </c>
      <c r="J251" s="153">
        <v>13.9</v>
      </c>
      <c r="K251" s="5">
        <v>94</v>
      </c>
      <c r="L251" s="5">
        <v>177</v>
      </c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>
        <f>'Electricity '!I253+'Electricity '!O253</f>
        <v>32461.739999999561</v>
      </c>
      <c r="F252" s="153">
        <v>0.85</v>
      </c>
      <c r="G252" s="4">
        <f>'Gas Water'!M254</f>
        <v>1572</v>
      </c>
      <c r="H252" s="153">
        <v>2</v>
      </c>
      <c r="I252" s="2">
        <f>'Gas Water'!L254</f>
        <v>230</v>
      </c>
      <c r="J252" s="153">
        <v>13.9</v>
      </c>
      <c r="K252" s="5">
        <v>90</v>
      </c>
      <c r="L252" s="5">
        <v>167</v>
      </c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>
        <f>'Electricity '!I254+'Electricity '!O254</f>
        <v>30938.220000000762</v>
      </c>
      <c r="F253" s="153">
        <v>0.85</v>
      </c>
      <c r="G253" s="4">
        <f>'Gas Water'!M255</f>
        <v>1534</v>
      </c>
      <c r="H253" s="153">
        <v>2</v>
      </c>
      <c r="I253" s="2">
        <f>'Gas Water'!L255</f>
        <v>267</v>
      </c>
      <c r="J253" s="153">
        <v>13.9</v>
      </c>
      <c r="K253" s="5">
        <v>117</v>
      </c>
      <c r="L253" s="5">
        <v>216</v>
      </c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>
        <f>'Electricity '!I255+'Electricity '!O255</f>
        <v>30607.02000000012</v>
      </c>
      <c r="F254" s="153">
        <v>0.85</v>
      </c>
      <c r="G254" s="4">
        <f>'Gas Water'!M256</f>
        <v>1538</v>
      </c>
      <c r="H254" s="153">
        <v>2</v>
      </c>
      <c r="I254" s="2">
        <f>'Gas Water'!L256</f>
        <v>261</v>
      </c>
      <c r="J254" s="153">
        <v>13.9</v>
      </c>
      <c r="K254" s="5">
        <v>124</v>
      </c>
      <c r="L254" s="5">
        <v>234</v>
      </c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>
        <f>'Electricity '!I256+'Electricity '!O256</f>
        <v>27651.059999999419</v>
      </c>
      <c r="F255" s="153">
        <v>0.85</v>
      </c>
      <c r="G255" s="4">
        <f>'Gas Water'!M257</f>
        <v>1411</v>
      </c>
      <c r="H255" s="153">
        <v>2</v>
      </c>
      <c r="I255" s="2">
        <f>'Gas Water'!L257</f>
        <v>223</v>
      </c>
      <c r="J255" s="153">
        <v>13.9</v>
      </c>
      <c r="K255" s="5">
        <v>111</v>
      </c>
      <c r="L255" s="5">
        <v>200</v>
      </c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>
        <f>'Electricity '!I257+'Electricity '!O257</f>
        <v>27030.059999999983</v>
      </c>
      <c r="F256" s="153">
        <v>0.85</v>
      </c>
      <c r="G256" s="4">
        <f>'Gas Water'!M258</f>
        <v>1444</v>
      </c>
      <c r="H256" s="153">
        <v>2</v>
      </c>
      <c r="I256" s="2">
        <f>'Gas Water'!L258</f>
        <v>180</v>
      </c>
      <c r="J256" s="153">
        <v>13.9</v>
      </c>
      <c r="K256" s="5">
        <v>96</v>
      </c>
      <c r="L256" s="5">
        <v>177</v>
      </c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>
        <f>'Electricity '!I258+'Electricity '!O258</f>
        <v>31074.840000000353</v>
      </c>
      <c r="F257" s="153">
        <v>0.85</v>
      </c>
      <c r="G257" s="4">
        <f>'Gas Water'!M259</f>
        <v>1716</v>
      </c>
      <c r="H257" s="153">
        <v>2</v>
      </c>
      <c r="I257" s="2">
        <f>'Gas Water'!L259</f>
        <v>245</v>
      </c>
      <c r="J257" s="153">
        <v>13.9</v>
      </c>
      <c r="K257" s="5">
        <v>125</v>
      </c>
      <c r="L257" s="5">
        <v>224</v>
      </c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>
        <f>'Electricity '!I259+'Electricity '!O259</f>
        <v>30193.019999999557</v>
      </c>
      <c r="F258" s="153">
        <v>0.85</v>
      </c>
      <c r="G258" s="4">
        <f>'Gas Water'!M260</f>
        <v>1481</v>
      </c>
      <c r="H258" s="153">
        <v>2</v>
      </c>
      <c r="I258" s="2">
        <f>'Gas Water'!L260</f>
        <v>234</v>
      </c>
      <c r="J258" s="153">
        <v>13.9</v>
      </c>
      <c r="K258" s="5">
        <v>128</v>
      </c>
      <c r="L258" s="5">
        <v>236</v>
      </c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>
        <f>'Electricity '!I260+'Electricity '!O260</f>
        <v>31484.700000000077</v>
      </c>
      <c r="F259" s="153">
        <v>0.85</v>
      </c>
      <c r="G259" s="4">
        <f>'Gas Water'!M261</f>
        <v>1426</v>
      </c>
      <c r="H259" s="153">
        <v>2</v>
      </c>
      <c r="I259" s="2">
        <f>'Gas Water'!L261</f>
        <v>204</v>
      </c>
      <c r="J259" s="153">
        <v>13.9</v>
      </c>
      <c r="K259" s="5">
        <v>143</v>
      </c>
      <c r="L259" s="5">
        <v>263</v>
      </c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>
        <f>'Electricity '!I261+'Electricity '!O261</f>
        <v>30706.380000000594</v>
      </c>
      <c r="F260" s="153">
        <v>0.85</v>
      </c>
      <c r="G260" s="4">
        <f>'Gas Water'!M262</f>
        <v>1377</v>
      </c>
      <c r="H260" s="153">
        <v>2</v>
      </c>
      <c r="I260" s="2">
        <f>'Gas Water'!L262</f>
        <v>227</v>
      </c>
      <c r="J260" s="153">
        <v>13.9</v>
      </c>
      <c r="K260" s="5">
        <v>130</v>
      </c>
      <c r="L260" s="5">
        <v>241</v>
      </c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>
        <f>'Electricity '!I262+'Electricity '!O262</f>
        <v>28147.85999999991</v>
      </c>
      <c r="F261" s="153">
        <v>0.85</v>
      </c>
      <c r="G261" s="4">
        <f>'Gas Water'!M263</f>
        <v>1411</v>
      </c>
      <c r="H261" s="153">
        <v>2</v>
      </c>
      <c r="I261" s="2">
        <f>'Gas Water'!L263</f>
        <v>204</v>
      </c>
      <c r="J261" s="153">
        <v>13.9</v>
      </c>
      <c r="K261" s="5">
        <v>139</v>
      </c>
      <c r="L261" s="5">
        <v>257</v>
      </c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>
        <f>'Electricity '!I263+'Electricity '!O263</f>
        <v>34217.099999999475</v>
      </c>
      <c r="F262" s="153">
        <v>0.85</v>
      </c>
      <c r="G262" s="4">
        <f>'Gas Water'!M264</f>
        <v>1432</v>
      </c>
      <c r="H262" s="153">
        <v>2</v>
      </c>
      <c r="I262" s="2">
        <f>'Gas Water'!L264</f>
        <v>195</v>
      </c>
      <c r="J262" s="153">
        <v>13.9</v>
      </c>
      <c r="K262" s="5">
        <v>132</v>
      </c>
      <c r="L262" s="5">
        <v>247</v>
      </c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>
        <f>'Electricity '!I264+'Electricity '!O264</f>
        <v>32706.000000000378</v>
      </c>
      <c r="F263" s="153">
        <v>0.85</v>
      </c>
      <c r="G263" s="4">
        <f>'Gas Water'!M265</f>
        <v>1482</v>
      </c>
      <c r="H263" s="153">
        <v>2</v>
      </c>
      <c r="I263" s="2">
        <f>'Gas Water'!L265</f>
        <v>112</v>
      </c>
      <c r="J263" s="153">
        <v>13.9</v>
      </c>
      <c r="K263" s="5">
        <v>130</v>
      </c>
      <c r="L263" s="5">
        <v>241</v>
      </c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>
        <f>'Electricity '!I265+'Electricity '!O265</f>
        <v>32544.539999999488</v>
      </c>
      <c r="F264" s="153">
        <v>0.85</v>
      </c>
      <c r="G264" s="4">
        <f>'Gas Water'!M266</f>
        <v>1334</v>
      </c>
      <c r="H264" s="153">
        <v>2</v>
      </c>
      <c r="I264" s="2">
        <f>'Gas Water'!L266</f>
        <v>287</v>
      </c>
      <c r="J264" s="153">
        <v>13.9</v>
      </c>
      <c r="K264" s="5">
        <v>122</v>
      </c>
      <c r="L264" s="5">
        <v>213</v>
      </c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>
        <f>'Electricity '!I266+'Electricity '!O266</f>
        <v>24069.960000000323</v>
      </c>
      <c r="F265" s="153">
        <v>0.85</v>
      </c>
      <c r="G265" s="4">
        <f>'Gas Water'!M267</f>
        <v>1537</v>
      </c>
      <c r="H265" s="153">
        <v>2</v>
      </c>
      <c r="I265" s="2">
        <f>'Gas Water'!L267</f>
        <v>231</v>
      </c>
      <c r="J265" s="153">
        <v>13.9</v>
      </c>
      <c r="K265" s="5">
        <v>119</v>
      </c>
      <c r="L265" s="5">
        <v>203</v>
      </c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>
        <f>'Electricity '!I267+'Electricity '!O267</f>
        <v>25196.040000000052</v>
      </c>
      <c r="F266" s="153">
        <v>0.85</v>
      </c>
      <c r="G266" s="4">
        <f>'Gas Water'!M268</f>
        <v>1702</v>
      </c>
      <c r="H266" s="153">
        <v>2</v>
      </c>
      <c r="I266" s="2">
        <f>'Gas Water'!L268</f>
        <v>210</v>
      </c>
      <c r="J266" s="153">
        <v>13.9</v>
      </c>
      <c r="K266" s="5">
        <v>116</v>
      </c>
      <c r="L266" s="5">
        <v>196</v>
      </c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>
        <f>'Electricity '!I268+'Electricity '!O268</f>
        <v>26032.320000000043</v>
      </c>
      <c r="F267" s="153">
        <v>0.85</v>
      </c>
      <c r="G267" s="4">
        <f>'Gas Water'!M269</f>
        <v>1734</v>
      </c>
      <c r="H267" s="153">
        <v>2</v>
      </c>
      <c r="I267" s="2">
        <f>'Gas Water'!L269</f>
        <v>236</v>
      </c>
      <c r="J267" s="153">
        <v>13.9</v>
      </c>
      <c r="K267" s="5">
        <v>112</v>
      </c>
      <c r="L267" s="5">
        <v>182</v>
      </c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>
        <f>'Electricity '!I269+'Electricity '!O269</f>
        <v>25717.679999999957</v>
      </c>
      <c r="F268" s="153">
        <v>0.85</v>
      </c>
      <c r="G268" s="4">
        <f>'Gas Water'!M270</f>
        <v>1597</v>
      </c>
      <c r="H268" s="153">
        <v>2</v>
      </c>
      <c r="I268" s="2">
        <f>'Gas Water'!L270</f>
        <v>201</v>
      </c>
      <c r="J268" s="153">
        <v>13.9</v>
      </c>
      <c r="K268" s="5">
        <v>135</v>
      </c>
      <c r="L268" s="5">
        <v>218</v>
      </c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>
        <f>'Electricity '!I270+'Electricity '!O270</f>
        <v>30164.040000000241</v>
      </c>
      <c r="F269" s="153">
        <v>0.85</v>
      </c>
      <c r="G269" s="4">
        <f>'Gas Water'!M271</f>
        <v>1850</v>
      </c>
      <c r="H269" s="153">
        <v>2</v>
      </c>
      <c r="I269" s="2">
        <f>'Gas Water'!L271</f>
        <v>227</v>
      </c>
      <c r="J269" s="153">
        <v>13.9</v>
      </c>
      <c r="K269" s="5">
        <v>157</v>
      </c>
      <c r="L269" s="5">
        <v>259</v>
      </c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>
        <f>'Electricity '!I271+'Electricity '!O271</f>
        <v>26218.619999999406</v>
      </c>
      <c r="F270" s="153">
        <v>0.85</v>
      </c>
      <c r="G270" s="4">
        <f>'Gas Water'!M272</f>
        <v>1601</v>
      </c>
      <c r="H270" s="153">
        <v>2</v>
      </c>
      <c r="I270" s="2">
        <f>'Gas Water'!L272</f>
        <v>250</v>
      </c>
      <c r="J270" s="153">
        <v>13.9</v>
      </c>
      <c r="K270" s="5">
        <v>123</v>
      </c>
      <c r="L270" s="5">
        <v>207</v>
      </c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>
        <f>'Electricity '!I272+'Electricity '!O272</f>
        <v>28180.980000000069</v>
      </c>
      <c r="F271" s="153">
        <v>0.85</v>
      </c>
      <c r="G271" s="4">
        <f>'Gas Water'!M273</f>
        <v>1588</v>
      </c>
      <c r="H271" s="153">
        <v>2</v>
      </c>
      <c r="I271" s="2">
        <f>'Gas Water'!L273</f>
        <v>275</v>
      </c>
      <c r="J271" s="153">
        <v>13.9</v>
      </c>
      <c r="K271" s="5">
        <v>98</v>
      </c>
      <c r="L271" s="5">
        <v>171</v>
      </c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>
        <f>'Electricity '!I273+'Electricity '!O273</f>
        <v>26135.820000000422</v>
      </c>
      <c r="F272" s="153">
        <v>0.85</v>
      </c>
      <c r="G272" s="4">
        <f>'Gas Water'!M274</f>
        <v>1579</v>
      </c>
      <c r="H272" s="153">
        <v>2</v>
      </c>
      <c r="I272" s="2">
        <f>'Gas Water'!L274</f>
        <v>221</v>
      </c>
      <c r="J272" s="153">
        <v>13.9</v>
      </c>
      <c r="K272" s="5">
        <v>120</v>
      </c>
      <c r="L272" s="5">
        <v>194</v>
      </c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>
        <f>'Electricity '!I274+'Electricity '!O274</f>
        <v>28487.339999999414</v>
      </c>
      <c r="F273" s="153">
        <v>0.85</v>
      </c>
      <c r="G273" s="4">
        <f>'Gas Water'!M275</f>
        <v>1779</v>
      </c>
      <c r="H273" s="153">
        <v>2</v>
      </c>
      <c r="I273" s="2">
        <f>'Gas Water'!L275</f>
        <v>266</v>
      </c>
      <c r="J273" s="153">
        <v>13.9</v>
      </c>
      <c r="K273" s="5">
        <v>105</v>
      </c>
      <c r="L273" s="5">
        <v>200</v>
      </c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>
        <f>'Electricity '!I275+'Electricity '!O275</f>
        <v>24728.220000000762</v>
      </c>
      <c r="F274" s="153">
        <v>0.85</v>
      </c>
      <c r="G274" s="4">
        <f>'Gas Water'!M276</f>
        <v>1680</v>
      </c>
      <c r="H274" s="153">
        <v>2</v>
      </c>
      <c r="I274" s="2">
        <f>'Gas Water'!L276</f>
        <v>181</v>
      </c>
      <c r="J274" s="153">
        <v>13.9</v>
      </c>
      <c r="K274" s="5">
        <v>128</v>
      </c>
      <c r="L274" s="5">
        <v>228</v>
      </c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>
        <f>'Electricity '!I276+'Electricity '!O276</f>
        <v>24612.299999999737</v>
      </c>
      <c r="F275" s="153">
        <v>0.85</v>
      </c>
      <c r="G275" s="4">
        <f>'Gas Water'!M277</f>
        <v>1822</v>
      </c>
      <c r="H275" s="153">
        <v>2.65</v>
      </c>
      <c r="I275" s="2">
        <f>'Gas Water'!L277</f>
        <v>270</v>
      </c>
      <c r="J275" s="153">
        <v>13.9</v>
      </c>
      <c r="K275" s="5">
        <v>146</v>
      </c>
      <c r="L275" s="5">
        <v>265</v>
      </c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>
        <f>'Electricity '!I277+'Electricity '!O277</f>
        <v>24463.259999999496</v>
      </c>
      <c r="F276" s="153">
        <v>0.85</v>
      </c>
      <c r="G276" s="4">
        <f>'Gas Water'!M278</f>
        <v>1942</v>
      </c>
      <c r="H276" s="153">
        <v>2.65</v>
      </c>
      <c r="I276" s="2">
        <f>'Gas Water'!L278</f>
        <v>224</v>
      </c>
      <c r="J276" s="153">
        <v>13.9</v>
      </c>
      <c r="K276" s="5">
        <v>147</v>
      </c>
      <c r="L276" s="5">
        <v>259</v>
      </c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>
        <f>'Electricity '!I278+'Electricity '!O278</f>
        <v>27042.480000000633</v>
      </c>
      <c r="F277" s="153">
        <v>0.85</v>
      </c>
      <c r="G277" s="4">
        <f>'Gas Water'!M279</f>
        <v>1919</v>
      </c>
      <c r="H277" s="153">
        <v>2.65</v>
      </c>
      <c r="I277" s="2">
        <f>'Gas Water'!L279</f>
        <v>192</v>
      </c>
      <c r="J277" s="153">
        <v>13.9</v>
      </c>
      <c r="K277" s="5">
        <v>115</v>
      </c>
      <c r="L277" s="5">
        <v>210</v>
      </c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>
        <f>'Electricity '!I279+'Electricity '!O279</f>
        <v>26131.679999999578</v>
      </c>
      <c r="F278" s="153">
        <v>0.85</v>
      </c>
      <c r="G278" s="4">
        <f>'Gas Water'!M280</f>
        <v>1622</v>
      </c>
      <c r="H278" s="153">
        <v>2.65</v>
      </c>
      <c r="I278" s="2">
        <f>'Gas Water'!L280</f>
        <v>200</v>
      </c>
      <c r="J278" s="153">
        <v>13.9</v>
      </c>
      <c r="K278" s="5">
        <v>107</v>
      </c>
      <c r="L278" s="5">
        <v>193</v>
      </c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>
        <f>'Electricity '!I280+'Electricity '!O280</f>
        <v>25440.299999999923</v>
      </c>
      <c r="F279" s="153">
        <v>0.85</v>
      </c>
      <c r="G279" s="4">
        <f>'Gas Water'!M281</f>
        <v>1710</v>
      </c>
      <c r="H279" s="153">
        <v>2.65</v>
      </c>
      <c r="I279" s="2">
        <f>'Gas Water'!L281</f>
        <v>204</v>
      </c>
      <c r="J279" s="153">
        <v>13.9</v>
      </c>
      <c r="K279" s="5">
        <v>128</v>
      </c>
      <c r="L279" s="5">
        <v>217</v>
      </c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>
        <f>'Electricity '!I281+'Electricity '!O281</f>
        <v>24339.060000000551</v>
      </c>
      <c r="F280" s="153">
        <v>0.85</v>
      </c>
      <c r="G280" s="4">
        <f>'Gas Water'!M282</f>
        <v>1832</v>
      </c>
      <c r="H280" s="153">
        <v>2.65</v>
      </c>
      <c r="I280" s="2">
        <f>'Gas Water'!L282</f>
        <v>230</v>
      </c>
      <c r="J280" s="153">
        <v>13.9</v>
      </c>
      <c r="K280" s="5">
        <v>129</v>
      </c>
      <c r="L280" s="5">
        <v>211</v>
      </c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>
        <f>'Electricity '!I282+'Electricity '!O282</f>
        <v>25995.059999999983</v>
      </c>
      <c r="F281" s="153">
        <v>0.85</v>
      </c>
      <c r="G281" s="4">
        <f>'Gas Water'!M283</f>
        <v>1728</v>
      </c>
      <c r="H281" s="153">
        <v>2.65</v>
      </c>
      <c r="I281" s="2">
        <f>'Gas Water'!L283</f>
        <v>209</v>
      </c>
      <c r="J281" s="153">
        <v>13.9</v>
      </c>
      <c r="K281" s="5">
        <v>150</v>
      </c>
      <c r="L281" s="5">
        <v>247</v>
      </c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>
        <f>'Electricity '!I283+'Electricity '!O283</f>
        <v>25104.959999999381</v>
      </c>
      <c r="F282" s="153">
        <v>0.85</v>
      </c>
      <c r="G282" s="4">
        <f>'Gas Water'!M284</f>
        <v>1712</v>
      </c>
      <c r="H282" s="153">
        <v>2.65</v>
      </c>
      <c r="I282" s="2">
        <f>'Gas Water'!L284</f>
        <v>188</v>
      </c>
      <c r="J282" s="153">
        <v>13.9</v>
      </c>
      <c r="K282" s="5">
        <v>154</v>
      </c>
      <c r="L282" s="5">
        <v>266</v>
      </c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>
        <f>'Electricity '!I284+'Electricity '!O284</f>
        <v>25966.080000000671</v>
      </c>
      <c r="F283" s="153">
        <v>0.85</v>
      </c>
      <c r="G283" s="4">
        <f>'Gas Water'!M285</f>
        <v>2020</v>
      </c>
      <c r="H283" s="153">
        <v>2.65</v>
      </c>
      <c r="I283" s="2">
        <f>'Gas Water'!L285</f>
        <v>185</v>
      </c>
      <c r="J283" s="153">
        <v>13.9</v>
      </c>
      <c r="K283" s="5">
        <v>156</v>
      </c>
      <c r="L283" s="5">
        <v>259</v>
      </c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>
        <f>'Electricity '!I285+'Electricity '!O285</f>
        <v>22761.719999999255</v>
      </c>
      <c r="F284" s="153">
        <v>0.85</v>
      </c>
      <c r="G284" s="4">
        <f>'Gas Water'!M286</f>
        <v>1669</v>
      </c>
      <c r="H284" s="153">
        <v>2.65</v>
      </c>
      <c r="I284" s="2">
        <f>'Gas Water'!L286</f>
        <v>168</v>
      </c>
      <c r="J284" s="153">
        <v>13.9</v>
      </c>
      <c r="K284" s="5">
        <v>157</v>
      </c>
      <c r="L284" s="5">
        <v>257</v>
      </c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>
        <f>'Electricity '!I286+'Electricity '!O286</f>
        <v>23068.080000000482</v>
      </c>
      <c r="F285" s="153">
        <v>0.85</v>
      </c>
      <c r="G285" s="4">
        <f>'Gas Water'!M287</f>
        <v>1718</v>
      </c>
      <c r="H285" s="153">
        <v>2.65</v>
      </c>
      <c r="I285" s="2">
        <f>'Gas Water'!L287</f>
        <v>165</v>
      </c>
      <c r="J285" s="153">
        <v>13.9</v>
      </c>
      <c r="K285" s="5">
        <v>146</v>
      </c>
      <c r="L285" s="5">
        <v>248</v>
      </c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3">
        <v>0.85</v>
      </c>
      <c r="G286" s="4" t="str">
        <f>'Gas Water'!M288</f>
        <v/>
      </c>
      <c r="H286" s="153">
        <v>2.65</v>
      </c>
      <c r="I286" s="2" t="str">
        <f>'Gas Water'!L288</f>
        <v/>
      </c>
      <c r="J286" s="153">
        <v>13.9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3">
        <v>0.85</v>
      </c>
      <c r="G287" s="4" t="str">
        <f>'Gas Water'!M289</f>
        <v/>
      </c>
      <c r="H287" s="153">
        <v>2.65</v>
      </c>
      <c r="I287" s="2" t="str">
        <f>'Gas Water'!L289</f>
        <v/>
      </c>
      <c r="J287" s="153">
        <v>13.9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3">
        <v>0.85</v>
      </c>
      <c r="G288" s="4" t="str">
        <f>'Gas Water'!M290</f>
        <v/>
      </c>
      <c r="H288" s="153">
        <v>2.65</v>
      </c>
      <c r="I288" s="2" t="str">
        <f>'Gas Water'!L290</f>
        <v/>
      </c>
      <c r="J288" s="153">
        <v>13.9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3">
        <v>0.85</v>
      </c>
      <c r="G289" s="4" t="str">
        <f>'Gas Water'!M291</f>
        <v/>
      </c>
      <c r="H289" s="153">
        <v>2.65</v>
      </c>
      <c r="I289" s="2" t="str">
        <f>'Gas Water'!L291</f>
        <v/>
      </c>
      <c r="J289" s="153">
        <v>13.9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3">
        <v>0.85</v>
      </c>
      <c r="G290" s="4" t="str">
        <f>'Gas Water'!M292</f>
        <v/>
      </c>
      <c r="H290" s="153">
        <v>2.65</v>
      </c>
      <c r="I290" s="2" t="str">
        <f>'Gas Water'!L292</f>
        <v/>
      </c>
      <c r="J290" s="153">
        <v>13.9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3">
        <v>0.85</v>
      </c>
      <c r="G291" s="4" t="str">
        <f>'Gas Water'!M293</f>
        <v/>
      </c>
      <c r="H291" s="153">
        <v>2.65</v>
      </c>
      <c r="I291" s="2" t="str">
        <f>'Gas Water'!L293</f>
        <v/>
      </c>
      <c r="J291" s="153">
        <v>13.9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3">
        <v>0.85</v>
      </c>
      <c r="G292" s="4" t="str">
        <f>'Gas Water'!M294</f>
        <v/>
      </c>
      <c r="H292" s="153">
        <v>2.65</v>
      </c>
      <c r="I292" s="2" t="str">
        <f>'Gas Water'!L294</f>
        <v/>
      </c>
      <c r="J292" s="153">
        <v>13.9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3">
        <v>0.85</v>
      </c>
      <c r="G293" s="4" t="str">
        <f>'Gas Water'!M295</f>
        <v/>
      </c>
      <c r="H293" s="153">
        <v>2.65</v>
      </c>
      <c r="I293" s="2" t="str">
        <f>'Gas Water'!L295</f>
        <v/>
      </c>
      <c r="J293" s="153">
        <v>13.9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3">
        <v>0.85</v>
      </c>
      <c r="G294" s="4" t="str">
        <f>'Gas Water'!M296</f>
        <v/>
      </c>
      <c r="H294" s="153">
        <v>2.65</v>
      </c>
      <c r="I294" s="2" t="str">
        <f>'Gas Water'!L296</f>
        <v/>
      </c>
      <c r="J294" s="153">
        <v>13.9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3">
        <v>0.85</v>
      </c>
      <c r="G295" s="4" t="str">
        <f>'Gas Water'!M297</f>
        <v/>
      </c>
      <c r="H295" s="153">
        <v>2.65</v>
      </c>
      <c r="I295" s="2" t="str">
        <f>'Gas Water'!L297</f>
        <v/>
      </c>
      <c r="J295" s="153">
        <v>13.9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3">
        <v>0.85</v>
      </c>
      <c r="G296" s="4" t="str">
        <f>'Gas Water'!M298</f>
        <v/>
      </c>
      <c r="H296" s="153">
        <v>2.65</v>
      </c>
      <c r="I296" s="2" t="str">
        <f>'Gas Water'!L298</f>
        <v/>
      </c>
      <c r="J296" s="153">
        <v>13.9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3">
        <v>0.85</v>
      </c>
      <c r="G297" s="4" t="str">
        <f>'Gas Water'!M299</f>
        <v/>
      </c>
      <c r="H297" s="153">
        <v>2.65</v>
      </c>
      <c r="I297" s="2" t="str">
        <f>'Gas Water'!L299</f>
        <v/>
      </c>
      <c r="J297" s="153">
        <v>13.9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3">
        <v>0.85</v>
      </c>
      <c r="G298" s="4" t="str">
        <f>'Gas Water'!M300</f>
        <v/>
      </c>
      <c r="H298" s="153">
        <v>2.65</v>
      </c>
      <c r="I298" s="2" t="str">
        <f>'Gas Water'!L300</f>
        <v/>
      </c>
      <c r="J298" s="153">
        <v>13.9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3">
        <v>0.85</v>
      </c>
      <c r="G299" s="4" t="str">
        <f>'Gas Water'!M301</f>
        <v/>
      </c>
      <c r="H299" s="153">
        <v>2.65</v>
      </c>
      <c r="I299" s="2" t="str">
        <f>'Gas Water'!L301</f>
        <v/>
      </c>
      <c r="J299" s="153">
        <v>13.9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3">
        <v>0.85</v>
      </c>
      <c r="G300" s="4" t="str">
        <f>'Gas Water'!M302</f>
        <v/>
      </c>
      <c r="H300" s="153">
        <v>2.65</v>
      </c>
      <c r="I300" s="2" t="str">
        <f>'Gas Water'!L302</f>
        <v/>
      </c>
      <c r="J300" s="153">
        <v>13.9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3">
        <v>0.85</v>
      </c>
      <c r="G301" s="4" t="str">
        <f>'Gas Water'!M303</f>
        <v/>
      </c>
      <c r="H301" s="153">
        <v>2.65</v>
      </c>
      <c r="I301" s="2" t="str">
        <f>'Gas Water'!L303</f>
        <v/>
      </c>
      <c r="J301" s="153">
        <v>13.9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3">
        <v>0.85</v>
      </c>
      <c r="G302" s="4" t="str">
        <f>'Gas Water'!M304</f>
        <v/>
      </c>
      <c r="H302" s="153">
        <v>2.65</v>
      </c>
      <c r="I302" s="2" t="str">
        <f>'Gas Water'!L304</f>
        <v/>
      </c>
      <c r="J302" s="153">
        <v>13.9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3">
        <v>0.85</v>
      </c>
      <c r="G303" s="4" t="str">
        <f>'Gas Water'!M305</f>
        <v/>
      </c>
      <c r="H303" s="153">
        <v>2.65</v>
      </c>
      <c r="I303" s="2" t="str">
        <f>'Gas Water'!L305</f>
        <v/>
      </c>
      <c r="J303" s="153">
        <v>13.9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3">
        <v>0.85</v>
      </c>
      <c r="G304" s="4" t="str">
        <f>'Gas Water'!M306</f>
        <v/>
      </c>
      <c r="H304" s="153">
        <v>2.65</v>
      </c>
      <c r="I304" s="2" t="str">
        <f>'Gas Water'!L306</f>
        <v/>
      </c>
      <c r="J304" s="153">
        <v>13.9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3">
        <v>0.85</v>
      </c>
      <c r="G305" s="4" t="str">
        <f>'Gas Water'!M307</f>
        <v/>
      </c>
      <c r="H305" s="153">
        <v>2</v>
      </c>
      <c r="I305" s="2" t="str">
        <f>'Gas Water'!L307</f>
        <v/>
      </c>
      <c r="J305" s="153">
        <v>13.9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3" t="e">
        <f>('Electricity '!I307*0.55+'Gas Water'!H308*1.88)/(Total!E306)</f>
        <v>#VALUE!</v>
      </c>
      <c r="G306" s="4" t="str">
        <f>'Gas Water'!M308</f>
        <v/>
      </c>
      <c r="H306" s="153">
        <v>1.88</v>
      </c>
      <c r="I306" s="2" t="str">
        <f>'Gas Water'!L308</f>
        <v/>
      </c>
      <c r="J306" s="153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3" t="e">
        <f>('Electricity '!I308*0.55+'Gas Water'!H309*1.88)/(Total!E307)</f>
        <v>#VALUE!</v>
      </c>
      <c r="G307" s="4" t="str">
        <f>'Gas Water'!M309</f>
        <v/>
      </c>
      <c r="H307" s="153">
        <v>1.88</v>
      </c>
      <c r="I307" s="2" t="str">
        <f>'Gas Water'!L309</f>
        <v/>
      </c>
      <c r="J307" s="153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3" t="e">
        <f>('Electricity '!I309*0.55+'Gas Water'!H310*1.88)/(Total!E308)</f>
        <v>#VALUE!</v>
      </c>
      <c r="G308" s="4" t="str">
        <f>'Gas Water'!M310</f>
        <v/>
      </c>
      <c r="H308" s="153">
        <v>1.88</v>
      </c>
      <c r="I308" s="2" t="str">
        <f>'Gas Water'!L310</f>
        <v/>
      </c>
      <c r="J308" s="153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3" t="e">
        <f>('Electricity '!I310*0.55+'Gas Water'!H311*1.88)/(Total!E309)</f>
        <v>#VALUE!</v>
      </c>
      <c r="G309" s="4" t="str">
        <f>'Gas Water'!M311</f>
        <v/>
      </c>
      <c r="H309" s="153">
        <v>1.88</v>
      </c>
      <c r="I309" s="2" t="str">
        <f>'Gas Water'!L311</f>
        <v/>
      </c>
      <c r="J309" s="153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3" t="e">
        <f>('Electricity '!I311*0.55+'Gas Water'!H312*1.88)/(Total!E310)</f>
        <v>#VALUE!</v>
      </c>
      <c r="G310" s="4" t="str">
        <f>'Gas Water'!M312</f>
        <v/>
      </c>
      <c r="H310" s="153">
        <v>1.88</v>
      </c>
      <c r="I310" s="2" t="str">
        <f>'Gas Water'!L312</f>
        <v/>
      </c>
      <c r="J310" s="153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3" t="e">
        <f>('Electricity '!I312*0.55+'Gas Water'!H313*1.88)/(Total!E311)</f>
        <v>#VALUE!</v>
      </c>
      <c r="G311" s="4" t="str">
        <f>'Gas Water'!M313</f>
        <v/>
      </c>
      <c r="H311" s="153">
        <v>1.88</v>
      </c>
      <c r="I311" s="2" t="str">
        <f>'Gas Water'!L313</f>
        <v/>
      </c>
      <c r="J311" s="153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3" t="e">
        <f>('Electricity '!I313*0.55+'Gas Water'!H314*1.88)/(Total!E312)</f>
        <v>#VALUE!</v>
      </c>
      <c r="G312" s="4" t="str">
        <f>'Gas Water'!M314</f>
        <v/>
      </c>
      <c r="H312" s="153">
        <v>1.88</v>
      </c>
      <c r="I312" s="2" t="str">
        <f>'Gas Water'!L314</f>
        <v/>
      </c>
      <c r="J312" s="153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3" t="e">
        <f>('Electricity '!I314*0.55+'Gas Water'!H315*1.88)/(Total!E313)</f>
        <v>#VALUE!</v>
      </c>
      <c r="G313" s="4" t="str">
        <f>'Gas Water'!M315</f>
        <v/>
      </c>
      <c r="H313" s="153">
        <v>1.88</v>
      </c>
      <c r="I313" s="2" t="str">
        <f>'Gas Water'!L315</f>
        <v/>
      </c>
      <c r="J313" s="153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3" t="e">
        <f>('Electricity '!I315*0.55+'Gas Water'!H316*1.88)/(Total!E314)</f>
        <v>#VALUE!</v>
      </c>
      <c r="G314" s="4" t="str">
        <f>'Gas Water'!M316</f>
        <v/>
      </c>
      <c r="H314" s="153">
        <v>1.88</v>
      </c>
      <c r="I314" s="2" t="str">
        <f>'Gas Water'!L316</f>
        <v/>
      </c>
      <c r="J314" s="153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3" t="e">
        <f>('Electricity '!I316*0.55+'Gas Water'!H317*1.88)/(Total!E315)</f>
        <v>#VALUE!</v>
      </c>
      <c r="G315" s="4" t="str">
        <f>'Gas Water'!M317</f>
        <v/>
      </c>
      <c r="H315" s="153">
        <v>1.88</v>
      </c>
      <c r="I315" s="2" t="str">
        <f>'Gas Water'!L317</f>
        <v/>
      </c>
      <c r="J315" s="153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3" t="e">
        <f>('Electricity '!I317*0.55+'Gas Water'!H318*1.88)/(Total!E316)</f>
        <v>#VALUE!</v>
      </c>
      <c r="G316" s="4" t="str">
        <f>'Gas Water'!M318</f>
        <v/>
      </c>
      <c r="H316" s="153">
        <v>1.88</v>
      </c>
      <c r="I316" s="2" t="str">
        <f>'Gas Water'!L318</f>
        <v/>
      </c>
      <c r="J316" s="153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3" t="e">
        <f>('Electricity '!I318*0.55+'Gas Water'!H319*1.88)/(Total!E317)</f>
        <v>#VALUE!</v>
      </c>
      <c r="G317" s="4" t="str">
        <f>'Gas Water'!M319</f>
        <v/>
      </c>
      <c r="H317" s="153">
        <v>1.88</v>
      </c>
      <c r="I317" s="2" t="str">
        <f>'Gas Water'!L319</f>
        <v/>
      </c>
      <c r="J317" s="153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3" t="e">
        <f>('Electricity '!I319*0.55+'Gas Water'!H320*1.88)/(Total!E318)</f>
        <v>#VALUE!</v>
      </c>
      <c r="G318" s="4" t="str">
        <f>'Gas Water'!M320</f>
        <v/>
      </c>
      <c r="H318" s="153">
        <v>1.88</v>
      </c>
      <c r="I318" s="2" t="str">
        <f>'Gas Water'!L320</f>
        <v/>
      </c>
      <c r="J318" s="153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3" t="e">
        <f>('Electricity '!I320*0.55+'Gas Water'!H321*1.88)/(Total!E319)</f>
        <v>#VALUE!</v>
      </c>
      <c r="G319" s="4" t="str">
        <f>'Gas Water'!M321</f>
        <v/>
      </c>
      <c r="H319" s="153">
        <v>1.88</v>
      </c>
      <c r="I319" s="2" t="str">
        <f>'Gas Water'!L321</f>
        <v/>
      </c>
      <c r="J319" s="153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3" t="e">
        <f>('Electricity '!I321*0.55+'Gas Water'!H322*1.88)/(Total!E320)</f>
        <v>#VALUE!</v>
      </c>
      <c r="G320" s="4" t="str">
        <f>'Gas Water'!M322</f>
        <v/>
      </c>
      <c r="H320" s="153">
        <v>1.88</v>
      </c>
      <c r="I320" s="2" t="str">
        <f>'Gas Water'!L322</f>
        <v/>
      </c>
      <c r="J320" s="153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3" t="e">
        <f>('Electricity '!I322*0.55+'Gas Water'!H323*1.88)/(Total!E321)</f>
        <v>#VALUE!</v>
      </c>
      <c r="G321" s="4" t="str">
        <f>'Gas Water'!M323</f>
        <v/>
      </c>
      <c r="H321" s="153">
        <v>1.88</v>
      </c>
      <c r="I321" s="2" t="str">
        <f>'Gas Water'!L323</f>
        <v/>
      </c>
      <c r="J321" s="153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3" t="e">
        <f>('Electricity '!I323*0.55+'Gas Water'!H324*1.88)/(Total!E322)</f>
        <v>#VALUE!</v>
      </c>
      <c r="G322" s="4" t="str">
        <f>'Gas Water'!M324</f>
        <v/>
      </c>
      <c r="H322" s="153">
        <v>1.88</v>
      </c>
      <c r="I322" s="2" t="str">
        <f>'Gas Water'!L324</f>
        <v/>
      </c>
      <c r="J322" s="153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3" t="e">
        <f>('Electricity '!I324*0.55+'Gas Water'!H325*1.88)/(Total!E323)</f>
        <v>#VALUE!</v>
      </c>
      <c r="G323" s="4" t="str">
        <f>'Gas Water'!M325</f>
        <v/>
      </c>
      <c r="H323" s="153">
        <v>1.88</v>
      </c>
      <c r="I323" s="2" t="str">
        <f>'Gas Water'!L325</f>
        <v/>
      </c>
      <c r="J323" s="153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3" t="e">
        <f>('Electricity '!I325*0.55+'Gas Water'!H326*1.88)/(Total!E324)</f>
        <v>#VALUE!</v>
      </c>
      <c r="G324" s="4" t="str">
        <f>'Gas Water'!M326</f>
        <v/>
      </c>
      <c r="H324" s="153">
        <v>1.88</v>
      </c>
      <c r="I324" s="2" t="str">
        <f>'Gas Water'!L326</f>
        <v/>
      </c>
      <c r="J324" s="153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3" t="e">
        <f>('Electricity '!I326*0.55+'Gas Water'!H327*1.88)/(Total!E325)</f>
        <v>#VALUE!</v>
      </c>
      <c r="G325" s="4" t="str">
        <f>'Gas Water'!M327</f>
        <v/>
      </c>
      <c r="H325" s="153">
        <v>1.88</v>
      </c>
      <c r="I325" s="2" t="str">
        <f>'Gas Water'!L327</f>
        <v/>
      </c>
      <c r="J325" s="153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3" t="e">
        <f>('Electricity '!I327*0.55+'Gas Water'!H328*1.88)/(Total!E326)</f>
        <v>#VALUE!</v>
      </c>
      <c r="G326" s="4" t="str">
        <f>'Gas Water'!M328</f>
        <v/>
      </c>
      <c r="H326" s="153">
        <v>1.88</v>
      </c>
      <c r="I326" s="2" t="str">
        <f>'Gas Water'!L328</f>
        <v/>
      </c>
      <c r="J326" s="153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3" t="e">
        <f>('Electricity '!I328*0.55+'Gas Water'!H329*1.88)/(Total!E327)</f>
        <v>#VALUE!</v>
      </c>
      <c r="G327" s="4" t="str">
        <f>'Gas Water'!M329</f>
        <v/>
      </c>
      <c r="H327" s="153">
        <v>1.88</v>
      </c>
      <c r="I327" s="2" t="str">
        <f>'Gas Water'!L329</f>
        <v/>
      </c>
      <c r="J327" s="153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3" t="e">
        <f>('Electricity '!I329*0.55+'Gas Water'!H330*1.88)/(Total!E328)</f>
        <v>#VALUE!</v>
      </c>
      <c r="G328" s="4" t="str">
        <f>'Gas Water'!M330</f>
        <v/>
      </c>
      <c r="H328" s="153">
        <v>1.88</v>
      </c>
      <c r="I328" s="2" t="str">
        <f>'Gas Water'!L330</f>
        <v/>
      </c>
      <c r="J328" s="153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3" t="e">
        <f>('Electricity '!I330*0.55+'Gas Water'!H331*1.88)/(Total!E329)</f>
        <v>#VALUE!</v>
      </c>
      <c r="G329" s="4" t="str">
        <f>'Gas Water'!M331</f>
        <v/>
      </c>
      <c r="H329" s="153">
        <v>1.88</v>
      </c>
      <c r="I329" s="2" t="str">
        <f>'Gas Water'!L331</f>
        <v/>
      </c>
      <c r="J329" s="153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3" t="e">
        <f>('Electricity '!I331*0.55+'Gas Water'!H332*1.88)/(Total!E330)</f>
        <v>#VALUE!</v>
      </c>
      <c r="G330" s="4" t="str">
        <f>'Gas Water'!M332</f>
        <v/>
      </c>
      <c r="H330" s="153">
        <v>1.88</v>
      </c>
      <c r="I330" s="2" t="str">
        <f>'Gas Water'!L332</f>
        <v/>
      </c>
      <c r="J330" s="153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3" t="e">
        <f>('Electricity '!I332*0.55+'Gas Water'!H333*1.88)/(Total!E331)</f>
        <v>#VALUE!</v>
      </c>
      <c r="G331" s="4" t="str">
        <f>'Gas Water'!M333</f>
        <v/>
      </c>
      <c r="H331" s="153">
        <v>1.88</v>
      </c>
      <c r="I331" s="2" t="str">
        <f>'Gas Water'!L333</f>
        <v/>
      </c>
      <c r="J331" s="153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3" t="e">
        <f>('Electricity '!I333*0.55+'Gas Water'!H334*1.88)/(Total!E332)</f>
        <v>#VALUE!</v>
      </c>
      <c r="G332" s="4" t="str">
        <f>'Gas Water'!M334</f>
        <v/>
      </c>
      <c r="H332" s="153">
        <v>1.88</v>
      </c>
      <c r="I332" s="2" t="str">
        <f>'Gas Water'!L334</f>
        <v/>
      </c>
      <c r="J332" s="153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3" t="e">
        <f>('Electricity '!I334*0.55+'Gas Water'!H335*1.88)/(Total!E333)</f>
        <v>#VALUE!</v>
      </c>
      <c r="G333" s="4" t="str">
        <f>'Gas Water'!M335</f>
        <v/>
      </c>
      <c r="H333" s="153">
        <v>1.88</v>
      </c>
      <c r="I333" s="2" t="str">
        <f>'Gas Water'!L335</f>
        <v/>
      </c>
      <c r="J333" s="153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3" t="e">
        <f>('Electricity '!I335*0.55+'Gas Water'!H336*1.88)/(Total!E334)</f>
        <v>#VALUE!</v>
      </c>
      <c r="G334" s="4" t="str">
        <f>'Gas Water'!M336</f>
        <v/>
      </c>
      <c r="H334" s="153">
        <v>1.88</v>
      </c>
      <c r="I334" s="2" t="str">
        <f>'Gas Water'!L336</f>
        <v/>
      </c>
      <c r="J334" s="153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3" t="e">
        <f>('Electricity '!I336*0.55+'Gas Water'!H337*1.88)/(Total!E335)</f>
        <v>#VALUE!</v>
      </c>
      <c r="G335" s="4" t="str">
        <f>'Gas Water'!M337</f>
        <v/>
      </c>
      <c r="H335" s="153">
        <v>1.88</v>
      </c>
      <c r="I335" s="2" t="str">
        <f>'Gas Water'!L337</f>
        <v/>
      </c>
      <c r="J335" s="153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3" t="e">
        <f>('Electricity '!I337*0.55+'Gas Water'!H338*1.88)/(Total!E336)</f>
        <v>#VALUE!</v>
      </c>
      <c r="G336" s="4" t="str">
        <f>'Gas Water'!M338</f>
        <v/>
      </c>
      <c r="H336" s="153">
        <v>1.88</v>
      </c>
      <c r="I336" s="2" t="str">
        <f>'Gas Water'!L338</f>
        <v/>
      </c>
      <c r="J336" s="153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3" t="e">
        <f>('Electricity '!I338*0.55+'Gas Water'!H339*1.88)/(Total!E337)</f>
        <v>#VALUE!</v>
      </c>
      <c r="G337" s="4" t="str">
        <f>'Gas Water'!M339</f>
        <v/>
      </c>
      <c r="H337" s="153">
        <v>1.88</v>
      </c>
      <c r="I337" s="2" t="str">
        <f>'Gas Water'!L339</f>
        <v/>
      </c>
      <c r="J337" s="153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3" t="e">
        <f>('Electricity '!I339*0.55+'Gas Water'!H340*1.88)/(Total!E338)</f>
        <v>#VALUE!</v>
      </c>
      <c r="G338" s="4" t="str">
        <f>'Gas Water'!M340</f>
        <v/>
      </c>
      <c r="H338" s="153">
        <v>1.88</v>
      </c>
      <c r="I338" s="2" t="str">
        <f>'Gas Water'!L340</f>
        <v/>
      </c>
      <c r="J338" s="153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3" t="e">
        <f>('Electricity '!I340*0.55+'Gas Water'!H341*1.88)/(Total!E339)</f>
        <v>#VALUE!</v>
      </c>
      <c r="G339" s="4" t="str">
        <f>'Gas Water'!M341</f>
        <v/>
      </c>
      <c r="H339" s="153">
        <v>1.88</v>
      </c>
      <c r="I339" s="2" t="str">
        <f>'Gas Water'!L341</f>
        <v/>
      </c>
      <c r="J339" s="153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3" t="e">
        <f>('Electricity '!I341*0.55+'Gas Water'!H342*1.88)/(Total!E340)</f>
        <v>#VALUE!</v>
      </c>
      <c r="G340" s="4" t="str">
        <f>'Gas Water'!M342</f>
        <v/>
      </c>
      <c r="H340" s="153">
        <v>1.88</v>
      </c>
      <c r="I340" s="2" t="str">
        <f>'Gas Water'!L342</f>
        <v/>
      </c>
      <c r="J340" s="153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3" t="e">
        <f>('Electricity '!I342*0.55+'Gas Water'!H343*1.88)/(Total!E341)</f>
        <v>#VALUE!</v>
      </c>
      <c r="G341" s="4" t="str">
        <f>'Gas Water'!M343</f>
        <v/>
      </c>
      <c r="H341" s="153">
        <v>1.88</v>
      </c>
      <c r="I341" s="2" t="str">
        <f>'Gas Water'!L343</f>
        <v/>
      </c>
      <c r="J341" s="153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3" t="e">
        <f>('Electricity '!I343*0.55+'Gas Water'!H344*1.88)/(Total!E342)</f>
        <v>#VALUE!</v>
      </c>
      <c r="G342" s="4" t="str">
        <f>'Gas Water'!M344</f>
        <v/>
      </c>
      <c r="H342" s="153">
        <v>1.88</v>
      </c>
      <c r="I342" s="2" t="str">
        <f>'Gas Water'!L344</f>
        <v/>
      </c>
      <c r="J342" s="153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3" t="e">
        <f>('Electricity '!I344*0.55+'Gas Water'!H345*1.88)/(Total!E343)</f>
        <v>#VALUE!</v>
      </c>
      <c r="G343" s="4" t="str">
        <f>'Gas Water'!M345</f>
        <v/>
      </c>
      <c r="H343" s="153">
        <v>1.88</v>
      </c>
      <c r="I343" s="2" t="str">
        <f>'Gas Water'!L345</f>
        <v/>
      </c>
      <c r="J343" s="153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3" t="e">
        <f>('Electricity '!I345*0.55+'Gas Water'!H346*1.88)/(Total!E344)</f>
        <v>#VALUE!</v>
      </c>
      <c r="G344" s="4" t="str">
        <f>'Gas Water'!M346</f>
        <v/>
      </c>
      <c r="H344" s="153">
        <v>1.88</v>
      </c>
      <c r="I344" s="2" t="str">
        <f>'Gas Water'!L346</f>
        <v/>
      </c>
      <c r="J344" s="153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3" t="e">
        <f>('Electricity '!I346*0.55+'Gas Water'!H347*1.88)/(Total!E345)</f>
        <v>#VALUE!</v>
      </c>
      <c r="G345" s="4" t="str">
        <f>'Gas Water'!M347</f>
        <v/>
      </c>
      <c r="H345" s="153">
        <v>1.88</v>
      </c>
      <c r="I345" s="2" t="str">
        <f>'Gas Water'!L347</f>
        <v/>
      </c>
      <c r="J345" s="153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3" t="e">
        <f>('Electricity '!I347*0.55+'Gas Water'!H348*1.88)/(Total!E346)</f>
        <v>#VALUE!</v>
      </c>
      <c r="G346" s="4" t="str">
        <f>'Gas Water'!M348</f>
        <v/>
      </c>
      <c r="H346" s="153">
        <v>1.88</v>
      </c>
      <c r="I346" s="2" t="str">
        <f>'Gas Water'!L348</f>
        <v/>
      </c>
      <c r="J346" s="153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3" t="e">
        <f>('Electricity '!I348*0.55+'Gas Water'!H349*1.88)/(Total!E347)</f>
        <v>#VALUE!</v>
      </c>
      <c r="G347" s="4" t="str">
        <f>'Gas Water'!M349</f>
        <v/>
      </c>
      <c r="H347" s="153">
        <v>1.88</v>
      </c>
      <c r="I347" s="2" t="str">
        <f>'Gas Water'!L349</f>
        <v/>
      </c>
      <c r="J347" s="153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 t="e">
        <f>('Electricity '!I349*0.55+'Gas Water'!H350*1.88)/(Total!E348)</f>
        <v>#VALUE!</v>
      </c>
      <c r="G348" s="4" t="str">
        <f>'Gas Water'!M350</f>
        <v/>
      </c>
      <c r="H348" s="153">
        <v>1.88</v>
      </c>
      <c r="I348" s="2" t="str">
        <f>'Gas Water'!L350</f>
        <v/>
      </c>
      <c r="J348" s="153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 t="e">
        <f>('Electricity '!I350*0.55+'Gas Water'!H351*1.88)/(Total!E349)</f>
        <v>#VALUE!</v>
      </c>
      <c r="G349" s="4" t="str">
        <f>'Gas Water'!M351</f>
        <v/>
      </c>
      <c r="H349" s="153">
        <v>1.88</v>
      </c>
      <c r="I349" s="2" t="str">
        <f>'Gas Water'!L351</f>
        <v/>
      </c>
      <c r="J349" s="153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 t="e">
        <f>('Electricity '!I351*0.55+'Gas Water'!H352*1.88)/(Total!E350)</f>
        <v>#VALUE!</v>
      </c>
      <c r="G350" s="4" t="str">
        <f>'Gas Water'!M352</f>
        <v/>
      </c>
      <c r="H350" s="153">
        <v>1.88</v>
      </c>
      <c r="I350" s="2" t="str">
        <f>'Gas Water'!L352</f>
        <v/>
      </c>
      <c r="J350" s="153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 t="e">
        <f>('Electricity '!I352*0.55+'Gas Water'!H353*1.88)/(Total!E351)</f>
        <v>#VALUE!</v>
      </c>
      <c r="G351" s="4" t="str">
        <f>'Gas Water'!M353</f>
        <v/>
      </c>
      <c r="H351" s="153">
        <v>1.88</v>
      </c>
      <c r="I351" s="2" t="str">
        <f>'Gas Water'!L353</f>
        <v/>
      </c>
      <c r="J351" s="153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 t="e">
        <f>('Electricity '!I353*0.55+'Gas Water'!H354*1.88)/(Total!E352)</f>
        <v>#VALUE!</v>
      </c>
      <c r="G352" s="4" t="str">
        <f>'Gas Water'!M354</f>
        <v/>
      </c>
      <c r="H352" s="153">
        <v>1.88</v>
      </c>
      <c r="I352" s="2" t="str">
        <f>'Gas Water'!L354</f>
        <v/>
      </c>
      <c r="J352" s="153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 t="e">
        <f>('Electricity '!I354*0.55+'Gas Water'!H355*1.88)/(Total!E353)</f>
        <v>#VALUE!</v>
      </c>
      <c r="G353" s="4" t="str">
        <f>'Gas Water'!M355</f>
        <v/>
      </c>
      <c r="H353" s="153">
        <v>1.88</v>
      </c>
      <c r="I353" s="2" t="str">
        <f>'Gas Water'!L355</f>
        <v/>
      </c>
      <c r="J353" s="153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 t="e">
        <f>('Electricity '!I355*0.55+'Gas Water'!H356*1.88)/(Total!E354)</f>
        <v>#VALUE!</v>
      </c>
      <c r="G354" s="4" t="str">
        <f>'Gas Water'!M356</f>
        <v/>
      </c>
      <c r="H354" s="153">
        <v>1.88</v>
      </c>
      <c r="I354" s="2" t="str">
        <f>'Gas Water'!L356</f>
        <v/>
      </c>
      <c r="J354" s="153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 t="e">
        <f>('Electricity '!I356*0.55+'Gas Water'!H357*1.88)/(Total!E355)</f>
        <v>#VALUE!</v>
      </c>
      <c r="G355" s="4" t="str">
        <f>'Gas Water'!M357</f>
        <v/>
      </c>
      <c r="H355" s="153">
        <v>1.88</v>
      </c>
      <c r="I355" s="2" t="str">
        <f>'Gas Water'!L357</f>
        <v/>
      </c>
      <c r="J355" s="153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 t="e">
        <f>('Electricity '!I357*0.55+'Gas Water'!H358*1.88)/(Total!E356)</f>
        <v>#VALUE!</v>
      </c>
      <c r="G356" s="4" t="str">
        <f>'Gas Water'!M358</f>
        <v/>
      </c>
      <c r="H356" s="153">
        <v>1.88</v>
      </c>
      <c r="I356" s="2" t="str">
        <f>'Gas Water'!L358</f>
        <v/>
      </c>
      <c r="J356" s="153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 t="e">
        <f>('Electricity '!I358*0.55+'Gas Water'!H359*1.88)/(Total!E357)</f>
        <v>#VALUE!</v>
      </c>
      <c r="G357" s="4" t="str">
        <f>'Gas Water'!M359</f>
        <v/>
      </c>
      <c r="H357" s="153">
        <v>1.88</v>
      </c>
      <c r="I357" s="2" t="str">
        <f>'Gas Water'!L359</f>
        <v/>
      </c>
      <c r="J357" s="153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 t="e">
        <f>('Electricity '!I359*0.55+'Gas Water'!H360*1.88)/(Total!E358)</f>
        <v>#VALUE!</v>
      </c>
      <c r="G358" s="4" t="str">
        <f>'Gas Water'!M360</f>
        <v/>
      </c>
      <c r="H358" s="153">
        <v>1.88</v>
      </c>
      <c r="I358" s="2" t="str">
        <f>'Gas Water'!L360</f>
        <v/>
      </c>
      <c r="J358" s="153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 t="e">
        <f>('Electricity '!I360*0.55+'Gas Water'!H361*1.88)/(Total!E359)</f>
        <v>#VALUE!</v>
      </c>
      <c r="G359" s="4" t="str">
        <f>'Gas Water'!M361</f>
        <v/>
      </c>
      <c r="H359" s="153">
        <v>1.88</v>
      </c>
      <c r="I359" s="2" t="str">
        <f>'Gas Water'!L361</f>
        <v/>
      </c>
      <c r="J359" s="153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 t="e">
        <f>('Electricity '!I361*0.55+'Gas Water'!H362*1.88)/(Total!E360)</f>
        <v>#VALUE!</v>
      </c>
      <c r="G360" s="4" t="str">
        <f>'Gas Water'!M362</f>
        <v/>
      </c>
      <c r="H360" s="153">
        <v>1.88</v>
      </c>
      <c r="I360" s="2" t="str">
        <f>'Gas Water'!L362</f>
        <v/>
      </c>
      <c r="J360" s="153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 t="e">
        <f>('Electricity '!I362*0.55+'Gas Water'!H363*1.88)/(Total!E361)</f>
        <v>#VALUE!</v>
      </c>
      <c r="G361" s="4" t="str">
        <f>'Gas Water'!M363</f>
        <v/>
      </c>
      <c r="H361" s="153">
        <v>1.88</v>
      </c>
      <c r="I361" s="2" t="str">
        <f>'Gas Water'!L363</f>
        <v/>
      </c>
      <c r="J361" s="153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 t="e">
        <f>('Electricity '!I363*0.55+'Gas Water'!H364*1.88)/(Total!E362)</f>
        <v>#VALUE!</v>
      </c>
      <c r="G362" s="4" t="str">
        <f>'Gas Water'!M364</f>
        <v/>
      </c>
      <c r="H362" s="153">
        <v>1.88</v>
      </c>
      <c r="I362" s="2" t="str">
        <f>'Gas Water'!L364</f>
        <v/>
      </c>
      <c r="J362" s="153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 t="e">
        <f>('Electricity '!I364*0.55+'Gas Water'!H365*1.88)/(Total!E363)</f>
        <v>#VALUE!</v>
      </c>
      <c r="G363" s="4" t="str">
        <f>'Gas Water'!M365</f>
        <v/>
      </c>
      <c r="H363" s="153">
        <v>1.88</v>
      </c>
      <c r="I363" s="2" t="str">
        <f>'Gas Water'!L365</f>
        <v/>
      </c>
      <c r="J363" s="153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 t="e">
        <f>('Electricity '!I365*0.55+'Gas Water'!H366*1.88)/(Total!E364)</f>
        <v>#VALUE!</v>
      </c>
      <c r="G364" s="4" t="str">
        <f>'Gas Water'!M366</f>
        <v/>
      </c>
      <c r="H364" s="153">
        <v>1.88</v>
      </c>
      <c r="I364" s="2" t="str">
        <f>'Gas Water'!L366</f>
        <v/>
      </c>
      <c r="J364" s="153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 t="e">
        <f>('Electricity '!I366*0.55+'Gas Water'!H367*1.88)/(Total!E365)</f>
        <v>#VALUE!</v>
      </c>
      <c r="G365" s="4" t="str">
        <f>'Gas Water'!M367</f>
        <v/>
      </c>
      <c r="H365" s="153">
        <v>1.88</v>
      </c>
      <c r="I365" s="2" t="str">
        <f>'Gas Water'!L367</f>
        <v/>
      </c>
      <c r="J365" s="153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 t="e">
        <f>('Electricity '!I367*0.55+'Gas Water'!H368*1.88)/(Total!E366)</f>
        <v>#VALUE!</v>
      </c>
      <c r="G366" s="4" t="str">
        <f>'Gas Water'!M368</f>
        <v/>
      </c>
      <c r="H366" s="153">
        <v>1.88</v>
      </c>
      <c r="I366" s="2" t="str">
        <f>'Gas Water'!L368</f>
        <v/>
      </c>
      <c r="J366" s="153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247" workbookViewId="0">
      <selection activeCell="R282" sqref="R282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>
        <v>16228335</v>
      </c>
      <c r="D224" s="24">
        <v>4886857</v>
      </c>
      <c r="E224" s="25">
        <v>212865</v>
      </c>
      <c r="F224" s="26">
        <v>609536</v>
      </c>
      <c r="G224" s="27">
        <v>263059</v>
      </c>
      <c r="H224" s="28">
        <f t="shared" si="21"/>
        <v>0</v>
      </c>
      <c r="I224" s="28">
        <f t="shared" si="21"/>
        <v>927</v>
      </c>
      <c r="J224" s="28">
        <f t="shared" si="21"/>
        <v>231</v>
      </c>
      <c r="K224" s="28">
        <f t="shared" si="21"/>
        <v>218</v>
      </c>
      <c r="L224" s="29">
        <f t="shared" si="21"/>
        <v>231</v>
      </c>
      <c r="M224" s="30">
        <f t="shared" si="17"/>
        <v>1376</v>
      </c>
      <c r="Q224" s="20">
        <f t="shared" si="20"/>
        <v>0</v>
      </c>
    </row>
    <row r="225" spans="2:17" ht="12.95" customHeight="1" x14ac:dyDescent="0.2">
      <c r="B225" s="22">
        <v>44418</v>
      </c>
      <c r="C225" s="41">
        <v>16228335</v>
      </c>
      <c r="D225" s="24">
        <v>4887730</v>
      </c>
      <c r="E225" s="25">
        <v>213091</v>
      </c>
      <c r="F225" s="26">
        <v>609739</v>
      </c>
      <c r="G225" s="27">
        <v>263370</v>
      </c>
      <c r="H225" s="28">
        <f t="shared" si="21"/>
        <v>0</v>
      </c>
      <c r="I225" s="28">
        <f t="shared" si="21"/>
        <v>873</v>
      </c>
      <c r="J225" s="28">
        <f t="shared" si="21"/>
        <v>226</v>
      </c>
      <c r="K225" s="28">
        <f t="shared" si="21"/>
        <v>203</v>
      </c>
      <c r="L225" s="29">
        <f t="shared" si="21"/>
        <v>311</v>
      </c>
      <c r="M225" s="30">
        <f t="shared" si="17"/>
        <v>1302</v>
      </c>
      <c r="Q225" s="20">
        <f t="shared" si="20"/>
        <v>0</v>
      </c>
    </row>
    <row r="226" spans="2:17" ht="12.95" customHeight="1" x14ac:dyDescent="0.2">
      <c r="B226" s="22">
        <v>44419</v>
      </c>
      <c r="C226" s="41">
        <v>16228335</v>
      </c>
      <c r="D226" s="24">
        <v>4888604</v>
      </c>
      <c r="E226" s="25">
        <v>213311</v>
      </c>
      <c r="F226" s="26">
        <v>609930</v>
      </c>
      <c r="G226" s="27">
        <v>263647</v>
      </c>
      <c r="H226" s="28">
        <f t="shared" si="21"/>
        <v>0</v>
      </c>
      <c r="I226" s="28">
        <f t="shared" si="21"/>
        <v>874</v>
      </c>
      <c r="J226" s="28">
        <f t="shared" si="21"/>
        <v>220</v>
      </c>
      <c r="K226" s="28">
        <f t="shared" si="21"/>
        <v>191</v>
      </c>
      <c r="L226" s="29">
        <f t="shared" si="21"/>
        <v>277</v>
      </c>
      <c r="M226" s="30">
        <f t="shared" si="17"/>
        <v>1285</v>
      </c>
      <c r="Q226" s="20">
        <f t="shared" si="20"/>
        <v>0</v>
      </c>
    </row>
    <row r="227" spans="2:17" ht="12.95" customHeight="1" x14ac:dyDescent="0.2">
      <c r="B227" s="22">
        <v>44420</v>
      </c>
      <c r="C227" s="41">
        <v>16228335</v>
      </c>
      <c r="D227" s="24">
        <v>4889452</v>
      </c>
      <c r="E227" s="25">
        <v>213543</v>
      </c>
      <c r="F227" s="26">
        <v>610150</v>
      </c>
      <c r="G227" s="27">
        <v>263888</v>
      </c>
      <c r="H227" s="28">
        <f t="shared" si="21"/>
        <v>0</v>
      </c>
      <c r="I227" s="28">
        <f t="shared" si="21"/>
        <v>848</v>
      </c>
      <c r="J227" s="28">
        <f t="shared" si="21"/>
        <v>232</v>
      </c>
      <c r="K227" s="28">
        <f t="shared" si="21"/>
        <v>220</v>
      </c>
      <c r="L227" s="29">
        <f t="shared" si="21"/>
        <v>241</v>
      </c>
      <c r="M227" s="30">
        <f t="shared" si="17"/>
        <v>1300</v>
      </c>
      <c r="Q227" s="20">
        <f t="shared" si="20"/>
        <v>0</v>
      </c>
    </row>
    <row r="228" spans="2:17" ht="12.95" customHeight="1" x14ac:dyDescent="0.2">
      <c r="B228" s="22">
        <v>44421</v>
      </c>
      <c r="C228" s="41">
        <v>16228335</v>
      </c>
      <c r="D228" s="24">
        <v>4890553</v>
      </c>
      <c r="E228" s="25">
        <v>213778</v>
      </c>
      <c r="F228" s="26">
        <v>610356</v>
      </c>
      <c r="G228" s="27">
        <v>264157</v>
      </c>
      <c r="H228" s="28">
        <f t="shared" si="21"/>
        <v>0</v>
      </c>
      <c r="I228" s="28">
        <f t="shared" si="21"/>
        <v>1101</v>
      </c>
      <c r="J228" s="28">
        <f t="shared" si="21"/>
        <v>235</v>
      </c>
      <c r="K228" s="28">
        <f t="shared" si="21"/>
        <v>206</v>
      </c>
      <c r="L228" s="29">
        <f t="shared" si="21"/>
        <v>269</v>
      </c>
      <c r="M228" s="30">
        <f t="shared" si="17"/>
        <v>1542</v>
      </c>
      <c r="Q228" s="20">
        <f t="shared" si="20"/>
        <v>0</v>
      </c>
    </row>
    <row r="229" spans="2:17" ht="12.95" customHeight="1" x14ac:dyDescent="0.2">
      <c r="B229" s="22">
        <v>44422</v>
      </c>
      <c r="C229" s="41">
        <v>16228335</v>
      </c>
      <c r="D229" s="24">
        <v>4891430</v>
      </c>
      <c r="E229" s="25">
        <v>214017</v>
      </c>
      <c r="F229" s="26">
        <v>610587</v>
      </c>
      <c r="G229" s="27">
        <v>264434</v>
      </c>
      <c r="H229" s="28">
        <f t="shared" si="21"/>
        <v>0</v>
      </c>
      <c r="I229" s="28">
        <f t="shared" si="21"/>
        <v>877</v>
      </c>
      <c r="J229" s="28">
        <f t="shared" si="21"/>
        <v>239</v>
      </c>
      <c r="K229" s="28">
        <f t="shared" si="21"/>
        <v>231</v>
      </c>
      <c r="L229" s="29">
        <f t="shared" si="21"/>
        <v>277</v>
      </c>
      <c r="M229" s="30">
        <f t="shared" si="17"/>
        <v>1347</v>
      </c>
      <c r="Q229" s="20">
        <f t="shared" si="20"/>
        <v>0</v>
      </c>
    </row>
    <row r="230" spans="2:17" ht="12.95" customHeight="1" x14ac:dyDescent="0.2">
      <c r="B230" s="22">
        <v>44423</v>
      </c>
      <c r="C230" s="41">
        <v>16228335</v>
      </c>
      <c r="D230" s="24">
        <v>4892390</v>
      </c>
      <c r="E230" s="25">
        <v>214244</v>
      </c>
      <c r="F230" s="26">
        <v>610796</v>
      </c>
      <c r="G230" s="27">
        <v>264674</v>
      </c>
      <c r="H230" s="28">
        <f t="shared" si="21"/>
        <v>0</v>
      </c>
      <c r="I230" s="28">
        <f t="shared" si="21"/>
        <v>960</v>
      </c>
      <c r="J230" s="28">
        <f t="shared" si="21"/>
        <v>227</v>
      </c>
      <c r="K230" s="28">
        <f t="shared" si="21"/>
        <v>209</v>
      </c>
      <c r="L230" s="29">
        <f t="shared" si="21"/>
        <v>240</v>
      </c>
      <c r="M230" s="30">
        <f t="shared" si="17"/>
        <v>1396</v>
      </c>
      <c r="Q230" s="20">
        <f t="shared" si="20"/>
        <v>0</v>
      </c>
    </row>
    <row r="231" spans="2:17" ht="12.95" customHeight="1" x14ac:dyDescent="0.2">
      <c r="B231" s="22">
        <v>44424</v>
      </c>
      <c r="C231" s="41">
        <v>16228335</v>
      </c>
      <c r="D231" s="24">
        <v>4893338</v>
      </c>
      <c r="E231" s="25">
        <v>214480</v>
      </c>
      <c r="F231" s="26">
        <v>611015</v>
      </c>
      <c r="G231" s="27">
        <v>264957</v>
      </c>
      <c r="H231" s="28">
        <f t="shared" si="21"/>
        <v>0</v>
      </c>
      <c r="I231" s="28">
        <f t="shared" si="21"/>
        <v>948</v>
      </c>
      <c r="J231" s="28">
        <f t="shared" si="21"/>
        <v>236</v>
      </c>
      <c r="K231" s="28">
        <f>IF(F231="","",+(F231-F230))</f>
        <v>219</v>
      </c>
      <c r="L231" s="29">
        <f t="shared" si="21"/>
        <v>283</v>
      </c>
      <c r="M231" s="30">
        <f t="shared" si="17"/>
        <v>1403</v>
      </c>
      <c r="Q231" s="20">
        <f t="shared" si="20"/>
        <v>0</v>
      </c>
    </row>
    <row r="232" spans="2:17" ht="12.95" customHeight="1" x14ac:dyDescent="0.2">
      <c r="B232" s="22">
        <v>44425</v>
      </c>
      <c r="C232" s="41">
        <v>16228335</v>
      </c>
      <c r="D232" s="24">
        <v>4894227</v>
      </c>
      <c r="E232" s="25">
        <v>214716</v>
      </c>
      <c r="F232" s="26">
        <v>611234</v>
      </c>
      <c r="G232" s="27">
        <v>265236</v>
      </c>
      <c r="H232" s="28">
        <f t="shared" si="21"/>
        <v>0</v>
      </c>
      <c r="I232" s="28">
        <f t="shared" si="21"/>
        <v>889</v>
      </c>
      <c r="J232" s="28">
        <f t="shared" si="21"/>
        <v>236</v>
      </c>
      <c r="K232" s="28">
        <f t="shared" si="21"/>
        <v>219</v>
      </c>
      <c r="L232" s="29">
        <f t="shared" si="21"/>
        <v>279</v>
      </c>
      <c r="M232" s="30">
        <f t="shared" si="17"/>
        <v>1344</v>
      </c>
      <c r="Q232" s="20">
        <f t="shared" si="20"/>
        <v>0</v>
      </c>
    </row>
    <row r="233" spans="2:17" ht="12.95" customHeight="1" x14ac:dyDescent="0.2">
      <c r="B233" s="22">
        <v>44426</v>
      </c>
      <c r="C233" s="41">
        <v>16228335</v>
      </c>
      <c r="D233" s="24">
        <v>4895140</v>
      </c>
      <c r="E233" s="25">
        <v>214965</v>
      </c>
      <c r="F233" s="26">
        <v>611441</v>
      </c>
      <c r="G233" s="27">
        <v>265498</v>
      </c>
      <c r="H233" s="28">
        <f t="shared" si="21"/>
        <v>0</v>
      </c>
      <c r="I233" s="28">
        <f t="shared" si="21"/>
        <v>913</v>
      </c>
      <c r="J233" s="28">
        <f t="shared" si="21"/>
        <v>249</v>
      </c>
      <c r="K233" s="28">
        <f t="shared" si="21"/>
        <v>207</v>
      </c>
      <c r="L233" s="29">
        <f t="shared" si="21"/>
        <v>262</v>
      </c>
      <c r="M233" s="30">
        <f t="shared" si="17"/>
        <v>1369</v>
      </c>
      <c r="Q233" s="20">
        <f t="shared" si="20"/>
        <v>0</v>
      </c>
    </row>
    <row r="234" spans="2:17" ht="12.95" customHeight="1" x14ac:dyDescent="0.2">
      <c r="B234" s="22">
        <v>44427</v>
      </c>
      <c r="C234" s="41">
        <v>16228335</v>
      </c>
      <c r="D234" s="24">
        <v>4896220</v>
      </c>
      <c r="E234" s="25">
        <v>215235</v>
      </c>
      <c r="F234" s="26">
        <v>611660</v>
      </c>
      <c r="G234" s="27">
        <v>265766</v>
      </c>
      <c r="H234" s="28">
        <f t="shared" si="21"/>
        <v>0</v>
      </c>
      <c r="I234" s="28">
        <f t="shared" si="21"/>
        <v>1080</v>
      </c>
      <c r="J234" s="28">
        <f t="shared" si="21"/>
        <v>270</v>
      </c>
      <c r="K234" s="28">
        <f t="shared" si="21"/>
        <v>219</v>
      </c>
      <c r="L234" s="29">
        <f t="shared" si="21"/>
        <v>268</v>
      </c>
      <c r="M234" s="30">
        <f t="shared" si="17"/>
        <v>1569</v>
      </c>
      <c r="Q234" s="20">
        <f t="shared" si="20"/>
        <v>0</v>
      </c>
    </row>
    <row r="235" spans="2:17" ht="12.95" customHeight="1" x14ac:dyDescent="0.2">
      <c r="B235" s="22">
        <v>44428</v>
      </c>
      <c r="C235" s="41">
        <v>16228335</v>
      </c>
      <c r="D235" s="24">
        <v>4897224</v>
      </c>
      <c r="E235" s="25">
        <v>215474</v>
      </c>
      <c r="F235" s="26">
        <v>611883</v>
      </c>
      <c r="G235" s="27">
        <v>266001</v>
      </c>
      <c r="H235" s="28">
        <f t="shared" si="21"/>
        <v>0</v>
      </c>
      <c r="I235" s="28">
        <f t="shared" si="21"/>
        <v>1004</v>
      </c>
      <c r="J235" s="28">
        <f t="shared" si="21"/>
        <v>239</v>
      </c>
      <c r="K235" s="28">
        <f t="shared" si="21"/>
        <v>223</v>
      </c>
      <c r="L235" s="29">
        <f t="shared" si="21"/>
        <v>235</v>
      </c>
      <c r="M235" s="30">
        <f t="shared" si="17"/>
        <v>1466</v>
      </c>
      <c r="Q235" s="20">
        <f t="shared" si="20"/>
        <v>0</v>
      </c>
    </row>
    <row r="236" spans="2:17" ht="12.95" customHeight="1" thickBot="1" x14ac:dyDescent="0.25">
      <c r="B236" s="22">
        <v>44429</v>
      </c>
      <c r="C236" s="41">
        <v>16228335</v>
      </c>
      <c r="D236" s="24">
        <v>4898142</v>
      </c>
      <c r="E236" s="25">
        <v>215751</v>
      </c>
      <c r="F236" s="26">
        <v>612100</v>
      </c>
      <c r="G236" s="27">
        <v>266245</v>
      </c>
      <c r="H236" s="28">
        <f t="shared" si="21"/>
        <v>0</v>
      </c>
      <c r="I236" s="28">
        <f t="shared" si="21"/>
        <v>918</v>
      </c>
      <c r="J236" s="28">
        <f t="shared" si="21"/>
        <v>277</v>
      </c>
      <c r="K236" s="28">
        <f t="shared" si="21"/>
        <v>217</v>
      </c>
      <c r="L236" s="29">
        <f t="shared" si="21"/>
        <v>244</v>
      </c>
      <c r="M236" s="30">
        <f t="shared" si="17"/>
        <v>1412</v>
      </c>
      <c r="Q236" s="20">
        <f t="shared" si="20"/>
        <v>0</v>
      </c>
    </row>
    <row r="237" spans="2:17" ht="12.95" customHeight="1" x14ac:dyDescent="0.2">
      <c r="B237" s="22">
        <v>44430</v>
      </c>
      <c r="C237" s="41">
        <v>16228335</v>
      </c>
      <c r="D237" s="24">
        <v>4899086</v>
      </c>
      <c r="E237" s="25">
        <v>216003</v>
      </c>
      <c r="F237" s="26">
        <v>612320</v>
      </c>
      <c r="G237" s="27">
        <v>266527</v>
      </c>
      <c r="H237" s="28">
        <f t="shared" si="21"/>
        <v>0</v>
      </c>
      <c r="I237" s="28">
        <f t="shared" si="21"/>
        <v>944</v>
      </c>
      <c r="J237" s="28">
        <f t="shared" si="21"/>
        <v>252</v>
      </c>
      <c r="K237" s="28">
        <f t="shared" si="21"/>
        <v>220</v>
      </c>
      <c r="L237" s="29">
        <f t="shared" si="21"/>
        <v>282</v>
      </c>
      <c r="M237" s="30">
        <f t="shared" si="17"/>
        <v>1416</v>
      </c>
      <c r="N237" s="198" t="s">
        <v>21</v>
      </c>
      <c r="O237" s="198" t="s">
        <v>22</v>
      </c>
      <c r="Q237" s="20">
        <f t="shared" si="20"/>
        <v>0</v>
      </c>
    </row>
    <row r="238" spans="2:17" ht="12.95" customHeight="1" x14ac:dyDescent="0.2">
      <c r="B238" s="22">
        <v>44431</v>
      </c>
      <c r="C238" s="41">
        <v>16228335</v>
      </c>
      <c r="D238" s="24">
        <v>4900049</v>
      </c>
      <c r="E238" s="25">
        <v>216242</v>
      </c>
      <c r="F238" s="26">
        <v>612530</v>
      </c>
      <c r="G238" s="27">
        <v>266802</v>
      </c>
      <c r="H238" s="28">
        <f t="shared" si="21"/>
        <v>0</v>
      </c>
      <c r="I238" s="28">
        <f t="shared" si="21"/>
        <v>963</v>
      </c>
      <c r="J238" s="28">
        <f t="shared" si="21"/>
        <v>239</v>
      </c>
      <c r="K238" s="28">
        <f t="shared" si="21"/>
        <v>210</v>
      </c>
      <c r="L238" s="29">
        <f t="shared" si="21"/>
        <v>275</v>
      </c>
      <c r="M238" s="30">
        <f t="shared" si="17"/>
        <v>1412</v>
      </c>
      <c r="N238" s="199"/>
      <c r="O238" s="199"/>
      <c r="Q238" s="20">
        <f t="shared" si="20"/>
        <v>0</v>
      </c>
    </row>
    <row r="239" spans="2:17" ht="12.95" customHeight="1" thickBot="1" x14ac:dyDescent="0.25">
      <c r="B239" s="22">
        <v>44432</v>
      </c>
      <c r="C239" s="41">
        <v>16228335</v>
      </c>
      <c r="D239" s="24">
        <v>4900958</v>
      </c>
      <c r="E239" s="25">
        <v>216525</v>
      </c>
      <c r="F239" s="26">
        <v>612740</v>
      </c>
      <c r="G239" s="27">
        <v>267103</v>
      </c>
      <c r="H239" s="28">
        <f t="shared" si="21"/>
        <v>0</v>
      </c>
      <c r="I239" s="28">
        <f t="shared" si="21"/>
        <v>909</v>
      </c>
      <c r="J239" s="28">
        <f>IF(E239="","",+(E239-E238))</f>
        <v>283</v>
      </c>
      <c r="K239" s="28">
        <f>IF(F239="","",+(F239-F238))</f>
        <v>210</v>
      </c>
      <c r="L239" s="29">
        <f t="shared" si="21"/>
        <v>301</v>
      </c>
      <c r="M239" s="30">
        <f t="shared" si="17"/>
        <v>1402</v>
      </c>
      <c r="N239" s="200"/>
      <c r="O239" s="200"/>
      <c r="Q239" s="20">
        <f t="shared" si="20"/>
        <v>0</v>
      </c>
    </row>
    <row r="240" spans="2:17" ht="12.95" customHeight="1" thickBot="1" x14ac:dyDescent="0.25">
      <c r="B240" s="22">
        <v>44433</v>
      </c>
      <c r="C240" s="41">
        <v>16228335</v>
      </c>
      <c r="D240" s="24">
        <v>4901889</v>
      </c>
      <c r="E240" s="25">
        <v>216788</v>
      </c>
      <c r="F240" s="26">
        <v>612945</v>
      </c>
      <c r="G240" s="27">
        <v>267376</v>
      </c>
      <c r="H240" s="28">
        <f t="shared" si="21"/>
        <v>0</v>
      </c>
      <c r="I240" s="28">
        <f t="shared" si="21"/>
        <v>931</v>
      </c>
      <c r="J240" s="28">
        <f t="shared" si="21"/>
        <v>263</v>
      </c>
      <c r="K240" s="28">
        <f t="shared" si="21"/>
        <v>205</v>
      </c>
      <c r="L240" s="29">
        <f t="shared" si="21"/>
        <v>273</v>
      </c>
      <c r="M240" s="30">
        <f t="shared" si="17"/>
        <v>1399</v>
      </c>
      <c r="N240" s="32">
        <f>SUM(L217:L247)</f>
        <v>8546</v>
      </c>
      <c r="O240" s="32">
        <f>SUM(M217:M247)</f>
        <v>43114</v>
      </c>
      <c r="Q240" s="20">
        <f t="shared" si="20"/>
        <v>0</v>
      </c>
    </row>
    <row r="241" spans="2:17" ht="12.95" customHeight="1" x14ac:dyDescent="0.2">
      <c r="B241" s="22">
        <v>44434</v>
      </c>
      <c r="C241" s="41">
        <v>16228335</v>
      </c>
      <c r="D241" s="24">
        <v>4902801</v>
      </c>
      <c r="E241" s="25">
        <v>217038</v>
      </c>
      <c r="F241" s="26">
        <v>613163</v>
      </c>
      <c r="G241" s="27">
        <v>267643</v>
      </c>
      <c r="H241" s="28">
        <f t="shared" si="21"/>
        <v>0</v>
      </c>
      <c r="I241" s="28">
        <f t="shared" si="21"/>
        <v>912</v>
      </c>
      <c r="J241" s="28">
        <f t="shared" si="21"/>
        <v>250</v>
      </c>
      <c r="K241" s="28">
        <f t="shared" si="21"/>
        <v>218</v>
      </c>
      <c r="L241" s="29">
        <f t="shared" si="21"/>
        <v>267</v>
      </c>
      <c r="M241" s="30">
        <f t="shared" si="17"/>
        <v>1380</v>
      </c>
      <c r="N241" s="198" t="s">
        <v>23</v>
      </c>
      <c r="O241" s="198" t="s">
        <v>24</v>
      </c>
      <c r="Q241" s="20">
        <f t="shared" si="20"/>
        <v>0</v>
      </c>
    </row>
    <row r="242" spans="2:17" ht="12.95" customHeight="1" thickBot="1" x14ac:dyDescent="0.25">
      <c r="B242" s="22">
        <v>44435</v>
      </c>
      <c r="C242" s="41">
        <v>16228335</v>
      </c>
      <c r="D242" s="24">
        <v>4903702</v>
      </c>
      <c r="E242" s="25">
        <v>217325</v>
      </c>
      <c r="F242" s="26">
        <v>613403</v>
      </c>
      <c r="G242" s="27">
        <v>267973</v>
      </c>
      <c r="H242" s="28">
        <f t="shared" si="21"/>
        <v>0</v>
      </c>
      <c r="I242" s="28">
        <f t="shared" si="21"/>
        <v>901</v>
      </c>
      <c r="J242" s="28">
        <f t="shared" si="21"/>
        <v>287</v>
      </c>
      <c r="K242" s="28">
        <f t="shared" si="21"/>
        <v>240</v>
      </c>
      <c r="L242" s="29">
        <f t="shared" si="21"/>
        <v>330</v>
      </c>
      <c r="M242" s="30">
        <f t="shared" si="17"/>
        <v>1428</v>
      </c>
      <c r="N242" s="200"/>
      <c r="O242" s="200"/>
      <c r="Q242" s="20">
        <f t="shared" si="20"/>
        <v>0</v>
      </c>
    </row>
    <row r="243" spans="2:17" ht="12.95" customHeight="1" thickBot="1" x14ac:dyDescent="0.25">
      <c r="B243" s="22">
        <v>44436</v>
      </c>
      <c r="C243" s="41">
        <v>16228335</v>
      </c>
      <c r="D243" s="24">
        <v>4904562</v>
      </c>
      <c r="E243" s="25">
        <v>217583</v>
      </c>
      <c r="F243" s="26">
        <v>613617</v>
      </c>
      <c r="G243" s="27">
        <v>268268</v>
      </c>
      <c r="H243" s="28">
        <f t="shared" si="21"/>
        <v>0</v>
      </c>
      <c r="I243" s="28">
        <f t="shared" si="21"/>
        <v>860</v>
      </c>
      <c r="J243" s="28">
        <f t="shared" si="21"/>
        <v>258</v>
      </c>
      <c r="K243" s="28">
        <f t="shared" si="21"/>
        <v>214</v>
      </c>
      <c r="L243" s="29">
        <f t="shared" si="21"/>
        <v>295</v>
      </c>
      <c r="M243" s="30">
        <f t="shared" si="17"/>
        <v>1332</v>
      </c>
      <c r="N243" s="32">
        <f>AVERAGE(L217:L247)</f>
        <v>275.67741935483872</v>
      </c>
      <c r="O243" s="32">
        <f>AVERAGE(M217:M247)</f>
        <v>1390.7741935483871</v>
      </c>
      <c r="Q243" s="20">
        <f t="shared" si="20"/>
        <v>0</v>
      </c>
    </row>
    <row r="244" spans="2:17" ht="12.95" customHeight="1" x14ac:dyDescent="0.2">
      <c r="B244" s="22">
        <v>44437</v>
      </c>
      <c r="C244" s="41">
        <v>16228335</v>
      </c>
      <c r="D244" s="24">
        <v>4905423</v>
      </c>
      <c r="E244" s="25">
        <v>217831</v>
      </c>
      <c r="F244" s="26">
        <v>613843</v>
      </c>
      <c r="G244" s="27">
        <v>268563</v>
      </c>
      <c r="H244" s="28">
        <f t="shared" si="21"/>
        <v>0</v>
      </c>
      <c r="I244" s="28">
        <f t="shared" si="21"/>
        <v>861</v>
      </c>
      <c r="J244" s="28">
        <f t="shared" si="21"/>
        <v>248</v>
      </c>
      <c r="K244" s="28">
        <f t="shared" si="21"/>
        <v>226</v>
      </c>
      <c r="L244" s="29">
        <f t="shared" si="21"/>
        <v>295</v>
      </c>
      <c r="M244" s="30">
        <f t="shared" si="17"/>
        <v>1335</v>
      </c>
      <c r="O244" s="20">
        <f>IF(L244="",1,0)</f>
        <v>0</v>
      </c>
    </row>
    <row r="245" spans="2:17" ht="12.95" customHeight="1" x14ac:dyDescent="0.2">
      <c r="B245" s="22">
        <v>44438</v>
      </c>
      <c r="C245" s="41">
        <v>16228335</v>
      </c>
      <c r="D245" s="24">
        <v>4906252</v>
      </c>
      <c r="E245" s="25">
        <v>218021</v>
      </c>
      <c r="F245" s="26">
        <v>614067</v>
      </c>
      <c r="G245" s="27">
        <v>268867</v>
      </c>
      <c r="H245" s="28">
        <f t="shared" si="21"/>
        <v>0</v>
      </c>
      <c r="I245" s="28">
        <f t="shared" si="21"/>
        <v>829</v>
      </c>
      <c r="J245" s="28">
        <f t="shared" si="21"/>
        <v>190</v>
      </c>
      <c r="K245" s="28">
        <f t="shared" si="21"/>
        <v>224</v>
      </c>
      <c r="L245" s="29">
        <f t="shared" si="21"/>
        <v>304</v>
      </c>
      <c r="M245" s="30">
        <f t="shared" si="17"/>
        <v>1243</v>
      </c>
      <c r="O245" s="20">
        <f>IF(L245="",1,0)</f>
        <v>0</v>
      </c>
    </row>
    <row r="246" spans="2:17" ht="12.95" customHeight="1" x14ac:dyDescent="0.2">
      <c r="B246" s="22">
        <v>44439</v>
      </c>
      <c r="C246" s="41">
        <v>16228335</v>
      </c>
      <c r="D246" s="24">
        <v>4907135</v>
      </c>
      <c r="E246" s="25">
        <v>218241</v>
      </c>
      <c r="F246" s="26">
        <v>614284</v>
      </c>
      <c r="G246" s="27">
        <v>269161</v>
      </c>
      <c r="H246" s="28">
        <f t="shared" si="21"/>
        <v>0</v>
      </c>
      <c r="I246" s="28">
        <f t="shared" si="21"/>
        <v>883</v>
      </c>
      <c r="J246" s="28">
        <f t="shared" si="21"/>
        <v>220</v>
      </c>
      <c r="K246" s="28">
        <f t="shared" si="21"/>
        <v>217</v>
      </c>
      <c r="L246" s="29">
        <f t="shared" si="21"/>
        <v>294</v>
      </c>
      <c r="M246" s="30">
        <f t="shared" si="17"/>
        <v>1320</v>
      </c>
      <c r="O246" s="20">
        <f>IF(L246="",1,0)</f>
        <v>0</v>
      </c>
    </row>
    <row r="247" spans="2:17" ht="12.95" customHeight="1" x14ac:dyDescent="0.2">
      <c r="B247" s="22">
        <v>44440</v>
      </c>
      <c r="C247" s="41">
        <v>16228335</v>
      </c>
      <c r="D247" s="34">
        <v>4908072</v>
      </c>
      <c r="E247" s="34">
        <v>218465</v>
      </c>
      <c r="F247" s="34">
        <v>614485</v>
      </c>
      <c r="G247" s="34">
        <v>269402</v>
      </c>
      <c r="H247" s="35">
        <f t="shared" si="21"/>
        <v>0</v>
      </c>
      <c r="I247" s="39">
        <f t="shared" si="21"/>
        <v>937</v>
      </c>
      <c r="J247" s="35">
        <f t="shared" si="21"/>
        <v>224</v>
      </c>
      <c r="K247" s="35">
        <f t="shared" si="21"/>
        <v>201</v>
      </c>
      <c r="L247" s="36">
        <f t="shared" si="21"/>
        <v>241</v>
      </c>
      <c r="M247" s="35">
        <f t="shared" si="17"/>
        <v>1362</v>
      </c>
      <c r="Q247" s="20">
        <f t="shared" si="20"/>
        <v>0</v>
      </c>
    </row>
    <row r="248" spans="2:17" ht="12.95" customHeight="1" x14ac:dyDescent="0.2">
      <c r="B248" s="22">
        <v>44441</v>
      </c>
      <c r="C248" s="41">
        <v>16228335</v>
      </c>
      <c r="D248" s="24">
        <v>4909146</v>
      </c>
      <c r="E248" s="25">
        <v>218729</v>
      </c>
      <c r="F248" s="26">
        <v>614677</v>
      </c>
      <c r="G248" s="27">
        <v>269645</v>
      </c>
      <c r="H248" s="38">
        <f t="shared" si="21"/>
        <v>0</v>
      </c>
      <c r="I248" s="28">
        <f t="shared" si="21"/>
        <v>1074</v>
      </c>
      <c r="J248" s="28">
        <f t="shared" si="21"/>
        <v>264</v>
      </c>
      <c r="K248" s="28">
        <f t="shared" si="21"/>
        <v>192</v>
      </c>
      <c r="L248" s="29">
        <f t="shared" si="21"/>
        <v>243</v>
      </c>
      <c r="M248" s="30">
        <f t="shared" si="17"/>
        <v>1530</v>
      </c>
      <c r="Q248" s="20">
        <f t="shared" si="20"/>
        <v>0</v>
      </c>
    </row>
    <row r="249" spans="2:17" ht="12.95" customHeight="1" x14ac:dyDescent="0.2">
      <c r="B249" s="22">
        <v>44442</v>
      </c>
      <c r="C249" s="41">
        <v>16228335</v>
      </c>
      <c r="D249" s="24">
        <v>4910311</v>
      </c>
      <c r="E249" s="25">
        <v>218992</v>
      </c>
      <c r="F249" s="26">
        <v>614898</v>
      </c>
      <c r="G249" s="27">
        <v>269948</v>
      </c>
      <c r="H249" s="28">
        <f t="shared" ref="H249:L264" si="22">IF(C249="","",+(C249-C248))</f>
        <v>0</v>
      </c>
      <c r="I249" s="28">
        <f t="shared" si="22"/>
        <v>1165</v>
      </c>
      <c r="J249" s="28">
        <f t="shared" si="22"/>
        <v>263</v>
      </c>
      <c r="K249" s="28">
        <f t="shared" si="22"/>
        <v>221</v>
      </c>
      <c r="L249" s="29">
        <f t="shared" si="22"/>
        <v>303</v>
      </c>
      <c r="M249" s="30">
        <f t="shared" si="17"/>
        <v>1649</v>
      </c>
      <c r="Q249" s="20">
        <f t="shared" si="20"/>
        <v>0</v>
      </c>
    </row>
    <row r="250" spans="2:17" ht="12.95" customHeight="1" x14ac:dyDescent="0.2">
      <c r="B250" s="22">
        <v>44443</v>
      </c>
      <c r="C250" s="41">
        <v>16228335</v>
      </c>
      <c r="D250" s="24">
        <v>4911442</v>
      </c>
      <c r="E250" s="25">
        <v>219242</v>
      </c>
      <c r="F250" s="26">
        <v>615123</v>
      </c>
      <c r="G250" s="27">
        <v>270267</v>
      </c>
      <c r="H250" s="28">
        <f t="shared" si="22"/>
        <v>0</v>
      </c>
      <c r="I250" s="28">
        <f t="shared" si="22"/>
        <v>1131</v>
      </c>
      <c r="J250" s="28">
        <f t="shared" si="22"/>
        <v>250</v>
      </c>
      <c r="K250" s="28">
        <f t="shared" si="22"/>
        <v>225</v>
      </c>
      <c r="L250" s="29">
        <f t="shared" si="22"/>
        <v>319</v>
      </c>
      <c r="M250" s="30">
        <f t="shared" si="17"/>
        <v>1606</v>
      </c>
      <c r="Q250" s="20">
        <f t="shared" si="20"/>
        <v>0</v>
      </c>
    </row>
    <row r="251" spans="2:17" ht="12.95" customHeight="1" x14ac:dyDescent="0.2">
      <c r="B251" s="22">
        <v>44444</v>
      </c>
      <c r="C251" s="41">
        <v>16228335</v>
      </c>
      <c r="D251" s="24">
        <v>4912484</v>
      </c>
      <c r="E251" s="25">
        <v>219474</v>
      </c>
      <c r="F251" s="26">
        <v>615340</v>
      </c>
      <c r="G251" s="27">
        <v>270498</v>
      </c>
      <c r="H251" s="28">
        <f t="shared" si="22"/>
        <v>0</v>
      </c>
      <c r="I251" s="28">
        <f t="shared" si="22"/>
        <v>1042</v>
      </c>
      <c r="J251" s="28">
        <f t="shared" si="22"/>
        <v>232</v>
      </c>
      <c r="K251" s="28">
        <f t="shared" si="22"/>
        <v>217</v>
      </c>
      <c r="L251" s="29">
        <f t="shared" si="22"/>
        <v>231</v>
      </c>
      <c r="M251" s="30">
        <f t="shared" si="17"/>
        <v>1491</v>
      </c>
      <c r="Q251" s="20">
        <f t="shared" si="20"/>
        <v>0</v>
      </c>
    </row>
    <row r="252" spans="2:17" ht="12.95" customHeight="1" x14ac:dyDescent="0.2">
      <c r="B252" s="22">
        <v>44445</v>
      </c>
      <c r="C252" s="41">
        <v>16228335</v>
      </c>
      <c r="D252" s="24">
        <v>4913648</v>
      </c>
      <c r="E252" s="25">
        <v>219714</v>
      </c>
      <c r="F252" s="26">
        <v>615546</v>
      </c>
      <c r="G252" s="27">
        <v>270760</v>
      </c>
      <c r="H252" s="28">
        <f t="shared" si="22"/>
        <v>0</v>
      </c>
      <c r="I252" s="28">
        <f t="shared" si="22"/>
        <v>1164</v>
      </c>
      <c r="J252" s="28">
        <f t="shared" si="22"/>
        <v>240</v>
      </c>
      <c r="K252" s="28">
        <f t="shared" si="22"/>
        <v>206</v>
      </c>
      <c r="L252" s="29">
        <f t="shared" si="22"/>
        <v>262</v>
      </c>
      <c r="M252" s="30">
        <f t="shared" si="17"/>
        <v>1610</v>
      </c>
      <c r="Q252" s="20">
        <f t="shared" si="20"/>
        <v>0</v>
      </c>
    </row>
    <row r="253" spans="2:17" ht="12.95" customHeight="1" x14ac:dyDescent="0.2">
      <c r="B253" s="22">
        <v>44446</v>
      </c>
      <c r="C253" s="41">
        <v>16228335</v>
      </c>
      <c r="D253" s="24">
        <v>4914789</v>
      </c>
      <c r="E253" s="25">
        <v>219975</v>
      </c>
      <c r="F253" s="26">
        <v>615746</v>
      </c>
      <c r="G253" s="27">
        <v>271030</v>
      </c>
      <c r="H253" s="28">
        <f t="shared" si="22"/>
        <v>0</v>
      </c>
      <c r="I253" s="28">
        <f t="shared" si="22"/>
        <v>1141</v>
      </c>
      <c r="J253" s="28">
        <f t="shared" si="22"/>
        <v>261</v>
      </c>
      <c r="K253" s="28">
        <f t="shared" si="22"/>
        <v>200</v>
      </c>
      <c r="L253" s="29">
        <f t="shared" si="22"/>
        <v>270</v>
      </c>
      <c r="M253" s="30">
        <f t="shared" si="17"/>
        <v>1602</v>
      </c>
      <c r="Q253" s="20">
        <f t="shared" si="20"/>
        <v>0</v>
      </c>
    </row>
    <row r="254" spans="2:17" ht="12.95" customHeight="1" x14ac:dyDescent="0.2">
      <c r="B254" s="22">
        <v>44447</v>
      </c>
      <c r="C254" s="41">
        <v>16228335</v>
      </c>
      <c r="D254" s="24">
        <v>4915924</v>
      </c>
      <c r="E254" s="25">
        <v>220224</v>
      </c>
      <c r="F254" s="26">
        <v>615934</v>
      </c>
      <c r="G254" s="27">
        <v>271260</v>
      </c>
      <c r="H254" s="28">
        <f t="shared" si="22"/>
        <v>0</v>
      </c>
      <c r="I254" s="28">
        <f t="shared" si="22"/>
        <v>1135</v>
      </c>
      <c r="J254" s="28">
        <f t="shared" si="22"/>
        <v>249</v>
      </c>
      <c r="K254" s="28">
        <f t="shared" si="22"/>
        <v>188</v>
      </c>
      <c r="L254" s="29">
        <f t="shared" si="22"/>
        <v>230</v>
      </c>
      <c r="M254" s="30">
        <f t="shared" si="17"/>
        <v>1572</v>
      </c>
      <c r="Q254" s="20">
        <f t="shared" si="20"/>
        <v>0</v>
      </c>
    </row>
    <row r="255" spans="2:17" ht="12.95" customHeight="1" x14ac:dyDescent="0.2">
      <c r="B255" s="22">
        <v>44448</v>
      </c>
      <c r="C255" s="41">
        <v>16228335</v>
      </c>
      <c r="D255" s="24">
        <v>4917027</v>
      </c>
      <c r="E255" s="25">
        <v>220475</v>
      </c>
      <c r="F255" s="26">
        <v>616114</v>
      </c>
      <c r="G255" s="27">
        <v>271527</v>
      </c>
      <c r="H255" s="28">
        <f t="shared" si="22"/>
        <v>0</v>
      </c>
      <c r="I255" s="28">
        <f t="shared" si="22"/>
        <v>1103</v>
      </c>
      <c r="J255" s="28">
        <f t="shared" si="22"/>
        <v>251</v>
      </c>
      <c r="K255" s="28">
        <f t="shared" si="22"/>
        <v>180</v>
      </c>
      <c r="L255" s="29">
        <f t="shared" si="22"/>
        <v>267</v>
      </c>
      <c r="M255" s="30">
        <f t="shared" si="17"/>
        <v>1534</v>
      </c>
      <c r="Q255" s="20">
        <f t="shared" si="20"/>
        <v>0</v>
      </c>
    </row>
    <row r="256" spans="2:17" ht="12.95" customHeight="1" x14ac:dyDescent="0.2">
      <c r="B256" s="22">
        <v>44449</v>
      </c>
      <c r="C256" s="41">
        <v>16228335</v>
      </c>
      <c r="D256" s="24">
        <v>4918139</v>
      </c>
      <c r="E256" s="25">
        <v>220708</v>
      </c>
      <c r="F256" s="26">
        <v>616307</v>
      </c>
      <c r="G256" s="27">
        <v>271788</v>
      </c>
      <c r="H256" s="28">
        <f t="shared" si="22"/>
        <v>0</v>
      </c>
      <c r="I256" s="28">
        <f t="shared" si="22"/>
        <v>1112</v>
      </c>
      <c r="J256" s="28">
        <f t="shared" si="22"/>
        <v>233</v>
      </c>
      <c r="K256" s="28">
        <f t="shared" si="22"/>
        <v>193</v>
      </c>
      <c r="L256" s="29">
        <f t="shared" si="22"/>
        <v>261</v>
      </c>
      <c r="M256" s="30">
        <f t="shared" si="17"/>
        <v>1538</v>
      </c>
      <c r="Q256" s="20">
        <f t="shared" si="20"/>
        <v>0</v>
      </c>
    </row>
    <row r="257" spans="2:17" ht="12.95" customHeight="1" x14ac:dyDescent="0.2">
      <c r="B257" s="22">
        <v>44450</v>
      </c>
      <c r="C257" s="41">
        <v>16228335</v>
      </c>
      <c r="D257" s="24">
        <v>4919150</v>
      </c>
      <c r="E257" s="25">
        <v>220890</v>
      </c>
      <c r="F257" s="26">
        <v>616525</v>
      </c>
      <c r="G257" s="27">
        <v>272011</v>
      </c>
      <c r="H257" s="28">
        <f t="shared" si="22"/>
        <v>0</v>
      </c>
      <c r="I257" s="28">
        <f t="shared" si="22"/>
        <v>1011</v>
      </c>
      <c r="J257" s="28">
        <f t="shared" si="22"/>
        <v>182</v>
      </c>
      <c r="K257" s="28">
        <f t="shared" si="22"/>
        <v>218</v>
      </c>
      <c r="L257" s="29">
        <f t="shared" si="22"/>
        <v>223</v>
      </c>
      <c r="M257" s="30">
        <f t="shared" si="17"/>
        <v>1411</v>
      </c>
      <c r="Q257" s="20">
        <f t="shared" si="20"/>
        <v>0</v>
      </c>
    </row>
    <row r="258" spans="2:17" ht="12.95" customHeight="1" x14ac:dyDescent="0.2">
      <c r="B258" s="22">
        <v>44451</v>
      </c>
      <c r="C258" s="41">
        <v>16228335</v>
      </c>
      <c r="D258" s="24">
        <v>4920180</v>
      </c>
      <c r="E258" s="25">
        <v>221103</v>
      </c>
      <c r="F258" s="26">
        <v>616726</v>
      </c>
      <c r="G258" s="27">
        <v>272191</v>
      </c>
      <c r="H258" s="28">
        <f t="shared" si="22"/>
        <v>0</v>
      </c>
      <c r="I258" s="28">
        <f t="shared" si="22"/>
        <v>1030</v>
      </c>
      <c r="J258" s="28">
        <f t="shared" si="22"/>
        <v>213</v>
      </c>
      <c r="K258" s="28">
        <f t="shared" si="22"/>
        <v>201</v>
      </c>
      <c r="L258" s="29">
        <f t="shared" si="22"/>
        <v>180</v>
      </c>
      <c r="M258" s="30">
        <f t="shared" si="17"/>
        <v>1444</v>
      </c>
      <c r="Q258" s="20">
        <f t="shared" si="20"/>
        <v>0</v>
      </c>
    </row>
    <row r="259" spans="2:17" ht="12.95" customHeight="1" x14ac:dyDescent="0.2">
      <c r="B259" s="22">
        <v>44452</v>
      </c>
      <c r="C259" s="41">
        <v>16228335</v>
      </c>
      <c r="D259" s="24">
        <v>4921388</v>
      </c>
      <c r="E259" s="25">
        <v>221390</v>
      </c>
      <c r="F259" s="26">
        <v>616947</v>
      </c>
      <c r="G259" s="27">
        <v>272436</v>
      </c>
      <c r="H259" s="28">
        <f t="shared" si="22"/>
        <v>0</v>
      </c>
      <c r="I259" s="28">
        <f t="shared" si="22"/>
        <v>1208</v>
      </c>
      <c r="J259" s="28">
        <f t="shared" si="22"/>
        <v>287</v>
      </c>
      <c r="K259" s="28">
        <f t="shared" si="22"/>
        <v>221</v>
      </c>
      <c r="L259" s="29">
        <f t="shared" si="22"/>
        <v>245</v>
      </c>
      <c r="M259" s="30">
        <f t="shared" si="17"/>
        <v>1716</v>
      </c>
      <c r="Q259" s="20">
        <f t="shared" si="20"/>
        <v>0</v>
      </c>
    </row>
    <row r="260" spans="2:17" ht="12.95" customHeight="1" x14ac:dyDescent="0.2">
      <c r="B260" s="22">
        <v>44453</v>
      </c>
      <c r="C260" s="41">
        <v>16228335</v>
      </c>
      <c r="D260" s="24">
        <v>4922396</v>
      </c>
      <c r="E260" s="25">
        <v>221659</v>
      </c>
      <c r="F260" s="26">
        <v>617151</v>
      </c>
      <c r="G260" s="27">
        <v>272670</v>
      </c>
      <c r="H260" s="28">
        <f t="shared" si="22"/>
        <v>0</v>
      </c>
      <c r="I260" s="28">
        <f t="shared" si="22"/>
        <v>1008</v>
      </c>
      <c r="J260" s="28">
        <f t="shared" si="22"/>
        <v>269</v>
      </c>
      <c r="K260" s="28">
        <f t="shared" si="22"/>
        <v>204</v>
      </c>
      <c r="L260" s="29">
        <f t="shared" si="22"/>
        <v>234</v>
      </c>
      <c r="M260" s="30">
        <f t="shared" si="17"/>
        <v>1481</v>
      </c>
      <c r="Q260" s="20">
        <f t="shared" si="20"/>
        <v>0</v>
      </c>
    </row>
    <row r="261" spans="2:17" ht="12.95" customHeight="1" x14ac:dyDescent="0.2">
      <c r="B261" s="22">
        <v>44454</v>
      </c>
      <c r="C261" s="41">
        <v>16228335</v>
      </c>
      <c r="D261" s="24">
        <v>4923398</v>
      </c>
      <c r="E261" s="25">
        <v>221888</v>
      </c>
      <c r="F261" s="26">
        <v>617346</v>
      </c>
      <c r="G261" s="27">
        <v>272874</v>
      </c>
      <c r="H261" s="28">
        <f>IF(C261="","",+(C261-C260))</f>
        <v>0</v>
      </c>
      <c r="I261" s="28">
        <f t="shared" si="22"/>
        <v>1002</v>
      </c>
      <c r="J261" s="28">
        <f t="shared" si="22"/>
        <v>229</v>
      </c>
      <c r="K261" s="28">
        <f t="shared" si="22"/>
        <v>195</v>
      </c>
      <c r="L261" s="29">
        <f t="shared" si="22"/>
        <v>204</v>
      </c>
      <c r="M261" s="30">
        <f t="shared" si="17"/>
        <v>1426</v>
      </c>
      <c r="Q261" s="20">
        <f t="shared" si="20"/>
        <v>0</v>
      </c>
    </row>
    <row r="262" spans="2:17" ht="12.95" customHeight="1" x14ac:dyDescent="0.2">
      <c r="B262" s="22">
        <v>44455</v>
      </c>
      <c r="C262" s="41">
        <v>16228335</v>
      </c>
      <c r="D262" s="24">
        <v>4924375</v>
      </c>
      <c r="E262" s="25">
        <v>222090</v>
      </c>
      <c r="F262" s="26">
        <v>617544</v>
      </c>
      <c r="G262" s="27">
        <v>273101</v>
      </c>
      <c r="H262" s="28">
        <f t="shared" ref="H262:L315" si="23">IF(C262="","",+(C262-C261))</f>
        <v>0</v>
      </c>
      <c r="I262" s="28">
        <f t="shared" si="22"/>
        <v>977</v>
      </c>
      <c r="J262" s="28">
        <f t="shared" si="22"/>
        <v>202</v>
      </c>
      <c r="K262" s="28">
        <f t="shared" si="22"/>
        <v>198</v>
      </c>
      <c r="L262" s="29">
        <f t="shared" si="22"/>
        <v>227</v>
      </c>
      <c r="M262" s="30">
        <f t="shared" ref="M262:M325" si="24">IF(H262="","",+(H262+I262+J262+K262))</f>
        <v>1377</v>
      </c>
      <c r="Q262" s="20">
        <f t="shared" si="20"/>
        <v>0</v>
      </c>
    </row>
    <row r="263" spans="2:17" ht="12.95" customHeight="1" x14ac:dyDescent="0.2">
      <c r="B263" s="22">
        <v>44456</v>
      </c>
      <c r="C263" s="41">
        <v>16228335</v>
      </c>
      <c r="D263" s="24">
        <v>4925363</v>
      </c>
      <c r="E263" s="25">
        <v>222304</v>
      </c>
      <c r="F263" s="26">
        <v>617753</v>
      </c>
      <c r="G263" s="27">
        <v>273305</v>
      </c>
      <c r="H263" s="28">
        <f t="shared" si="23"/>
        <v>0</v>
      </c>
      <c r="I263" s="28">
        <f t="shared" si="22"/>
        <v>988</v>
      </c>
      <c r="J263" s="28">
        <f t="shared" si="22"/>
        <v>214</v>
      </c>
      <c r="K263" s="28">
        <f t="shared" si="22"/>
        <v>209</v>
      </c>
      <c r="L263" s="29">
        <f t="shared" si="22"/>
        <v>204</v>
      </c>
      <c r="M263" s="30">
        <f t="shared" si="24"/>
        <v>1411</v>
      </c>
      <c r="Q263" s="20">
        <f t="shared" si="20"/>
        <v>0</v>
      </c>
    </row>
    <row r="264" spans="2:17" ht="12.95" customHeight="1" x14ac:dyDescent="0.2">
      <c r="B264" s="22">
        <v>44457</v>
      </c>
      <c r="C264" s="41">
        <v>16228335</v>
      </c>
      <c r="D264" s="24">
        <v>4926348</v>
      </c>
      <c r="E264" s="25">
        <v>222545</v>
      </c>
      <c r="F264" s="26">
        <v>617959</v>
      </c>
      <c r="G264" s="27">
        <v>273500</v>
      </c>
      <c r="H264" s="28">
        <f t="shared" si="23"/>
        <v>0</v>
      </c>
      <c r="I264" s="28">
        <f t="shared" si="22"/>
        <v>985</v>
      </c>
      <c r="J264" s="28">
        <f t="shared" si="22"/>
        <v>241</v>
      </c>
      <c r="K264" s="28">
        <f t="shared" si="22"/>
        <v>206</v>
      </c>
      <c r="L264" s="29">
        <f t="shared" si="22"/>
        <v>195</v>
      </c>
      <c r="M264" s="30">
        <f t="shared" si="24"/>
        <v>1432</v>
      </c>
      <c r="Q264" s="20">
        <f t="shared" si="20"/>
        <v>0</v>
      </c>
    </row>
    <row r="265" spans="2:17" ht="12.95" customHeight="1" x14ac:dyDescent="0.2">
      <c r="B265" s="22">
        <v>44458</v>
      </c>
      <c r="C265" s="41">
        <v>16228335</v>
      </c>
      <c r="D265" s="24">
        <v>4927297</v>
      </c>
      <c r="E265" s="25">
        <v>222866</v>
      </c>
      <c r="F265" s="26">
        <v>618171</v>
      </c>
      <c r="G265" s="27">
        <v>273612</v>
      </c>
      <c r="H265" s="28">
        <f t="shared" si="23"/>
        <v>0</v>
      </c>
      <c r="I265" s="28">
        <f t="shared" si="23"/>
        <v>949</v>
      </c>
      <c r="J265" s="28">
        <f t="shared" si="23"/>
        <v>321</v>
      </c>
      <c r="K265" s="28">
        <f t="shared" si="23"/>
        <v>212</v>
      </c>
      <c r="L265" s="29">
        <f t="shared" si="23"/>
        <v>112</v>
      </c>
      <c r="M265" s="30">
        <f t="shared" si="24"/>
        <v>1482</v>
      </c>
      <c r="Q265" s="20">
        <f t="shared" si="20"/>
        <v>0</v>
      </c>
    </row>
    <row r="266" spans="2:17" ht="12.95" customHeight="1" thickBot="1" x14ac:dyDescent="0.25">
      <c r="B266" s="22">
        <v>44459</v>
      </c>
      <c r="C266" s="41">
        <v>16228335</v>
      </c>
      <c r="D266" s="24">
        <v>4928236</v>
      </c>
      <c r="E266" s="25">
        <v>223043</v>
      </c>
      <c r="F266" s="26">
        <v>618389</v>
      </c>
      <c r="G266" s="27">
        <v>273899</v>
      </c>
      <c r="H266" s="28">
        <f t="shared" si="23"/>
        <v>0</v>
      </c>
      <c r="I266" s="28">
        <f t="shared" si="23"/>
        <v>939</v>
      </c>
      <c r="J266" s="28">
        <f t="shared" si="23"/>
        <v>177</v>
      </c>
      <c r="K266" s="28">
        <f t="shared" si="23"/>
        <v>218</v>
      </c>
      <c r="L266" s="29">
        <f t="shared" si="23"/>
        <v>287</v>
      </c>
      <c r="M266" s="30">
        <f t="shared" si="24"/>
        <v>1334</v>
      </c>
      <c r="Q266" s="20">
        <f t="shared" si="20"/>
        <v>0</v>
      </c>
    </row>
    <row r="267" spans="2:17" ht="12.95" customHeight="1" x14ac:dyDescent="0.2">
      <c r="B267" s="22">
        <v>44460</v>
      </c>
      <c r="C267" s="41">
        <v>16228335</v>
      </c>
      <c r="D267" s="24">
        <v>4929382</v>
      </c>
      <c r="E267" s="25">
        <v>223228</v>
      </c>
      <c r="F267" s="26">
        <v>618595</v>
      </c>
      <c r="G267" s="27">
        <v>274130</v>
      </c>
      <c r="H267" s="28">
        <f t="shared" si="23"/>
        <v>0</v>
      </c>
      <c r="I267" s="28">
        <f t="shared" si="23"/>
        <v>1146</v>
      </c>
      <c r="J267" s="28">
        <f t="shared" si="23"/>
        <v>185</v>
      </c>
      <c r="K267" s="28">
        <f t="shared" si="23"/>
        <v>206</v>
      </c>
      <c r="L267" s="29">
        <f t="shared" si="23"/>
        <v>231</v>
      </c>
      <c r="M267" s="30">
        <f t="shared" si="24"/>
        <v>1537</v>
      </c>
      <c r="N267" s="198" t="s">
        <v>21</v>
      </c>
      <c r="O267" s="198" t="s">
        <v>22</v>
      </c>
      <c r="Q267" s="20">
        <f t="shared" si="20"/>
        <v>0</v>
      </c>
    </row>
    <row r="268" spans="2:17" ht="12.95" customHeight="1" x14ac:dyDescent="0.2">
      <c r="B268" s="22">
        <v>44461</v>
      </c>
      <c r="C268" s="41">
        <v>16228335</v>
      </c>
      <c r="D268" s="24">
        <v>4930670</v>
      </c>
      <c r="E268" s="25">
        <v>223451</v>
      </c>
      <c r="F268" s="26">
        <v>618786</v>
      </c>
      <c r="G268" s="27">
        <v>274340</v>
      </c>
      <c r="H268" s="28">
        <f t="shared" si="23"/>
        <v>0</v>
      </c>
      <c r="I268" s="28">
        <f t="shared" si="23"/>
        <v>1288</v>
      </c>
      <c r="J268" s="28">
        <f t="shared" si="23"/>
        <v>223</v>
      </c>
      <c r="K268" s="28">
        <f t="shared" si="23"/>
        <v>191</v>
      </c>
      <c r="L268" s="29">
        <f t="shared" si="23"/>
        <v>210</v>
      </c>
      <c r="M268" s="30">
        <f t="shared" si="24"/>
        <v>1702</v>
      </c>
      <c r="N268" s="199"/>
      <c r="O268" s="199"/>
      <c r="Q268" s="20">
        <f t="shared" si="20"/>
        <v>0</v>
      </c>
    </row>
    <row r="269" spans="2:17" ht="12.95" customHeight="1" thickBot="1" x14ac:dyDescent="0.25">
      <c r="B269" s="22">
        <v>44462</v>
      </c>
      <c r="C269" s="41">
        <v>16228335</v>
      </c>
      <c r="D269" s="24">
        <v>4931983</v>
      </c>
      <c r="E269" s="25">
        <v>223670</v>
      </c>
      <c r="F269" s="26">
        <v>618988</v>
      </c>
      <c r="G269" s="27">
        <v>274576</v>
      </c>
      <c r="H269" s="28">
        <f t="shared" si="23"/>
        <v>0</v>
      </c>
      <c r="I269" s="28">
        <f t="shared" si="23"/>
        <v>1313</v>
      </c>
      <c r="J269" s="28">
        <f t="shared" si="23"/>
        <v>219</v>
      </c>
      <c r="K269" s="28">
        <f t="shared" si="23"/>
        <v>202</v>
      </c>
      <c r="L269" s="29">
        <f t="shared" si="23"/>
        <v>236</v>
      </c>
      <c r="M269" s="30">
        <f t="shared" si="24"/>
        <v>1734</v>
      </c>
      <c r="N269" s="200"/>
      <c r="O269" s="200"/>
      <c r="Q269" s="20">
        <f t="shared" si="20"/>
        <v>0</v>
      </c>
    </row>
    <row r="270" spans="2:17" ht="12.95" customHeight="1" thickBot="1" x14ac:dyDescent="0.25">
      <c r="B270" s="22">
        <v>44463</v>
      </c>
      <c r="C270" s="41">
        <v>16228335</v>
      </c>
      <c r="D270" s="24">
        <v>4933135</v>
      </c>
      <c r="E270" s="25">
        <v>223901</v>
      </c>
      <c r="F270" s="26">
        <v>619202</v>
      </c>
      <c r="G270" s="27">
        <v>274777</v>
      </c>
      <c r="H270" s="28">
        <f t="shared" si="23"/>
        <v>0</v>
      </c>
      <c r="I270" s="28">
        <f t="shared" si="23"/>
        <v>1152</v>
      </c>
      <c r="J270" s="28">
        <f t="shared" si="23"/>
        <v>231</v>
      </c>
      <c r="K270" s="28">
        <f t="shared" si="23"/>
        <v>214</v>
      </c>
      <c r="L270" s="29">
        <f t="shared" si="23"/>
        <v>201</v>
      </c>
      <c r="M270" s="30">
        <f t="shared" si="24"/>
        <v>1597</v>
      </c>
      <c r="N270" s="32">
        <f>SUM(L248:L277)</f>
        <v>7065</v>
      </c>
      <c r="O270" s="32">
        <f>SUM(M248:M277)</f>
        <v>47115</v>
      </c>
      <c r="Q270" s="20">
        <f t="shared" si="20"/>
        <v>0</v>
      </c>
    </row>
    <row r="271" spans="2:17" ht="12.95" customHeight="1" x14ac:dyDescent="0.2">
      <c r="B271" s="22">
        <v>44464</v>
      </c>
      <c r="C271" s="41">
        <v>16228335</v>
      </c>
      <c r="D271" s="24">
        <v>4934543</v>
      </c>
      <c r="E271" s="25">
        <v>224131</v>
      </c>
      <c r="F271" s="26">
        <v>619414</v>
      </c>
      <c r="G271" s="27">
        <v>275004</v>
      </c>
      <c r="H271" s="28">
        <f t="shared" si="23"/>
        <v>0</v>
      </c>
      <c r="I271" s="28">
        <f t="shared" si="23"/>
        <v>1408</v>
      </c>
      <c r="J271" s="28">
        <f t="shared" si="23"/>
        <v>230</v>
      </c>
      <c r="K271" s="28">
        <f t="shared" si="23"/>
        <v>212</v>
      </c>
      <c r="L271" s="29">
        <f t="shared" si="23"/>
        <v>227</v>
      </c>
      <c r="M271" s="30">
        <f t="shared" si="24"/>
        <v>1850</v>
      </c>
      <c r="N271" s="198" t="s">
        <v>23</v>
      </c>
      <c r="O271" s="198" t="s">
        <v>24</v>
      </c>
      <c r="Q271" s="20">
        <f t="shared" si="20"/>
        <v>0</v>
      </c>
    </row>
    <row r="272" spans="2:17" ht="12.95" customHeight="1" thickBot="1" x14ac:dyDescent="0.25">
      <c r="B272" s="22">
        <v>44465</v>
      </c>
      <c r="C272" s="41">
        <v>16228335</v>
      </c>
      <c r="D272" s="24">
        <v>4935687</v>
      </c>
      <c r="E272" s="25">
        <v>224371</v>
      </c>
      <c r="F272" s="26">
        <v>619631</v>
      </c>
      <c r="G272" s="27">
        <v>275254</v>
      </c>
      <c r="H272" s="28">
        <f t="shared" si="23"/>
        <v>0</v>
      </c>
      <c r="I272" s="28">
        <f t="shared" si="23"/>
        <v>1144</v>
      </c>
      <c r="J272" s="28">
        <f t="shared" si="23"/>
        <v>240</v>
      </c>
      <c r="K272" s="28">
        <f t="shared" si="23"/>
        <v>217</v>
      </c>
      <c r="L272" s="29">
        <f t="shared" si="23"/>
        <v>250</v>
      </c>
      <c r="M272" s="30">
        <f t="shared" si="24"/>
        <v>1601</v>
      </c>
      <c r="N272" s="200"/>
      <c r="O272" s="200"/>
      <c r="Q272" s="20">
        <f t="shared" si="20"/>
        <v>0</v>
      </c>
    </row>
    <row r="273" spans="2:17" ht="12.95" customHeight="1" thickBot="1" x14ac:dyDescent="0.25">
      <c r="B273" s="22">
        <v>44466</v>
      </c>
      <c r="C273" s="41">
        <v>16228335</v>
      </c>
      <c r="D273" s="24">
        <v>4936807</v>
      </c>
      <c r="E273" s="25">
        <v>224614</v>
      </c>
      <c r="F273" s="26">
        <v>619856</v>
      </c>
      <c r="G273" s="27">
        <v>275529</v>
      </c>
      <c r="H273" s="28">
        <f t="shared" si="23"/>
        <v>0</v>
      </c>
      <c r="I273" s="28">
        <f t="shared" si="23"/>
        <v>1120</v>
      </c>
      <c r="J273" s="28">
        <f t="shared" si="23"/>
        <v>243</v>
      </c>
      <c r="K273" s="28">
        <f t="shared" si="23"/>
        <v>225</v>
      </c>
      <c r="L273" s="29">
        <f t="shared" si="23"/>
        <v>275</v>
      </c>
      <c r="M273" s="30">
        <f t="shared" si="24"/>
        <v>1588</v>
      </c>
      <c r="N273" s="32">
        <f>AVERAGE(L248:L277)</f>
        <v>235.5</v>
      </c>
      <c r="O273" s="32">
        <f>AVERAGE(M248:M277)</f>
        <v>1570.5</v>
      </c>
      <c r="Q273" s="20">
        <f t="shared" si="20"/>
        <v>0</v>
      </c>
    </row>
    <row r="274" spans="2:17" ht="12.95" customHeight="1" x14ac:dyDescent="0.2">
      <c r="B274" s="22">
        <v>44467</v>
      </c>
      <c r="C274" s="41">
        <v>16228335</v>
      </c>
      <c r="D274" s="24">
        <v>4937963</v>
      </c>
      <c r="E274" s="25">
        <v>224841</v>
      </c>
      <c r="F274" s="26">
        <v>620052</v>
      </c>
      <c r="G274" s="27">
        <v>275750</v>
      </c>
      <c r="H274" s="28">
        <f t="shared" si="23"/>
        <v>0</v>
      </c>
      <c r="I274" s="28">
        <f t="shared" si="23"/>
        <v>1156</v>
      </c>
      <c r="J274" s="28">
        <f t="shared" si="23"/>
        <v>227</v>
      </c>
      <c r="K274" s="28">
        <f t="shared" si="23"/>
        <v>196</v>
      </c>
      <c r="L274" s="29">
        <f t="shared" si="23"/>
        <v>221</v>
      </c>
      <c r="M274" s="30">
        <f t="shared" si="24"/>
        <v>1579</v>
      </c>
      <c r="O274" s="20">
        <f>IF(L274="",1,0)</f>
        <v>0</v>
      </c>
    </row>
    <row r="275" spans="2:17" ht="12.95" customHeight="1" x14ac:dyDescent="0.2">
      <c r="B275" s="22">
        <v>44468</v>
      </c>
      <c r="C275" s="41">
        <v>16228335</v>
      </c>
      <c r="D275" s="24">
        <v>4939293</v>
      </c>
      <c r="E275" s="25">
        <v>225089</v>
      </c>
      <c r="F275" s="26">
        <v>620253</v>
      </c>
      <c r="G275" s="27">
        <v>276016</v>
      </c>
      <c r="H275" s="28">
        <f t="shared" si="23"/>
        <v>0</v>
      </c>
      <c r="I275" s="28">
        <f t="shared" si="23"/>
        <v>1330</v>
      </c>
      <c r="J275" s="28">
        <f t="shared" si="23"/>
        <v>248</v>
      </c>
      <c r="K275" s="28">
        <f t="shared" si="23"/>
        <v>201</v>
      </c>
      <c r="L275" s="29">
        <f t="shared" si="23"/>
        <v>266</v>
      </c>
      <c r="M275" s="30">
        <f t="shared" si="24"/>
        <v>1779</v>
      </c>
      <c r="O275" s="20">
        <f>IF(L275="",1,0)</f>
        <v>0</v>
      </c>
    </row>
    <row r="276" spans="2:17" ht="12.95" customHeight="1" x14ac:dyDescent="0.2">
      <c r="B276" s="22">
        <v>44469</v>
      </c>
      <c r="C276" s="41">
        <v>16228335</v>
      </c>
      <c r="D276" s="24">
        <v>4940538</v>
      </c>
      <c r="E276" s="25">
        <v>225319</v>
      </c>
      <c r="F276" s="26">
        <v>620458</v>
      </c>
      <c r="G276" s="27">
        <v>276197</v>
      </c>
      <c r="H276" s="28">
        <f t="shared" si="23"/>
        <v>0</v>
      </c>
      <c r="I276" s="28">
        <f t="shared" si="23"/>
        <v>1245</v>
      </c>
      <c r="J276" s="28">
        <f t="shared" si="23"/>
        <v>230</v>
      </c>
      <c r="K276" s="28">
        <f t="shared" si="23"/>
        <v>205</v>
      </c>
      <c r="L276" s="29">
        <f t="shared" si="23"/>
        <v>181</v>
      </c>
      <c r="M276" s="30">
        <f t="shared" si="24"/>
        <v>1680</v>
      </c>
      <c r="O276" s="20">
        <f>IF(L276="",1,0)</f>
        <v>0</v>
      </c>
    </row>
    <row r="277" spans="2:17" ht="12.95" customHeight="1" x14ac:dyDescent="0.2">
      <c r="B277" s="22">
        <v>44470</v>
      </c>
      <c r="C277" s="41">
        <v>16228335</v>
      </c>
      <c r="D277" s="34">
        <v>4941930</v>
      </c>
      <c r="E277" s="34">
        <v>225559</v>
      </c>
      <c r="F277" s="34">
        <v>620648</v>
      </c>
      <c r="G277" s="34">
        <v>276467</v>
      </c>
      <c r="H277" s="35">
        <f t="shared" si="23"/>
        <v>0</v>
      </c>
      <c r="I277" s="39">
        <f t="shared" si="23"/>
        <v>1392</v>
      </c>
      <c r="J277" s="35">
        <f t="shared" si="23"/>
        <v>240</v>
      </c>
      <c r="K277" s="35">
        <f t="shared" si="23"/>
        <v>190</v>
      </c>
      <c r="L277" s="36">
        <f t="shared" si="23"/>
        <v>270</v>
      </c>
      <c r="M277" s="35">
        <f t="shared" si="24"/>
        <v>1822</v>
      </c>
      <c r="Q277" s="20">
        <f t="shared" si="20"/>
        <v>0</v>
      </c>
    </row>
    <row r="278" spans="2:17" ht="12.95" customHeight="1" x14ac:dyDescent="0.2">
      <c r="B278" s="22">
        <v>44471</v>
      </c>
      <c r="C278" s="41">
        <v>16228335</v>
      </c>
      <c r="D278" s="24">
        <v>4943461</v>
      </c>
      <c r="E278" s="25">
        <v>225771</v>
      </c>
      <c r="F278" s="26">
        <v>620847</v>
      </c>
      <c r="G278" s="27">
        <v>276691</v>
      </c>
      <c r="H278" s="28">
        <f>IF(C278="","",+(C278-C277))</f>
        <v>0</v>
      </c>
      <c r="I278" s="28">
        <f t="shared" si="23"/>
        <v>1531</v>
      </c>
      <c r="J278" s="28">
        <f t="shared" si="23"/>
        <v>212</v>
      </c>
      <c r="K278" s="28">
        <f t="shared" si="23"/>
        <v>199</v>
      </c>
      <c r="L278" s="29">
        <f t="shared" si="23"/>
        <v>224</v>
      </c>
      <c r="M278" s="30">
        <f t="shared" si="24"/>
        <v>1942</v>
      </c>
      <c r="Q278" s="20">
        <f t="shared" si="20"/>
        <v>0</v>
      </c>
    </row>
    <row r="279" spans="2:17" ht="12.95" customHeight="1" x14ac:dyDescent="0.2">
      <c r="B279" s="22">
        <v>44472</v>
      </c>
      <c r="C279" s="41">
        <v>16228335</v>
      </c>
      <c r="D279" s="24">
        <v>4944830</v>
      </c>
      <c r="E279" s="25">
        <v>226101</v>
      </c>
      <c r="F279" s="26">
        <v>621067</v>
      </c>
      <c r="G279" s="27">
        <v>276883</v>
      </c>
      <c r="H279" s="28">
        <f t="shared" si="23"/>
        <v>0</v>
      </c>
      <c r="I279" s="28">
        <f t="shared" si="23"/>
        <v>1369</v>
      </c>
      <c r="J279" s="28">
        <f t="shared" si="23"/>
        <v>330</v>
      </c>
      <c r="K279" s="28">
        <f t="shared" si="23"/>
        <v>220</v>
      </c>
      <c r="L279" s="29">
        <f t="shared" si="23"/>
        <v>192</v>
      </c>
      <c r="M279" s="30">
        <f t="shared" si="24"/>
        <v>1919</v>
      </c>
      <c r="Q279" s="20">
        <f t="shared" si="20"/>
        <v>0</v>
      </c>
    </row>
    <row r="280" spans="2:17" ht="12.95" customHeight="1" x14ac:dyDescent="0.2">
      <c r="B280" s="22">
        <v>44473</v>
      </c>
      <c r="C280" s="41">
        <v>16228335</v>
      </c>
      <c r="D280" s="24">
        <v>4946098</v>
      </c>
      <c r="E280" s="25">
        <v>226240</v>
      </c>
      <c r="F280" s="26">
        <v>621282</v>
      </c>
      <c r="G280" s="27">
        <v>277083</v>
      </c>
      <c r="H280" s="28">
        <f t="shared" si="23"/>
        <v>0</v>
      </c>
      <c r="I280" s="28">
        <f t="shared" si="23"/>
        <v>1268</v>
      </c>
      <c r="J280" s="28">
        <f t="shared" si="23"/>
        <v>139</v>
      </c>
      <c r="K280" s="28">
        <f t="shared" si="23"/>
        <v>215</v>
      </c>
      <c r="L280" s="29">
        <f t="shared" si="23"/>
        <v>200</v>
      </c>
      <c r="M280" s="30">
        <f t="shared" si="24"/>
        <v>1622</v>
      </c>
      <c r="Q280" s="20">
        <f t="shared" ref="Q280:Q343" si="25">IF(L280="",1,0)</f>
        <v>0</v>
      </c>
    </row>
    <row r="281" spans="2:17" ht="12.95" customHeight="1" x14ac:dyDescent="0.2">
      <c r="B281" s="22">
        <v>44474</v>
      </c>
      <c r="C281" s="41">
        <v>16228335</v>
      </c>
      <c r="D281" s="24">
        <v>4947408</v>
      </c>
      <c r="E281" s="25">
        <v>226444</v>
      </c>
      <c r="F281" s="26">
        <v>621478</v>
      </c>
      <c r="G281" s="27">
        <v>277287</v>
      </c>
      <c r="H281" s="28">
        <f t="shared" si="23"/>
        <v>0</v>
      </c>
      <c r="I281" s="28">
        <f t="shared" si="23"/>
        <v>1310</v>
      </c>
      <c r="J281" s="28">
        <f t="shared" si="23"/>
        <v>204</v>
      </c>
      <c r="K281" s="28">
        <f t="shared" si="23"/>
        <v>196</v>
      </c>
      <c r="L281" s="29">
        <f t="shared" si="23"/>
        <v>204</v>
      </c>
      <c r="M281" s="30">
        <f t="shared" si="24"/>
        <v>1710</v>
      </c>
      <c r="Q281" s="20">
        <f t="shared" si="25"/>
        <v>0</v>
      </c>
    </row>
    <row r="282" spans="2:17" ht="12.95" customHeight="1" x14ac:dyDescent="0.2">
      <c r="B282" s="22">
        <v>44475</v>
      </c>
      <c r="C282" s="41">
        <v>16228335</v>
      </c>
      <c r="D282" s="24">
        <v>4948841</v>
      </c>
      <c r="E282" s="25">
        <v>226663</v>
      </c>
      <c r="F282" s="26">
        <v>621658</v>
      </c>
      <c r="G282" s="27">
        <v>277517</v>
      </c>
      <c r="H282" s="28">
        <f t="shared" si="23"/>
        <v>0</v>
      </c>
      <c r="I282" s="28">
        <f t="shared" si="23"/>
        <v>1433</v>
      </c>
      <c r="J282" s="28">
        <f t="shared" si="23"/>
        <v>219</v>
      </c>
      <c r="K282" s="28">
        <f t="shared" si="23"/>
        <v>180</v>
      </c>
      <c r="L282" s="29">
        <f t="shared" si="23"/>
        <v>230</v>
      </c>
      <c r="M282" s="30">
        <f t="shared" si="24"/>
        <v>1832</v>
      </c>
      <c r="Q282" s="20">
        <f t="shared" si="25"/>
        <v>0</v>
      </c>
    </row>
    <row r="283" spans="2:17" ht="12.95" customHeight="1" x14ac:dyDescent="0.2">
      <c r="B283" s="22">
        <v>44476</v>
      </c>
      <c r="C283" s="41">
        <v>16228335</v>
      </c>
      <c r="D283" s="24">
        <v>4950158</v>
      </c>
      <c r="E283" s="25">
        <v>226885</v>
      </c>
      <c r="F283" s="26">
        <v>621847</v>
      </c>
      <c r="G283" s="27">
        <v>277726</v>
      </c>
      <c r="H283" s="28">
        <f>IF(C283="","",+(C283-C282))</f>
        <v>0</v>
      </c>
      <c r="I283" s="28">
        <f t="shared" si="23"/>
        <v>1317</v>
      </c>
      <c r="J283" s="28">
        <f t="shared" si="23"/>
        <v>222</v>
      </c>
      <c r="K283" s="28">
        <f t="shared" si="23"/>
        <v>189</v>
      </c>
      <c r="L283" s="29">
        <f t="shared" si="23"/>
        <v>209</v>
      </c>
      <c r="M283" s="30">
        <f t="shared" si="24"/>
        <v>1728</v>
      </c>
      <c r="Q283" s="20">
        <f t="shared" si="25"/>
        <v>0</v>
      </c>
    </row>
    <row r="284" spans="2:17" ht="12.95" customHeight="1" x14ac:dyDescent="0.2">
      <c r="B284" s="22">
        <v>44477</v>
      </c>
      <c r="C284" s="41">
        <v>16228335</v>
      </c>
      <c r="D284" s="24">
        <v>4951475</v>
      </c>
      <c r="E284" s="25">
        <v>227085</v>
      </c>
      <c r="F284" s="26">
        <v>622042</v>
      </c>
      <c r="G284" s="27">
        <v>277914</v>
      </c>
      <c r="H284" s="28">
        <f t="shared" si="23"/>
        <v>0</v>
      </c>
      <c r="I284" s="28">
        <f t="shared" si="23"/>
        <v>1317</v>
      </c>
      <c r="J284" s="28">
        <f t="shared" si="23"/>
        <v>200</v>
      </c>
      <c r="K284" s="28">
        <f t="shared" si="23"/>
        <v>195</v>
      </c>
      <c r="L284" s="29">
        <f t="shared" si="23"/>
        <v>188</v>
      </c>
      <c r="M284" s="30">
        <f t="shared" si="24"/>
        <v>1712</v>
      </c>
      <c r="Q284" s="20">
        <f t="shared" si="25"/>
        <v>0</v>
      </c>
    </row>
    <row r="285" spans="2:17" ht="12.95" customHeight="1" x14ac:dyDescent="0.2">
      <c r="B285" s="22">
        <v>44478</v>
      </c>
      <c r="C285" s="41">
        <v>16228335</v>
      </c>
      <c r="D285" s="24">
        <v>4952970</v>
      </c>
      <c r="E285" s="25">
        <v>227299</v>
      </c>
      <c r="F285" s="26">
        <v>622353</v>
      </c>
      <c r="G285" s="27">
        <v>278099</v>
      </c>
      <c r="H285" s="28">
        <f t="shared" si="23"/>
        <v>0</v>
      </c>
      <c r="I285" s="28">
        <f t="shared" si="23"/>
        <v>1495</v>
      </c>
      <c r="J285" s="28">
        <f t="shared" si="23"/>
        <v>214</v>
      </c>
      <c r="K285" s="28">
        <f t="shared" si="23"/>
        <v>311</v>
      </c>
      <c r="L285" s="29">
        <f t="shared" si="23"/>
        <v>185</v>
      </c>
      <c r="M285" s="30">
        <f t="shared" si="24"/>
        <v>2020</v>
      </c>
      <c r="Q285" s="20">
        <f t="shared" si="25"/>
        <v>0</v>
      </c>
    </row>
    <row r="286" spans="2:17" ht="12.95" customHeight="1" x14ac:dyDescent="0.2">
      <c r="B286" s="22">
        <v>44479</v>
      </c>
      <c r="C286" s="41">
        <v>16228335</v>
      </c>
      <c r="D286" s="24">
        <v>4954337</v>
      </c>
      <c r="E286" s="25">
        <v>227501</v>
      </c>
      <c r="F286" s="26">
        <v>622453</v>
      </c>
      <c r="G286" s="27">
        <v>278267</v>
      </c>
      <c r="H286" s="28">
        <f t="shared" si="23"/>
        <v>0</v>
      </c>
      <c r="I286" s="28">
        <f t="shared" si="23"/>
        <v>1367</v>
      </c>
      <c r="J286" s="28">
        <f t="shared" si="23"/>
        <v>202</v>
      </c>
      <c r="K286" s="28">
        <f t="shared" si="23"/>
        <v>100</v>
      </c>
      <c r="L286" s="29">
        <f t="shared" si="23"/>
        <v>168</v>
      </c>
      <c r="M286" s="30">
        <f t="shared" si="24"/>
        <v>1669</v>
      </c>
      <c r="Q286" s="20">
        <f t="shared" si="25"/>
        <v>0</v>
      </c>
    </row>
    <row r="287" spans="2:17" ht="12.95" customHeight="1" x14ac:dyDescent="0.2">
      <c r="B287" s="22">
        <v>44480</v>
      </c>
      <c r="C287" s="41">
        <v>16228335</v>
      </c>
      <c r="D287" s="24">
        <v>4955645</v>
      </c>
      <c r="E287" s="25">
        <v>227700</v>
      </c>
      <c r="F287" s="26">
        <v>622664</v>
      </c>
      <c r="G287" s="27">
        <v>278432</v>
      </c>
      <c r="H287" s="28">
        <f t="shared" si="23"/>
        <v>0</v>
      </c>
      <c r="I287" s="28">
        <f t="shared" si="23"/>
        <v>1308</v>
      </c>
      <c r="J287" s="28">
        <f t="shared" si="23"/>
        <v>199</v>
      </c>
      <c r="K287" s="28">
        <f t="shared" si="23"/>
        <v>211</v>
      </c>
      <c r="L287" s="29">
        <f t="shared" si="23"/>
        <v>165</v>
      </c>
      <c r="M287" s="30">
        <f t="shared" si="24"/>
        <v>1718</v>
      </c>
      <c r="Q287" s="20">
        <f t="shared" si="25"/>
        <v>0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3"/>
        <v/>
      </c>
      <c r="I288" s="28" t="str">
        <f t="shared" si="23"/>
        <v/>
      </c>
      <c r="J288" s="28" t="str">
        <f t="shared" si="23"/>
        <v/>
      </c>
      <c r="K288" s="28" t="str">
        <f t="shared" si="23"/>
        <v/>
      </c>
      <c r="L288" s="29" t="str">
        <f t="shared" si="23"/>
        <v/>
      </c>
      <c r="M288" s="30" t="str">
        <f t="shared" si="24"/>
        <v/>
      </c>
      <c r="Q288" s="20">
        <f t="shared" si="25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3"/>
        <v/>
      </c>
      <c r="I289" s="28" t="str">
        <f t="shared" si="23"/>
        <v/>
      </c>
      <c r="J289" s="28" t="str">
        <f t="shared" si="23"/>
        <v/>
      </c>
      <c r="K289" s="28" t="str">
        <f t="shared" si="23"/>
        <v/>
      </c>
      <c r="L289" s="29" t="str">
        <f t="shared" si="23"/>
        <v/>
      </c>
      <c r="M289" s="30" t="str">
        <f t="shared" si="24"/>
        <v/>
      </c>
      <c r="Q289" s="20">
        <f t="shared" si="25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3"/>
        <v/>
      </c>
      <c r="I290" s="28" t="str">
        <f t="shared" si="23"/>
        <v/>
      </c>
      <c r="J290" s="28" t="str">
        <f t="shared" si="23"/>
        <v/>
      </c>
      <c r="K290" s="28" t="str">
        <f t="shared" si="23"/>
        <v/>
      </c>
      <c r="L290" s="29" t="str">
        <f t="shared" si="23"/>
        <v/>
      </c>
      <c r="M290" s="30" t="str">
        <f t="shared" si="24"/>
        <v/>
      </c>
      <c r="Q290" s="20">
        <f t="shared" si="25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3"/>
        <v/>
      </c>
      <c r="I291" s="28" t="str">
        <f t="shared" si="23"/>
        <v/>
      </c>
      <c r="J291" s="28" t="str">
        <f t="shared" si="23"/>
        <v/>
      </c>
      <c r="K291" s="28" t="str">
        <f t="shared" si="23"/>
        <v/>
      </c>
      <c r="L291" s="29" t="str">
        <f t="shared" si="23"/>
        <v/>
      </c>
      <c r="M291" s="30" t="str">
        <f t="shared" si="24"/>
        <v/>
      </c>
      <c r="Q291" s="20">
        <f t="shared" si="25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3"/>
        <v/>
      </c>
      <c r="I292" s="28" t="str">
        <f t="shared" si="23"/>
        <v/>
      </c>
      <c r="J292" s="28" t="str">
        <f t="shared" si="23"/>
        <v/>
      </c>
      <c r="K292" s="28" t="str">
        <f t="shared" si="23"/>
        <v/>
      </c>
      <c r="L292" s="29" t="str">
        <f t="shared" si="23"/>
        <v/>
      </c>
      <c r="M292" s="30" t="str">
        <f t="shared" si="24"/>
        <v/>
      </c>
      <c r="Q292" s="20">
        <f t="shared" si="25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3"/>
        <v/>
      </c>
      <c r="I293" s="28" t="str">
        <f t="shared" si="23"/>
        <v/>
      </c>
      <c r="J293" s="28" t="str">
        <f t="shared" si="23"/>
        <v/>
      </c>
      <c r="K293" s="28" t="str">
        <f t="shared" si="23"/>
        <v/>
      </c>
      <c r="L293" s="29" t="str">
        <f t="shared" si="23"/>
        <v/>
      </c>
      <c r="M293" s="30" t="str">
        <f t="shared" si="24"/>
        <v/>
      </c>
      <c r="Q293" s="20">
        <f t="shared" si="25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3"/>
        <v/>
      </c>
      <c r="I294" s="28" t="str">
        <f t="shared" si="23"/>
        <v/>
      </c>
      <c r="J294" s="28" t="str">
        <f t="shared" si="23"/>
        <v/>
      </c>
      <c r="K294" s="28" t="str">
        <f t="shared" si="23"/>
        <v/>
      </c>
      <c r="L294" s="29" t="str">
        <f t="shared" si="23"/>
        <v/>
      </c>
      <c r="M294" s="30" t="str">
        <f t="shared" si="24"/>
        <v/>
      </c>
      <c r="Q294" s="20">
        <f t="shared" si="25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3"/>
        <v/>
      </c>
      <c r="I295" s="28" t="str">
        <f t="shared" si="23"/>
        <v/>
      </c>
      <c r="J295" s="28" t="str">
        <f t="shared" si="23"/>
        <v/>
      </c>
      <c r="K295" s="28" t="str">
        <f t="shared" si="23"/>
        <v/>
      </c>
      <c r="L295" s="29" t="str">
        <f t="shared" si="23"/>
        <v/>
      </c>
      <c r="M295" s="30" t="str">
        <f t="shared" si="24"/>
        <v/>
      </c>
      <c r="Q295" s="20">
        <f t="shared" si="25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3"/>
        <v/>
      </c>
      <c r="I296" s="28" t="str">
        <f t="shared" si="23"/>
        <v/>
      </c>
      <c r="J296" s="28" t="str">
        <f t="shared" si="23"/>
        <v/>
      </c>
      <c r="K296" s="28" t="str">
        <f t="shared" si="23"/>
        <v/>
      </c>
      <c r="L296" s="29" t="str">
        <f t="shared" si="23"/>
        <v/>
      </c>
      <c r="M296" s="30" t="str">
        <f t="shared" si="24"/>
        <v/>
      </c>
      <c r="Q296" s="20">
        <f t="shared" si="25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3"/>
        <v/>
      </c>
      <c r="I297" s="28" t="str">
        <f t="shared" si="23"/>
        <v/>
      </c>
      <c r="J297" s="28" t="str">
        <f t="shared" si="23"/>
        <v/>
      </c>
      <c r="K297" s="28" t="str">
        <f t="shared" si="23"/>
        <v/>
      </c>
      <c r="L297" s="29" t="str">
        <f t="shared" si="23"/>
        <v/>
      </c>
      <c r="M297" s="30" t="str">
        <f t="shared" si="24"/>
        <v/>
      </c>
      <c r="Q297" s="20">
        <f t="shared" si="25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3"/>
        <v/>
      </c>
      <c r="I298" s="28" t="str">
        <f t="shared" si="23"/>
        <v/>
      </c>
      <c r="J298" s="28" t="str">
        <f t="shared" si="23"/>
        <v/>
      </c>
      <c r="K298" s="28" t="str">
        <f t="shared" si="23"/>
        <v/>
      </c>
      <c r="L298" s="29" t="str">
        <f t="shared" si="23"/>
        <v/>
      </c>
      <c r="M298" s="30" t="str">
        <f t="shared" si="24"/>
        <v/>
      </c>
      <c r="N298" s="198" t="s">
        <v>21</v>
      </c>
      <c r="O298" s="198" t="s">
        <v>22</v>
      </c>
      <c r="Q298" s="20">
        <f t="shared" si="25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3"/>
        <v/>
      </c>
      <c r="I299" s="28" t="str">
        <f t="shared" si="23"/>
        <v/>
      </c>
      <c r="J299" s="28" t="str">
        <f t="shared" si="23"/>
        <v/>
      </c>
      <c r="K299" s="28" t="str">
        <f t="shared" si="23"/>
        <v/>
      </c>
      <c r="L299" s="29" t="str">
        <f t="shared" si="23"/>
        <v/>
      </c>
      <c r="M299" s="30" t="str">
        <f t="shared" si="24"/>
        <v/>
      </c>
      <c r="N299" s="199"/>
      <c r="O299" s="199"/>
      <c r="Q299" s="20">
        <f t="shared" si="25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3"/>
        <v/>
      </c>
      <c r="I300" s="28" t="str">
        <f t="shared" si="23"/>
        <v/>
      </c>
      <c r="J300" s="28" t="str">
        <f t="shared" si="23"/>
        <v/>
      </c>
      <c r="K300" s="28" t="str">
        <f t="shared" si="23"/>
        <v/>
      </c>
      <c r="L300" s="29" t="str">
        <f t="shared" si="23"/>
        <v/>
      </c>
      <c r="M300" s="30" t="str">
        <f t="shared" si="24"/>
        <v/>
      </c>
      <c r="N300" s="200"/>
      <c r="O300" s="200"/>
      <c r="Q300" s="20">
        <f t="shared" si="25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3"/>
        <v/>
      </c>
      <c r="J301" s="28" t="str">
        <f t="shared" si="23"/>
        <v/>
      </c>
      <c r="K301" s="28" t="str">
        <f t="shared" si="23"/>
        <v/>
      </c>
      <c r="L301" s="29" t="str">
        <f t="shared" si="23"/>
        <v/>
      </c>
      <c r="M301" s="30" t="str">
        <f t="shared" si="24"/>
        <v/>
      </c>
      <c r="N301" s="32">
        <f>SUM(L278:L308)</f>
        <v>1965</v>
      </c>
      <c r="O301" s="32">
        <f>SUM(M278:M308)</f>
        <v>17872</v>
      </c>
      <c r="Q301" s="20">
        <f t="shared" si="25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3"/>
        <v/>
      </c>
      <c r="I302" s="28" t="str">
        <f t="shared" si="23"/>
        <v/>
      </c>
      <c r="J302" s="28" t="str">
        <f t="shared" si="23"/>
        <v/>
      </c>
      <c r="K302" s="28" t="str">
        <f t="shared" si="23"/>
        <v/>
      </c>
      <c r="L302" s="29" t="str">
        <f t="shared" si="23"/>
        <v/>
      </c>
      <c r="M302" s="30" t="str">
        <f t="shared" si="24"/>
        <v/>
      </c>
      <c r="N302" s="198" t="s">
        <v>23</v>
      </c>
      <c r="O302" s="198" t="s">
        <v>24</v>
      </c>
      <c r="Q302" s="20">
        <f t="shared" si="25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3"/>
        <v/>
      </c>
      <c r="I303" s="28" t="str">
        <f t="shared" si="23"/>
        <v/>
      </c>
      <c r="J303" s="28" t="str">
        <f t="shared" si="23"/>
        <v/>
      </c>
      <c r="K303" s="28" t="str">
        <f t="shared" si="23"/>
        <v/>
      </c>
      <c r="L303" s="29" t="str">
        <f t="shared" si="23"/>
        <v/>
      </c>
      <c r="M303" s="30" t="str">
        <f t="shared" si="24"/>
        <v/>
      </c>
      <c r="N303" s="200"/>
      <c r="O303" s="200"/>
      <c r="Q303" s="20">
        <f t="shared" si="25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3"/>
        <v/>
      </c>
      <c r="I304" s="28" t="str">
        <f t="shared" si="23"/>
        <v/>
      </c>
      <c r="J304" s="28" t="str">
        <f t="shared" si="23"/>
        <v/>
      </c>
      <c r="K304" s="28" t="str">
        <f t="shared" si="23"/>
        <v/>
      </c>
      <c r="L304" s="29" t="str">
        <f t="shared" si="23"/>
        <v/>
      </c>
      <c r="M304" s="30" t="str">
        <f t="shared" si="24"/>
        <v/>
      </c>
      <c r="N304" s="32">
        <f>AVERAGE(L278:L308)</f>
        <v>196.5</v>
      </c>
      <c r="O304" s="32">
        <f>AVERAGE(M278:M308)</f>
        <v>1787.2</v>
      </c>
      <c r="Q304" s="20">
        <f t="shared" si="25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3"/>
        <v/>
      </c>
      <c r="I305" s="28" t="str">
        <f t="shared" si="23"/>
        <v/>
      </c>
      <c r="J305" s="28" t="str">
        <f t="shared" si="23"/>
        <v/>
      </c>
      <c r="K305" s="28" t="str">
        <f t="shared" si="23"/>
        <v/>
      </c>
      <c r="L305" s="29" t="str">
        <f t="shared" si="23"/>
        <v/>
      </c>
      <c r="M305" s="30" t="str">
        <f t="shared" si="24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3"/>
        <v/>
      </c>
      <c r="I306" s="28" t="str">
        <f t="shared" si="23"/>
        <v/>
      </c>
      <c r="J306" s="28" t="str">
        <f t="shared" si="23"/>
        <v/>
      </c>
      <c r="K306" s="28" t="str">
        <f t="shared" si="23"/>
        <v/>
      </c>
      <c r="L306" s="29" t="str">
        <f t="shared" si="23"/>
        <v/>
      </c>
      <c r="M306" s="30" t="str">
        <f t="shared" si="24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3"/>
        <v/>
      </c>
      <c r="I307" s="28" t="str">
        <f t="shared" si="23"/>
        <v/>
      </c>
      <c r="J307" s="28" t="str">
        <f t="shared" si="23"/>
        <v/>
      </c>
      <c r="K307" s="28" t="str">
        <f t="shared" si="23"/>
        <v/>
      </c>
      <c r="L307" s="29" t="str">
        <f t="shared" si="23"/>
        <v/>
      </c>
      <c r="M307" s="30" t="str">
        <f t="shared" si="24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3"/>
        <v/>
      </c>
      <c r="I308" s="39" t="str">
        <f t="shared" si="23"/>
        <v/>
      </c>
      <c r="J308" s="35" t="str">
        <f t="shared" si="23"/>
        <v/>
      </c>
      <c r="K308" s="35" t="str">
        <f t="shared" si="23"/>
        <v/>
      </c>
      <c r="L308" s="36" t="str">
        <f t="shared" si="23"/>
        <v/>
      </c>
      <c r="M308" s="35" t="str">
        <f t="shared" si="24"/>
        <v/>
      </c>
      <c r="Q308" s="20">
        <f t="shared" si="25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3"/>
        <v/>
      </c>
      <c r="I309" s="28" t="str">
        <f t="shared" si="23"/>
        <v/>
      </c>
      <c r="J309" s="28" t="str">
        <f t="shared" si="23"/>
        <v/>
      </c>
      <c r="K309" s="28" t="str">
        <f t="shared" si="23"/>
        <v/>
      </c>
      <c r="L309" s="29" t="str">
        <f t="shared" si="23"/>
        <v/>
      </c>
      <c r="M309" s="30" t="str">
        <f t="shared" si="24"/>
        <v/>
      </c>
      <c r="Q309" s="20">
        <f t="shared" si="25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3"/>
        <v/>
      </c>
      <c r="I310" s="28" t="str">
        <f t="shared" si="23"/>
        <v/>
      </c>
      <c r="J310" s="28" t="str">
        <f t="shared" si="23"/>
        <v/>
      </c>
      <c r="K310" s="28" t="str">
        <f t="shared" si="23"/>
        <v/>
      </c>
      <c r="L310" s="29" t="str">
        <f t="shared" si="23"/>
        <v/>
      </c>
      <c r="M310" s="30" t="str">
        <f t="shared" si="24"/>
        <v/>
      </c>
      <c r="Q310" s="20">
        <f t="shared" si="25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3"/>
        <v/>
      </c>
      <c r="I311" s="28" t="str">
        <f t="shared" si="23"/>
        <v/>
      </c>
      <c r="J311" s="28" t="str">
        <f t="shared" si="23"/>
        <v/>
      </c>
      <c r="K311" s="28" t="str">
        <f t="shared" si="23"/>
        <v/>
      </c>
      <c r="L311" s="29" t="str">
        <f t="shared" si="23"/>
        <v/>
      </c>
      <c r="M311" s="30" t="str">
        <f t="shared" si="24"/>
        <v/>
      </c>
      <c r="Q311" s="20">
        <f t="shared" si="25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3"/>
        <v/>
      </c>
      <c r="I312" s="28" t="str">
        <f t="shared" si="23"/>
        <v/>
      </c>
      <c r="J312" s="28" t="str">
        <f t="shared" si="23"/>
        <v/>
      </c>
      <c r="K312" s="28" t="str">
        <f t="shared" si="23"/>
        <v/>
      </c>
      <c r="L312" s="29" t="str">
        <f t="shared" si="23"/>
        <v/>
      </c>
      <c r="M312" s="30" t="str">
        <f t="shared" si="24"/>
        <v/>
      </c>
      <c r="Q312" s="20">
        <f t="shared" si="25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3"/>
        <v/>
      </c>
      <c r="I313" s="28" t="str">
        <f t="shared" si="23"/>
        <v/>
      </c>
      <c r="J313" s="28" t="str">
        <f t="shared" si="23"/>
        <v/>
      </c>
      <c r="K313" s="28" t="str">
        <f t="shared" si="23"/>
        <v/>
      </c>
      <c r="L313" s="29" t="str">
        <f t="shared" si="23"/>
        <v/>
      </c>
      <c r="M313" s="30" t="str">
        <f t="shared" si="24"/>
        <v/>
      </c>
      <c r="Q313" s="20">
        <f t="shared" si="25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3"/>
        <v/>
      </c>
      <c r="I314" s="28" t="str">
        <f t="shared" si="23"/>
        <v/>
      </c>
      <c r="J314" s="28" t="str">
        <f t="shared" si="23"/>
        <v/>
      </c>
      <c r="K314" s="28" t="str">
        <f t="shared" si="23"/>
        <v/>
      </c>
      <c r="L314" s="29" t="str">
        <f t="shared" si="23"/>
        <v/>
      </c>
      <c r="M314" s="30" t="str">
        <f t="shared" si="24"/>
        <v/>
      </c>
      <c r="Q314" s="20">
        <f t="shared" si="25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3"/>
        <v/>
      </c>
      <c r="I315" s="28" t="str">
        <f t="shared" si="23"/>
        <v/>
      </c>
      <c r="J315" s="28" t="str">
        <f t="shared" si="23"/>
        <v/>
      </c>
      <c r="K315" s="28" t="str">
        <f t="shared" si="23"/>
        <v/>
      </c>
      <c r="L315" s="29" t="str">
        <f t="shared" si="23"/>
        <v/>
      </c>
      <c r="M315" s="30" t="str">
        <f t="shared" si="24"/>
        <v/>
      </c>
      <c r="Q315" s="20">
        <f t="shared" si="25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6">IF(C316="","",+(C316-C315))</f>
        <v/>
      </c>
      <c r="I316" s="28" t="str">
        <f t="shared" si="26"/>
        <v/>
      </c>
      <c r="J316" s="28" t="str">
        <f t="shared" si="26"/>
        <v/>
      </c>
      <c r="K316" s="28" t="str">
        <f t="shared" si="26"/>
        <v/>
      </c>
      <c r="L316" s="29" t="str">
        <f t="shared" si="26"/>
        <v/>
      </c>
      <c r="M316" s="30" t="str">
        <f t="shared" si="24"/>
        <v/>
      </c>
      <c r="Q316" s="20">
        <f t="shared" si="25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6"/>
        <v/>
      </c>
      <c r="I317" s="28" t="str">
        <f t="shared" si="26"/>
        <v/>
      </c>
      <c r="J317" s="28" t="str">
        <f t="shared" si="26"/>
        <v/>
      </c>
      <c r="K317" s="28" t="str">
        <f t="shared" si="26"/>
        <v/>
      </c>
      <c r="L317" s="29" t="str">
        <f t="shared" si="26"/>
        <v/>
      </c>
      <c r="M317" s="30" t="str">
        <f t="shared" si="24"/>
        <v/>
      </c>
      <c r="Q317" s="20">
        <f t="shared" si="25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6"/>
        <v/>
      </c>
      <c r="I318" s="28" t="str">
        <f t="shared" si="26"/>
        <v/>
      </c>
      <c r="J318" s="28" t="str">
        <f t="shared" si="26"/>
        <v/>
      </c>
      <c r="K318" s="28" t="str">
        <f t="shared" si="26"/>
        <v/>
      </c>
      <c r="L318" s="29" t="str">
        <f t="shared" si="26"/>
        <v/>
      </c>
      <c r="M318" s="30" t="str">
        <f t="shared" si="24"/>
        <v/>
      </c>
      <c r="Q318" s="20">
        <f t="shared" si="25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6"/>
        <v/>
      </c>
      <c r="I319" s="28" t="str">
        <f t="shared" si="26"/>
        <v/>
      </c>
      <c r="J319" s="28" t="str">
        <f t="shared" si="26"/>
        <v/>
      </c>
      <c r="K319" s="28" t="str">
        <f t="shared" si="26"/>
        <v/>
      </c>
      <c r="L319" s="29" t="str">
        <f t="shared" si="26"/>
        <v/>
      </c>
      <c r="M319" s="30" t="str">
        <f t="shared" si="24"/>
        <v/>
      </c>
      <c r="Q319" s="20">
        <f t="shared" si="25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6"/>
        <v/>
      </c>
      <c r="I320" s="28" t="str">
        <f t="shared" si="26"/>
        <v/>
      </c>
      <c r="J320" s="28" t="str">
        <f t="shared" si="26"/>
        <v/>
      </c>
      <c r="K320" s="28" t="str">
        <f t="shared" si="26"/>
        <v/>
      </c>
      <c r="L320" s="29" t="str">
        <f t="shared" si="26"/>
        <v/>
      </c>
      <c r="M320" s="30" t="str">
        <f t="shared" si="24"/>
        <v/>
      </c>
      <c r="Q320" s="20">
        <f t="shared" si="25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6"/>
        <v/>
      </c>
      <c r="J321" s="28" t="str">
        <f t="shared" si="26"/>
        <v/>
      </c>
      <c r="K321" s="28" t="str">
        <f t="shared" si="26"/>
        <v/>
      </c>
      <c r="L321" s="29" t="str">
        <f t="shared" si="26"/>
        <v/>
      </c>
      <c r="M321" s="30" t="str">
        <f t="shared" si="24"/>
        <v/>
      </c>
      <c r="Q321" s="20">
        <f t="shared" si="25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8" t="s">
        <v>21</v>
      </c>
      <c r="O328" s="198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9"/>
      <c r="O329" s="199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200"/>
      <c r="O330" s="200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0</v>
      </c>
      <c r="O331" s="32">
        <f>SUM(M309:M338)</f>
        <v>0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8" t="s">
        <v>23</v>
      </c>
      <c r="O332" s="198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200"/>
      <c r="O333" s="200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6">
        <f>SUM(I4:I369)</f>
        <v>515083</v>
      </c>
      <c r="J371" s="40">
        <f t="shared" si="30"/>
        <v>51418</v>
      </c>
      <c r="K371" s="40">
        <f t="shared" si="30"/>
        <v>46874</v>
      </c>
      <c r="L371" s="40">
        <f t="shared" si="30"/>
        <v>52874</v>
      </c>
      <c r="M371" s="40">
        <f t="shared" si="30"/>
        <v>613375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254" workbookViewId="0">
      <selection activeCell="W278" sqref="W278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35" si="23">IF(D160="","",+(E160-E159)*4140)</f>
        <v>24955.920000000082</v>
      </c>
      <c r="J160" s="59">
        <f t="shared" ref="J160:J235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>
        <v>0.14199999999999999</v>
      </c>
      <c r="E222" s="57">
        <v>941.47900000000004</v>
      </c>
      <c r="F222" s="58">
        <v>34.798999999999999</v>
      </c>
      <c r="G222" s="59"/>
      <c r="H222" s="59">
        <v>4140</v>
      </c>
      <c r="I222" s="59">
        <f t="shared" si="23"/>
        <v>37359.360000000001</v>
      </c>
      <c r="J222" s="59">
        <f t="shared" si="24"/>
        <v>1391.0399999999938</v>
      </c>
      <c r="K222" s="60">
        <f t="shared" si="28"/>
        <v>3.7234042553191321E-2</v>
      </c>
      <c r="L222" s="59">
        <f t="shared" si="29"/>
        <v>1391.0399999999938</v>
      </c>
      <c r="M222" s="60">
        <f t="shared" si="30"/>
        <v>3.7234042553191321E-2</v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>
        <v>0.14199999999999999</v>
      </c>
      <c r="E223" s="57">
        <v>950.07500000000005</v>
      </c>
      <c r="F223" s="58">
        <v>35.052999999999997</v>
      </c>
      <c r="G223" s="59"/>
      <c r="H223" s="59">
        <v>4140</v>
      </c>
      <c r="I223" s="59">
        <f t="shared" si="23"/>
        <v>35587.440000000017</v>
      </c>
      <c r="J223" s="59">
        <f t="shared" si="24"/>
        <v>1051.5599999999909</v>
      </c>
      <c r="K223" s="60">
        <f t="shared" si="28"/>
        <v>2.9548627268496705E-2</v>
      </c>
      <c r="L223" s="59">
        <f t="shared" si="29"/>
        <v>1051.5599999999909</v>
      </c>
      <c r="M223" s="60">
        <f t="shared" si="30"/>
        <v>2.9548627268496705E-2</v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>
        <v>0.14199999999999999</v>
      </c>
      <c r="E224" s="57">
        <v>958.04600000000005</v>
      </c>
      <c r="F224" s="58">
        <v>35.356999999999999</v>
      </c>
      <c r="G224" s="59"/>
      <c r="H224" s="59">
        <v>4140</v>
      </c>
      <c r="I224" s="59">
        <f t="shared" si="23"/>
        <v>32999.940000000017</v>
      </c>
      <c r="J224" s="59">
        <f t="shared" si="24"/>
        <v>1258.5600000000086</v>
      </c>
      <c r="K224" s="60">
        <f t="shared" si="28"/>
        <v>3.8138251160456896E-2</v>
      </c>
      <c r="L224" s="59">
        <f t="shared" ref="L224:L260" si="31">IF(F224="","",+(F224-F223)*4140)</f>
        <v>1258.5600000000086</v>
      </c>
      <c r="M224" s="60">
        <f t="shared" si="30"/>
        <v>3.8138251160456896E-2</v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>
        <v>0.14199999999999999</v>
      </c>
      <c r="E225" s="57">
        <v>966.29</v>
      </c>
      <c r="F225" s="58">
        <v>35.664999999999999</v>
      </c>
      <c r="G225" s="59"/>
      <c r="H225" s="59">
        <v>4140</v>
      </c>
      <c r="I225" s="59">
        <f t="shared" si="23"/>
        <v>34130.159999999647</v>
      </c>
      <c r="J225" s="59">
        <f t="shared" si="24"/>
        <v>1275.1199999999992</v>
      </c>
      <c r="K225" s="60">
        <f t="shared" si="28"/>
        <v>3.7360504609413273E-2</v>
      </c>
      <c r="L225" s="59">
        <f t="shared" si="31"/>
        <v>1275.1199999999992</v>
      </c>
      <c r="M225" s="60">
        <f t="shared" si="30"/>
        <v>3.7360504609413273E-2</v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2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>
        <v>0.14199999999999999</v>
      </c>
      <c r="E226" s="57">
        <v>975.05499999999995</v>
      </c>
      <c r="F226" s="58">
        <v>36.043999999999997</v>
      </c>
      <c r="G226" s="59"/>
      <c r="H226" s="59">
        <v>4140</v>
      </c>
      <c r="I226" s="59">
        <f t="shared" si="23"/>
        <v>36287.09999999994</v>
      </c>
      <c r="J226" s="59">
        <f t="shared" si="24"/>
        <v>1569.0599999999909</v>
      </c>
      <c r="K226" s="60">
        <f t="shared" si="28"/>
        <v>4.3240159726183502E-2</v>
      </c>
      <c r="L226" s="59">
        <f t="shared" si="31"/>
        <v>1569.0599999999909</v>
      </c>
      <c r="M226" s="60">
        <f t="shared" si="30"/>
        <v>4.3240159726183502E-2</v>
      </c>
      <c r="N226" s="61">
        <v>66068309</v>
      </c>
      <c r="O226" s="61">
        <f t="shared" si="26"/>
        <v>0</v>
      </c>
      <c r="P226" s="115"/>
      <c r="Q226" s="118"/>
      <c r="R226" s="20">
        <f t="shared" si="32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>
        <v>0.14199999999999999</v>
      </c>
      <c r="E227" s="57">
        <v>983.60900000000004</v>
      </c>
      <c r="F227" s="58">
        <v>36.383000000000003</v>
      </c>
      <c r="G227" s="59"/>
      <c r="H227" s="59">
        <v>4140</v>
      </c>
      <c r="I227" s="59">
        <f t="shared" si="23"/>
        <v>35413.560000000361</v>
      </c>
      <c r="J227" s="59">
        <f t="shared" si="24"/>
        <v>1403.4600000000237</v>
      </c>
      <c r="K227" s="60">
        <f t="shared" si="28"/>
        <v>3.9630582183773938E-2</v>
      </c>
      <c r="L227" s="59">
        <f t="shared" si="31"/>
        <v>1403.4600000000237</v>
      </c>
      <c r="M227" s="60">
        <f t="shared" si="30"/>
        <v>3.9630582183773938E-2</v>
      </c>
      <c r="N227" s="61">
        <v>66068309</v>
      </c>
      <c r="O227" s="61">
        <f t="shared" si="26"/>
        <v>0</v>
      </c>
      <c r="P227" s="115"/>
      <c r="Q227" s="117"/>
      <c r="R227" s="20">
        <f t="shared" si="32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>
        <v>0.14199999999999999</v>
      </c>
      <c r="E228" s="57">
        <v>990.86300000000006</v>
      </c>
      <c r="F228" s="58">
        <v>36.65</v>
      </c>
      <c r="G228" s="59"/>
      <c r="H228" s="59">
        <v>4140</v>
      </c>
      <c r="I228" s="59">
        <f t="shared" si="23"/>
        <v>30031.560000000078</v>
      </c>
      <c r="J228" s="59">
        <f t="shared" si="24"/>
        <v>1105.3799999999831</v>
      </c>
      <c r="K228" s="60">
        <f t="shared" si="28"/>
        <v>3.6807278742761955E-2</v>
      </c>
      <c r="L228" s="59">
        <f t="shared" si="31"/>
        <v>1105.3799999999831</v>
      </c>
      <c r="M228" s="60">
        <f t="shared" si="30"/>
        <v>3.6807278742761955E-2</v>
      </c>
      <c r="N228" s="61">
        <v>66068309</v>
      </c>
      <c r="O228" s="61">
        <f t="shared" si="26"/>
        <v>0</v>
      </c>
      <c r="P228" s="115"/>
      <c r="Q228" s="117"/>
      <c r="R228" s="20">
        <f t="shared" si="32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>
        <v>0.14199999999999999</v>
      </c>
      <c r="E229" s="57">
        <v>998.96500000000003</v>
      </c>
      <c r="F229" s="58">
        <v>36.997999999999998</v>
      </c>
      <c r="G229" s="59"/>
      <c r="H229" s="59">
        <v>4140</v>
      </c>
      <c r="I229" s="59">
        <f t="shared" si="23"/>
        <v>33542.279999999897</v>
      </c>
      <c r="J229" s="59">
        <f t="shared" si="24"/>
        <v>1440.7199999999957</v>
      </c>
      <c r="K229" s="60">
        <f t="shared" si="28"/>
        <v>4.2952357442606767E-2</v>
      </c>
      <c r="L229" s="59">
        <f t="shared" si="31"/>
        <v>1440.7199999999957</v>
      </c>
      <c r="M229" s="60">
        <f t="shared" si="30"/>
        <v>4.2952357442606767E-2</v>
      </c>
      <c r="N229" s="61">
        <v>66068309</v>
      </c>
      <c r="O229" s="61">
        <f t="shared" si="26"/>
        <v>0</v>
      </c>
      <c r="P229" s="115"/>
      <c r="Q229" s="118"/>
      <c r="R229" s="20">
        <f t="shared" si="32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>
        <v>0.14199999999999999</v>
      </c>
      <c r="E230" s="57">
        <v>1006.4829999999999</v>
      </c>
      <c r="F230" s="58">
        <v>37.234000000000002</v>
      </c>
      <c r="G230" s="59"/>
      <c r="H230" s="59">
        <v>4140</v>
      </c>
      <c r="I230" s="59">
        <f t="shared" si="23"/>
        <v>31124.519999999651</v>
      </c>
      <c r="J230" s="59">
        <f t="shared" si="24"/>
        <v>977.04000000001747</v>
      </c>
      <c r="K230" s="60">
        <f t="shared" si="28"/>
        <v>3.1391327480713868E-2</v>
      </c>
      <c r="L230" s="59">
        <f t="shared" si="31"/>
        <v>977.04000000001747</v>
      </c>
      <c r="M230" s="60">
        <f t="shared" si="30"/>
        <v>3.1391327480713868E-2</v>
      </c>
      <c r="N230" s="61">
        <v>66068309</v>
      </c>
      <c r="O230" s="61">
        <f t="shared" si="26"/>
        <v>0</v>
      </c>
      <c r="P230" s="115"/>
      <c r="Q230" s="118"/>
      <c r="R230" s="20">
        <f t="shared" si="32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>
        <v>0.14199999999999999</v>
      </c>
      <c r="E231" s="57">
        <v>1015.346</v>
      </c>
      <c r="F231" s="58">
        <v>37.576000000000001</v>
      </c>
      <c r="G231" s="59"/>
      <c r="H231" s="59">
        <v>4140</v>
      </c>
      <c r="I231" s="59">
        <f t="shared" si="23"/>
        <v>36692.820000000233</v>
      </c>
      <c r="J231" s="59">
        <f t="shared" si="24"/>
        <v>1415.8799999999949</v>
      </c>
      <c r="K231" s="60">
        <f t="shared" si="28"/>
        <v>3.858738576102861E-2</v>
      </c>
      <c r="L231" s="59">
        <f t="shared" si="31"/>
        <v>1415.8799999999949</v>
      </c>
      <c r="M231" s="60">
        <f t="shared" si="30"/>
        <v>3.858738576102861E-2</v>
      </c>
      <c r="N231" s="61">
        <v>66068309</v>
      </c>
      <c r="O231" s="61">
        <f t="shared" si="26"/>
        <v>0</v>
      </c>
      <c r="P231" s="115"/>
      <c r="Q231" s="118"/>
      <c r="R231" s="20">
        <f t="shared" si="32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>
        <v>0.14199999999999999</v>
      </c>
      <c r="E232" s="57">
        <v>1024.3579999999999</v>
      </c>
      <c r="F232" s="58">
        <v>37.938000000000002</v>
      </c>
      <c r="G232" s="59"/>
      <c r="H232" s="59">
        <v>4140</v>
      </c>
      <c r="I232" s="59">
        <f t="shared" si="23"/>
        <v>37309.679999999767</v>
      </c>
      <c r="J232" s="59">
        <f t="shared" si="24"/>
        <v>1498.6800000000078</v>
      </c>
      <c r="K232" s="60">
        <f t="shared" si="28"/>
        <v>4.0168664003551277E-2</v>
      </c>
      <c r="L232" s="59">
        <f t="shared" si="31"/>
        <v>1498.6800000000078</v>
      </c>
      <c r="M232" s="60">
        <f t="shared" si="30"/>
        <v>4.0168664003551277E-2</v>
      </c>
      <c r="N232" s="61">
        <v>66068309</v>
      </c>
      <c r="O232" s="61">
        <f t="shared" si="26"/>
        <v>0</v>
      </c>
      <c r="P232" s="115"/>
      <c r="Q232" s="116"/>
      <c r="R232" s="20">
        <f t="shared" si="32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>
        <v>0.14199999999999999</v>
      </c>
      <c r="E233" s="57">
        <v>1033.7070000000001</v>
      </c>
      <c r="F233" s="58">
        <v>38.325000000000003</v>
      </c>
      <c r="G233" s="59"/>
      <c r="H233" s="59">
        <v>4140</v>
      </c>
      <c r="I233" s="59">
        <f t="shared" si="23"/>
        <v>38704.860000000663</v>
      </c>
      <c r="J233" s="59">
        <f t="shared" si="24"/>
        <v>1602.1800000000019</v>
      </c>
      <c r="K233" s="60">
        <f t="shared" si="28"/>
        <v>4.1394801583056348E-2</v>
      </c>
      <c r="L233" s="59">
        <f t="shared" si="31"/>
        <v>1602.1800000000019</v>
      </c>
      <c r="M233" s="60">
        <f t="shared" si="30"/>
        <v>4.1394801583056348E-2</v>
      </c>
      <c r="N233" s="61">
        <v>66068309</v>
      </c>
      <c r="O233" s="61">
        <f t="shared" si="26"/>
        <v>0</v>
      </c>
      <c r="P233" s="119"/>
      <c r="Q233" s="120"/>
      <c r="R233" s="20">
        <f t="shared" si="32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>
        <v>0.14199999999999999</v>
      </c>
      <c r="E234" s="57">
        <v>1041.1600000000001</v>
      </c>
      <c r="F234" s="58">
        <v>38.61</v>
      </c>
      <c r="G234" s="59"/>
      <c r="H234" s="59">
        <v>4140</v>
      </c>
      <c r="I234" s="59">
        <f t="shared" si="23"/>
        <v>30855.419999999896</v>
      </c>
      <c r="J234" s="59">
        <f t="shared" si="24"/>
        <v>1179.899999999986</v>
      </c>
      <c r="K234" s="60">
        <f t="shared" si="28"/>
        <v>3.8239635046289758E-2</v>
      </c>
      <c r="L234" s="59">
        <f t="shared" si="31"/>
        <v>1179.899999999986</v>
      </c>
      <c r="M234" s="60">
        <f t="shared" si="30"/>
        <v>3.8239635046289758E-2</v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2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>
        <v>0.14199999999999999</v>
      </c>
      <c r="E235" s="57">
        <v>1049.375</v>
      </c>
      <c r="F235" s="58">
        <v>38.954000000000001</v>
      </c>
      <c r="G235" s="59"/>
      <c r="H235" s="59">
        <v>4140</v>
      </c>
      <c r="I235" s="59">
        <f t="shared" si="23"/>
        <v>34010.099999999664</v>
      </c>
      <c r="J235" s="59">
        <f t="shared" si="24"/>
        <v>1424.1600000000049</v>
      </c>
      <c r="K235" s="60">
        <f t="shared" si="28"/>
        <v>4.1874619598296359E-2</v>
      </c>
      <c r="L235" s="59">
        <f>IF(F235="","",+(F235-F234)*4140)</f>
        <v>1424.1600000000049</v>
      </c>
      <c r="M235" s="60">
        <f t="shared" si="30"/>
        <v>4.1874619598296359E-2</v>
      </c>
      <c r="N235" s="61">
        <v>66068309</v>
      </c>
      <c r="O235" s="61">
        <f t="shared" si="26"/>
        <v>0</v>
      </c>
      <c r="P235" s="204"/>
      <c r="Q235" s="205"/>
      <c r="R235" s="20">
        <f t="shared" si="32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>
        <v>0.14199999999999999</v>
      </c>
      <c r="E236" s="57">
        <v>1057.9059999999999</v>
      </c>
      <c r="F236" s="58">
        <v>39.36</v>
      </c>
      <c r="G236" s="59"/>
      <c r="H236" s="59">
        <v>4140</v>
      </c>
      <c r="I236" s="59">
        <f t="shared" ref="I236:I299" si="33">IF(D236="","",+(E236-E235)*4140)</f>
        <v>35318.339999999793</v>
      </c>
      <c r="J236" s="59">
        <f t="shared" ref="J236:J299" si="34">IF(E236="","",+(F236-F235)*4140)</f>
        <v>1680.8399999999951</v>
      </c>
      <c r="K236" s="60">
        <f t="shared" si="28"/>
        <v>4.7591138201852214E-2</v>
      </c>
      <c r="L236" s="59">
        <f t="shared" si="31"/>
        <v>1680.8399999999951</v>
      </c>
      <c r="M236" s="60">
        <f t="shared" si="30"/>
        <v>4.7591138201852214E-2</v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2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>
        <v>0.14199999999999999</v>
      </c>
      <c r="E237" s="57">
        <v>1066.499</v>
      </c>
      <c r="F237" s="58">
        <v>39.741999999999997</v>
      </c>
      <c r="G237" s="59"/>
      <c r="H237" s="59">
        <v>4140</v>
      </c>
      <c r="I237" s="59">
        <f t="shared" si="33"/>
        <v>35575.02000000031</v>
      </c>
      <c r="J237" s="59">
        <f t="shared" si="34"/>
        <v>1581.4799999999914</v>
      </c>
      <c r="K237" s="60">
        <f t="shared" si="28"/>
        <v>4.4454788781565759E-2</v>
      </c>
      <c r="L237" s="59">
        <f t="shared" si="31"/>
        <v>1581.4799999999914</v>
      </c>
      <c r="M237" s="60">
        <f t="shared" si="30"/>
        <v>4.4454788781565759E-2</v>
      </c>
      <c r="N237" s="61">
        <v>66068309</v>
      </c>
      <c r="O237" s="61">
        <f t="shared" si="26"/>
        <v>0</v>
      </c>
      <c r="P237" s="70">
        <f>IF(J216="",0,+SUM(J216:J246)/SUM(I216:I246))</f>
        <v>3.8734878275748195E-2</v>
      </c>
      <c r="Q237" s="70">
        <f>IF(L216="",0,+SUM(L216:L246)/SUM(I216:I246))</f>
        <v>3.8734878275748195E-2</v>
      </c>
      <c r="R237" s="20">
        <f t="shared" si="32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>
        <v>0.14199999999999999</v>
      </c>
      <c r="E238" s="57">
        <v>1075.3330000000001</v>
      </c>
      <c r="F238" s="58">
        <v>40.128</v>
      </c>
      <c r="G238" s="59"/>
      <c r="H238" s="59">
        <v>4140</v>
      </c>
      <c r="I238" s="59">
        <f t="shared" si="33"/>
        <v>36572.760000000249</v>
      </c>
      <c r="J238" s="59">
        <f t="shared" si="34"/>
        <v>1598.0400000000116</v>
      </c>
      <c r="K238" s="60">
        <f t="shared" si="28"/>
        <v>4.3694815485623748E-2</v>
      </c>
      <c r="L238" s="59">
        <f t="shared" si="31"/>
        <v>1598.0400000000116</v>
      </c>
      <c r="M238" s="60">
        <f t="shared" si="30"/>
        <v>4.3694815485623748E-2</v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2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>
        <v>0.14199999999999999</v>
      </c>
      <c r="E239" s="57">
        <v>1084.6600000000001</v>
      </c>
      <c r="F239" s="58">
        <v>40.488</v>
      </c>
      <c r="G239" s="59"/>
      <c r="H239" s="59">
        <v>4140</v>
      </c>
      <c r="I239" s="59">
        <f t="shared" si="33"/>
        <v>38613.779999999992</v>
      </c>
      <c r="J239" s="59">
        <f t="shared" si="34"/>
        <v>1490.3999999999976</v>
      </c>
      <c r="K239" s="60">
        <f t="shared" si="28"/>
        <v>3.8597619813444783E-2</v>
      </c>
      <c r="L239" s="59">
        <f t="shared" si="31"/>
        <v>1490.3999999999976</v>
      </c>
      <c r="M239" s="60">
        <f t="shared" si="30"/>
        <v>3.8597619813444783E-2</v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2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>
        <v>0.14199999999999999</v>
      </c>
      <c r="E240" s="57">
        <v>1093.222</v>
      </c>
      <c r="F240" s="58">
        <v>40.948999999999998</v>
      </c>
      <c r="G240" s="59"/>
      <c r="H240" s="59">
        <v>4140</v>
      </c>
      <c r="I240" s="59">
        <f t="shared" si="33"/>
        <v>35446.679999999578</v>
      </c>
      <c r="J240" s="59">
        <f t="shared" si="34"/>
        <v>1908.5399999999938</v>
      </c>
      <c r="K240" s="60">
        <f t="shared" si="28"/>
        <v>5.3842560149498245E-2</v>
      </c>
      <c r="L240" s="59">
        <f t="shared" si="31"/>
        <v>1908.5399999999938</v>
      </c>
      <c r="M240" s="60">
        <f t="shared" si="30"/>
        <v>5.3842560149498245E-2</v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2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>
        <v>0.14199999999999999</v>
      </c>
      <c r="E241" s="57">
        <v>1101.9659999999999</v>
      </c>
      <c r="F241" s="58">
        <v>41.103000000000002</v>
      </c>
      <c r="G241" s="59"/>
      <c r="H241" s="59">
        <v>4140</v>
      </c>
      <c r="I241" s="59">
        <f t="shared" si="33"/>
        <v>36200.159999999647</v>
      </c>
      <c r="J241" s="59">
        <f t="shared" si="34"/>
        <v>637.56000000001438</v>
      </c>
      <c r="K241" s="60">
        <f t="shared" si="28"/>
        <v>1.7612076852699561E-2</v>
      </c>
      <c r="L241" s="59">
        <f t="shared" si="31"/>
        <v>637.56000000001438</v>
      </c>
      <c r="M241" s="60">
        <f t="shared" si="30"/>
        <v>1.7612076852699561E-2</v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2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>
        <v>0.14199999999999999</v>
      </c>
      <c r="E242" s="57">
        <v>1110.748</v>
      </c>
      <c r="F242" s="58">
        <v>41.481000000000002</v>
      </c>
      <c r="G242" s="59"/>
      <c r="H242" s="59">
        <v>4140</v>
      </c>
      <c r="I242" s="59">
        <f t="shared" si="33"/>
        <v>36357.480000000636</v>
      </c>
      <c r="J242" s="59">
        <f t="shared" si="34"/>
        <v>1564.9200000000005</v>
      </c>
      <c r="K242" s="60">
        <f t="shared" si="28"/>
        <v>4.3042587109996984E-2</v>
      </c>
      <c r="L242" s="59">
        <f t="shared" si="31"/>
        <v>1564.9200000000005</v>
      </c>
      <c r="M242" s="60">
        <f t="shared" si="30"/>
        <v>4.3042587109996984E-2</v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2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>
        <v>0.14199999999999999</v>
      </c>
      <c r="E243" s="57">
        <v>1119.96</v>
      </c>
      <c r="F243" s="58">
        <v>41.81</v>
      </c>
      <c r="G243" s="59"/>
      <c r="H243" s="59">
        <v>4140</v>
      </c>
      <c r="I243" s="59">
        <f t="shared" si="33"/>
        <v>38137.679999999957</v>
      </c>
      <c r="J243" s="59">
        <f t="shared" si="34"/>
        <v>1362.0600000000027</v>
      </c>
      <c r="K243" s="60">
        <f t="shared" si="28"/>
        <v>3.5714285714285823E-2</v>
      </c>
      <c r="L243" s="59">
        <f t="shared" si="31"/>
        <v>1362.0600000000027</v>
      </c>
      <c r="M243" s="60">
        <f t="shared" si="30"/>
        <v>3.5714285714285823E-2</v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2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>
        <v>0.14199999999999999</v>
      </c>
      <c r="E244" s="57">
        <v>1128.2639999999999</v>
      </c>
      <c r="F244" s="58">
        <v>42.222999999999999</v>
      </c>
      <c r="G244" s="59"/>
      <c r="H244" s="59">
        <v>4140</v>
      </c>
      <c r="I244" s="59">
        <f t="shared" si="33"/>
        <v>34378.559999999423</v>
      </c>
      <c r="J244" s="59">
        <f t="shared" si="34"/>
        <v>1709.8199999999863</v>
      </c>
      <c r="K244" s="60">
        <f t="shared" si="28"/>
        <v>4.9735067437380015E-2</v>
      </c>
      <c r="L244" s="59">
        <f t="shared" si="31"/>
        <v>1709.8199999999863</v>
      </c>
      <c r="M244" s="60">
        <f t="shared" si="30"/>
        <v>4.9735067437380015E-2</v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2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>
        <v>0.14199999999999999</v>
      </c>
      <c r="E245" s="57">
        <v>1136.0119999999999</v>
      </c>
      <c r="F245" s="58">
        <v>42.497999999999998</v>
      </c>
      <c r="G245" s="59"/>
      <c r="H245" s="59">
        <v>4140</v>
      </c>
      <c r="I245" s="59">
        <f t="shared" si="33"/>
        <v>32076.720000000198</v>
      </c>
      <c r="J245" s="59">
        <f t="shared" si="34"/>
        <v>1138.4999999999941</v>
      </c>
      <c r="K245" s="60">
        <f t="shared" si="28"/>
        <v>3.549303045947301E-2</v>
      </c>
      <c r="L245" s="59">
        <f t="shared" si="31"/>
        <v>1138.4999999999941</v>
      </c>
      <c r="M245" s="60">
        <f t="shared" si="30"/>
        <v>3.549303045947301E-2</v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2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56">
        <v>0.14199999999999999</v>
      </c>
      <c r="E246" s="57">
        <v>1143.902</v>
      </c>
      <c r="F246" s="58">
        <v>42.789000000000001</v>
      </c>
      <c r="G246" s="90"/>
      <c r="H246" s="59">
        <v>4140</v>
      </c>
      <c r="I246" s="59">
        <f t="shared" si="33"/>
        <v>32664.600000000413</v>
      </c>
      <c r="J246" s="59">
        <f t="shared" si="34"/>
        <v>1204.7400000000162</v>
      </c>
      <c r="K246" s="60">
        <f t="shared" si="28"/>
        <v>3.6882129277566567E-2</v>
      </c>
      <c r="L246" s="90">
        <f t="shared" si="31"/>
        <v>1204.7400000000162</v>
      </c>
      <c r="M246" s="60">
        <f t="shared" si="30"/>
        <v>3.6882129277566567E-2</v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2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>
        <v>0.14199999999999999</v>
      </c>
      <c r="E247" s="57">
        <v>1151.335</v>
      </c>
      <c r="F247" s="58">
        <v>43.076000000000001</v>
      </c>
      <c r="G247" s="59"/>
      <c r="H247" s="59">
        <v>4140</v>
      </c>
      <c r="I247" s="59">
        <f t="shared" si="33"/>
        <v>30772.61999999997</v>
      </c>
      <c r="J247" s="59">
        <f t="shared" si="34"/>
        <v>1188.179999999996</v>
      </c>
      <c r="K247" s="60">
        <f t="shared" si="28"/>
        <v>3.8611596932597782E-2</v>
      </c>
      <c r="L247" s="59">
        <f t="shared" si="31"/>
        <v>1188.179999999996</v>
      </c>
      <c r="M247" s="60">
        <f t="shared" si="30"/>
        <v>3.8611596932597782E-2</v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2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>
        <v>0.14199999999999999</v>
      </c>
      <c r="E248" s="57">
        <v>1158.4749999999999</v>
      </c>
      <c r="F248" s="58">
        <v>43.338999999999999</v>
      </c>
      <c r="G248" s="59"/>
      <c r="H248" s="59">
        <v>4140</v>
      </c>
      <c r="I248" s="59">
        <f t="shared" si="33"/>
        <v>29559.599999999475</v>
      </c>
      <c r="J248" s="59">
        <f t="shared" si="34"/>
        <v>1088.8199999999922</v>
      </c>
      <c r="K248" s="60">
        <f t="shared" si="28"/>
        <v>3.6834733893557813E-2</v>
      </c>
      <c r="L248" s="59">
        <f t="shared" si="31"/>
        <v>1088.8199999999922</v>
      </c>
      <c r="M248" s="60">
        <f t="shared" si="30"/>
        <v>3.6834733893557813E-2</v>
      </c>
      <c r="N248" s="61">
        <v>66068309</v>
      </c>
      <c r="O248" s="61">
        <f t="shared" si="26"/>
        <v>0</v>
      </c>
      <c r="P248" s="62"/>
      <c r="Q248" s="104"/>
      <c r="R248" s="20">
        <f t="shared" si="32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>
        <v>0.14199999999999999</v>
      </c>
      <c r="E249" s="57">
        <v>1165.444</v>
      </c>
      <c r="F249" s="58">
        <v>43.536000000000001</v>
      </c>
      <c r="G249" s="59"/>
      <c r="H249" s="59">
        <v>4140</v>
      </c>
      <c r="I249" s="59">
        <f t="shared" si="33"/>
        <v>28851.660000000211</v>
      </c>
      <c r="J249" s="59">
        <f t="shared" si="34"/>
        <v>815.5800000000113</v>
      </c>
      <c r="K249" s="60">
        <f t="shared" si="28"/>
        <v>2.8268044195724106E-2</v>
      </c>
      <c r="L249" s="59">
        <f t="shared" si="31"/>
        <v>815.5800000000113</v>
      </c>
      <c r="M249" s="60">
        <f t="shared" si="30"/>
        <v>2.8268044195724106E-2</v>
      </c>
      <c r="N249" s="61">
        <v>66068309</v>
      </c>
      <c r="O249" s="61">
        <f t="shared" si="26"/>
        <v>0</v>
      </c>
      <c r="P249" s="62"/>
      <c r="Q249" s="104"/>
      <c r="R249" s="20">
        <f t="shared" si="32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>
        <v>0.14199999999999999</v>
      </c>
      <c r="E250" s="57">
        <v>1172.28</v>
      </c>
      <c r="F250" s="58">
        <v>43.649000000000001</v>
      </c>
      <c r="G250" s="59"/>
      <c r="H250" s="59">
        <v>4140</v>
      </c>
      <c r="I250" s="59">
        <f t="shared" si="33"/>
        <v>28301.040000000052</v>
      </c>
      <c r="J250" s="59">
        <f t="shared" si="34"/>
        <v>467.81999999999812</v>
      </c>
      <c r="K250" s="60">
        <f t="shared" si="28"/>
        <v>1.6530134581626586E-2</v>
      </c>
      <c r="L250" s="59">
        <f t="shared" si="31"/>
        <v>467.81999999999812</v>
      </c>
      <c r="M250" s="60">
        <f t="shared" si="30"/>
        <v>1.6530134581626586E-2</v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>
        <v>0.14199999999999999</v>
      </c>
      <c r="E251" s="57">
        <v>1178.9739999999999</v>
      </c>
      <c r="F251" s="58">
        <v>43.738</v>
      </c>
      <c r="G251" s="59"/>
      <c r="H251" s="59">
        <v>4140</v>
      </c>
      <c r="I251" s="59">
        <f t="shared" si="33"/>
        <v>27713.159999999836</v>
      </c>
      <c r="J251" s="59">
        <f t="shared" si="34"/>
        <v>368.45999999999435</v>
      </c>
      <c r="K251" s="60">
        <f t="shared" si="28"/>
        <v>1.3295488497161513E-2</v>
      </c>
      <c r="L251" s="59">
        <f t="shared" si="31"/>
        <v>368.45999999999435</v>
      </c>
      <c r="M251" s="60">
        <f t="shared" si="30"/>
        <v>1.3295488497161513E-2</v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>
        <v>0.14199999999999999</v>
      </c>
      <c r="E252" s="57">
        <v>1185.058</v>
      </c>
      <c r="F252" s="58">
        <v>43.94</v>
      </c>
      <c r="G252" s="59"/>
      <c r="H252" s="59">
        <v>4140</v>
      </c>
      <c r="I252" s="59">
        <f t="shared" si="33"/>
        <v>25187.760000000249</v>
      </c>
      <c r="J252" s="59">
        <f t="shared" si="34"/>
        <v>836.27999999999247</v>
      </c>
      <c r="K252" s="60">
        <f t="shared" si="28"/>
        <v>3.320184089414796E-2</v>
      </c>
      <c r="L252" s="59">
        <f t="shared" si="31"/>
        <v>836.27999999999247</v>
      </c>
      <c r="M252" s="60">
        <f t="shared" si="30"/>
        <v>3.320184089414796E-2</v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>
        <v>0.14199999999999999</v>
      </c>
      <c r="E253" s="57">
        <v>1192.8989999999999</v>
      </c>
      <c r="F253" s="58">
        <v>44.104999999999997</v>
      </c>
      <c r="G253" s="59"/>
      <c r="H253" s="59">
        <v>4140</v>
      </c>
      <c r="I253" s="59">
        <f t="shared" si="33"/>
        <v>32461.739999999561</v>
      </c>
      <c r="J253" s="59">
        <f t="shared" si="34"/>
        <v>683.0999999999965</v>
      </c>
      <c r="K253" s="60">
        <f t="shared" si="28"/>
        <v>2.1043234281341843E-2</v>
      </c>
      <c r="L253" s="59">
        <f t="shared" si="31"/>
        <v>683.0999999999965</v>
      </c>
      <c r="M253" s="60">
        <f t="shared" si="30"/>
        <v>2.1043234281341843E-2</v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5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>
        <v>0.14199999999999999</v>
      </c>
      <c r="E254" s="57">
        <v>1200.3720000000001</v>
      </c>
      <c r="F254" s="58">
        <v>44.277999999999999</v>
      </c>
      <c r="G254" s="59"/>
      <c r="H254" s="59">
        <v>4140</v>
      </c>
      <c r="I254" s="59">
        <f t="shared" si="33"/>
        <v>30938.220000000762</v>
      </c>
      <c r="J254" s="59">
        <f t="shared" si="34"/>
        <v>716.22000000000753</v>
      </c>
      <c r="K254" s="60">
        <f t="shared" si="28"/>
        <v>2.3150006690753053E-2</v>
      </c>
      <c r="L254" s="59">
        <f t="shared" si="31"/>
        <v>716.22000000000753</v>
      </c>
      <c r="M254" s="60">
        <f t="shared" si="30"/>
        <v>2.3150006690753053E-2</v>
      </c>
      <c r="N254" s="61">
        <v>66068309</v>
      </c>
      <c r="O254" s="61">
        <f t="shared" si="26"/>
        <v>0</v>
      </c>
      <c r="P254" s="62"/>
      <c r="Q254" s="64"/>
      <c r="R254" s="20">
        <f t="shared" si="35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>
        <v>0.14199999999999999</v>
      </c>
      <c r="E255" s="57">
        <v>1207.7650000000001</v>
      </c>
      <c r="F255" s="58">
        <v>44.470999999999997</v>
      </c>
      <c r="G255" s="59"/>
      <c r="H255" s="59">
        <v>4140</v>
      </c>
      <c r="I255" s="59">
        <f t="shared" si="33"/>
        <v>30607.02000000012</v>
      </c>
      <c r="J255" s="59">
        <f t="shared" si="34"/>
        <v>799.01999999999111</v>
      </c>
      <c r="K255" s="60">
        <f t="shared" si="28"/>
        <v>2.6105775733801854E-2</v>
      </c>
      <c r="L255" s="59">
        <f t="shared" si="31"/>
        <v>799.01999999999111</v>
      </c>
      <c r="M255" s="60">
        <f t="shared" si="30"/>
        <v>2.6105775733801854E-2</v>
      </c>
      <c r="N255" s="61">
        <v>66068309</v>
      </c>
      <c r="O255" s="61">
        <f t="shared" si="26"/>
        <v>0</v>
      </c>
      <c r="P255" s="62"/>
      <c r="Q255" s="64"/>
      <c r="R255" s="20">
        <f t="shared" si="35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>
        <v>0.14199999999999999</v>
      </c>
      <c r="E256" s="57">
        <v>1214.444</v>
      </c>
      <c r="F256" s="58">
        <v>44.713999999999999</v>
      </c>
      <c r="G256" s="59"/>
      <c r="H256" s="59">
        <v>4140</v>
      </c>
      <c r="I256" s="59">
        <f t="shared" si="33"/>
        <v>27651.059999999419</v>
      </c>
      <c r="J256" s="59">
        <f t="shared" si="34"/>
        <v>1006.0200000000087</v>
      </c>
      <c r="K256" s="60">
        <f t="shared" si="28"/>
        <v>3.6382692019764518E-2</v>
      </c>
      <c r="L256" s="59">
        <f t="shared" si="31"/>
        <v>1006.0200000000087</v>
      </c>
      <c r="M256" s="60">
        <f t="shared" si="30"/>
        <v>3.6382692019764518E-2</v>
      </c>
      <c r="N256" s="61">
        <v>66068309</v>
      </c>
      <c r="O256" s="61">
        <f t="shared" si="26"/>
        <v>0</v>
      </c>
      <c r="P256" s="62"/>
      <c r="Q256" s="63"/>
      <c r="R256" s="20">
        <f t="shared" si="35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>
        <v>0.14199999999999999</v>
      </c>
      <c r="E257" s="57">
        <v>1220.973</v>
      </c>
      <c r="F257" s="58">
        <v>44.845999999999997</v>
      </c>
      <c r="G257" s="59"/>
      <c r="H257" s="59">
        <v>4140</v>
      </c>
      <c r="I257" s="59">
        <f t="shared" si="33"/>
        <v>27030.059999999983</v>
      </c>
      <c r="J257" s="59">
        <f t="shared" si="34"/>
        <v>546.47999999999126</v>
      </c>
      <c r="K257" s="60">
        <f t="shared" si="28"/>
        <v>2.0217491193137996E-2</v>
      </c>
      <c r="L257" s="59">
        <f>IF(F257="","",+(F257-F256)*4140)</f>
        <v>546.47999999999126</v>
      </c>
      <c r="M257" s="60">
        <f t="shared" si="30"/>
        <v>2.0217491193137996E-2</v>
      </c>
      <c r="N257" s="61">
        <v>66068309</v>
      </c>
      <c r="O257" s="61">
        <f t="shared" si="26"/>
        <v>0</v>
      </c>
      <c r="P257" s="62"/>
      <c r="Q257" s="63"/>
      <c r="R257" s="20">
        <f t="shared" si="35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>
        <v>0.14199999999999999</v>
      </c>
      <c r="E258" s="57">
        <v>1228.479</v>
      </c>
      <c r="F258" s="58">
        <v>44.988</v>
      </c>
      <c r="G258" s="59"/>
      <c r="H258" s="59">
        <v>4140</v>
      </c>
      <c r="I258" s="59">
        <f t="shared" si="33"/>
        <v>31074.840000000353</v>
      </c>
      <c r="J258" s="59">
        <f t="shared" si="34"/>
        <v>587.8800000000125</v>
      </c>
      <c r="K258" s="60">
        <f t="shared" si="28"/>
        <v>1.8918198774314068E-2</v>
      </c>
      <c r="L258" s="59">
        <f t="shared" si="31"/>
        <v>587.8800000000125</v>
      </c>
      <c r="M258" s="60">
        <f t="shared" si="30"/>
        <v>1.8918198774314068E-2</v>
      </c>
      <c r="N258" s="61">
        <v>66068309</v>
      </c>
      <c r="O258" s="61">
        <f t="shared" si="26"/>
        <v>0</v>
      </c>
      <c r="P258" s="62"/>
      <c r="Q258" s="64"/>
      <c r="R258" s="20">
        <f t="shared" si="35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>
        <v>0.14199999999999999</v>
      </c>
      <c r="E259" s="57">
        <v>1235.7719999999999</v>
      </c>
      <c r="F259" s="58">
        <v>45.164999999999999</v>
      </c>
      <c r="G259" s="59"/>
      <c r="H259" s="59">
        <v>4140</v>
      </c>
      <c r="I259" s="59">
        <f t="shared" si="33"/>
        <v>30193.019999999557</v>
      </c>
      <c r="J259" s="59">
        <f t="shared" si="34"/>
        <v>732.77999999999838</v>
      </c>
      <c r="K259" s="60">
        <f t="shared" si="28"/>
        <v>2.4269847799259867E-2</v>
      </c>
      <c r="L259" s="59">
        <f t="shared" si="31"/>
        <v>732.77999999999838</v>
      </c>
      <c r="M259" s="60">
        <f t="shared" si="30"/>
        <v>2.4269847799259867E-2</v>
      </c>
      <c r="N259" s="61">
        <v>66068309</v>
      </c>
      <c r="O259" s="61">
        <f t="shared" si="26"/>
        <v>0</v>
      </c>
      <c r="P259" s="62"/>
      <c r="Q259" s="64"/>
      <c r="R259" s="20">
        <f t="shared" si="35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>
        <v>0.14199999999999999</v>
      </c>
      <c r="E260" s="57">
        <v>1243.377</v>
      </c>
      <c r="F260" s="58">
        <v>45.402000000000001</v>
      </c>
      <c r="G260" s="59"/>
      <c r="H260" s="59">
        <v>4140</v>
      </c>
      <c r="I260" s="59">
        <f t="shared" si="33"/>
        <v>31484.700000000077</v>
      </c>
      <c r="J260" s="59">
        <f t="shared" si="34"/>
        <v>981.18000000000779</v>
      </c>
      <c r="K260" s="60">
        <f t="shared" si="28"/>
        <v>3.1163708086785182E-2</v>
      </c>
      <c r="L260" s="59">
        <f t="shared" si="31"/>
        <v>981.18000000000779</v>
      </c>
      <c r="M260" s="60">
        <f t="shared" si="30"/>
        <v>3.1163708086785182E-2</v>
      </c>
      <c r="N260" s="61">
        <v>66068309</v>
      </c>
      <c r="O260" s="61">
        <f t="shared" si="26"/>
        <v>0</v>
      </c>
      <c r="P260" s="62"/>
      <c r="Q260" s="63"/>
      <c r="R260" s="20">
        <f t="shared" si="35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>
        <v>0.14199999999999999</v>
      </c>
      <c r="E261" s="57">
        <v>1250.7940000000001</v>
      </c>
      <c r="F261" s="58">
        <v>45.642000000000003</v>
      </c>
      <c r="G261" s="59"/>
      <c r="H261" s="59">
        <v>4140</v>
      </c>
      <c r="I261" s="59">
        <f t="shared" si="33"/>
        <v>30706.380000000594</v>
      </c>
      <c r="J261" s="59">
        <f t="shared" si="34"/>
        <v>993.60000000000821</v>
      </c>
      <c r="K261" s="60">
        <f t="shared" si="28"/>
        <v>3.2358096265336034E-2</v>
      </c>
      <c r="L261" s="59">
        <f t="shared" ref="L261:L324" si="36">IF(F261="","",+(F261-F260)*4140)</f>
        <v>993.60000000000821</v>
      </c>
      <c r="M261" s="60">
        <f t="shared" si="30"/>
        <v>3.2358096265336034E-2</v>
      </c>
      <c r="N261" s="61">
        <v>66068309</v>
      </c>
      <c r="O261" s="61">
        <f t="shared" si="26"/>
        <v>0</v>
      </c>
      <c r="P261" s="62"/>
      <c r="Q261" s="63"/>
      <c r="R261" s="20">
        <f t="shared" si="35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>
        <v>0.14199999999999999</v>
      </c>
      <c r="E262" s="57">
        <v>1257.5930000000001</v>
      </c>
      <c r="F262" s="58">
        <v>45.901000000000003</v>
      </c>
      <c r="G262" s="59"/>
      <c r="H262" s="59">
        <v>4140</v>
      </c>
      <c r="I262" s="59">
        <f t="shared" si="33"/>
        <v>28147.85999999991</v>
      </c>
      <c r="J262" s="59">
        <f t="shared" si="34"/>
        <v>1072.2600000000014</v>
      </c>
      <c r="K262" s="60">
        <f t="shared" si="28"/>
        <v>3.8093837329019144E-2</v>
      </c>
      <c r="L262" s="59">
        <f t="shared" si="36"/>
        <v>1072.2600000000014</v>
      </c>
      <c r="M262" s="60">
        <f t="shared" si="30"/>
        <v>3.8093837329019144E-2</v>
      </c>
      <c r="N262" s="61">
        <v>66068309</v>
      </c>
      <c r="O262" s="61">
        <f t="shared" ref="O262:O314" si="37">IF(N262="","",N262-N261)</f>
        <v>0</v>
      </c>
      <c r="P262" s="62"/>
      <c r="Q262" s="63"/>
      <c r="R262" s="20">
        <f t="shared" si="35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>
        <v>0.14199999999999999</v>
      </c>
      <c r="E263" s="57">
        <v>1265.8579999999999</v>
      </c>
      <c r="F263" s="58">
        <v>46.145000000000003</v>
      </c>
      <c r="G263" s="59"/>
      <c r="H263" s="59">
        <v>4140</v>
      </c>
      <c r="I263" s="59">
        <f t="shared" si="33"/>
        <v>34217.099999999475</v>
      </c>
      <c r="J263" s="59">
        <f t="shared" si="34"/>
        <v>1010.1599999999991</v>
      </c>
      <c r="K263" s="60">
        <f t="shared" si="28"/>
        <v>2.9522081064731219E-2</v>
      </c>
      <c r="L263" s="59">
        <f t="shared" si="36"/>
        <v>1010.1599999999991</v>
      </c>
      <c r="M263" s="60">
        <f t="shared" si="30"/>
        <v>2.9522081064731219E-2</v>
      </c>
      <c r="N263" s="61">
        <v>66068309</v>
      </c>
      <c r="O263" s="61">
        <f t="shared" si="37"/>
        <v>0</v>
      </c>
      <c r="P263" s="62"/>
      <c r="Q263" s="104"/>
      <c r="R263" s="20">
        <f t="shared" si="35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>
        <v>0.14199999999999999</v>
      </c>
      <c r="E264" s="57">
        <v>1273.758</v>
      </c>
      <c r="F264" s="58">
        <v>46.393999999999998</v>
      </c>
      <c r="G264" s="59"/>
      <c r="H264" s="59">
        <v>4140</v>
      </c>
      <c r="I264" s="59">
        <f t="shared" si="33"/>
        <v>32706.000000000378</v>
      </c>
      <c r="J264" s="59">
        <f t="shared" si="34"/>
        <v>1030.8599999999801</v>
      </c>
      <c r="K264" s="60">
        <f t="shared" si="28"/>
        <v>3.1518987341771179E-2</v>
      </c>
      <c r="L264" s="59">
        <f t="shared" si="36"/>
        <v>1030.8599999999801</v>
      </c>
      <c r="M264" s="60">
        <f t="shared" si="30"/>
        <v>3.1518987341771179E-2</v>
      </c>
      <c r="N264" s="61">
        <v>66068309</v>
      </c>
      <c r="O264" s="61">
        <f t="shared" si="37"/>
        <v>0</v>
      </c>
      <c r="P264" s="202" t="s">
        <v>66</v>
      </c>
      <c r="Q264" s="203"/>
      <c r="R264" s="20">
        <f t="shared" si="35"/>
        <v>1</v>
      </c>
      <c r="S264" s="20">
        <f t="shared" ref="S264:S327" si="38">IF(N264="",1,0)</f>
        <v>0</v>
      </c>
      <c r="T264" s="65"/>
    </row>
    <row r="265" spans="1:20" ht="12.75" customHeight="1" thickBot="1" x14ac:dyDescent="0.3">
      <c r="A265" s="54">
        <v>44459</v>
      </c>
      <c r="D265" s="56">
        <v>0.14199999999999999</v>
      </c>
      <c r="E265" s="57">
        <v>1281.6189999999999</v>
      </c>
      <c r="F265" s="58">
        <v>46.604999999999997</v>
      </c>
      <c r="G265" s="59"/>
      <c r="H265" s="59">
        <v>4140</v>
      </c>
      <c r="I265" s="59">
        <f t="shared" si="33"/>
        <v>32544.539999999488</v>
      </c>
      <c r="J265" s="59">
        <f t="shared" si="34"/>
        <v>873.53999999999382</v>
      </c>
      <c r="K265" s="60">
        <f t="shared" si="28"/>
        <v>2.6841368782597866E-2</v>
      </c>
      <c r="L265" s="59">
        <f t="shared" si="36"/>
        <v>873.53999999999382</v>
      </c>
      <c r="M265" s="60">
        <f t="shared" si="30"/>
        <v>2.6841368782597866E-2</v>
      </c>
      <c r="N265" s="61">
        <v>66068309</v>
      </c>
      <c r="O265" s="61">
        <f t="shared" si="37"/>
        <v>0</v>
      </c>
      <c r="P265" s="204"/>
      <c r="Q265" s="205"/>
      <c r="R265" s="20">
        <f t="shared" si="35"/>
        <v>1</v>
      </c>
      <c r="S265" s="20">
        <f t="shared" si="38"/>
        <v>0</v>
      </c>
      <c r="T265" s="65"/>
    </row>
    <row r="266" spans="1:20" ht="12.75" customHeight="1" thickBot="1" x14ac:dyDescent="0.3">
      <c r="A266" s="54">
        <v>44460</v>
      </c>
      <c r="D266" s="56">
        <v>0.14199999999999999</v>
      </c>
      <c r="E266" s="57">
        <v>1287.433</v>
      </c>
      <c r="F266" s="58">
        <v>46.71</v>
      </c>
      <c r="G266" s="59"/>
      <c r="H266" s="59">
        <v>4140</v>
      </c>
      <c r="I266" s="59">
        <f t="shared" si="33"/>
        <v>24069.960000000323</v>
      </c>
      <c r="J266" s="59">
        <f t="shared" si="34"/>
        <v>434.70000000001647</v>
      </c>
      <c r="K266" s="60">
        <f t="shared" si="28"/>
        <v>1.8059855521156274E-2</v>
      </c>
      <c r="L266" s="59">
        <f t="shared" si="36"/>
        <v>434.70000000001647</v>
      </c>
      <c r="M266" s="60">
        <f t="shared" si="30"/>
        <v>1.8059855521156274E-2</v>
      </c>
      <c r="N266" s="61">
        <v>66068309</v>
      </c>
      <c r="O266" s="61">
        <f t="shared" si="37"/>
        <v>0</v>
      </c>
      <c r="P266" s="69" t="s">
        <v>46</v>
      </c>
      <c r="Q266" s="69" t="s">
        <v>47</v>
      </c>
      <c r="R266" s="20">
        <f t="shared" si="35"/>
        <v>1</v>
      </c>
      <c r="S266" s="20">
        <f t="shared" si="38"/>
        <v>0</v>
      </c>
    </row>
    <row r="267" spans="1:20" ht="12.75" customHeight="1" thickBot="1" x14ac:dyDescent="0.3">
      <c r="A267" s="54">
        <v>44461</v>
      </c>
      <c r="D267" s="56">
        <v>0.14199999999999999</v>
      </c>
      <c r="E267" s="57">
        <v>1293.519</v>
      </c>
      <c r="F267" s="58">
        <v>46.892000000000003</v>
      </c>
      <c r="G267" s="59"/>
      <c r="H267" s="59">
        <v>4140</v>
      </c>
      <c r="I267" s="59">
        <f t="shared" si="33"/>
        <v>25196.040000000052</v>
      </c>
      <c r="J267" s="59">
        <f t="shared" si="34"/>
        <v>753.48000000000889</v>
      </c>
      <c r="K267" s="60">
        <f t="shared" si="28"/>
        <v>2.9904699309891845E-2</v>
      </c>
      <c r="L267" s="59">
        <f t="shared" si="36"/>
        <v>753.48000000000889</v>
      </c>
      <c r="M267" s="60">
        <f t="shared" si="30"/>
        <v>2.9904699309891845E-2</v>
      </c>
      <c r="N267" s="61">
        <v>66068309</v>
      </c>
      <c r="O267" s="61">
        <f t="shared" si="37"/>
        <v>0</v>
      </c>
      <c r="P267" s="70">
        <f>IF(J247="",0,+SUM(J247:J276)/SUM(I247:I276))</f>
        <v>2.7261563651248474E-2</v>
      </c>
      <c r="Q267" s="70">
        <f>IF(L247="",0,+SUM(L247:L276)/SUM(I247:I276))</f>
        <v>2.7261563651248474E-2</v>
      </c>
      <c r="R267" s="20">
        <f t="shared" si="35"/>
        <v>1</v>
      </c>
      <c r="S267" s="20">
        <f t="shared" si="38"/>
        <v>0</v>
      </c>
    </row>
    <row r="268" spans="1:20" ht="12.75" customHeight="1" thickBot="1" x14ac:dyDescent="0.3">
      <c r="A268" s="54">
        <v>44462</v>
      </c>
      <c r="D268" s="56">
        <v>0.14199999999999999</v>
      </c>
      <c r="E268" s="57">
        <v>1299.807</v>
      </c>
      <c r="F268" s="58">
        <v>47.073</v>
      </c>
      <c r="G268" s="59"/>
      <c r="H268" s="59">
        <v>4140</v>
      </c>
      <c r="I268" s="59">
        <f t="shared" si="33"/>
        <v>26032.320000000043</v>
      </c>
      <c r="J268" s="59">
        <f t="shared" si="34"/>
        <v>749.33999999998923</v>
      </c>
      <c r="K268" s="60">
        <f t="shared" si="28"/>
        <v>2.8784987277353229E-2</v>
      </c>
      <c r="L268" s="59">
        <f t="shared" si="36"/>
        <v>749.33999999998923</v>
      </c>
      <c r="M268" s="60">
        <f t="shared" si="30"/>
        <v>2.8784987277353229E-2</v>
      </c>
      <c r="N268" s="61">
        <v>66068309</v>
      </c>
      <c r="O268" s="61">
        <f t="shared" si="37"/>
        <v>0</v>
      </c>
      <c r="P268" s="71" t="e">
        <f>IF(J247="",0,+(+(LOOKUP(9.99999999999999E+307,E247:E276)-E246))/(+(LOOKUP(9.99999999999999E+307,D247:D276)-D246)))</f>
        <v>#DIV/0!</v>
      </c>
      <c r="Q268" s="71" t="e">
        <f>IF(L247="",0,+(+(LOOKUP(9.99999999999999E+307,F247:F276)-F246))/(+(LOOKUP(9.99999999999999E+307,D247:D276)-D246)))</f>
        <v>#DIV/0!</v>
      </c>
      <c r="R268" s="20">
        <f t="shared" si="35"/>
        <v>1</v>
      </c>
      <c r="S268" s="20">
        <f t="shared" si="38"/>
        <v>0</v>
      </c>
      <c r="T268" s="65"/>
    </row>
    <row r="269" spans="1:20" ht="12.75" customHeight="1" thickBot="1" x14ac:dyDescent="0.3">
      <c r="A269" s="54">
        <v>44463</v>
      </c>
      <c r="D269" s="56">
        <v>0.14199999999999999</v>
      </c>
      <c r="E269" s="57">
        <v>1306.019</v>
      </c>
      <c r="F269" s="58">
        <v>47.26</v>
      </c>
      <c r="G269" s="59"/>
      <c r="H269" s="59">
        <v>4140</v>
      </c>
      <c r="I269" s="59">
        <f t="shared" si="33"/>
        <v>25717.679999999957</v>
      </c>
      <c r="J269" s="59">
        <f t="shared" si="34"/>
        <v>774.17999999999006</v>
      </c>
      <c r="K269" s="60">
        <f t="shared" ref="K269:K332" si="39">IF(J269="","",+(J269/I269))</f>
        <v>3.0103026400514796E-2</v>
      </c>
      <c r="L269" s="59">
        <f t="shared" si="36"/>
        <v>774.17999999999006</v>
      </c>
      <c r="M269" s="60">
        <f t="shared" ref="M269:M332" si="40">IF(L269="","",(L269/I269))</f>
        <v>3.0103026400514796E-2</v>
      </c>
      <c r="N269" s="61">
        <v>66068309</v>
      </c>
      <c r="O269" s="61">
        <f t="shared" si="37"/>
        <v>0</v>
      </c>
      <c r="P269" s="72" t="s">
        <v>48</v>
      </c>
      <c r="Q269" s="73" t="s">
        <v>49</v>
      </c>
      <c r="R269" s="20">
        <f t="shared" si="35"/>
        <v>1</v>
      </c>
      <c r="S269" s="20">
        <f t="shared" si="38"/>
        <v>0</v>
      </c>
      <c r="T269" s="65"/>
    </row>
    <row r="270" spans="1:20" ht="12.75" customHeight="1" thickBot="1" x14ac:dyDescent="0.3">
      <c r="A270" s="54">
        <v>44464</v>
      </c>
      <c r="D270" s="56">
        <v>0.14199999999999999</v>
      </c>
      <c r="E270" s="57">
        <v>1313.3050000000001</v>
      </c>
      <c r="F270" s="58">
        <v>47.500999999999998</v>
      </c>
      <c r="G270" s="59"/>
      <c r="H270" s="59">
        <v>4140</v>
      </c>
      <c r="I270" s="59">
        <f t="shared" si="33"/>
        <v>30164.040000000241</v>
      </c>
      <c r="J270" s="59">
        <f t="shared" si="34"/>
        <v>997.73999999999864</v>
      </c>
      <c r="K270" s="60">
        <f t="shared" si="39"/>
        <v>3.3077134230029885E-2</v>
      </c>
      <c r="L270" s="59">
        <f t="shared" si="36"/>
        <v>997.73999999999864</v>
      </c>
      <c r="M270" s="60">
        <f t="shared" si="40"/>
        <v>3.3077134230029885E-2</v>
      </c>
      <c r="N270" s="61">
        <v>66068309</v>
      </c>
      <c r="O270" s="61">
        <f t="shared" si="37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5"/>
        <v>1</v>
      </c>
      <c r="S270" s="20">
        <f t="shared" si="38"/>
        <v>0</v>
      </c>
      <c r="T270" s="65"/>
    </row>
    <row r="271" spans="1:20" ht="12.75" customHeight="1" thickBot="1" x14ac:dyDescent="0.3">
      <c r="A271" s="54">
        <v>44465</v>
      </c>
      <c r="D271" s="56">
        <v>0.14199999999999999</v>
      </c>
      <c r="E271" s="57">
        <v>1319.6379999999999</v>
      </c>
      <c r="F271" s="58">
        <v>47.692</v>
      </c>
      <c r="G271" s="59"/>
      <c r="H271" s="59">
        <v>4140</v>
      </c>
      <c r="I271" s="59">
        <f t="shared" si="33"/>
        <v>26218.619999999406</v>
      </c>
      <c r="J271" s="59">
        <f t="shared" si="34"/>
        <v>790.74000000001035</v>
      </c>
      <c r="K271" s="60">
        <f t="shared" si="39"/>
        <v>3.0159482078005184E-2</v>
      </c>
      <c r="L271" s="59">
        <f t="shared" si="36"/>
        <v>790.74000000001035</v>
      </c>
      <c r="M271" s="60">
        <f t="shared" si="40"/>
        <v>3.0159482078005184E-2</v>
      </c>
      <c r="N271" s="61">
        <v>66068309</v>
      </c>
      <c r="O271" s="61">
        <f t="shared" si="37"/>
        <v>0</v>
      </c>
      <c r="P271" s="76" t="s">
        <v>50</v>
      </c>
      <c r="Q271" s="77" t="s">
        <v>58</v>
      </c>
      <c r="R271" s="20">
        <f t="shared" si="35"/>
        <v>1</v>
      </c>
      <c r="S271" s="20">
        <f t="shared" si="38"/>
        <v>0</v>
      </c>
      <c r="T271" s="65"/>
    </row>
    <row r="272" spans="1:20" ht="12.75" customHeight="1" thickBot="1" x14ac:dyDescent="0.3">
      <c r="A272" s="54">
        <v>44466</v>
      </c>
      <c r="D272" s="56">
        <v>0.14199999999999999</v>
      </c>
      <c r="E272" s="57">
        <v>1326.4449999999999</v>
      </c>
      <c r="F272" s="58">
        <v>47.881</v>
      </c>
      <c r="G272" s="59"/>
      <c r="H272" s="59">
        <v>4140</v>
      </c>
      <c r="I272" s="59">
        <f t="shared" si="33"/>
        <v>28180.980000000069</v>
      </c>
      <c r="J272" s="59">
        <f t="shared" si="34"/>
        <v>782.46000000000026</v>
      </c>
      <c r="K272" s="60">
        <f t="shared" si="39"/>
        <v>2.7765535478184163E-2</v>
      </c>
      <c r="L272" s="59">
        <f t="shared" si="36"/>
        <v>782.46000000000026</v>
      </c>
      <c r="M272" s="60">
        <f t="shared" si="40"/>
        <v>2.7765535478184163E-2</v>
      </c>
      <c r="N272" s="61">
        <v>66068309</v>
      </c>
      <c r="O272" s="61">
        <f t="shared" si="37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5"/>
        <v>1</v>
      </c>
      <c r="S272" s="20">
        <f t="shared" si="38"/>
        <v>0</v>
      </c>
    </row>
    <row r="273" spans="1:23" ht="12.75" customHeight="1" thickBot="1" x14ac:dyDescent="0.3">
      <c r="A273" s="54">
        <v>44467</v>
      </c>
      <c r="D273" s="56">
        <v>0.14199999999999999</v>
      </c>
      <c r="E273" s="57">
        <v>1332.758</v>
      </c>
      <c r="F273" s="58">
        <v>48.064</v>
      </c>
      <c r="G273" s="59"/>
      <c r="H273" s="59">
        <v>4140</v>
      </c>
      <c r="I273" s="59">
        <f t="shared" si="33"/>
        <v>26135.820000000422</v>
      </c>
      <c r="J273" s="59">
        <f t="shared" si="34"/>
        <v>757.61999999999932</v>
      </c>
      <c r="K273" s="60">
        <f t="shared" si="39"/>
        <v>2.8987802946300788E-2</v>
      </c>
      <c r="L273" s="59">
        <f t="shared" si="36"/>
        <v>757.61999999999932</v>
      </c>
      <c r="M273" s="60">
        <f t="shared" si="40"/>
        <v>2.8987802946300788E-2</v>
      </c>
      <c r="N273" s="61">
        <v>66068309</v>
      </c>
      <c r="O273" s="61">
        <f t="shared" si="37"/>
        <v>0</v>
      </c>
      <c r="P273" s="80" t="s">
        <v>52</v>
      </c>
      <c r="Q273" s="81" t="s">
        <v>59</v>
      </c>
      <c r="R273" s="20">
        <f t="shared" si="35"/>
        <v>1</v>
      </c>
      <c r="S273" s="20">
        <f t="shared" si="38"/>
        <v>0</v>
      </c>
    </row>
    <row r="274" spans="1:23" ht="12.75" customHeight="1" thickBot="1" x14ac:dyDescent="0.3">
      <c r="A274" s="54">
        <v>44468</v>
      </c>
      <c r="D274" s="56">
        <v>0.14199999999999999</v>
      </c>
      <c r="E274" s="57">
        <v>1339.6389999999999</v>
      </c>
      <c r="F274" s="58">
        <v>48.209000000000003</v>
      </c>
      <c r="G274" s="59"/>
      <c r="H274" s="59">
        <v>4140</v>
      </c>
      <c r="I274" s="59">
        <f t="shared" si="33"/>
        <v>28487.339999999414</v>
      </c>
      <c r="J274" s="59">
        <f t="shared" si="34"/>
        <v>600.30000000001291</v>
      </c>
      <c r="K274" s="60">
        <f t="shared" si="39"/>
        <v>2.107251852928442E-2</v>
      </c>
      <c r="L274" s="59">
        <f t="shared" si="36"/>
        <v>600.30000000001291</v>
      </c>
      <c r="M274" s="60">
        <f t="shared" si="40"/>
        <v>2.107251852928442E-2</v>
      </c>
      <c r="N274" s="61">
        <v>66068309</v>
      </c>
      <c r="O274" s="61">
        <f t="shared" si="37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5"/>
        <v>1</v>
      </c>
      <c r="S274" s="20">
        <f t="shared" si="38"/>
        <v>0</v>
      </c>
    </row>
    <row r="275" spans="1:23" ht="12.75" customHeight="1" thickBot="1" x14ac:dyDescent="0.3">
      <c r="A275" s="54">
        <v>44469</v>
      </c>
      <c r="D275" s="56">
        <v>0.14199999999999999</v>
      </c>
      <c r="E275" s="57">
        <v>1345.6120000000001</v>
      </c>
      <c r="F275" s="58">
        <v>48.378999999999998</v>
      </c>
      <c r="G275" s="59"/>
      <c r="H275" s="59">
        <v>4140</v>
      </c>
      <c r="I275" s="59">
        <f t="shared" si="33"/>
        <v>24728.220000000762</v>
      </c>
      <c r="J275" s="59">
        <f t="shared" si="34"/>
        <v>703.79999999997767</v>
      </c>
      <c r="K275" s="60">
        <f t="shared" si="39"/>
        <v>2.8461409676877512E-2</v>
      </c>
      <c r="L275" s="59">
        <f t="shared" si="36"/>
        <v>703.79999999997767</v>
      </c>
      <c r="M275" s="60">
        <f t="shared" si="40"/>
        <v>2.8461409676877512E-2</v>
      </c>
      <c r="N275" s="61">
        <v>66068309</v>
      </c>
      <c r="O275" s="61">
        <f t="shared" si="37"/>
        <v>0</v>
      </c>
      <c r="P275" s="85" t="s">
        <v>54</v>
      </c>
      <c r="Q275" s="86" t="s">
        <v>55</v>
      </c>
      <c r="R275" s="20">
        <f t="shared" si="35"/>
        <v>1</v>
      </c>
      <c r="S275" s="20">
        <f t="shared" si="38"/>
        <v>0</v>
      </c>
    </row>
    <row r="276" spans="1:23" ht="12.75" customHeight="1" thickBot="1" x14ac:dyDescent="0.3">
      <c r="A276" s="54">
        <v>44470</v>
      </c>
      <c r="D276" s="56">
        <v>0.14199999999999999</v>
      </c>
      <c r="E276" s="57">
        <v>1351.557</v>
      </c>
      <c r="F276" s="58">
        <v>48.45</v>
      </c>
      <c r="G276" s="90"/>
      <c r="H276" s="59">
        <v>4140</v>
      </c>
      <c r="I276" s="59">
        <f t="shared" si="33"/>
        <v>24612.299999999737</v>
      </c>
      <c r="J276" s="59">
        <f t="shared" si="34"/>
        <v>293.94000000002097</v>
      </c>
      <c r="K276" s="60">
        <f t="shared" si="39"/>
        <v>1.1942809083264226E-2</v>
      </c>
      <c r="L276" s="90">
        <f t="shared" si="36"/>
        <v>293.94000000002097</v>
      </c>
      <c r="M276" s="60">
        <f t="shared" si="40"/>
        <v>1.1942809083264226E-2</v>
      </c>
      <c r="N276" s="92">
        <v>66068309</v>
      </c>
      <c r="O276" s="93">
        <f t="shared" si="37"/>
        <v>0</v>
      </c>
      <c r="P276" s="127">
        <f>(P274+Q272*SUM(S247:S276)*Q277)</f>
        <v>0</v>
      </c>
      <c r="Q276" s="95">
        <f>Q272*30</f>
        <v>0</v>
      </c>
      <c r="R276" s="20">
        <f t="shared" si="35"/>
        <v>1</v>
      </c>
      <c r="S276" s="20">
        <f t="shared" si="38"/>
        <v>0</v>
      </c>
    </row>
    <row r="277" spans="1:23" ht="15.75" thickBot="1" x14ac:dyDescent="0.3">
      <c r="A277" s="54">
        <v>44471</v>
      </c>
      <c r="D277" s="56">
        <v>0.14199999999999999</v>
      </c>
      <c r="E277" s="57">
        <v>1357.4659999999999</v>
      </c>
      <c r="F277" s="58">
        <v>48.707000000000001</v>
      </c>
      <c r="G277" s="59"/>
      <c r="H277" s="59">
        <v>4140</v>
      </c>
      <c r="I277" s="59">
        <f t="shared" si="33"/>
        <v>24463.259999999496</v>
      </c>
      <c r="J277" s="59">
        <f t="shared" si="34"/>
        <v>1063.9799999999914</v>
      </c>
      <c r="K277" s="60">
        <f t="shared" si="39"/>
        <v>4.3492976815028464E-2</v>
      </c>
      <c r="L277" s="59">
        <f t="shared" si="36"/>
        <v>1063.9799999999914</v>
      </c>
      <c r="M277" s="60">
        <f t="shared" si="40"/>
        <v>4.3492976815028464E-2</v>
      </c>
      <c r="N277" s="61">
        <v>66068309</v>
      </c>
      <c r="O277" s="61">
        <f t="shared" si="37"/>
        <v>0</v>
      </c>
      <c r="P277" s="96" t="s">
        <v>56</v>
      </c>
      <c r="Q277" s="97">
        <v>0.56999999999999995</v>
      </c>
      <c r="R277" s="20">
        <f t="shared" si="35"/>
        <v>1</v>
      </c>
      <c r="S277" s="20">
        <f t="shared" si="38"/>
        <v>0</v>
      </c>
    </row>
    <row r="278" spans="1:23" ht="15.75" thickBot="1" x14ac:dyDescent="0.3">
      <c r="A278" s="54">
        <v>44472</v>
      </c>
      <c r="D278" s="56">
        <v>0.14199999999999999</v>
      </c>
      <c r="E278" s="57">
        <v>1363.998</v>
      </c>
      <c r="F278" s="58">
        <v>48.847999999999999</v>
      </c>
      <c r="G278" s="59"/>
      <c r="H278" s="59">
        <v>4140</v>
      </c>
      <c r="I278" s="59">
        <f t="shared" si="33"/>
        <v>27042.480000000633</v>
      </c>
      <c r="J278" s="59">
        <f t="shared" si="34"/>
        <v>583.73999999999273</v>
      </c>
      <c r="K278" s="60">
        <f t="shared" si="39"/>
        <v>2.1586037966931253E-2</v>
      </c>
      <c r="L278" s="59">
        <f t="shared" si="36"/>
        <v>583.73999999999273</v>
      </c>
      <c r="M278" s="60">
        <f t="shared" si="40"/>
        <v>2.1586037966931253E-2</v>
      </c>
      <c r="N278" s="61">
        <v>66068309</v>
      </c>
      <c r="O278" s="61">
        <f t="shared" si="37"/>
        <v>0</v>
      </c>
      <c r="P278" s="62"/>
      <c r="Q278" s="104"/>
      <c r="R278" s="20">
        <f t="shared" si="35"/>
        <v>1</v>
      </c>
      <c r="S278" s="20">
        <f t="shared" si="38"/>
        <v>0</v>
      </c>
      <c r="W278" s="1" t="s">
        <v>77</v>
      </c>
    </row>
    <row r="279" spans="1:23" ht="15.75" thickBot="1" x14ac:dyDescent="0.3">
      <c r="A279" s="54">
        <v>44473</v>
      </c>
      <c r="D279" s="56">
        <v>0.14199999999999999</v>
      </c>
      <c r="E279" s="57">
        <v>1370.31</v>
      </c>
      <c r="F279" s="58">
        <v>48.988</v>
      </c>
      <c r="G279" s="59"/>
      <c r="H279" s="59">
        <v>4140</v>
      </c>
      <c r="I279" s="59">
        <f t="shared" si="33"/>
        <v>26131.679999999578</v>
      </c>
      <c r="J279" s="59">
        <f t="shared" si="34"/>
        <v>579.60000000000241</v>
      </c>
      <c r="K279" s="60">
        <f t="shared" si="39"/>
        <v>2.217997465145799E-2</v>
      </c>
      <c r="L279" s="59">
        <f t="shared" si="36"/>
        <v>579.60000000000241</v>
      </c>
      <c r="M279" s="60">
        <f t="shared" si="40"/>
        <v>2.217997465145799E-2</v>
      </c>
      <c r="N279" s="61">
        <v>66068309</v>
      </c>
      <c r="O279" s="61">
        <f t="shared" si="37"/>
        <v>0</v>
      </c>
      <c r="P279" s="100"/>
      <c r="Q279" s="101"/>
      <c r="R279" s="20">
        <f t="shared" si="35"/>
        <v>1</v>
      </c>
      <c r="S279" s="20">
        <f t="shared" si="38"/>
        <v>0</v>
      </c>
      <c r="T279" s="65"/>
    </row>
    <row r="280" spans="1:23" ht="15.75" thickBot="1" x14ac:dyDescent="0.3">
      <c r="A280" s="54">
        <v>44474</v>
      </c>
      <c r="D280" s="56">
        <v>0.14199999999999999</v>
      </c>
      <c r="E280" s="57">
        <v>1376.4549999999999</v>
      </c>
      <c r="F280" s="58">
        <v>49.140999999999998</v>
      </c>
      <c r="G280" s="59"/>
      <c r="H280" s="59">
        <v>4140</v>
      </c>
      <c r="I280" s="59">
        <f t="shared" si="33"/>
        <v>25440.299999999923</v>
      </c>
      <c r="J280" s="59">
        <f t="shared" si="34"/>
        <v>633.41999999999462</v>
      </c>
      <c r="K280" s="60">
        <f t="shared" si="39"/>
        <v>2.4898291293734609E-2</v>
      </c>
      <c r="L280" s="59">
        <f t="shared" si="36"/>
        <v>633.41999999999462</v>
      </c>
      <c r="M280" s="60">
        <f t="shared" si="40"/>
        <v>2.4898291293734609E-2</v>
      </c>
      <c r="N280" s="61">
        <v>66068309</v>
      </c>
      <c r="O280" s="61">
        <f t="shared" si="37"/>
        <v>0</v>
      </c>
      <c r="P280" s="102"/>
      <c r="Q280" s="103"/>
      <c r="R280" s="20">
        <f t="shared" si="35"/>
        <v>1</v>
      </c>
      <c r="S280" s="20">
        <f t="shared" si="38"/>
        <v>0</v>
      </c>
      <c r="T280" s="65"/>
    </row>
    <row r="281" spans="1:23" ht="15.75" thickBot="1" x14ac:dyDescent="0.3">
      <c r="A281" s="54">
        <v>44475</v>
      </c>
      <c r="D281" s="56">
        <v>0.14199999999999999</v>
      </c>
      <c r="E281" s="57">
        <v>1382.3340000000001</v>
      </c>
      <c r="F281" s="58">
        <v>49.222999999999999</v>
      </c>
      <c r="G281" s="59"/>
      <c r="H281" s="59">
        <v>4140</v>
      </c>
      <c r="I281" s="59">
        <f t="shared" si="33"/>
        <v>24339.060000000551</v>
      </c>
      <c r="J281" s="59">
        <f t="shared" si="34"/>
        <v>339.48000000000309</v>
      </c>
      <c r="K281" s="60">
        <f t="shared" si="39"/>
        <v>1.3947950331688875E-2</v>
      </c>
      <c r="L281" s="59">
        <f t="shared" si="36"/>
        <v>339.48000000000309</v>
      </c>
      <c r="M281" s="60">
        <f t="shared" si="40"/>
        <v>1.3947950331688875E-2</v>
      </c>
      <c r="N281" s="61">
        <v>66068309</v>
      </c>
      <c r="O281" s="61">
        <f t="shared" si="37"/>
        <v>0</v>
      </c>
      <c r="P281" s="102"/>
      <c r="Q281" s="101"/>
      <c r="R281" s="20">
        <f t="shared" si="35"/>
        <v>1</v>
      </c>
      <c r="S281" s="20">
        <f t="shared" si="38"/>
        <v>0</v>
      </c>
    </row>
    <row r="282" spans="1:23" ht="15.75" thickBot="1" x14ac:dyDescent="0.3">
      <c r="A282" s="54">
        <v>44476</v>
      </c>
      <c r="D282" s="56">
        <v>0.14199999999999999</v>
      </c>
      <c r="E282" s="57">
        <v>1388.6130000000001</v>
      </c>
      <c r="F282" s="58">
        <v>49.418999999999997</v>
      </c>
      <c r="G282" s="59"/>
      <c r="H282" s="59">
        <v>4140</v>
      </c>
      <c r="I282" s="59">
        <f t="shared" si="33"/>
        <v>25995.059999999983</v>
      </c>
      <c r="J282" s="59">
        <f t="shared" si="34"/>
        <v>811.43999999999153</v>
      </c>
      <c r="K282" s="60">
        <f t="shared" si="39"/>
        <v>3.1215161649943955E-2</v>
      </c>
      <c r="L282" s="59">
        <f t="shared" si="36"/>
        <v>811.43999999999153</v>
      </c>
      <c r="M282" s="60">
        <f t="shared" si="40"/>
        <v>3.1215161649943955E-2</v>
      </c>
      <c r="N282" s="61">
        <v>66068309</v>
      </c>
      <c r="O282" s="61">
        <f t="shared" si="37"/>
        <v>0</v>
      </c>
      <c r="P282" s="62"/>
      <c r="Q282" s="63"/>
      <c r="R282" s="20">
        <f t="shared" si="35"/>
        <v>1</v>
      </c>
      <c r="S282" s="20">
        <f t="shared" si="38"/>
        <v>0</v>
      </c>
    </row>
    <row r="283" spans="1:23" ht="15.75" thickBot="1" x14ac:dyDescent="0.3">
      <c r="A283" s="54">
        <v>44477</v>
      </c>
      <c r="D283" s="56">
        <v>0.14199999999999999</v>
      </c>
      <c r="E283" s="57">
        <v>1394.6769999999999</v>
      </c>
      <c r="F283" s="58">
        <v>49.613999999999997</v>
      </c>
      <c r="G283" s="59"/>
      <c r="H283" s="59">
        <v>4140</v>
      </c>
      <c r="I283" s="59">
        <f t="shared" si="33"/>
        <v>25104.959999999381</v>
      </c>
      <c r="J283" s="59">
        <f t="shared" si="34"/>
        <v>807.30000000000121</v>
      </c>
      <c r="K283" s="60">
        <f t="shared" si="39"/>
        <v>3.215699208443356E-2</v>
      </c>
      <c r="L283" s="59">
        <f t="shared" si="36"/>
        <v>807.30000000000121</v>
      </c>
      <c r="M283" s="60">
        <f t="shared" si="40"/>
        <v>3.215699208443356E-2</v>
      </c>
      <c r="N283" s="61">
        <v>66068309</v>
      </c>
      <c r="O283" s="61">
        <f t="shared" si="37"/>
        <v>0</v>
      </c>
      <c r="P283" s="62"/>
      <c r="Q283" s="64"/>
      <c r="R283" s="20">
        <f t="shared" si="35"/>
        <v>1</v>
      </c>
      <c r="S283" s="20">
        <f t="shared" si="38"/>
        <v>0</v>
      </c>
    </row>
    <row r="284" spans="1:23" ht="15.75" thickBot="1" x14ac:dyDescent="0.3">
      <c r="A284" s="54">
        <v>44478</v>
      </c>
      <c r="D284" s="56">
        <v>0.14199999999999999</v>
      </c>
      <c r="E284" s="57">
        <v>1400.9490000000001</v>
      </c>
      <c r="F284" s="58">
        <v>49.866</v>
      </c>
      <c r="G284" s="59"/>
      <c r="H284" s="59">
        <v>4140</v>
      </c>
      <c r="I284" s="59">
        <f t="shared" si="33"/>
        <v>25966.080000000671</v>
      </c>
      <c r="J284" s="59">
        <f t="shared" si="34"/>
        <v>1043.2800000000102</v>
      </c>
      <c r="K284" s="60">
        <f t="shared" si="39"/>
        <v>4.0178571428570786E-2</v>
      </c>
      <c r="L284" s="59">
        <f t="shared" si="36"/>
        <v>1043.2800000000102</v>
      </c>
      <c r="M284" s="60">
        <f t="shared" si="40"/>
        <v>4.0178571428570786E-2</v>
      </c>
      <c r="N284" s="61">
        <v>66068309</v>
      </c>
      <c r="O284" s="61">
        <f t="shared" si="37"/>
        <v>0</v>
      </c>
      <c r="P284" s="62"/>
      <c r="Q284" s="64"/>
      <c r="R284" s="20">
        <f t="shared" si="35"/>
        <v>1</v>
      </c>
      <c r="S284" s="20">
        <f t="shared" si="38"/>
        <v>0</v>
      </c>
      <c r="T284" s="65"/>
    </row>
    <row r="285" spans="1:23" ht="15.75" thickBot="1" x14ac:dyDescent="0.3">
      <c r="A285" s="54">
        <v>44479</v>
      </c>
      <c r="D285" s="56">
        <v>0.14199999999999999</v>
      </c>
      <c r="E285" s="57">
        <v>1406.4469999999999</v>
      </c>
      <c r="F285" s="58">
        <v>49.911999999999999</v>
      </c>
      <c r="G285" s="59"/>
      <c r="H285" s="59">
        <v>4140</v>
      </c>
      <c r="I285" s="59">
        <f t="shared" si="33"/>
        <v>22761.719999999255</v>
      </c>
      <c r="J285" s="59">
        <f t="shared" si="34"/>
        <v>190.43999999999741</v>
      </c>
      <c r="K285" s="60">
        <f t="shared" si="39"/>
        <v>8.3666787922882652E-3</v>
      </c>
      <c r="L285" s="59">
        <f t="shared" si="36"/>
        <v>190.43999999999741</v>
      </c>
      <c r="M285" s="60">
        <f t="shared" si="40"/>
        <v>8.3666787922882652E-3</v>
      </c>
      <c r="N285" s="61">
        <v>66068309</v>
      </c>
      <c r="O285" s="61">
        <f t="shared" si="37"/>
        <v>0</v>
      </c>
      <c r="P285" s="62"/>
      <c r="Q285" s="64"/>
      <c r="R285" s="20">
        <f t="shared" si="35"/>
        <v>1</v>
      </c>
      <c r="S285" s="20">
        <f t="shared" si="38"/>
        <v>0</v>
      </c>
      <c r="T285" s="65"/>
    </row>
    <row r="286" spans="1:23" ht="15.75" thickBot="1" x14ac:dyDescent="0.3">
      <c r="A286" s="54">
        <v>44480</v>
      </c>
      <c r="D286" s="56">
        <v>0.14199999999999999</v>
      </c>
      <c r="E286" s="57">
        <v>1412.019</v>
      </c>
      <c r="F286" s="58">
        <v>50.119</v>
      </c>
      <c r="G286" s="59"/>
      <c r="H286" s="59">
        <v>4140</v>
      </c>
      <c r="I286" s="59">
        <f t="shared" si="33"/>
        <v>23068.080000000482</v>
      </c>
      <c r="J286" s="59">
        <f t="shared" si="34"/>
        <v>856.98000000000309</v>
      </c>
      <c r="K286" s="60">
        <f t="shared" si="39"/>
        <v>3.7150035893753847E-2</v>
      </c>
      <c r="L286" s="59">
        <f t="shared" si="36"/>
        <v>856.98000000000309</v>
      </c>
      <c r="M286" s="60">
        <f t="shared" si="40"/>
        <v>3.7150035893753847E-2</v>
      </c>
      <c r="N286" s="61">
        <v>66068309</v>
      </c>
      <c r="O286" s="61">
        <f t="shared" si="37"/>
        <v>0</v>
      </c>
      <c r="P286" s="62"/>
      <c r="Q286" s="63"/>
      <c r="R286" s="20">
        <f t="shared" si="35"/>
        <v>1</v>
      </c>
      <c r="S286" s="20">
        <f t="shared" si="38"/>
        <v>0</v>
      </c>
    </row>
    <row r="287" spans="1:23" ht="15.75" thickBot="1" x14ac:dyDescent="0.3">
      <c r="A287" s="54">
        <v>44481</v>
      </c>
      <c r="D287" s="56"/>
      <c r="E287" s="57"/>
      <c r="F287" s="58"/>
      <c r="G287" s="59"/>
      <c r="H287" s="59">
        <v>4140</v>
      </c>
      <c r="I287" s="59" t="str">
        <f t="shared" si="33"/>
        <v/>
      </c>
      <c r="J287" s="59" t="str">
        <f t="shared" si="34"/>
        <v/>
      </c>
      <c r="K287" s="60" t="str">
        <f t="shared" si="39"/>
        <v/>
      </c>
      <c r="L287" s="59" t="str">
        <f t="shared" si="36"/>
        <v/>
      </c>
      <c r="M287" s="60" t="str">
        <f t="shared" si="40"/>
        <v/>
      </c>
      <c r="N287" s="61">
        <v>66068309</v>
      </c>
      <c r="O287" s="61">
        <f t="shared" si="37"/>
        <v>0</v>
      </c>
      <c r="P287" s="62"/>
      <c r="Q287" s="63"/>
      <c r="R287" s="20">
        <f t="shared" si="35"/>
        <v>1</v>
      </c>
      <c r="S287" s="20">
        <f t="shared" si="38"/>
        <v>0</v>
      </c>
    </row>
    <row r="288" spans="1:23" ht="15.75" thickBot="1" x14ac:dyDescent="0.3">
      <c r="A288" s="54">
        <v>44482</v>
      </c>
      <c r="D288" s="56"/>
      <c r="E288" s="57"/>
      <c r="F288" s="58"/>
      <c r="G288" s="59"/>
      <c r="H288" s="59">
        <v>4140</v>
      </c>
      <c r="I288" s="59" t="str">
        <f t="shared" si="33"/>
        <v/>
      </c>
      <c r="J288" s="59" t="str">
        <f t="shared" si="34"/>
        <v/>
      </c>
      <c r="K288" s="60" t="str">
        <f t="shared" si="39"/>
        <v/>
      </c>
      <c r="L288" s="59" t="str">
        <f t="shared" si="36"/>
        <v/>
      </c>
      <c r="M288" s="60" t="str">
        <f t="shared" si="40"/>
        <v/>
      </c>
      <c r="N288" s="61">
        <v>66068309</v>
      </c>
      <c r="O288" s="61">
        <f t="shared" si="37"/>
        <v>0</v>
      </c>
      <c r="P288" s="62"/>
      <c r="Q288" s="64"/>
      <c r="R288" s="20">
        <f t="shared" si="35"/>
        <v>1</v>
      </c>
      <c r="S288" s="20">
        <f t="shared" si="38"/>
        <v>0</v>
      </c>
    </row>
    <row r="289" spans="1:20" ht="15.75" thickBot="1" x14ac:dyDescent="0.3">
      <c r="A289" s="54">
        <v>44483</v>
      </c>
      <c r="D289" s="56"/>
      <c r="E289" s="57"/>
      <c r="F289" s="58"/>
      <c r="G289" s="59"/>
      <c r="H289" s="59">
        <v>4140</v>
      </c>
      <c r="I289" s="59" t="str">
        <f t="shared" si="33"/>
        <v/>
      </c>
      <c r="J289" s="59" t="str">
        <f t="shared" si="34"/>
        <v/>
      </c>
      <c r="K289" s="60" t="str">
        <f t="shared" si="39"/>
        <v/>
      </c>
      <c r="L289" s="59" t="str">
        <f t="shared" si="36"/>
        <v/>
      </c>
      <c r="M289" s="60" t="str">
        <f t="shared" si="40"/>
        <v/>
      </c>
      <c r="N289" s="61">
        <v>66068309</v>
      </c>
      <c r="O289" s="61">
        <f t="shared" si="37"/>
        <v>0</v>
      </c>
      <c r="P289" s="62"/>
      <c r="Q289" s="64"/>
      <c r="R289" s="20">
        <f t="shared" si="35"/>
        <v>1</v>
      </c>
      <c r="S289" s="20">
        <f t="shared" si="38"/>
        <v>0</v>
      </c>
      <c r="T289" s="65"/>
    </row>
    <row r="290" spans="1:20" ht="15.75" thickBot="1" x14ac:dyDescent="0.3">
      <c r="A290" s="54">
        <v>44484</v>
      </c>
      <c r="D290" s="56"/>
      <c r="E290" s="57"/>
      <c r="F290" s="58"/>
      <c r="G290" s="59"/>
      <c r="H290" s="59">
        <v>4140</v>
      </c>
      <c r="I290" s="59" t="str">
        <f t="shared" si="33"/>
        <v/>
      </c>
      <c r="J290" s="59" t="str">
        <f t="shared" si="34"/>
        <v/>
      </c>
      <c r="K290" s="60" t="str">
        <f t="shared" si="39"/>
        <v/>
      </c>
      <c r="L290" s="59" t="str">
        <f t="shared" si="36"/>
        <v/>
      </c>
      <c r="M290" s="60" t="str">
        <f t="shared" si="40"/>
        <v/>
      </c>
      <c r="N290" s="61">
        <v>66068309</v>
      </c>
      <c r="O290" s="61">
        <f t="shared" si="37"/>
        <v>0</v>
      </c>
      <c r="P290" s="62"/>
      <c r="Q290" s="63"/>
      <c r="R290" s="20">
        <f t="shared" si="35"/>
        <v>1</v>
      </c>
      <c r="S290" s="20">
        <f t="shared" si="38"/>
        <v>0</v>
      </c>
      <c r="T290" s="65"/>
    </row>
    <row r="291" spans="1:20" ht="15.75" thickBot="1" x14ac:dyDescent="0.3">
      <c r="A291" s="54">
        <v>44485</v>
      </c>
      <c r="D291" s="56"/>
      <c r="E291" s="57"/>
      <c r="F291" s="58"/>
      <c r="G291" s="59"/>
      <c r="H291" s="59">
        <v>4140</v>
      </c>
      <c r="I291" s="59" t="str">
        <f t="shared" si="33"/>
        <v/>
      </c>
      <c r="J291" s="59" t="str">
        <f t="shared" si="34"/>
        <v/>
      </c>
      <c r="K291" s="60" t="str">
        <f t="shared" si="39"/>
        <v/>
      </c>
      <c r="L291" s="59" t="str">
        <f t="shared" si="36"/>
        <v/>
      </c>
      <c r="M291" s="60" t="str">
        <f t="shared" si="40"/>
        <v/>
      </c>
      <c r="N291" s="61">
        <v>66068309</v>
      </c>
      <c r="O291" s="61">
        <f t="shared" si="37"/>
        <v>0</v>
      </c>
      <c r="P291" s="62"/>
      <c r="Q291" s="63"/>
      <c r="R291" s="20">
        <f t="shared" si="35"/>
        <v>1</v>
      </c>
      <c r="S291" s="20">
        <f t="shared" si="38"/>
        <v>0</v>
      </c>
    </row>
    <row r="292" spans="1:20" ht="15.75" thickBot="1" x14ac:dyDescent="0.3">
      <c r="A292" s="54">
        <v>44486</v>
      </c>
      <c r="D292" s="56"/>
      <c r="E292" s="57"/>
      <c r="F292" s="58"/>
      <c r="G292" s="59"/>
      <c r="H292" s="59">
        <v>4140</v>
      </c>
      <c r="I292" s="59" t="str">
        <f t="shared" si="33"/>
        <v/>
      </c>
      <c r="J292" s="59" t="str">
        <f t="shared" si="34"/>
        <v/>
      </c>
      <c r="K292" s="60" t="str">
        <f t="shared" si="39"/>
        <v/>
      </c>
      <c r="L292" s="59" t="str">
        <f t="shared" si="36"/>
        <v/>
      </c>
      <c r="M292" s="60" t="str">
        <f t="shared" si="40"/>
        <v/>
      </c>
      <c r="N292" s="61">
        <v>66068309</v>
      </c>
      <c r="O292" s="61">
        <f t="shared" si="37"/>
        <v>0</v>
      </c>
      <c r="P292" s="62"/>
      <c r="Q292" s="63"/>
      <c r="R292" s="20">
        <f t="shared" si="35"/>
        <v>1</v>
      </c>
      <c r="S292" s="20">
        <f t="shared" si="38"/>
        <v>0</v>
      </c>
    </row>
    <row r="293" spans="1:20" ht="15.75" thickBot="1" x14ac:dyDescent="0.3">
      <c r="A293" s="54">
        <v>44487</v>
      </c>
      <c r="D293" s="56"/>
      <c r="E293" s="57"/>
      <c r="F293" s="58"/>
      <c r="G293" s="59"/>
      <c r="H293" s="59">
        <v>4140</v>
      </c>
      <c r="I293" s="59" t="str">
        <f t="shared" si="33"/>
        <v/>
      </c>
      <c r="J293" s="59" t="str">
        <f t="shared" si="34"/>
        <v/>
      </c>
      <c r="K293" s="60" t="str">
        <f t="shared" si="39"/>
        <v/>
      </c>
      <c r="L293" s="59" t="str">
        <f t="shared" si="36"/>
        <v/>
      </c>
      <c r="M293" s="60" t="str">
        <f t="shared" si="40"/>
        <v/>
      </c>
      <c r="N293" s="61">
        <v>66068309</v>
      </c>
      <c r="O293" s="61">
        <f>IF(N293="","",N293-N292)</f>
        <v>0</v>
      </c>
      <c r="P293" s="62"/>
      <c r="Q293" s="104"/>
      <c r="R293" s="20">
        <f t="shared" si="35"/>
        <v>1</v>
      </c>
      <c r="S293" s="20">
        <f t="shared" si="38"/>
        <v>0</v>
      </c>
    </row>
    <row r="294" spans="1:20" ht="15.75" thickBot="1" x14ac:dyDescent="0.3">
      <c r="A294" s="54">
        <v>44488</v>
      </c>
      <c r="D294" s="56"/>
      <c r="E294" s="57"/>
      <c r="F294" s="58"/>
      <c r="G294" s="59"/>
      <c r="H294" s="59">
        <v>4140</v>
      </c>
      <c r="I294" s="59" t="str">
        <f t="shared" si="33"/>
        <v/>
      </c>
      <c r="J294" s="59" t="str">
        <f t="shared" si="34"/>
        <v/>
      </c>
      <c r="K294" s="60" t="str">
        <f t="shared" si="39"/>
        <v/>
      </c>
      <c r="L294" s="59" t="str">
        <f t="shared" si="36"/>
        <v/>
      </c>
      <c r="M294" s="60" t="str">
        <f t="shared" si="40"/>
        <v/>
      </c>
      <c r="N294" s="61">
        <v>66068309</v>
      </c>
      <c r="O294" s="61">
        <f>IF(N294="","",N294-N293)</f>
        <v>0</v>
      </c>
      <c r="P294" s="62"/>
      <c r="Q294" s="104"/>
      <c r="R294" s="20">
        <f t="shared" si="35"/>
        <v>1</v>
      </c>
      <c r="S294" s="20">
        <f t="shared" si="38"/>
        <v>0</v>
      </c>
      <c r="T294" s="65"/>
    </row>
    <row r="295" spans="1:20" ht="15.75" thickBot="1" x14ac:dyDescent="0.3">
      <c r="A295" s="54">
        <v>44489</v>
      </c>
      <c r="D295" s="56"/>
      <c r="E295" s="57"/>
      <c r="F295" s="58"/>
      <c r="G295" s="59"/>
      <c r="H295" s="59">
        <v>4140</v>
      </c>
      <c r="I295" s="59" t="str">
        <f t="shared" si="33"/>
        <v/>
      </c>
      <c r="J295" s="59" t="str">
        <f t="shared" si="34"/>
        <v/>
      </c>
      <c r="K295" s="60" t="str">
        <f t="shared" si="39"/>
        <v/>
      </c>
      <c r="L295" s="59" t="str">
        <f t="shared" si="36"/>
        <v/>
      </c>
      <c r="M295" s="60" t="str">
        <f t="shared" si="40"/>
        <v/>
      </c>
      <c r="N295" s="61">
        <v>66068309</v>
      </c>
      <c r="O295" s="61">
        <f t="shared" si="37"/>
        <v>0</v>
      </c>
      <c r="P295" s="202" t="s">
        <v>67</v>
      </c>
      <c r="Q295" s="203"/>
      <c r="R295" s="20">
        <f t="shared" si="35"/>
        <v>1</v>
      </c>
      <c r="S295" s="20">
        <f t="shared" si="38"/>
        <v>0</v>
      </c>
      <c r="T295" s="65"/>
    </row>
    <row r="296" spans="1:20" ht="15.75" thickBot="1" x14ac:dyDescent="0.3">
      <c r="A296" s="54">
        <v>44490</v>
      </c>
      <c r="D296" s="56"/>
      <c r="E296" s="57"/>
      <c r="F296" s="58"/>
      <c r="G296" s="59"/>
      <c r="H296" s="59">
        <v>4140</v>
      </c>
      <c r="I296" s="59" t="str">
        <f t="shared" si="33"/>
        <v/>
      </c>
      <c r="J296" s="59" t="str">
        <f t="shared" si="34"/>
        <v/>
      </c>
      <c r="K296" s="60" t="str">
        <f t="shared" si="39"/>
        <v/>
      </c>
      <c r="L296" s="59" t="str">
        <f t="shared" si="36"/>
        <v/>
      </c>
      <c r="M296" s="60" t="str">
        <f t="shared" si="40"/>
        <v/>
      </c>
      <c r="N296" s="61">
        <v>66068309</v>
      </c>
      <c r="O296" s="61">
        <f t="shared" si="37"/>
        <v>0</v>
      </c>
      <c r="P296" s="204"/>
      <c r="Q296" s="205"/>
      <c r="R296" s="20">
        <f t="shared" si="35"/>
        <v>1</v>
      </c>
      <c r="S296" s="20">
        <f t="shared" si="38"/>
        <v>0</v>
      </c>
    </row>
    <row r="297" spans="1:20" ht="15.75" thickBot="1" x14ac:dyDescent="0.3">
      <c r="A297" s="54">
        <v>44491</v>
      </c>
      <c r="D297" s="56"/>
      <c r="E297" s="57"/>
      <c r="F297" s="58"/>
      <c r="G297" s="59"/>
      <c r="H297" s="59">
        <v>4140</v>
      </c>
      <c r="I297" s="59" t="str">
        <f t="shared" si="33"/>
        <v/>
      </c>
      <c r="J297" s="59" t="str">
        <f t="shared" si="34"/>
        <v/>
      </c>
      <c r="K297" s="60" t="str">
        <f t="shared" si="39"/>
        <v/>
      </c>
      <c r="L297" s="59" t="str">
        <f t="shared" si="36"/>
        <v/>
      </c>
      <c r="M297" s="60" t="str">
        <f t="shared" si="40"/>
        <v/>
      </c>
      <c r="N297" s="61">
        <v>66068309</v>
      </c>
      <c r="O297" s="61">
        <f t="shared" si="37"/>
        <v>0</v>
      </c>
      <c r="P297" s="69" t="s">
        <v>46</v>
      </c>
      <c r="Q297" s="69" t="s">
        <v>47</v>
      </c>
      <c r="R297" s="20">
        <f t="shared" si="35"/>
        <v>1</v>
      </c>
      <c r="S297" s="20">
        <f t="shared" si="38"/>
        <v>0</v>
      </c>
    </row>
    <row r="298" spans="1:20" ht="15.75" thickBot="1" x14ac:dyDescent="0.3">
      <c r="A298" s="54">
        <v>44492</v>
      </c>
      <c r="D298" s="56"/>
      <c r="E298" s="57"/>
      <c r="F298" s="58"/>
      <c r="G298" s="59"/>
      <c r="H298" s="59">
        <v>4140</v>
      </c>
      <c r="I298" s="59" t="str">
        <f t="shared" si="33"/>
        <v/>
      </c>
      <c r="J298" s="59" t="str">
        <f t="shared" si="34"/>
        <v/>
      </c>
      <c r="K298" s="60" t="str">
        <f t="shared" si="39"/>
        <v/>
      </c>
      <c r="L298" s="59" t="str">
        <f t="shared" si="36"/>
        <v/>
      </c>
      <c r="M298" s="60" t="str">
        <f t="shared" si="40"/>
        <v/>
      </c>
      <c r="N298" s="61">
        <v>66068309</v>
      </c>
      <c r="O298" s="61">
        <f t="shared" si="37"/>
        <v>0</v>
      </c>
      <c r="P298" s="70">
        <f>IF(J277="",0,+SUM(J277:J307)/SUM(I277:I307))</f>
        <v>2.7604114981310539E-2</v>
      </c>
      <c r="Q298" s="70">
        <f>IF(L277="",0,+SUM(L277:L307)/SUM(I277:I307))</f>
        <v>2.7604114981310539E-2</v>
      </c>
      <c r="R298" s="20">
        <f t="shared" si="35"/>
        <v>1</v>
      </c>
      <c r="S298" s="20">
        <f t="shared" si="38"/>
        <v>0</v>
      </c>
      <c r="T298" s="65"/>
    </row>
    <row r="299" spans="1:20" ht="15.75" thickBot="1" x14ac:dyDescent="0.3">
      <c r="A299" s="54">
        <v>44493</v>
      </c>
      <c r="D299" s="56"/>
      <c r="E299" s="57"/>
      <c r="F299" s="58"/>
      <c r="G299" s="59"/>
      <c r="H299" s="59">
        <v>4140</v>
      </c>
      <c r="I299" s="59" t="str">
        <f t="shared" si="33"/>
        <v/>
      </c>
      <c r="J299" s="59" t="str">
        <f t="shared" si="34"/>
        <v/>
      </c>
      <c r="K299" s="60" t="str">
        <f t="shared" si="39"/>
        <v/>
      </c>
      <c r="L299" s="59" t="str">
        <f t="shared" si="36"/>
        <v/>
      </c>
      <c r="M299" s="60" t="str">
        <f t="shared" si="40"/>
        <v/>
      </c>
      <c r="N299" s="61">
        <v>66068309</v>
      </c>
      <c r="O299" s="61">
        <f t="shared" si="37"/>
        <v>0</v>
      </c>
      <c r="P299" s="71" t="e">
        <f>IF(J277="",0,+(+(LOOKUP(9.99999999999999E+307,E277:E307)-E276))/(+(LOOKUP(9.99999999999999E+307,D277:D307)-D276)))</f>
        <v>#DIV/0!</v>
      </c>
      <c r="Q299" s="71" t="e">
        <f>IF(L277="",0,+(+(LOOKUP(9.99999999999999E+307,F277:F307)-F276))/(+(LOOKUP(9.99999999999999E+307,D277:D307)-D276)))</f>
        <v>#DIV/0!</v>
      </c>
      <c r="R299" s="20">
        <f t="shared" si="35"/>
        <v>1</v>
      </c>
      <c r="S299" s="20">
        <f t="shared" si="38"/>
        <v>0</v>
      </c>
      <c r="T299" s="65"/>
    </row>
    <row r="300" spans="1:20" ht="15.75" thickBot="1" x14ac:dyDescent="0.3">
      <c r="A300" s="54">
        <v>44494</v>
      </c>
      <c r="D300" s="56"/>
      <c r="E300" s="57"/>
      <c r="F300" s="58"/>
      <c r="G300" s="59"/>
      <c r="H300" s="59">
        <v>4140</v>
      </c>
      <c r="I300" s="59" t="str">
        <f t="shared" ref="I300:J315" si="41">IF(D300="","",+(E300-E299)*4140)</f>
        <v/>
      </c>
      <c r="J300" s="59" t="str">
        <f t="shared" si="41"/>
        <v/>
      </c>
      <c r="K300" s="60" t="str">
        <f t="shared" si="39"/>
        <v/>
      </c>
      <c r="L300" s="59" t="str">
        <f t="shared" si="36"/>
        <v/>
      </c>
      <c r="M300" s="60" t="str">
        <f t="shared" si="40"/>
        <v/>
      </c>
      <c r="N300" s="61">
        <v>66068309</v>
      </c>
      <c r="O300" s="61">
        <f t="shared" si="37"/>
        <v>0</v>
      </c>
      <c r="P300" s="72" t="s">
        <v>48</v>
      </c>
      <c r="Q300" s="73" t="s">
        <v>49</v>
      </c>
      <c r="R300" s="20">
        <f t="shared" si="35"/>
        <v>1</v>
      </c>
      <c r="S300" s="20">
        <f t="shared" si="38"/>
        <v>0</v>
      </c>
      <c r="T300" s="65"/>
    </row>
    <row r="301" spans="1:20" ht="15.75" thickBot="1" x14ac:dyDescent="0.3">
      <c r="A301" s="54">
        <v>44495</v>
      </c>
      <c r="D301" s="56"/>
      <c r="E301" s="57"/>
      <c r="F301" s="58"/>
      <c r="G301" s="59"/>
      <c r="H301" s="59">
        <v>4140</v>
      </c>
      <c r="I301" s="59" t="str">
        <f t="shared" si="41"/>
        <v/>
      </c>
      <c r="J301" s="59" t="str">
        <f t="shared" si="41"/>
        <v/>
      </c>
      <c r="K301" s="60" t="str">
        <f t="shared" si="39"/>
        <v/>
      </c>
      <c r="L301" s="59" t="str">
        <f t="shared" si="36"/>
        <v/>
      </c>
      <c r="M301" s="60" t="str">
        <f t="shared" si="40"/>
        <v/>
      </c>
      <c r="N301" s="61">
        <v>66068309</v>
      </c>
      <c r="O301" s="61">
        <f t="shared" si="37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5"/>
        <v>1</v>
      </c>
      <c r="S301" s="20">
        <f t="shared" si="38"/>
        <v>0</v>
      </c>
      <c r="T301" s="65"/>
    </row>
    <row r="302" spans="1:20" ht="15.75" thickBot="1" x14ac:dyDescent="0.3">
      <c r="A302" s="54">
        <v>44496</v>
      </c>
      <c r="D302" s="56"/>
      <c r="E302" s="57"/>
      <c r="F302" s="58"/>
      <c r="G302" s="59"/>
      <c r="H302" s="59">
        <v>4140</v>
      </c>
      <c r="I302" s="59" t="str">
        <f t="shared" si="41"/>
        <v/>
      </c>
      <c r="J302" s="59" t="str">
        <f t="shared" si="41"/>
        <v/>
      </c>
      <c r="K302" s="60" t="str">
        <f t="shared" si="39"/>
        <v/>
      </c>
      <c r="L302" s="59" t="str">
        <f t="shared" si="36"/>
        <v/>
      </c>
      <c r="M302" s="60" t="str">
        <f t="shared" si="40"/>
        <v/>
      </c>
      <c r="N302" s="61">
        <v>66068309</v>
      </c>
      <c r="O302" s="61">
        <f t="shared" si="37"/>
        <v>0</v>
      </c>
      <c r="P302" s="76" t="s">
        <v>50</v>
      </c>
      <c r="Q302" s="77" t="s">
        <v>58</v>
      </c>
      <c r="R302" s="20">
        <f t="shared" si="35"/>
        <v>1</v>
      </c>
      <c r="S302" s="20">
        <f t="shared" si="38"/>
        <v>0</v>
      </c>
    </row>
    <row r="303" spans="1:20" ht="15.75" thickBot="1" x14ac:dyDescent="0.3">
      <c r="A303" s="54">
        <v>44497</v>
      </c>
      <c r="D303" s="56"/>
      <c r="E303" s="57"/>
      <c r="F303" s="58"/>
      <c r="G303" s="59"/>
      <c r="H303" s="59">
        <v>4140</v>
      </c>
      <c r="I303" s="59" t="str">
        <f t="shared" si="41"/>
        <v/>
      </c>
      <c r="J303" s="59" t="str">
        <f t="shared" si="41"/>
        <v/>
      </c>
      <c r="K303" s="60" t="str">
        <f t="shared" si="39"/>
        <v/>
      </c>
      <c r="L303" s="59" t="str">
        <f t="shared" si="36"/>
        <v/>
      </c>
      <c r="M303" s="60" t="str">
        <f t="shared" si="40"/>
        <v/>
      </c>
      <c r="N303" s="61">
        <v>66068309</v>
      </c>
      <c r="O303" s="61">
        <f t="shared" si="37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5"/>
        <v>1</v>
      </c>
      <c r="S303" s="20">
        <f t="shared" si="38"/>
        <v>0</v>
      </c>
    </row>
    <row r="304" spans="1:20" ht="15.75" thickBot="1" x14ac:dyDescent="0.3">
      <c r="A304" s="54">
        <v>44498</v>
      </c>
      <c r="D304" s="56"/>
      <c r="E304" s="57"/>
      <c r="F304" s="58"/>
      <c r="G304" s="59"/>
      <c r="H304" s="59">
        <v>4140</v>
      </c>
      <c r="I304" s="59" t="str">
        <f t="shared" si="41"/>
        <v/>
      </c>
      <c r="J304" s="59" t="str">
        <f t="shared" si="41"/>
        <v/>
      </c>
      <c r="K304" s="60" t="str">
        <f t="shared" si="39"/>
        <v/>
      </c>
      <c r="L304" s="59" t="str">
        <f t="shared" si="36"/>
        <v/>
      </c>
      <c r="M304" s="60" t="str">
        <f t="shared" si="40"/>
        <v/>
      </c>
      <c r="N304" s="61">
        <v>66068309</v>
      </c>
      <c r="O304" s="61">
        <f t="shared" si="37"/>
        <v>0</v>
      </c>
      <c r="P304" s="80" t="s">
        <v>52</v>
      </c>
      <c r="Q304" s="81" t="s">
        <v>59</v>
      </c>
      <c r="R304" s="20">
        <f t="shared" si="35"/>
        <v>1</v>
      </c>
      <c r="S304" s="20">
        <f t="shared" si="38"/>
        <v>0</v>
      </c>
    </row>
    <row r="305" spans="1:20" ht="15.75" thickBot="1" x14ac:dyDescent="0.3">
      <c r="A305" s="54">
        <v>44499</v>
      </c>
      <c r="D305" s="56"/>
      <c r="E305" s="57"/>
      <c r="F305" s="58"/>
      <c r="G305" s="59"/>
      <c r="H305" s="59">
        <v>4140</v>
      </c>
      <c r="I305" s="59" t="str">
        <f t="shared" si="41"/>
        <v/>
      </c>
      <c r="J305" s="59" t="str">
        <f t="shared" si="41"/>
        <v/>
      </c>
      <c r="K305" s="60" t="str">
        <f t="shared" si="39"/>
        <v/>
      </c>
      <c r="L305" s="59" t="str">
        <f t="shared" si="36"/>
        <v/>
      </c>
      <c r="M305" s="60" t="str">
        <f t="shared" si="40"/>
        <v/>
      </c>
      <c r="N305" s="61">
        <v>66068309</v>
      </c>
      <c r="O305" s="61">
        <f t="shared" si="37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5"/>
        <v>1</v>
      </c>
      <c r="S305" s="20">
        <f t="shared" si="38"/>
        <v>0</v>
      </c>
    </row>
    <row r="306" spans="1:20" ht="15.75" thickBot="1" x14ac:dyDescent="0.3">
      <c r="A306" s="54">
        <v>44500</v>
      </c>
      <c r="D306" s="56"/>
      <c r="E306" s="57"/>
      <c r="F306" s="58"/>
      <c r="G306" s="59"/>
      <c r="H306" s="59">
        <v>4140</v>
      </c>
      <c r="I306" s="59" t="str">
        <f t="shared" si="41"/>
        <v/>
      </c>
      <c r="J306" s="59" t="str">
        <f t="shared" si="41"/>
        <v/>
      </c>
      <c r="K306" s="60" t="str">
        <f t="shared" si="39"/>
        <v/>
      </c>
      <c r="L306" s="59" t="str">
        <f t="shared" si="36"/>
        <v/>
      </c>
      <c r="M306" s="60" t="str">
        <f t="shared" si="40"/>
        <v/>
      </c>
      <c r="N306" s="61">
        <v>66068309</v>
      </c>
      <c r="O306" s="61">
        <f t="shared" si="37"/>
        <v>0</v>
      </c>
      <c r="P306" s="85" t="s">
        <v>54</v>
      </c>
      <c r="Q306" s="86" t="s">
        <v>55</v>
      </c>
      <c r="R306" s="20">
        <f t="shared" si="35"/>
        <v>1</v>
      </c>
      <c r="S306" s="20">
        <f t="shared" si="38"/>
        <v>0</v>
      </c>
    </row>
    <row r="307" spans="1:20" ht="15.75" thickBot="1" x14ac:dyDescent="0.3">
      <c r="A307" s="54">
        <v>44501</v>
      </c>
      <c r="D307" s="89"/>
      <c r="E307" s="89"/>
      <c r="F307" s="89"/>
      <c r="G307" s="90"/>
      <c r="H307" s="59">
        <v>4140</v>
      </c>
      <c r="I307" s="59" t="str">
        <f t="shared" si="41"/>
        <v/>
      </c>
      <c r="J307" s="59" t="str">
        <f t="shared" si="41"/>
        <v/>
      </c>
      <c r="K307" s="60" t="str">
        <f t="shared" si="39"/>
        <v/>
      </c>
      <c r="L307" s="90" t="str">
        <f t="shared" si="36"/>
        <v/>
      </c>
      <c r="M307" s="60" t="str">
        <f t="shared" si="40"/>
        <v/>
      </c>
      <c r="N307" s="92">
        <v>66068309</v>
      </c>
      <c r="O307" s="93">
        <f t="shared" si="37"/>
        <v>0</v>
      </c>
      <c r="P307" s="128">
        <f>(P305+Q303*SUM(S277:S307)*Q308)</f>
        <v>0</v>
      </c>
      <c r="Q307" s="129">
        <f>Q303*31</f>
        <v>0</v>
      </c>
      <c r="R307" s="20">
        <f t="shared" si="35"/>
        <v>1</v>
      </c>
      <c r="S307" s="20">
        <f t="shared" si="38"/>
        <v>0</v>
      </c>
    </row>
    <row r="308" spans="1:20" ht="15.75" thickBot="1" x14ac:dyDescent="0.3">
      <c r="A308" s="54">
        <v>44502</v>
      </c>
      <c r="D308" s="56"/>
      <c r="E308" s="57"/>
      <c r="F308" s="58"/>
      <c r="G308" s="59"/>
      <c r="H308" s="59">
        <v>4140</v>
      </c>
      <c r="I308" s="59" t="str">
        <f t="shared" si="41"/>
        <v/>
      </c>
      <c r="J308" s="59" t="str">
        <f t="shared" si="41"/>
        <v/>
      </c>
      <c r="K308" s="60" t="str">
        <f t="shared" si="39"/>
        <v/>
      </c>
      <c r="L308" s="59" t="str">
        <f t="shared" si="36"/>
        <v/>
      </c>
      <c r="M308" s="60" t="str">
        <f t="shared" si="40"/>
        <v/>
      </c>
      <c r="N308" s="61">
        <v>66068309</v>
      </c>
      <c r="O308" s="61">
        <f t="shared" si="37"/>
        <v>0</v>
      </c>
      <c r="P308" s="111" t="s">
        <v>56</v>
      </c>
      <c r="Q308" s="112">
        <v>0.56999999999999995</v>
      </c>
      <c r="R308" s="20">
        <f t="shared" si="35"/>
        <v>1</v>
      </c>
      <c r="S308" s="20">
        <f t="shared" si="38"/>
        <v>0</v>
      </c>
    </row>
    <row r="309" spans="1:20" ht="15.75" thickBot="1" x14ac:dyDescent="0.3">
      <c r="A309" s="54">
        <v>44503</v>
      </c>
      <c r="D309" s="56"/>
      <c r="E309" s="57"/>
      <c r="F309" s="58"/>
      <c r="G309" s="59"/>
      <c r="H309" s="59">
        <v>4140</v>
      </c>
      <c r="I309" s="59" t="str">
        <f t="shared" si="41"/>
        <v/>
      </c>
      <c r="J309" s="59" t="str">
        <f t="shared" si="41"/>
        <v/>
      </c>
      <c r="K309" s="60" t="str">
        <f t="shared" si="39"/>
        <v/>
      </c>
      <c r="L309" s="59" t="str">
        <f t="shared" si="36"/>
        <v/>
      </c>
      <c r="M309" s="60" t="str">
        <f t="shared" si="40"/>
        <v/>
      </c>
      <c r="N309" s="61">
        <v>66068309</v>
      </c>
      <c r="O309" s="61">
        <f t="shared" si="37"/>
        <v>0</v>
      </c>
      <c r="P309" s="130"/>
      <c r="Q309" s="130"/>
      <c r="R309" s="20">
        <f t="shared" si="35"/>
        <v>1</v>
      </c>
      <c r="S309" s="20">
        <f t="shared" si="38"/>
        <v>0</v>
      </c>
    </row>
    <row r="310" spans="1:20" ht="15.75" thickBot="1" x14ac:dyDescent="0.3">
      <c r="A310" s="54">
        <v>44504</v>
      </c>
      <c r="D310" s="56"/>
      <c r="E310" s="57"/>
      <c r="F310" s="58"/>
      <c r="G310" s="59"/>
      <c r="H310" s="59">
        <v>4140</v>
      </c>
      <c r="I310" s="59" t="str">
        <f t="shared" ref="I310:I324" si="42">IF(D310="","",+(D310-D309)*4140)</f>
        <v/>
      </c>
      <c r="J310" s="59" t="str">
        <f t="shared" si="41"/>
        <v/>
      </c>
      <c r="K310" s="60" t="str">
        <f t="shared" si="39"/>
        <v/>
      </c>
      <c r="L310" s="59" t="str">
        <f t="shared" si="36"/>
        <v/>
      </c>
      <c r="M310" s="60" t="str">
        <f t="shared" si="40"/>
        <v/>
      </c>
      <c r="N310" s="61">
        <v>66068309</v>
      </c>
      <c r="O310" s="61">
        <f t="shared" si="37"/>
        <v>0</v>
      </c>
      <c r="P310" s="100"/>
      <c r="Q310" s="101"/>
      <c r="R310" s="20">
        <f>IF(N310="",0,1)</f>
        <v>1</v>
      </c>
      <c r="S310" s="20">
        <f t="shared" si="38"/>
        <v>0</v>
      </c>
      <c r="T310" s="65"/>
    </row>
    <row r="311" spans="1:20" ht="15.75" thickBot="1" x14ac:dyDescent="0.3">
      <c r="A311" s="54">
        <v>44505</v>
      </c>
      <c r="D311" s="56"/>
      <c r="E311" s="57"/>
      <c r="F311" s="58"/>
      <c r="G311" s="59"/>
      <c r="H311" s="59">
        <v>4140</v>
      </c>
      <c r="I311" s="59" t="str">
        <f t="shared" si="42"/>
        <v/>
      </c>
      <c r="J311" s="59" t="str">
        <f t="shared" si="41"/>
        <v/>
      </c>
      <c r="K311" s="60" t="str">
        <f t="shared" si="39"/>
        <v/>
      </c>
      <c r="L311" s="59" t="str">
        <f t="shared" si="36"/>
        <v/>
      </c>
      <c r="M311" s="60" t="str">
        <f t="shared" si="40"/>
        <v/>
      </c>
      <c r="N311" s="61">
        <v>66068309</v>
      </c>
      <c r="O311" s="61">
        <f t="shared" si="37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/>
      <c r="E312" s="57"/>
      <c r="F312" s="58"/>
      <c r="G312" s="59"/>
      <c r="H312" s="59">
        <v>4140</v>
      </c>
      <c r="I312" s="59" t="str">
        <f t="shared" si="42"/>
        <v/>
      </c>
      <c r="J312" s="59" t="str">
        <f t="shared" si="41"/>
        <v/>
      </c>
      <c r="K312" s="60" t="str">
        <f t="shared" si="39"/>
        <v/>
      </c>
      <c r="L312" s="59" t="str">
        <f t="shared" si="36"/>
        <v/>
      </c>
      <c r="M312" s="60" t="str">
        <f t="shared" si="40"/>
        <v/>
      </c>
      <c r="N312" s="61">
        <v>66068309</v>
      </c>
      <c r="O312" s="61">
        <f t="shared" si="37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/>
      <c r="E313" s="57"/>
      <c r="F313" s="58"/>
      <c r="G313" s="59"/>
      <c r="H313" s="59">
        <v>4140</v>
      </c>
      <c r="I313" s="59" t="str">
        <f>IF(D313="","",+(D313-D312)*4140)</f>
        <v/>
      </c>
      <c r="J313" s="59" t="str">
        <f t="shared" si="41"/>
        <v/>
      </c>
      <c r="K313" s="60" t="str">
        <f t="shared" si="39"/>
        <v/>
      </c>
      <c r="L313" s="59" t="str">
        <f t="shared" si="36"/>
        <v/>
      </c>
      <c r="M313" s="60" t="str">
        <f t="shared" si="40"/>
        <v/>
      </c>
      <c r="N313" s="61">
        <v>66068309</v>
      </c>
      <c r="O313" s="61">
        <f t="shared" si="37"/>
        <v>0</v>
      </c>
      <c r="P313" s="62"/>
      <c r="Q313" s="64"/>
      <c r="R313" s="20">
        <f t="shared" si="35"/>
        <v>1</v>
      </c>
      <c r="S313" s="20">
        <f t="shared" si="38"/>
        <v>0</v>
      </c>
    </row>
    <row r="314" spans="1:20" ht="15.75" thickBot="1" x14ac:dyDescent="0.3">
      <c r="A314" s="54">
        <v>44508</v>
      </c>
      <c r="D314" s="56"/>
      <c r="E314" s="57"/>
      <c r="F314" s="58"/>
      <c r="G314" s="59"/>
      <c r="H314" s="59">
        <v>4140</v>
      </c>
      <c r="I314" s="59" t="str">
        <f t="shared" si="42"/>
        <v/>
      </c>
      <c r="J314" s="59" t="str">
        <f t="shared" si="41"/>
        <v/>
      </c>
      <c r="K314" s="60" t="str">
        <f t="shared" si="39"/>
        <v/>
      </c>
      <c r="L314" s="59" t="str">
        <f t="shared" si="36"/>
        <v/>
      </c>
      <c r="M314" s="60" t="str">
        <f t="shared" si="40"/>
        <v/>
      </c>
      <c r="N314" s="61">
        <v>66068309</v>
      </c>
      <c r="O314" s="61">
        <f t="shared" si="37"/>
        <v>0</v>
      </c>
      <c r="P314" s="62"/>
      <c r="Q314" s="64"/>
      <c r="R314" s="20">
        <f t="shared" si="35"/>
        <v>1</v>
      </c>
      <c r="S314" s="20">
        <f t="shared" si="38"/>
        <v>0</v>
      </c>
    </row>
    <row r="315" spans="1:20" ht="15.75" thickBot="1" x14ac:dyDescent="0.3">
      <c r="A315" s="54">
        <v>44509</v>
      </c>
      <c r="D315" s="56"/>
      <c r="E315" s="57"/>
      <c r="F315" s="58"/>
      <c r="G315" s="59"/>
      <c r="H315" s="59">
        <v>4140</v>
      </c>
      <c r="I315" s="59" t="str">
        <f t="shared" si="42"/>
        <v/>
      </c>
      <c r="J315" s="59" t="str">
        <f t="shared" si="41"/>
        <v/>
      </c>
      <c r="K315" s="60" t="str">
        <f t="shared" si="39"/>
        <v/>
      </c>
      <c r="L315" s="59" t="str">
        <f t="shared" si="36"/>
        <v/>
      </c>
      <c r="M315" s="60" t="str">
        <f t="shared" si="40"/>
        <v/>
      </c>
      <c r="N315" s="61">
        <v>66068309</v>
      </c>
      <c r="O315" s="61">
        <f>IF(N315="","",N315-N314)</f>
        <v>0</v>
      </c>
      <c r="P315" s="62"/>
      <c r="Q315" s="64"/>
      <c r="R315" s="20">
        <f t="shared" si="35"/>
        <v>1</v>
      </c>
      <c r="S315" s="20">
        <f t="shared" si="38"/>
        <v>0</v>
      </c>
      <c r="T315" s="65"/>
    </row>
    <row r="316" spans="1:20" ht="15.75" thickBot="1" x14ac:dyDescent="0.3">
      <c r="A316" s="54">
        <v>44510</v>
      </c>
      <c r="D316" s="56"/>
      <c r="E316" s="57"/>
      <c r="F316" s="58"/>
      <c r="G316" s="59"/>
      <c r="H316" s="59">
        <v>4140</v>
      </c>
      <c r="I316" s="59" t="str">
        <f t="shared" si="42"/>
        <v/>
      </c>
      <c r="J316" s="59" t="str">
        <f t="shared" ref="J316:J325" si="43">IF(E316="","",+(F316-F315)*4140)</f>
        <v/>
      </c>
      <c r="K316" s="60" t="str">
        <f t="shared" si="39"/>
        <v/>
      </c>
      <c r="L316" s="59" t="str">
        <f t="shared" si="36"/>
        <v/>
      </c>
      <c r="M316" s="60" t="str">
        <f t="shared" si="40"/>
        <v/>
      </c>
      <c r="N316" s="61">
        <v>66068309</v>
      </c>
      <c r="O316" s="61">
        <f t="shared" ref="O316:O368" si="44">IF(N316="","",N316-N315)</f>
        <v>0</v>
      </c>
      <c r="P316" s="62"/>
      <c r="Q316" s="63"/>
      <c r="R316" s="20">
        <f t="shared" si="35"/>
        <v>1</v>
      </c>
      <c r="S316" s="20">
        <f t="shared" si="38"/>
        <v>0</v>
      </c>
      <c r="T316" s="65"/>
    </row>
    <row r="317" spans="1:20" ht="15.75" thickBot="1" x14ac:dyDescent="0.3">
      <c r="A317" s="54">
        <v>44511</v>
      </c>
      <c r="D317" s="56"/>
      <c r="E317" s="57"/>
      <c r="F317" s="58"/>
      <c r="G317" s="59"/>
      <c r="H317" s="59">
        <v>4140</v>
      </c>
      <c r="I317" s="59" t="str">
        <f t="shared" si="42"/>
        <v/>
      </c>
      <c r="J317" s="59" t="str">
        <f t="shared" si="43"/>
        <v/>
      </c>
      <c r="K317" s="60" t="str">
        <f t="shared" si="39"/>
        <v/>
      </c>
      <c r="L317" s="59" t="str">
        <f t="shared" si="36"/>
        <v/>
      </c>
      <c r="M317" s="60" t="str">
        <f t="shared" si="40"/>
        <v/>
      </c>
      <c r="N317" s="61">
        <v>66068309</v>
      </c>
      <c r="O317" s="61">
        <f t="shared" si="44"/>
        <v>0</v>
      </c>
      <c r="P317" s="62"/>
      <c r="Q317" s="63"/>
      <c r="R317" s="20">
        <f t="shared" ref="R317:R368" si="45">IF(N317="",0,1)</f>
        <v>1</v>
      </c>
      <c r="S317" s="20">
        <f t="shared" si="38"/>
        <v>0</v>
      </c>
    </row>
    <row r="318" spans="1:20" ht="15.75" thickBot="1" x14ac:dyDescent="0.3">
      <c r="A318" s="54">
        <v>44512</v>
      </c>
      <c r="D318" s="56"/>
      <c r="E318" s="57"/>
      <c r="F318" s="58"/>
      <c r="G318" s="59"/>
      <c r="H318" s="59">
        <v>4140</v>
      </c>
      <c r="I318" s="59" t="str">
        <f t="shared" si="42"/>
        <v/>
      </c>
      <c r="J318" s="59" t="str">
        <f t="shared" si="43"/>
        <v/>
      </c>
      <c r="K318" s="60" t="str">
        <f t="shared" si="39"/>
        <v/>
      </c>
      <c r="L318" s="59" t="str">
        <f t="shared" si="36"/>
        <v/>
      </c>
      <c r="M318" s="60" t="str">
        <f t="shared" si="40"/>
        <v/>
      </c>
      <c r="N318" s="61">
        <v>66068309</v>
      </c>
      <c r="O318" s="61">
        <f t="shared" si="44"/>
        <v>0</v>
      </c>
      <c r="P318" s="62"/>
      <c r="Q318" s="64"/>
      <c r="R318" s="20">
        <f t="shared" si="45"/>
        <v>1</v>
      </c>
      <c r="S318" s="20">
        <f t="shared" si="38"/>
        <v>0</v>
      </c>
    </row>
    <row r="319" spans="1:20" ht="15.75" thickBot="1" x14ac:dyDescent="0.3">
      <c r="A319" s="54">
        <v>44513</v>
      </c>
      <c r="D319" s="56"/>
      <c r="E319" s="57"/>
      <c r="F319" s="58"/>
      <c r="G319" s="59"/>
      <c r="H319" s="59">
        <v>4140</v>
      </c>
      <c r="I319" s="59" t="str">
        <f t="shared" si="42"/>
        <v/>
      </c>
      <c r="J319" s="59" t="str">
        <f t="shared" si="43"/>
        <v/>
      </c>
      <c r="K319" s="60" t="str">
        <f t="shared" si="39"/>
        <v/>
      </c>
      <c r="L319" s="59" t="str">
        <f t="shared" si="36"/>
        <v/>
      </c>
      <c r="M319" s="60" t="str">
        <f t="shared" si="40"/>
        <v/>
      </c>
      <c r="N319" s="61">
        <v>66068309</v>
      </c>
      <c r="O319" s="61">
        <f>IF(N319="","",N319-N318)</f>
        <v>0</v>
      </c>
      <c r="P319" s="62"/>
      <c r="Q319" s="64"/>
      <c r="R319" s="20">
        <f t="shared" si="45"/>
        <v>1</v>
      </c>
      <c r="S319" s="20">
        <f t="shared" si="38"/>
        <v>0</v>
      </c>
    </row>
    <row r="320" spans="1:20" ht="15.75" thickBot="1" x14ac:dyDescent="0.3">
      <c r="A320" s="54">
        <v>44514</v>
      </c>
      <c r="D320" s="56"/>
      <c r="E320" s="57"/>
      <c r="F320" s="58"/>
      <c r="G320" s="59"/>
      <c r="H320" s="59">
        <v>4140</v>
      </c>
      <c r="I320" s="59" t="str">
        <f t="shared" si="42"/>
        <v/>
      </c>
      <c r="J320" s="59" t="str">
        <f t="shared" si="43"/>
        <v/>
      </c>
      <c r="K320" s="60" t="str">
        <f t="shared" si="39"/>
        <v/>
      </c>
      <c r="L320" s="59" t="str">
        <f t="shared" si="36"/>
        <v/>
      </c>
      <c r="M320" s="60" t="str">
        <f t="shared" si="40"/>
        <v/>
      </c>
      <c r="N320" s="61">
        <v>66068309</v>
      </c>
      <c r="O320" s="61">
        <f t="shared" si="44"/>
        <v>0</v>
      </c>
      <c r="P320" s="62"/>
      <c r="Q320" s="63"/>
      <c r="R320" s="20">
        <f t="shared" si="45"/>
        <v>1</v>
      </c>
      <c r="S320" s="20">
        <f t="shared" si="38"/>
        <v>0</v>
      </c>
      <c r="T320" s="65"/>
    </row>
    <row r="321" spans="1:20" ht="15.75" thickBot="1" x14ac:dyDescent="0.3">
      <c r="A321" s="54">
        <v>44515</v>
      </c>
      <c r="D321" s="56"/>
      <c r="E321" s="57"/>
      <c r="F321" s="58"/>
      <c r="G321" s="59"/>
      <c r="H321" s="59">
        <v>4140</v>
      </c>
      <c r="I321" s="59" t="str">
        <f t="shared" si="42"/>
        <v/>
      </c>
      <c r="J321" s="59" t="str">
        <f t="shared" si="43"/>
        <v/>
      </c>
      <c r="K321" s="60" t="str">
        <f t="shared" si="39"/>
        <v/>
      </c>
      <c r="L321" s="59" t="str">
        <f t="shared" si="36"/>
        <v/>
      </c>
      <c r="M321" s="60" t="str">
        <f t="shared" si="40"/>
        <v/>
      </c>
      <c r="N321" s="61">
        <v>66068309</v>
      </c>
      <c r="O321" s="61">
        <f t="shared" si="44"/>
        <v>0</v>
      </c>
      <c r="P321" s="62"/>
      <c r="Q321" s="131"/>
      <c r="R321" s="20">
        <f t="shared" si="45"/>
        <v>1</v>
      </c>
      <c r="S321" s="20">
        <f t="shared" si="38"/>
        <v>0</v>
      </c>
      <c r="T321" s="65"/>
    </row>
    <row r="322" spans="1:20" ht="15.75" thickBot="1" x14ac:dyDescent="0.3">
      <c r="A322" s="54">
        <v>44516</v>
      </c>
      <c r="D322" s="56"/>
      <c r="E322" s="57"/>
      <c r="F322" s="58"/>
      <c r="G322" s="59"/>
      <c r="H322" s="59">
        <v>4140</v>
      </c>
      <c r="I322" s="59" t="str">
        <f t="shared" si="42"/>
        <v/>
      </c>
      <c r="J322" s="59" t="str">
        <f t="shared" si="43"/>
        <v/>
      </c>
      <c r="K322" s="60" t="str">
        <f t="shared" si="39"/>
        <v/>
      </c>
      <c r="L322" s="59" t="str">
        <f t="shared" si="36"/>
        <v/>
      </c>
      <c r="M322" s="60" t="str">
        <f t="shared" si="40"/>
        <v/>
      </c>
      <c r="N322" s="61">
        <v>66068309</v>
      </c>
      <c r="O322" s="61">
        <f t="shared" si="44"/>
        <v>0</v>
      </c>
      <c r="P322" s="62"/>
      <c r="Q322" s="63"/>
      <c r="R322" s="20">
        <f t="shared" si="45"/>
        <v>1</v>
      </c>
      <c r="S322" s="20">
        <f t="shared" si="38"/>
        <v>0</v>
      </c>
    </row>
    <row r="323" spans="1:20" ht="15.75" thickBot="1" x14ac:dyDescent="0.3">
      <c r="A323" s="54">
        <v>44517</v>
      </c>
      <c r="D323" s="56"/>
      <c r="E323" s="57"/>
      <c r="F323" s="58"/>
      <c r="G323" s="59"/>
      <c r="H323" s="59">
        <v>4140</v>
      </c>
      <c r="I323" s="59" t="str">
        <f t="shared" si="42"/>
        <v/>
      </c>
      <c r="J323" s="59" t="str">
        <f t="shared" si="43"/>
        <v/>
      </c>
      <c r="K323" s="60" t="str">
        <f t="shared" si="39"/>
        <v/>
      </c>
      <c r="L323" s="59" t="str">
        <f t="shared" si="36"/>
        <v/>
      </c>
      <c r="M323" s="60" t="str">
        <f t="shared" si="40"/>
        <v/>
      </c>
      <c r="N323" s="61">
        <v>66068309</v>
      </c>
      <c r="O323" s="61">
        <f t="shared" si="44"/>
        <v>0</v>
      </c>
      <c r="P323" s="62"/>
      <c r="Q323" s="104"/>
      <c r="R323" s="20">
        <f t="shared" si="45"/>
        <v>1</v>
      </c>
      <c r="S323" s="20">
        <f t="shared" si="38"/>
        <v>0</v>
      </c>
    </row>
    <row r="324" spans="1:20" ht="15.75" thickBot="1" x14ac:dyDescent="0.3">
      <c r="A324" s="54">
        <v>44518</v>
      </c>
      <c r="D324" s="56"/>
      <c r="E324" s="57"/>
      <c r="F324" s="58"/>
      <c r="G324" s="59"/>
      <c r="H324" s="59">
        <v>4140</v>
      </c>
      <c r="I324" s="59" t="str">
        <f t="shared" si="42"/>
        <v/>
      </c>
      <c r="J324" s="59" t="str">
        <f t="shared" si="43"/>
        <v/>
      </c>
      <c r="K324" s="60" t="str">
        <f t="shared" si="39"/>
        <v/>
      </c>
      <c r="L324" s="59" t="str">
        <f t="shared" si="36"/>
        <v/>
      </c>
      <c r="M324" s="60" t="str">
        <f t="shared" si="40"/>
        <v/>
      </c>
      <c r="N324" s="61">
        <v>66068309</v>
      </c>
      <c r="O324" s="61">
        <f t="shared" si="44"/>
        <v>0</v>
      </c>
      <c r="P324" s="62"/>
      <c r="Q324" s="104"/>
      <c r="R324" s="20">
        <f t="shared" si="45"/>
        <v>1</v>
      </c>
      <c r="S324" s="20">
        <f t="shared" si="38"/>
        <v>0</v>
      </c>
    </row>
    <row r="325" spans="1:20" ht="15.75" thickBot="1" x14ac:dyDescent="0.3">
      <c r="A325" s="54">
        <v>44519</v>
      </c>
      <c r="D325" s="56"/>
      <c r="E325" s="57"/>
      <c r="F325" s="58"/>
      <c r="G325" s="59"/>
      <c r="H325" s="59">
        <v>4140</v>
      </c>
      <c r="I325" s="59" t="str">
        <f t="shared" ref="I325:J368" si="46">IF(D325="","",+(D325-D324)*4140)</f>
        <v/>
      </c>
      <c r="J325" s="59" t="str">
        <f t="shared" si="43"/>
        <v/>
      </c>
      <c r="K325" s="60" t="str">
        <f t="shared" si="39"/>
        <v/>
      </c>
      <c r="L325" s="59" t="str">
        <f t="shared" ref="L325:L368" si="47">IF(F325="","",+(F325-F324)*4140)</f>
        <v/>
      </c>
      <c r="M325" s="60" t="str">
        <f t="shared" si="40"/>
        <v/>
      </c>
      <c r="N325" s="61">
        <v>66068309</v>
      </c>
      <c r="O325" s="61">
        <f t="shared" si="44"/>
        <v>0</v>
      </c>
      <c r="P325" s="202" t="s">
        <v>68</v>
      </c>
      <c r="Q325" s="203"/>
      <c r="R325" s="20">
        <f t="shared" si="45"/>
        <v>1</v>
      </c>
      <c r="S325" s="20">
        <f t="shared" si="38"/>
        <v>0</v>
      </c>
      <c r="T325" s="65"/>
    </row>
    <row r="326" spans="1:20" ht="15.75" thickBot="1" x14ac:dyDescent="0.3">
      <c r="A326" s="54">
        <v>44520</v>
      </c>
      <c r="D326" s="56"/>
      <c r="E326" s="57"/>
      <c r="F326" s="58"/>
      <c r="G326" s="59"/>
      <c r="H326" s="59">
        <v>4140</v>
      </c>
      <c r="I326" s="59" t="str">
        <f t="shared" si="46"/>
        <v/>
      </c>
      <c r="J326" s="59" t="str">
        <f t="shared" si="46"/>
        <v/>
      </c>
      <c r="K326" s="60" t="str">
        <f t="shared" si="39"/>
        <v/>
      </c>
      <c r="L326" s="59" t="str">
        <f t="shared" si="47"/>
        <v/>
      </c>
      <c r="M326" s="60" t="str">
        <f t="shared" si="40"/>
        <v/>
      </c>
      <c r="N326" s="61">
        <v>66068309</v>
      </c>
      <c r="O326" s="61">
        <f t="shared" si="44"/>
        <v>0</v>
      </c>
      <c r="P326" s="204"/>
      <c r="Q326" s="205"/>
      <c r="R326" s="20">
        <f t="shared" si="45"/>
        <v>1</v>
      </c>
      <c r="S326" s="20">
        <f t="shared" si="38"/>
        <v>0</v>
      </c>
      <c r="T326" s="65"/>
    </row>
    <row r="327" spans="1:20" ht="15.75" thickBot="1" x14ac:dyDescent="0.3">
      <c r="A327" s="54">
        <v>44521</v>
      </c>
      <c r="D327" s="56"/>
      <c r="E327" s="57"/>
      <c r="F327" s="58"/>
      <c r="G327" s="59"/>
      <c r="H327" s="59">
        <v>4140</v>
      </c>
      <c r="I327" s="59" t="str">
        <f t="shared" si="46"/>
        <v/>
      </c>
      <c r="J327" s="59" t="str">
        <f t="shared" si="46"/>
        <v/>
      </c>
      <c r="K327" s="60" t="str">
        <f t="shared" si="39"/>
        <v/>
      </c>
      <c r="L327" s="59" t="str">
        <f t="shared" si="47"/>
        <v/>
      </c>
      <c r="M327" s="60" t="str">
        <f t="shared" si="40"/>
        <v/>
      </c>
      <c r="N327" s="61">
        <v>66068309</v>
      </c>
      <c r="O327" s="61">
        <f t="shared" si="44"/>
        <v>0</v>
      </c>
      <c r="P327" s="69" t="s">
        <v>46</v>
      </c>
      <c r="Q327" s="69" t="s">
        <v>47</v>
      </c>
      <c r="R327" s="20">
        <f t="shared" si="45"/>
        <v>1</v>
      </c>
      <c r="S327" s="20">
        <f t="shared" si="38"/>
        <v>0</v>
      </c>
    </row>
    <row r="328" spans="1:20" ht="15.75" thickBot="1" x14ac:dyDescent="0.3">
      <c r="A328" s="54">
        <v>44522</v>
      </c>
      <c r="D328" s="56"/>
      <c r="E328" s="57"/>
      <c r="F328" s="58"/>
      <c r="G328" s="59"/>
      <c r="H328" s="59">
        <v>4140</v>
      </c>
      <c r="I328" s="59" t="str">
        <f t="shared" si="46"/>
        <v/>
      </c>
      <c r="J328" s="59" t="str">
        <f t="shared" si="46"/>
        <v/>
      </c>
      <c r="K328" s="60" t="str">
        <f t="shared" si="39"/>
        <v/>
      </c>
      <c r="L328" s="59" t="str">
        <f t="shared" si="47"/>
        <v/>
      </c>
      <c r="M328" s="60" t="str">
        <f t="shared" si="40"/>
        <v/>
      </c>
      <c r="N328" s="61">
        <v>66068309</v>
      </c>
      <c r="O328" s="61">
        <f>IF(N328="","",N328-N327)</f>
        <v>0</v>
      </c>
      <c r="P328" s="70">
        <f>IF(J308="",0,+SUM(J308:J337)/SUM(I308:I337))</f>
        <v>0</v>
      </c>
      <c r="Q328" s="70">
        <f>IF(L308="",0,+SUM(L308:L337)/SUM(I308:I337))</f>
        <v>0</v>
      </c>
      <c r="R328" s="20">
        <f t="shared" si="45"/>
        <v>1</v>
      </c>
      <c r="S328" s="20">
        <f t="shared" ref="S328:S368" si="48">IF(N328="",1,0)</f>
        <v>0</v>
      </c>
    </row>
    <row r="329" spans="1:20" ht="15.75" thickBot="1" x14ac:dyDescent="0.3">
      <c r="A329" s="54">
        <v>44523</v>
      </c>
      <c r="D329" s="56"/>
      <c r="E329" s="57"/>
      <c r="F329" s="58"/>
      <c r="G329" s="59"/>
      <c r="H329" s="59">
        <v>4140</v>
      </c>
      <c r="I329" s="59" t="str">
        <f t="shared" si="46"/>
        <v/>
      </c>
      <c r="J329" s="59" t="str">
        <f t="shared" si="46"/>
        <v/>
      </c>
      <c r="K329" s="60" t="str">
        <f t="shared" si="39"/>
        <v/>
      </c>
      <c r="L329" s="59" t="str">
        <f t="shared" si="47"/>
        <v/>
      </c>
      <c r="M329" s="60" t="str">
        <f t="shared" si="40"/>
        <v/>
      </c>
      <c r="N329" s="61">
        <v>66068309</v>
      </c>
      <c r="O329" s="61">
        <f t="shared" si="44"/>
        <v>0</v>
      </c>
      <c r="P329" s="71">
        <f>IF(J308="",0,+(+(LOOKUP(9.99999999999999E+307,E308:E337)-E307))/(+(LOOKUP(9.99999999999999E+307,D308:D337)-D307)))</f>
        <v>0</v>
      </c>
      <c r="Q329" s="71">
        <f>IF(L308="",0,+(+(LOOKUP(9.99999999999999E+307,F308:F337)-F307))/(+(LOOKUP(9.99999999999999E+307,D308:D337)-D307)))</f>
        <v>0</v>
      </c>
      <c r="R329" s="20">
        <f t="shared" si="45"/>
        <v>1</v>
      </c>
      <c r="S329" s="20">
        <f t="shared" si="48"/>
        <v>0</v>
      </c>
      <c r="T329" s="65"/>
    </row>
    <row r="330" spans="1:20" ht="15.75" thickBot="1" x14ac:dyDescent="0.3">
      <c r="A330" s="54">
        <v>44524</v>
      </c>
      <c r="D330" s="56"/>
      <c r="E330" s="57"/>
      <c r="F330" s="58"/>
      <c r="G330" s="59"/>
      <c r="H330" s="59">
        <v>4140</v>
      </c>
      <c r="I330" s="59" t="str">
        <f t="shared" si="46"/>
        <v/>
      </c>
      <c r="J330" s="59" t="str">
        <f t="shared" si="46"/>
        <v/>
      </c>
      <c r="K330" s="60" t="str">
        <f t="shared" si="39"/>
        <v/>
      </c>
      <c r="L330" s="59" t="str">
        <f t="shared" si="47"/>
        <v/>
      </c>
      <c r="M330" s="60" t="str">
        <f t="shared" si="40"/>
        <v/>
      </c>
      <c r="N330" s="61">
        <v>66068309</v>
      </c>
      <c r="O330" s="61">
        <f t="shared" si="44"/>
        <v>0</v>
      </c>
      <c r="P330" s="72" t="s">
        <v>48</v>
      </c>
      <c r="Q330" s="73" t="s">
        <v>49</v>
      </c>
      <c r="R330" s="20">
        <f t="shared" si="45"/>
        <v>1</v>
      </c>
      <c r="S330" s="20">
        <f t="shared" si="48"/>
        <v>0</v>
      </c>
      <c r="T330" s="65"/>
    </row>
    <row r="331" spans="1:20" ht="15.75" thickBot="1" x14ac:dyDescent="0.3">
      <c r="A331" s="54">
        <v>44525</v>
      </c>
      <c r="D331" s="56"/>
      <c r="E331" s="57"/>
      <c r="F331" s="58"/>
      <c r="G331" s="59"/>
      <c r="H331" s="59">
        <v>4140</v>
      </c>
      <c r="I331" s="59" t="str">
        <f t="shared" si="46"/>
        <v/>
      </c>
      <c r="J331" s="59" t="str">
        <f t="shared" si="46"/>
        <v/>
      </c>
      <c r="K331" s="60" t="str">
        <f t="shared" si="39"/>
        <v/>
      </c>
      <c r="L331" s="59" t="str">
        <f t="shared" si="47"/>
        <v/>
      </c>
      <c r="M331" s="60" t="str">
        <f t="shared" si="40"/>
        <v/>
      </c>
      <c r="N331" s="61">
        <v>66068309</v>
      </c>
      <c r="O331" s="61">
        <f t="shared" si="44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5"/>
        <v>1</v>
      </c>
      <c r="S331" s="20">
        <f t="shared" si="48"/>
        <v>0</v>
      </c>
      <c r="T331" s="65"/>
    </row>
    <row r="332" spans="1:20" ht="15.75" thickBot="1" x14ac:dyDescent="0.3">
      <c r="A332" s="54">
        <v>44526</v>
      </c>
      <c r="D332" s="56"/>
      <c r="E332" s="57"/>
      <c r="F332" s="58"/>
      <c r="G332" s="59"/>
      <c r="H332" s="59">
        <v>4140</v>
      </c>
      <c r="I332" s="59" t="str">
        <f t="shared" si="46"/>
        <v/>
      </c>
      <c r="J332" s="59" t="str">
        <f t="shared" si="46"/>
        <v/>
      </c>
      <c r="K332" s="60" t="str">
        <f t="shared" si="39"/>
        <v/>
      </c>
      <c r="L332" s="59" t="str">
        <f t="shared" si="47"/>
        <v/>
      </c>
      <c r="M332" s="60" t="str">
        <f t="shared" si="40"/>
        <v/>
      </c>
      <c r="N332" s="61">
        <v>66068309</v>
      </c>
      <c r="O332" s="61">
        <f t="shared" si="44"/>
        <v>0</v>
      </c>
      <c r="P332" s="76" t="s">
        <v>50</v>
      </c>
      <c r="Q332" s="77" t="s">
        <v>58</v>
      </c>
      <c r="R332" s="20">
        <f t="shared" si="45"/>
        <v>1</v>
      </c>
      <c r="S332" s="20">
        <f t="shared" si="48"/>
        <v>0</v>
      </c>
      <c r="T332" s="65"/>
    </row>
    <row r="333" spans="1:20" ht="15.75" thickBot="1" x14ac:dyDescent="0.3">
      <c r="A333" s="54">
        <v>44527</v>
      </c>
      <c r="D333" s="56"/>
      <c r="E333" s="57"/>
      <c r="F333" s="58"/>
      <c r="G333" s="59"/>
      <c r="H333" s="59">
        <v>4140</v>
      </c>
      <c r="I333" s="59" t="str">
        <f t="shared" si="46"/>
        <v/>
      </c>
      <c r="J333" s="59" t="str">
        <f t="shared" si="46"/>
        <v/>
      </c>
      <c r="K333" s="60" t="str">
        <f t="shared" ref="K333:K337" si="49">IF(J333="","",+(J333/I333))</f>
        <v/>
      </c>
      <c r="L333" s="59" t="str">
        <f t="shared" si="47"/>
        <v/>
      </c>
      <c r="M333" s="60" t="str">
        <f t="shared" ref="M333:M362" si="50">IF(L333="","",(L333/I333))</f>
        <v/>
      </c>
      <c r="N333" s="61">
        <v>66068309</v>
      </c>
      <c r="O333" s="61">
        <f t="shared" si="44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5"/>
        <v>1</v>
      </c>
      <c r="S333" s="20">
        <f t="shared" si="48"/>
        <v>0</v>
      </c>
    </row>
    <row r="334" spans="1:20" ht="15.75" thickBot="1" x14ac:dyDescent="0.3">
      <c r="A334" s="54">
        <v>44528</v>
      </c>
      <c r="D334" s="56"/>
      <c r="E334" s="57"/>
      <c r="F334" s="58"/>
      <c r="G334" s="59"/>
      <c r="H334" s="59">
        <v>4140</v>
      </c>
      <c r="I334" s="59" t="str">
        <f t="shared" si="46"/>
        <v/>
      </c>
      <c r="J334" s="59" t="str">
        <f t="shared" si="46"/>
        <v/>
      </c>
      <c r="K334" s="60" t="str">
        <f t="shared" si="49"/>
        <v/>
      </c>
      <c r="L334" s="59" t="str">
        <f t="shared" si="47"/>
        <v/>
      </c>
      <c r="M334" s="60" t="str">
        <f t="shared" si="50"/>
        <v/>
      </c>
      <c r="N334" s="61">
        <v>66068309</v>
      </c>
      <c r="O334" s="61">
        <f t="shared" si="44"/>
        <v>0</v>
      </c>
      <c r="P334" s="80" t="s">
        <v>52</v>
      </c>
      <c r="Q334" s="81" t="s">
        <v>59</v>
      </c>
      <c r="R334" s="20">
        <f t="shared" si="45"/>
        <v>1</v>
      </c>
      <c r="S334" s="20">
        <f t="shared" si="48"/>
        <v>0</v>
      </c>
    </row>
    <row r="335" spans="1:20" ht="15.75" thickBot="1" x14ac:dyDescent="0.3">
      <c r="A335" s="54">
        <v>44529</v>
      </c>
      <c r="D335" s="56"/>
      <c r="E335" s="57"/>
      <c r="F335" s="58"/>
      <c r="G335" s="59"/>
      <c r="H335" s="59">
        <v>4140</v>
      </c>
      <c r="I335" s="59" t="str">
        <f t="shared" si="46"/>
        <v/>
      </c>
      <c r="J335" s="59" t="str">
        <f t="shared" si="46"/>
        <v/>
      </c>
      <c r="K335" s="60" t="str">
        <f t="shared" si="49"/>
        <v/>
      </c>
      <c r="L335" s="59" t="str">
        <f t="shared" si="47"/>
        <v/>
      </c>
      <c r="M335" s="60" t="str">
        <f t="shared" si="50"/>
        <v/>
      </c>
      <c r="N335" s="61">
        <v>66068309</v>
      </c>
      <c r="O335" s="61">
        <f t="shared" si="44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5"/>
        <v>1</v>
      </c>
      <c r="S335" s="20">
        <f t="shared" si="48"/>
        <v>0</v>
      </c>
    </row>
    <row r="336" spans="1:20" ht="15.75" thickBot="1" x14ac:dyDescent="0.3">
      <c r="A336" s="54">
        <v>44530</v>
      </c>
      <c r="D336" s="56"/>
      <c r="E336" s="57"/>
      <c r="F336" s="58"/>
      <c r="G336" s="59"/>
      <c r="H336" s="59">
        <v>4140</v>
      </c>
      <c r="I336" s="59" t="str">
        <f t="shared" si="46"/>
        <v/>
      </c>
      <c r="J336" s="59" t="str">
        <f t="shared" si="46"/>
        <v/>
      </c>
      <c r="K336" s="60" t="str">
        <f t="shared" si="49"/>
        <v/>
      </c>
      <c r="L336" s="59" t="str">
        <f t="shared" si="47"/>
        <v/>
      </c>
      <c r="M336" s="60" t="str">
        <f t="shared" si="50"/>
        <v/>
      </c>
      <c r="N336" s="61">
        <v>66068309</v>
      </c>
      <c r="O336" s="61">
        <f t="shared" si="44"/>
        <v>0</v>
      </c>
      <c r="P336" s="134" t="s">
        <v>54</v>
      </c>
      <c r="Q336" s="134" t="s">
        <v>55</v>
      </c>
      <c r="R336" s="20">
        <f t="shared" si="45"/>
        <v>1</v>
      </c>
      <c r="S336" s="20">
        <f t="shared" si="48"/>
        <v>0</v>
      </c>
    </row>
    <row r="337" spans="1:20" ht="15.75" thickBot="1" x14ac:dyDescent="0.3">
      <c r="A337" s="54">
        <v>44531</v>
      </c>
      <c r="D337" s="89"/>
      <c r="E337" s="89"/>
      <c r="F337" s="89"/>
      <c r="G337" s="90"/>
      <c r="H337" s="59">
        <v>4140</v>
      </c>
      <c r="I337" s="90" t="str">
        <f t="shared" si="46"/>
        <v/>
      </c>
      <c r="J337" s="90" t="str">
        <f t="shared" si="46"/>
        <v/>
      </c>
      <c r="K337" s="60" t="str">
        <f t="shared" si="49"/>
        <v/>
      </c>
      <c r="L337" s="90" t="str">
        <f t="shared" si="47"/>
        <v/>
      </c>
      <c r="M337" s="60" t="str">
        <f t="shared" si="50"/>
        <v/>
      </c>
      <c r="N337" s="92">
        <v>66068309</v>
      </c>
      <c r="O337" s="135">
        <f t="shared" si="44"/>
        <v>0</v>
      </c>
      <c r="P337" s="136">
        <f>(P335+Q333*SUM(S308:S337)*Q338)</f>
        <v>0</v>
      </c>
      <c r="Q337" s="137">
        <f>Q333*30</f>
        <v>0</v>
      </c>
      <c r="R337" s="20">
        <f t="shared" si="45"/>
        <v>1</v>
      </c>
      <c r="S337" s="20">
        <f t="shared" si="48"/>
        <v>0</v>
      </c>
    </row>
    <row r="338" spans="1:20" ht="15.75" thickBot="1" x14ac:dyDescent="0.3">
      <c r="A338" s="54">
        <v>44532</v>
      </c>
      <c r="D338" s="56"/>
      <c r="E338" s="57"/>
      <c r="F338" s="58"/>
      <c r="G338" s="59"/>
      <c r="H338" s="59">
        <v>4140</v>
      </c>
      <c r="I338" s="59" t="str">
        <f t="shared" si="46"/>
        <v/>
      </c>
      <c r="J338" s="59" t="str">
        <f t="shared" si="46"/>
        <v/>
      </c>
      <c r="K338" s="60" t="str">
        <f t="shared" ref="K338:K368" si="51">IF(J338="","",+(J338/I338))</f>
        <v/>
      </c>
      <c r="L338" s="59" t="str">
        <f t="shared" si="47"/>
        <v/>
      </c>
      <c r="M338" s="60" t="str">
        <f t="shared" si="50"/>
        <v/>
      </c>
      <c r="N338" s="61">
        <v>66068309</v>
      </c>
      <c r="O338" s="61">
        <f t="shared" si="44"/>
        <v>0</v>
      </c>
      <c r="P338" s="138" t="s">
        <v>56</v>
      </c>
      <c r="Q338" s="139">
        <v>0.56999999999999995</v>
      </c>
      <c r="R338" s="20">
        <f t="shared" si="45"/>
        <v>1</v>
      </c>
      <c r="S338" s="20">
        <f t="shared" si="48"/>
        <v>0</v>
      </c>
    </row>
    <row r="339" spans="1:20" ht="15.75" thickBot="1" x14ac:dyDescent="0.3">
      <c r="A339" s="54">
        <v>44533</v>
      </c>
      <c r="D339" s="56"/>
      <c r="E339" s="57"/>
      <c r="F339" s="58"/>
      <c r="G339" s="59"/>
      <c r="H339" s="59">
        <v>4140</v>
      </c>
      <c r="I339" s="59" t="str">
        <f t="shared" si="46"/>
        <v/>
      </c>
      <c r="J339" s="59" t="str">
        <f t="shared" si="46"/>
        <v/>
      </c>
      <c r="K339" s="60" t="str">
        <f t="shared" si="51"/>
        <v/>
      </c>
      <c r="L339" s="59" t="str">
        <f t="shared" si="47"/>
        <v/>
      </c>
      <c r="M339" s="60" t="str">
        <f t="shared" si="50"/>
        <v/>
      </c>
      <c r="N339" s="61">
        <v>66068309</v>
      </c>
      <c r="O339" s="61">
        <f t="shared" si="44"/>
        <v>0</v>
      </c>
      <c r="P339" s="130"/>
      <c r="Q339" s="130"/>
      <c r="R339" s="20">
        <f t="shared" si="45"/>
        <v>1</v>
      </c>
      <c r="S339" s="20">
        <f t="shared" si="48"/>
        <v>0</v>
      </c>
    </row>
    <row r="340" spans="1:20" ht="15.75" thickBot="1" x14ac:dyDescent="0.3">
      <c r="A340" s="54">
        <v>44534</v>
      </c>
      <c r="D340" s="56"/>
      <c r="E340" s="57"/>
      <c r="F340" s="58"/>
      <c r="G340" s="59"/>
      <c r="H340" s="59">
        <v>4140</v>
      </c>
      <c r="I340" s="59" t="str">
        <f t="shared" si="46"/>
        <v/>
      </c>
      <c r="J340" s="59" t="str">
        <f t="shared" si="46"/>
        <v/>
      </c>
      <c r="K340" s="60" t="str">
        <f t="shared" si="51"/>
        <v/>
      </c>
      <c r="L340" s="59" t="str">
        <f t="shared" si="47"/>
        <v/>
      </c>
      <c r="M340" s="60" t="str">
        <f t="shared" si="50"/>
        <v/>
      </c>
      <c r="N340" s="61">
        <v>66068309</v>
      </c>
      <c r="O340" s="61">
        <f t="shared" si="44"/>
        <v>0</v>
      </c>
      <c r="P340" s="100"/>
      <c r="Q340" s="101"/>
      <c r="R340" s="20">
        <f t="shared" si="45"/>
        <v>1</v>
      </c>
      <c r="S340" s="20">
        <f t="shared" si="48"/>
        <v>0</v>
      </c>
      <c r="T340" s="65"/>
    </row>
    <row r="341" spans="1:20" ht="15.75" thickBot="1" x14ac:dyDescent="0.3">
      <c r="A341" s="54">
        <v>44535</v>
      </c>
      <c r="D341" s="56"/>
      <c r="E341" s="57"/>
      <c r="F341" s="58"/>
      <c r="G341" s="59"/>
      <c r="H341" s="59">
        <v>4140</v>
      </c>
      <c r="I341" s="59" t="str">
        <f t="shared" si="46"/>
        <v/>
      </c>
      <c r="J341" s="59" t="str">
        <f t="shared" si="46"/>
        <v/>
      </c>
      <c r="K341" s="60" t="str">
        <f t="shared" si="51"/>
        <v/>
      </c>
      <c r="L341" s="59" t="str">
        <f t="shared" si="47"/>
        <v/>
      </c>
      <c r="M341" s="60" t="str">
        <f t="shared" si="50"/>
        <v/>
      </c>
      <c r="N341" s="61">
        <v>66068309</v>
      </c>
      <c r="O341" s="61">
        <f t="shared" si="44"/>
        <v>0</v>
      </c>
      <c r="P341" s="102"/>
      <c r="Q341" s="103"/>
      <c r="R341" s="20">
        <f t="shared" si="45"/>
        <v>1</v>
      </c>
      <c r="S341" s="20">
        <f t="shared" si="48"/>
        <v>0</v>
      </c>
      <c r="T341" s="65"/>
    </row>
    <row r="342" spans="1:20" ht="15.75" thickBot="1" x14ac:dyDescent="0.3">
      <c r="A342" s="54">
        <v>44536</v>
      </c>
      <c r="D342" s="56"/>
      <c r="E342" s="57"/>
      <c r="F342" s="58"/>
      <c r="G342" s="59"/>
      <c r="H342" s="59">
        <v>4140</v>
      </c>
      <c r="I342" s="59" t="str">
        <f t="shared" si="46"/>
        <v/>
      </c>
      <c r="J342" s="59" t="str">
        <f t="shared" si="46"/>
        <v/>
      </c>
      <c r="K342" s="60" t="str">
        <f t="shared" si="51"/>
        <v/>
      </c>
      <c r="L342" s="59" t="str">
        <f t="shared" si="47"/>
        <v/>
      </c>
      <c r="M342" s="60" t="str">
        <f t="shared" si="50"/>
        <v/>
      </c>
      <c r="N342" s="61">
        <v>66068309</v>
      </c>
      <c r="O342" s="61">
        <f t="shared" si="44"/>
        <v>0</v>
      </c>
      <c r="P342" s="102"/>
      <c r="Q342" s="101"/>
      <c r="R342" s="20">
        <f t="shared" si="45"/>
        <v>1</v>
      </c>
      <c r="S342" s="20">
        <f t="shared" si="48"/>
        <v>0</v>
      </c>
    </row>
    <row r="343" spans="1:20" ht="15.75" thickBot="1" x14ac:dyDescent="0.3">
      <c r="A343" s="54">
        <v>44537</v>
      </c>
      <c r="D343" s="56"/>
      <c r="E343" s="57"/>
      <c r="F343" s="58"/>
      <c r="G343" s="59"/>
      <c r="H343" s="59">
        <v>4140</v>
      </c>
      <c r="I343" s="59" t="str">
        <f t="shared" si="46"/>
        <v/>
      </c>
      <c r="J343" s="59" t="str">
        <f t="shared" si="46"/>
        <v/>
      </c>
      <c r="K343" s="60" t="str">
        <f t="shared" si="51"/>
        <v/>
      </c>
      <c r="L343" s="59" t="str">
        <f t="shared" si="47"/>
        <v/>
      </c>
      <c r="M343" s="60" t="str">
        <f t="shared" si="50"/>
        <v/>
      </c>
      <c r="N343" s="61">
        <v>66068309</v>
      </c>
      <c r="O343" s="61">
        <f t="shared" si="44"/>
        <v>0</v>
      </c>
      <c r="P343" s="62"/>
      <c r="Q343" s="63"/>
      <c r="R343" s="20">
        <f t="shared" si="45"/>
        <v>1</v>
      </c>
      <c r="S343" s="20">
        <f t="shared" si="48"/>
        <v>0</v>
      </c>
    </row>
    <row r="344" spans="1:20" ht="15.75" thickBot="1" x14ac:dyDescent="0.3">
      <c r="A344" s="54">
        <v>44538</v>
      </c>
      <c r="D344" s="56"/>
      <c r="E344" s="57"/>
      <c r="F344" s="58"/>
      <c r="G344" s="59"/>
      <c r="H344" s="59">
        <v>4140</v>
      </c>
      <c r="I344" s="59" t="str">
        <f t="shared" si="46"/>
        <v/>
      </c>
      <c r="J344" s="59" t="str">
        <f t="shared" si="46"/>
        <v/>
      </c>
      <c r="K344" s="60" t="str">
        <f t="shared" si="51"/>
        <v/>
      </c>
      <c r="L344" s="59" t="str">
        <f t="shared" si="47"/>
        <v/>
      </c>
      <c r="M344" s="60" t="str">
        <f t="shared" si="50"/>
        <v/>
      </c>
      <c r="N344" s="61">
        <v>66068309</v>
      </c>
      <c r="O344" s="61">
        <f>IF(N344="","",N344-N343)</f>
        <v>0</v>
      </c>
      <c r="P344" s="62"/>
      <c r="Q344" s="64"/>
      <c r="R344" s="20">
        <f t="shared" si="45"/>
        <v>1</v>
      </c>
      <c r="S344" s="20">
        <f t="shared" si="48"/>
        <v>0</v>
      </c>
    </row>
    <row r="345" spans="1:20" ht="15.75" thickBot="1" x14ac:dyDescent="0.3">
      <c r="A345" s="54">
        <v>44539</v>
      </c>
      <c r="D345" s="56"/>
      <c r="E345" s="57"/>
      <c r="F345" s="58"/>
      <c r="G345" s="59"/>
      <c r="H345" s="59">
        <v>4140</v>
      </c>
      <c r="I345" s="59" t="str">
        <f t="shared" si="46"/>
        <v/>
      </c>
      <c r="J345" s="59" t="str">
        <f t="shared" si="46"/>
        <v/>
      </c>
      <c r="K345" s="60" t="str">
        <f t="shared" si="51"/>
        <v/>
      </c>
      <c r="L345" s="59" t="str">
        <f t="shared" si="47"/>
        <v/>
      </c>
      <c r="M345" s="60" t="str">
        <f t="shared" si="50"/>
        <v/>
      </c>
      <c r="N345" s="61">
        <v>66068309</v>
      </c>
      <c r="O345" s="61">
        <f t="shared" si="44"/>
        <v>0</v>
      </c>
      <c r="P345" s="62"/>
      <c r="Q345" s="64"/>
      <c r="R345" s="20">
        <f t="shared" si="45"/>
        <v>1</v>
      </c>
      <c r="S345" s="20">
        <f t="shared" si="48"/>
        <v>0</v>
      </c>
      <c r="T345" s="65"/>
    </row>
    <row r="346" spans="1:20" ht="15.75" thickBot="1" x14ac:dyDescent="0.3">
      <c r="A346" s="54">
        <v>44540</v>
      </c>
      <c r="D346" s="56"/>
      <c r="E346" s="57"/>
      <c r="F346" s="58"/>
      <c r="G346" s="59"/>
      <c r="H346" s="59">
        <v>4140</v>
      </c>
      <c r="I346" s="59" t="str">
        <f t="shared" si="46"/>
        <v/>
      </c>
      <c r="J346" s="59" t="str">
        <f t="shared" si="46"/>
        <v/>
      </c>
      <c r="K346" s="60" t="str">
        <f t="shared" si="51"/>
        <v/>
      </c>
      <c r="L346" s="59" t="str">
        <f t="shared" si="47"/>
        <v/>
      </c>
      <c r="M346" s="60" t="str">
        <f t="shared" si="50"/>
        <v/>
      </c>
      <c r="N346" s="61">
        <v>66068309</v>
      </c>
      <c r="O346" s="61">
        <f t="shared" si="44"/>
        <v>0</v>
      </c>
      <c r="P346" s="62"/>
      <c r="Q346" s="64"/>
      <c r="R346" s="20">
        <f t="shared" si="45"/>
        <v>1</v>
      </c>
      <c r="S346" s="20">
        <f t="shared" si="48"/>
        <v>0</v>
      </c>
      <c r="T346" s="65"/>
    </row>
    <row r="347" spans="1:20" ht="15.75" thickBot="1" x14ac:dyDescent="0.3">
      <c r="A347" s="54">
        <v>44541</v>
      </c>
      <c r="D347" s="56"/>
      <c r="E347" s="57"/>
      <c r="F347" s="58"/>
      <c r="G347" s="59"/>
      <c r="H347" s="59">
        <v>4140</v>
      </c>
      <c r="I347" s="59" t="str">
        <f t="shared" si="46"/>
        <v/>
      </c>
      <c r="J347" s="59" t="str">
        <f t="shared" si="46"/>
        <v/>
      </c>
      <c r="K347" s="60" t="str">
        <f t="shared" si="51"/>
        <v/>
      </c>
      <c r="L347" s="59" t="str">
        <f t="shared" si="47"/>
        <v/>
      </c>
      <c r="M347" s="60" t="str">
        <f t="shared" si="50"/>
        <v/>
      </c>
      <c r="N347" s="61">
        <v>66068309</v>
      </c>
      <c r="O347" s="61">
        <f t="shared" si="44"/>
        <v>0</v>
      </c>
      <c r="P347" s="62"/>
      <c r="Q347" s="63"/>
      <c r="R347" s="20">
        <f t="shared" si="45"/>
        <v>1</v>
      </c>
      <c r="S347" s="20">
        <f t="shared" si="48"/>
        <v>0</v>
      </c>
    </row>
    <row r="348" spans="1:20" ht="15.75" thickBot="1" x14ac:dyDescent="0.3">
      <c r="A348" s="54">
        <v>44542</v>
      </c>
      <c r="D348" s="56"/>
      <c r="E348" s="57"/>
      <c r="F348" s="58"/>
      <c r="G348" s="59"/>
      <c r="H348" s="59">
        <v>4140</v>
      </c>
      <c r="I348" s="59" t="str">
        <f t="shared" si="46"/>
        <v/>
      </c>
      <c r="J348" s="59" t="str">
        <f t="shared" si="46"/>
        <v/>
      </c>
      <c r="K348" s="60" t="str">
        <f t="shared" si="51"/>
        <v/>
      </c>
      <c r="L348" s="59" t="str">
        <f t="shared" si="47"/>
        <v/>
      </c>
      <c r="M348" s="60" t="str">
        <f t="shared" si="50"/>
        <v/>
      </c>
      <c r="N348" s="61">
        <v>66068309</v>
      </c>
      <c r="O348" s="61">
        <f t="shared" si="44"/>
        <v>0</v>
      </c>
      <c r="P348" s="62"/>
      <c r="Q348" s="63"/>
      <c r="R348" s="20">
        <f t="shared" si="45"/>
        <v>1</v>
      </c>
      <c r="S348" s="20">
        <f t="shared" si="48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46"/>
        <v/>
      </c>
      <c r="J349" s="59" t="str">
        <f t="shared" si="46"/>
        <v/>
      </c>
      <c r="K349" s="60" t="str">
        <f t="shared" si="51"/>
        <v/>
      </c>
      <c r="L349" s="59" t="str">
        <f t="shared" si="47"/>
        <v/>
      </c>
      <c r="M349" s="60" t="str">
        <f t="shared" si="50"/>
        <v/>
      </c>
      <c r="N349" s="61">
        <v>66068309</v>
      </c>
      <c r="O349" s="61">
        <f t="shared" si="44"/>
        <v>0</v>
      </c>
      <c r="P349" s="62"/>
      <c r="Q349" s="64"/>
      <c r="R349" s="20">
        <f t="shared" si="45"/>
        <v>1</v>
      </c>
      <c r="S349" s="20">
        <f t="shared" si="48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46"/>
        <v/>
      </c>
      <c r="J350" s="59" t="str">
        <f t="shared" si="46"/>
        <v/>
      </c>
      <c r="K350" s="60" t="str">
        <f t="shared" si="51"/>
        <v/>
      </c>
      <c r="L350" s="59" t="str">
        <f t="shared" si="47"/>
        <v/>
      </c>
      <c r="M350" s="60" t="str">
        <f t="shared" si="50"/>
        <v/>
      </c>
      <c r="N350" s="61">
        <v>66068309</v>
      </c>
      <c r="O350" s="61">
        <f t="shared" si="44"/>
        <v>0</v>
      </c>
      <c r="P350" s="62"/>
      <c r="Q350" s="64"/>
      <c r="R350" s="20">
        <f t="shared" si="45"/>
        <v>1</v>
      </c>
      <c r="S350" s="20">
        <f t="shared" si="48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6"/>
        <v/>
      </c>
      <c r="J351" s="59" t="str">
        <f t="shared" si="46"/>
        <v/>
      </c>
      <c r="K351" s="60" t="str">
        <f t="shared" si="51"/>
        <v/>
      </c>
      <c r="L351" s="59" t="str">
        <f t="shared" si="47"/>
        <v/>
      </c>
      <c r="M351" s="60" t="str">
        <f t="shared" si="50"/>
        <v/>
      </c>
      <c r="N351" s="61">
        <v>66068309</v>
      </c>
      <c r="O351" s="61">
        <f t="shared" si="44"/>
        <v>0</v>
      </c>
      <c r="P351" s="62"/>
      <c r="Q351" s="63"/>
      <c r="R351" s="20">
        <f t="shared" si="45"/>
        <v>1</v>
      </c>
      <c r="S351" s="20">
        <f t="shared" si="48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si="46"/>
        <v/>
      </c>
      <c r="J352" s="59" t="str">
        <f t="shared" si="46"/>
        <v/>
      </c>
      <c r="K352" s="60" t="str">
        <f t="shared" si="51"/>
        <v/>
      </c>
      <c r="L352" s="59" t="str">
        <f t="shared" si="47"/>
        <v/>
      </c>
      <c r="M352" s="60" t="str">
        <f t="shared" si="50"/>
        <v/>
      </c>
      <c r="N352" s="61">
        <v>66068309</v>
      </c>
      <c r="O352" s="61">
        <f t="shared" si="44"/>
        <v>0</v>
      </c>
      <c r="P352" s="62"/>
      <c r="Q352" s="63"/>
      <c r="R352" s="20">
        <f t="shared" si="45"/>
        <v>1</v>
      </c>
      <c r="S352" s="20">
        <f t="shared" si="48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46"/>
        <v/>
      </c>
      <c r="J353" s="59" t="str">
        <f t="shared" si="46"/>
        <v/>
      </c>
      <c r="K353" s="60" t="str">
        <f t="shared" si="51"/>
        <v/>
      </c>
      <c r="L353" s="59" t="str">
        <f t="shared" si="47"/>
        <v/>
      </c>
      <c r="M353" s="60" t="str">
        <f t="shared" si="50"/>
        <v/>
      </c>
      <c r="N353" s="61">
        <v>66068309</v>
      </c>
      <c r="O353" s="61">
        <f t="shared" si="44"/>
        <v>0</v>
      </c>
      <c r="P353" s="62"/>
      <c r="Q353" s="63"/>
      <c r="R353" s="20">
        <f t="shared" si="45"/>
        <v>1</v>
      </c>
      <c r="S353" s="20">
        <f t="shared" si="48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46"/>
        <v/>
      </c>
      <c r="J354" s="59" t="str">
        <f t="shared" si="46"/>
        <v/>
      </c>
      <c r="K354" s="60" t="str">
        <f t="shared" si="51"/>
        <v/>
      </c>
      <c r="L354" s="59" t="str">
        <f t="shared" si="47"/>
        <v/>
      </c>
      <c r="M354" s="60" t="str">
        <f t="shared" si="50"/>
        <v/>
      </c>
      <c r="N354" s="61">
        <v>66068309</v>
      </c>
      <c r="O354" s="61">
        <f t="shared" si="44"/>
        <v>0</v>
      </c>
      <c r="P354" s="62"/>
      <c r="Q354" s="104"/>
      <c r="R354" s="20">
        <f t="shared" si="45"/>
        <v>1</v>
      </c>
      <c r="S354" s="20">
        <f t="shared" si="48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46"/>
        <v/>
      </c>
      <c r="J355" s="59" t="str">
        <f>IF(E355="","",+(E355-E354)*4140)</f>
        <v/>
      </c>
      <c r="K355" s="60" t="str">
        <f t="shared" si="51"/>
        <v/>
      </c>
      <c r="L355" s="59" t="str">
        <f t="shared" si="47"/>
        <v/>
      </c>
      <c r="M355" s="60" t="str">
        <f t="shared" si="50"/>
        <v/>
      </c>
      <c r="N355" s="61">
        <v>66068309</v>
      </c>
      <c r="O355" s="61">
        <v>0</v>
      </c>
      <c r="P355" s="62"/>
      <c r="Q355" s="104"/>
      <c r="R355" s="20">
        <f t="shared" si="45"/>
        <v>1</v>
      </c>
      <c r="S355" s="20">
        <f t="shared" si="48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46"/>
        <v/>
      </c>
      <c r="J356" s="59" t="str">
        <f>IF(E356="","",+(E356-E355)*4140)</f>
        <v/>
      </c>
      <c r="K356" s="60" t="str">
        <f t="shared" si="51"/>
        <v/>
      </c>
      <c r="L356" s="59" t="str">
        <f t="shared" si="47"/>
        <v/>
      </c>
      <c r="M356" s="60" t="str">
        <f t="shared" si="50"/>
        <v/>
      </c>
      <c r="N356" s="61">
        <v>66068309</v>
      </c>
      <c r="O356" s="61">
        <f t="shared" si="44"/>
        <v>0</v>
      </c>
      <c r="P356" s="202" t="s">
        <v>69</v>
      </c>
      <c r="Q356" s="203"/>
      <c r="R356" s="20">
        <f t="shared" si="45"/>
        <v>1</v>
      </c>
      <c r="S356" s="20">
        <f t="shared" si="48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46"/>
        <v/>
      </c>
      <c r="J357" s="59" t="str">
        <f>IF(E357="","",+(E357-E356)*4140)</f>
        <v/>
      </c>
      <c r="K357" s="60" t="str">
        <f t="shared" si="51"/>
        <v/>
      </c>
      <c r="L357" s="59" t="str">
        <f t="shared" si="47"/>
        <v/>
      </c>
      <c r="M357" s="60" t="str">
        <f t="shared" si="50"/>
        <v/>
      </c>
      <c r="N357" s="61">
        <v>66068309</v>
      </c>
      <c r="O357" s="61">
        <f t="shared" si="44"/>
        <v>0</v>
      </c>
      <c r="P357" s="204"/>
      <c r="Q357" s="205"/>
      <c r="R357" s="20">
        <f t="shared" si="45"/>
        <v>1</v>
      </c>
      <c r="S357" s="20">
        <f t="shared" si="48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46"/>
        <v/>
      </c>
      <c r="J358" s="59" t="str">
        <f>IF(E358="","",+(E358-E357)*4140)</f>
        <v/>
      </c>
      <c r="K358" s="60" t="str">
        <f t="shared" si="51"/>
        <v/>
      </c>
      <c r="L358" s="59" t="str">
        <f t="shared" si="47"/>
        <v/>
      </c>
      <c r="M358" s="60" t="str">
        <f t="shared" si="50"/>
        <v/>
      </c>
      <c r="N358" s="61">
        <v>66068309</v>
      </c>
      <c r="O358" s="61">
        <f t="shared" si="44"/>
        <v>0</v>
      </c>
      <c r="P358" s="69" t="s">
        <v>46</v>
      </c>
      <c r="Q358" s="69" t="s">
        <v>47</v>
      </c>
      <c r="R358" s="20">
        <f t="shared" si="45"/>
        <v>1</v>
      </c>
      <c r="S358" s="20">
        <f t="shared" si="48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46"/>
        <v/>
      </c>
      <c r="J359" s="59" t="str">
        <f t="shared" si="46"/>
        <v/>
      </c>
      <c r="K359" s="60" t="str">
        <f t="shared" si="51"/>
        <v/>
      </c>
      <c r="L359" s="59" t="str">
        <f t="shared" si="47"/>
        <v/>
      </c>
      <c r="M359" s="60" t="str">
        <f t="shared" si="50"/>
        <v/>
      </c>
      <c r="N359" s="61">
        <v>66068309</v>
      </c>
      <c r="O359" s="61">
        <f t="shared" si="44"/>
        <v>0</v>
      </c>
      <c r="P359" s="70">
        <f>IF(J338="",0,+SUM(J338:J368)/SUM(I338:I368))</f>
        <v>0</v>
      </c>
      <c r="Q359" s="70">
        <f>IF(L338="",0,+SUM(L338:L368)/SUM(I338:I368))</f>
        <v>0</v>
      </c>
      <c r="R359" s="20">
        <f t="shared" si="45"/>
        <v>1</v>
      </c>
      <c r="S359" s="20">
        <f t="shared" si="48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46"/>
        <v/>
      </c>
      <c r="J360" s="59" t="str">
        <f t="shared" si="46"/>
        <v/>
      </c>
      <c r="K360" s="60" t="str">
        <f t="shared" si="51"/>
        <v/>
      </c>
      <c r="L360" s="59" t="str">
        <f t="shared" si="47"/>
        <v/>
      </c>
      <c r="M360" s="60" t="str">
        <f t="shared" si="50"/>
        <v/>
      </c>
      <c r="N360" s="61">
        <v>66068309</v>
      </c>
      <c r="O360" s="61">
        <f t="shared" si="44"/>
        <v>0</v>
      </c>
      <c r="P360" s="71">
        <f>IF(J338="",0,+(+(LOOKUP(9.99999999999999E+307,E338:E368)-E337))/(+(LOOKUP(9.99999999999999E+307,D338:D368)-D337)))</f>
        <v>0</v>
      </c>
      <c r="Q360" s="71">
        <f>IF(L338="",0,+(+(LOOKUP(9.99999999999999E+307,F338:F368)-F337))/(+(LOOKUP(9.99999999999999E+307,D338:D368)-D337)))</f>
        <v>0</v>
      </c>
      <c r="R360" s="20">
        <f t="shared" si="45"/>
        <v>1</v>
      </c>
      <c r="S360" s="20">
        <f t="shared" si="48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46"/>
        <v/>
      </c>
      <c r="J361" s="59" t="str">
        <f t="shared" si="46"/>
        <v/>
      </c>
      <c r="K361" s="60" t="str">
        <f t="shared" si="51"/>
        <v/>
      </c>
      <c r="L361" s="59" t="str">
        <f t="shared" si="47"/>
        <v/>
      </c>
      <c r="M361" s="60" t="str">
        <f t="shared" si="50"/>
        <v/>
      </c>
      <c r="N361" s="61">
        <v>66068309</v>
      </c>
      <c r="O361" s="61">
        <f t="shared" si="44"/>
        <v>0</v>
      </c>
      <c r="P361" s="72" t="s">
        <v>48</v>
      </c>
      <c r="Q361" s="73" t="s">
        <v>49</v>
      </c>
      <c r="R361" s="20">
        <f t="shared" si="45"/>
        <v>1</v>
      </c>
      <c r="S361" s="20">
        <f t="shared" si="48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46"/>
        <v/>
      </c>
      <c r="J362" s="59" t="str">
        <f t="shared" si="46"/>
        <v/>
      </c>
      <c r="K362" s="60" t="str">
        <f t="shared" si="51"/>
        <v/>
      </c>
      <c r="L362" s="59" t="str">
        <f t="shared" si="47"/>
        <v/>
      </c>
      <c r="M362" s="60" t="str">
        <f t="shared" si="50"/>
        <v/>
      </c>
      <c r="N362" s="61">
        <v>66068309</v>
      </c>
      <c r="O362" s="61">
        <f t="shared" si="44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5"/>
        <v>1</v>
      </c>
      <c r="S362" s="20">
        <f t="shared" si="48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46"/>
        <v/>
      </c>
      <c r="J363" s="59" t="str">
        <f t="shared" si="46"/>
        <v/>
      </c>
      <c r="K363" s="60" t="str">
        <f t="shared" si="51"/>
        <v/>
      </c>
      <c r="L363" s="59" t="str">
        <f t="shared" si="47"/>
        <v/>
      </c>
      <c r="M363" s="60" t="str">
        <f t="shared" ref="M363:M368" si="52">IF(L363="","",(L363/I363))</f>
        <v/>
      </c>
      <c r="N363" s="61">
        <v>66068309</v>
      </c>
      <c r="O363" s="61">
        <f t="shared" si="44"/>
        <v>0</v>
      </c>
      <c r="P363" s="76" t="s">
        <v>50</v>
      </c>
      <c r="Q363" s="77" t="s">
        <v>58</v>
      </c>
      <c r="R363" s="20">
        <f t="shared" si="45"/>
        <v>1</v>
      </c>
      <c r="S363" s="20">
        <f t="shared" si="48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46"/>
        <v/>
      </c>
      <c r="J364" s="59" t="str">
        <f t="shared" si="46"/>
        <v/>
      </c>
      <c r="K364" s="60" t="str">
        <f t="shared" si="51"/>
        <v/>
      </c>
      <c r="L364" s="59" t="str">
        <f t="shared" si="47"/>
        <v/>
      </c>
      <c r="M364" s="60" t="str">
        <f t="shared" si="52"/>
        <v/>
      </c>
      <c r="N364" s="61">
        <v>66068309</v>
      </c>
      <c r="O364" s="61">
        <f t="shared" si="44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5"/>
        <v>1</v>
      </c>
      <c r="S364" s="20">
        <f t="shared" si="48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46"/>
        <v/>
      </c>
      <c r="J365" s="59" t="str">
        <f t="shared" si="46"/>
        <v/>
      </c>
      <c r="K365" s="60" t="str">
        <f t="shared" si="51"/>
        <v/>
      </c>
      <c r="L365" s="59" t="str">
        <f t="shared" si="47"/>
        <v/>
      </c>
      <c r="M365" s="60" t="str">
        <f t="shared" si="52"/>
        <v/>
      </c>
      <c r="N365" s="61">
        <v>66068309</v>
      </c>
      <c r="O365" s="61">
        <f t="shared" si="44"/>
        <v>0</v>
      </c>
      <c r="P365" s="80" t="s">
        <v>52</v>
      </c>
      <c r="Q365" s="81" t="s">
        <v>59</v>
      </c>
      <c r="R365" s="20">
        <f t="shared" si="45"/>
        <v>1</v>
      </c>
      <c r="S365" s="20">
        <f t="shared" si="48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46"/>
        <v/>
      </c>
      <c r="K366" s="60" t="str">
        <f t="shared" si="51"/>
        <v/>
      </c>
      <c r="L366" s="59" t="str">
        <f t="shared" si="47"/>
        <v/>
      </c>
      <c r="M366" s="60" t="str">
        <f t="shared" si="52"/>
        <v/>
      </c>
      <c r="N366" s="61">
        <v>66068309</v>
      </c>
      <c r="O366" s="61">
        <f t="shared" si="44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5"/>
        <v>1</v>
      </c>
      <c r="S366" s="20">
        <f t="shared" si="48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46"/>
        <v/>
      </c>
      <c r="J367" s="59" t="str">
        <f t="shared" si="46"/>
        <v/>
      </c>
      <c r="K367" s="60" t="str">
        <f t="shared" si="51"/>
        <v/>
      </c>
      <c r="L367" s="59" t="str">
        <f t="shared" si="47"/>
        <v/>
      </c>
      <c r="M367" s="60" t="str">
        <f t="shared" si="52"/>
        <v/>
      </c>
      <c r="N367" s="61">
        <v>66068309</v>
      </c>
      <c r="O367" s="61">
        <f t="shared" si="44"/>
        <v>0</v>
      </c>
      <c r="P367" s="85" t="s">
        <v>54</v>
      </c>
      <c r="Q367" s="86" t="s">
        <v>55</v>
      </c>
      <c r="R367" s="20">
        <f t="shared" si="45"/>
        <v>1</v>
      </c>
      <c r="S367" s="20">
        <f t="shared" si="48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46"/>
        <v/>
      </c>
      <c r="J368" s="90" t="str">
        <f t="shared" si="46"/>
        <v/>
      </c>
      <c r="K368" s="91" t="str">
        <f t="shared" si="51"/>
        <v/>
      </c>
      <c r="L368" s="90" t="str">
        <f t="shared" si="47"/>
        <v/>
      </c>
      <c r="M368" s="91" t="str">
        <f t="shared" si="52"/>
        <v/>
      </c>
      <c r="N368" s="92">
        <v>66068309</v>
      </c>
      <c r="O368" s="93">
        <f t="shared" si="44"/>
        <v>0</v>
      </c>
      <c r="P368" s="94">
        <f>(P366+Q364*SUM(S338:S368)*Q369)</f>
        <v>0</v>
      </c>
      <c r="Q368" s="95">
        <f>Q364*31</f>
        <v>0</v>
      </c>
      <c r="R368" s="20">
        <f t="shared" si="45"/>
        <v>1</v>
      </c>
      <c r="S368" s="20">
        <f t="shared" si="48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7434375.5399999982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2021-10-12T06:33:15Z</dcterms:modified>
  <cp:category/>
  <cp:contentStatus/>
</cp:coreProperties>
</file>