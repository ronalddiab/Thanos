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8800" windowHeight="13725"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7" i="3" l="1"/>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Q38" i="3"/>
  <c r="AP38" i="3" l="1"/>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8" i="3" l="1"/>
  <c r="AN37" i="3"/>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G40" i="9" l="1"/>
  <c r="AI26" i="5" l="1"/>
  <c r="G24" i="4"/>
  <c r="G23" i="4"/>
  <c r="G13" i="4"/>
  <c r="G12" i="4"/>
  <c r="G11" i="4"/>
  <c r="G10" i="4"/>
  <c r="C13" i="4"/>
  <c r="D30" i="5" l="1"/>
  <c r="E30" i="5" s="1"/>
  <c r="H30" i="5"/>
  <c r="J30" i="5"/>
  <c r="L30" i="5"/>
  <c r="N30" i="5"/>
  <c r="P30" i="5"/>
  <c r="R30" i="5"/>
  <c r="T30" i="5"/>
  <c r="V30" i="5"/>
  <c r="X30" i="5"/>
  <c r="Z30" i="5"/>
  <c r="AB30" i="5"/>
  <c r="AD30" i="5"/>
  <c r="AF30" i="5"/>
  <c r="AH30" i="5"/>
  <c r="AJ30" i="5"/>
  <c r="AL30" i="5"/>
  <c r="AN30" i="5"/>
  <c r="AP30" i="5"/>
  <c r="AR30" i="5"/>
  <c r="AT30" i="5"/>
  <c r="AV30" i="5"/>
  <c r="AX30" i="5"/>
  <c r="AZ30" i="5"/>
  <c r="BB30" i="5"/>
  <c r="BD30" i="5"/>
  <c r="BF30" i="5"/>
  <c r="D31" i="5"/>
  <c r="E31" i="5" s="1"/>
  <c r="H31" i="5"/>
  <c r="J31" i="5"/>
  <c r="L31" i="5"/>
  <c r="N31" i="5"/>
  <c r="P31" i="5"/>
  <c r="R31" i="5"/>
  <c r="T31" i="5"/>
  <c r="V31" i="5"/>
  <c r="X31" i="5"/>
  <c r="Z31" i="5"/>
  <c r="AB31" i="5"/>
  <c r="AD31" i="5"/>
  <c r="AF31" i="5"/>
  <c r="AH31" i="5"/>
  <c r="AJ31" i="5"/>
  <c r="AL31" i="5"/>
  <c r="AN31" i="5"/>
  <c r="AP31" i="5"/>
  <c r="AR31" i="5"/>
  <c r="AT31" i="5"/>
  <c r="AV31" i="5"/>
  <c r="AX31" i="5"/>
  <c r="AZ31" i="5"/>
  <c r="BB31" i="5"/>
  <c r="BD31" i="5"/>
  <c r="BF31" i="5"/>
  <c r="D32" i="5"/>
  <c r="E32" i="5" s="1"/>
  <c r="H32" i="5"/>
  <c r="J32" i="5"/>
  <c r="L32" i="5"/>
  <c r="N32" i="5"/>
  <c r="P32" i="5"/>
  <c r="R32" i="5"/>
  <c r="T32" i="5"/>
  <c r="V32" i="5"/>
  <c r="X32" i="5"/>
  <c r="Z32" i="5"/>
  <c r="AB32" i="5"/>
  <c r="AD32" i="5"/>
  <c r="AF32" i="5"/>
  <c r="AH32" i="5"/>
  <c r="AJ32" i="5"/>
  <c r="AL32" i="5"/>
  <c r="AN32" i="5"/>
  <c r="AP32" i="5"/>
  <c r="AR32" i="5"/>
  <c r="AT32" i="5"/>
  <c r="AV32" i="5"/>
  <c r="AX32" i="5"/>
  <c r="AZ32" i="5"/>
  <c r="BB32" i="5"/>
  <c r="BD32" i="5"/>
  <c r="BF32" i="5"/>
  <c r="D33" i="5"/>
  <c r="E33" i="5" s="1"/>
  <c r="H33" i="5"/>
  <c r="J33" i="5"/>
  <c r="L33" i="5"/>
  <c r="N33" i="5"/>
  <c r="P33" i="5"/>
  <c r="R33" i="5"/>
  <c r="T33" i="5"/>
  <c r="V33" i="5"/>
  <c r="X33" i="5"/>
  <c r="Z33" i="5"/>
  <c r="AB33" i="5"/>
  <c r="AD33" i="5"/>
  <c r="AF33" i="5"/>
  <c r="AH33" i="5"/>
  <c r="AJ33" i="5"/>
  <c r="AL33" i="5"/>
  <c r="AN33" i="5"/>
  <c r="AP33" i="5"/>
  <c r="AR33" i="5"/>
  <c r="AT33" i="5"/>
  <c r="AV33" i="5"/>
  <c r="AX33" i="5"/>
  <c r="AZ33" i="5"/>
  <c r="BB33" i="5"/>
  <c r="BD33" i="5"/>
  <c r="BF33" i="5"/>
  <c r="F31" i="5" l="1"/>
  <c r="F30" i="5"/>
  <c r="F33" i="5"/>
  <c r="F32" i="5"/>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J14" i="5" l="1"/>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D38" i="5"/>
  <c r="E38" i="5" s="1"/>
  <c r="D37" i="5"/>
  <c r="F37" i="5" s="1"/>
  <c r="X38" i="3"/>
  <c r="X37" i="3"/>
  <c r="X36" i="3"/>
  <c r="T38" i="3"/>
  <c r="T37" i="3"/>
  <c r="T36" i="3"/>
  <c r="P38" i="3"/>
  <c r="P37" i="3"/>
  <c r="P36" i="3"/>
  <c r="N38" i="3"/>
  <c r="N37" i="3"/>
  <c r="N36" i="3"/>
  <c r="L38" i="3"/>
  <c r="L37" i="3"/>
  <c r="L36" i="3"/>
  <c r="H38" i="3"/>
  <c r="H37" i="3"/>
  <c r="H36" i="3"/>
  <c r="F38" i="3"/>
  <c r="F37" i="3"/>
  <c r="F36" i="3"/>
  <c r="D38" i="3"/>
  <c r="D37" i="3"/>
  <c r="D36" i="3"/>
  <c r="M37" i="4"/>
  <c r="R37" i="4" s="1"/>
  <c r="N36" i="4"/>
  <c r="N35" i="4"/>
  <c r="D37" i="4"/>
  <c r="D36" i="4"/>
  <c r="D35" i="4"/>
  <c r="S36" i="4" l="1"/>
  <c r="I32" i="8" s="1"/>
  <c r="S35" i="4"/>
  <c r="I31" i="8" s="1"/>
  <c r="M35" i="4"/>
  <c r="R35" i="4" s="1"/>
  <c r="F38" i="5"/>
  <c r="BI38" i="5" s="1"/>
  <c r="N37" i="4"/>
  <c r="S37" i="4" s="1"/>
  <c r="I33" i="8" s="1"/>
  <c r="BI37" i="5"/>
  <c r="BI39" i="5"/>
  <c r="BH38" i="5"/>
  <c r="E37" i="5"/>
  <c r="BH37" i="5" s="1"/>
  <c r="M36" i="4"/>
  <c r="R36" i="4" s="1"/>
  <c r="E39" i="5"/>
  <c r="BH39" i="5" s="1"/>
  <c r="K33" i="8" s="1"/>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L8" i="3"/>
  <c r="N8" i="3"/>
  <c r="P8" i="3"/>
  <c r="T8" i="3"/>
  <c r="X8" i="3"/>
  <c r="AB8" i="3"/>
  <c r="BB27" i="5" l="1"/>
  <c r="D34" i="4" l="1"/>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D21" i="4" l="1"/>
  <c r="D20" i="4"/>
  <c r="G39" i="9" l="1"/>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H34" i="3"/>
  <c r="H33" i="3"/>
  <c r="H32" i="3"/>
  <c r="H31" i="3"/>
  <c r="H30" i="3"/>
  <c r="H29" i="3"/>
  <c r="H28" i="3"/>
  <c r="H27" i="3"/>
  <c r="H26" i="3"/>
  <c r="H25" i="3"/>
  <c r="L35" i="3"/>
  <c r="L34" i="3"/>
  <c r="L33" i="3"/>
  <c r="L32" i="3"/>
  <c r="L31" i="3"/>
  <c r="L30" i="3"/>
  <c r="L29" i="3"/>
  <c r="L28" i="3"/>
  <c r="L27" i="3"/>
  <c r="L26" i="3"/>
  <c r="L25" i="3"/>
  <c r="N35" i="3"/>
  <c r="N34" i="3"/>
  <c r="N33" i="3"/>
  <c r="N32" i="3"/>
  <c r="N31" i="3"/>
  <c r="N30" i="3"/>
  <c r="N29" i="3"/>
  <c r="N28" i="3"/>
  <c r="N27" i="3"/>
  <c r="N26" i="3"/>
  <c r="N25" i="3"/>
  <c r="P35" i="3"/>
  <c r="P34" i="3"/>
  <c r="P33" i="3"/>
  <c r="P32" i="3"/>
  <c r="P31" i="3"/>
  <c r="P30" i="3"/>
  <c r="P29" i="3"/>
  <c r="P28" i="3"/>
  <c r="P27" i="3"/>
  <c r="P26" i="3"/>
  <c r="P25" i="3"/>
  <c r="T35" i="3"/>
  <c r="T34" i="3"/>
  <c r="T33" i="3"/>
  <c r="T32" i="3"/>
  <c r="T31" i="3"/>
  <c r="T30" i="3"/>
  <c r="T29" i="3"/>
  <c r="T28" i="3"/>
  <c r="T27" i="3"/>
  <c r="T26" i="3"/>
  <c r="T25" i="3"/>
  <c r="X35" i="3"/>
  <c r="X34" i="3"/>
  <c r="X33" i="3"/>
  <c r="X32" i="3"/>
  <c r="X31" i="3"/>
  <c r="X30" i="3"/>
  <c r="X29" i="3"/>
  <c r="X28" i="3"/>
  <c r="X27" i="3"/>
  <c r="X26" i="3"/>
  <c r="X25" i="3"/>
  <c r="N34" i="4"/>
  <c r="M33" i="4"/>
  <c r="R33" i="4" s="1"/>
  <c r="M32" i="4"/>
  <c r="R32" i="4" s="1"/>
  <c r="M31" i="4"/>
  <c r="R31" i="4" s="1"/>
  <c r="M30" i="4"/>
  <c r="R30" i="4" s="1"/>
  <c r="M29" i="4"/>
  <c r="R29" i="4" s="1"/>
  <c r="N28" i="4"/>
  <c r="N27" i="4"/>
  <c r="M26" i="4"/>
  <c r="R26" i="4" s="1"/>
  <c r="M25" i="4"/>
  <c r="R25" i="4" s="1"/>
  <c r="M24" i="4"/>
  <c r="R24" i="4" s="1"/>
  <c r="V14" i="5"/>
  <c r="BF36" i="5"/>
  <c r="BF35" i="5"/>
  <c r="BF34" i="5"/>
  <c r="BF29" i="5"/>
  <c r="BF28" i="5"/>
  <c r="BF27" i="5"/>
  <c r="BF26" i="5"/>
  <c r="BF25" i="5"/>
  <c r="BF24" i="5"/>
  <c r="BF23" i="5"/>
  <c r="BF22" i="5"/>
  <c r="BF21" i="5"/>
  <c r="BF20" i="5"/>
  <c r="BF19" i="5"/>
  <c r="BF18" i="5"/>
  <c r="BF17" i="5"/>
  <c r="BF16" i="5"/>
  <c r="BF15" i="5"/>
  <c r="BF14" i="5"/>
  <c r="BF13" i="5"/>
  <c r="BF12" i="5"/>
  <c r="BF11" i="5"/>
  <c r="BF10" i="5"/>
  <c r="BF9" i="5"/>
  <c r="BD36" i="5"/>
  <c r="BD35" i="5"/>
  <c r="BD34" i="5"/>
  <c r="BD29" i="5"/>
  <c r="BD28" i="5"/>
  <c r="BD27" i="5"/>
  <c r="BD26" i="5"/>
  <c r="BD25" i="5"/>
  <c r="BD24" i="5"/>
  <c r="BD23" i="5"/>
  <c r="BD22" i="5"/>
  <c r="BD21" i="5"/>
  <c r="BD20" i="5"/>
  <c r="BD19" i="5"/>
  <c r="BD18" i="5"/>
  <c r="BD17" i="5"/>
  <c r="BD16" i="5"/>
  <c r="BD15" i="5"/>
  <c r="BD14" i="5"/>
  <c r="BD13" i="5"/>
  <c r="BD12" i="5"/>
  <c r="BD11" i="5"/>
  <c r="BD10" i="5"/>
  <c r="BD9" i="5"/>
  <c r="BB36" i="5"/>
  <c r="BB35" i="5"/>
  <c r="BB34" i="5"/>
  <c r="BB29" i="5"/>
  <c r="BB28" i="5"/>
  <c r="BB22" i="5"/>
  <c r="BB21" i="5"/>
  <c r="BB20" i="5"/>
  <c r="BB19" i="5"/>
  <c r="BB18" i="5"/>
  <c r="BB17" i="5"/>
  <c r="BB16" i="5"/>
  <c r="BB15" i="5"/>
  <c r="BB14" i="5"/>
  <c r="BB13" i="5"/>
  <c r="BB12" i="5"/>
  <c r="BB11" i="5"/>
  <c r="BB10" i="5"/>
  <c r="BB9" i="5"/>
  <c r="AZ36" i="5"/>
  <c r="AZ35" i="5"/>
  <c r="AZ34" i="5"/>
  <c r="AZ29" i="5"/>
  <c r="AZ28" i="5"/>
  <c r="AZ27" i="5"/>
  <c r="AZ25" i="5"/>
  <c r="AZ24" i="5"/>
  <c r="AZ23" i="5"/>
  <c r="AZ22" i="5"/>
  <c r="AZ21" i="5"/>
  <c r="AZ20" i="5"/>
  <c r="AZ19" i="5"/>
  <c r="AZ18" i="5"/>
  <c r="AZ17" i="5"/>
  <c r="AZ16" i="5"/>
  <c r="AZ15" i="5"/>
  <c r="AZ14" i="5"/>
  <c r="AZ13" i="5"/>
  <c r="AZ12" i="5"/>
  <c r="AZ11" i="5"/>
  <c r="AZ10" i="5"/>
  <c r="AZ9" i="5"/>
  <c r="AJ36" i="5"/>
  <c r="AJ35" i="5"/>
  <c r="AJ34" i="5"/>
  <c r="AJ29" i="5"/>
  <c r="AJ28" i="5"/>
  <c r="AJ27" i="5"/>
  <c r="AJ26" i="5"/>
  <c r="AJ25" i="5"/>
  <c r="AJ24" i="5"/>
  <c r="AJ23" i="5"/>
  <c r="AJ22" i="5"/>
  <c r="AJ21" i="5"/>
  <c r="AJ20" i="5"/>
  <c r="AJ19" i="5"/>
  <c r="AJ18" i="5"/>
  <c r="AJ17" i="5"/>
  <c r="AJ16" i="5"/>
  <c r="AJ15" i="5"/>
  <c r="AJ13" i="5"/>
  <c r="AJ12" i="5"/>
  <c r="AJ11" i="5"/>
  <c r="AJ10" i="5"/>
  <c r="AJ9" i="5"/>
  <c r="AL36" i="5"/>
  <c r="AL35" i="5"/>
  <c r="AL34" i="5"/>
  <c r="AL29" i="5"/>
  <c r="AL28" i="5"/>
  <c r="AL27" i="5"/>
  <c r="AL26" i="5"/>
  <c r="AL25" i="5"/>
  <c r="AL24" i="5"/>
  <c r="AL23" i="5"/>
  <c r="AL22" i="5"/>
  <c r="AL21" i="5"/>
  <c r="AL20" i="5"/>
  <c r="AL19" i="5"/>
  <c r="AL18" i="5"/>
  <c r="AL17" i="5"/>
  <c r="AL16" i="5"/>
  <c r="AL15" i="5"/>
  <c r="AL14" i="5"/>
  <c r="AL13" i="5"/>
  <c r="AL12" i="5"/>
  <c r="AL11" i="5"/>
  <c r="AL10" i="5"/>
  <c r="AL9" i="5"/>
  <c r="AH36" i="5"/>
  <c r="AH35" i="5"/>
  <c r="AH34" i="5"/>
  <c r="AH29" i="5"/>
  <c r="AH28" i="5"/>
  <c r="AH27" i="5"/>
  <c r="AH26" i="5"/>
  <c r="AH25" i="5"/>
  <c r="AH24" i="5"/>
  <c r="AH23" i="5"/>
  <c r="AH22" i="5"/>
  <c r="AH21" i="5"/>
  <c r="AH20" i="5"/>
  <c r="AH19" i="5"/>
  <c r="AH18" i="5"/>
  <c r="AH17" i="5"/>
  <c r="AH16" i="5"/>
  <c r="AH15" i="5"/>
  <c r="AH14" i="5"/>
  <c r="AH13" i="5"/>
  <c r="AH12" i="5"/>
  <c r="AH11" i="5"/>
  <c r="AH10" i="5"/>
  <c r="AH9" i="5"/>
  <c r="AR36" i="5"/>
  <c r="AR35" i="5"/>
  <c r="AR34" i="5"/>
  <c r="AR29" i="5"/>
  <c r="AR28" i="5"/>
  <c r="AR27" i="5"/>
  <c r="AR26" i="5"/>
  <c r="AR25" i="5"/>
  <c r="AR24" i="5"/>
  <c r="AR23" i="5"/>
  <c r="AR22" i="5"/>
  <c r="AR21" i="5"/>
  <c r="AR20" i="5"/>
  <c r="AR19" i="5"/>
  <c r="AR18" i="5"/>
  <c r="AR17" i="5"/>
  <c r="AR16" i="5"/>
  <c r="AR15" i="5"/>
  <c r="AR14" i="5"/>
  <c r="AR13" i="5"/>
  <c r="AR12" i="5"/>
  <c r="AR11" i="5"/>
  <c r="AR10" i="5"/>
  <c r="AR9" i="5"/>
  <c r="Z36" i="5"/>
  <c r="Z35" i="5"/>
  <c r="Z34" i="5"/>
  <c r="Z29" i="5"/>
  <c r="Z28" i="5"/>
  <c r="Z27" i="5"/>
  <c r="Z26" i="5"/>
  <c r="Z25" i="5"/>
  <c r="Z24" i="5"/>
  <c r="Z23" i="5"/>
  <c r="Z22" i="5"/>
  <c r="Z21" i="5"/>
  <c r="Z20" i="5"/>
  <c r="Z19" i="5"/>
  <c r="Z18" i="5"/>
  <c r="Z17" i="5"/>
  <c r="Z16" i="5"/>
  <c r="Z15" i="5"/>
  <c r="Z14" i="5"/>
  <c r="Z13" i="5"/>
  <c r="Z12" i="5"/>
  <c r="Z11" i="5"/>
  <c r="Z10" i="5"/>
  <c r="Z9" i="5"/>
  <c r="D36" i="5"/>
  <c r="D35" i="5"/>
  <c r="D34" i="5"/>
  <c r="D29" i="5"/>
  <c r="D28" i="5"/>
  <c r="D27" i="5"/>
  <c r="D26" i="5"/>
  <c r="D25" i="5"/>
  <c r="D24" i="5"/>
  <c r="D23" i="5"/>
  <c r="D22" i="5"/>
  <c r="E22" i="5" s="1"/>
  <c r="D21" i="5"/>
  <c r="E21" i="5" s="1"/>
  <c r="D20" i="5"/>
  <c r="D19" i="5"/>
  <c r="D18" i="5"/>
  <c r="D17" i="5"/>
  <c r="D16" i="5"/>
  <c r="D15" i="5"/>
  <c r="D14" i="5"/>
  <c r="D13" i="5"/>
  <c r="D12" i="5"/>
  <c r="D11" i="5"/>
  <c r="D10" i="5"/>
  <c r="D9" i="5"/>
  <c r="E9" i="5" s="1"/>
  <c r="N36" i="5"/>
  <c r="N35" i="5"/>
  <c r="N34" i="5"/>
  <c r="N29" i="5"/>
  <c r="N28" i="5"/>
  <c r="N27" i="5"/>
  <c r="N26" i="5"/>
  <c r="N25" i="5"/>
  <c r="N24" i="5"/>
  <c r="N23" i="5"/>
  <c r="N22" i="5"/>
  <c r="N21" i="5"/>
  <c r="N20" i="5"/>
  <c r="N19" i="5"/>
  <c r="N18" i="5"/>
  <c r="N17" i="5"/>
  <c r="N16" i="5"/>
  <c r="N15" i="5"/>
  <c r="N14" i="5"/>
  <c r="N13" i="5"/>
  <c r="N12" i="5"/>
  <c r="N11" i="5"/>
  <c r="N10" i="5"/>
  <c r="N9" i="5"/>
  <c r="X36" i="5"/>
  <c r="X35" i="5"/>
  <c r="X34" i="5"/>
  <c r="X29" i="5"/>
  <c r="X28" i="5"/>
  <c r="X27" i="5"/>
  <c r="X26" i="5"/>
  <c r="X25" i="5"/>
  <c r="X24" i="5"/>
  <c r="X23" i="5"/>
  <c r="X22" i="5"/>
  <c r="X21" i="5"/>
  <c r="X20" i="5"/>
  <c r="X19" i="5"/>
  <c r="X18" i="5"/>
  <c r="X17" i="5"/>
  <c r="X16" i="5"/>
  <c r="X15" i="5"/>
  <c r="X14" i="5"/>
  <c r="X13" i="5"/>
  <c r="X12" i="5"/>
  <c r="X11" i="5"/>
  <c r="X10" i="5"/>
  <c r="X9" i="5"/>
  <c r="AX36" i="5"/>
  <c r="AX35" i="5"/>
  <c r="AX29" i="5"/>
  <c r="AX28" i="5"/>
  <c r="AX27" i="5"/>
  <c r="AX26" i="5"/>
  <c r="AX25" i="5"/>
  <c r="AX24" i="5"/>
  <c r="AX23" i="5"/>
  <c r="AX22" i="5"/>
  <c r="AX21" i="5"/>
  <c r="AX20" i="5"/>
  <c r="AX19" i="5"/>
  <c r="AX18" i="5"/>
  <c r="AX17" i="5"/>
  <c r="AX16" i="5"/>
  <c r="AX15" i="5"/>
  <c r="AX14" i="5"/>
  <c r="AX13" i="5"/>
  <c r="AX12" i="5"/>
  <c r="AX11" i="5"/>
  <c r="AX10" i="5"/>
  <c r="AX9" i="5"/>
  <c r="AV36" i="5"/>
  <c r="AV35" i="5"/>
  <c r="AV34" i="5"/>
  <c r="AV29" i="5"/>
  <c r="AV28" i="5"/>
  <c r="AV27" i="5"/>
  <c r="AV26" i="5"/>
  <c r="AV25" i="5"/>
  <c r="AV24" i="5"/>
  <c r="AV23" i="5"/>
  <c r="AV22" i="5"/>
  <c r="AV21" i="5"/>
  <c r="AV20" i="5"/>
  <c r="AV19" i="5"/>
  <c r="AV18" i="5"/>
  <c r="AV17" i="5"/>
  <c r="AV16" i="5"/>
  <c r="AV15" i="5"/>
  <c r="AV14" i="5"/>
  <c r="AV13" i="5"/>
  <c r="AV12" i="5"/>
  <c r="AV11" i="5"/>
  <c r="AV10" i="5"/>
  <c r="AV9" i="5"/>
  <c r="AT36" i="5"/>
  <c r="AT35" i="5"/>
  <c r="AT34" i="5"/>
  <c r="AT29" i="5"/>
  <c r="AT28" i="5"/>
  <c r="AT27" i="5"/>
  <c r="AT26" i="5"/>
  <c r="AT25" i="5"/>
  <c r="AT24" i="5"/>
  <c r="AT23" i="5"/>
  <c r="AT22" i="5"/>
  <c r="AT21" i="5"/>
  <c r="AT20" i="5"/>
  <c r="AT19" i="5"/>
  <c r="AT18" i="5"/>
  <c r="AT17" i="5"/>
  <c r="AT16" i="5"/>
  <c r="AT15" i="5"/>
  <c r="AT14" i="5"/>
  <c r="AT13" i="5"/>
  <c r="AT12" i="5"/>
  <c r="AT11" i="5"/>
  <c r="AT10" i="5"/>
  <c r="AT9" i="5"/>
  <c r="AP36" i="5"/>
  <c r="AP35" i="5"/>
  <c r="AP34" i="5"/>
  <c r="AP29" i="5"/>
  <c r="AP28" i="5"/>
  <c r="AP27" i="5"/>
  <c r="AP26" i="5"/>
  <c r="AP25" i="5"/>
  <c r="AP24" i="5"/>
  <c r="AP23" i="5"/>
  <c r="AP22" i="5"/>
  <c r="AP21" i="5"/>
  <c r="AP20" i="5"/>
  <c r="AP19" i="5"/>
  <c r="AP18" i="5"/>
  <c r="AP17" i="5"/>
  <c r="AP16" i="5"/>
  <c r="AP15" i="5"/>
  <c r="AP14" i="5"/>
  <c r="AP13" i="5"/>
  <c r="AP12" i="5"/>
  <c r="AP11" i="5"/>
  <c r="AP10" i="5"/>
  <c r="AP9" i="5"/>
  <c r="AN29" i="5"/>
  <c r="AN28" i="5"/>
  <c r="AN27" i="5"/>
  <c r="AN26" i="5"/>
  <c r="AN25" i="5"/>
  <c r="AN24" i="5"/>
  <c r="AN23" i="5"/>
  <c r="AN22" i="5"/>
  <c r="AN21" i="5"/>
  <c r="AN20" i="5"/>
  <c r="AN19" i="5"/>
  <c r="AN18" i="5"/>
  <c r="AN17" i="5"/>
  <c r="AN16" i="5"/>
  <c r="AN15" i="5"/>
  <c r="AN14" i="5"/>
  <c r="AN13" i="5"/>
  <c r="AN12" i="5"/>
  <c r="AN11" i="5"/>
  <c r="AN10" i="5"/>
  <c r="AN9" i="5"/>
  <c r="J36" i="5"/>
  <c r="J35" i="5"/>
  <c r="J34" i="5"/>
  <c r="J29" i="5"/>
  <c r="J28" i="5"/>
  <c r="J27" i="5"/>
  <c r="J26" i="5"/>
  <c r="J25" i="5"/>
  <c r="J24" i="5"/>
  <c r="J23" i="5"/>
  <c r="J22" i="5"/>
  <c r="J21" i="5"/>
  <c r="J20" i="5"/>
  <c r="J19" i="5"/>
  <c r="J18" i="5"/>
  <c r="J17" i="5"/>
  <c r="J16" i="5"/>
  <c r="J15" i="5"/>
  <c r="J14" i="5"/>
  <c r="J13" i="5"/>
  <c r="J12" i="5"/>
  <c r="J11" i="5"/>
  <c r="J10" i="5"/>
  <c r="J9" i="5"/>
  <c r="AB35" i="5"/>
  <c r="AB34" i="5"/>
  <c r="AB29" i="5"/>
  <c r="AB28" i="5"/>
  <c r="AB27" i="5"/>
  <c r="AB26" i="5"/>
  <c r="AB25" i="5"/>
  <c r="AB24" i="5"/>
  <c r="AB23" i="5"/>
  <c r="AB22" i="5"/>
  <c r="AB21" i="5"/>
  <c r="AB20" i="5"/>
  <c r="AB19" i="5"/>
  <c r="AB18" i="5"/>
  <c r="AB17" i="5"/>
  <c r="AB16" i="5"/>
  <c r="AB15" i="5"/>
  <c r="AB14" i="5"/>
  <c r="AB13" i="5"/>
  <c r="AB12" i="5"/>
  <c r="AB11" i="5"/>
  <c r="AB10" i="5"/>
  <c r="AB9" i="5"/>
  <c r="V36" i="5"/>
  <c r="V35" i="5"/>
  <c r="V34" i="5"/>
  <c r="V29" i="5"/>
  <c r="V28" i="5"/>
  <c r="V27" i="5"/>
  <c r="V26" i="5"/>
  <c r="V25" i="5"/>
  <c r="V24" i="5"/>
  <c r="V23" i="5"/>
  <c r="V22" i="5"/>
  <c r="V21" i="5"/>
  <c r="V20" i="5"/>
  <c r="V19" i="5"/>
  <c r="V18" i="5"/>
  <c r="V17" i="5"/>
  <c r="V16" i="5"/>
  <c r="V15" i="5"/>
  <c r="V13" i="5"/>
  <c r="V12" i="5"/>
  <c r="V11" i="5"/>
  <c r="V10" i="5"/>
  <c r="V9" i="5"/>
  <c r="T36" i="5"/>
  <c r="T35" i="5"/>
  <c r="T34" i="5"/>
  <c r="T29" i="5"/>
  <c r="T28" i="5"/>
  <c r="T27" i="5"/>
  <c r="T26" i="5"/>
  <c r="T25" i="5"/>
  <c r="T24" i="5"/>
  <c r="T23" i="5"/>
  <c r="T22" i="5"/>
  <c r="T21" i="5"/>
  <c r="T20" i="5"/>
  <c r="T19" i="5"/>
  <c r="T18" i="5"/>
  <c r="T17" i="5"/>
  <c r="T16" i="5"/>
  <c r="T15" i="5"/>
  <c r="T14" i="5"/>
  <c r="T13" i="5"/>
  <c r="T12" i="5"/>
  <c r="T11" i="5"/>
  <c r="T10" i="5"/>
  <c r="T9" i="5"/>
  <c r="R36" i="5"/>
  <c r="R35" i="5"/>
  <c r="R34" i="5"/>
  <c r="R29" i="5"/>
  <c r="R28" i="5"/>
  <c r="R27" i="5"/>
  <c r="R26" i="5"/>
  <c r="R25" i="5"/>
  <c r="R24" i="5"/>
  <c r="R23" i="5"/>
  <c r="R22" i="5"/>
  <c r="R21" i="5"/>
  <c r="R20" i="5"/>
  <c r="R19" i="5"/>
  <c r="R18" i="5"/>
  <c r="R17" i="5"/>
  <c r="R16" i="5"/>
  <c r="R15" i="5"/>
  <c r="R14" i="5"/>
  <c r="R13" i="5"/>
  <c r="R12" i="5"/>
  <c r="R11" i="5"/>
  <c r="R10" i="5"/>
  <c r="R9" i="5"/>
  <c r="L36" i="5"/>
  <c r="L35" i="5"/>
  <c r="L34" i="5"/>
  <c r="L29" i="5"/>
  <c r="L28" i="5"/>
  <c r="L27" i="5"/>
  <c r="L26" i="5"/>
  <c r="L25" i="5"/>
  <c r="L24" i="5"/>
  <c r="L23" i="5"/>
  <c r="L22" i="5"/>
  <c r="L21" i="5"/>
  <c r="L20" i="5"/>
  <c r="L19" i="5"/>
  <c r="L18" i="5"/>
  <c r="L17" i="5"/>
  <c r="L16" i="5"/>
  <c r="L15" i="5"/>
  <c r="L14" i="5"/>
  <c r="L13" i="5"/>
  <c r="L12" i="5"/>
  <c r="L11" i="5"/>
  <c r="L10" i="5"/>
  <c r="L9" i="5"/>
  <c r="H36" i="5"/>
  <c r="H35" i="5"/>
  <c r="H34" i="5"/>
  <c r="H29" i="5"/>
  <c r="H28" i="5"/>
  <c r="H27" i="5"/>
  <c r="H26" i="5"/>
  <c r="H25" i="5"/>
  <c r="H24" i="5"/>
  <c r="H23" i="5"/>
  <c r="H22" i="5"/>
  <c r="H21" i="5"/>
  <c r="H20" i="5"/>
  <c r="H19" i="5"/>
  <c r="H18" i="5"/>
  <c r="H17" i="5"/>
  <c r="H16" i="5"/>
  <c r="H15" i="5"/>
  <c r="H14" i="5"/>
  <c r="H13" i="5"/>
  <c r="H12" i="5"/>
  <c r="H11" i="5"/>
  <c r="H10" i="5"/>
  <c r="H9" i="5"/>
  <c r="P36" i="5"/>
  <c r="P35" i="5"/>
  <c r="P34" i="5"/>
  <c r="P29" i="5"/>
  <c r="P28" i="5"/>
  <c r="P27" i="5"/>
  <c r="P26" i="5"/>
  <c r="P25" i="5"/>
  <c r="P24" i="5"/>
  <c r="P23" i="5"/>
  <c r="P22" i="5"/>
  <c r="P21" i="5"/>
  <c r="P20" i="5"/>
  <c r="P19" i="5"/>
  <c r="P18" i="5"/>
  <c r="P17" i="5"/>
  <c r="P16" i="5"/>
  <c r="P15" i="5"/>
  <c r="P14" i="5"/>
  <c r="P13" i="5"/>
  <c r="P12" i="5"/>
  <c r="P11" i="5"/>
  <c r="P10" i="5"/>
  <c r="P9" i="5"/>
  <c r="AF36" i="5"/>
  <c r="AF35" i="5"/>
  <c r="AF34" i="5"/>
  <c r="AF29" i="5"/>
  <c r="AF28" i="5"/>
  <c r="AF27" i="5"/>
  <c r="AF26" i="5"/>
  <c r="AF25" i="5"/>
  <c r="AF24" i="5"/>
  <c r="AF23" i="5"/>
  <c r="AF22" i="5"/>
  <c r="AF21" i="5"/>
  <c r="AF20" i="5"/>
  <c r="AF19" i="5"/>
  <c r="AF18" i="5"/>
  <c r="AF17" i="5"/>
  <c r="AF16" i="5"/>
  <c r="AF15" i="5"/>
  <c r="AF14" i="5"/>
  <c r="AF13" i="5"/>
  <c r="AF12" i="5"/>
  <c r="AF11" i="5"/>
  <c r="AF10" i="5"/>
  <c r="AF9" i="5"/>
  <c r="AD36" i="5"/>
  <c r="AD35" i="5"/>
  <c r="AD34" i="5"/>
  <c r="AD29" i="5"/>
  <c r="AD28" i="5"/>
  <c r="AD27" i="5"/>
  <c r="AD26" i="5"/>
  <c r="AD25" i="5"/>
  <c r="AD24" i="5"/>
  <c r="AD23" i="5"/>
  <c r="AD22" i="5"/>
  <c r="AD21" i="5"/>
  <c r="AD20" i="5"/>
  <c r="AD19" i="5"/>
  <c r="AD18" i="5"/>
  <c r="AD17" i="5"/>
  <c r="AD16" i="5"/>
  <c r="AD15" i="5"/>
  <c r="AD14" i="5"/>
  <c r="AD13" i="5"/>
  <c r="AD12" i="5"/>
  <c r="AD11" i="5"/>
  <c r="AD10" i="5"/>
  <c r="AD9" i="5"/>
  <c r="N23" i="4"/>
  <c r="M22" i="4"/>
  <c r="R22" i="4" s="1"/>
  <c r="N21" i="4"/>
  <c r="M20" i="4"/>
  <c r="R20" i="4" s="1"/>
  <c r="N19" i="4"/>
  <c r="M18" i="4"/>
  <c r="R18" i="4" s="1"/>
  <c r="M17" i="4"/>
  <c r="R17" i="4" s="1"/>
  <c r="N16" i="4"/>
  <c r="N15" i="4"/>
  <c r="M14" i="4"/>
  <c r="R14" i="4" s="1"/>
  <c r="N13" i="4"/>
  <c r="M12" i="4"/>
  <c r="R12" i="4" s="1"/>
  <c r="N11" i="4"/>
  <c r="M10" i="4"/>
  <c r="R10" i="4" s="1"/>
  <c r="M9" i="4"/>
  <c r="R9" i="4" s="1"/>
  <c r="N8" i="4"/>
  <c r="N7" i="4"/>
  <c r="X24" i="3"/>
  <c r="X23" i="3"/>
  <c r="X22" i="3"/>
  <c r="X21" i="3"/>
  <c r="X20" i="3"/>
  <c r="X19" i="3"/>
  <c r="X18" i="3"/>
  <c r="X17" i="3"/>
  <c r="X16" i="3"/>
  <c r="X15" i="3"/>
  <c r="X14" i="3"/>
  <c r="X13" i="3"/>
  <c r="X12" i="3"/>
  <c r="X11" i="3"/>
  <c r="X10" i="3"/>
  <c r="X9" i="3"/>
  <c r="T24" i="3"/>
  <c r="T23" i="3"/>
  <c r="T22" i="3"/>
  <c r="T21" i="3"/>
  <c r="T20" i="3"/>
  <c r="T19" i="3"/>
  <c r="T18" i="3"/>
  <c r="T17" i="3"/>
  <c r="T16" i="3"/>
  <c r="T15" i="3"/>
  <c r="T14" i="3"/>
  <c r="T13" i="3"/>
  <c r="T12" i="3"/>
  <c r="T11" i="3"/>
  <c r="T10" i="3"/>
  <c r="T9" i="3"/>
  <c r="P24" i="3"/>
  <c r="P23" i="3"/>
  <c r="P22" i="3"/>
  <c r="P21" i="3"/>
  <c r="P20" i="3"/>
  <c r="P19" i="3"/>
  <c r="P18" i="3"/>
  <c r="P17" i="3"/>
  <c r="P16" i="3"/>
  <c r="P15" i="3"/>
  <c r="P14" i="3"/>
  <c r="P13" i="3"/>
  <c r="P12" i="3"/>
  <c r="P11" i="3"/>
  <c r="P10" i="3"/>
  <c r="P9" i="3"/>
  <c r="N24" i="3"/>
  <c r="N23" i="3"/>
  <c r="N22" i="3"/>
  <c r="N21" i="3"/>
  <c r="N20" i="3"/>
  <c r="N19" i="3"/>
  <c r="N18" i="3"/>
  <c r="N17" i="3"/>
  <c r="N16" i="3"/>
  <c r="N15" i="3"/>
  <c r="N14" i="3"/>
  <c r="N13" i="3"/>
  <c r="N12" i="3"/>
  <c r="N11" i="3"/>
  <c r="N10" i="3"/>
  <c r="N9" i="3"/>
  <c r="L24" i="3"/>
  <c r="L23" i="3"/>
  <c r="L22" i="3"/>
  <c r="L21" i="3"/>
  <c r="L20" i="3"/>
  <c r="L19" i="3"/>
  <c r="L18" i="3"/>
  <c r="L17" i="3"/>
  <c r="L16" i="3"/>
  <c r="L15" i="3"/>
  <c r="L14" i="3"/>
  <c r="L13" i="3"/>
  <c r="L12" i="3"/>
  <c r="L11" i="3"/>
  <c r="L10" i="3"/>
  <c r="L9" i="3"/>
  <c r="H24" i="3"/>
  <c r="H23" i="3"/>
  <c r="H22" i="3"/>
  <c r="H21" i="3"/>
  <c r="H20" i="3"/>
  <c r="H19" i="3"/>
  <c r="H18" i="3"/>
  <c r="H17" i="3"/>
  <c r="H16" i="3"/>
  <c r="H15" i="3"/>
  <c r="H14" i="3"/>
  <c r="H13" i="3"/>
  <c r="H12" i="3"/>
  <c r="H11" i="3"/>
  <c r="H10" i="3"/>
  <c r="H9" i="3"/>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N22" i="4" l="1"/>
  <c r="M16" i="4"/>
  <c r="R16" i="4" s="1"/>
  <c r="H12" i="8" s="1"/>
  <c r="J18" i="1"/>
  <c r="M7" i="4"/>
  <c r="R7" i="4" s="1"/>
  <c r="E32" i="1"/>
  <c r="E14" i="5"/>
  <c r="BH14" i="5" s="1"/>
  <c r="F14" i="5"/>
  <c r="BI14" i="5" s="1"/>
  <c r="F22" i="5"/>
  <c r="BI22" i="5" s="1"/>
  <c r="BH22" i="5"/>
  <c r="BI30" i="5"/>
  <c r="BH30" i="5"/>
  <c r="M21" i="4"/>
  <c r="R21" i="4" s="1"/>
  <c r="H17" i="8" s="1"/>
  <c r="F11" i="5"/>
  <c r="BI11" i="5" s="1"/>
  <c r="E11" i="5"/>
  <c r="BH11" i="5" s="1"/>
  <c r="F15" i="5"/>
  <c r="BI15" i="5" s="1"/>
  <c r="E15" i="5"/>
  <c r="BH15" i="5" s="1"/>
  <c r="F19" i="5"/>
  <c r="E19" i="5"/>
  <c r="BH19" i="5" s="1"/>
  <c r="F23" i="5"/>
  <c r="BI23" i="5" s="1"/>
  <c r="E23" i="5"/>
  <c r="BH23" i="5" s="1"/>
  <c r="F27" i="5"/>
  <c r="BI27" i="5" s="1"/>
  <c r="E27" i="5"/>
  <c r="BH27" i="5" s="1"/>
  <c r="BI31" i="5"/>
  <c r="BH31" i="5"/>
  <c r="F35" i="5"/>
  <c r="E35" i="5"/>
  <c r="BH35" i="5" s="1"/>
  <c r="F10" i="5"/>
  <c r="BI10" i="5" s="1"/>
  <c r="E10" i="5"/>
  <c r="F18" i="5"/>
  <c r="BI18" i="5" s="1"/>
  <c r="E18" i="5"/>
  <c r="BH18" i="5" s="1"/>
  <c r="F26" i="5"/>
  <c r="BI26" i="5" s="1"/>
  <c r="E26" i="5"/>
  <c r="BH26" i="5" s="1"/>
  <c r="F34" i="5"/>
  <c r="E34" i="5"/>
  <c r="BH34" i="5" s="1"/>
  <c r="M15" i="4"/>
  <c r="R15" i="4" s="1"/>
  <c r="N17" i="4"/>
  <c r="S17" i="4" s="1"/>
  <c r="I13" i="8" s="1"/>
  <c r="E12" i="5"/>
  <c r="BH12" i="5" s="1"/>
  <c r="F12" i="5"/>
  <c r="BI12" i="5" s="1"/>
  <c r="E16" i="5"/>
  <c r="BH16" i="5" s="1"/>
  <c r="F16" i="5"/>
  <c r="BI16" i="5" s="1"/>
  <c r="E20" i="5"/>
  <c r="BH20" i="5" s="1"/>
  <c r="F20" i="5"/>
  <c r="BI20" i="5" s="1"/>
  <c r="E24" i="5"/>
  <c r="BH24" i="5" s="1"/>
  <c r="F24" i="5"/>
  <c r="BI24" i="5" s="1"/>
  <c r="E28" i="5"/>
  <c r="BH28" i="5" s="1"/>
  <c r="F28" i="5"/>
  <c r="BI28" i="5" s="1"/>
  <c r="BH32" i="5"/>
  <c r="BI32" i="5"/>
  <c r="E36" i="5"/>
  <c r="BH36" i="5" s="1"/>
  <c r="F36" i="5"/>
  <c r="H11" i="8"/>
  <c r="E13" i="5"/>
  <c r="BH13" i="5" s="1"/>
  <c r="F13" i="5"/>
  <c r="BI13" i="5" s="1"/>
  <c r="E17" i="5"/>
  <c r="BH17" i="5" s="1"/>
  <c r="F17" i="5"/>
  <c r="BI17" i="5" s="1"/>
  <c r="BH21" i="5"/>
  <c r="F21" i="5"/>
  <c r="BI21" i="5" s="1"/>
  <c r="E25" i="5"/>
  <c r="BH25" i="5" s="1"/>
  <c r="F25" i="5"/>
  <c r="BI25" i="5" s="1"/>
  <c r="E29" i="5"/>
  <c r="BH29" i="5" s="1"/>
  <c r="F29" i="5"/>
  <c r="BI29" i="5" s="1"/>
  <c r="BH33" i="5"/>
  <c r="J30" i="1"/>
  <c r="M8" i="4"/>
  <c r="R8" i="4" s="1"/>
  <c r="N32" i="4"/>
  <c r="S32" i="4" s="1"/>
  <c r="I28" i="8" s="1"/>
  <c r="H16" i="8"/>
  <c r="S8" i="4"/>
  <c r="I4" i="8" s="1"/>
  <c r="M23" i="4"/>
  <c r="R23" i="4" s="1"/>
  <c r="H19" i="8" s="1"/>
  <c r="M28" i="4"/>
  <c r="R28" i="4" s="1"/>
  <c r="N31" i="4"/>
  <c r="S31" i="4" s="1"/>
  <c r="I27" i="8" s="1"/>
  <c r="N24" i="4"/>
  <c r="S24" i="4" s="1"/>
  <c r="I20" i="8" s="1"/>
  <c r="M27" i="4"/>
  <c r="R27" i="4" s="1"/>
  <c r="H8" i="8"/>
  <c r="BH10" i="5"/>
  <c r="H4" i="8"/>
  <c r="N14" i="4"/>
  <c r="S14" i="4" s="1"/>
  <c r="I10" i="8" s="1"/>
  <c r="M13" i="4"/>
  <c r="R13" i="4" s="1"/>
  <c r="N9" i="4"/>
  <c r="S9" i="4" s="1"/>
  <c r="I5" i="8" s="1"/>
  <c r="S15" i="4"/>
  <c r="I11" i="8" s="1"/>
  <c r="S16" i="4"/>
  <c r="I12" i="8" s="1"/>
  <c r="N29" i="4"/>
  <c r="S29" i="4" s="1"/>
  <c r="I25" i="8" s="1"/>
  <c r="S23" i="4"/>
  <c r="I19" i="8" s="1"/>
  <c r="S22" i="4"/>
  <c r="I18" i="8" s="1"/>
  <c r="H13" i="8"/>
  <c r="H7" i="8"/>
  <c r="H10" i="8"/>
  <c r="H18" i="8"/>
  <c r="S7" i="4"/>
  <c r="I3" i="8" s="1"/>
  <c r="S28" i="4"/>
  <c r="I24" i="8" s="1"/>
  <c r="I31" i="6"/>
  <c r="M34" i="4"/>
  <c r="R34" i="4" s="1"/>
  <c r="H30" i="8" s="1"/>
  <c r="N30" i="4"/>
  <c r="S30" i="4" s="1"/>
  <c r="I26" i="8" s="1"/>
  <c r="H25" i="8"/>
  <c r="H29" i="8"/>
  <c r="H27" i="8"/>
  <c r="H26" i="8"/>
  <c r="H28" i="8"/>
  <c r="J31" i="1"/>
  <c r="BI19" i="5"/>
  <c r="S27" i="4"/>
  <c r="I23" i="8" s="1"/>
  <c r="N26" i="4"/>
  <c r="S26" i="4" s="1"/>
  <c r="I22" i="8" s="1"/>
  <c r="H21" i="8"/>
  <c r="H22" i="8"/>
  <c r="S11" i="4"/>
  <c r="I7" i="8" s="1"/>
  <c r="G31" i="1"/>
  <c r="H31" i="1" s="1"/>
  <c r="G30" i="1"/>
  <c r="H30" i="1" s="1"/>
  <c r="G31" i="6"/>
  <c r="BH9" i="5"/>
  <c r="F9" i="5"/>
  <c r="BI9" i="5" s="1"/>
  <c r="J38" i="4"/>
  <c r="H23" i="8"/>
  <c r="H38" i="4"/>
  <c r="D38" i="4"/>
  <c r="I30" i="6"/>
  <c r="S34" i="4"/>
  <c r="I30" i="8" s="1"/>
  <c r="N33" i="4"/>
  <c r="S33" i="4" s="1"/>
  <c r="I29" i="8" s="1"/>
  <c r="P38" i="4"/>
  <c r="S13" i="4"/>
  <c r="I9" i="8" s="1"/>
  <c r="S19" i="4"/>
  <c r="I15" i="8" s="1"/>
  <c r="S21" i="4"/>
  <c r="I17" i="8" s="1"/>
  <c r="M19" i="4"/>
  <c r="R19" i="4" s="1"/>
  <c r="H15" i="8" s="1"/>
  <c r="M11" i="4"/>
  <c r="R11" i="4" s="1"/>
  <c r="N20" i="4"/>
  <c r="S20" i="4" s="1"/>
  <c r="I16" i="8" s="1"/>
  <c r="N18" i="4"/>
  <c r="S18" i="4" s="1"/>
  <c r="I14" i="8" s="1"/>
  <c r="N12" i="4"/>
  <c r="S12" i="4" s="1"/>
  <c r="I8" i="8" s="1"/>
  <c r="N10" i="4"/>
  <c r="S10" i="4" s="1"/>
  <c r="I6" i="8" s="1"/>
  <c r="N25" i="4"/>
  <c r="S25" i="4" s="1"/>
  <c r="I21" i="8" s="1"/>
  <c r="H5" i="8"/>
  <c r="H9" i="8"/>
  <c r="H6" i="8"/>
  <c r="H14" i="8"/>
  <c r="H3" i="8"/>
  <c r="F38" i="4"/>
  <c r="L38" i="4"/>
  <c r="E31" i="1"/>
  <c r="E31" i="6"/>
  <c r="E30" i="6"/>
  <c r="E30" i="1"/>
  <c r="AQ39" i="3" l="1"/>
  <c r="AP39" i="3"/>
  <c r="J23" i="1"/>
  <c r="H24" i="8"/>
  <c r="J19" i="1"/>
  <c r="H20" i="8"/>
  <c r="J20" i="8" s="1"/>
  <c r="I19" i="10" s="1"/>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E6" i="1"/>
  <c r="E7" i="8"/>
  <c r="E8" i="1"/>
  <c r="E9" i="8"/>
  <c r="G9" i="8" s="1"/>
  <c r="E8" i="10" s="1"/>
  <c r="E27" i="1"/>
  <c r="E28" i="8"/>
  <c r="G28" i="8" s="1"/>
  <c r="E27" i="10" s="1"/>
  <c r="E2" i="6"/>
  <c r="E2" i="1"/>
  <c r="E3" i="8"/>
  <c r="BI33" i="5"/>
  <c r="AN34" i="5"/>
  <c r="BI34" i="5" s="1"/>
  <c r="G19" i="8" l="1"/>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alcChain>
</file>

<file path=xl/sharedStrings.xml><?xml version="1.0" encoding="utf-8"?>
<sst xmlns="http://schemas.openxmlformats.org/spreadsheetml/2006/main" count="1415" uniqueCount="403">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</sst>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A13" workbookViewId="0">
      <selection activeCell="H47" sqref="H47"/>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3" t="s">
        <v>3</v>
      </c>
      <c r="B1" s="183" t="s">
        <v>4</v>
      </c>
      <c r="C1" s="184" t="s">
        <v>5</v>
      </c>
      <c r="D1" s="183" t="s">
        <v>64</v>
      </c>
      <c r="E1" s="185" t="s">
        <v>394</v>
      </c>
      <c r="F1" s="186" t="s">
        <v>395</v>
      </c>
      <c r="G1" s="185" t="s">
        <v>401</v>
      </c>
      <c r="H1" s="186" t="s">
        <v>396</v>
      </c>
      <c r="I1" s="185" t="s">
        <v>397</v>
      </c>
      <c r="J1" s="187" t="s">
        <v>398</v>
      </c>
      <c r="K1" s="185" t="s">
        <v>399</v>
      </c>
      <c r="L1" s="185" t="s">
        <v>63</v>
      </c>
    </row>
    <row r="2" spans="1:12">
      <c r="A2" s="188" t="s">
        <v>400</v>
      </c>
      <c r="B2" s="189">
        <v>1</v>
      </c>
      <c r="C2" s="190">
        <v>3</v>
      </c>
      <c r="D2" s="189">
        <v>2022</v>
      </c>
      <c r="E2" s="119">
        <f>Combine!G3</f>
        <v>50070</v>
      </c>
      <c r="F2" s="191">
        <v>1.4741159993127801</v>
      </c>
      <c r="G2" s="119">
        <f>Combine!M3</f>
        <v>4756.4879564879566</v>
      </c>
      <c r="H2" s="192">
        <v>9.632855395146052</v>
      </c>
      <c r="I2" s="119">
        <f>Combine!J3</f>
        <v>464.02880000000005</v>
      </c>
      <c r="J2" s="191">
        <v>8.3034848386888207</v>
      </c>
      <c r="K2" s="119">
        <f>Combine!N3</f>
        <v>334</v>
      </c>
      <c r="L2" s="119">
        <f>Combine!O3</f>
        <v>747</v>
      </c>
    </row>
    <row r="3" spans="1:12">
      <c r="A3" s="188" t="s">
        <v>400</v>
      </c>
      <c r="B3" s="189">
        <v>2</v>
      </c>
      <c r="C3" s="190">
        <v>3</v>
      </c>
      <c r="D3" s="189">
        <v>2022</v>
      </c>
      <c r="E3" s="119">
        <f>Combine!G4</f>
        <v>49870</v>
      </c>
      <c r="F3" s="191">
        <v>1.4741159993127801</v>
      </c>
      <c r="G3" s="119">
        <f>Combine!M4</f>
        <v>3744.5221445221446</v>
      </c>
      <c r="H3" s="192">
        <v>9.632855395146052</v>
      </c>
      <c r="I3" s="119">
        <f>Combine!J4</f>
        <v>406.54740000000129</v>
      </c>
      <c r="J3" s="191">
        <v>8.3034848386888207</v>
      </c>
      <c r="K3" s="119">
        <f>Combine!N4</f>
        <v>330</v>
      </c>
      <c r="L3" s="119">
        <f>Combine!O4</f>
        <v>748</v>
      </c>
    </row>
    <row r="4" spans="1:12">
      <c r="A4" s="188" t="s">
        <v>400</v>
      </c>
      <c r="B4" s="189">
        <v>3</v>
      </c>
      <c r="C4" s="190">
        <v>3</v>
      </c>
      <c r="D4" s="189">
        <v>2022</v>
      </c>
      <c r="E4" s="119">
        <f>Combine!G5</f>
        <v>48910</v>
      </c>
      <c r="F4" s="191">
        <v>1.4741159993127801</v>
      </c>
      <c r="G4" s="119">
        <f>Combine!M5</f>
        <v>3892.4630924630924</v>
      </c>
      <c r="H4" s="192">
        <v>9.632855395146052</v>
      </c>
      <c r="I4" s="119">
        <f>Combine!J5</f>
        <v>368.10809999999947</v>
      </c>
      <c r="J4" s="191">
        <v>8.3034848386888207</v>
      </c>
      <c r="K4" s="119">
        <f>Combine!N5</f>
        <v>332</v>
      </c>
      <c r="L4" s="119">
        <f>Combine!O5</f>
        <v>753</v>
      </c>
    </row>
    <row r="5" spans="1:12">
      <c r="A5" s="188" t="s">
        <v>400</v>
      </c>
      <c r="B5" s="189">
        <v>4</v>
      </c>
      <c r="C5" s="190">
        <v>3</v>
      </c>
      <c r="D5" s="189">
        <v>2022</v>
      </c>
      <c r="E5" s="119">
        <f>Combine!G6</f>
        <v>51980</v>
      </c>
      <c r="F5" s="191">
        <v>1.4741159993127801</v>
      </c>
      <c r="G5" s="119">
        <f>Combine!M6</f>
        <v>3764.4133644133644</v>
      </c>
      <c r="H5" s="192">
        <v>9.632855395146052</v>
      </c>
      <c r="I5" s="119">
        <f>Combine!J6</f>
        <v>376.29088000000047</v>
      </c>
      <c r="J5" s="191">
        <v>8.3034848386888207</v>
      </c>
      <c r="K5" s="119">
        <f>Combine!N6</f>
        <v>333</v>
      </c>
      <c r="L5" s="119">
        <f>Combine!O6</f>
        <v>756</v>
      </c>
    </row>
    <row r="6" spans="1:12">
      <c r="A6" s="188" t="s">
        <v>400</v>
      </c>
      <c r="B6" s="189">
        <v>5</v>
      </c>
      <c r="C6" s="190">
        <v>3</v>
      </c>
      <c r="D6" s="189">
        <v>2022</v>
      </c>
      <c r="E6" s="119">
        <f>Combine!G7</f>
        <v>50150</v>
      </c>
      <c r="F6" s="191">
        <v>1.4741159993127801</v>
      </c>
      <c r="G6" s="119">
        <f>Combine!M7</f>
        <v>3555.5555555555557</v>
      </c>
      <c r="H6" s="192">
        <v>9.632855395146052</v>
      </c>
      <c r="I6" s="119">
        <f>Combine!J7</f>
        <v>388</v>
      </c>
      <c r="J6" s="191">
        <v>8.3034848386888207</v>
      </c>
      <c r="K6" s="119">
        <f>Combine!N7</f>
        <v>362</v>
      </c>
      <c r="L6" s="119">
        <f>Combine!O7</f>
        <v>815</v>
      </c>
    </row>
    <row r="7" spans="1:12">
      <c r="A7" s="188" t="s">
        <v>400</v>
      </c>
      <c r="B7" s="189">
        <v>6</v>
      </c>
      <c r="C7" s="190">
        <v>3</v>
      </c>
      <c r="D7" s="189">
        <v>2022</v>
      </c>
      <c r="E7" s="119">
        <f>Combine!G8</f>
        <v>48990</v>
      </c>
      <c r="F7" s="191">
        <v>1.4741159993127801</v>
      </c>
      <c r="G7" s="119">
        <f>Combine!M8</f>
        <v>4280.3418803418808</v>
      </c>
      <c r="H7" s="192">
        <v>9.632855395146052</v>
      </c>
      <c r="I7" s="119">
        <f>Combine!J8</f>
        <v>415</v>
      </c>
      <c r="J7" s="191">
        <v>8.3034848386888207</v>
      </c>
      <c r="K7" s="119">
        <f>Combine!N8</f>
        <v>328</v>
      </c>
      <c r="L7" s="119">
        <f>Combine!O8</f>
        <v>736</v>
      </c>
    </row>
    <row r="8" spans="1:12">
      <c r="A8" s="188" t="s">
        <v>400</v>
      </c>
      <c r="B8" s="189">
        <v>7</v>
      </c>
      <c r="C8" s="190">
        <v>3</v>
      </c>
      <c r="D8" s="189">
        <v>2022</v>
      </c>
      <c r="E8" s="119">
        <f>Combine!G9</f>
        <v>49600</v>
      </c>
      <c r="F8" s="191">
        <v>1.4741159993127801</v>
      </c>
      <c r="G8" s="119">
        <f>Combine!M9</f>
        <v>3821.6006216006217</v>
      </c>
      <c r="H8" s="192">
        <v>9.632855395146052</v>
      </c>
      <c r="I8" s="119">
        <f>Combine!J9</f>
        <v>398</v>
      </c>
      <c r="J8" s="191">
        <v>8.3034848386888207</v>
      </c>
      <c r="K8" s="119">
        <f>Combine!N9</f>
        <v>321</v>
      </c>
      <c r="L8" s="119">
        <f>Combine!O9</f>
        <v>718</v>
      </c>
    </row>
    <row r="9" spans="1:12">
      <c r="A9" s="188" t="s">
        <v>400</v>
      </c>
      <c r="B9" s="189">
        <v>8</v>
      </c>
      <c r="C9" s="190">
        <v>3</v>
      </c>
      <c r="D9" s="189">
        <v>2022</v>
      </c>
      <c r="E9" s="119">
        <f>Combine!G10</f>
        <v>46800</v>
      </c>
      <c r="F9" s="191">
        <v>1.4741159993127801</v>
      </c>
      <c r="G9" s="119">
        <f>Combine!M10</f>
        <v>3763.1701631701631</v>
      </c>
      <c r="H9" s="192">
        <v>9.632855395146052</v>
      </c>
      <c r="I9" s="119">
        <f>Combine!J10</f>
        <v>460.16352000000006</v>
      </c>
      <c r="J9" s="191">
        <v>8.3034848386888207</v>
      </c>
      <c r="K9" s="119">
        <f>Combine!N10</f>
        <v>314</v>
      </c>
      <c r="L9" s="119">
        <f>Combine!O10</f>
        <v>699</v>
      </c>
    </row>
    <row r="10" spans="1:12">
      <c r="A10" s="188" t="s">
        <v>400</v>
      </c>
      <c r="B10" s="189">
        <v>9</v>
      </c>
      <c r="C10" s="190">
        <v>3</v>
      </c>
      <c r="D10" s="189">
        <v>2022</v>
      </c>
      <c r="E10" s="119">
        <f>Combine!G11</f>
        <v>47910</v>
      </c>
      <c r="F10" s="191">
        <v>1.4741159993127801</v>
      </c>
      <c r="G10" s="119">
        <f>Combine!M11</f>
        <v>3242.2688422688425</v>
      </c>
      <c r="H10" s="192">
        <v>9.632855395146052</v>
      </c>
      <c r="I10" s="119">
        <f>Combine!J11</f>
        <v>385.0099999999984</v>
      </c>
      <c r="J10" s="191">
        <v>8.3034848386888207</v>
      </c>
      <c r="K10" s="119">
        <f>Combine!N11</f>
        <v>317</v>
      </c>
      <c r="L10" s="119">
        <f>Combine!O11</f>
        <v>706</v>
      </c>
    </row>
    <row r="11" spans="1:12">
      <c r="A11" s="188" t="s">
        <v>400</v>
      </c>
      <c r="B11" s="189">
        <v>10</v>
      </c>
      <c r="C11" s="190">
        <v>3</v>
      </c>
      <c r="D11" s="189">
        <v>2022</v>
      </c>
      <c r="E11" s="119">
        <f>Combine!G12</f>
        <v>49480</v>
      </c>
      <c r="F11" s="191">
        <v>1.4741159993127801</v>
      </c>
      <c r="G11" s="119">
        <f>Combine!M12</f>
        <v>3157.731157731158</v>
      </c>
      <c r="H11" s="192">
        <v>9.632855395146052</v>
      </c>
      <c r="I11" s="119">
        <f>Combine!J12</f>
        <v>380.90000000000146</v>
      </c>
      <c r="J11" s="191">
        <v>8.3034848386888207</v>
      </c>
      <c r="K11" s="119">
        <f>Combine!N12</f>
        <v>322</v>
      </c>
      <c r="L11" s="119">
        <f>Combine!O12</f>
        <v>714</v>
      </c>
    </row>
    <row r="12" spans="1:12">
      <c r="A12" s="188" t="s">
        <v>400</v>
      </c>
      <c r="B12" s="189">
        <v>11</v>
      </c>
      <c r="C12" s="190">
        <v>3</v>
      </c>
      <c r="D12" s="189">
        <v>2022</v>
      </c>
      <c r="E12" s="119">
        <f>Combine!G13</f>
        <v>52990</v>
      </c>
      <c r="F12" s="191">
        <v>1.4741159993127801</v>
      </c>
      <c r="G12" s="119">
        <f>Combine!M13</f>
        <v>3178.8655788655788</v>
      </c>
      <c r="H12" s="192">
        <v>9.632855395146052</v>
      </c>
      <c r="I12" s="119">
        <f>Combine!J13</f>
        <v>384.29999999999927</v>
      </c>
      <c r="J12" s="191">
        <v>8.3034848386888207</v>
      </c>
      <c r="K12" s="119">
        <f>Combine!N13</f>
        <v>342</v>
      </c>
      <c r="L12" s="119">
        <f>Combine!O13</f>
        <v>754</v>
      </c>
    </row>
    <row r="13" spans="1:12">
      <c r="A13" s="188" t="s">
        <v>400</v>
      </c>
      <c r="B13" s="189">
        <v>12</v>
      </c>
      <c r="C13" s="190">
        <v>3</v>
      </c>
      <c r="D13" s="189">
        <v>2022</v>
      </c>
      <c r="E13" s="119">
        <f>Combine!G14</f>
        <v>50900</v>
      </c>
      <c r="F13" s="191">
        <v>1.4741159993127801</v>
      </c>
      <c r="G13" s="119">
        <f>Combine!M14</f>
        <v>3705.9829059829062</v>
      </c>
      <c r="H13" s="192">
        <v>9.632855395146052</v>
      </c>
      <c r="I13" s="119">
        <f>Combine!J14</f>
        <v>395.76699999999983</v>
      </c>
      <c r="J13" s="191">
        <v>8.3034848386888207</v>
      </c>
      <c r="K13" s="119">
        <f>Combine!N14</f>
        <v>348</v>
      </c>
      <c r="L13" s="119">
        <f>Combine!O14</f>
        <v>773</v>
      </c>
    </row>
    <row r="14" spans="1:12">
      <c r="A14" s="188" t="s">
        <v>400</v>
      </c>
      <c r="B14" s="189">
        <v>13</v>
      </c>
      <c r="C14" s="190">
        <v>3</v>
      </c>
      <c r="D14" s="189">
        <v>2022</v>
      </c>
      <c r="E14" s="119">
        <f>Combine!G15</f>
        <v>55160</v>
      </c>
      <c r="F14" s="191">
        <v>1.4741159993127801</v>
      </c>
      <c r="G14" s="119">
        <f>Combine!M15</f>
        <v>3704.7397047397048</v>
      </c>
      <c r="H14" s="192">
        <v>9.632855395146052</v>
      </c>
      <c r="I14" s="119">
        <f>Combine!J15</f>
        <v>419</v>
      </c>
      <c r="J14" s="191">
        <v>8.3034848386888207</v>
      </c>
      <c r="K14" s="119">
        <f>Combine!N15</f>
        <v>340</v>
      </c>
      <c r="L14" s="119">
        <f>Combine!O15</f>
        <v>748</v>
      </c>
    </row>
    <row r="15" spans="1:12">
      <c r="A15" s="188" t="s">
        <v>400</v>
      </c>
      <c r="B15" s="189">
        <v>14</v>
      </c>
      <c r="C15" s="190">
        <v>3</v>
      </c>
      <c r="D15" s="189">
        <v>2022</v>
      </c>
      <c r="E15" s="119">
        <f>Combine!G16</f>
        <v>55860</v>
      </c>
      <c r="F15" s="191">
        <v>1.4741159993127801</v>
      </c>
      <c r="G15" s="119">
        <f>Combine!M16</f>
        <v>3903.6519036519039</v>
      </c>
      <c r="H15" s="192">
        <v>9.632855395146052</v>
      </c>
      <c r="I15" s="119">
        <f>Combine!J16</f>
        <v>387.11419999999998</v>
      </c>
      <c r="J15" s="191">
        <v>8.3034848386888207</v>
      </c>
      <c r="K15" s="119">
        <f>Combine!N16</f>
        <v>317</v>
      </c>
      <c r="L15" s="119">
        <f>Combine!O16</f>
        <v>708</v>
      </c>
    </row>
    <row r="16" spans="1:12">
      <c r="A16" s="188" t="s">
        <v>400</v>
      </c>
      <c r="B16" s="189">
        <v>15</v>
      </c>
      <c r="C16" s="190">
        <v>3</v>
      </c>
      <c r="D16" s="189">
        <v>2022</v>
      </c>
      <c r="E16" s="119">
        <f>Combine!G17</f>
        <v>57360</v>
      </c>
      <c r="F16" s="191">
        <v>1.4741159993127801</v>
      </c>
      <c r="G16" s="119">
        <f>Combine!M17</f>
        <v>3829.0598290598291</v>
      </c>
      <c r="H16" s="192">
        <v>9.632855395146052</v>
      </c>
      <c r="I16" s="119">
        <f>Combine!J17</f>
        <v>400.72359999999935</v>
      </c>
      <c r="J16" s="191">
        <v>8.3034848386888207</v>
      </c>
      <c r="K16" s="119">
        <f>Combine!N17</f>
        <v>326</v>
      </c>
      <c r="L16" s="119">
        <f>Combine!O17</f>
        <v>727</v>
      </c>
    </row>
    <row r="17" spans="1:12">
      <c r="A17" s="188" t="s">
        <v>400</v>
      </c>
      <c r="B17" s="189">
        <v>16</v>
      </c>
      <c r="C17" s="190">
        <v>3</v>
      </c>
      <c r="D17" s="189">
        <v>2022</v>
      </c>
      <c r="E17" s="119">
        <f>Combine!G18</f>
        <v>55140</v>
      </c>
      <c r="F17" s="191">
        <v>1.4741159993127801</v>
      </c>
      <c r="G17" s="119">
        <f>Combine!M18</f>
        <v>3621.4452214452217</v>
      </c>
      <c r="H17" s="192">
        <v>9.632855395146052</v>
      </c>
      <c r="I17" s="119">
        <f>Combine!J18</f>
        <v>415.08840000000055</v>
      </c>
      <c r="J17" s="191">
        <v>8.3034848386888207</v>
      </c>
      <c r="K17" s="119">
        <f>Combine!N18</f>
        <v>309</v>
      </c>
      <c r="L17" s="119">
        <f>Combine!O18</f>
        <v>691</v>
      </c>
    </row>
    <row r="18" spans="1:12">
      <c r="A18" s="188" t="s">
        <v>400</v>
      </c>
      <c r="B18" s="189">
        <v>17</v>
      </c>
      <c r="C18" s="190">
        <v>3</v>
      </c>
      <c r="D18" s="189">
        <v>2022</v>
      </c>
      <c r="E18" s="119">
        <f>Combine!G19</f>
        <v>56980</v>
      </c>
      <c r="F18" s="191">
        <v>1.4741159993127801</v>
      </c>
      <c r="G18" s="119">
        <f>Combine!M19</f>
        <v>3789.3843045843055</v>
      </c>
      <c r="H18" s="192">
        <v>9.632855395146052</v>
      </c>
      <c r="I18" s="119">
        <f>Combine!J19</f>
        <v>377.10226666666676</v>
      </c>
      <c r="J18" s="191">
        <v>8.3034848386888207</v>
      </c>
      <c r="K18" s="119">
        <f>Combine!N19</f>
        <v>312</v>
      </c>
      <c r="L18" s="119">
        <f>Combine!O19</f>
        <v>696</v>
      </c>
    </row>
    <row r="19" spans="1:12">
      <c r="A19" s="188" t="s">
        <v>400</v>
      </c>
      <c r="B19" s="189">
        <v>18</v>
      </c>
      <c r="C19" s="190">
        <v>3</v>
      </c>
      <c r="D19" s="189">
        <v>2022</v>
      </c>
      <c r="E19" s="119">
        <f>Combine!G20</f>
        <v>59320</v>
      </c>
      <c r="F19" s="191">
        <v>1.4741159993127801</v>
      </c>
      <c r="G19" s="119">
        <f>Combine!M20</f>
        <v>3834.9103341103341</v>
      </c>
      <c r="H19" s="192">
        <v>9.632855395146052</v>
      </c>
      <c r="I19" s="119">
        <f>Combine!J20</f>
        <v>441</v>
      </c>
      <c r="J19" s="191">
        <v>8.3034848386888207</v>
      </c>
      <c r="K19" s="119">
        <f>Combine!N20</f>
        <v>324</v>
      </c>
      <c r="L19" s="119">
        <f>Combine!O20</f>
        <v>718</v>
      </c>
    </row>
    <row r="20" spans="1:12">
      <c r="A20" s="188" t="s">
        <v>400</v>
      </c>
      <c r="B20" s="189">
        <v>19</v>
      </c>
      <c r="C20" s="190">
        <v>3</v>
      </c>
      <c r="D20" s="189">
        <v>2022</v>
      </c>
      <c r="E20" s="119">
        <f>Combine!G21</f>
        <v>57080</v>
      </c>
      <c r="F20" s="191">
        <v>1.4741159993127801</v>
      </c>
      <c r="G20" s="119">
        <f>Combine!M21</f>
        <v>3685.4700854700855</v>
      </c>
      <c r="H20" s="192">
        <v>9.632855395146052</v>
      </c>
      <c r="I20" s="119">
        <f>Combine!J21</f>
        <v>373.20453333333353</v>
      </c>
      <c r="J20" s="191">
        <v>8.3034848386888207</v>
      </c>
      <c r="K20" s="119">
        <f>Combine!N21</f>
        <v>352</v>
      </c>
      <c r="L20" s="119">
        <f>Combine!O21</f>
        <v>777</v>
      </c>
    </row>
    <row r="21" spans="1:12">
      <c r="A21" s="188" t="s">
        <v>400</v>
      </c>
      <c r="B21" s="189">
        <v>20</v>
      </c>
      <c r="C21" s="190">
        <v>3</v>
      </c>
      <c r="D21" s="189">
        <v>2022</v>
      </c>
      <c r="E21" s="119">
        <f>Combine!G22</f>
        <v>55150</v>
      </c>
      <c r="F21" s="191">
        <v>1.4741159993127801</v>
      </c>
      <c r="G21" s="119">
        <f>Combine!M22</f>
        <v>3944.6775446775446</v>
      </c>
      <c r="H21" s="192">
        <v>9.632855395146052</v>
      </c>
      <c r="I21" s="119">
        <f>Combine!J22</f>
        <v>454</v>
      </c>
      <c r="J21" s="191">
        <v>8.3034848386888207</v>
      </c>
      <c r="K21" s="119">
        <f>Combine!N22</f>
        <v>330</v>
      </c>
      <c r="L21" s="119">
        <f>Combine!O22</f>
        <v>723</v>
      </c>
    </row>
    <row r="22" spans="1:12">
      <c r="A22" s="188" t="s">
        <v>400</v>
      </c>
      <c r="B22" s="189">
        <v>21</v>
      </c>
      <c r="C22" s="190">
        <v>3</v>
      </c>
      <c r="D22" s="189">
        <v>2022</v>
      </c>
      <c r="E22" s="119">
        <f>Combine!G23</f>
        <v>54490</v>
      </c>
      <c r="F22" s="191">
        <v>1.4741159993127801</v>
      </c>
      <c r="G22" s="119">
        <f>Combine!M23</f>
        <v>3872.5718725718725</v>
      </c>
      <c r="H22" s="192">
        <v>9.632855395146052</v>
      </c>
      <c r="I22" s="119">
        <f>Combine!J23</f>
        <v>462</v>
      </c>
      <c r="J22" s="191">
        <v>8.3034848386888207</v>
      </c>
      <c r="K22" s="119">
        <f>Combine!N23</f>
        <v>317</v>
      </c>
      <c r="L22" s="119">
        <f>Combine!O23</f>
        <v>700</v>
      </c>
    </row>
    <row r="23" spans="1:12">
      <c r="A23" s="188" t="s">
        <v>400</v>
      </c>
      <c r="B23" s="189">
        <v>22</v>
      </c>
      <c r="C23" s="190">
        <v>3</v>
      </c>
      <c r="D23" s="189">
        <v>2022</v>
      </c>
      <c r="E23" s="119">
        <f>Combine!G24</f>
        <v>59310</v>
      </c>
      <c r="F23" s="191">
        <v>1.4741159993127801</v>
      </c>
      <c r="G23" s="119">
        <f>Combine!M24</f>
        <v>3928.5159285159284</v>
      </c>
      <c r="H23" s="192">
        <v>9.632855395146052</v>
      </c>
      <c r="I23" s="119">
        <f>Combine!J24</f>
        <v>388</v>
      </c>
      <c r="J23" s="191">
        <v>8.3034848386888207</v>
      </c>
      <c r="K23" s="119">
        <f>Combine!N24</f>
        <v>313</v>
      </c>
      <c r="L23" s="119">
        <f>Combine!O24</f>
        <v>689</v>
      </c>
    </row>
    <row r="24" spans="1:12">
      <c r="A24" s="188" t="s">
        <v>400</v>
      </c>
      <c r="B24" s="189">
        <v>23</v>
      </c>
      <c r="C24" s="190">
        <v>3</v>
      </c>
      <c r="D24" s="189">
        <v>2022</v>
      </c>
      <c r="E24" s="119">
        <f>Combine!G25</f>
        <v>51310</v>
      </c>
      <c r="F24" s="191">
        <v>1.4741159993127801</v>
      </c>
      <c r="G24" s="119">
        <f>Combine!M25</f>
        <v>3861.3830613830614</v>
      </c>
      <c r="H24" s="192">
        <v>9.632855395146052</v>
      </c>
      <c r="I24" s="119">
        <f>Combine!J25</f>
        <v>398</v>
      </c>
      <c r="J24" s="191">
        <v>8.3034848386888207</v>
      </c>
      <c r="K24" s="119">
        <f>Combine!N25</f>
        <v>319</v>
      </c>
      <c r="L24" s="119">
        <f>Combine!O25</f>
        <v>704</v>
      </c>
    </row>
    <row r="25" spans="1:12">
      <c r="A25" s="188" t="s">
        <v>400</v>
      </c>
      <c r="B25" s="189">
        <v>24</v>
      </c>
      <c r="C25" s="190">
        <v>3</v>
      </c>
      <c r="D25" s="189">
        <v>2022</v>
      </c>
      <c r="E25" s="119">
        <f>Combine!G26</f>
        <v>50610</v>
      </c>
      <c r="F25" s="191">
        <v>1.4741159993127801</v>
      </c>
      <c r="G25" s="119">
        <f>Combine!M26</f>
        <v>3672.4164724164725</v>
      </c>
      <c r="H25" s="192">
        <v>9.632855395146052</v>
      </c>
      <c r="I25" s="119">
        <f>Combine!J26</f>
        <v>401.78709999999955</v>
      </c>
      <c r="J25" s="191">
        <v>8.3034848386888207</v>
      </c>
      <c r="K25" s="119">
        <f>Combine!N26</f>
        <v>327</v>
      </c>
      <c r="L25" s="119">
        <f>Combine!O26</f>
        <v>710</v>
      </c>
    </row>
    <row r="26" spans="1:12">
      <c r="A26" s="188" t="s">
        <v>400</v>
      </c>
      <c r="B26" s="189">
        <v>25</v>
      </c>
      <c r="C26" s="190">
        <v>3</v>
      </c>
      <c r="D26" s="189">
        <v>2022</v>
      </c>
      <c r="E26" s="119">
        <f>Combine!G27</f>
        <v>59250</v>
      </c>
      <c r="F26" s="191">
        <v>1.4741159993127801</v>
      </c>
      <c r="G26" s="119">
        <f>Combine!M27</f>
        <v>4093.6055944055943</v>
      </c>
      <c r="H26" s="192">
        <v>9.632855395146052</v>
      </c>
      <c r="I26" s="119">
        <f>Combine!J27</f>
        <v>428.62790000000132</v>
      </c>
      <c r="J26" s="191">
        <v>8.3034848386888207</v>
      </c>
      <c r="K26" s="119">
        <f>Combine!N27</f>
        <v>334</v>
      </c>
      <c r="L26" s="119">
        <f>Combine!O27</f>
        <v>727</v>
      </c>
    </row>
    <row r="27" spans="1:12">
      <c r="A27" s="188" t="s">
        <v>400</v>
      </c>
      <c r="B27" s="189">
        <v>26</v>
      </c>
      <c r="C27" s="190">
        <v>3</v>
      </c>
      <c r="D27" s="189">
        <v>2022</v>
      </c>
      <c r="E27" s="119">
        <f>Combine!G28</f>
        <v>67160.000000000015</v>
      </c>
      <c r="F27" s="191">
        <v>1.4741159993127801</v>
      </c>
      <c r="G27" s="119">
        <f>Combine!M28</f>
        <v>4123.6985236985238</v>
      </c>
      <c r="H27" s="192">
        <v>9.632855395146052</v>
      </c>
      <c r="I27" s="119">
        <f>Combine!J28</f>
        <v>415.37199999999939</v>
      </c>
      <c r="J27" s="191">
        <v>8.3034848386888207</v>
      </c>
      <c r="K27" s="119">
        <f>Combine!N28</f>
        <v>372</v>
      </c>
      <c r="L27" s="119">
        <f>Combine!O28</f>
        <v>822</v>
      </c>
    </row>
    <row r="28" spans="1:12">
      <c r="A28" s="188" t="s">
        <v>400</v>
      </c>
      <c r="B28" s="189">
        <v>27</v>
      </c>
      <c r="C28" s="190">
        <v>3</v>
      </c>
      <c r="D28" s="189">
        <v>2022</v>
      </c>
      <c r="E28" s="119">
        <f>Combine!G29</f>
        <v>55550</v>
      </c>
      <c r="F28" s="191">
        <v>1.4741159993127801</v>
      </c>
      <c r="G28" s="119">
        <f>Combine!M29</f>
        <v>3968.2983682983681</v>
      </c>
      <c r="H28" s="192">
        <v>9.632855395146052</v>
      </c>
      <c r="I28" s="119">
        <f>Combine!J29</f>
        <v>515.8130000000001</v>
      </c>
      <c r="J28" s="191">
        <v>8.3034848386888207</v>
      </c>
      <c r="K28" s="119">
        <f>Combine!N29</f>
        <v>347</v>
      </c>
      <c r="L28" s="119">
        <f>Combine!O29</f>
        <v>754</v>
      </c>
    </row>
    <row r="29" spans="1:12">
      <c r="A29" s="188" t="s">
        <v>400</v>
      </c>
      <c r="B29" s="189">
        <v>28</v>
      </c>
      <c r="C29" s="190">
        <v>3</v>
      </c>
      <c r="D29" s="189">
        <v>2022</v>
      </c>
      <c r="E29" s="119">
        <f>Combine!G30</f>
        <v>50540</v>
      </c>
      <c r="F29" s="191">
        <v>1.4741159993127801</v>
      </c>
      <c r="G29" s="119">
        <f>Combine!M30</f>
        <v>3921.056721056721</v>
      </c>
      <c r="H29" s="192">
        <v>9.632855395146052</v>
      </c>
      <c r="I29" s="119">
        <f>Combine!J30</f>
        <v>473.79999999999927</v>
      </c>
      <c r="J29" s="191">
        <v>8.3034848386888207</v>
      </c>
      <c r="K29" s="119">
        <f>Combine!N30</f>
        <v>323</v>
      </c>
      <c r="L29" s="119">
        <f>Combine!O30</f>
        <v>707</v>
      </c>
    </row>
    <row r="30" spans="1:12">
      <c r="A30" s="188" t="s">
        <v>400</v>
      </c>
      <c r="B30" s="189">
        <v>29</v>
      </c>
      <c r="C30" s="190">
        <v>3</v>
      </c>
      <c r="D30" s="189">
        <v>2022</v>
      </c>
      <c r="E30" s="119">
        <f>Combine!G31</f>
        <v>52230</v>
      </c>
      <c r="F30" s="191">
        <v>1.4741159993127801</v>
      </c>
      <c r="G30" s="119">
        <f>Combine!M31</f>
        <v>4112.5097125097127</v>
      </c>
      <c r="H30" s="192">
        <v>9.632855395146052</v>
      </c>
      <c r="I30" s="119">
        <f>Combine!J31</f>
        <v>437.8145999999997</v>
      </c>
      <c r="J30" s="191">
        <v>8.3034848386888207</v>
      </c>
      <c r="K30" s="119">
        <f>Combine!N31</f>
        <v>334</v>
      </c>
      <c r="L30" s="119">
        <f>Combine!O31</f>
        <v>736</v>
      </c>
    </row>
    <row r="31" spans="1:12">
      <c r="A31" s="188" t="s">
        <v>400</v>
      </c>
      <c r="B31" s="189">
        <v>30</v>
      </c>
      <c r="C31" s="190">
        <v>3</v>
      </c>
      <c r="D31" s="189">
        <v>2022</v>
      </c>
      <c r="E31" s="119">
        <f>Combine!G32</f>
        <v>55490</v>
      </c>
      <c r="F31" s="191">
        <v>1.4741159993127801</v>
      </c>
      <c r="G31" s="119">
        <f>Combine!M32</f>
        <v>3926.2856254856256</v>
      </c>
      <c r="H31" s="192">
        <v>9.632855395146052</v>
      </c>
      <c r="I31" s="119">
        <f>Combine!J32</f>
        <v>432.78540000000066</v>
      </c>
      <c r="J31" s="191">
        <v>8.3034848386888207</v>
      </c>
      <c r="K31" s="119">
        <f>Combine!N32</f>
        <v>339</v>
      </c>
      <c r="L31" s="119">
        <f>Combine!O32</f>
        <v>730</v>
      </c>
    </row>
    <row r="32" spans="1:12">
      <c r="A32" s="188" t="s">
        <v>400</v>
      </c>
      <c r="B32" s="189">
        <v>31</v>
      </c>
      <c r="C32" s="190">
        <v>3</v>
      </c>
      <c r="D32" s="189">
        <v>2022</v>
      </c>
      <c r="E32" s="119">
        <f>Combine!G33</f>
        <v>57990</v>
      </c>
      <c r="F32" s="191">
        <v>1.4741159993127801</v>
      </c>
      <c r="G32" s="119">
        <f>Combine!M33</f>
        <v>3916.0839160839159</v>
      </c>
      <c r="H32" s="192">
        <v>9.632855395146052</v>
      </c>
      <c r="I32" s="119">
        <f>Combine!J33</f>
        <v>438</v>
      </c>
      <c r="J32" s="191">
        <v>8.3034848386888207</v>
      </c>
      <c r="K32" s="119">
        <f>Combine!N33</f>
        <v>340</v>
      </c>
      <c r="L32" s="119">
        <f>Combine!O33</f>
        <v>741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G15" sqref="G15"/>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204" t="s">
        <v>66</v>
      </c>
      <c r="O1" s="205"/>
      <c r="P1" s="206"/>
    </row>
    <row r="2" spans="1:17" s="2" customFormat="1" ht="60" customHeight="1">
      <c r="A2" s="4" t="s">
        <v>3</v>
      </c>
      <c r="B2" s="5" t="s">
        <v>4</v>
      </c>
      <c r="C2" s="5" t="s">
        <v>5</v>
      </c>
      <c r="D2" s="117"/>
      <c r="E2" s="122" t="s">
        <v>6</v>
      </c>
      <c r="F2" s="143" t="s">
        <v>6</v>
      </c>
      <c r="G2" s="152" t="s">
        <v>6</v>
      </c>
      <c r="H2" s="153" t="s">
        <v>9</v>
      </c>
      <c r="I2" s="144" t="s">
        <v>9</v>
      </c>
      <c r="J2" s="152" t="s">
        <v>9</v>
      </c>
      <c r="K2" s="122" t="s">
        <v>7</v>
      </c>
      <c r="L2" s="108">
        <v>335</v>
      </c>
      <c r="M2" s="128" t="s">
        <v>8</v>
      </c>
      <c r="N2" s="159" t="s">
        <v>10</v>
      </c>
      <c r="O2" s="5" t="s">
        <v>11</v>
      </c>
      <c r="P2" s="158" t="s">
        <v>12</v>
      </c>
      <c r="Q2" s="147" t="s">
        <v>393</v>
      </c>
    </row>
    <row r="3" spans="1:17" ht="15.75">
      <c r="A3" s="7" t="s">
        <v>14</v>
      </c>
      <c r="B3" s="7">
        <v>1</v>
      </c>
      <c r="C3" s="7">
        <v>3</v>
      </c>
      <c r="D3" s="118">
        <v>2022</v>
      </c>
      <c r="E3" s="148">
        <f>'Athens Daily - EL'!AP8</f>
        <v>26824.399999999994</v>
      </c>
      <c r="F3" s="150">
        <f>'Athens Daily - EL'!AQ8</f>
        <v>23245.600000000002</v>
      </c>
      <c r="G3" s="129">
        <f>SUM(E3,F3)</f>
        <v>50070</v>
      </c>
      <c r="H3" s="148">
        <f>'Athens Daily - Water'!R7</f>
        <v>320.52880000000005</v>
      </c>
      <c r="I3" s="119">
        <f>'Athens Daily - Water'!S7</f>
        <v>143.5</v>
      </c>
      <c r="J3" s="125">
        <f t="shared" ref="J3:J33" si="0">SUM(H3,I3)</f>
        <v>464.02880000000005</v>
      </c>
      <c r="K3" s="148">
        <f>'Athens Daily - Gas'!BH9</f>
        <v>110505.59999999999</v>
      </c>
      <c r="L3" s="119">
        <f>'Athens Daily - Gas'!BI9</f>
        <v>73142.399999999994</v>
      </c>
      <c r="M3" s="129">
        <f>SUM(K3,L3)/38.61</f>
        <v>4756.4879564879566</v>
      </c>
      <c r="N3" s="157">
        <f>Occ!G10</f>
        <v>334</v>
      </c>
      <c r="O3" s="100">
        <f>Occ!H10</f>
        <v>747</v>
      </c>
      <c r="P3" s="156">
        <v>918</v>
      </c>
      <c r="Q3" s="165"/>
    </row>
    <row r="4" spans="1:17" ht="15.75">
      <c r="A4" s="7" t="s">
        <v>14</v>
      </c>
      <c r="B4" s="7">
        <v>2</v>
      </c>
      <c r="C4" s="7">
        <v>3</v>
      </c>
      <c r="D4" s="118">
        <v>2022</v>
      </c>
      <c r="E4" s="148">
        <f>'Athens Daily - EL'!AP9</f>
        <v>26926.799999999999</v>
      </c>
      <c r="F4" s="150">
        <f>'Athens Daily - EL'!AQ9</f>
        <v>22943.200000000004</v>
      </c>
      <c r="G4" s="129">
        <f t="shared" ref="G4:G33" si="1">SUM(E4,F4)</f>
        <v>49870</v>
      </c>
      <c r="H4" s="148">
        <f>'Athens Daily - Water'!R8</f>
        <v>288.19740000000127</v>
      </c>
      <c r="I4" s="119">
        <f>'Athens Daily - Water'!S8</f>
        <v>118.35</v>
      </c>
      <c r="J4" s="125">
        <f t="shared" si="0"/>
        <v>406.54740000000129</v>
      </c>
      <c r="K4" s="148">
        <f>'Athens Daily - Gas'!BH10</f>
        <v>89030.399999999994</v>
      </c>
      <c r="L4" s="119">
        <f>'Athens Daily - Gas'!BI10</f>
        <v>55545.599999999999</v>
      </c>
      <c r="M4" s="129">
        <f t="shared" ref="M4:M33" si="2">SUM(K4,L4)/38.61</f>
        <v>3744.5221445221446</v>
      </c>
      <c r="N4" s="157">
        <f>Occ!G11</f>
        <v>330</v>
      </c>
      <c r="O4" s="100">
        <f>Occ!H11</f>
        <v>748</v>
      </c>
      <c r="P4" s="156">
        <v>918</v>
      </c>
      <c r="Q4" s="165"/>
    </row>
    <row r="5" spans="1:17" ht="15.75">
      <c r="A5" s="7" t="s">
        <v>14</v>
      </c>
      <c r="B5" s="7">
        <v>3</v>
      </c>
      <c r="C5" s="7">
        <v>3</v>
      </c>
      <c r="D5" s="118">
        <v>2022</v>
      </c>
      <c r="E5" s="148">
        <f>'Athens Daily - EL'!AP10</f>
        <v>26164.399999999998</v>
      </c>
      <c r="F5" s="150">
        <f>'Athens Daily - EL'!AQ10</f>
        <v>22745.600000000002</v>
      </c>
      <c r="G5" s="129">
        <f t="shared" si="1"/>
        <v>48910</v>
      </c>
      <c r="H5" s="148">
        <f>'Athens Daily - Water'!R9</f>
        <v>240.60809999999947</v>
      </c>
      <c r="I5" s="119">
        <f>'Athens Daily - Water'!S9</f>
        <v>127.5</v>
      </c>
      <c r="J5" s="125">
        <f t="shared" si="0"/>
        <v>368.10809999999947</v>
      </c>
      <c r="K5" s="148">
        <f>'Athens Daily - Gas'!BH11</f>
        <v>92956.799999999988</v>
      </c>
      <c r="L5" s="119">
        <f>'Athens Daily - Gas'!BI11</f>
        <v>57331.200000000004</v>
      </c>
      <c r="M5" s="129">
        <f t="shared" si="2"/>
        <v>3892.4630924630924</v>
      </c>
      <c r="N5" s="157">
        <f>Occ!G12</f>
        <v>332</v>
      </c>
      <c r="O5" s="100">
        <f>Occ!H12</f>
        <v>753</v>
      </c>
      <c r="P5" s="156">
        <v>918</v>
      </c>
      <c r="Q5" s="165"/>
    </row>
    <row r="6" spans="1:17" ht="15.75">
      <c r="A6" s="7" t="s">
        <v>14</v>
      </c>
      <c r="B6" s="7">
        <v>4</v>
      </c>
      <c r="C6" s="7">
        <v>3</v>
      </c>
      <c r="D6" s="118">
        <v>2022</v>
      </c>
      <c r="E6" s="148">
        <f>'Athens Daily - EL'!AP11</f>
        <v>28001.599999999995</v>
      </c>
      <c r="F6" s="150">
        <f>'Athens Daily - EL'!AQ11</f>
        <v>23978.400000000001</v>
      </c>
      <c r="G6" s="129">
        <f t="shared" si="1"/>
        <v>51980</v>
      </c>
      <c r="H6" s="148">
        <f>'Athens Daily - Water'!R10</f>
        <v>245.84088000000048</v>
      </c>
      <c r="I6" s="119">
        <f>'Athens Daily - Water'!S10</f>
        <v>130.44999999999999</v>
      </c>
      <c r="J6" s="125">
        <f t="shared" si="0"/>
        <v>376.29088000000047</v>
      </c>
      <c r="K6" s="148">
        <f>'Athens Daily - Gas'!BH12</f>
        <v>88771.199999999997</v>
      </c>
      <c r="L6" s="119">
        <f>'Athens Daily - Gas'!BI12</f>
        <v>56572.800000000003</v>
      </c>
      <c r="M6" s="129">
        <f t="shared" si="2"/>
        <v>3764.4133644133644</v>
      </c>
      <c r="N6" s="157">
        <f>Occ!G13</f>
        <v>333</v>
      </c>
      <c r="O6" s="100">
        <f>Occ!H13</f>
        <v>756</v>
      </c>
      <c r="P6" s="156">
        <v>918</v>
      </c>
      <c r="Q6" s="165"/>
    </row>
    <row r="7" spans="1:17" ht="15.75">
      <c r="A7" s="7" t="s">
        <v>14</v>
      </c>
      <c r="B7" s="7">
        <v>5</v>
      </c>
      <c r="C7" s="7">
        <v>3</v>
      </c>
      <c r="D7" s="118">
        <v>2022</v>
      </c>
      <c r="E7" s="148">
        <f>'Athens Daily - EL'!AP12</f>
        <v>27337.199999999997</v>
      </c>
      <c r="F7" s="150">
        <f>'Athens Daily - EL'!AQ12</f>
        <v>22812.799999999999</v>
      </c>
      <c r="G7" s="129">
        <f t="shared" si="1"/>
        <v>50150</v>
      </c>
      <c r="H7" s="148">
        <f>'Athens Daily - Water'!R11</f>
        <v>261.5</v>
      </c>
      <c r="I7" s="119">
        <f>'Athens Daily - Water'!S11</f>
        <v>126.5</v>
      </c>
      <c r="J7" s="125">
        <f t="shared" si="0"/>
        <v>388</v>
      </c>
      <c r="K7" s="148">
        <f>'Athens Daily - Gas'!BH13</f>
        <v>73833.600000000006</v>
      </c>
      <c r="L7" s="119">
        <f>'Athens Daily - Gas'!BI13</f>
        <v>63446.400000000001</v>
      </c>
      <c r="M7" s="129">
        <f t="shared" si="2"/>
        <v>3555.5555555555557</v>
      </c>
      <c r="N7" s="157">
        <f>Occ!G14</f>
        <v>362</v>
      </c>
      <c r="O7" s="100">
        <f>Occ!H14</f>
        <v>815</v>
      </c>
      <c r="P7" s="156">
        <v>918</v>
      </c>
      <c r="Q7" s="165"/>
    </row>
    <row r="8" spans="1:17" ht="15.75">
      <c r="A8" s="7" t="s">
        <v>14</v>
      </c>
      <c r="B8" s="7">
        <v>6</v>
      </c>
      <c r="C8" s="7">
        <v>3</v>
      </c>
      <c r="D8" s="118">
        <v>2022</v>
      </c>
      <c r="E8" s="148">
        <f>'Athens Daily - EL'!AP13</f>
        <v>26762.799999999999</v>
      </c>
      <c r="F8" s="150">
        <f>'Athens Daily - EL'!AQ13</f>
        <v>22227.200000000001</v>
      </c>
      <c r="G8" s="129">
        <f t="shared" si="1"/>
        <v>48990</v>
      </c>
      <c r="H8" s="148">
        <f>'Athens Daily - Water'!R12</f>
        <v>296.8</v>
      </c>
      <c r="I8" s="119">
        <f>'Athens Daily - Water'!S12</f>
        <v>118.2</v>
      </c>
      <c r="J8" s="125">
        <f t="shared" si="0"/>
        <v>415</v>
      </c>
      <c r="K8" s="148">
        <f>'Athens Daily - Gas'!BH14</f>
        <v>112406.39999999999</v>
      </c>
      <c r="L8" s="119">
        <f>'Athens Daily - Gas'!BI14</f>
        <v>52857.600000000006</v>
      </c>
      <c r="M8" s="129">
        <f t="shared" si="2"/>
        <v>4280.3418803418808</v>
      </c>
      <c r="N8" s="157">
        <f>Occ!G15</f>
        <v>328</v>
      </c>
      <c r="O8" s="100">
        <f>Occ!H15</f>
        <v>736</v>
      </c>
      <c r="P8" s="156">
        <v>918</v>
      </c>
      <c r="Q8" s="165"/>
    </row>
    <row r="9" spans="1:17" ht="15.75">
      <c r="A9" s="7" t="s">
        <v>14</v>
      </c>
      <c r="B9" s="7">
        <v>7</v>
      </c>
      <c r="C9" s="7">
        <v>3</v>
      </c>
      <c r="D9" s="118">
        <v>2022</v>
      </c>
      <c r="E9" s="148">
        <f>'Athens Daily - EL'!AP14</f>
        <v>26800.000000000004</v>
      </c>
      <c r="F9" s="150">
        <f>'Athens Daily - EL'!AQ14</f>
        <v>22800</v>
      </c>
      <c r="G9" s="129">
        <f t="shared" si="1"/>
        <v>49600</v>
      </c>
      <c r="H9" s="148">
        <f>'Athens Daily - Water'!R13</f>
        <v>290.60000000000002</v>
      </c>
      <c r="I9" s="119">
        <f>'Athens Daily - Water'!S13</f>
        <v>107.4</v>
      </c>
      <c r="J9" s="125">
        <f t="shared" si="0"/>
        <v>398</v>
      </c>
      <c r="K9" s="148">
        <f>'Athens Daily - Gas'!BH15</f>
        <v>92121.600000000006</v>
      </c>
      <c r="L9" s="119">
        <f>'Athens Daily - Gas'!BI15</f>
        <v>55430.400000000001</v>
      </c>
      <c r="M9" s="129">
        <f t="shared" si="2"/>
        <v>3821.6006216006217</v>
      </c>
      <c r="N9" s="157">
        <f>Occ!G16</f>
        <v>321</v>
      </c>
      <c r="O9" s="100">
        <f>Occ!H16</f>
        <v>718</v>
      </c>
      <c r="P9" s="156">
        <v>918</v>
      </c>
      <c r="Q9" s="165"/>
    </row>
    <row r="10" spans="1:17">
      <c r="A10" s="7" t="s">
        <v>14</v>
      </c>
      <c r="B10" s="7">
        <v>8</v>
      </c>
      <c r="C10" s="7">
        <v>3</v>
      </c>
      <c r="D10" s="118">
        <v>2022</v>
      </c>
      <c r="E10" s="148">
        <f>'Athens Daily - EL'!AP15</f>
        <v>25238.399999999998</v>
      </c>
      <c r="F10" s="150">
        <f>'Athens Daily - EL'!AQ15</f>
        <v>21561.600000000002</v>
      </c>
      <c r="G10" s="129">
        <f t="shared" si="1"/>
        <v>46800</v>
      </c>
      <c r="H10" s="148">
        <f>'Athens Daily - Water'!R14</f>
        <v>332.61352000000005</v>
      </c>
      <c r="I10" s="119">
        <f>'Athens Daily - Water'!S14</f>
        <v>127.55000000000001</v>
      </c>
      <c r="J10" s="125">
        <f t="shared" si="0"/>
        <v>460.16352000000006</v>
      </c>
      <c r="K10" s="148">
        <f>'Athens Daily - Gas'!BH16</f>
        <v>90076.799999999988</v>
      </c>
      <c r="L10" s="119">
        <f>'Athens Daily - Gas'!BI16</f>
        <v>55219.200000000004</v>
      </c>
      <c r="M10" s="129">
        <f t="shared" si="2"/>
        <v>3763.1701631701631</v>
      </c>
      <c r="N10" s="157">
        <f>Occ!G17</f>
        <v>314</v>
      </c>
      <c r="O10" s="100">
        <f>Occ!H17</f>
        <v>699</v>
      </c>
      <c r="P10" s="156">
        <v>918</v>
      </c>
      <c r="Q10" s="98"/>
    </row>
    <row r="11" spans="1:17">
      <c r="A11" s="7" t="s">
        <v>14</v>
      </c>
      <c r="B11" s="7">
        <v>9</v>
      </c>
      <c r="C11" s="7">
        <v>3</v>
      </c>
      <c r="D11" s="118">
        <v>2022</v>
      </c>
      <c r="E11" s="148">
        <f>'Athens Daily - EL'!AP16</f>
        <v>26081.600000000002</v>
      </c>
      <c r="F11" s="150">
        <f>'Athens Daily - EL'!AQ16</f>
        <v>21828.399999999998</v>
      </c>
      <c r="G11" s="129">
        <f t="shared" si="1"/>
        <v>47910</v>
      </c>
      <c r="H11" s="148">
        <f>'Athens Daily - Water'!R15</f>
        <v>265.20999999999839</v>
      </c>
      <c r="I11" s="119">
        <f>'Athens Daily - Water'!S15</f>
        <v>119.80000000000001</v>
      </c>
      <c r="J11" s="125">
        <f t="shared" si="0"/>
        <v>385.0099999999984</v>
      </c>
      <c r="K11" s="148">
        <f>'Athens Daily - Gas'!BH17</f>
        <v>77827.199999999997</v>
      </c>
      <c r="L11" s="119">
        <f>'Athens Daily - Gas'!BI17</f>
        <v>47356.800000000003</v>
      </c>
      <c r="M11" s="129">
        <f t="shared" si="2"/>
        <v>3242.2688422688425</v>
      </c>
      <c r="N11" s="157">
        <f>Occ!G18</f>
        <v>317</v>
      </c>
      <c r="O11" s="100">
        <f>Occ!H18</f>
        <v>706</v>
      </c>
      <c r="P11" s="156">
        <v>918</v>
      </c>
      <c r="Q11" s="98"/>
    </row>
    <row r="12" spans="1:17" ht="15.75">
      <c r="A12" s="7" t="s">
        <v>14</v>
      </c>
      <c r="B12" s="7">
        <v>10</v>
      </c>
      <c r="C12" s="7">
        <v>3</v>
      </c>
      <c r="D12" s="118">
        <v>2022</v>
      </c>
      <c r="E12" s="148">
        <f>'Athens Daily - EL'!AP17</f>
        <v>27134.799999999996</v>
      </c>
      <c r="F12" s="150">
        <f>'Athens Daily - EL'!AQ17</f>
        <v>22345.200000000001</v>
      </c>
      <c r="G12" s="129">
        <f t="shared" si="1"/>
        <v>49480</v>
      </c>
      <c r="H12" s="148">
        <f>'Athens Daily - Water'!R16</f>
        <v>256.30000000000143</v>
      </c>
      <c r="I12" s="119">
        <f>'Athens Daily - Water'!S16</f>
        <v>124.6</v>
      </c>
      <c r="J12" s="125">
        <f t="shared" si="0"/>
        <v>380.90000000000146</v>
      </c>
      <c r="K12" s="148">
        <f>'Athens Daily - Gas'!BH18</f>
        <v>77376</v>
      </c>
      <c r="L12" s="119">
        <f>'Athens Daily - Gas'!BI18</f>
        <v>44544</v>
      </c>
      <c r="M12" s="129">
        <f t="shared" si="2"/>
        <v>3157.731157731158</v>
      </c>
      <c r="N12" s="157">
        <f>Occ!G19</f>
        <v>322</v>
      </c>
      <c r="O12" s="100">
        <f>Occ!H19</f>
        <v>714</v>
      </c>
      <c r="P12" s="156">
        <v>918</v>
      </c>
      <c r="Q12" s="165"/>
    </row>
    <row r="13" spans="1:17" ht="15.75">
      <c r="A13" s="7" t="s">
        <v>14</v>
      </c>
      <c r="B13" s="7">
        <v>11</v>
      </c>
      <c r="C13" s="7">
        <v>3</v>
      </c>
      <c r="D13" s="118">
        <v>2022</v>
      </c>
      <c r="E13" s="148">
        <f>'Athens Daily - EL'!AP18</f>
        <v>29323.200000000001</v>
      </c>
      <c r="F13" s="150">
        <f>'Athens Daily - EL'!AQ18</f>
        <v>23666.799999999999</v>
      </c>
      <c r="G13" s="129">
        <f t="shared" si="1"/>
        <v>52990</v>
      </c>
      <c r="H13" s="148">
        <f>'Athens Daily - Water'!R17</f>
        <v>273.3999999999993</v>
      </c>
      <c r="I13" s="119">
        <f>'Athens Daily - Water'!S17</f>
        <v>110.9</v>
      </c>
      <c r="J13" s="125">
        <f t="shared" si="0"/>
        <v>384.29999999999927</v>
      </c>
      <c r="K13" s="148">
        <f>'Athens Daily - Gas'!BH19</f>
        <v>80323.199999999997</v>
      </c>
      <c r="L13" s="119">
        <f>'Athens Daily - Gas'!BI19</f>
        <v>42412.800000000003</v>
      </c>
      <c r="M13" s="129">
        <f t="shared" si="2"/>
        <v>3178.8655788655788</v>
      </c>
      <c r="N13" s="157">
        <f>Occ!G20</f>
        <v>342</v>
      </c>
      <c r="O13" s="100">
        <f>Occ!H20</f>
        <v>754</v>
      </c>
      <c r="P13" s="156">
        <v>918</v>
      </c>
      <c r="Q13" s="165"/>
    </row>
    <row r="14" spans="1:17" ht="15.75">
      <c r="A14" s="7" t="s">
        <v>14</v>
      </c>
      <c r="B14" s="7">
        <v>12</v>
      </c>
      <c r="C14" s="7">
        <v>3</v>
      </c>
      <c r="D14" s="118">
        <v>2022</v>
      </c>
      <c r="E14" s="148">
        <f>'Athens Daily - EL'!AP19</f>
        <v>28425.200000000001</v>
      </c>
      <c r="F14" s="150">
        <f>'Athens Daily - EL'!AQ19</f>
        <v>22474.800000000003</v>
      </c>
      <c r="G14" s="129">
        <f t="shared" si="1"/>
        <v>50900</v>
      </c>
      <c r="H14" s="148">
        <f>'Athens Daily - Water'!R18</f>
        <v>282.46699999999981</v>
      </c>
      <c r="I14" s="119">
        <f>'Athens Daily - Water'!S18</f>
        <v>113.30000000000001</v>
      </c>
      <c r="J14" s="125">
        <f t="shared" si="0"/>
        <v>395.76699999999983</v>
      </c>
      <c r="K14" s="148">
        <f>'Athens Daily - Gas'!BH20</f>
        <v>87609.600000000006</v>
      </c>
      <c r="L14" s="119">
        <f>'Athens Daily - Gas'!BI20</f>
        <v>55478.400000000001</v>
      </c>
      <c r="M14" s="129">
        <f t="shared" si="2"/>
        <v>3705.9829059829062</v>
      </c>
      <c r="N14" s="157">
        <f>Occ!G21</f>
        <v>348</v>
      </c>
      <c r="O14" s="100">
        <f>Occ!H21</f>
        <v>773</v>
      </c>
      <c r="P14" s="156">
        <v>918</v>
      </c>
      <c r="Q14" s="165"/>
    </row>
    <row r="15" spans="1:17">
      <c r="A15" s="7" t="s">
        <v>14</v>
      </c>
      <c r="B15" s="7">
        <v>13</v>
      </c>
      <c r="C15" s="7">
        <v>3</v>
      </c>
      <c r="D15" s="118">
        <v>2022</v>
      </c>
      <c r="E15" s="148">
        <f>'Athens Daily - EL'!AP20</f>
        <v>30234.399999999998</v>
      </c>
      <c r="F15" s="166">
        <f>'Athens Daily - EL'!AQ20</f>
        <v>24925.599999999999</v>
      </c>
      <c r="G15" s="129">
        <f t="shared" si="1"/>
        <v>55160</v>
      </c>
      <c r="H15" s="148">
        <f>'Athens Daily - Water'!R19</f>
        <v>294.05</v>
      </c>
      <c r="I15" s="119">
        <f>'Athens Daily - Water'!S19</f>
        <v>124.95</v>
      </c>
      <c r="J15" s="125">
        <f t="shared" si="0"/>
        <v>419</v>
      </c>
      <c r="K15" s="148">
        <f>'Athens Daily - Gas'!BH21</f>
        <v>89203.199999999997</v>
      </c>
      <c r="L15" s="119">
        <f>'Athens Daily - Gas'!BI21</f>
        <v>53836.800000000003</v>
      </c>
      <c r="M15" s="129">
        <f t="shared" si="2"/>
        <v>3704.7397047397048</v>
      </c>
      <c r="N15" s="157">
        <f>Occ!G22</f>
        <v>340</v>
      </c>
      <c r="O15" s="100">
        <f>Occ!H22</f>
        <v>748</v>
      </c>
      <c r="P15" s="156">
        <v>918</v>
      </c>
      <c r="Q15" s="162"/>
    </row>
    <row r="16" spans="1:17">
      <c r="A16" s="7" t="s">
        <v>14</v>
      </c>
      <c r="B16" s="7">
        <v>14</v>
      </c>
      <c r="C16" s="7">
        <v>3</v>
      </c>
      <c r="D16" s="118">
        <v>2022</v>
      </c>
      <c r="E16" s="148">
        <f>'Athens Daily - EL'!AP21</f>
        <v>30060.399999999994</v>
      </c>
      <c r="F16" s="150">
        <f>'Athens Daily - EL'!AQ21</f>
        <v>25799.600000000002</v>
      </c>
      <c r="G16" s="129">
        <f t="shared" si="1"/>
        <v>55860</v>
      </c>
      <c r="H16" s="148">
        <f>'Athens Daily - Water'!R20</f>
        <v>277.56419999999997</v>
      </c>
      <c r="I16" s="119">
        <f>'Athens Daily - Water'!S20</f>
        <v>109.55000000000001</v>
      </c>
      <c r="J16" s="125">
        <f t="shared" si="0"/>
        <v>387.11419999999998</v>
      </c>
      <c r="K16" s="148">
        <f>'Athens Daily - Gas'!BH22</f>
        <v>92764.799999999988</v>
      </c>
      <c r="L16" s="119">
        <f>'Athens Daily - Gas'!BI22</f>
        <v>57955.200000000004</v>
      </c>
      <c r="M16" s="129">
        <f t="shared" si="2"/>
        <v>3903.6519036519039</v>
      </c>
      <c r="N16" s="157">
        <f>Occ!G23</f>
        <v>317</v>
      </c>
      <c r="O16" s="100">
        <f>Occ!H23</f>
        <v>708</v>
      </c>
      <c r="P16" s="156">
        <v>918</v>
      </c>
      <c r="Q16" s="162"/>
    </row>
    <row r="17" spans="1:17">
      <c r="A17" s="7" t="s">
        <v>14</v>
      </c>
      <c r="B17" s="7">
        <v>15</v>
      </c>
      <c r="C17" s="7">
        <v>3</v>
      </c>
      <c r="D17" s="118">
        <v>2022</v>
      </c>
      <c r="E17" s="148">
        <f>'Athens Daily - EL'!AP22</f>
        <v>31239.199999999997</v>
      </c>
      <c r="F17" s="150">
        <f>'Athens Daily - EL'!AQ22</f>
        <v>26120.799999999999</v>
      </c>
      <c r="G17" s="129">
        <f t="shared" si="1"/>
        <v>57360</v>
      </c>
      <c r="H17" s="148">
        <f>'Athens Daily - Water'!R21</f>
        <v>266.67359999999934</v>
      </c>
      <c r="I17" s="119">
        <f>'Athens Daily - Water'!S21</f>
        <v>134.05000000000001</v>
      </c>
      <c r="J17" s="125">
        <f t="shared" si="0"/>
        <v>400.72359999999935</v>
      </c>
      <c r="K17" s="148">
        <f>'Athens Daily - Gas'!BH23</f>
        <v>88406.399999999994</v>
      </c>
      <c r="L17" s="119">
        <f>'Athens Daily - Gas'!BI23</f>
        <v>59433.599999999999</v>
      </c>
      <c r="M17" s="129">
        <f t="shared" si="2"/>
        <v>3829.0598290598291</v>
      </c>
      <c r="N17" s="157">
        <f>Occ!G24</f>
        <v>326</v>
      </c>
      <c r="O17" s="100">
        <f>Occ!H24</f>
        <v>727</v>
      </c>
      <c r="P17" s="156">
        <v>918</v>
      </c>
      <c r="Q17" s="162"/>
    </row>
    <row r="18" spans="1:17">
      <c r="A18" s="7" t="s">
        <v>14</v>
      </c>
      <c r="B18" s="7">
        <v>16</v>
      </c>
      <c r="C18" s="7">
        <v>3</v>
      </c>
      <c r="D18" s="118">
        <v>2022</v>
      </c>
      <c r="E18" s="148">
        <f>'Athens Daily - EL'!AP23</f>
        <v>30301.999999999996</v>
      </c>
      <c r="F18" s="150">
        <f>'Athens Daily - EL'!AQ23</f>
        <v>24838</v>
      </c>
      <c r="G18" s="129">
        <f t="shared" si="1"/>
        <v>55140</v>
      </c>
      <c r="H18" s="148">
        <f>'Athens Daily - Water'!R22</f>
        <v>310.23840000000052</v>
      </c>
      <c r="I18" s="119">
        <f>'Athens Daily - Water'!S22</f>
        <v>104.85</v>
      </c>
      <c r="J18" s="125">
        <f t="shared" si="0"/>
        <v>415.08840000000055</v>
      </c>
      <c r="K18" s="148">
        <f>'Athens Daily - Gas'!BH24</f>
        <v>82627.199999999997</v>
      </c>
      <c r="L18" s="119">
        <f>'Athens Daily - Gas'!BI24</f>
        <v>57196.800000000003</v>
      </c>
      <c r="M18" s="129">
        <f t="shared" si="2"/>
        <v>3621.4452214452217</v>
      </c>
      <c r="N18" s="157">
        <f>Occ!G25</f>
        <v>309</v>
      </c>
      <c r="O18" s="100">
        <f>Occ!H25</f>
        <v>691</v>
      </c>
      <c r="P18" s="156">
        <v>918</v>
      </c>
      <c r="Q18" s="161"/>
    </row>
    <row r="19" spans="1:17">
      <c r="A19" s="7" t="s">
        <v>14</v>
      </c>
      <c r="B19" s="7">
        <v>17</v>
      </c>
      <c r="C19" s="7">
        <v>3</v>
      </c>
      <c r="D19" s="118">
        <v>2022</v>
      </c>
      <c r="E19" s="148">
        <f>'Athens Daily - EL'!AP24</f>
        <v>30882</v>
      </c>
      <c r="F19" s="150">
        <f>'Athens Daily - EL'!AQ24</f>
        <v>26097.999999999996</v>
      </c>
      <c r="G19" s="129">
        <f t="shared" si="1"/>
        <v>56980</v>
      </c>
      <c r="H19" s="148">
        <f>'Athens Daily - Water'!R23</f>
        <v>263.60226666666676</v>
      </c>
      <c r="I19" s="119">
        <f>'Athens Daily - Water'!S23</f>
        <v>113.5</v>
      </c>
      <c r="J19" s="125">
        <f t="shared" si="0"/>
        <v>377.10226666666676</v>
      </c>
      <c r="K19" s="148">
        <f>'Athens Daily - Gas'!BH25</f>
        <v>88045.728000000017</v>
      </c>
      <c r="L19" s="119">
        <f>'Athens Daily - Gas'!BI25</f>
        <v>58262.400000000001</v>
      </c>
      <c r="M19" s="129">
        <f t="shared" si="2"/>
        <v>3789.3843045843055</v>
      </c>
      <c r="N19" s="157">
        <f>Occ!G26</f>
        <v>312</v>
      </c>
      <c r="O19" s="100">
        <f>Occ!H26</f>
        <v>696</v>
      </c>
      <c r="P19" s="156">
        <v>918</v>
      </c>
      <c r="Q19" s="161"/>
    </row>
    <row r="20" spans="1:17">
      <c r="A20" s="7" t="s">
        <v>14</v>
      </c>
      <c r="B20" s="7">
        <v>18</v>
      </c>
      <c r="C20" s="7">
        <v>3</v>
      </c>
      <c r="D20" s="118">
        <v>2022</v>
      </c>
      <c r="E20" s="148">
        <f>'Athens Daily - EL'!AP25</f>
        <v>32645.599999999999</v>
      </c>
      <c r="F20" s="150">
        <f>'Athens Daily - EL'!AQ25</f>
        <v>26674.400000000001</v>
      </c>
      <c r="G20" s="129">
        <f t="shared" si="1"/>
        <v>59320</v>
      </c>
      <c r="H20" s="148">
        <f>'Athens Daily - Water'!R24</f>
        <v>315.85000000000002</v>
      </c>
      <c r="I20" s="119">
        <f>'Athens Daily - Water'!S24</f>
        <v>125.15</v>
      </c>
      <c r="J20" s="125">
        <f t="shared" si="0"/>
        <v>441</v>
      </c>
      <c r="K20" s="148">
        <f>'Athens Daily - Gas'!BH26</f>
        <v>90878.687999999995</v>
      </c>
      <c r="L20" s="119">
        <f>'Athens Daily - Gas'!BI26</f>
        <v>57187.200000000004</v>
      </c>
      <c r="M20" s="129">
        <f t="shared" si="2"/>
        <v>3834.9103341103341</v>
      </c>
      <c r="N20" s="157">
        <f>Occ!G27</f>
        <v>324</v>
      </c>
      <c r="O20" s="100">
        <f>Occ!H27</f>
        <v>718</v>
      </c>
      <c r="P20" s="156">
        <v>918</v>
      </c>
      <c r="Q20" s="161"/>
    </row>
    <row r="21" spans="1:17">
      <c r="A21" s="7" t="s">
        <v>14</v>
      </c>
      <c r="B21" s="7">
        <v>19</v>
      </c>
      <c r="C21" s="7">
        <v>3</v>
      </c>
      <c r="D21" s="118">
        <v>2022</v>
      </c>
      <c r="E21" s="148">
        <f>'Athens Daily - EL'!AP26</f>
        <v>31774.799999999999</v>
      </c>
      <c r="F21" s="150">
        <f>'Athens Daily - EL'!AQ26</f>
        <v>25305.200000000001</v>
      </c>
      <c r="G21" s="129">
        <f t="shared" si="1"/>
        <v>57080</v>
      </c>
      <c r="H21" s="148">
        <f>'Athens Daily - Water'!R25</f>
        <v>261.35453333333351</v>
      </c>
      <c r="I21" s="119">
        <f>'Athens Daily - Water'!S25</f>
        <v>111.85</v>
      </c>
      <c r="J21" s="125">
        <f t="shared" si="0"/>
        <v>373.20453333333353</v>
      </c>
      <c r="K21" s="148">
        <f>'Athens Daily - Gas'!BH27</f>
        <v>85944</v>
      </c>
      <c r="L21" s="169">
        <f>'Athens Daily - Gas'!BI27</f>
        <v>56352</v>
      </c>
      <c r="M21" s="129">
        <f t="shared" si="2"/>
        <v>3685.4700854700855</v>
      </c>
      <c r="N21" s="157">
        <f>Occ!G28</f>
        <v>352</v>
      </c>
      <c r="O21" s="100">
        <f>Occ!H28</f>
        <v>777</v>
      </c>
      <c r="P21" s="156">
        <v>918</v>
      </c>
      <c r="Q21" s="161"/>
    </row>
    <row r="22" spans="1:17">
      <c r="A22" s="7" t="s">
        <v>14</v>
      </c>
      <c r="B22" s="7">
        <v>20</v>
      </c>
      <c r="C22" s="7">
        <v>3</v>
      </c>
      <c r="D22" s="118">
        <v>2022</v>
      </c>
      <c r="E22" s="148">
        <f>'Athens Daily - EL'!AP27</f>
        <v>30931.199999999997</v>
      </c>
      <c r="F22" s="150">
        <f>'Athens Daily - EL'!AQ27</f>
        <v>24218.799999999999</v>
      </c>
      <c r="G22" s="129">
        <f t="shared" si="1"/>
        <v>55150</v>
      </c>
      <c r="H22" s="148">
        <f>'Athens Daily - Water'!R26</f>
        <v>358.15</v>
      </c>
      <c r="I22" s="119">
        <f>'Athens Daily - Water'!S26</f>
        <v>95.85</v>
      </c>
      <c r="J22" s="125">
        <f t="shared" si="0"/>
        <v>454</v>
      </c>
      <c r="K22" s="148">
        <f>'Athens Daily - Gas'!BH28</f>
        <v>92505.600000000006</v>
      </c>
      <c r="L22" s="119">
        <f>'Athens Daily - Gas'!BI28</f>
        <v>59798.400000000001</v>
      </c>
      <c r="M22" s="129">
        <f t="shared" si="2"/>
        <v>3944.6775446775446</v>
      </c>
      <c r="N22" s="157">
        <f>Occ!G29</f>
        <v>330</v>
      </c>
      <c r="O22" s="100">
        <f>Occ!H29</f>
        <v>723</v>
      </c>
      <c r="P22" s="156">
        <v>918</v>
      </c>
      <c r="Q22" s="162"/>
    </row>
    <row r="23" spans="1:17">
      <c r="A23" s="7" t="s">
        <v>14</v>
      </c>
      <c r="B23" s="7">
        <v>21</v>
      </c>
      <c r="C23" s="7">
        <v>3</v>
      </c>
      <c r="D23" s="118">
        <v>2022</v>
      </c>
      <c r="E23" s="148">
        <f>'Athens Daily - EL'!AP28</f>
        <v>29840.399999999998</v>
      </c>
      <c r="F23" s="150">
        <f>'Athens Daily - EL'!AQ28</f>
        <v>24649.599999999999</v>
      </c>
      <c r="G23" s="129">
        <f t="shared" si="1"/>
        <v>54490</v>
      </c>
      <c r="H23" s="180">
        <f>'Athens Daily - Water'!R27</f>
        <v>347.5</v>
      </c>
      <c r="I23" s="181">
        <f>'Athens Daily - Water'!S27</f>
        <v>114.5</v>
      </c>
      <c r="J23" s="125">
        <f t="shared" si="0"/>
        <v>462</v>
      </c>
      <c r="K23" s="148">
        <f>'Athens Daily - Gas'!BH29</f>
        <v>89337.600000000006</v>
      </c>
      <c r="L23" s="119">
        <f>'Athens Daily - Gas'!BI29</f>
        <v>60182.400000000001</v>
      </c>
      <c r="M23" s="129">
        <f t="shared" si="2"/>
        <v>3872.5718725718725</v>
      </c>
      <c r="N23" s="157">
        <f>Occ!G30</f>
        <v>317</v>
      </c>
      <c r="O23" s="100">
        <f>Occ!H30</f>
        <v>700</v>
      </c>
      <c r="P23" s="156">
        <v>918</v>
      </c>
      <c r="Q23" s="162"/>
    </row>
    <row r="24" spans="1:17">
      <c r="A24" s="7" t="s">
        <v>14</v>
      </c>
      <c r="B24" s="7">
        <v>22</v>
      </c>
      <c r="C24" s="7">
        <v>3</v>
      </c>
      <c r="D24" s="118">
        <v>2022</v>
      </c>
      <c r="E24" s="148">
        <f>'Athens Daily - EL'!AP29</f>
        <v>32510.799999999999</v>
      </c>
      <c r="F24" s="150">
        <f>'Athens Daily - EL'!AQ29</f>
        <v>26799.199999999997</v>
      </c>
      <c r="G24" s="129">
        <f t="shared" si="1"/>
        <v>59310</v>
      </c>
      <c r="H24" s="180">
        <f>'Athens Daily - Water'!R28</f>
        <v>279.45</v>
      </c>
      <c r="I24" s="181">
        <f>'Athens Daily - Water'!S28</f>
        <v>108.55000000000001</v>
      </c>
      <c r="J24" s="125">
        <f t="shared" si="0"/>
        <v>388</v>
      </c>
      <c r="K24" s="148">
        <f>'Athens Daily - Gas'!BH30</f>
        <v>88867.199999999997</v>
      </c>
      <c r="L24" s="119">
        <f>'Athens Daily - Gas'!BI30</f>
        <v>62812.800000000003</v>
      </c>
      <c r="M24" s="129">
        <f t="shared" si="2"/>
        <v>3928.5159285159284</v>
      </c>
      <c r="N24" s="157">
        <f>Occ!G31</f>
        <v>313</v>
      </c>
      <c r="O24" s="100">
        <f>Occ!H31</f>
        <v>689</v>
      </c>
      <c r="P24" s="156">
        <v>918</v>
      </c>
      <c r="Q24" s="162"/>
    </row>
    <row r="25" spans="1:17">
      <c r="A25" s="7" t="s">
        <v>14</v>
      </c>
      <c r="B25" s="7">
        <v>23</v>
      </c>
      <c r="C25" s="7">
        <v>3</v>
      </c>
      <c r="D25" s="118">
        <v>2022</v>
      </c>
      <c r="E25" s="148">
        <f>'Athens Daily - EL'!AP30</f>
        <v>28877.199999999997</v>
      </c>
      <c r="F25" s="150">
        <f>'Athens Daily - EL'!AQ30</f>
        <v>22432.799999999999</v>
      </c>
      <c r="G25" s="129">
        <f t="shared" si="1"/>
        <v>51310</v>
      </c>
      <c r="H25" s="180">
        <f>'Athens Daily - Water'!R29</f>
        <v>296.35000000000002</v>
      </c>
      <c r="I25" s="181">
        <f>'Athens Daily - Water'!S29</f>
        <v>101.65</v>
      </c>
      <c r="J25" s="125">
        <f t="shared" si="0"/>
        <v>398</v>
      </c>
      <c r="K25" s="168">
        <f>'Athens Daily - Gas'!BH31</f>
        <v>89721.600000000006</v>
      </c>
      <c r="L25" s="119">
        <f>'Athens Daily - Gas'!BI31</f>
        <v>59366.400000000001</v>
      </c>
      <c r="M25" s="129">
        <f t="shared" si="2"/>
        <v>3861.3830613830614</v>
      </c>
      <c r="N25" s="157">
        <f>Occ!G32</f>
        <v>319</v>
      </c>
      <c r="O25" s="100">
        <f>Occ!H32</f>
        <v>704</v>
      </c>
      <c r="P25" s="156">
        <v>918</v>
      </c>
      <c r="Q25" s="162"/>
    </row>
    <row r="26" spans="1:17">
      <c r="A26" s="7" t="s">
        <v>14</v>
      </c>
      <c r="B26" s="7">
        <v>24</v>
      </c>
      <c r="C26" s="7">
        <v>3</v>
      </c>
      <c r="D26" s="118">
        <v>2022</v>
      </c>
      <c r="E26" s="148">
        <f>'Athens Daily - EL'!AP31</f>
        <v>28938.799999999999</v>
      </c>
      <c r="F26" s="150">
        <f>'Athens Daily - EL'!AQ31</f>
        <v>21671.199999999997</v>
      </c>
      <c r="G26" s="129">
        <f t="shared" si="1"/>
        <v>50610</v>
      </c>
      <c r="H26" s="180">
        <f>'Athens Daily - Water'!R30</f>
        <v>281.63709999999958</v>
      </c>
      <c r="I26" s="181">
        <f>'Athens Daily - Water'!S30</f>
        <v>120.15</v>
      </c>
      <c r="J26" s="125">
        <f t="shared" si="0"/>
        <v>401.78709999999955</v>
      </c>
      <c r="K26" s="148">
        <f>'Athens Daily - Gas'!BH32</f>
        <v>83116.799999999988</v>
      </c>
      <c r="L26" s="119">
        <f>'Athens Daily - Gas'!BI32</f>
        <v>58675.199999999997</v>
      </c>
      <c r="M26" s="129">
        <f t="shared" si="2"/>
        <v>3672.4164724164725</v>
      </c>
      <c r="N26" s="157">
        <f>Occ!G33</f>
        <v>327</v>
      </c>
      <c r="O26" s="100">
        <f>Occ!H33</f>
        <v>710</v>
      </c>
      <c r="P26" s="156">
        <v>918</v>
      </c>
      <c r="Q26" s="162"/>
    </row>
    <row r="27" spans="1:17">
      <c r="A27" s="7" t="s">
        <v>14</v>
      </c>
      <c r="B27" s="7">
        <v>25</v>
      </c>
      <c r="C27" s="7">
        <v>3</v>
      </c>
      <c r="D27" s="118">
        <v>2022</v>
      </c>
      <c r="E27" s="148">
        <f>'Athens Daily - EL'!AP32</f>
        <v>33077.200000000004</v>
      </c>
      <c r="F27" s="150">
        <f>'Athens Daily - EL'!AQ32</f>
        <v>26172.799999999999</v>
      </c>
      <c r="G27" s="129">
        <f t="shared" si="1"/>
        <v>59250</v>
      </c>
      <c r="H27" s="148">
        <f>'Athens Daily - Water'!R31</f>
        <v>309.12790000000132</v>
      </c>
      <c r="I27" s="119">
        <f>'Athens Daily - Water'!S31</f>
        <v>119.5</v>
      </c>
      <c r="J27" s="125">
        <f t="shared" si="0"/>
        <v>428.62790000000132</v>
      </c>
      <c r="K27" s="148">
        <f>'Athens Daily - Gas'!BH33</f>
        <v>97977.311999999991</v>
      </c>
      <c r="L27" s="119">
        <f>'Athens Daily - Gas'!BI33</f>
        <v>60076.800000000003</v>
      </c>
      <c r="M27" s="129">
        <f t="shared" si="2"/>
        <v>4093.6055944055943</v>
      </c>
      <c r="N27" s="157">
        <f>Occ!G34</f>
        <v>334</v>
      </c>
      <c r="O27" s="100">
        <f>Occ!H34</f>
        <v>727</v>
      </c>
      <c r="P27" s="156">
        <v>918</v>
      </c>
      <c r="Q27" s="160"/>
    </row>
    <row r="28" spans="1:17">
      <c r="A28" s="7" t="s">
        <v>14</v>
      </c>
      <c r="B28" s="7">
        <v>26</v>
      </c>
      <c r="C28" s="7">
        <v>3</v>
      </c>
      <c r="D28" s="118">
        <v>2022</v>
      </c>
      <c r="E28" s="148">
        <f>'Athens Daily - EL'!AP33</f>
        <v>37354.000000000007</v>
      </c>
      <c r="F28" s="150">
        <f>'Athens Daily - EL'!AQ33</f>
        <v>29806.000000000004</v>
      </c>
      <c r="G28" s="129">
        <f t="shared" si="1"/>
        <v>67160.000000000015</v>
      </c>
      <c r="H28" s="148">
        <f>'Athens Daily - Water'!R32</f>
        <v>314.47199999999941</v>
      </c>
      <c r="I28" s="119">
        <f>'Athens Daily - Water'!S32</f>
        <v>100.9</v>
      </c>
      <c r="J28" s="125">
        <f t="shared" si="0"/>
        <v>415.37199999999939</v>
      </c>
      <c r="K28" s="148">
        <f>'Athens Daily - Gas'!BH34</f>
        <v>98188.799999999988</v>
      </c>
      <c r="L28" s="119">
        <f>'Athens Daily - Gas'!BI34</f>
        <v>61027.200000000004</v>
      </c>
      <c r="M28" s="129">
        <f t="shared" si="2"/>
        <v>4123.6985236985238</v>
      </c>
      <c r="N28" s="157">
        <f>Occ!G35</f>
        <v>372</v>
      </c>
      <c r="O28" s="100">
        <f>Occ!H35</f>
        <v>822</v>
      </c>
      <c r="P28" s="156">
        <v>918</v>
      </c>
      <c r="Q28" s="160"/>
    </row>
    <row r="29" spans="1:17">
      <c r="A29" s="7" t="s">
        <v>14</v>
      </c>
      <c r="B29" s="7">
        <v>27</v>
      </c>
      <c r="C29" s="7">
        <v>3</v>
      </c>
      <c r="D29" s="118">
        <v>2022</v>
      </c>
      <c r="E29" s="148">
        <f>'Athens Daily - EL'!AP34</f>
        <v>31726.400000000001</v>
      </c>
      <c r="F29" s="150">
        <f>'Athens Daily - EL'!AQ34</f>
        <v>23823.599999999999</v>
      </c>
      <c r="G29" s="129">
        <f t="shared" si="1"/>
        <v>55550</v>
      </c>
      <c r="H29" s="148">
        <f>'Athens Daily - Water'!R33</f>
        <v>408.8130000000001</v>
      </c>
      <c r="I29" s="119">
        <f>'Athens Daily - Water'!S33</f>
        <v>107</v>
      </c>
      <c r="J29" s="125">
        <f t="shared" si="0"/>
        <v>515.8130000000001</v>
      </c>
      <c r="K29" s="148">
        <f>'Athens Daily - Gas'!BH35</f>
        <v>95644.799999999988</v>
      </c>
      <c r="L29" s="119">
        <f>'Athens Daily - Gas'!BI35</f>
        <v>57571.200000000004</v>
      </c>
      <c r="M29" s="129">
        <f t="shared" si="2"/>
        <v>3968.2983682983681</v>
      </c>
      <c r="N29" s="157">
        <f>Occ!G36</f>
        <v>347</v>
      </c>
      <c r="O29" s="100">
        <f>Occ!H36</f>
        <v>754</v>
      </c>
      <c r="P29" s="156">
        <v>918</v>
      </c>
      <c r="Q29" s="160"/>
    </row>
    <row r="30" spans="1:17">
      <c r="A30" s="7" t="s">
        <v>14</v>
      </c>
      <c r="B30" s="7">
        <v>28</v>
      </c>
      <c r="C30" s="7">
        <v>3</v>
      </c>
      <c r="D30" s="118">
        <v>2022</v>
      </c>
      <c r="E30" s="148">
        <f>'Athens Daily - EL'!AP35</f>
        <v>28557.599999999999</v>
      </c>
      <c r="F30" s="150">
        <f>'Athens Daily - EL'!AQ35</f>
        <v>21982.399999999998</v>
      </c>
      <c r="G30" s="129">
        <f t="shared" si="1"/>
        <v>50540</v>
      </c>
      <c r="H30" s="148">
        <f>'Athens Daily - Water'!R34</f>
        <v>377.6499999999993</v>
      </c>
      <c r="I30" s="119">
        <f>'Athens Daily - Water'!S34</f>
        <v>96.15</v>
      </c>
      <c r="J30" s="125">
        <f t="shared" si="0"/>
        <v>473.79999999999927</v>
      </c>
      <c r="K30" s="148">
        <f>'Athens Daily - Gas'!BH36</f>
        <v>94665.600000000006</v>
      </c>
      <c r="L30" s="119">
        <f>'Athens Daily - Gas'!BI36</f>
        <v>56726.400000000001</v>
      </c>
      <c r="M30" s="129">
        <f t="shared" si="2"/>
        <v>3921.056721056721</v>
      </c>
      <c r="N30" s="157">
        <f>Occ!G37</f>
        <v>323</v>
      </c>
      <c r="O30" s="100">
        <f>Occ!H37</f>
        <v>707</v>
      </c>
      <c r="P30" s="156">
        <v>918</v>
      </c>
      <c r="Q30" s="160"/>
    </row>
    <row r="31" spans="1:17">
      <c r="A31" s="7" t="s">
        <v>14</v>
      </c>
      <c r="B31" s="7">
        <v>29</v>
      </c>
      <c r="C31" s="7">
        <v>3</v>
      </c>
      <c r="D31" s="118">
        <v>2022</v>
      </c>
      <c r="E31" s="148">
        <f>'Athens Daily - EL'!AP36</f>
        <v>29459.200000000001</v>
      </c>
      <c r="F31" s="150">
        <f>'Athens Daily - EL'!AQ36</f>
        <v>22770.799999999999</v>
      </c>
      <c r="G31" s="129">
        <f t="shared" si="1"/>
        <v>52230</v>
      </c>
      <c r="H31" s="148">
        <f>'Athens Daily - Water'!R35</f>
        <v>324.41459999999972</v>
      </c>
      <c r="I31" s="119">
        <f>'Athens Daily - Water'!S35</f>
        <v>113.4</v>
      </c>
      <c r="J31" s="125">
        <f t="shared" si="0"/>
        <v>437.8145999999997</v>
      </c>
      <c r="K31" s="148">
        <f>'Athens Daily - Gas'!BH37</f>
        <v>96566.399999999994</v>
      </c>
      <c r="L31" s="119">
        <f>'Athens Daily - Gas'!BI37</f>
        <v>62217.599999999999</v>
      </c>
      <c r="M31" s="129">
        <f t="shared" si="2"/>
        <v>4112.5097125097127</v>
      </c>
      <c r="N31" s="157">
        <f>Occ!G38</f>
        <v>334</v>
      </c>
      <c r="O31" s="100">
        <f>Occ!H38</f>
        <v>736</v>
      </c>
      <c r="P31" s="156">
        <v>918</v>
      </c>
      <c r="Q31" s="160"/>
    </row>
    <row r="32" spans="1:17">
      <c r="A32" s="7" t="s">
        <v>14</v>
      </c>
      <c r="B32" s="7">
        <v>30</v>
      </c>
      <c r="C32" s="7">
        <v>3</v>
      </c>
      <c r="D32" s="118">
        <v>2022</v>
      </c>
      <c r="E32" s="148">
        <f>'Athens Daily - EL'!AP37</f>
        <v>31232.399999999998</v>
      </c>
      <c r="F32" s="150">
        <f>'Athens Daily - EL'!AQ37</f>
        <v>24257.600000000002</v>
      </c>
      <c r="G32" s="129">
        <f t="shared" si="1"/>
        <v>55490</v>
      </c>
      <c r="H32" s="148">
        <f>'Athens Daily - Water'!R36</f>
        <v>310.08540000000067</v>
      </c>
      <c r="I32" s="119">
        <f>'Athens Daily - Water'!S36</f>
        <v>122.7</v>
      </c>
      <c r="J32" s="125">
        <f t="shared" si="0"/>
        <v>432.78540000000066</v>
      </c>
      <c r="K32" s="148">
        <f>'Athens Daily - Gas'!BH38</f>
        <v>92150.687999999995</v>
      </c>
      <c r="L32" s="119">
        <f>'Athens Daily - Gas'!BI38</f>
        <v>59443.200000000004</v>
      </c>
      <c r="M32" s="129">
        <f t="shared" si="2"/>
        <v>3926.2856254856256</v>
      </c>
      <c r="N32" s="157">
        <f>Occ!G39</f>
        <v>339</v>
      </c>
      <c r="O32" s="100">
        <f>Occ!H39</f>
        <v>730</v>
      </c>
      <c r="P32" s="156">
        <v>918</v>
      </c>
      <c r="Q32" s="160"/>
    </row>
    <row r="33" spans="1:17" ht="15.75" thickBot="1">
      <c r="A33" s="7" t="s">
        <v>14</v>
      </c>
      <c r="B33" s="7">
        <v>31</v>
      </c>
      <c r="C33" s="7">
        <v>3</v>
      </c>
      <c r="D33" s="118">
        <v>2022</v>
      </c>
      <c r="E33" s="149">
        <f>'Athens Daily - EL'!AP38</f>
        <v>32624.800000000003</v>
      </c>
      <c r="F33" s="151">
        <f>'Athens Daily - EL'!AQ38</f>
        <v>25365.199999999997</v>
      </c>
      <c r="G33" s="130">
        <f t="shared" si="1"/>
        <v>57990</v>
      </c>
      <c r="H33" s="149">
        <f>'Athens Daily - Water'!R37</f>
        <v>340.15</v>
      </c>
      <c r="I33" s="123">
        <f>'Athens Daily - Water'!S37</f>
        <v>97.85</v>
      </c>
      <c r="J33" s="126">
        <f t="shared" si="0"/>
        <v>438</v>
      </c>
      <c r="K33" s="149">
        <f>'Athens Daily - Gas'!BH39</f>
        <v>90432</v>
      </c>
      <c r="L33" s="123">
        <f>'Athens Daily - Gas'!BI39</f>
        <v>60768</v>
      </c>
      <c r="M33" s="130">
        <f t="shared" si="2"/>
        <v>3916.0839160839159</v>
      </c>
      <c r="N33" s="164">
        <f>Occ!G40</f>
        <v>340</v>
      </c>
      <c r="O33" s="155">
        <f>Occ!H40</f>
        <v>741</v>
      </c>
      <c r="P33" s="154">
        <v>918</v>
      </c>
      <c r="Q33" s="160"/>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21" sqref="L2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402</v>
      </c>
      <c r="D7" s="132"/>
      <c r="E7" s="132"/>
      <c r="F7" s="132"/>
      <c r="G7" s="132"/>
      <c r="H7" s="132"/>
      <c r="I7" s="132"/>
      <c r="J7" s="131"/>
      <c r="K7" s="131"/>
      <c r="L7" s="131"/>
      <c r="M7" s="131"/>
      <c r="N7" s="131"/>
    </row>
    <row r="8" spans="1:14" ht="15.75" thickBot="1">
      <c r="A8" s="131"/>
      <c r="B8" s="131" t="s">
        <v>21</v>
      </c>
      <c r="C8" s="135"/>
      <c r="D8" s="135"/>
      <c r="E8" s="135"/>
      <c r="F8" s="135"/>
      <c r="G8" s="207" t="s">
        <v>22</v>
      </c>
      <c r="H8" s="208"/>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22</v>
      </c>
      <c r="D10" s="142">
        <v>42</v>
      </c>
      <c r="E10" s="141">
        <v>312</v>
      </c>
      <c r="F10" s="142">
        <v>705</v>
      </c>
      <c r="G10" s="163">
        <f>SUM(C10+E10)</f>
        <v>334</v>
      </c>
      <c r="H10" s="142">
        <f>D10+F10</f>
        <v>747</v>
      </c>
      <c r="I10" s="139">
        <v>918</v>
      </c>
      <c r="J10" s="131"/>
      <c r="K10" s="131"/>
      <c r="L10" s="131"/>
      <c r="M10" s="131"/>
      <c r="N10" s="131"/>
    </row>
    <row r="11" spans="1:14">
      <c r="A11" s="131"/>
      <c r="B11" s="140" t="s">
        <v>29</v>
      </c>
      <c r="C11" s="141">
        <v>22</v>
      </c>
      <c r="D11" s="142">
        <v>49</v>
      </c>
      <c r="E11" s="141">
        <v>308</v>
      </c>
      <c r="F11" s="142">
        <v>699</v>
      </c>
      <c r="G11" s="163">
        <f t="shared" ref="G11:G39" si="0">SUM(C11+E11)</f>
        <v>330</v>
      </c>
      <c r="H11" s="142">
        <f t="shared" ref="H11:H14" si="1">D11+F11</f>
        <v>748</v>
      </c>
      <c r="I11" s="139">
        <v>918</v>
      </c>
      <c r="J11" s="131"/>
      <c r="K11" s="131"/>
      <c r="L11" s="131"/>
      <c r="M11" s="131"/>
      <c r="N11" s="131"/>
    </row>
    <row r="12" spans="1:14">
      <c r="A12" s="131"/>
      <c r="B12" s="140" t="s">
        <v>30</v>
      </c>
      <c r="C12" s="141">
        <v>25</v>
      </c>
      <c r="D12" s="142">
        <v>56</v>
      </c>
      <c r="E12" s="141">
        <v>307</v>
      </c>
      <c r="F12" s="142">
        <v>697</v>
      </c>
      <c r="G12" s="163">
        <f t="shared" si="0"/>
        <v>332</v>
      </c>
      <c r="H12" s="142">
        <f t="shared" si="1"/>
        <v>753</v>
      </c>
      <c r="I12" s="139">
        <v>918</v>
      </c>
      <c r="J12" s="131"/>
      <c r="K12" s="131"/>
      <c r="L12" s="131"/>
      <c r="M12" s="131"/>
      <c r="N12" s="131"/>
    </row>
    <row r="13" spans="1:14">
      <c r="A13" s="131"/>
      <c r="B13" s="140" t="s">
        <v>31</v>
      </c>
      <c r="C13" s="141">
        <v>26</v>
      </c>
      <c r="D13" s="142">
        <v>59</v>
      </c>
      <c r="E13" s="141">
        <v>307</v>
      </c>
      <c r="F13" s="142">
        <v>697</v>
      </c>
      <c r="G13" s="163">
        <f t="shared" si="0"/>
        <v>333</v>
      </c>
      <c r="H13" s="142">
        <f t="shared" si="1"/>
        <v>756</v>
      </c>
      <c r="I13" s="139">
        <v>918</v>
      </c>
      <c r="J13" s="131"/>
      <c r="K13" s="131"/>
      <c r="L13" s="131"/>
      <c r="M13" s="131"/>
      <c r="N13" s="131"/>
    </row>
    <row r="14" spans="1:14">
      <c r="A14" s="131"/>
      <c r="B14" s="140" t="s">
        <v>32</v>
      </c>
      <c r="C14" s="141">
        <v>55</v>
      </c>
      <c r="D14" s="142">
        <v>118</v>
      </c>
      <c r="E14" s="141">
        <v>307</v>
      </c>
      <c r="F14" s="142">
        <v>697</v>
      </c>
      <c r="G14" s="163">
        <f t="shared" si="0"/>
        <v>362</v>
      </c>
      <c r="H14" s="142">
        <f t="shared" si="1"/>
        <v>815</v>
      </c>
      <c r="I14" s="139">
        <v>918</v>
      </c>
      <c r="J14" s="131"/>
      <c r="K14" s="131"/>
      <c r="L14" s="131"/>
      <c r="M14" s="131"/>
      <c r="N14" s="131"/>
    </row>
    <row r="15" spans="1:14">
      <c r="A15" s="131"/>
      <c r="B15" s="140" t="s">
        <v>33</v>
      </c>
      <c r="C15" s="141">
        <v>25</v>
      </c>
      <c r="D15" s="142">
        <v>52</v>
      </c>
      <c r="E15" s="141">
        <v>303</v>
      </c>
      <c r="F15" s="142">
        <v>684</v>
      </c>
      <c r="G15" s="163">
        <f t="shared" si="0"/>
        <v>328</v>
      </c>
      <c r="H15" s="142">
        <f t="shared" ref="H15:H40" si="2">D15+F15</f>
        <v>736</v>
      </c>
      <c r="I15" s="139">
        <v>918</v>
      </c>
      <c r="J15" s="131"/>
      <c r="K15" s="131"/>
      <c r="L15" s="131"/>
      <c r="M15" s="131"/>
      <c r="N15" s="131"/>
    </row>
    <row r="16" spans="1:14">
      <c r="A16" s="131"/>
      <c r="B16" s="140" t="s">
        <v>34</v>
      </c>
      <c r="C16" s="141">
        <v>19</v>
      </c>
      <c r="D16" s="142">
        <v>37</v>
      </c>
      <c r="E16" s="141">
        <v>302</v>
      </c>
      <c r="F16" s="142">
        <v>681</v>
      </c>
      <c r="G16" s="163">
        <f t="shared" si="0"/>
        <v>321</v>
      </c>
      <c r="H16" s="142">
        <f t="shared" si="2"/>
        <v>718</v>
      </c>
      <c r="I16" s="139">
        <v>918</v>
      </c>
      <c r="J16" s="131"/>
      <c r="K16" s="131"/>
      <c r="L16" s="131"/>
      <c r="M16" s="131"/>
      <c r="N16" s="131"/>
    </row>
    <row r="17" spans="1:14">
      <c r="A17" s="131"/>
      <c r="B17" s="140" t="s">
        <v>35</v>
      </c>
      <c r="C17" s="141">
        <v>15</v>
      </c>
      <c r="D17" s="142">
        <v>26</v>
      </c>
      <c r="E17" s="141">
        <v>299</v>
      </c>
      <c r="F17" s="142">
        <v>673</v>
      </c>
      <c r="G17" s="163">
        <f t="shared" si="0"/>
        <v>314</v>
      </c>
      <c r="H17" s="142">
        <f t="shared" si="2"/>
        <v>699</v>
      </c>
      <c r="I17" s="139">
        <v>918</v>
      </c>
      <c r="J17" s="131"/>
      <c r="K17" s="131"/>
      <c r="L17" s="131"/>
      <c r="M17" s="131"/>
      <c r="N17" s="131"/>
    </row>
    <row r="18" spans="1:14">
      <c r="A18" s="131"/>
      <c r="B18" s="140" t="s">
        <v>36</v>
      </c>
      <c r="C18" s="141">
        <v>16</v>
      </c>
      <c r="D18" s="142">
        <v>29</v>
      </c>
      <c r="E18" s="141">
        <v>301</v>
      </c>
      <c r="F18" s="142">
        <v>677</v>
      </c>
      <c r="G18" s="163">
        <f t="shared" si="0"/>
        <v>317</v>
      </c>
      <c r="H18" s="142">
        <f t="shared" si="2"/>
        <v>706</v>
      </c>
      <c r="I18" s="139">
        <v>918</v>
      </c>
      <c r="J18" s="131"/>
      <c r="K18" s="131"/>
      <c r="L18" s="131"/>
      <c r="M18" s="131"/>
      <c r="N18" s="131"/>
    </row>
    <row r="19" spans="1:14">
      <c r="A19" s="131"/>
      <c r="B19" s="140" t="s">
        <v>37</v>
      </c>
      <c r="C19" s="141">
        <v>23</v>
      </c>
      <c r="D19" s="142">
        <v>41</v>
      </c>
      <c r="E19" s="141">
        <v>299</v>
      </c>
      <c r="F19" s="142">
        <v>673</v>
      </c>
      <c r="G19" s="163">
        <f t="shared" si="0"/>
        <v>322</v>
      </c>
      <c r="H19" s="142">
        <f t="shared" si="2"/>
        <v>714</v>
      </c>
      <c r="I19" s="139">
        <v>918</v>
      </c>
      <c r="J19" s="131"/>
      <c r="K19" s="131"/>
      <c r="L19" s="131"/>
      <c r="M19" s="131"/>
      <c r="N19" s="131"/>
    </row>
    <row r="20" spans="1:14">
      <c r="A20" s="131"/>
      <c r="B20" s="140" t="s">
        <v>38</v>
      </c>
      <c r="C20" s="141">
        <v>44</v>
      </c>
      <c r="D20" s="142">
        <v>81</v>
      </c>
      <c r="E20" s="141">
        <v>298</v>
      </c>
      <c r="F20" s="142">
        <v>673</v>
      </c>
      <c r="G20" s="163">
        <f t="shared" si="0"/>
        <v>342</v>
      </c>
      <c r="H20" s="142">
        <f t="shared" si="2"/>
        <v>754</v>
      </c>
      <c r="I20" s="139">
        <v>918</v>
      </c>
      <c r="J20" s="131"/>
      <c r="K20" s="131"/>
      <c r="L20" s="131"/>
      <c r="M20" s="131"/>
      <c r="N20" s="131"/>
    </row>
    <row r="21" spans="1:14">
      <c r="A21" s="131"/>
      <c r="B21" s="140" t="s">
        <v>39</v>
      </c>
      <c r="C21" s="141">
        <v>49</v>
      </c>
      <c r="D21" s="142">
        <v>96</v>
      </c>
      <c r="E21" s="163">
        <v>299</v>
      </c>
      <c r="F21" s="142">
        <v>677</v>
      </c>
      <c r="G21" s="163">
        <f t="shared" ref="G21:G34" si="3">SUM(C21+E21)</f>
        <v>348</v>
      </c>
      <c r="H21" s="142">
        <f t="shared" ref="H21:H34" si="4">D21+F21</f>
        <v>773</v>
      </c>
      <c r="I21" s="139">
        <v>918</v>
      </c>
      <c r="J21" s="131"/>
      <c r="K21" s="131"/>
      <c r="L21" s="131"/>
      <c r="M21" s="131"/>
      <c r="N21" s="131"/>
    </row>
    <row r="22" spans="1:14">
      <c r="A22" s="131"/>
      <c r="B22" s="140" t="s">
        <v>40</v>
      </c>
      <c r="C22" s="141">
        <v>44</v>
      </c>
      <c r="D22" s="142">
        <v>81</v>
      </c>
      <c r="E22" s="163">
        <v>296</v>
      </c>
      <c r="F22" s="142">
        <v>667</v>
      </c>
      <c r="G22" s="163">
        <f t="shared" si="3"/>
        <v>340</v>
      </c>
      <c r="H22" s="142">
        <f t="shared" si="4"/>
        <v>748</v>
      </c>
      <c r="I22" s="139">
        <v>918</v>
      </c>
      <c r="J22" s="131"/>
      <c r="K22" s="131"/>
      <c r="L22" s="131"/>
      <c r="M22" s="131"/>
      <c r="N22" s="131"/>
    </row>
    <row r="23" spans="1:14">
      <c r="A23" s="131"/>
      <c r="B23" s="140" t="s">
        <v>41</v>
      </c>
      <c r="C23" s="141">
        <v>21</v>
      </c>
      <c r="D23" s="142">
        <v>42</v>
      </c>
      <c r="E23" s="163">
        <v>296</v>
      </c>
      <c r="F23" s="142">
        <v>666</v>
      </c>
      <c r="G23" s="163">
        <f t="shared" si="3"/>
        <v>317</v>
      </c>
      <c r="H23" s="142">
        <f t="shared" si="4"/>
        <v>708</v>
      </c>
      <c r="I23" s="139">
        <v>918</v>
      </c>
      <c r="J23" s="131"/>
      <c r="K23" s="131"/>
      <c r="L23" s="131"/>
      <c r="M23" s="131"/>
      <c r="N23" s="131"/>
    </row>
    <row r="24" spans="1:14">
      <c r="A24" s="131"/>
      <c r="B24" s="140" t="s">
        <v>42</v>
      </c>
      <c r="C24" s="141">
        <v>31</v>
      </c>
      <c r="D24" s="142">
        <v>62</v>
      </c>
      <c r="E24" s="163">
        <v>295</v>
      </c>
      <c r="F24" s="142">
        <v>665</v>
      </c>
      <c r="G24" s="163">
        <f t="shared" si="3"/>
        <v>326</v>
      </c>
      <c r="H24" s="142">
        <f t="shared" si="4"/>
        <v>727</v>
      </c>
      <c r="I24" s="139">
        <v>918</v>
      </c>
      <c r="J24" s="131"/>
      <c r="K24" s="131"/>
      <c r="L24" s="131"/>
      <c r="M24" s="131"/>
      <c r="N24" s="131"/>
    </row>
    <row r="25" spans="1:14">
      <c r="A25" s="131"/>
      <c r="B25" s="140" t="s">
        <v>43</v>
      </c>
      <c r="C25" s="141">
        <v>16</v>
      </c>
      <c r="D25" s="142">
        <v>29</v>
      </c>
      <c r="E25" s="163">
        <v>293</v>
      </c>
      <c r="F25" s="142">
        <v>662</v>
      </c>
      <c r="G25" s="163">
        <f t="shared" si="3"/>
        <v>309</v>
      </c>
      <c r="H25" s="142">
        <f t="shared" si="4"/>
        <v>691</v>
      </c>
      <c r="I25" s="139">
        <v>918</v>
      </c>
      <c r="J25" s="131"/>
      <c r="K25" s="131"/>
      <c r="L25" s="131"/>
      <c r="M25" s="131"/>
      <c r="N25" s="131"/>
    </row>
    <row r="26" spans="1:14">
      <c r="A26" s="131"/>
      <c r="B26" s="140" t="s">
        <v>44</v>
      </c>
      <c r="C26" s="141">
        <v>22</v>
      </c>
      <c r="D26" s="142">
        <v>42</v>
      </c>
      <c r="E26" s="163">
        <v>290</v>
      </c>
      <c r="F26" s="142">
        <v>654</v>
      </c>
      <c r="G26" s="163">
        <f t="shared" si="3"/>
        <v>312</v>
      </c>
      <c r="H26" s="142">
        <f t="shared" si="4"/>
        <v>696</v>
      </c>
      <c r="I26" s="139">
        <v>918</v>
      </c>
      <c r="J26" s="131"/>
      <c r="K26" s="131"/>
      <c r="L26" s="131"/>
      <c r="M26" s="131"/>
      <c r="N26" s="131"/>
    </row>
    <row r="27" spans="1:14">
      <c r="A27" s="131"/>
      <c r="B27" s="140" t="s">
        <v>45</v>
      </c>
      <c r="C27" s="141">
        <v>36</v>
      </c>
      <c r="D27" s="142">
        <v>70</v>
      </c>
      <c r="E27" s="163">
        <v>288</v>
      </c>
      <c r="F27" s="142">
        <v>648</v>
      </c>
      <c r="G27" s="163">
        <f t="shared" si="3"/>
        <v>324</v>
      </c>
      <c r="H27" s="142">
        <f t="shared" si="4"/>
        <v>718</v>
      </c>
      <c r="I27" s="139">
        <v>918</v>
      </c>
      <c r="J27" s="131"/>
      <c r="K27" s="131"/>
      <c r="L27" s="131"/>
      <c r="M27" s="131"/>
      <c r="N27" s="131"/>
    </row>
    <row r="28" spans="1:14">
      <c r="A28" s="131"/>
      <c r="B28" s="140" t="s">
        <v>46</v>
      </c>
      <c r="C28" s="141">
        <v>64</v>
      </c>
      <c r="D28" s="142">
        <v>130</v>
      </c>
      <c r="E28" s="163">
        <v>288</v>
      </c>
      <c r="F28" s="142">
        <v>647</v>
      </c>
      <c r="G28" s="163">
        <f t="shared" si="3"/>
        <v>352</v>
      </c>
      <c r="H28" s="142">
        <f t="shared" si="4"/>
        <v>777</v>
      </c>
      <c r="I28" s="139">
        <v>918</v>
      </c>
      <c r="J28" s="131"/>
      <c r="K28" s="131"/>
      <c r="L28" s="131"/>
      <c r="M28" s="131"/>
      <c r="N28" s="131"/>
    </row>
    <row r="29" spans="1:14">
      <c r="A29" s="131"/>
      <c r="B29" s="140" t="s">
        <v>47</v>
      </c>
      <c r="C29" s="141">
        <v>41</v>
      </c>
      <c r="D29" s="142">
        <v>79</v>
      </c>
      <c r="E29" s="163">
        <v>289</v>
      </c>
      <c r="F29" s="142">
        <v>644</v>
      </c>
      <c r="G29" s="163">
        <f t="shared" si="3"/>
        <v>330</v>
      </c>
      <c r="H29" s="142">
        <f t="shared" si="4"/>
        <v>723</v>
      </c>
      <c r="I29" s="139">
        <v>918</v>
      </c>
      <c r="J29" s="131"/>
      <c r="K29" s="131"/>
      <c r="L29" s="131"/>
      <c r="M29" s="131"/>
      <c r="N29" s="131"/>
    </row>
    <row r="30" spans="1:14">
      <c r="A30" s="131"/>
      <c r="B30" s="140" t="s">
        <v>48</v>
      </c>
      <c r="C30" s="141">
        <v>29</v>
      </c>
      <c r="D30" s="142">
        <v>58</v>
      </c>
      <c r="E30" s="163">
        <v>288</v>
      </c>
      <c r="F30" s="142">
        <v>642</v>
      </c>
      <c r="G30" s="163">
        <f t="shared" si="3"/>
        <v>317</v>
      </c>
      <c r="H30" s="142">
        <f t="shared" si="4"/>
        <v>700</v>
      </c>
      <c r="I30" s="139">
        <v>918</v>
      </c>
      <c r="J30" s="131"/>
      <c r="K30" s="131"/>
      <c r="L30" s="131"/>
      <c r="M30" s="131"/>
      <c r="N30" s="131"/>
    </row>
    <row r="31" spans="1:14">
      <c r="A31" s="131"/>
      <c r="B31" s="140" t="s">
        <v>49</v>
      </c>
      <c r="C31" s="141">
        <v>25</v>
      </c>
      <c r="D31" s="142">
        <v>47</v>
      </c>
      <c r="E31" s="163">
        <v>288</v>
      </c>
      <c r="F31" s="142">
        <v>642</v>
      </c>
      <c r="G31" s="163">
        <f t="shared" si="3"/>
        <v>313</v>
      </c>
      <c r="H31" s="142">
        <f t="shared" si="4"/>
        <v>689</v>
      </c>
      <c r="I31" s="139">
        <v>918</v>
      </c>
      <c r="J31" s="131"/>
      <c r="K31" s="131"/>
      <c r="L31" s="131"/>
      <c r="M31" s="131"/>
      <c r="N31" s="131"/>
    </row>
    <row r="32" spans="1:14">
      <c r="A32" s="131"/>
      <c r="B32" s="140" t="s">
        <v>50</v>
      </c>
      <c r="C32" s="141">
        <v>34</v>
      </c>
      <c r="D32" s="142">
        <v>72</v>
      </c>
      <c r="E32" s="163">
        <v>285</v>
      </c>
      <c r="F32" s="142">
        <v>632</v>
      </c>
      <c r="G32" s="163">
        <f t="shared" si="3"/>
        <v>319</v>
      </c>
      <c r="H32" s="142">
        <f t="shared" si="4"/>
        <v>704</v>
      </c>
      <c r="I32" s="139">
        <v>918</v>
      </c>
      <c r="J32" s="131"/>
      <c r="K32" s="131"/>
      <c r="L32" s="131"/>
      <c r="M32" s="131"/>
      <c r="N32" s="131"/>
    </row>
    <row r="33" spans="1:14">
      <c r="A33" s="131"/>
      <c r="B33" s="140" t="s">
        <v>51</v>
      </c>
      <c r="C33" s="141">
        <v>44</v>
      </c>
      <c r="D33" s="142">
        <v>88</v>
      </c>
      <c r="E33" s="163">
        <v>283</v>
      </c>
      <c r="F33" s="142">
        <v>622</v>
      </c>
      <c r="G33" s="163">
        <f t="shared" si="3"/>
        <v>327</v>
      </c>
      <c r="H33" s="142">
        <f t="shared" si="4"/>
        <v>710</v>
      </c>
      <c r="I33" s="139">
        <v>918</v>
      </c>
      <c r="J33" s="131"/>
      <c r="K33" s="131"/>
      <c r="L33" s="131"/>
      <c r="M33" s="131"/>
      <c r="N33" s="131"/>
    </row>
    <row r="34" spans="1:14">
      <c r="A34" s="131"/>
      <c r="B34" s="140" t="s">
        <v>52</v>
      </c>
      <c r="C34" s="141">
        <v>51</v>
      </c>
      <c r="D34" s="142">
        <v>105</v>
      </c>
      <c r="E34" s="163">
        <v>283</v>
      </c>
      <c r="F34" s="142">
        <v>622</v>
      </c>
      <c r="G34" s="163">
        <f t="shared" si="3"/>
        <v>334</v>
      </c>
      <c r="H34" s="142">
        <f t="shared" si="4"/>
        <v>727</v>
      </c>
      <c r="I34" s="139">
        <v>918</v>
      </c>
      <c r="J34" s="131"/>
      <c r="K34" s="131"/>
      <c r="L34" s="131"/>
      <c r="M34" s="131"/>
      <c r="N34" s="131"/>
    </row>
    <row r="35" spans="1:14">
      <c r="A35" s="131"/>
      <c r="B35" s="140" t="s">
        <v>53</v>
      </c>
      <c r="C35" s="141">
        <v>91</v>
      </c>
      <c r="D35" s="142">
        <v>203</v>
      </c>
      <c r="E35" s="141">
        <v>281</v>
      </c>
      <c r="F35" s="142">
        <v>619</v>
      </c>
      <c r="G35" s="163">
        <f t="shared" si="0"/>
        <v>372</v>
      </c>
      <c r="H35" s="142">
        <f t="shared" si="2"/>
        <v>822</v>
      </c>
      <c r="I35" s="139">
        <v>918</v>
      </c>
      <c r="J35" s="131"/>
      <c r="K35" s="131"/>
      <c r="L35" s="131"/>
      <c r="M35" s="131"/>
      <c r="N35" s="131"/>
    </row>
    <row r="36" spans="1:14">
      <c r="A36" s="131"/>
      <c r="B36" s="140" t="s">
        <v>54</v>
      </c>
      <c r="C36" s="141">
        <v>65</v>
      </c>
      <c r="D36" s="142">
        <v>134</v>
      </c>
      <c r="E36" s="141">
        <v>282</v>
      </c>
      <c r="F36" s="142">
        <v>620</v>
      </c>
      <c r="G36" s="163">
        <f t="shared" si="0"/>
        <v>347</v>
      </c>
      <c r="H36" s="142">
        <f t="shared" si="2"/>
        <v>754</v>
      </c>
      <c r="I36" s="139">
        <v>918</v>
      </c>
      <c r="J36" s="131"/>
      <c r="K36" s="131"/>
      <c r="L36" s="131"/>
      <c r="M36" s="131"/>
      <c r="N36" s="131"/>
    </row>
    <row r="37" spans="1:14">
      <c r="A37" s="131"/>
      <c r="B37" s="140" t="s">
        <v>55</v>
      </c>
      <c r="C37" s="141">
        <v>42</v>
      </c>
      <c r="D37" s="142">
        <v>87</v>
      </c>
      <c r="E37" s="141">
        <v>281</v>
      </c>
      <c r="F37" s="142">
        <v>620</v>
      </c>
      <c r="G37" s="163">
        <f t="shared" si="0"/>
        <v>323</v>
      </c>
      <c r="H37" s="142">
        <f t="shared" si="2"/>
        <v>707</v>
      </c>
      <c r="I37" s="139">
        <v>918</v>
      </c>
      <c r="J37" s="131"/>
      <c r="K37" s="131"/>
      <c r="L37" s="131"/>
      <c r="M37" s="131"/>
      <c r="N37" s="131"/>
    </row>
    <row r="38" spans="1:14" s="176" customFormat="1">
      <c r="A38" s="170"/>
      <c r="B38" s="171" t="s">
        <v>56</v>
      </c>
      <c r="C38" s="172">
        <v>52</v>
      </c>
      <c r="D38" s="142">
        <v>114</v>
      </c>
      <c r="E38" s="172">
        <v>282</v>
      </c>
      <c r="F38" s="173">
        <v>622</v>
      </c>
      <c r="G38" s="174">
        <f t="shared" si="0"/>
        <v>334</v>
      </c>
      <c r="H38" s="173">
        <f t="shared" si="2"/>
        <v>736</v>
      </c>
      <c r="I38" s="175">
        <v>918</v>
      </c>
      <c r="J38" s="170"/>
      <c r="K38" s="170"/>
      <c r="L38" s="170"/>
      <c r="M38" s="170"/>
      <c r="N38" s="170"/>
    </row>
    <row r="39" spans="1:14" s="176" customFormat="1">
      <c r="A39" s="170"/>
      <c r="B39" s="171" t="s">
        <v>57</v>
      </c>
      <c r="C39" s="172">
        <v>57</v>
      </c>
      <c r="D39" s="173">
        <v>108</v>
      </c>
      <c r="E39" s="172">
        <v>282</v>
      </c>
      <c r="F39" s="173">
        <v>622</v>
      </c>
      <c r="G39" s="174">
        <f t="shared" si="0"/>
        <v>339</v>
      </c>
      <c r="H39" s="173">
        <f t="shared" si="2"/>
        <v>730</v>
      </c>
      <c r="I39" s="175">
        <v>918</v>
      </c>
      <c r="J39" s="170"/>
      <c r="K39" s="170"/>
      <c r="L39" s="170"/>
      <c r="M39" s="170"/>
      <c r="N39" s="170"/>
    </row>
    <row r="40" spans="1:14" s="176" customFormat="1" ht="15.75" thickBot="1">
      <c r="A40" s="170"/>
      <c r="B40" s="171" t="s">
        <v>58</v>
      </c>
      <c r="C40" s="177">
        <v>67</v>
      </c>
      <c r="D40" s="178">
        <v>137</v>
      </c>
      <c r="E40" s="177">
        <v>273</v>
      </c>
      <c r="F40" s="178">
        <v>604</v>
      </c>
      <c r="G40" s="179">
        <f>SUM(C40+E40)</f>
        <v>340</v>
      </c>
      <c r="H40" s="178">
        <f t="shared" si="2"/>
        <v>741</v>
      </c>
      <c r="I40" s="175">
        <v>918</v>
      </c>
      <c r="J40" s="170"/>
      <c r="K40" s="170"/>
      <c r="L40" s="170"/>
      <c r="M40" s="170"/>
      <c r="N40" s="170"/>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26824.399999999994</v>
      </c>
      <c r="F2" s="100"/>
      <c r="G2" s="100">
        <f>'Athens Daily - Gas'!BH9</f>
        <v>110505.59999999999</v>
      </c>
      <c r="H2" s="100">
        <f>G2/38.3</f>
        <v>2885.2637075718017</v>
      </c>
      <c r="I2" s="100"/>
      <c r="J2" s="100">
        <f>'Athens Daily - Water'!R7</f>
        <v>320.52880000000005</v>
      </c>
      <c r="K2" s="100"/>
      <c r="L2" s="101">
        <v>142</v>
      </c>
      <c r="M2" s="100">
        <f>L2*2</f>
        <v>284</v>
      </c>
      <c r="N2" s="98">
        <v>10</v>
      </c>
    </row>
    <row r="3" spans="1:14">
      <c r="A3" s="7" t="s">
        <v>14</v>
      </c>
      <c r="B3" s="7">
        <v>2</v>
      </c>
      <c r="C3" s="7">
        <v>1</v>
      </c>
      <c r="D3" s="7">
        <v>2021</v>
      </c>
      <c r="E3" s="100">
        <f>'Athens Daily - EL'!AP9</f>
        <v>26926.799999999999</v>
      </c>
      <c r="F3" s="100"/>
      <c r="G3" s="100">
        <f>'Athens Daily - Gas'!BH10</f>
        <v>89030.399999999994</v>
      </c>
      <c r="H3" s="100">
        <f t="shared" ref="H3:H32" si="0">G3/38.3</f>
        <v>2324.5535248041774</v>
      </c>
      <c r="I3" s="100"/>
      <c r="J3" s="100">
        <f>'Athens Daily - Water'!R8</f>
        <v>288.19740000000127</v>
      </c>
      <c r="K3" s="100"/>
      <c r="L3" s="101">
        <v>102</v>
      </c>
      <c r="M3" s="100">
        <f t="shared" ref="M3:M32" si="1">L3*2</f>
        <v>204</v>
      </c>
      <c r="N3" s="98">
        <v>12</v>
      </c>
    </row>
    <row r="4" spans="1:14">
      <c r="A4" s="7" t="s">
        <v>14</v>
      </c>
      <c r="B4" s="7">
        <v>3</v>
      </c>
      <c r="C4" s="7">
        <v>1</v>
      </c>
      <c r="D4" s="7">
        <v>2021</v>
      </c>
      <c r="E4" s="100">
        <f>'Athens Daily - EL'!AP10</f>
        <v>26164.399999999998</v>
      </c>
      <c r="F4" s="100"/>
      <c r="G4" s="100">
        <f>'Athens Daily - Gas'!BH11</f>
        <v>92956.799999999988</v>
      </c>
      <c r="H4" s="100">
        <f t="shared" si="0"/>
        <v>2427.070496083551</v>
      </c>
      <c r="I4" s="100"/>
      <c r="J4" s="100">
        <f>'Athens Daily - Water'!R9</f>
        <v>240.60809999999947</v>
      </c>
      <c r="K4" s="100"/>
      <c r="L4" s="101">
        <v>55</v>
      </c>
      <c r="M4" s="100">
        <f t="shared" si="1"/>
        <v>110</v>
      </c>
      <c r="N4" s="98">
        <v>15</v>
      </c>
    </row>
    <row r="5" spans="1:14">
      <c r="A5" s="7" t="s">
        <v>14</v>
      </c>
      <c r="B5" s="7">
        <v>4</v>
      </c>
      <c r="C5" s="7">
        <v>1</v>
      </c>
      <c r="D5" s="7">
        <v>2021</v>
      </c>
      <c r="E5" s="100">
        <f>'Athens Daily - EL'!AP11</f>
        <v>28001.599999999995</v>
      </c>
      <c r="F5" s="100"/>
      <c r="G5" s="100">
        <f>'Athens Daily - Gas'!BH12</f>
        <v>88771.199999999997</v>
      </c>
      <c r="H5" s="100">
        <f t="shared" si="0"/>
        <v>2317.7859007832899</v>
      </c>
      <c r="I5" s="100"/>
      <c r="J5" s="100">
        <f>'Athens Daily - Water'!R10</f>
        <v>245.84088000000048</v>
      </c>
      <c r="K5" s="100"/>
      <c r="L5" s="101">
        <v>45</v>
      </c>
      <c r="M5" s="100">
        <f t="shared" si="1"/>
        <v>90</v>
      </c>
      <c r="N5" s="98">
        <v>17</v>
      </c>
    </row>
    <row r="6" spans="1:14">
      <c r="A6" s="7" t="s">
        <v>14</v>
      </c>
      <c r="B6" s="7">
        <v>5</v>
      </c>
      <c r="C6" s="7">
        <v>1</v>
      </c>
      <c r="D6" s="7">
        <v>2021</v>
      </c>
      <c r="E6" s="100">
        <f>'Athens Daily - EL'!AP12</f>
        <v>27337.199999999997</v>
      </c>
      <c r="F6" s="100"/>
      <c r="G6" s="100">
        <f>'Athens Daily - Gas'!BH13</f>
        <v>73833.600000000006</v>
      </c>
      <c r="H6" s="100">
        <f t="shared" si="0"/>
        <v>1927.7702349869455</v>
      </c>
      <c r="I6" s="100"/>
      <c r="J6" s="100">
        <f>'Athens Daily - Water'!R11</f>
        <v>261.5</v>
      </c>
      <c r="K6" s="100"/>
      <c r="L6" s="101">
        <v>34</v>
      </c>
      <c r="M6" s="100">
        <f t="shared" si="1"/>
        <v>68</v>
      </c>
      <c r="N6" s="98">
        <v>15</v>
      </c>
    </row>
    <row r="7" spans="1:14">
      <c r="A7" s="7" t="s">
        <v>14</v>
      </c>
      <c r="B7" s="7">
        <v>6</v>
      </c>
      <c r="C7" s="7">
        <v>1</v>
      </c>
      <c r="D7" s="7">
        <v>2021</v>
      </c>
      <c r="E7" s="100">
        <f>'Athens Daily - EL'!AP13</f>
        <v>26762.799999999999</v>
      </c>
      <c r="F7" s="100"/>
      <c r="G7" s="100">
        <f>'Athens Daily - Gas'!BH14</f>
        <v>112406.39999999999</v>
      </c>
      <c r="H7" s="100">
        <f t="shared" si="0"/>
        <v>2934.8929503916452</v>
      </c>
      <c r="I7" s="100"/>
      <c r="J7" s="100">
        <f>'Athens Daily - Water'!R12</f>
        <v>296.8</v>
      </c>
      <c r="K7" s="100"/>
      <c r="L7" s="101">
        <v>36</v>
      </c>
      <c r="M7" s="100">
        <f t="shared" si="1"/>
        <v>72</v>
      </c>
      <c r="N7" s="98"/>
    </row>
    <row r="8" spans="1:14">
      <c r="A8" s="7" t="s">
        <v>14</v>
      </c>
      <c r="B8" s="7">
        <v>7</v>
      </c>
      <c r="C8" s="7">
        <v>1</v>
      </c>
      <c r="D8" s="7">
        <v>2021</v>
      </c>
      <c r="E8" s="100">
        <f>'Athens Daily - EL'!AP14</f>
        <v>26800.000000000004</v>
      </c>
      <c r="F8" s="100"/>
      <c r="G8" s="100">
        <f>'Athens Daily - Gas'!BH15</f>
        <v>92121.600000000006</v>
      </c>
      <c r="H8" s="100">
        <f t="shared" si="0"/>
        <v>2405.2637075718021</v>
      </c>
      <c r="I8" s="100"/>
      <c r="J8" s="100">
        <f>'Athens Daily - Water'!R13</f>
        <v>290.60000000000002</v>
      </c>
      <c r="K8" s="100"/>
      <c r="L8" s="101">
        <v>60</v>
      </c>
      <c r="M8" s="100">
        <f t="shared" si="1"/>
        <v>120</v>
      </c>
      <c r="N8" s="98"/>
    </row>
    <row r="9" spans="1:14">
      <c r="A9" s="7" t="s">
        <v>14</v>
      </c>
      <c r="B9" s="7">
        <v>8</v>
      </c>
      <c r="C9" s="7">
        <v>1</v>
      </c>
      <c r="D9" s="7">
        <v>2021</v>
      </c>
      <c r="E9" s="100">
        <f>'Athens Daily - EL'!AP15</f>
        <v>25238.399999999998</v>
      </c>
      <c r="F9" s="100"/>
      <c r="G9" s="100">
        <f>'Athens Daily - Gas'!BH16</f>
        <v>90076.799999999988</v>
      </c>
      <c r="H9" s="100">
        <f t="shared" si="0"/>
        <v>2351.8746736292428</v>
      </c>
      <c r="I9" s="100"/>
      <c r="J9" s="100">
        <f>'Athens Daily - Water'!R14</f>
        <v>332.61352000000005</v>
      </c>
      <c r="K9" s="100"/>
      <c r="L9" s="101">
        <v>64</v>
      </c>
      <c r="M9" s="100">
        <f t="shared" si="1"/>
        <v>128</v>
      </c>
      <c r="N9" s="98"/>
    </row>
    <row r="10" spans="1:14">
      <c r="A10" s="7" t="s">
        <v>14</v>
      </c>
      <c r="B10" s="7">
        <v>9</v>
      </c>
      <c r="C10" s="7">
        <v>1</v>
      </c>
      <c r="D10" s="7">
        <v>2021</v>
      </c>
      <c r="E10" s="100">
        <f>'Athens Daily - EL'!AP16</f>
        <v>26081.600000000002</v>
      </c>
      <c r="F10" s="100"/>
      <c r="G10" s="100">
        <f>'Athens Daily - Gas'!BH17</f>
        <v>77827.199999999997</v>
      </c>
      <c r="H10" s="100">
        <f t="shared" si="0"/>
        <v>2032.0417754569191</v>
      </c>
      <c r="I10" s="100"/>
      <c r="J10" s="100">
        <f>'Athens Daily - Water'!R15</f>
        <v>265.20999999999839</v>
      </c>
      <c r="K10" s="100"/>
      <c r="L10" s="101">
        <v>100</v>
      </c>
      <c r="M10" s="100">
        <f t="shared" si="1"/>
        <v>200</v>
      </c>
      <c r="N10" s="98">
        <v>9</v>
      </c>
    </row>
    <row r="11" spans="1:14">
      <c r="A11" s="7" t="s">
        <v>14</v>
      </c>
      <c r="B11" s="7">
        <v>10</v>
      </c>
      <c r="C11" s="7">
        <v>1</v>
      </c>
      <c r="D11" s="7">
        <v>2021</v>
      </c>
      <c r="E11" s="100">
        <f>'Athens Daily - EL'!AP17</f>
        <v>27134.799999999996</v>
      </c>
      <c r="F11" s="100"/>
      <c r="G11" s="100">
        <f>'Athens Daily - Gas'!BH18</f>
        <v>77376</v>
      </c>
      <c r="H11" s="100">
        <f t="shared" si="0"/>
        <v>2020.2610966057443</v>
      </c>
      <c r="I11" s="100"/>
      <c r="J11" s="100">
        <f>'Athens Daily - Water'!R16</f>
        <v>256.30000000000143</v>
      </c>
      <c r="K11" s="100"/>
      <c r="L11" s="101">
        <v>63</v>
      </c>
      <c r="M11" s="100">
        <f t="shared" si="1"/>
        <v>126</v>
      </c>
      <c r="N11" s="98">
        <v>12</v>
      </c>
    </row>
    <row r="12" spans="1:14">
      <c r="A12" s="7" t="s">
        <v>14</v>
      </c>
      <c r="B12" s="7">
        <v>11</v>
      </c>
      <c r="C12" s="7">
        <v>1</v>
      </c>
      <c r="D12" s="7">
        <v>2021</v>
      </c>
      <c r="E12" s="100">
        <f>'Athens Daily - EL'!AP18</f>
        <v>29323.200000000001</v>
      </c>
      <c r="F12" s="100"/>
      <c r="G12" s="100">
        <f>'Athens Daily - Gas'!BH19</f>
        <v>80323.199999999997</v>
      </c>
      <c r="H12" s="100">
        <f t="shared" si="0"/>
        <v>2097.211488250653</v>
      </c>
      <c r="I12" s="100"/>
      <c r="J12" s="100">
        <f>'Athens Daily - Water'!R17</f>
        <v>273.3999999999993</v>
      </c>
      <c r="K12" s="100"/>
      <c r="L12" s="101">
        <v>39</v>
      </c>
      <c r="M12" s="100">
        <f t="shared" si="1"/>
        <v>78</v>
      </c>
      <c r="N12" s="98">
        <v>12</v>
      </c>
    </row>
    <row r="13" spans="1:14">
      <c r="A13" s="7" t="s">
        <v>14</v>
      </c>
      <c r="B13" s="7">
        <v>12</v>
      </c>
      <c r="C13" s="7">
        <v>1</v>
      </c>
      <c r="D13" s="7">
        <v>2021</v>
      </c>
      <c r="E13" s="100">
        <f>'Athens Daily - EL'!AP19</f>
        <v>28425.200000000001</v>
      </c>
      <c r="F13" s="100"/>
      <c r="G13" s="100">
        <f>'Athens Daily - Gas'!BH20</f>
        <v>87609.600000000006</v>
      </c>
      <c r="H13" s="100">
        <f t="shared" si="0"/>
        <v>2287.4569190600523</v>
      </c>
      <c r="I13" s="100"/>
      <c r="J13" s="100">
        <f>'Athens Daily - Water'!R18</f>
        <v>282.46699999999981</v>
      </c>
      <c r="K13" s="100"/>
      <c r="L13" s="101">
        <v>43</v>
      </c>
      <c r="M13" s="100">
        <f t="shared" si="1"/>
        <v>86</v>
      </c>
      <c r="N13" s="98">
        <v>10</v>
      </c>
    </row>
    <row r="14" spans="1:14">
      <c r="A14" s="7" t="s">
        <v>14</v>
      </c>
      <c r="B14" s="7">
        <v>13</v>
      </c>
      <c r="C14" s="7">
        <v>1</v>
      </c>
      <c r="D14" s="7">
        <v>2021</v>
      </c>
      <c r="E14" s="100">
        <f>'Athens Daily - EL'!AP20</f>
        <v>30234.399999999998</v>
      </c>
      <c r="F14" s="100"/>
      <c r="G14" s="100">
        <f>'Athens Daily - Gas'!BH21</f>
        <v>89203.199999999997</v>
      </c>
      <c r="H14" s="100">
        <f t="shared" si="0"/>
        <v>2329.0652741514359</v>
      </c>
      <c r="I14" s="100"/>
      <c r="J14" s="100">
        <f>'Athens Daily - Water'!R19</f>
        <v>294.05</v>
      </c>
      <c r="K14" s="100"/>
      <c r="L14" s="101">
        <v>46</v>
      </c>
      <c r="M14" s="100">
        <f t="shared" si="1"/>
        <v>92</v>
      </c>
      <c r="N14" s="98">
        <v>12</v>
      </c>
    </row>
    <row r="15" spans="1:14">
      <c r="A15" s="7" t="s">
        <v>14</v>
      </c>
      <c r="B15" s="7">
        <v>14</v>
      </c>
      <c r="C15" s="7">
        <v>1</v>
      </c>
      <c r="D15" s="7">
        <v>2021</v>
      </c>
      <c r="E15" s="100">
        <f>'Athens Daily - EL'!AP21</f>
        <v>30060.399999999994</v>
      </c>
      <c r="F15" s="100"/>
      <c r="G15" s="100">
        <f>'Athens Daily - Gas'!BH22</f>
        <v>92764.799999999988</v>
      </c>
      <c r="H15" s="100">
        <f t="shared" si="0"/>
        <v>2422.0574412532637</v>
      </c>
      <c r="I15" s="100"/>
      <c r="J15" s="100">
        <f>'Athens Daily - Water'!R20</f>
        <v>277.56419999999997</v>
      </c>
      <c r="K15" s="100"/>
      <c r="L15" s="101">
        <v>55</v>
      </c>
      <c r="M15" s="100">
        <f t="shared" si="1"/>
        <v>110</v>
      </c>
      <c r="N15" s="98">
        <v>13</v>
      </c>
    </row>
    <row r="16" spans="1:14">
      <c r="A16" s="7" t="s">
        <v>14</v>
      </c>
      <c r="B16" s="7">
        <v>15</v>
      </c>
      <c r="C16" s="7">
        <v>1</v>
      </c>
      <c r="D16" s="7">
        <v>2021</v>
      </c>
      <c r="E16" s="100">
        <f>'Athens Daily - EL'!AP22</f>
        <v>31239.199999999997</v>
      </c>
      <c r="F16" s="100"/>
      <c r="G16" s="100">
        <f>'Athens Daily - Gas'!BH23</f>
        <v>88406.399999999994</v>
      </c>
      <c r="H16" s="100">
        <f t="shared" si="0"/>
        <v>2308.2610966057441</v>
      </c>
      <c r="I16" s="100"/>
      <c r="J16" s="100">
        <f>'Athens Daily - Water'!R21</f>
        <v>266.67359999999934</v>
      </c>
      <c r="K16" s="100"/>
      <c r="L16" s="101">
        <v>74</v>
      </c>
      <c r="M16" s="100">
        <f t="shared" si="1"/>
        <v>148</v>
      </c>
      <c r="N16" s="98">
        <v>13</v>
      </c>
    </row>
    <row r="17" spans="1:14">
      <c r="A17" s="7" t="s">
        <v>14</v>
      </c>
      <c r="B17" s="7">
        <v>16</v>
      </c>
      <c r="C17" s="7">
        <v>1</v>
      </c>
      <c r="D17" s="7">
        <v>2021</v>
      </c>
      <c r="E17" s="100">
        <f>'Athens Daily - EL'!AP23</f>
        <v>30301.999999999996</v>
      </c>
      <c r="F17" s="100"/>
      <c r="G17" s="100">
        <f>'Athens Daily - Gas'!BH24</f>
        <v>82627.199999999997</v>
      </c>
      <c r="H17" s="100">
        <f t="shared" si="0"/>
        <v>2157.3681462140994</v>
      </c>
      <c r="I17" s="100"/>
      <c r="J17" s="100">
        <f>'Athens Daily - Water'!R22</f>
        <v>310.23840000000052</v>
      </c>
      <c r="K17" s="100"/>
      <c r="L17" s="101">
        <v>149</v>
      </c>
      <c r="M17" s="100">
        <f t="shared" si="1"/>
        <v>298</v>
      </c>
      <c r="N17" s="102"/>
    </row>
    <row r="18" spans="1:14">
      <c r="A18" s="7" t="s">
        <v>14</v>
      </c>
      <c r="B18" s="7">
        <v>17</v>
      </c>
      <c r="C18" s="7">
        <v>1</v>
      </c>
      <c r="D18" s="7">
        <v>2021</v>
      </c>
      <c r="E18" s="100">
        <f>'Athens Daily - EL'!AP24</f>
        <v>30882</v>
      </c>
      <c r="F18" s="100"/>
      <c r="G18" s="100">
        <f>'Athens Daily - Gas'!BH25</f>
        <v>88045.728000000017</v>
      </c>
      <c r="H18" s="100">
        <f t="shared" si="0"/>
        <v>2298.84407310705</v>
      </c>
      <c r="I18" s="100"/>
      <c r="J18" s="100">
        <f>'Athens Daily - Water'!R23</f>
        <v>263.60226666666676</v>
      </c>
      <c r="K18" s="100"/>
      <c r="L18" s="101">
        <v>64</v>
      </c>
      <c r="M18" s="100">
        <f t="shared" si="1"/>
        <v>128</v>
      </c>
      <c r="N18" s="102"/>
    </row>
    <row r="19" spans="1:14">
      <c r="A19" s="7" t="s">
        <v>14</v>
      </c>
      <c r="B19" s="7">
        <v>18</v>
      </c>
      <c r="C19" s="7">
        <v>1</v>
      </c>
      <c r="D19" s="7">
        <v>2021</v>
      </c>
      <c r="E19" s="100">
        <f>'Athens Daily - EL'!AP25</f>
        <v>32645.599999999999</v>
      </c>
      <c r="F19" s="100"/>
      <c r="G19" s="100">
        <f>'Athens Daily - Gas'!BH26</f>
        <v>90878.687999999995</v>
      </c>
      <c r="H19" s="100">
        <f t="shared" si="0"/>
        <v>2372.8116971279374</v>
      </c>
      <c r="I19" s="100"/>
      <c r="J19" s="100">
        <f>'Athens Daily - Water'!R24</f>
        <v>315.85000000000002</v>
      </c>
      <c r="K19" s="100"/>
      <c r="L19" s="101">
        <v>58</v>
      </c>
      <c r="M19" s="100">
        <f t="shared" si="1"/>
        <v>116</v>
      </c>
      <c r="N19" s="102"/>
    </row>
    <row r="20" spans="1:14">
      <c r="A20" s="7" t="s">
        <v>14</v>
      </c>
      <c r="B20" s="7">
        <v>19</v>
      </c>
      <c r="C20" s="7">
        <v>1</v>
      </c>
      <c r="D20" s="7">
        <v>2021</v>
      </c>
      <c r="E20" s="100">
        <f>'Athens Daily - EL'!AP26</f>
        <v>31774.799999999999</v>
      </c>
      <c r="F20" s="100"/>
      <c r="G20" s="100">
        <f>'Athens Daily - Gas'!BH27</f>
        <v>85944</v>
      </c>
      <c r="H20" s="100">
        <f t="shared" si="0"/>
        <v>2243.9686684073108</v>
      </c>
      <c r="I20" s="100"/>
      <c r="J20" s="100">
        <f>'Athens Daily - Water'!R25</f>
        <v>261.35453333333351</v>
      </c>
      <c r="K20" s="100"/>
      <c r="L20" s="101">
        <v>69</v>
      </c>
      <c r="M20" s="100">
        <f t="shared" si="1"/>
        <v>138</v>
      </c>
      <c r="N20" s="102"/>
    </row>
    <row r="21" spans="1:14">
      <c r="A21" s="7" t="s">
        <v>14</v>
      </c>
      <c r="B21" s="7">
        <v>20</v>
      </c>
      <c r="C21" s="7">
        <v>1</v>
      </c>
      <c r="D21" s="7">
        <v>2021</v>
      </c>
      <c r="E21" s="100">
        <f>'Athens Daily - EL'!AP27</f>
        <v>30931.199999999997</v>
      </c>
      <c r="F21" s="100"/>
      <c r="G21" s="100">
        <f>'Athens Daily - Gas'!BH28</f>
        <v>92505.600000000006</v>
      </c>
      <c r="H21" s="100">
        <f t="shared" si="0"/>
        <v>2415.2898172323762</v>
      </c>
      <c r="I21" s="100"/>
      <c r="J21" s="100">
        <f>'Athens Daily - Water'!R26</f>
        <v>358.15</v>
      </c>
      <c r="K21" s="100"/>
      <c r="L21" s="101">
        <v>42</v>
      </c>
      <c r="M21" s="100">
        <f t="shared" si="1"/>
        <v>84</v>
      </c>
      <c r="N21" s="98"/>
    </row>
    <row r="22" spans="1:14">
      <c r="A22" s="7" t="s">
        <v>14</v>
      </c>
      <c r="B22" s="7">
        <v>21</v>
      </c>
      <c r="C22" s="7">
        <v>1</v>
      </c>
      <c r="D22" s="7">
        <v>2021</v>
      </c>
      <c r="E22" s="100">
        <f>'Athens Daily - EL'!AP28</f>
        <v>29840.399999999998</v>
      </c>
      <c r="F22" s="100"/>
      <c r="G22" s="100">
        <f>'Athens Daily - Gas'!BH29</f>
        <v>89337.600000000006</v>
      </c>
      <c r="H22" s="100">
        <f t="shared" si="0"/>
        <v>2332.5744125326373</v>
      </c>
      <c r="I22" s="100"/>
      <c r="J22" s="100">
        <f>'Athens Daily - Water'!R27</f>
        <v>347.5</v>
      </c>
      <c r="K22" s="100"/>
      <c r="L22" s="101">
        <v>45</v>
      </c>
      <c r="M22" s="100">
        <f t="shared" si="1"/>
        <v>90</v>
      </c>
      <c r="N22" s="98"/>
    </row>
    <row r="23" spans="1:14">
      <c r="A23" s="7" t="s">
        <v>14</v>
      </c>
      <c r="B23" s="7">
        <v>22</v>
      </c>
      <c r="C23" s="7">
        <v>1</v>
      </c>
      <c r="D23" s="7">
        <v>2021</v>
      </c>
      <c r="E23" s="100">
        <f>'Athens Daily - EL'!AP29</f>
        <v>32510.799999999999</v>
      </c>
      <c r="F23" s="100"/>
      <c r="G23" s="100">
        <f>'Athens Daily - Gas'!BH30</f>
        <v>88867.199999999997</v>
      </c>
      <c r="H23" s="100">
        <f t="shared" si="0"/>
        <v>2320.2924281984333</v>
      </c>
      <c r="I23" s="100"/>
      <c r="J23" s="100">
        <f>'Athens Daily - Water'!R28</f>
        <v>279.45</v>
      </c>
      <c r="K23" s="100"/>
      <c r="L23" s="101">
        <v>82</v>
      </c>
      <c r="M23" s="100">
        <f t="shared" si="1"/>
        <v>164</v>
      </c>
      <c r="N23" s="98">
        <v>19</v>
      </c>
    </row>
    <row r="24" spans="1:14">
      <c r="A24" s="7" t="s">
        <v>14</v>
      </c>
      <c r="B24" s="7">
        <v>23</v>
      </c>
      <c r="C24" s="7">
        <v>1</v>
      </c>
      <c r="D24" s="7">
        <v>2021</v>
      </c>
      <c r="E24" s="100">
        <f>'Athens Daily - EL'!AP30</f>
        <v>28877.199999999997</v>
      </c>
      <c r="F24" s="100"/>
      <c r="G24" s="100">
        <f>'Athens Daily - Gas'!BH31</f>
        <v>89721.600000000006</v>
      </c>
      <c r="H24" s="100">
        <f t="shared" si="0"/>
        <v>2342.6005221932119</v>
      </c>
      <c r="I24" s="100"/>
      <c r="J24" s="100">
        <f>'Athens Daily - Water'!R29</f>
        <v>296.35000000000002</v>
      </c>
      <c r="K24" s="100"/>
      <c r="L24" s="101">
        <v>170</v>
      </c>
      <c r="M24" s="100">
        <f t="shared" si="1"/>
        <v>340</v>
      </c>
      <c r="N24" s="98">
        <v>20</v>
      </c>
    </row>
    <row r="25" spans="1:14">
      <c r="A25" s="7" t="s">
        <v>14</v>
      </c>
      <c r="B25" s="7">
        <v>24</v>
      </c>
      <c r="C25" s="7">
        <v>1</v>
      </c>
      <c r="D25" s="7">
        <v>2021</v>
      </c>
      <c r="E25" s="100">
        <f>'Athens Daily - EL'!AP31</f>
        <v>28938.799999999999</v>
      </c>
      <c r="F25" s="100"/>
      <c r="G25" s="100">
        <f>'Athens Daily - Gas'!BH32</f>
        <v>83116.799999999988</v>
      </c>
      <c r="H25" s="100">
        <f t="shared" si="0"/>
        <v>2170.1514360313313</v>
      </c>
      <c r="I25" s="100"/>
      <c r="J25" s="100">
        <f>'Athens Daily - Water'!R30</f>
        <v>281.63709999999958</v>
      </c>
      <c r="K25" s="100"/>
      <c r="L25" s="101">
        <v>91</v>
      </c>
      <c r="M25" s="100">
        <f t="shared" si="1"/>
        <v>182</v>
      </c>
      <c r="N25" s="98">
        <v>19</v>
      </c>
    </row>
    <row r="26" spans="1:14">
      <c r="A26" s="7" t="s">
        <v>14</v>
      </c>
      <c r="B26" s="7">
        <v>25</v>
      </c>
      <c r="C26" s="7">
        <v>1</v>
      </c>
      <c r="D26" s="7">
        <v>2021</v>
      </c>
      <c r="E26" s="100">
        <f>'Athens Daily - EL'!AP32</f>
        <v>33077.200000000004</v>
      </c>
      <c r="F26" s="100"/>
      <c r="G26" s="100">
        <f>'Athens Daily - Gas'!BH33</f>
        <v>97977.311999999991</v>
      </c>
      <c r="H26" s="100">
        <f t="shared" si="0"/>
        <v>2558.1543603133159</v>
      </c>
      <c r="I26" s="100"/>
      <c r="J26" s="100">
        <f>'Athens Daily - Water'!R31</f>
        <v>309.12790000000132</v>
      </c>
      <c r="K26" s="100"/>
      <c r="L26" s="101">
        <v>56</v>
      </c>
      <c r="M26" s="100">
        <f t="shared" si="1"/>
        <v>112</v>
      </c>
      <c r="N26" s="99"/>
    </row>
    <row r="27" spans="1:14">
      <c r="A27" s="7" t="s">
        <v>14</v>
      </c>
      <c r="B27" s="7">
        <v>26</v>
      </c>
      <c r="C27" s="7">
        <v>1</v>
      </c>
      <c r="D27" s="7">
        <v>2021</v>
      </c>
      <c r="E27" s="100">
        <f>'Athens Daily - EL'!AP33</f>
        <v>37354.000000000007</v>
      </c>
      <c r="F27" s="100"/>
      <c r="G27" s="100">
        <f>'Athens Daily - Gas'!BH34</f>
        <v>98188.799999999988</v>
      </c>
      <c r="H27" s="100">
        <f t="shared" si="0"/>
        <v>2563.6762402088771</v>
      </c>
      <c r="I27" s="100"/>
      <c r="J27" s="100">
        <f>'Athens Daily - Water'!R32</f>
        <v>314.47199999999941</v>
      </c>
      <c r="K27" s="100"/>
      <c r="L27" s="100"/>
      <c r="M27" s="100">
        <f t="shared" si="1"/>
        <v>0</v>
      </c>
      <c r="N27" s="99"/>
    </row>
    <row r="28" spans="1:14">
      <c r="A28" s="7" t="s">
        <v>14</v>
      </c>
      <c r="B28" s="7">
        <v>27</v>
      </c>
      <c r="C28" s="7">
        <v>1</v>
      </c>
      <c r="D28" s="7">
        <v>2021</v>
      </c>
      <c r="E28" s="100">
        <f>'Athens Daily - EL'!AP34</f>
        <v>31726.400000000001</v>
      </c>
      <c r="F28" s="100"/>
      <c r="G28" s="100">
        <f>'Athens Daily - Gas'!BH35</f>
        <v>95644.799999999988</v>
      </c>
      <c r="H28" s="100">
        <f t="shared" si="0"/>
        <v>2497.2532637075715</v>
      </c>
      <c r="I28" s="100"/>
      <c r="J28" s="100">
        <f>'Athens Daily - Water'!R33</f>
        <v>408.8130000000001</v>
      </c>
      <c r="K28" s="100"/>
      <c r="L28" s="100"/>
      <c r="M28" s="100">
        <f t="shared" si="1"/>
        <v>0</v>
      </c>
      <c r="N28" s="99"/>
    </row>
    <row r="29" spans="1:14">
      <c r="A29" s="7" t="s">
        <v>14</v>
      </c>
      <c r="B29" s="7">
        <v>28</v>
      </c>
      <c r="C29" s="7">
        <v>1</v>
      </c>
      <c r="D29" s="7">
        <v>2021</v>
      </c>
      <c r="E29" s="100">
        <f>'Athens Daily - EL'!AP35</f>
        <v>28557.599999999999</v>
      </c>
      <c r="F29" s="100"/>
      <c r="G29" s="100">
        <f>'Athens Daily - Gas'!BH36</f>
        <v>94665.600000000006</v>
      </c>
      <c r="H29" s="100">
        <f t="shared" si="0"/>
        <v>2471.6866840731072</v>
      </c>
      <c r="I29" s="100"/>
      <c r="J29" s="100">
        <f>'Athens Daily - Water'!R34</f>
        <v>377.6499999999993</v>
      </c>
      <c r="K29" s="100"/>
      <c r="L29" s="100"/>
      <c r="M29" s="100">
        <f t="shared" si="1"/>
        <v>0</v>
      </c>
      <c r="N29" s="99"/>
    </row>
    <row r="30" spans="1:14">
      <c r="A30" s="7" t="s">
        <v>14</v>
      </c>
      <c r="B30" s="7">
        <v>29</v>
      </c>
      <c r="C30" s="7">
        <v>1</v>
      </c>
      <c r="D30" s="7">
        <v>2021</v>
      </c>
      <c r="E30" s="100">
        <f>'Athens Daily - EL'!AP36</f>
        <v>29459.200000000001</v>
      </c>
      <c r="F30" s="100"/>
      <c r="G30" s="100">
        <f>'Athens Daily - Gas'!BH37</f>
        <v>96566.399999999994</v>
      </c>
      <c r="H30" s="100">
        <f t="shared" si="0"/>
        <v>2521.3159268929503</v>
      </c>
      <c r="I30" s="100"/>
      <c r="J30" s="100">
        <f>'Athens Daily - Water'!R35</f>
        <v>324.41459999999972</v>
      </c>
      <c r="K30" s="100"/>
      <c r="L30" s="100"/>
      <c r="M30" s="100">
        <f t="shared" si="1"/>
        <v>0</v>
      </c>
      <c r="N30" s="99"/>
    </row>
    <row r="31" spans="1:14">
      <c r="A31" s="7" t="s">
        <v>14</v>
      </c>
      <c r="B31" s="7">
        <v>30</v>
      </c>
      <c r="C31" s="7">
        <v>1</v>
      </c>
      <c r="D31" s="7">
        <v>2021</v>
      </c>
      <c r="E31" s="100">
        <f>'Athens Daily - EL'!AP37</f>
        <v>31232.399999999998</v>
      </c>
      <c r="F31" s="100"/>
      <c r="G31" s="100">
        <f>'Athens Daily - Gas'!BH38</f>
        <v>92150.687999999995</v>
      </c>
      <c r="H31" s="100">
        <f t="shared" si="0"/>
        <v>2406.0231853785899</v>
      </c>
      <c r="I31" s="100"/>
      <c r="J31" s="100">
        <f>'Athens Daily - Water'!R37</f>
        <v>340.15</v>
      </c>
      <c r="K31" s="100"/>
      <c r="L31" s="100"/>
      <c r="M31" s="100">
        <f t="shared" si="1"/>
        <v>0</v>
      </c>
      <c r="N31" s="99"/>
    </row>
    <row r="32" spans="1:14">
      <c r="A32" s="7" t="s">
        <v>14</v>
      </c>
      <c r="B32" s="7">
        <v>31</v>
      </c>
      <c r="C32" s="7">
        <v>1</v>
      </c>
      <c r="D32" s="7">
        <v>2021</v>
      </c>
      <c r="E32" s="100">
        <f>'Athens Daily - EL'!AP38</f>
        <v>32624.800000000003</v>
      </c>
      <c r="F32" s="100"/>
      <c r="G32" s="100">
        <f>'Athens Daily - Gas'!BH39</f>
        <v>90432</v>
      </c>
      <c r="H32" s="100">
        <f t="shared" si="0"/>
        <v>2361.1488250652742</v>
      </c>
      <c r="I32" s="100"/>
      <c r="J32" s="100">
        <f>'Athens Daily - Water'!R38</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23245.600000000002</v>
      </c>
      <c r="F2" s="7"/>
      <c r="G2" s="38">
        <f>'Athens Daily - Gas'!BI9</f>
        <v>73142.399999999994</v>
      </c>
      <c r="H2" s="7"/>
      <c r="I2" s="39">
        <f>'Athens Daily - Water'!S7</f>
        <v>143.5</v>
      </c>
      <c r="J2" s="7"/>
      <c r="K2" s="7">
        <v>286</v>
      </c>
      <c r="L2" s="7">
        <v>2</v>
      </c>
    </row>
    <row r="3" spans="1:12">
      <c r="A3" s="7" t="s">
        <v>14</v>
      </c>
      <c r="B3" s="7">
        <v>2</v>
      </c>
      <c r="C3" s="7">
        <v>1</v>
      </c>
      <c r="D3" s="7">
        <v>2021</v>
      </c>
      <c r="E3" s="7">
        <f>'Athens Daily - EL'!AQ9</f>
        <v>22943.200000000004</v>
      </c>
      <c r="F3" s="7"/>
      <c r="G3" s="38">
        <f>'Athens Daily - Gas'!BI10</f>
        <v>55545.599999999999</v>
      </c>
      <c r="H3" s="7"/>
      <c r="I3" s="39">
        <f>'Athens Daily - Water'!S8</f>
        <v>118.35</v>
      </c>
      <c r="J3" s="7"/>
      <c r="K3" s="7">
        <v>285</v>
      </c>
      <c r="L3" s="7">
        <v>2</v>
      </c>
    </row>
    <row r="4" spans="1:12">
      <c r="A4" s="7" t="s">
        <v>14</v>
      </c>
      <c r="B4" s="7">
        <v>3</v>
      </c>
      <c r="C4" s="7">
        <v>1</v>
      </c>
      <c r="D4" s="7">
        <v>2021</v>
      </c>
      <c r="E4" s="7">
        <f>'Athens Daily - EL'!AQ10</f>
        <v>22745.600000000002</v>
      </c>
      <c r="F4" s="7"/>
      <c r="G4" s="38">
        <f>'Athens Daily - Gas'!BI11</f>
        <v>57331.200000000004</v>
      </c>
      <c r="H4" s="7"/>
      <c r="I4" s="39">
        <f>'Athens Daily - Water'!S9</f>
        <v>127.5</v>
      </c>
      <c r="J4" s="7"/>
      <c r="K4" s="7">
        <v>282</v>
      </c>
      <c r="L4" s="7">
        <v>2</v>
      </c>
    </row>
    <row r="5" spans="1:12">
      <c r="A5" s="7" t="s">
        <v>14</v>
      </c>
      <c r="B5" s="7">
        <v>4</v>
      </c>
      <c r="C5" s="7">
        <v>1</v>
      </c>
      <c r="D5" s="7">
        <v>2021</v>
      </c>
      <c r="E5" s="7">
        <f>'Athens Daily - EL'!AQ11</f>
        <v>23978.400000000001</v>
      </c>
      <c r="F5" s="7"/>
      <c r="G5" s="38">
        <f>'Athens Daily - Gas'!BI12</f>
        <v>56572.800000000003</v>
      </c>
      <c r="H5" s="7"/>
      <c r="I5" s="39">
        <f>'Athens Daily - Water'!S10</f>
        <v>130.44999999999999</v>
      </c>
      <c r="J5" s="7"/>
      <c r="K5" s="7">
        <v>284</v>
      </c>
      <c r="L5" s="7">
        <v>2</v>
      </c>
    </row>
    <row r="6" spans="1:12">
      <c r="A6" s="7" t="s">
        <v>14</v>
      </c>
      <c r="B6" s="7">
        <v>5</v>
      </c>
      <c r="C6" s="7">
        <v>1</v>
      </c>
      <c r="D6" s="7">
        <v>2021</v>
      </c>
      <c r="E6" s="7">
        <f>'Athens Daily - EL'!AQ12</f>
        <v>22812.799999999999</v>
      </c>
      <c r="F6" s="7"/>
      <c r="G6" s="38">
        <f>'Athens Daily - Gas'!BI13</f>
        <v>63446.400000000001</v>
      </c>
      <c r="H6" s="7"/>
      <c r="I6" s="39">
        <f>'Athens Daily - Water'!S11</f>
        <v>126.5</v>
      </c>
      <c r="J6" s="7"/>
      <c r="K6" s="7">
        <v>286</v>
      </c>
      <c r="L6" s="7">
        <v>2</v>
      </c>
    </row>
    <row r="7" spans="1:12">
      <c r="A7" s="7" t="s">
        <v>14</v>
      </c>
      <c r="B7" s="7">
        <v>6</v>
      </c>
      <c r="C7" s="7">
        <v>1</v>
      </c>
      <c r="D7" s="7">
        <v>2021</v>
      </c>
      <c r="E7" s="7">
        <f>'Athens Daily - EL'!AQ13</f>
        <v>22227.200000000001</v>
      </c>
      <c r="F7" s="7"/>
      <c r="G7" s="38">
        <f>'Athens Daily - Gas'!BI14</f>
        <v>52857.600000000006</v>
      </c>
      <c r="H7" s="7"/>
      <c r="I7" s="39">
        <f>'Athens Daily - Water'!S12</f>
        <v>118.2</v>
      </c>
      <c r="J7" s="7"/>
      <c r="K7" s="7">
        <v>288</v>
      </c>
      <c r="L7" s="7">
        <v>2</v>
      </c>
    </row>
    <row r="8" spans="1:12">
      <c r="A8" s="7" t="s">
        <v>14</v>
      </c>
      <c r="B8" s="7">
        <v>7</v>
      </c>
      <c r="C8" s="7">
        <v>1</v>
      </c>
      <c r="D8" s="7">
        <v>2021</v>
      </c>
      <c r="E8" s="7">
        <f>'Athens Daily - EL'!AQ14</f>
        <v>22800</v>
      </c>
      <c r="F8" s="7"/>
      <c r="G8" s="38">
        <f>'Athens Daily - Gas'!BI15</f>
        <v>55430.400000000001</v>
      </c>
      <c r="H8" s="7"/>
      <c r="I8" s="39">
        <f>'Athens Daily - Water'!S13</f>
        <v>107.4</v>
      </c>
      <c r="J8" s="7"/>
      <c r="K8" s="7">
        <v>286</v>
      </c>
      <c r="L8" s="7">
        <v>2</v>
      </c>
    </row>
    <row r="9" spans="1:12">
      <c r="A9" s="7" t="s">
        <v>14</v>
      </c>
      <c r="B9" s="7">
        <v>8</v>
      </c>
      <c r="C9" s="7">
        <v>1</v>
      </c>
      <c r="D9" s="7">
        <v>2021</v>
      </c>
      <c r="E9" s="7">
        <f>'Athens Daily - EL'!AQ15</f>
        <v>21561.600000000002</v>
      </c>
      <c r="F9" s="7"/>
      <c r="G9" s="38">
        <f>'Athens Daily - Gas'!BI16</f>
        <v>55219.200000000004</v>
      </c>
      <c r="H9" s="7"/>
      <c r="I9" s="39">
        <f>'Athens Daily - Water'!S14</f>
        <v>127.55000000000001</v>
      </c>
      <c r="J9" s="7"/>
      <c r="K9" s="7">
        <v>287</v>
      </c>
      <c r="L9" s="7">
        <v>2</v>
      </c>
    </row>
    <row r="10" spans="1:12">
      <c r="A10" s="7" t="s">
        <v>14</v>
      </c>
      <c r="B10" s="7">
        <v>9</v>
      </c>
      <c r="C10" s="7">
        <v>1</v>
      </c>
      <c r="D10" s="7">
        <v>2021</v>
      </c>
      <c r="E10" s="7">
        <f>'Athens Daily - EL'!AQ16</f>
        <v>21828.399999999998</v>
      </c>
      <c r="F10" s="7"/>
      <c r="G10" s="38">
        <f>'Athens Daily - Gas'!BI17</f>
        <v>47356.800000000003</v>
      </c>
      <c r="H10" s="7"/>
      <c r="I10" s="39">
        <f>'Athens Daily - Water'!S15</f>
        <v>119.80000000000001</v>
      </c>
      <c r="J10" s="7"/>
      <c r="K10" s="7">
        <v>284</v>
      </c>
      <c r="L10" s="7">
        <v>2</v>
      </c>
    </row>
    <row r="11" spans="1:12">
      <c r="A11" s="7" t="s">
        <v>14</v>
      </c>
      <c r="B11" s="7">
        <v>10</v>
      </c>
      <c r="C11" s="7">
        <v>1</v>
      </c>
      <c r="D11" s="7">
        <v>2021</v>
      </c>
      <c r="E11" s="7">
        <f>'Athens Daily - EL'!AQ17</f>
        <v>22345.200000000001</v>
      </c>
      <c r="F11" s="7"/>
      <c r="G11" s="38">
        <f>'Athens Daily - Gas'!BI18</f>
        <v>44544</v>
      </c>
      <c r="H11" s="7"/>
      <c r="I11" s="39">
        <f>'Athens Daily - Water'!S16</f>
        <v>124.6</v>
      </c>
      <c r="J11" s="7"/>
      <c r="K11" s="7">
        <v>284</v>
      </c>
      <c r="L11" s="7">
        <v>2</v>
      </c>
    </row>
    <row r="12" spans="1:12">
      <c r="A12" s="7" t="s">
        <v>14</v>
      </c>
      <c r="B12" s="7">
        <v>11</v>
      </c>
      <c r="C12" s="7">
        <v>1</v>
      </c>
      <c r="D12" s="7">
        <v>2021</v>
      </c>
      <c r="E12" s="7">
        <f>'Athens Daily - EL'!AQ18</f>
        <v>23666.799999999999</v>
      </c>
      <c r="F12" s="7"/>
      <c r="G12" s="38">
        <f>'Athens Daily - Gas'!BI19</f>
        <v>42412.800000000003</v>
      </c>
      <c r="H12" s="7"/>
      <c r="I12" s="39">
        <f>'Athens Daily - Water'!S17</f>
        <v>110.9</v>
      </c>
      <c r="J12" s="7"/>
      <c r="K12" s="7">
        <v>284</v>
      </c>
      <c r="L12" s="7">
        <v>2</v>
      </c>
    </row>
    <row r="13" spans="1:12">
      <c r="A13" s="7" t="s">
        <v>14</v>
      </c>
      <c r="B13" s="7">
        <v>12</v>
      </c>
      <c r="C13" s="7">
        <v>1</v>
      </c>
      <c r="D13" s="7">
        <v>2021</v>
      </c>
      <c r="E13" s="7">
        <f>'Athens Daily - EL'!AQ19</f>
        <v>22474.800000000003</v>
      </c>
      <c r="F13" s="7"/>
      <c r="G13" s="38">
        <f>'Athens Daily - Gas'!BI20</f>
        <v>55478.400000000001</v>
      </c>
      <c r="H13" s="7"/>
      <c r="I13" s="39">
        <f>'Athens Daily - Water'!S18</f>
        <v>113.30000000000001</v>
      </c>
      <c r="J13" s="7"/>
      <c r="K13" s="7">
        <v>286</v>
      </c>
      <c r="L13" s="7">
        <v>2</v>
      </c>
    </row>
    <row r="14" spans="1:12">
      <c r="A14" s="7" t="s">
        <v>14</v>
      </c>
      <c r="B14" s="7">
        <v>13</v>
      </c>
      <c r="C14" s="7">
        <v>1</v>
      </c>
      <c r="D14" s="7">
        <v>2021</v>
      </c>
      <c r="E14" s="7">
        <f>'Athens Daily - EL'!AQ20</f>
        <v>24925.599999999999</v>
      </c>
      <c r="F14" s="7"/>
      <c r="G14" s="38">
        <f>'Athens Daily - Gas'!BI21</f>
        <v>53836.800000000003</v>
      </c>
      <c r="H14" s="7"/>
      <c r="I14" s="39">
        <f>'Athens Daily - Water'!S19</f>
        <v>124.95</v>
      </c>
      <c r="J14" s="7"/>
      <c r="K14" s="7">
        <v>287</v>
      </c>
      <c r="L14" s="7">
        <v>2</v>
      </c>
    </row>
    <row r="15" spans="1:12">
      <c r="A15" s="7" t="s">
        <v>14</v>
      </c>
      <c r="B15" s="7">
        <v>14</v>
      </c>
      <c r="C15" s="7">
        <v>1</v>
      </c>
      <c r="D15" s="7">
        <v>2021</v>
      </c>
      <c r="E15" s="7">
        <f>'Athens Daily - EL'!AQ21</f>
        <v>25799.600000000002</v>
      </c>
      <c r="F15" s="7"/>
      <c r="G15" s="38">
        <f>'Athens Daily - Gas'!BI22</f>
        <v>57955.200000000004</v>
      </c>
      <c r="H15" s="7"/>
      <c r="I15" s="39">
        <f>'Athens Daily - Water'!S20</f>
        <v>109.55000000000001</v>
      </c>
      <c r="J15" s="7"/>
      <c r="K15" s="7">
        <v>287</v>
      </c>
      <c r="L15" s="7">
        <v>2</v>
      </c>
    </row>
    <row r="16" spans="1:12">
      <c r="A16" s="7" t="s">
        <v>14</v>
      </c>
      <c r="B16" s="7">
        <v>15</v>
      </c>
      <c r="C16" s="7">
        <v>1</v>
      </c>
      <c r="D16" s="7">
        <v>2021</v>
      </c>
      <c r="E16" s="7">
        <f>'Athens Daily - EL'!AQ22</f>
        <v>26120.799999999999</v>
      </c>
      <c r="F16" s="7"/>
      <c r="G16" s="38">
        <f>'Athens Daily - Gas'!BI23</f>
        <v>59433.599999999999</v>
      </c>
      <c r="H16" s="7"/>
      <c r="I16" s="39">
        <f>'Athens Daily - Water'!S21</f>
        <v>134.05000000000001</v>
      </c>
      <c r="J16" s="7"/>
      <c r="K16" s="7">
        <v>288</v>
      </c>
      <c r="L16" s="7">
        <v>2</v>
      </c>
    </row>
    <row r="17" spans="1:12">
      <c r="A17" s="7" t="s">
        <v>14</v>
      </c>
      <c r="B17" s="7">
        <v>16</v>
      </c>
      <c r="C17" s="7">
        <v>1</v>
      </c>
      <c r="D17" s="7">
        <v>2021</v>
      </c>
      <c r="E17" s="7">
        <f>'Athens Daily - EL'!AQ23</f>
        <v>24838</v>
      </c>
      <c r="F17" s="7"/>
      <c r="G17" s="38">
        <f>'Athens Daily - Gas'!BI24</f>
        <v>57196.800000000003</v>
      </c>
      <c r="H17" s="7"/>
      <c r="I17" s="39">
        <f>'Athens Daily - Water'!S22</f>
        <v>104.85</v>
      </c>
      <c r="J17" s="7"/>
      <c r="K17" s="7">
        <v>288</v>
      </c>
      <c r="L17" s="7">
        <v>2</v>
      </c>
    </row>
    <row r="18" spans="1:12">
      <c r="A18" s="7" t="s">
        <v>14</v>
      </c>
      <c r="B18" s="7">
        <v>17</v>
      </c>
      <c r="C18" s="7">
        <v>1</v>
      </c>
      <c r="D18" s="7">
        <v>2021</v>
      </c>
      <c r="E18" s="7">
        <f>'Athens Daily - EL'!AQ24</f>
        <v>26097.999999999996</v>
      </c>
      <c r="F18" s="7"/>
      <c r="G18" s="38">
        <f>'Athens Daily - Gas'!BI25</f>
        <v>58262.400000000001</v>
      </c>
      <c r="H18" s="7"/>
      <c r="I18" s="39">
        <f>'Athens Daily - Water'!S23</f>
        <v>113.5</v>
      </c>
      <c r="J18" s="7"/>
      <c r="K18" s="7">
        <v>288</v>
      </c>
      <c r="L18" s="7">
        <v>2</v>
      </c>
    </row>
    <row r="19" spans="1:12">
      <c r="A19" s="7" t="s">
        <v>14</v>
      </c>
      <c r="B19" s="7">
        <v>18</v>
      </c>
      <c r="C19" s="7">
        <v>1</v>
      </c>
      <c r="D19" s="7">
        <v>2021</v>
      </c>
      <c r="E19" s="7">
        <f>'Athens Daily - EL'!AQ25</f>
        <v>26674.400000000001</v>
      </c>
      <c r="F19" s="7"/>
      <c r="G19" s="38">
        <f>'Athens Daily - Gas'!BI26</f>
        <v>57187.200000000004</v>
      </c>
      <c r="H19" s="7"/>
      <c r="I19" s="39">
        <f>'Athens Daily - Water'!S24</f>
        <v>125.15</v>
      </c>
      <c r="J19" s="7"/>
      <c r="K19" s="7">
        <v>291</v>
      </c>
      <c r="L19" s="7">
        <v>2</v>
      </c>
    </row>
    <row r="20" spans="1:12">
      <c r="A20" s="7" t="s">
        <v>14</v>
      </c>
      <c r="B20" s="7">
        <v>19</v>
      </c>
      <c r="C20" s="7">
        <v>1</v>
      </c>
      <c r="D20" s="7">
        <v>2021</v>
      </c>
      <c r="E20" s="7">
        <f>'Athens Daily - EL'!AQ26</f>
        <v>25305.200000000001</v>
      </c>
      <c r="F20" s="7"/>
      <c r="G20" s="38">
        <f>'Athens Daily - Gas'!BI27</f>
        <v>56352</v>
      </c>
      <c r="H20" s="7"/>
      <c r="I20" s="39">
        <f>'Athens Daily - Water'!S25</f>
        <v>111.85</v>
      </c>
      <c r="J20" s="7"/>
      <c r="K20" s="7">
        <v>290</v>
      </c>
      <c r="L20" s="7">
        <v>2</v>
      </c>
    </row>
    <row r="21" spans="1:12">
      <c r="A21" s="7" t="s">
        <v>14</v>
      </c>
      <c r="B21" s="7">
        <v>20</v>
      </c>
      <c r="C21" s="7">
        <v>1</v>
      </c>
      <c r="D21" s="7">
        <v>2021</v>
      </c>
      <c r="E21" s="7">
        <f>'Athens Daily - EL'!AQ27</f>
        <v>24218.799999999999</v>
      </c>
      <c r="F21" s="7"/>
      <c r="G21" s="38">
        <f>'Athens Daily - Gas'!BI28</f>
        <v>59798.400000000001</v>
      </c>
      <c r="H21" s="7"/>
      <c r="I21" s="39">
        <f>'Athens Daily - Water'!S26</f>
        <v>95.85</v>
      </c>
      <c r="J21" s="7"/>
      <c r="K21" s="7">
        <v>292</v>
      </c>
      <c r="L21" s="7">
        <v>2</v>
      </c>
    </row>
    <row r="22" spans="1:12">
      <c r="A22" s="7" t="s">
        <v>14</v>
      </c>
      <c r="B22" s="7">
        <v>21</v>
      </c>
      <c r="C22" s="7">
        <v>1</v>
      </c>
      <c r="D22" s="7">
        <v>2021</v>
      </c>
      <c r="E22" s="7">
        <f>'Athens Daily - EL'!AQ28</f>
        <v>24649.599999999999</v>
      </c>
      <c r="F22" s="7"/>
      <c r="G22" s="38">
        <f>'Athens Daily - Gas'!BI29</f>
        <v>60182.400000000001</v>
      </c>
      <c r="H22" s="7"/>
      <c r="I22" s="39">
        <f>'Athens Daily - Water'!S27</f>
        <v>114.5</v>
      </c>
      <c r="J22" s="7"/>
      <c r="K22" s="7">
        <v>293</v>
      </c>
      <c r="L22" s="7">
        <v>2</v>
      </c>
    </row>
    <row r="23" spans="1:12">
      <c r="A23" s="7" t="s">
        <v>14</v>
      </c>
      <c r="B23" s="7">
        <v>22</v>
      </c>
      <c r="C23" s="7">
        <v>1</v>
      </c>
      <c r="D23" s="7">
        <v>2021</v>
      </c>
      <c r="E23" s="7">
        <f>'Athens Daily - EL'!AQ29</f>
        <v>26799.199999999997</v>
      </c>
      <c r="F23" s="7"/>
      <c r="G23" s="38">
        <f>'Athens Daily - Gas'!BI30</f>
        <v>62812.800000000003</v>
      </c>
      <c r="H23" s="7"/>
      <c r="I23" s="39">
        <f>'Athens Daily - Water'!S28</f>
        <v>108.55000000000001</v>
      </c>
      <c r="J23" s="7"/>
      <c r="K23" s="7">
        <v>293</v>
      </c>
      <c r="L23" s="7">
        <v>2</v>
      </c>
    </row>
    <row r="24" spans="1:12">
      <c r="A24" s="7" t="s">
        <v>14</v>
      </c>
      <c r="B24" s="7">
        <v>23</v>
      </c>
      <c r="C24" s="7">
        <v>1</v>
      </c>
      <c r="D24" s="7">
        <v>2021</v>
      </c>
      <c r="E24" s="7">
        <f>'Athens Daily - EL'!AQ30</f>
        <v>22432.799999999999</v>
      </c>
      <c r="F24" s="7"/>
      <c r="G24" s="38">
        <f>'Athens Daily - Gas'!BI31</f>
        <v>59366.400000000001</v>
      </c>
      <c r="H24" s="7"/>
      <c r="I24" s="39">
        <f>'Athens Daily - Water'!S29</f>
        <v>101.65</v>
      </c>
      <c r="J24" s="7"/>
      <c r="K24" s="7">
        <v>294</v>
      </c>
      <c r="L24" s="7">
        <v>2</v>
      </c>
    </row>
    <row r="25" spans="1:12">
      <c r="A25" s="7" t="s">
        <v>14</v>
      </c>
      <c r="B25" s="7">
        <v>24</v>
      </c>
      <c r="C25" s="7">
        <v>1</v>
      </c>
      <c r="D25" s="7">
        <v>2021</v>
      </c>
      <c r="E25" s="7">
        <f>'Athens Daily - EL'!AQ31</f>
        <v>21671.199999999997</v>
      </c>
      <c r="F25" s="7"/>
      <c r="G25" s="38">
        <f>'Athens Daily - Gas'!BI32</f>
        <v>58675.199999999997</v>
      </c>
      <c r="H25" s="7"/>
      <c r="I25" s="39">
        <f>'Athens Daily - Water'!S30</f>
        <v>120.15</v>
      </c>
      <c r="J25" s="7"/>
      <c r="K25" s="7">
        <v>294</v>
      </c>
      <c r="L25" s="7">
        <v>2</v>
      </c>
    </row>
    <row r="26" spans="1:12">
      <c r="A26" s="7" t="s">
        <v>14</v>
      </c>
      <c r="B26" s="7">
        <v>25</v>
      </c>
      <c r="C26" s="7">
        <v>1</v>
      </c>
      <c r="D26" s="7">
        <v>2021</v>
      </c>
      <c r="E26" s="7">
        <f>'Athens Daily - EL'!AQ32</f>
        <v>26172.799999999999</v>
      </c>
      <c r="F26" s="7"/>
      <c r="G26" s="38">
        <f>'Athens Daily - Gas'!BI33</f>
        <v>60076.800000000003</v>
      </c>
      <c r="H26" s="7"/>
      <c r="I26" s="39">
        <f>'Athens Daily - Water'!S31</f>
        <v>119.5</v>
      </c>
      <c r="J26" s="7"/>
      <c r="K26" s="7">
        <v>291</v>
      </c>
      <c r="L26" s="7">
        <v>2</v>
      </c>
    </row>
    <row r="27" spans="1:12">
      <c r="A27" s="7" t="s">
        <v>14</v>
      </c>
      <c r="B27" s="7">
        <v>26</v>
      </c>
      <c r="C27" s="7">
        <v>1</v>
      </c>
      <c r="D27" s="7">
        <v>2021</v>
      </c>
      <c r="E27" s="7">
        <f>'Athens Daily - EL'!AQ33</f>
        <v>29806.000000000004</v>
      </c>
      <c r="F27" s="7"/>
      <c r="G27" s="38">
        <f>'Athens Daily - Gas'!BI34</f>
        <v>61027.200000000004</v>
      </c>
      <c r="H27" s="7"/>
      <c r="I27" s="39">
        <f>'Athens Daily - Water'!S32</f>
        <v>100.9</v>
      </c>
      <c r="J27" s="7"/>
      <c r="K27" s="7">
        <v>291</v>
      </c>
      <c r="L27" s="7">
        <v>2</v>
      </c>
    </row>
    <row r="28" spans="1:12">
      <c r="A28" s="7" t="s">
        <v>14</v>
      </c>
      <c r="B28" s="7">
        <v>27</v>
      </c>
      <c r="C28" s="7">
        <v>1</v>
      </c>
      <c r="D28" s="7">
        <v>2021</v>
      </c>
      <c r="E28" s="7">
        <f>'Athens Daily - EL'!AQ34</f>
        <v>23823.599999999999</v>
      </c>
      <c r="F28" s="7"/>
      <c r="G28" s="38">
        <f>'Athens Daily - Gas'!BI35</f>
        <v>57571.200000000004</v>
      </c>
      <c r="H28" s="7"/>
      <c r="I28" s="39">
        <f>'Athens Daily - Water'!S33</f>
        <v>107</v>
      </c>
      <c r="J28" s="7"/>
      <c r="K28" s="7">
        <v>288</v>
      </c>
      <c r="L28" s="7">
        <v>2</v>
      </c>
    </row>
    <row r="29" spans="1:12">
      <c r="A29" s="7" t="s">
        <v>14</v>
      </c>
      <c r="B29" s="7">
        <v>28</v>
      </c>
      <c r="C29" s="7">
        <v>1</v>
      </c>
      <c r="D29" s="7">
        <v>2021</v>
      </c>
      <c r="E29" s="7">
        <f>'Athens Daily - EL'!AQ35</f>
        <v>21982.399999999998</v>
      </c>
      <c r="F29" s="7"/>
      <c r="G29" s="38">
        <f>'Athens Daily - Gas'!BI36</f>
        <v>56726.400000000001</v>
      </c>
      <c r="H29" s="7"/>
      <c r="I29" s="39">
        <f>'Athens Daily - Water'!S34</f>
        <v>96.15</v>
      </c>
      <c r="J29" s="7"/>
      <c r="K29" s="7">
        <v>290</v>
      </c>
      <c r="L29" s="7">
        <v>2</v>
      </c>
    </row>
    <row r="30" spans="1:12">
      <c r="A30" s="7" t="s">
        <v>14</v>
      </c>
      <c r="B30" s="7">
        <v>29</v>
      </c>
      <c r="C30" s="7">
        <v>1</v>
      </c>
      <c r="D30" s="7">
        <v>2021</v>
      </c>
      <c r="E30" s="7">
        <f>'Athens Daily - EL'!AQ36</f>
        <v>22770.799999999999</v>
      </c>
      <c r="F30" s="7"/>
      <c r="G30" s="38">
        <f>'Athens Daily - Gas'!BI37</f>
        <v>62217.599999999999</v>
      </c>
      <c r="H30" s="7"/>
      <c r="I30" s="39">
        <f>'Athens Daily - Water'!S35</f>
        <v>113.4</v>
      </c>
      <c r="J30" s="7"/>
      <c r="K30" s="7">
        <v>291</v>
      </c>
      <c r="L30" s="7">
        <v>2</v>
      </c>
    </row>
    <row r="31" spans="1:12">
      <c r="A31" s="7" t="s">
        <v>14</v>
      </c>
      <c r="B31" s="7">
        <v>30</v>
      </c>
      <c r="C31" s="7">
        <v>1</v>
      </c>
      <c r="D31" s="7">
        <v>2021</v>
      </c>
      <c r="E31" s="7">
        <f>'Athens Daily - EL'!AQ37</f>
        <v>24257.600000000002</v>
      </c>
      <c r="F31" s="7"/>
      <c r="G31" s="38">
        <f>'Athens Daily - Gas'!BI38</f>
        <v>59443.200000000004</v>
      </c>
      <c r="H31" s="7"/>
      <c r="I31" s="39">
        <f>'Athens Daily - Water'!S37</f>
        <v>97.85</v>
      </c>
      <c r="J31" s="7"/>
      <c r="K31" s="7">
        <v>290</v>
      </c>
      <c r="L31" s="7">
        <v>2</v>
      </c>
    </row>
    <row r="32" spans="1:12">
      <c r="A32" s="7" t="s">
        <v>14</v>
      </c>
      <c r="B32" s="7">
        <v>31</v>
      </c>
      <c r="C32" s="7">
        <v>1</v>
      </c>
      <c r="D32" s="7">
        <v>2021</v>
      </c>
      <c r="E32" s="7">
        <f>'Athens Daily - EL'!AQ38</f>
        <v>25365.199999999997</v>
      </c>
      <c r="F32" s="7"/>
      <c r="G32" s="38">
        <f>'Athens Daily - Gas'!BI39</f>
        <v>60768</v>
      </c>
      <c r="H32" s="7"/>
      <c r="I32" s="39">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opLeftCell="A2" zoomScale="55" zoomScaleNormal="55" workbookViewId="0">
      <pane xSplit="2" ySplit="5" topLeftCell="AC7" activePane="bottomRight" state="frozen"/>
      <selection pane="topRight" activeCell="C2" sqref="C2"/>
      <selection pane="bottomLeft" activeCell="A7" sqref="A7"/>
      <selection pane="bottomRight" activeCell="AS12" sqref="AS12"/>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50" s="12" customFormat="1" ht="49.5" customHeight="1">
      <c r="A1" s="109"/>
      <c r="B1" s="109"/>
      <c r="C1" s="211" t="s">
        <v>65</v>
      </c>
      <c r="D1" s="211"/>
      <c r="E1" s="211" t="s">
        <v>65</v>
      </c>
      <c r="F1" s="211"/>
      <c r="G1" s="211" t="s">
        <v>65</v>
      </c>
      <c r="H1" s="211"/>
      <c r="I1" s="199"/>
      <c r="J1" s="109"/>
      <c r="K1" s="211" t="s">
        <v>65</v>
      </c>
      <c r="L1" s="211"/>
      <c r="M1" s="211" t="s">
        <v>65</v>
      </c>
      <c r="N1" s="211"/>
      <c r="O1" s="224" t="s">
        <v>66</v>
      </c>
      <c r="P1" s="225"/>
      <c r="Q1" s="225"/>
      <c r="R1" s="226"/>
      <c r="S1" s="224" t="s">
        <v>66</v>
      </c>
      <c r="T1" s="225"/>
      <c r="U1" s="225"/>
      <c r="V1" s="226"/>
      <c r="W1" s="224" t="s">
        <v>66</v>
      </c>
      <c r="X1" s="225"/>
      <c r="Y1" s="225"/>
      <c r="Z1" s="226"/>
      <c r="AA1" s="224" t="s">
        <v>66</v>
      </c>
      <c r="AB1" s="225"/>
      <c r="AC1" s="225"/>
      <c r="AD1" s="226"/>
      <c r="AE1" s="211" t="s">
        <v>67</v>
      </c>
      <c r="AF1" s="211"/>
      <c r="AG1" s="211" t="s">
        <v>67</v>
      </c>
      <c r="AH1" s="211"/>
      <c r="AI1" s="211" t="s">
        <v>67</v>
      </c>
      <c r="AJ1" s="211"/>
      <c r="AK1" s="211" t="s">
        <v>67</v>
      </c>
      <c r="AL1" s="211"/>
      <c r="AM1" s="211" t="s">
        <v>67</v>
      </c>
      <c r="AN1" s="211"/>
    </row>
    <row r="2" spans="1:50" s="3" customFormat="1" ht="113.25" customHeight="1">
      <c r="A2" s="13"/>
      <c r="B2" s="14"/>
      <c r="C2" s="210" t="s">
        <v>68</v>
      </c>
      <c r="D2" s="210"/>
      <c r="E2" s="210" t="s">
        <v>69</v>
      </c>
      <c r="F2" s="210"/>
      <c r="G2" s="215" t="s">
        <v>70</v>
      </c>
      <c r="H2" s="216"/>
      <c r="I2" s="216"/>
      <c r="J2" s="217"/>
      <c r="K2" s="210" t="s">
        <v>71</v>
      </c>
      <c r="L2" s="210"/>
      <c r="M2" s="210" t="s">
        <v>72</v>
      </c>
      <c r="N2" s="210"/>
      <c r="O2" s="215" t="s">
        <v>73</v>
      </c>
      <c r="P2" s="216"/>
      <c r="Q2" s="216"/>
      <c r="R2" s="217"/>
      <c r="S2" s="215" t="s">
        <v>74</v>
      </c>
      <c r="T2" s="216"/>
      <c r="U2" s="216"/>
      <c r="V2" s="217"/>
      <c r="W2" s="215" t="s">
        <v>75</v>
      </c>
      <c r="X2" s="216"/>
      <c r="Y2" s="216"/>
      <c r="Z2" s="217"/>
      <c r="AA2" s="215" t="s">
        <v>76</v>
      </c>
      <c r="AB2" s="216"/>
      <c r="AC2" s="216"/>
      <c r="AD2" s="217"/>
      <c r="AE2" s="210" t="s">
        <v>77</v>
      </c>
      <c r="AF2" s="210"/>
      <c r="AG2" s="210" t="s">
        <v>78</v>
      </c>
      <c r="AH2" s="210"/>
      <c r="AI2" s="210" t="s">
        <v>79</v>
      </c>
      <c r="AJ2" s="210"/>
      <c r="AK2" s="210" t="s">
        <v>78</v>
      </c>
      <c r="AL2" s="210"/>
      <c r="AM2" s="210" t="s">
        <v>80</v>
      </c>
      <c r="AN2" s="210"/>
      <c r="AO2" s="116"/>
      <c r="AP2" s="116"/>
      <c r="AQ2" s="116"/>
    </row>
    <row r="3" spans="1:50" s="24" customFormat="1" ht="30" customHeight="1">
      <c r="A3" s="107"/>
      <c r="B3" s="48"/>
      <c r="C3" s="212">
        <v>5065546</v>
      </c>
      <c r="D3" s="214"/>
      <c r="E3" s="212">
        <v>5065547</v>
      </c>
      <c r="F3" s="214"/>
      <c r="G3" s="212">
        <v>5008272</v>
      </c>
      <c r="H3" s="213"/>
      <c r="I3" s="213"/>
      <c r="J3" s="214"/>
      <c r="K3" s="212">
        <v>5065548</v>
      </c>
      <c r="L3" s="214"/>
      <c r="M3" s="212">
        <v>5465545</v>
      </c>
      <c r="N3" s="214"/>
      <c r="O3" s="212">
        <v>5008273</v>
      </c>
      <c r="P3" s="213"/>
      <c r="Q3" s="213"/>
      <c r="R3" s="214"/>
      <c r="S3" s="212">
        <v>5018351</v>
      </c>
      <c r="T3" s="213"/>
      <c r="U3" s="213"/>
      <c r="V3" s="214"/>
      <c r="W3" s="212">
        <v>5018354</v>
      </c>
      <c r="X3" s="213"/>
      <c r="Y3" s="213"/>
      <c r="Z3" s="214"/>
      <c r="AA3" s="212">
        <v>5018350</v>
      </c>
      <c r="AB3" s="213"/>
      <c r="AC3" s="213"/>
      <c r="AD3" s="214"/>
      <c r="AE3" s="212">
        <v>5065543</v>
      </c>
      <c r="AF3" s="214"/>
      <c r="AG3" s="212">
        <v>5065544</v>
      </c>
      <c r="AH3" s="214"/>
      <c r="AI3" s="212">
        <v>5065541</v>
      </c>
      <c r="AJ3" s="214"/>
      <c r="AK3" s="212">
        <v>5065542</v>
      </c>
      <c r="AL3" s="214"/>
      <c r="AM3" s="212">
        <v>5065540</v>
      </c>
      <c r="AN3" s="214"/>
      <c r="AP3" s="209" t="s">
        <v>81</v>
      </c>
      <c r="AQ3" s="209"/>
    </row>
    <row r="4" spans="1:50" s="23" customFormat="1" ht="30" customHeight="1">
      <c r="A4" s="107"/>
      <c r="B4" s="113"/>
      <c r="C4" s="220" t="s">
        <v>82</v>
      </c>
      <c r="D4" s="221"/>
      <c r="E4" s="220" t="s">
        <v>83</v>
      </c>
      <c r="F4" s="221"/>
      <c r="G4" s="220" t="s">
        <v>84</v>
      </c>
      <c r="H4" s="222"/>
      <c r="I4" s="222"/>
      <c r="J4" s="221"/>
      <c r="K4" s="220" t="s">
        <v>85</v>
      </c>
      <c r="L4" s="221"/>
      <c r="M4" s="220" t="s">
        <v>86</v>
      </c>
      <c r="N4" s="221"/>
      <c r="O4" s="220" t="s">
        <v>87</v>
      </c>
      <c r="P4" s="222"/>
      <c r="Q4" s="222"/>
      <c r="R4" s="221"/>
      <c r="S4" s="220" t="s">
        <v>88</v>
      </c>
      <c r="T4" s="222"/>
      <c r="U4" s="222"/>
      <c r="V4" s="221"/>
      <c r="W4" s="220" t="s">
        <v>89</v>
      </c>
      <c r="X4" s="222"/>
      <c r="Y4" s="222"/>
      <c r="Z4" s="221"/>
      <c r="AA4" s="220" t="s">
        <v>90</v>
      </c>
      <c r="AB4" s="222"/>
      <c r="AC4" s="222"/>
      <c r="AD4" s="221"/>
      <c r="AE4" s="220" t="s">
        <v>91</v>
      </c>
      <c r="AF4" s="221"/>
      <c r="AG4" s="220" t="s">
        <v>92</v>
      </c>
      <c r="AH4" s="221"/>
      <c r="AI4" s="220" t="s">
        <v>93</v>
      </c>
      <c r="AJ4" s="221"/>
      <c r="AK4" s="220" t="s">
        <v>94</v>
      </c>
      <c r="AL4" s="221"/>
      <c r="AM4" s="220" t="s">
        <v>95</v>
      </c>
      <c r="AN4" s="221"/>
      <c r="AP4" s="209"/>
      <c r="AQ4" s="209"/>
    </row>
    <row r="5" spans="1:50" s="8" customFormat="1" ht="30" customHeight="1">
      <c r="A5" s="107" t="s">
        <v>96</v>
      </c>
      <c r="B5" s="49"/>
      <c r="C5" s="218" t="s">
        <v>97</v>
      </c>
      <c r="D5" s="219"/>
      <c r="E5" s="218" t="s">
        <v>97</v>
      </c>
      <c r="F5" s="219"/>
      <c r="G5" s="218" t="s">
        <v>97</v>
      </c>
      <c r="H5" s="223"/>
      <c r="I5" s="223"/>
      <c r="J5" s="219"/>
      <c r="K5" s="49" t="s">
        <v>97</v>
      </c>
      <c r="L5" s="49"/>
      <c r="M5" s="218" t="s">
        <v>97</v>
      </c>
      <c r="N5" s="219"/>
      <c r="O5" s="218" t="s">
        <v>97</v>
      </c>
      <c r="P5" s="223"/>
      <c r="Q5" s="223"/>
      <c r="R5" s="219"/>
      <c r="S5" s="218" t="s">
        <v>98</v>
      </c>
      <c r="T5" s="223"/>
      <c r="U5" s="223"/>
      <c r="V5" s="219"/>
      <c r="W5" s="218" t="s">
        <v>98</v>
      </c>
      <c r="X5" s="223"/>
      <c r="Y5" s="223"/>
      <c r="Z5" s="219"/>
      <c r="AA5" s="218" t="s">
        <v>98</v>
      </c>
      <c r="AB5" s="223"/>
      <c r="AC5" s="223"/>
      <c r="AD5" s="219"/>
      <c r="AE5" s="218" t="s">
        <v>97</v>
      </c>
      <c r="AF5" s="219"/>
      <c r="AG5" s="218" t="s">
        <v>97</v>
      </c>
      <c r="AH5" s="219"/>
      <c r="AI5" s="218" t="s">
        <v>97</v>
      </c>
      <c r="AJ5" s="219"/>
      <c r="AK5" s="218" t="s">
        <v>97</v>
      </c>
      <c r="AL5" s="219"/>
      <c r="AM5" s="218" t="s">
        <v>97</v>
      </c>
      <c r="AN5" s="219"/>
    </row>
    <row r="6" spans="1:50" s="10" customFormat="1" ht="50.1" customHeight="1">
      <c r="A6" s="107" t="s">
        <v>99</v>
      </c>
      <c r="B6" s="107"/>
      <c r="C6" s="107" t="s">
        <v>100</v>
      </c>
      <c r="D6" s="107" t="s">
        <v>101</v>
      </c>
      <c r="E6" s="107" t="s">
        <v>100</v>
      </c>
      <c r="F6" s="107" t="s">
        <v>101</v>
      </c>
      <c r="G6" s="107" t="s">
        <v>100</v>
      </c>
      <c r="H6" s="107" t="s">
        <v>101</v>
      </c>
      <c r="I6" s="198">
        <v>48</v>
      </c>
      <c r="J6" s="198">
        <v>52</v>
      </c>
      <c r="K6" s="107" t="s">
        <v>100</v>
      </c>
      <c r="L6" s="107" t="s">
        <v>101</v>
      </c>
      <c r="M6" s="107" t="s">
        <v>100</v>
      </c>
      <c r="N6" s="107" t="s">
        <v>101</v>
      </c>
      <c r="O6" s="107" t="s">
        <v>100</v>
      </c>
      <c r="P6" s="107" t="s">
        <v>101</v>
      </c>
      <c r="Q6" s="198">
        <v>48</v>
      </c>
      <c r="R6" s="198">
        <v>52</v>
      </c>
      <c r="S6" s="107" t="s">
        <v>100</v>
      </c>
      <c r="T6" s="107" t="s">
        <v>101</v>
      </c>
      <c r="U6" s="198">
        <v>48</v>
      </c>
      <c r="V6" s="198">
        <v>52</v>
      </c>
      <c r="W6" s="107" t="s">
        <v>100</v>
      </c>
      <c r="X6" s="107" t="s">
        <v>101</v>
      </c>
      <c r="Y6" s="198">
        <v>48</v>
      </c>
      <c r="Z6" s="198">
        <v>52</v>
      </c>
      <c r="AA6" s="107" t="s">
        <v>100</v>
      </c>
      <c r="AB6" s="107" t="s">
        <v>101</v>
      </c>
      <c r="AC6" s="198">
        <v>48</v>
      </c>
      <c r="AD6" s="198">
        <v>52</v>
      </c>
      <c r="AE6" s="107" t="s">
        <v>100</v>
      </c>
      <c r="AF6" s="107" t="s">
        <v>101</v>
      </c>
      <c r="AG6" s="107" t="s">
        <v>100</v>
      </c>
      <c r="AH6" s="107" t="s">
        <v>101</v>
      </c>
      <c r="AI6" s="107" t="s">
        <v>100</v>
      </c>
      <c r="AJ6" s="107" t="s">
        <v>101</v>
      </c>
      <c r="AK6" s="107" t="s">
        <v>100</v>
      </c>
      <c r="AL6" s="107" t="s">
        <v>101</v>
      </c>
      <c r="AM6" s="107" t="s">
        <v>100</v>
      </c>
      <c r="AN6" s="107" t="s">
        <v>101</v>
      </c>
      <c r="AP6" s="107" t="s">
        <v>65</v>
      </c>
      <c r="AQ6" s="107" t="s">
        <v>67</v>
      </c>
    </row>
    <row r="7" spans="1:50" ht="39.950000000000003" customHeight="1">
      <c r="A7" s="193">
        <v>44620</v>
      </c>
      <c r="B7" s="16"/>
      <c r="C7" s="194">
        <v>225589</v>
      </c>
      <c r="D7" s="17"/>
      <c r="E7" s="194">
        <v>369991</v>
      </c>
      <c r="F7" s="17"/>
      <c r="G7" s="194">
        <v>98701</v>
      </c>
      <c r="H7" s="17"/>
      <c r="I7" s="201"/>
      <c r="J7" s="201"/>
      <c r="K7" s="194">
        <v>329504</v>
      </c>
      <c r="L7" s="17"/>
      <c r="M7" s="194">
        <v>519863</v>
      </c>
      <c r="N7" s="17"/>
      <c r="O7" s="194">
        <v>210411</v>
      </c>
      <c r="P7" s="17"/>
      <c r="Q7" s="201"/>
      <c r="R7" s="201"/>
      <c r="S7" s="194">
        <v>340143</v>
      </c>
      <c r="T7" s="17"/>
      <c r="U7" s="201"/>
      <c r="V7" s="201"/>
      <c r="W7" s="194">
        <v>166785</v>
      </c>
      <c r="X7" s="17"/>
      <c r="Y7" s="201"/>
      <c r="Z7" s="201"/>
      <c r="AA7" s="194">
        <v>243707</v>
      </c>
      <c r="AB7" s="17"/>
      <c r="AC7" s="201"/>
      <c r="AD7" s="201"/>
      <c r="AE7" s="194">
        <v>63255</v>
      </c>
      <c r="AF7" s="17"/>
      <c r="AG7" s="194">
        <v>122177</v>
      </c>
      <c r="AH7" s="17"/>
      <c r="AI7" s="194">
        <v>217841</v>
      </c>
      <c r="AJ7" s="17"/>
      <c r="AK7" s="194">
        <v>113110</v>
      </c>
      <c r="AL7" s="17"/>
      <c r="AM7" s="194">
        <v>588034</v>
      </c>
      <c r="AN7" s="17"/>
      <c r="AO7" s="19"/>
      <c r="AP7" s="96"/>
      <c r="AQ7" s="97"/>
      <c r="AR7" s="19"/>
      <c r="AS7" s="19"/>
      <c r="AT7" s="19"/>
      <c r="AU7" s="19"/>
      <c r="AV7" s="19"/>
      <c r="AW7" s="19"/>
      <c r="AX7" s="19"/>
    </row>
    <row r="8" spans="1:50" s="2" customFormat="1" ht="39.950000000000003" customHeight="1">
      <c r="A8" s="193">
        <v>44621</v>
      </c>
      <c r="B8" s="15"/>
      <c r="C8" s="195">
        <v>225890</v>
      </c>
      <c r="D8" s="17">
        <f>(C8-C7)*10</f>
        <v>3010</v>
      </c>
      <c r="E8" s="195">
        <v>370620</v>
      </c>
      <c r="F8" s="17">
        <f>(E8-E7)*10</f>
        <v>6290</v>
      </c>
      <c r="G8" s="195">
        <v>98927</v>
      </c>
      <c r="H8" s="17">
        <f>(G8-G7)*10</f>
        <v>2260</v>
      </c>
      <c r="I8" s="202">
        <f>H8*I6/100</f>
        <v>1084.8</v>
      </c>
      <c r="J8" s="202">
        <f>H8*J6/100</f>
        <v>1175.2</v>
      </c>
      <c r="K8" s="195">
        <v>329990</v>
      </c>
      <c r="L8" s="17">
        <f>(K8-K7)*10</f>
        <v>4860</v>
      </c>
      <c r="M8" s="195">
        <v>520504</v>
      </c>
      <c r="N8" s="17">
        <f>(M8-M7)*10</f>
        <v>6410</v>
      </c>
      <c r="O8" s="195">
        <v>210773</v>
      </c>
      <c r="P8" s="17">
        <f t="shared" ref="P8:P24" si="0">(O8-O7)*10</f>
        <v>3620</v>
      </c>
      <c r="Q8" s="202">
        <f>P8*Q6/100</f>
        <v>1737.6</v>
      </c>
      <c r="R8" s="202">
        <f>P8*R6/100</f>
        <v>1882.4</v>
      </c>
      <c r="S8" s="195">
        <v>340849</v>
      </c>
      <c r="T8" s="17">
        <f t="shared" ref="T8:T24" si="1">(S8-S7)*10</f>
        <v>7060</v>
      </c>
      <c r="U8" s="202">
        <f>T8*U6/100</f>
        <v>3388.8</v>
      </c>
      <c r="V8" s="202">
        <f>T8*V6/100</f>
        <v>3671.2</v>
      </c>
      <c r="W8" s="195">
        <v>166787</v>
      </c>
      <c r="X8" s="17">
        <f>(W8-W7)*10</f>
        <v>20</v>
      </c>
      <c r="Y8" s="202">
        <f>X8*Y6/100</f>
        <v>9.6</v>
      </c>
      <c r="Z8" s="202">
        <f>X8*Z6/100</f>
        <v>10.4</v>
      </c>
      <c r="AA8" s="195">
        <v>243714</v>
      </c>
      <c r="AB8" s="17">
        <f>(AA8-AA7)*10</f>
        <v>70</v>
      </c>
      <c r="AC8" s="202">
        <f>AB8*AC6/100</f>
        <v>33.6</v>
      </c>
      <c r="AD8" s="202">
        <f>AB8*AD6/100</f>
        <v>36.4</v>
      </c>
      <c r="AE8" s="195">
        <v>63359</v>
      </c>
      <c r="AF8" s="17">
        <f t="shared" ref="AF8:AF38" si="2">(AE8-AE7)*10</f>
        <v>1040</v>
      </c>
      <c r="AG8" s="195">
        <v>122360</v>
      </c>
      <c r="AH8" s="17">
        <f t="shared" ref="AH8:AH38" si="3">(AG8-AG7)*10</f>
        <v>1830</v>
      </c>
      <c r="AI8" s="195">
        <v>218188</v>
      </c>
      <c r="AJ8" s="17">
        <f t="shared" ref="AJ8:AL38" si="4">(AI8-AI7)*10</f>
        <v>3470</v>
      </c>
      <c r="AK8" s="195">
        <v>113280</v>
      </c>
      <c r="AL8" s="17">
        <f t="shared" si="4"/>
        <v>1700</v>
      </c>
      <c r="AM8" s="195">
        <v>588877</v>
      </c>
      <c r="AN8" s="17">
        <f t="shared" ref="AN8" si="5">(AM8-AM7)*10</f>
        <v>8430</v>
      </c>
      <c r="AP8" s="202">
        <f t="shared" ref="AP8:AP38" si="6">SUM(D8,F8,I8,L8,N8,Q8,U8,Y8,AC8)</f>
        <v>26824.399999999994</v>
      </c>
      <c r="AQ8" s="203">
        <f t="shared" ref="AQ8:AQ37" si="7">SUM(R8,V8,Z8,AD8,AF8,AH8,AJ8,AL8,AN8,J8)</f>
        <v>23245.600000000002</v>
      </c>
    </row>
    <row r="9" spans="1:50" ht="39.950000000000003" customHeight="1">
      <c r="A9" s="193">
        <f>SUM(A8+1)</f>
        <v>44622</v>
      </c>
      <c r="B9" s="16"/>
      <c r="C9" s="195">
        <v>226208</v>
      </c>
      <c r="D9" s="17">
        <f t="shared" ref="D9:F25" si="8">(C9-C8)*10</f>
        <v>3180</v>
      </c>
      <c r="E9" s="195">
        <v>371269</v>
      </c>
      <c r="F9" s="17">
        <f t="shared" si="8"/>
        <v>6490</v>
      </c>
      <c r="G9" s="195">
        <v>99164</v>
      </c>
      <c r="H9" s="17">
        <f t="shared" ref="H9" si="9">(G9-G8)*10</f>
        <v>2370</v>
      </c>
      <c r="I9" s="202">
        <f>H9*I6/100</f>
        <v>1137.5999999999999</v>
      </c>
      <c r="J9" s="202">
        <f>H9*J6/100</f>
        <v>1232.4000000000001</v>
      </c>
      <c r="K9" s="195">
        <v>330462</v>
      </c>
      <c r="L9" s="17">
        <f t="shared" ref="L9" si="10">(K9-K8)*10</f>
        <v>4720</v>
      </c>
      <c r="M9" s="195">
        <v>521162</v>
      </c>
      <c r="N9" s="17">
        <f t="shared" ref="N9" si="11">(M9-M8)*10</f>
        <v>6580</v>
      </c>
      <c r="O9" s="195">
        <v>211134</v>
      </c>
      <c r="P9" s="17">
        <f t="shared" si="0"/>
        <v>3610</v>
      </c>
      <c r="Q9" s="202">
        <f>P9*Q6/100</f>
        <v>1732.8</v>
      </c>
      <c r="R9" s="202">
        <f>P9*R6/100</f>
        <v>1877.2</v>
      </c>
      <c r="S9" s="195">
        <v>341481</v>
      </c>
      <c r="T9" s="17">
        <f t="shared" si="1"/>
        <v>6320</v>
      </c>
      <c r="U9" s="202">
        <f>T9*U6/100</f>
        <v>3033.6</v>
      </c>
      <c r="V9" s="202">
        <f>T9*V6/100</f>
        <v>3286.4</v>
      </c>
      <c r="W9" s="195">
        <v>166790</v>
      </c>
      <c r="X9" s="17">
        <f t="shared" ref="X9" si="12">(W9-W8)*10</f>
        <v>30</v>
      </c>
      <c r="Y9" s="202">
        <f>X9*Y6/100</f>
        <v>14.4</v>
      </c>
      <c r="Z9" s="202">
        <f>X9*Z6/100</f>
        <v>15.6</v>
      </c>
      <c r="AA9" s="195">
        <v>243722</v>
      </c>
      <c r="AB9" s="17">
        <f t="shared" ref="AB9:AB38" si="13">(AA9-AA8)*10</f>
        <v>80</v>
      </c>
      <c r="AC9" s="202">
        <f>AB9*AC6/100</f>
        <v>38.4</v>
      </c>
      <c r="AD9" s="202">
        <f>AB9*AD6/100</f>
        <v>41.6</v>
      </c>
      <c r="AE9" s="195">
        <v>63467</v>
      </c>
      <c r="AF9" s="17">
        <f t="shared" si="2"/>
        <v>1080</v>
      </c>
      <c r="AG9" s="195">
        <v>122539</v>
      </c>
      <c r="AH9" s="17">
        <f t="shared" si="3"/>
        <v>1790</v>
      </c>
      <c r="AI9" s="195">
        <v>218529</v>
      </c>
      <c r="AJ9" s="17">
        <f t="shared" si="4"/>
        <v>3410</v>
      </c>
      <c r="AK9" s="195">
        <v>113445</v>
      </c>
      <c r="AL9" s="17">
        <f t="shared" si="4"/>
        <v>1650</v>
      </c>
      <c r="AM9" s="195">
        <v>589733</v>
      </c>
      <c r="AN9" s="17">
        <f t="shared" ref="AN9" si="14">(AM9-AM8)*10</f>
        <v>8560</v>
      </c>
      <c r="AP9" s="202">
        <f t="shared" si="6"/>
        <v>26926.799999999999</v>
      </c>
      <c r="AQ9" s="203">
        <f t="shared" si="7"/>
        <v>22943.200000000004</v>
      </c>
    </row>
    <row r="10" spans="1:50" ht="39.950000000000003" customHeight="1">
      <c r="A10" s="193">
        <f t="shared" ref="A10:A38" si="15">SUM(A9+1)</f>
        <v>44623</v>
      </c>
      <c r="B10" s="16"/>
      <c r="C10" s="195">
        <v>226516</v>
      </c>
      <c r="D10" s="17">
        <f t="shared" si="8"/>
        <v>3080</v>
      </c>
      <c r="E10" s="195">
        <v>371878</v>
      </c>
      <c r="F10" s="17">
        <f t="shared" si="8"/>
        <v>6090</v>
      </c>
      <c r="G10" s="195">
        <v>99361</v>
      </c>
      <c r="H10" s="17">
        <f t="shared" ref="H10" si="16">(G10-G9)*10</f>
        <v>1970</v>
      </c>
      <c r="I10" s="202">
        <f>H10*I6/100</f>
        <v>945.6</v>
      </c>
      <c r="J10" s="202">
        <f>H10*J6/100</f>
        <v>1024.4000000000001</v>
      </c>
      <c r="K10" s="195">
        <v>330956</v>
      </c>
      <c r="L10" s="17">
        <f t="shared" ref="L10" si="17">(K10-K9)*10</f>
        <v>4940</v>
      </c>
      <c r="M10" s="195">
        <v>521850</v>
      </c>
      <c r="N10" s="17">
        <f t="shared" ref="N10" si="18">(M10-M9)*10</f>
        <v>6880</v>
      </c>
      <c r="O10" s="195">
        <v>211474</v>
      </c>
      <c r="P10" s="17">
        <f t="shared" si="0"/>
        <v>3400</v>
      </c>
      <c r="Q10" s="202">
        <f>P10*Q6/100</f>
        <v>1632</v>
      </c>
      <c r="R10" s="202">
        <f>P10*R6/100</f>
        <v>1768</v>
      </c>
      <c r="S10" s="195">
        <v>341693</v>
      </c>
      <c r="T10" s="17">
        <f t="shared" si="1"/>
        <v>2120</v>
      </c>
      <c r="U10" s="202">
        <f>T10*U6/100</f>
        <v>1017.6</v>
      </c>
      <c r="V10" s="202">
        <f>T10*V6/100</f>
        <v>1102.4000000000001</v>
      </c>
      <c r="W10" s="195">
        <v>166811</v>
      </c>
      <c r="X10" s="17">
        <f t="shared" ref="X10" si="19">(W10-W9)*10</f>
        <v>210</v>
      </c>
      <c r="Y10" s="202">
        <f>X10*Y6/100</f>
        <v>100.8</v>
      </c>
      <c r="Z10" s="202">
        <f>X10*Z6/100</f>
        <v>109.2</v>
      </c>
      <c r="AA10" s="195">
        <v>244030</v>
      </c>
      <c r="AB10" s="17">
        <f t="shared" si="13"/>
        <v>3080</v>
      </c>
      <c r="AC10" s="202">
        <f>AB10*AC6/100</f>
        <v>1478.4</v>
      </c>
      <c r="AD10" s="202">
        <f>AB10*AD6/100</f>
        <v>1601.6</v>
      </c>
      <c r="AE10" s="195">
        <v>63577</v>
      </c>
      <c r="AF10" s="17">
        <f t="shared" si="2"/>
        <v>1100</v>
      </c>
      <c r="AG10" s="195">
        <v>122733</v>
      </c>
      <c r="AH10" s="17">
        <f t="shared" si="3"/>
        <v>1940</v>
      </c>
      <c r="AI10" s="195">
        <v>218880</v>
      </c>
      <c r="AJ10" s="17">
        <f t="shared" si="4"/>
        <v>3510</v>
      </c>
      <c r="AK10" s="195">
        <v>113616</v>
      </c>
      <c r="AL10" s="17">
        <f t="shared" si="4"/>
        <v>1710</v>
      </c>
      <c r="AM10" s="195">
        <v>590621</v>
      </c>
      <c r="AN10" s="17">
        <f t="shared" ref="AN10" si="20">(AM10-AM9)*10</f>
        <v>8880</v>
      </c>
      <c r="AP10" s="202">
        <f t="shared" si="6"/>
        <v>26164.399999999998</v>
      </c>
      <c r="AQ10" s="203">
        <f t="shared" si="7"/>
        <v>22745.600000000002</v>
      </c>
    </row>
    <row r="11" spans="1:50" ht="39.950000000000003" customHeight="1">
      <c r="A11" s="193">
        <f t="shared" si="15"/>
        <v>44624</v>
      </c>
      <c r="B11" s="16"/>
      <c r="C11" s="195">
        <v>226852</v>
      </c>
      <c r="D11" s="17">
        <f t="shared" si="8"/>
        <v>3360</v>
      </c>
      <c r="E11" s="195">
        <v>372540</v>
      </c>
      <c r="F11" s="17">
        <f t="shared" si="8"/>
        <v>6620</v>
      </c>
      <c r="G11" s="195">
        <v>99551</v>
      </c>
      <c r="H11" s="17">
        <f t="shared" ref="H11" si="21">(G11-G10)*10</f>
        <v>1900</v>
      </c>
      <c r="I11" s="202">
        <f>H11*I6/100</f>
        <v>912</v>
      </c>
      <c r="J11" s="202">
        <f>H11*J6/100</f>
        <v>988</v>
      </c>
      <c r="K11" s="195">
        <v>331460</v>
      </c>
      <c r="L11" s="17">
        <f t="shared" ref="L11" si="22">(K11-K10)*10</f>
        <v>5040</v>
      </c>
      <c r="M11" s="195">
        <v>522528</v>
      </c>
      <c r="N11" s="17">
        <f t="shared" ref="N11" si="23">(M11-M10)*10</f>
        <v>6780</v>
      </c>
      <c r="O11" s="195">
        <v>211840</v>
      </c>
      <c r="P11" s="17">
        <f t="shared" si="0"/>
        <v>3660</v>
      </c>
      <c r="Q11" s="202">
        <f>P11*Q6/100</f>
        <v>1756.8</v>
      </c>
      <c r="R11" s="202">
        <f>P11*R6/100</f>
        <v>1903.2</v>
      </c>
      <c r="S11" s="195">
        <v>341695</v>
      </c>
      <c r="T11" s="17">
        <f t="shared" si="1"/>
        <v>20</v>
      </c>
      <c r="U11" s="202">
        <f>T11*U6/100</f>
        <v>9.6</v>
      </c>
      <c r="V11" s="202">
        <f>T11*V6/100</f>
        <v>10.4</v>
      </c>
      <c r="W11" s="195">
        <v>166813</v>
      </c>
      <c r="X11" s="17">
        <f t="shared" ref="X11" si="24">(W11-W10)*10</f>
        <v>20</v>
      </c>
      <c r="Y11" s="202">
        <f>X11*Y6/100</f>
        <v>9.6</v>
      </c>
      <c r="Z11" s="202">
        <f>X11*Z6/100</f>
        <v>10.4</v>
      </c>
      <c r="AA11" s="195">
        <v>244762</v>
      </c>
      <c r="AB11" s="17">
        <f t="shared" si="13"/>
        <v>7320</v>
      </c>
      <c r="AC11" s="202">
        <f>AB11*AC6/100</f>
        <v>3513.6</v>
      </c>
      <c r="AD11" s="202">
        <f>AB11*AD6/100</f>
        <v>3806.4</v>
      </c>
      <c r="AE11" s="195">
        <v>63683</v>
      </c>
      <c r="AF11" s="17">
        <f t="shared" si="2"/>
        <v>1060</v>
      </c>
      <c r="AG11" s="195">
        <v>122929</v>
      </c>
      <c r="AH11" s="17">
        <f t="shared" si="3"/>
        <v>1960</v>
      </c>
      <c r="AI11" s="195">
        <v>219231</v>
      </c>
      <c r="AJ11" s="17">
        <f t="shared" si="4"/>
        <v>3510</v>
      </c>
      <c r="AK11" s="195">
        <v>113788</v>
      </c>
      <c r="AL11" s="17">
        <f t="shared" si="4"/>
        <v>1720</v>
      </c>
      <c r="AM11" s="195">
        <v>591522</v>
      </c>
      <c r="AN11" s="17">
        <f t="shared" ref="AN11" si="25">(AM11-AM10)*10</f>
        <v>9010</v>
      </c>
      <c r="AP11" s="202">
        <f t="shared" si="6"/>
        <v>28001.599999999995</v>
      </c>
      <c r="AQ11" s="203">
        <f t="shared" si="7"/>
        <v>23978.400000000001</v>
      </c>
    </row>
    <row r="12" spans="1:50" ht="39.950000000000003" customHeight="1">
      <c r="A12" s="193">
        <f t="shared" si="15"/>
        <v>44625</v>
      </c>
      <c r="B12" s="16"/>
      <c r="C12" s="195">
        <v>227169</v>
      </c>
      <c r="D12" s="17">
        <f t="shared" si="8"/>
        <v>3170</v>
      </c>
      <c r="E12" s="195">
        <v>373156</v>
      </c>
      <c r="F12" s="17">
        <f t="shared" si="8"/>
        <v>6160</v>
      </c>
      <c r="G12" s="195">
        <v>99721</v>
      </c>
      <c r="H12" s="17">
        <f t="shared" ref="H12" si="26">(G12-G11)*10</f>
        <v>1700</v>
      </c>
      <c r="I12" s="202">
        <f>H12*I6/100</f>
        <v>816</v>
      </c>
      <c r="J12" s="202">
        <f>H12*J6/100</f>
        <v>884</v>
      </c>
      <c r="K12" s="195">
        <v>331963</v>
      </c>
      <c r="L12" s="17">
        <f t="shared" ref="L12" si="27">(K12-K11)*10</f>
        <v>5030</v>
      </c>
      <c r="M12" s="195">
        <v>523243</v>
      </c>
      <c r="N12" s="17">
        <f t="shared" ref="N12" si="28">(M12-M11)*10</f>
        <v>7150</v>
      </c>
      <c r="O12" s="195">
        <v>212172</v>
      </c>
      <c r="P12" s="17">
        <f t="shared" si="0"/>
        <v>3320</v>
      </c>
      <c r="Q12" s="202">
        <f>P12*Q6/100</f>
        <v>1593.6</v>
      </c>
      <c r="R12" s="202">
        <f>P12*R6/100</f>
        <v>1726.4</v>
      </c>
      <c r="S12" s="195">
        <v>341701</v>
      </c>
      <c r="T12" s="17">
        <f t="shared" si="1"/>
        <v>60</v>
      </c>
      <c r="U12" s="202">
        <f>T12*U6/100</f>
        <v>28.8</v>
      </c>
      <c r="V12" s="202">
        <f>T12*V6/100</f>
        <v>31.2</v>
      </c>
      <c r="W12" s="195">
        <v>166815</v>
      </c>
      <c r="X12" s="17">
        <f t="shared" ref="X12" si="29">(W12-W11)*10</f>
        <v>20</v>
      </c>
      <c r="Y12" s="202">
        <f>X12*Y6/100</f>
        <v>9.6</v>
      </c>
      <c r="Z12" s="202">
        <f>X12*Z6/100</f>
        <v>10.4</v>
      </c>
      <c r="AA12" s="195">
        <v>245466</v>
      </c>
      <c r="AB12" s="17">
        <f t="shared" si="13"/>
        <v>7040</v>
      </c>
      <c r="AC12" s="202">
        <f>AB12*AC6/100</f>
        <v>3379.2</v>
      </c>
      <c r="AD12" s="202">
        <f>AB12*AD6/100</f>
        <v>3660.8</v>
      </c>
      <c r="AE12" s="195">
        <v>63794</v>
      </c>
      <c r="AF12" s="17">
        <f t="shared" si="2"/>
        <v>1110</v>
      </c>
      <c r="AG12" s="195">
        <v>123104</v>
      </c>
      <c r="AH12" s="17">
        <f t="shared" si="3"/>
        <v>1750</v>
      </c>
      <c r="AI12" s="195">
        <v>219568</v>
      </c>
      <c r="AJ12" s="17">
        <f t="shared" si="4"/>
        <v>3370</v>
      </c>
      <c r="AK12" s="195">
        <v>113950</v>
      </c>
      <c r="AL12" s="17">
        <f t="shared" si="4"/>
        <v>1620</v>
      </c>
      <c r="AM12" s="195">
        <v>592387</v>
      </c>
      <c r="AN12" s="17">
        <f t="shared" ref="AN12" si="30">(AM12-AM11)*10</f>
        <v>8650</v>
      </c>
      <c r="AP12" s="202">
        <f t="shared" si="6"/>
        <v>27337.199999999997</v>
      </c>
      <c r="AQ12" s="203">
        <f t="shared" si="7"/>
        <v>22812.799999999999</v>
      </c>
    </row>
    <row r="13" spans="1:50" ht="39.950000000000003" customHeight="1">
      <c r="A13" s="193">
        <f t="shared" si="15"/>
        <v>44626</v>
      </c>
      <c r="B13" s="16"/>
      <c r="C13" s="195">
        <v>227493</v>
      </c>
      <c r="D13" s="17">
        <f t="shared" si="8"/>
        <v>3240</v>
      </c>
      <c r="E13" s="195">
        <v>373788</v>
      </c>
      <c r="F13" s="17">
        <f t="shared" si="8"/>
        <v>6320</v>
      </c>
      <c r="G13" s="195">
        <v>99912</v>
      </c>
      <c r="H13" s="17">
        <f t="shared" ref="H13" si="31">(G13-G12)*10</f>
        <v>1910</v>
      </c>
      <c r="I13" s="202">
        <f>H13*I6/100</f>
        <v>916.8</v>
      </c>
      <c r="J13" s="202">
        <f>H13*J6/100</f>
        <v>993.2</v>
      </c>
      <c r="K13" s="195">
        <v>332448</v>
      </c>
      <c r="L13" s="17">
        <f t="shared" ref="L13" si="32">(K13-K12)*10</f>
        <v>4850</v>
      </c>
      <c r="M13" s="195">
        <v>523957</v>
      </c>
      <c r="N13" s="17">
        <f t="shared" ref="N13" si="33">(M13-M12)*10</f>
        <v>7140</v>
      </c>
      <c r="O13" s="195">
        <v>212522</v>
      </c>
      <c r="P13" s="17">
        <f t="shared" si="0"/>
        <v>3500</v>
      </c>
      <c r="Q13" s="202">
        <f>P13*Q6/100</f>
        <v>1680</v>
      </c>
      <c r="R13" s="202">
        <f>P13*R6/100</f>
        <v>1820</v>
      </c>
      <c r="S13" s="195">
        <v>341900</v>
      </c>
      <c r="T13" s="17">
        <f t="shared" si="1"/>
        <v>1990</v>
      </c>
      <c r="U13" s="202">
        <f>T13*U6/100</f>
        <v>955.2</v>
      </c>
      <c r="V13" s="202">
        <f>T13*V6/100</f>
        <v>1034.8</v>
      </c>
      <c r="W13" s="195">
        <v>166817</v>
      </c>
      <c r="X13" s="17">
        <f t="shared" ref="X13" si="34">(W13-W12)*10</f>
        <v>20</v>
      </c>
      <c r="Y13" s="202">
        <f>X13*Y6/100</f>
        <v>9.6</v>
      </c>
      <c r="Z13" s="202">
        <f>X13*Z6/100</f>
        <v>10.4</v>
      </c>
      <c r="AA13" s="195">
        <v>245810</v>
      </c>
      <c r="AB13" s="17">
        <f t="shared" si="13"/>
        <v>3440</v>
      </c>
      <c r="AC13" s="202">
        <f>AB13*AC6/100</f>
        <v>1651.2</v>
      </c>
      <c r="AD13" s="202">
        <f>AB13*AD6/100</f>
        <v>1788.8</v>
      </c>
      <c r="AE13" s="195">
        <v>63903</v>
      </c>
      <c r="AF13" s="17">
        <f t="shared" si="2"/>
        <v>1090</v>
      </c>
      <c r="AG13" s="195">
        <v>123278</v>
      </c>
      <c r="AH13" s="17">
        <f t="shared" si="3"/>
        <v>1740</v>
      </c>
      <c r="AI13" s="195">
        <v>219901</v>
      </c>
      <c r="AJ13" s="17">
        <f t="shared" si="4"/>
        <v>3330</v>
      </c>
      <c r="AK13" s="195">
        <v>114115</v>
      </c>
      <c r="AL13" s="17">
        <f t="shared" si="4"/>
        <v>1650</v>
      </c>
      <c r="AM13" s="195">
        <v>593264</v>
      </c>
      <c r="AN13" s="17">
        <f t="shared" ref="AN13" si="35">(AM13-AM12)*10</f>
        <v>8770</v>
      </c>
      <c r="AP13" s="202">
        <f t="shared" si="6"/>
        <v>26762.799999999999</v>
      </c>
      <c r="AQ13" s="203">
        <f t="shared" si="7"/>
        <v>22227.200000000001</v>
      </c>
    </row>
    <row r="14" spans="1:50" ht="39.950000000000003" customHeight="1">
      <c r="A14" s="193">
        <f t="shared" si="15"/>
        <v>44627</v>
      </c>
      <c r="B14" s="16"/>
      <c r="C14" s="195">
        <v>227817</v>
      </c>
      <c r="D14" s="17">
        <f t="shared" si="8"/>
        <v>3240</v>
      </c>
      <c r="E14" s="195">
        <v>374420</v>
      </c>
      <c r="F14" s="17">
        <f t="shared" si="8"/>
        <v>6320</v>
      </c>
      <c r="G14" s="195">
        <v>100142</v>
      </c>
      <c r="H14" s="17">
        <f t="shared" ref="H14" si="36">(G14-G13)*10</f>
        <v>2300</v>
      </c>
      <c r="I14" s="202">
        <f>H14*I6/100</f>
        <v>1104</v>
      </c>
      <c r="J14" s="202">
        <f>H14*J6/100</f>
        <v>1196</v>
      </c>
      <c r="K14" s="195">
        <v>332939</v>
      </c>
      <c r="L14" s="17">
        <f t="shared" ref="L14" si="37">(K14-K13)*10</f>
        <v>4910</v>
      </c>
      <c r="M14" s="195">
        <v>524638</v>
      </c>
      <c r="N14" s="17">
        <f t="shared" ref="N14" si="38">(M14-M13)*10</f>
        <v>6810</v>
      </c>
      <c r="O14" s="195">
        <v>212873</v>
      </c>
      <c r="P14" s="17">
        <f t="shared" si="0"/>
        <v>3510</v>
      </c>
      <c r="Q14" s="202">
        <f>P14*Q6/100</f>
        <v>1684.8</v>
      </c>
      <c r="R14" s="202">
        <f>P14*R6/100</f>
        <v>1825.2</v>
      </c>
      <c r="S14" s="195">
        <v>342458</v>
      </c>
      <c r="T14" s="17">
        <f t="shared" si="1"/>
        <v>5580</v>
      </c>
      <c r="U14" s="202">
        <f>T14*U6/100</f>
        <v>2678.4</v>
      </c>
      <c r="V14" s="202">
        <f>T14*V6/100</f>
        <v>2901.6</v>
      </c>
      <c r="W14" s="195">
        <v>166820</v>
      </c>
      <c r="X14" s="17">
        <f t="shared" ref="X14" si="39">(W14-W13)*10</f>
        <v>30</v>
      </c>
      <c r="Y14" s="202">
        <f>X14*Y6/100</f>
        <v>14.4</v>
      </c>
      <c r="Z14" s="202">
        <f>X14*Z6/100</f>
        <v>15.6</v>
      </c>
      <c r="AA14" s="195">
        <v>245818</v>
      </c>
      <c r="AB14" s="17">
        <f t="shared" si="13"/>
        <v>80</v>
      </c>
      <c r="AC14" s="202">
        <f>AB14*AC6/100</f>
        <v>38.4</v>
      </c>
      <c r="AD14" s="202">
        <f>AB14*AD6/100</f>
        <v>41.6</v>
      </c>
      <c r="AE14" s="195">
        <v>64008</v>
      </c>
      <c r="AF14" s="17">
        <f t="shared" si="2"/>
        <v>1050</v>
      </c>
      <c r="AG14" s="195">
        <v>123458</v>
      </c>
      <c r="AH14" s="17">
        <f t="shared" si="3"/>
        <v>1800</v>
      </c>
      <c r="AI14" s="195">
        <v>220249</v>
      </c>
      <c r="AJ14" s="17">
        <f t="shared" si="4"/>
        <v>3480</v>
      </c>
      <c r="AK14" s="195">
        <v>114282</v>
      </c>
      <c r="AL14" s="17">
        <f t="shared" si="4"/>
        <v>1670</v>
      </c>
      <c r="AM14" s="195">
        <v>594146</v>
      </c>
      <c r="AN14" s="17">
        <f t="shared" ref="AN14" si="40">(AM14-AM13)*10</f>
        <v>8820</v>
      </c>
      <c r="AP14" s="202">
        <f t="shared" si="6"/>
        <v>26800.000000000004</v>
      </c>
      <c r="AQ14" s="203">
        <f t="shared" si="7"/>
        <v>22800</v>
      </c>
    </row>
    <row r="15" spans="1:50" ht="39.950000000000003" customHeight="1">
      <c r="A15" s="193">
        <f t="shared" si="15"/>
        <v>44628</v>
      </c>
      <c r="B15" s="16"/>
      <c r="C15" s="195">
        <v>228126</v>
      </c>
      <c r="D15" s="17">
        <f t="shared" si="8"/>
        <v>3090</v>
      </c>
      <c r="E15" s="195">
        <v>375015</v>
      </c>
      <c r="F15" s="17">
        <f t="shared" si="8"/>
        <v>5950</v>
      </c>
      <c r="G15" s="195">
        <v>100358</v>
      </c>
      <c r="H15" s="17">
        <f t="shared" ref="H15" si="41">(G15-G14)*10</f>
        <v>2160</v>
      </c>
      <c r="I15" s="202">
        <f>H15*I6/100</f>
        <v>1036.8</v>
      </c>
      <c r="J15" s="202">
        <f>H15*J6/100</f>
        <v>1123.2</v>
      </c>
      <c r="K15" s="195">
        <v>333427</v>
      </c>
      <c r="L15" s="17">
        <f t="shared" ref="L15" si="42">(K15-K14)*10</f>
        <v>4880</v>
      </c>
      <c r="M15" s="195">
        <v>525298</v>
      </c>
      <c r="N15" s="17">
        <f t="shared" ref="N15" si="43">(M15-M14)*10</f>
        <v>6600</v>
      </c>
      <c r="O15" s="195">
        <v>213218</v>
      </c>
      <c r="P15" s="17">
        <f t="shared" si="0"/>
        <v>3450</v>
      </c>
      <c r="Q15" s="202">
        <f>P15*Q6/100</f>
        <v>1656</v>
      </c>
      <c r="R15" s="202">
        <f>P15*R6/100</f>
        <v>1794</v>
      </c>
      <c r="S15" s="195">
        <v>342871</v>
      </c>
      <c r="T15" s="17">
        <f t="shared" si="1"/>
        <v>4130</v>
      </c>
      <c r="U15" s="202">
        <f>T15*U6/100</f>
        <v>1982.4</v>
      </c>
      <c r="V15" s="202">
        <f>T15*V6/100</f>
        <v>2147.6</v>
      </c>
      <c r="W15" s="195">
        <v>166822</v>
      </c>
      <c r="X15" s="17">
        <f t="shared" ref="X15" si="44">(W15-W14)*10</f>
        <v>20</v>
      </c>
      <c r="Y15" s="202">
        <f>X15*Y6/100</f>
        <v>9.6</v>
      </c>
      <c r="Z15" s="202">
        <f>X15*Z6/100</f>
        <v>10.4</v>
      </c>
      <c r="AA15" s="195">
        <v>245825</v>
      </c>
      <c r="AB15" s="17">
        <f t="shared" si="13"/>
        <v>70</v>
      </c>
      <c r="AC15" s="202">
        <f>AB15*AC6/100</f>
        <v>33.6</v>
      </c>
      <c r="AD15" s="202">
        <f>AB15*AD6/100</f>
        <v>36.4</v>
      </c>
      <c r="AE15" s="195">
        <v>64113</v>
      </c>
      <c r="AF15" s="17">
        <f t="shared" si="2"/>
        <v>1050</v>
      </c>
      <c r="AG15" s="195">
        <v>123634</v>
      </c>
      <c r="AH15" s="17">
        <f t="shared" si="3"/>
        <v>1760</v>
      </c>
      <c r="AI15" s="195">
        <v>220588</v>
      </c>
      <c r="AJ15" s="17">
        <f t="shared" si="4"/>
        <v>3390</v>
      </c>
      <c r="AK15" s="195">
        <v>114450</v>
      </c>
      <c r="AL15" s="17">
        <f t="shared" si="4"/>
        <v>1680</v>
      </c>
      <c r="AM15" s="195">
        <v>595003</v>
      </c>
      <c r="AN15" s="17">
        <f t="shared" ref="AN15" si="45">(AM15-AM14)*10</f>
        <v>8570</v>
      </c>
      <c r="AP15" s="202">
        <f t="shared" si="6"/>
        <v>25238.399999999998</v>
      </c>
      <c r="AQ15" s="203">
        <f t="shared" si="7"/>
        <v>21561.600000000002</v>
      </c>
    </row>
    <row r="16" spans="1:50" ht="39.950000000000003" customHeight="1">
      <c r="A16" s="193">
        <f t="shared" si="15"/>
        <v>44629</v>
      </c>
      <c r="B16" s="16"/>
      <c r="C16" s="195">
        <v>228427</v>
      </c>
      <c r="D16" s="17">
        <f t="shared" si="8"/>
        <v>3010</v>
      </c>
      <c r="E16" s="195">
        <v>375616</v>
      </c>
      <c r="F16" s="17">
        <f t="shared" si="8"/>
        <v>6010</v>
      </c>
      <c r="G16" s="195">
        <v>100571</v>
      </c>
      <c r="H16" s="17">
        <f t="shared" ref="H16" si="46">(G16-G15)*10</f>
        <v>2130</v>
      </c>
      <c r="I16" s="202">
        <f>H16*I6/100</f>
        <v>1022.4</v>
      </c>
      <c r="J16" s="202">
        <f>H16*J6/100</f>
        <v>1107.5999999999999</v>
      </c>
      <c r="K16" s="195">
        <v>333929</v>
      </c>
      <c r="L16" s="17">
        <f t="shared" ref="L16" si="47">(K16-K15)*10</f>
        <v>5020</v>
      </c>
      <c r="M16" s="195">
        <v>526014</v>
      </c>
      <c r="N16" s="17">
        <f t="shared" ref="N16" si="48">(M16-M15)*10</f>
        <v>7160</v>
      </c>
      <c r="O16" s="195">
        <v>213564</v>
      </c>
      <c r="P16" s="17">
        <f t="shared" si="0"/>
        <v>3460</v>
      </c>
      <c r="Q16" s="202">
        <f>P16*Q6/100</f>
        <v>1660.8</v>
      </c>
      <c r="R16" s="202">
        <f>P16*R6/100</f>
        <v>1799.2</v>
      </c>
      <c r="S16" s="195">
        <v>343319</v>
      </c>
      <c r="T16" s="17">
        <f t="shared" si="1"/>
        <v>4480</v>
      </c>
      <c r="U16" s="202">
        <f>T16*U6/100</f>
        <v>2150.4</v>
      </c>
      <c r="V16" s="202">
        <f>T16*V6/100</f>
        <v>2329.6</v>
      </c>
      <c r="W16" s="195">
        <v>166824</v>
      </c>
      <c r="X16" s="17">
        <f t="shared" ref="X16" si="49">(W16-W15)*10</f>
        <v>20</v>
      </c>
      <c r="Y16" s="202">
        <f>X16*Y6/100</f>
        <v>9.6</v>
      </c>
      <c r="Z16" s="202">
        <f>X16*Z6/100</f>
        <v>10.4</v>
      </c>
      <c r="AA16" s="195">
        <v>245833</v>
      </c>
      <c r="AB16" s="17">
        <f t="shared" si="13"/>
        <v>80</v>
      </c>
      <c r="AC16" s="202">
        <f>AB16*AC6/100</f>
        <v>38.4</v>
      </c>
      <c r="AD16" s="202">
        <f>AB16*AD6/100</f>
        <v>41.6</v>
      </c>
      <c r="AE16" s="195">
        <v>64221</v>
      </c>
      <c r="AF16" s="17">
        <f t="shared" si="2"/>
        <v>1080</v>
      </c>
      <c r="AG16" s="195">
        <v>123814</v>
      </c>
      <c r="AH16" s="17">
        <f t="shared" si="3"/>
        <v>1800</v>
      </c>
      <c r="AI16" s="195">
        <v>220927</v>
      </c>
      <c r="AJ16" s="17">
        <f t="shared" si="4"/>
        <v>3390</v>
      </c>
      <c r="AK16" s="195">
        <v>114617</v>
      </c>
      <c r="AL16" s="17">
        <f t="shared" si="4"/>
        <v>1670</v>
      </c>
      <c r="AM16" s="195">
        <v>595863</v>
      </c>
      <c r="AN16" s="17">
        <f t="shared" ref="AN16" si="50">(AM16-AM15)*10</f>
        <v>8600</v>
      </c>
      <c r="AP16" s="202">
        <f t="shared" si="6"/>
        <v>26081.600000000002</v>
      </c>
      <c r="AQ16" s="203">
        <f t="shared" si="7"/>
        <v>21828.399999999998</v>
      </c>
    </row>
    <row r="17" spans="1:43" ht="39.950000000000003" customHeight="1">
      <c r="A17" s="193">
        <f t="shared" si="15"/>
        <v>44630</v>
      </c>
      <c r="B17" s="16"/>
      <c r="C17" s="195">
        <v>228726</v>
      </c>
      <c r="D17" s="17">
        <f t="shared" si="8"/>
        <v>2990</v>
      </c>
      <c r="E17" s="195">
        <v>376251</v>
      </c>
      <c r="F17" s="17">
        <f t="shared" si="8"/>
        <v>6350</v>
      </c>
      <c r="G17" s="195">
        <v>100790</v>
      </c>
      <c r="H17" s="17">
        <f t="shared" ref="H17" si="51">(G17-G16)*10</f>
        <v>2190</v>
      </c>
      <c r="I17" s="202">
        <f>H17*I6/100</f>
        <v>1051.2</v>
      </c>
      <c r="J17" s="202">
        <f>H17*J6/100</f>
        <v>1138.8</v>
      </c>
      <c r="K17" s="195">
        <v>334432</v>
      </c>
      <c r="L17" s="17">
        <f t="shared" ref="L17" si="52">(K17-K16)*10</f>
        <v>5030</v>
      </c>
      <c r="M17" s="195">
        <v>526762</v>
      </c>
      <c r="N17" s="17">
        <f t="shared" ref="N17" si="53">(M17-M16)*10</f>
        <v>7480</v>
      </c>
      <c r="O17" s="195">
        <v>214116</v>
      </c>
      <c r="P17" s="17">
        <f t="shared" si="0"/>
        <v>5520</v>
      </c>
      <c r="Q17" s="202">
        <f>P17*Q6/100</f>
        <v>2649.6</v>
      </c>
      <c r="R17" s="202">
        <f>P17*R6/100</f>
        <v>2870.4</v>
      </c>
      <c r="S17" s="195">
        <v>343640</v>
      </c>
      <c r="T17" s="17">
        <f t="shared" si="1"/>
        <v>3210</v>
      </c>
      <c r="U17" s="202">
        <f>T17*U6/100</f>
        <v>1540.8</v>
      </c>
      <c r="V17" s="202">
        <f>T17*V6/100</f>
        <v>1669.2</v>
      </c>
      <c r="W17" s="195">
        <v>166826</v>
      </c>
      <c r="X17" s="17">
        <f t="shared" ref="X17" si="54">(W17-W16)*10</f>
        <v>20</v>
      </c>
      <c r="Y17" s="202">
        <f>X17*Y6/100</f>
        <v>9.6</v>
      </c>
      <c r="Z17" s="202">
        <f>X17*Z6/100</f>
        <v>10.4</v>
      </c>
      <c r="AA17" s="195">
        <v>245840</v>
      </c>
      <c r="AB17" s="17">
        <f t="shared" si="13"/>
        <v>70</v>
      </c>
      <c r="AC17" s="202">
        <f>AB17*AC6/100</f>
        <v>33.6</v>
      </c>
      <c r="AD17" s="202">
        <f>AB17*AD6/100</f>
        <v>36.4</v>
      </c>
      <c r="AE17" s="195">
        <v>64327</v>
      </c>
      <c r="AF17" s="17">
        <f t="shared" si="2"/>
        <v>1060</v>
      </c>
      <c r="AG17" s="195">
        <v>123994</v>
      </c>
      <c r="AH17" s="17">
        <f t="shared" si="3"/>
        <v>1800</v>
      </c>
      <c r="AI17" s="195">
        <v>221273</v>
      </c>
      <c r="AJ17" s="17">
        <f t="shared" si="4"/>
        <v>3460</v>
      </c>
      <c r="AK17" s="195">
        <v>114780</v>
      </c>
      <c r="AL17" s="17">
        <f t="shared" si="4"/>
        <v>1630</v>
      </c>
      <c r="AM17" s="195">
        <v>596730</v>
      </c>
      <c r="AN17" s="17">
        <f t="shared" ref="AN17" si="55">(AM17-AM16)*10</f>
        <v>8670</v>
      </c>
      <c r="AP17" s="202">
        <f t="shared" si="6"/>
        <v>27134.799999999996</v>
      </c>
      <c r="AQ17" s="203">
        <f t="shared" si="7"/>
        <v>22345.200000000001</v>
      </c>
    </row>
    <row r="18" spans="1:43" ht="39.950000000000003" customHeight="1">
      <c r="A18" s="193">
        <f t="shared" si="15"/>
        <v>44631</v>
      </c>
      <c r="B18" s="16"/>
      <c r="C18" s="195">
        <v>229041</v>
      </c>
      <c r="D18" s="17">
        <f t="shared" si="8"/>
        <v>3150</v>
      </c>
      <c r="E18" s="195">
        <v>376919</v>
      </c>
      <c r="F18" s="17">
        <f t="shared" si="8"/>
        <v>6680</v>
      </c>
      <c r="G18" s="195">
        <v>101033</v>
      </c>
      <c r="H18" s="17">
        <f t="shared" ref="H18" si="56">(G18-G17)*10</f>
        <v>2430</v>
      </c>
      <c r="I18" s="202">
        <f>H18*I6/100</f>
        <v>1166.4000000000001</v>
      </c>
      <c r="J18" s="202">
        <f>H18*J6/100</f>
        <v>1263.5999999999999</v>
      </c>
      <c r="K18" s="195">
        <v>334945</v>
      </c>
      <c r="L18" s="17">
        <f t="shared" ref="L18" si="57">(K18-K17)*10</f>
        <v>5130</v>
      </c>
      <c r="M18" s="195">
        <v>527558</v>
      </c>
      <c r="N18" s="17">
        <f t="shared" ref="N18" si="58">(M18-M17)*10</f>
        <v>7960</v>
      </c>
      <c r="O18" s="195">
        <v>215195</v>
      </c>
      <c r="P18" s="17">
        <f t="shared" si="0"/>
        <v>10790</v>
      </c>
      <c r="Q18" s="202">
        <f>P18*Q6/100</f>
        <v>5179.2</v>
      </c>
      <c r="R18" s="202">
        <f>P18*R6/100</f>
        <v>5610.8</v>
      </c>
      <c r="S18" s="195">
        <v>343642</v>
      </c>
      <c r="T18" s="17">
        <f t="shared" si="1"/>
        <v>20</v>
      </c>
      <c r="U18" s="202">
        <f>T18*U6/100</f>
        <v>9.6</v>
      </c>
      <c r="V18" s="202">
        <f>T18*V6/100</f>
        <v>10.4</v>
      </c>
      <c r="W18" s="195">
        <v>166828</v>
      </c>
      <c r="X18" s="17">
        <f t="shared" ref="X18" si="59">(W18-W17)*10</f>
        <v>20</v>
      </c>
      <c r="Y18" s="202">
        <f>X18*Y6/100</f>
        <v>9.6</v>
      </c>
      <c r="Z18" s="202">
        <f>X18*Z6/100</f>
        <v>10.4</v>
      </c>
      <c r="AA18" s="195">
        <v>245848</v>
      </c>
      <c r="AB18" s="17">
        <f t="shared" si="13"/>
        <v>80</v>
      </c>
      <c r="AC18" s="202">
        <f>AB18*AC6/100</f>
        <v>38.4</v>
      </c>
      <c r="AD18" s="202">
        <f>AB18*AD6/100</f>
        <v>41.6</v>
      </c>
      <c r="AE18" s="195">
        <v>64438</v>
      </c>
      <c r="AF18" s="17">
        <f t="shared" si="2"/>
        <v>1110</v>
      </c>
      <c r="AG18" s="195">
        <v>124165</v>
      </c>
      <c r="AH18" s="17">
        <f t="shared" si="3"/>
        <v>1710</v>
      </c>
      <c r="AI18" s="195">
        <v>221617</v>
      </c>
      <c r="AJ18" s="17">
        <f t="shared" si="4"/>
        <v>3440</v>
      </c>
      <c r="AK18" s="195">
        <v>114944</v>
      </c>
      <c r="AL18" s="17">
        <f t="shared" si="4"/>
        <v>1640</v>
      </c>
      <c r="AM18" s="195">
        <v>597613</v>
      </c>
      <c r="AN18" s="17">
        <f t="shared" ref="AN18" si="60">(AM18-AM17)*10</f>
        <v>8830</v>
      </c>
      <c r="AP18" s="202">
        <f t="shared" si="6"/>
        <v>29323.200000000001</v>
      </c>
      <c r="AQ18" s="203">
        <f t="shared" si="7"/>
        <v>23666.799999999999</v>
      </c>
    </row>
    <row r="19" spans="1:43" ht="39.950000000000003" customHeight="1">
      <c r="A19" s="193">
        <f t="shared" si="15"/>
        <v>44632</v>
      </c>
      <c r="B19" s="16"/>
      <c r="C19" s="195">
        <v>229340</v>
      </c>
      <c r="D19" s="17">
        <f t="shared" si="8"/>
        <v>2990</v>
      </c>
      <c r="E19" s="195">
        <v>377560</v>
      </c>
      <c r="F19" s="17">
        <f t="shared" si="8"/>
        <v>6410</v>
      </c>
      <c r="G19" s="195">
        <v>101260</v>
      </c>
      <c r="H19" s="17">
        <f t="shared" ref="H19" si="61">(G19-G18)*10</f>
        <v>2270</v>
      </c>
      <c r="I19" s="202">
        <f>H19*I6/100</f>
        <v>1089.5999999999999</v>
      </c>
      <c r="J19" s="202">
        <f>H19*J6/100</f>
        <v>1180.4000000000001</v>
      </c>
      <c r="K19" s="195">
        <v>335448</v>
      </c>
      <c r="L19" s="17">
        <f t="shared" ref="L19" si="62">(K19-K18)*10</f>
        <v>5030</v>
      </c>
      <c r="M19" s="195">
        <v>528346</v>
      </c>
      <c r="N19" s="17">
        <f t="shared" ref="N19" si="63">(M19-M18)*10</f>
        <v>7880</v>
      </c>
      <c r="O19" s="195">
        <v>216229</v>
      </c>
      <c r="P19" s="17">
        <f t="shared" si="0"/>
        <v>10340</v>
      </c>
      <c r="Q19" s="202">
        <f>P19*Q6/100</f>
        <v>4963.2</v>
      </c>
      <c r="R19" s="202">
        <f>P19*R6/100</f>
        <v>5376.8</v>
      </c>
      <c r="S19" s="195">
        <v>343644</v>
      </c>
      <c r="T19" s="17">
        <f t="shared" si="1"/>
        <v>20</v>
      </c>
      <c r="U19" s="202">
        <f>T19*U6/100</f>
        <v>9.6</v>
      </c>
      <c r="V19" s="202">
        <f>T19*V6/100</f>
        <v>10.4</v>
      </c>
      <c r="W19" s="195">
        <v>166831</v>
      </c>
      <c r="X19" s="17">
        <f t="shared" ref="X19" si="64">(W19-W18)*10</f>
        <v>30</v>
      </c>
      <c r="Y19" s="202">
        <f>X19*Y6/100</f>
        <v>14.4</v>
      </c>
      <c r="Z19" s="202">
        <f>X19*Z6/100</f>
        <v>15.6</v>
      </c>
      <c r="AA19" s="195">
        <v>245856</v>
      </c>
      <c r="AB19" s="17">
        <f t="shared" si="13"/>
        <v>80</v>
      </c>
      <c r="AC19" s="202">
        <f>AB19*AC6/100</f>
        <v>38.4</v>
      </c>
      <c r="AD19" s="202">
        <f>AB19*AD6/100</f>
        <v>41.6</v>
      </c>
      <c r="AE19" s="195">
        <v>64545</v>
      </c>
      <c r="AF19" s="17">
        <f t="shared" si="2"/>
        <v>1070</v>
      </c>
      <c r="AG19" s="195">
        <v>124321</v>
      </c>
      <c r="AH19" s="17">
        <f t="shared" si="3"/>
        <v>1560</v>
      </c>
      <c r="AI19" s="195">
        <v>221947</v>
      </c>
      <c r="AJ19" s="17">
        <f t="shared" si="4"/>
        <v>3300</v>
      </c>
      <c r="AK19" s="195">
        <v>115099</v>
      </c>
      <c r="AL19" s="17">
        <f t="shared" si="4"/>
        <v>1550</v>
      </c>
      <c r="AM19" s="195">
        <v>598450</v>
      </c>
      <c r="AN19" s="17">
        <f t="shared" ref="AN19" si="65">(AM19-AM18)*10</f>
        <v>8370</v>
      </c>
      <c r="AP19" s="202">
        <f t="shared" si="6"/>
        <v>28425.200000000001</v>
      </c>
      <c r="AQ19" s="203">
        <f t="shared" si="7"/>
        <v>22474.800000000003</v>
      </c>
    </row>
    <row r="20" spans="1:43" ht="39.950000000000003" customHeight="1">
      <c r="A20" s="193">
        <f t="shared" si="15"/>
        <v>44633</v>
      </c>
      <c r="B20" s="16"/>
      <c r="C20" s="195">
        <v>229653</v>
      </c>
      <c r="D20" s="17">
        <f t="shared" si="8"/>
        <v>3130</v>
      </c>
      <c r="E20" s="195">
        <v>378201</v>
      </c>
      <c r="F20" s="17">
        <f t="shared" si="8"/>
        <v>6410</v>
      </c>
      <c r="G20" s="195">
        <v>101505</v>
      </c>
      <c r="H20" s="17">
        <f t="shared" ref="H20" si="66">(G20-G19)*10</f>
        <v>2450</v>
      </c>
      <c r="I20" s="202">
        <f>H20*I6/100</f>
        <v>1176</v>
      </c>
      <c r="J20" s="202">
        <f>H20*J6/100</f>
        <v>1274</v>
      </c>
      <c r="K20" s="195">
        <v>335960</v>
      </c>
      <c r="L20" s="17">
        <f t="shared" ref="L20" si="67">(K20-K19)*10</f>
        <v>5120</v>
      </c>
      <c r="M20" s="195">
        <v>529134</v>
      </c>
      <c r="N20" s="17">
        <f t="shared" ref="N20" si="68">(M20-M19)*10</f>
        <v>7880</v>
      </c>
      <c r="O20" s="195">
        <v>217184</v>
      </c>
      <c r="P20" s="17">
        <f t="shared" si="0"/>
        <v>9550</v>
      </c>
      <c r="Q20" s="202">
        <f>P20*Q6/100</f>
        <v>4584</v>
      </c>
      <c r="R20" s="202">
        <f>P20*R6/100</f>
        <v>4966</v>
      </c>
      <c r="S20" s="195">
        <v>344038</v>
      </c>
      <c r="T20" s="17">
        <f t="shared" si="1"/>
        <v>3940</v>
      </c>
      <c r="U20" s="202">
        <f>T20*U6/100</f>
        <v>1891.2</v>
      </c>
      <c r="V20" s="202">
        <f>T20*V6/100</f>
        <v>2048.8000000000002</v>
      </c>
      <c r="W20" s="195">
        <v>166833</v>
      </c>
      <c r="X20" s="17">
        <f t="shared" ref="X20" si="69">(W20-W19)*10</f>
        <v>20</v>
      </c>
      <c r="Y20" s="202">
        <f>X20*Y6/100</f>
        <v>9.6</v>
      </c>
      <c r="Z20" s="202">
        <f>X20*Z6/100</f>
        <v>10.4</v>
      </c>
      <c r="AA20" s="195">
        <v>245863</v>
      </c>
      <c r="AB20" s="17">
        <f t="shared" si="13"/>
        <v>70</v>
      </c>
      <c r="AC20" s="202">
        <f>AB20*AC6/100</f>
        <v>33.6</v>
      </c>
      <c r="AD20" s="202">
        <f>AB20*AD6/100</f>
        <v>36.4</v>
      </c>
      <c r="AE20" s="195">
        <v>64656</v>
      </c>
      <c r="AF20" s="17">
        <f t="shared" si="2"/>
        <v>1110</v>
      </c>
      <c r="AG20" s="195">
        <v>124482</v>
      </c>
      <c r="AH20" s="17">
        <f t="shared" si="3"/>
        <v>1610</v>
      </c>
      <c r="AI20" s="195">
        <v>222282</v>
      </c>
      <c r="AJ20" s="17">
        <f t="shared" si="4"/>
        <v>3350</v>
      </c>
      <c r="AK20" s="195">
        <v>115264</v>
      </c>
      <c r="AL20" s="17">
        <f t="shared" si="4"/>
        <v>1650</v>
      </c>
      <c r="AM20" s="195">
        <v>599337</v>
      </c>
      <c r="AN20" s="17">
        <f t="shared" ref="AN20" si="70">(AM20-AM19)*10</f>
        <v>8870</v>
      </c>
      <c r="AP20" s="202">
        <f t="shared" si="6"/>
        <v>30234.399999999998</v>
      </c>
      <c r="AQ20" s="203">
        <f t="shared" si="7"/>
        <v>24925.599999999999</v>
      </c>
    </row>
    <row r="21" spans="1:43" ht="39.950000000000003" customHeight="1">
      <c r="A21" s="193">
        <f t="shared" si="15"/>
        <v>44634</v>
      </c>
      <c r="B21" s="16"/>
      <c r="C21" s="195">
        <v>229972</v>
      </c>
      <c r="D21" s="17">
        <f t="shared" si="8"/>
        <v>3190</v>
      </c>
      <c r="E21" s="195">
        <v>378857</v>
      </c>
      <c r="F21" s="17">
        <f t="shared" si="8"/>
        <v>6560</v>
      </c>
      <c r="G21" s="195">
        <v>101782</v>
      </c>
      <c r="H21" s="17">
        <f t="shared" ref="H21" si="71">(G21-G20)*10</f>
        <v>2770</v>
      </c>
      <c r="I21" s="202">
        <f>H21*I6/100</f>
        <v>1329.6</v>
      </c>
      <c r="J21" s="202">
        <f>H21*J6/100</f>
        <v>1440.4</v>
      </c>
      <c r="K21" s="195">
        <v>336454</v>
      </c>
      <c r="L21" s="17">
        <f t="shared" ref="L21" si="72">(K21-K20)*10</f>
        <v>4940</v>
      </c>
      <c r="M21" s="195">
        <v>529844</v>
      </c>
      <c r="N21" s="17">
        <f t="shared" ref="N21" si="73">(M21-M20)*10</f>
        <v>7100</v>
      </c>
      <c r="O21" s="195">
        <v>217876</v>
      </c>
      <c r="P21" s="17">
        <f t="shared" si="0"/>
        <v>6920</v>
      </c>
      <c r="Q21" s="202">
        <f>P21*Q6/100</f>
        <v>3321.6</v>
      </c>
      <c r="R21" s="202">
        <f>P21*R6/100</f>
        <v>3598.4</v>
      </c>
      <c r="S21" s="195">
        <v>344660</v>
      </c>
      <c r="T21" s="17">
        <f t="shared" si="1"/>
        <v>6220</v>
      </c>
      <c r="U21" s="202">
        <f>T21*U6/100</f>
        <v>2985.6</v>
      </c>
      <c r="V21" s="202">
        <f>T21*V6/100</f>
        <v>3234.4</v>
      </c>
      <c r="W21" s="195">
        <v>166948</v>
      </c>
      <c r="X21" s="17">
        <f t="shared" ref="X21" si="74">(W21-W20)*10</f>
        <v>1150</v>
      </c>
      <c r="Y21" s="202">
        <f>X21*Y6/100</f>
        <v>552</v>
      </c>
      <c r="Z21" s="202">
        <f>X21*Z6/100</f>
        <v>598</v>
      </c>
      <c r="AA21" s="195">
        <v>245880</v>
      </c>
      <c r="AB21" s="17">
        <f t="shared" si="13"/>
        <v>170</v>
      </c>
      <c r="AC21" s="202">
        <f>AB21*AC6/100</f>
        <v>81.599999999999994</v>
      </c>
      <c r="AD21" s="202">
        <f>AB21*AD6/100</f>
        <v>88.4</v>
      </c>
      <c r="AE21" s="195">
        <v>64764</v>
      </c>
      <c r="AF21" s="17">
        <f t="shared" si="2"/>
        <v>1080</v>
      </c>
      <c r="AG21" s="195">
        <v>124649</v>
      </c>
      <c r="AH21" s="17">
        <f t="shared" si="3"/>
        <v>1670</v>
      </c>
      <c r="AI21" s="195">
        <v>222637</v>
      </c>
      <c r="AJ21" s="17">
        <f t="shared" si="4"/>
        <v>3550</v>
      </c>
      <c r="AK21" s="195">
        <v>115427</v>
      </c>
      <c r="AL21" s="17">
        <f t="shared" si="4"/>
        <v>1630</v>
      </c>
      <c r="AM21" s="195">
        <v>600228</v>
      </c>
      <c r="AN21" s="17">
        <f t="shared" ref="AN21" si="75">(AM21-AM20)*10</f>
        <v>8910</v>
      </c>
      <c r="AP21" s="202">
        <f t="shared" si="6"/>
        <v>30060.399999999994</v>
      </c>
      <c r="AQ21" s="203">
        <f t="shared" si="7"/>
        <v>25799.600000000002</v>
      </c>
    </row>
    <row r="22" spans="1:43" ht="39.950000000000003" customHeight="1">
      <c r="A22" s="193">
        <f t="shared" si="15"/>
        <v>44635</v>
      </c>
      <c r="B22" s="16"/>
      <c r="C22" s="195">
        <v>230288</v>
      </c>
      <c r="D22" s="17">
        <f t="shared" si="8"/>
        <v>3160</v>
      </c>
      <c r="E22" s="195">
        <v>379531</v>
      </c>
      <c r="F22" s="17">
        <f t="shared" si="8"/>
        <v>6740</v>
      </c>
      <c r="G22" s="195">
        <v>102043</v>
      </c>
      <c r="H22" s="17">
        <f t="shared" ref="H22" si="76">(G22-G21)*10</f>
        <v>2610</v>
      </c>
      <c r="I22" s="202">
        <f>H22*I6/100</f>
        <v>1252.8</v>
      </c>
      <c r="J22" s="202">
        <f>H22*J6/100</f>
        <v>1357.2</v>
      </c>
      <c r="K22" s="195">
        <v>336962</v>
      </c>
      <c r="L22" s="17">
        <f t="shared" ref="L22" si="77">(K22-K21)*10</f>
        <v>5080</v>
      </c>
      <c r="M22" s="195">
        <v>530628</v>
      </c>
      <c r="N22" s="17">
        <f t="shared" ref="N22" si="78">(M22-M21)*10</f>
        <v>7840</v>
      </c>
      <c r="O22" s="195">
        <v>219009</v>
      </c>
      <c r="P22" s="17">
        <f t="shared" si="0"/>
        <v>11330</v>
      </c>
      <c r="Q22" s="202">
        <f>P22*Q6/100</f>
        <v>5438.4</v>
      </c>
      <c r="R22" s="202">
        <f>P22*R6/100</f>
        <v>5891.6</v>
      </c>
      <c r="S22" s="195">
        <v>344663</v>
      </c>
      <c r="T22" s="17">
        <f t="shared" si="1"/>
        <v>30</v>
      </c>
      <c r="U22" s="202">
        <f>T22*U6/100</f>
        <v>14.4</v>
      </c>
      <c r="V22" s="202">
        <f>T22*V6/100</f>
        <v>15.6</v>
      </c>
      <c r="W22" s="195">
        <v>166950</v>
      </c>
      <c r="X22" s="17">
        <f t="shared" ref="X22" si="79">(W22-W21)*10</f>
        <v>20</v>
      </c>
      <c r="Y22" s="202">
        <f>X22*Y6/100</f>
        <v>9.6</v>
      </c>
      <c r="Z22" s="202">
        <f>X22*Z6/100</f>
        <v>10.4</v>
      </c>
      <c r="AA22" s="195">
        <v>246235</v>
      </c>
      <c r="AB22" s="17">
        <f t="shared" si="13"/>
        <v>3550</v>
      </c>
      <c r="AC22" s="202">
        <f>AB22*AC6/100</f>
        <v>1704</v>
      </c>
      <c r="AD22" s="202">
        <f>AB22*AD6/100</f>
        <v>1846</v>
      </c>
      <c r="AE22" s="195">
        <v>64874</v>
      </c>
      <c r="AF22" s="17">
        <f t="shared" si="2"/>
        <v>1100</v>
      </c>
      <c r="AG22" s="195">
        <v>124817</v>
      </c>
      <c r="AH22" s="17">
        <f t="shared" si="3"/>
        <v>1680</v>
      </c>
      <c r="AI22" s="195">
        <v>222998</v>
      </c>
      <c r="AJ22" s="17">
        <f t="shared" si="4"/>
        <v>3610</v>
      </c>
      <c r="AK22" s="195">
        <v>115591</v>
      </c>
      <c r="AL22" s="17">
        <f t="shared" si="4"/>
        <v>1640</v>
      </c>
      <c r="AM22" s="195">
        <v>601125</v>
      </c>
      <c r="AN22" s="17">
        <f t="shared" ref="AN22" si="80">(AM22-AM21)*10</f>
        <v>8970</v>
      </c>
      <c r="AP22" s="202">
        <f t="shared" si="6"/>
        <v>31239.199999999997</v>
      </c>
      <c r="AQ22" s="203">
        <f t="shared" si="7"/>
        <v>26120.799999999999</v>
      </c>
    </row>
    <row r="23" spans="1:43" ht="39.950000000000003" customHeight="1">
      <c r="A23" s="193">
        <f t="shared" si="15"/>
        <v>44636</v>
      </c>
      <c r="B23" s="16"/>
      <c r="C23" s="195">
        <v>230601</v>
      </c>
      <c r="D23" s="17">
        <f t="shared" si="8"/>
        <v>3130</v>
      </c>
      <c r="E23" s="195">
        <v>380203</v>
      </c>
      <c r="F23" s="17">
        <f t="shared" si="8"/>
        <v>6720</v>
      </c>
      <c r="G23" s="195">
        <v>102279</v>
      </c>
      <c r="H23" s="17">
        <f t="shared" ref="H23" si="81">(G23-G22)*10</f>
        <v>2360</v>
      </c>
      <c r="I23" s="202">
        <f>H23*I6/100</f>
        <v>1132.8</v>
      </c>
      <c r="J23" s="202">
        <f>H23*J6/100</f>
        <v>1227.2</v>
      </c>
      <c r="K23" s="195">
        <v>337459</v>
      </c>
      <c r="L23" s="17">
        <f t="shared" ref="L23" si="82">(K23-K22)*10</f>
        <v>4970</v>
      </c>
      <c r="M23" s="195">
        <v>531437</v>
      </c>
      <c r="N23" s="17">
        <f t="shared" ref="N23" si="83">(M23-M22)*10</f>
        <v>8090</v>
      </c>
      <c r="O23" s="195">
        <v>220227</v>
      </c>
      <c r="P23" s="17">
        <f t="shared" si="0"/>
        <v>12180</v>
      </c>
      <c r="Q23" s="202">
        <f>P23*Q6/100</f>
        <v>5846.4</v>
      </c>
      <c r="R23" s="202">
        <f>P23*R6/100</f>
        <v>6333.6</v>
      </c>
      <c r="S23" s="195">
        <v>344665</v>
      </c>
      <c r="T23" s="17">
        <f t="shared" si="1"/>
        <v>20</v>
      </c>
      <c r="U23" s="202">
        <f>T23*U6/100</f>
        <v>9.6</v>
      </c>
      <c r="V23" s="202">
        <f>T23*V6/100</f>
        <v>10.4</v>
      </c>
      <c r="W23" s="195">
        <v>167021</v>
      </c>
      <c r="X23" s="17">
        <f t="shared" ref="X23" si="84">(W23-W22)*10</f>
        <v>710</v>
      </c>
      <c r="Y23" s="202">
        <f>X23*Y6/100</f>
        <v>340.8</v>
      </c>
      <c r="Z23" s="202">
        <f>X23*Z6/100</f>
        <v>369.2</v>
      </c>
      <c r="AA23" s="195">
        <v>246248</v>
      </c>
      <c r="AB23" s="17">
        <f t="shared" si="13"/>
        <v>130</v>
      </c>
      <c r="AC23" s="202">
        <f>AB23*AC6/100</f>
        <v>62.4</v>
      </c>
      <c r="AD23" s="202">
        <f>AB23*AD6/100</f>
        <v>67.599999999999994</v>
      </c>
      <c r="AE23" s="195">
        <v>64987</v>
      </c>
      <c r="AF23" s="17">
        <f t="shared" si="2"/>
        <v>1130</v>
      </c>
      <c r="AG23" s="195">
        <v>124981</v>
      </c>
      <c r="AH23" s="17">
        <f t="shared" si="3"/>
        <v>1640</v>
      </c>
      <c r="AI23" s="195">
        <v>223360</v>
      </c>
      <c r="AJ23" s="17">
        <f t="shared" si="4"/>
        <v>3620</v>
      </c>
      <c r="AK23" s="195">
        <v>115749</v>
      </c>
      <c r="AL23" s="17">
        <f t="shared" si="4"/>
        <v>1580</v>
      </c>
      <c r="AM23" s="195">
        <v>602011</v>
      </c>
      <c r="AN23" s="17">
        <f t="shared" ref="AN23" si="85">(AM23-AM22)*10</f>
        <v>8860</v>
      </c>
      <c r="AP23" s="202">
        <f t="shared" si="6"/>
        <v>30301.999999999996</v>
      </c>
      <c r="AQ23" s="203">
        <f t="shared" si="7"/>
        <v>24838</v>
      </c>
    </row>
    <row r="24" spans="1:43" ht="39.950000000000003" customHeight="1">
      <c r="A24" s="193">
        <f t="shared" si="15"/>
        <v>44637</v>
      </c>
      <c r="B24" s="16"/>
      <c r="C24" s="195">
        <v>230906</v>
      </c>
      <c r="D24" s="17">
        <f t="shared" si="8"/>
        <v>3050</v>
      </c>
      <c r="E24" s="195">
        <v>380832</v>
      </c>
      <c r="F24" s="17">
        <f t="shared" si="8"/>
        <v>6290</v>
      </c>
      <c r="G24" s="195">
        <v>102498</v>
      </c>
      <c r="H24" s="17">
        <f t="shared" ref="H24" si="86">(G24-G23)*10</f>
        <v>2190</v>
      </c>
      <c r="I24" s="202">
        <f>H24*I6/100</f>
        <v>1051.2</v>
      </c>
      <c r="J24" s="202">
        <f>H24*J6/100</f>
        <v>1138.8</v>
      </c>
      <c r="K24" s="195">
        <v>337946</v>
      </c>
      <c r="L24" s="17">
        <f t="shared" ref="L24:L38" si="87">(K24-K23)*10</f>
        <v>4870</v>
      </c>
      <c r="M24" s="195">
        <v>532221</v>
      </c>
      <c r="N24" s="17">
        <f t="shared" ref="N24:N38" si="88">(M24-M23)*10</f>
        <v>7840</v>
      </c>
      <c r="O24" s="195">
        <v>221461</v>
      </c>
      <c r="P24" s="17">
        <f t="shared" si="0"/>
        <v>12340</v>
      </c>
      <c r="Q24" s="202">
        <f>P24*Q6/100</f>
        <v>5923.2</v>
      </c>
      <c r="R24" s="202">
        <f>P24*R6/100</f>
        <v>6416.8</v>
      </c>
      <c r="S24" s="195">
        <v>344692</v>
      </c>
      <c r="T24" s="17">
        <f t="shared" si="1"/>
        <v>270</v>
      </c>
      <c r="U24" s="202">
        <f>T24*U6/100</f>
        <v>129.6</v>
      </c>
      <c r="V24" s="202">
        <f>T24*V6/100</f>
        <v>140.4</v>
      </c>
      <c r="W24" s="195">
        <v>167352</v>
      </c>
      <c r="X24" s="17">
        <f t="shared" ref="X24" si="89">(W24-W23)*10</f>
        <v>3310</v>
      </c>
      <c r="Y24" s="202">
        <f>X24*Y6/100</f>
        <v>1588.8</v>
      </c>
      <c r="Z24" s="202">
        <f>X24*Z6/100</f>
        <v>1721.2</v>
      </c>
      <c r="AA24" s="195">
        <v>246277</v>
      </c>
      <c r="AB24" s="17">
        <f t="shared" si="13"/>
        <v>290</v>
      </c>
      <c r="AC24" s="202">
        <f>AB24*AC6/100</f>
        <v>139.19999999999999</v>
      </c>
      <c r="AD24" s="202">
        <f>AB24*AD6/100</f>
        <v>150.80000000000001</v>
      </c>
      <c r="AE24" s="195">
        <v>65092</v>
      </c>
      <c r="AF24" s="17">
        <f t="shared" si="2"/>
        <v>1050</v>
      </c>
      <c r="AG24" s="195">
        <v>125138</v>
      </c>
      <c r="AH24" s="17">
        <f t="shared" si="3"/>
        <v>1570</v>
      </c>
      <c r="AI24" s="195">
        <v>223718</v>
      </c>
      <c r="AJ24" s="17">
        <f t="shared" si="4"/>
        <v>3580</v>
      </c>
      <c r="AK24" s="195">
        <v>115903</v>
      </c>
      <c r="AL24" s="17">
        <f t="shared" si="4"/>
        <v>1540</v>
      </c>
      <c r="AM24" s="195">
        <v>602890</v>
      </c>
      <c r="AN24" s="17">
        <f t="shared" ref="AN24" si="90">(AM24-AM23)*10</f>
        <v>8790</v>
      </c>
      <c r="AP24" s="202">
        <f t="shared" si="6"/>
        <v>30882</v>
      </c>
      <c r="AQ24" s="203">
        <f t="shared" si="7"/>
        <v>26097.999999999996</v>
      </c>
    </row>
    <row r="25" spans="1:43" ht="39.950000000000003" customHeight="1">
      <c r="A25" s="193">
        <f t="shared" si="15"/>
        <v>44638</v>
      </c>
      <c r="B25" s="16"/>
      <c r="C25" s="195">
        <v>231238</v>
      </c>
      <c r="D25" s="17">
        <f t="shared" si="8"/>
        <v>3320</v>
      </c>
      <c r="E25" s="195">
        <v>381514</v>
      </c>
      <c r="F25" s="17">
        <f t="shared" si="8"/>
        <v>6820</v>
      </c>
      <c r="G25" s="195">
        <v>102760</v>
      </c>
      <c r="H25" s="17">
        <f t="shared" ref="H25:H35" si="91">(G25-G24)*10</f>
        <v>2620</v>
      </c>
      <c r="I25" s="202">
        <f>H25*I6/100</f>
        <v>1257.5999999999999</v>
      </c>
      <c r="J25" s="202">
        <f>H25*J6/100</f>
        <v>1362.4</v>
      </c>
      <c r="K25" s="195">
        <v>338450</v>
      </c>
      <c r="L25" s="17">
        <f t="shared" si="87"/>
        <v>5040</v>
      </c>
      <c r="M25" s="195">
        <v>533033</v>
      </c>
      <c r="N25" s="17">
        <f t="shared" si="88"/>
        <v>8120</v>
      </c>
      <c r="O25" s="195">
        <v>222670</v>
      </c>
      <c r="P25" s="17">
        <f t="shared" ref="P25:P35" si="92">(O25-O24)*10</f>
        <v>12090</v>
      </c>
      <c r="Q25" s="202">
        <f>P25*Q6/100</f>
        <v>5803.2</v>
      </c>
      <c r="R25" s="202">
        <f>P25*R6/100</f>
        <v>6286.8</v>
      </c>
      <c r="S25" s="195">
        <v>345158</v>
      </c>
      <c r="T25" s="17">
        <f t="shared" ref="T25:T35" si="93">(S25-S24)*10</f>
        <v>4660</v>
      </c>
      <c r="U25" s="202">
        <f>T25*U6/100</f>
        <v>2236.8000000000002</v>
      </c>
      <c r="V25" s="202">
        <f>T25*V6/100</f>
        <v>2423.1999999999998</v>
      </c>
      <c r="W25" s="195">
        <v>167354</v>
      </c>
      <c r="X25" s="17">
        <f t="shared" ref="X25:X35" si="94">(W25-W24)*10</f>
        <v>20</v>
      </c>
      <c r="Y25" s="202">
        <f>X25*Y6/100</f>
        <v>9.6</v>
      </c>
      <c r="Z25" s="202">
        <f>X25*Z6/100</f>
        <v>10.4</v>
      </c>
      <c r="AA25" s="195">
        <v>246285</v>
      </c>
      <c r="AB25" s="17">
        <f t="shared" si="13"/>
        <v>80</v>
      </c>
      <c r="AC25" s="202">
        <f>AB25*AC6/100</f>
        <v>38.4</v>
      </c>
      <c r="AD25" s="202">
        <f>AB25*AD6/100</f>
        <v>41.6</v>
      </c>
      <c r="AE25" s="195">
        <v>65189</v>
      </c>
      <c r="AF25" s="17">
        <f t="shared" si="2"/>
        <v>970</v>
      </c>
      <c r="AG25" s="195">
        <v>125291</v>
      </c>
      <c r="AH25" s="17">
        <f t="shared" si="3"/>
        <v>1530</v>
      </c>
      <c r="AI25" s="195">
        <v>224076</v>
      </c>
      <c r="AJ25" s="17">
        <f t="shared" si="4"/>
        <v>3580</v>
      </c>
      <c r="AK25" s="195">
        <v>116053</v>
      </c>
      <c r="AL25" s="17">
        <f t="shared" si="4"/>
        <v>1500</v>
      </c>
      <c r="AM25" s="195">
        <v>603787</v>
      </c>
      <c r="AN25" s="17">
        <f t="shared" ref="AN25" si="95">(AM25-AM24)*10</f>
        <v>8970</v>
      </c>
      <c r="AP25" s="202">
        <f t="shared" si="6"/>
        <v>32645.599999999999</v>
      </c>
      <c r="AQ25" s="203">
        <f t="shared" si="7"/>
        <v>26674.400000000001</v>
      </c>
    </row>
    <row r="26" spans="1:43" ht="39.950000000000003" customHeight="1">
      <c r="A26" s="193">
        <f t="shared" si="15"/>
        <v>44639</v>
      </c>
      <c r="B26" s="16"/>
      <c r="C26" s="195">
        <v>231567</v>
      </c>
      <c r="D26" s="17">
        <f t="shared" ref="D26:D38" si="96">(C26-C25)*10</f>
        <v>3290</v>
      </c>
      <c r="E26" s="195">
        <v>382201</v>
      </c>
      <c r="F26" s="17">
        <f t="shared" ref="F26:F38" si="97">(E26-E25)*10</f>
        <v>6870</v>
      </c>
      <c r="G26" s="195">
        <v>103000</v>
      </c>
      <c r="H26" s="17">
        <f t="shared" si="91"/>
        <v>2400</v>
      </c>
      <c r="I26" s="202">
        <f>H26*I6/100</f>
        <v>1152</v>
      </c>
      <c r="J26" s="202">
        <f>H26*J6/100</f>
        <v>1248</v>
      </c>
      <c r="K26" s="195">
        <v>338952</v>
      </c>
      <c r="L26" s="17">
        <f t="shared" si="87"/>
        <v>5020</v>
      </c>
      <c r="M26" s="195">
        <v>533852</v>
      </c>
      <c r="N26" s="17">
        <f t="shared" si="88"/>
        <v>8190</v>
      </c>
      <c r="O26" s="195">
        <v>223861</v>
      </c>
      <c r="P26" s="17">
        <f t="shared" si="92"/>
        <v>11910</v>
      </c>
      <c r="Q26" s="202">
        <f>P26*Q6/100</f>
        <v>5716.8</v>
      </c>
      <c r="R26" s="202">
        <f>P26*R6/100</f>
        <v>6193.2</v>
      </c>
      <c r="S26" s="195">
        <v>345468</v>
      </c>
      <c r="T26" s="17">
        <f t="shared" si="93"/>
        <v>3100</v>
      </c>
      <c r="U26" s="202">
        <f>T26*U6/100</f>
        <v>1488</v>
      </c>
      <c r="V26" s="202">
        <f>T26*V6/100</f>
        <v>1612</v>
      </c>
      <c r="W26" s="195">
        <v>167356</v>
      </c>
      <c r="X26" s="17">
        <f t="shared" si="94"/>
        <v>20</v>
      </c>
      <c r="Y26" s="202">
        <f>X26*Y6/100</f>
        <v>9.6</v>
      </c>
      <c r="Z26" s="202">
        <f>X26*Z6/100</f>
        <v>10.4</v>
      </c>
      <c r="AA26" s="195">
        <v>246293</v>
      </c>
      <c r="AB26" s="17">
        <f t="shared" si="13"/>
        <v>80</v>
      </c>
      <c r="AC26" s="202">
        <f>AB26*AC6/100</f>
        <v>38.4</v>
      </c>
      <c r="AD26" s="202">
        <f>AB26*AD6/100</f>
        <v>41.6</v>
      </c>
      <c r="AE26" s="195">
        <v>65284</v>
      </c>
      <c r="AF26" s="17">
        <f t="shared" si="2"/>
        <v>950</v>
      </c>
      <c r="AG26" s="195">
        <v>125440</v>
      </c>
      <c r="AH26" s="17">
        <f t="shared" si="3"/>
        <v>1490</v>
      </c>
      <c r="AI26" s="195">
        <v>224425</v>
      </c>
      <c r="AJ26" s="17">
        <f t="shared" si="4"/>
        <v>3490</v>
      </c>
      <c r="AK26" s="195">
        <v>116202</v>
      </c>
      <c r="AL26" s="17">
        <f t="shared" si="4"/>
        <v>1490</v>
      </c>
      <c r="AM26" s="195">
        <v>604665</v>
      </c>
      <c r="AN26" s="17">
        <f t="shared" ref="AN26" si="98">(AM26-AM25)*10</f>
        <v>8780</v>
      </c>
      <c r="AP26" s="202">
        <f t="shared" si="6"/>
        <v>31774.799999999999</v>
      </c>
      <c r="AQ26" s="203">
        <f t="shared" si="7"/>
        <v>25305.200000000001</v>
      </c>
    </row>
    <row r="27" spans="1:43" ht="39.950000000000003" customHeight="1">
      <c r="A27" s="193">
        <f t="shared" si="15"/>
        <v>44640</v>
      </c>
      <c r="B27" s="16"/>
      <c r="C27" s="195">
        <v>231907</v>
      </c>
      <c r="D27" s="17">
        <f t="shared" si="96"/>
        <v>3400</v>
      </c>
      <c r="E27" s="195">
        <v>382887</v>
      </c>
      <c r="F27" s="17">
        <f t="shared" si="97"/>
        <v>6860</v>
      </c>
      <c r="G27" s="195">
        <v>103225</v>
      </c>
      <c r="H27" s="17">
        <f t="shared" si="91"/>
        <v>2250</v>
      </c>
      <c r="I27" s="202">
        <f>H27*I6/100</f>
        <v>1080</v>
      </c>
      <c r="J27" s="202">
        <f>H27*J6/100</f>
        <v>1170</v>
      </c>
      <c r="K27" s="195">
        <v>339474</v>
      </c>
      <c r="L27" s="17">
        <f t="shared" si="87"/>
        <v>5220</v>
      </c>
      <c r="M27" s="195">
        <v>534680</v>
      </c>
      <c r="N27" s="17">
        <f t="shared" si="88"/>
        <v>8280</v>
      </c>
      <c r="O27" s="195">
        <v>225119</v>
      </c>
      <c r="P27" s="17">
        <f t="shared" si="92"/>
        <v>12580</v>
      </c>
      <c r="Q27" s="202">
        <f>P27*Q6/100</f>
        <v>6038.4</v>
      </c>
      <c r="R27" s="202">
        <f>P27*R6/100</f>
        <v>6541.6</v>
      </c>
      <c r="S27" s="195">
        <v>345470</v>
      </c>
      <c r="T27" s="17">
        <f t="shared" si="93"/>
        <v>20</v>
      </c>
      <c r="U27" s="202">
        <f>T27*U6/100</f>
        <v>9.6</v>
      </c>
      <c r="V27" s="202">
        <f>T27*V6/100</f>
        <v>10.4</v>
      </c>
      <c r="W27" s="195">
        <v>167358</v>
      </c>
      <c r="X27" s="17">
        <f t="shared" si="94"/>
        <v>20</v>
      </c>
      <c r="Y27" s="202">
        <f>X27*Y6/100</f>
        <v>9.6</v>
      </c>
      <c r="Z27" s="202">
        <f>X27*Z6/100</f>
        <v>10.4</v>
      </c>
      <c r="AA27" s="195">
        <v>246300</v>
      </c>
      <c r="AB27" s="17">
        <f t="shared" si="13"/>
        <v>70</v>
      </c>
      <c r="AC27" s="202">
        <f>AB27*AC6/100</f>
        <v>33.6</v>
      </c>
      <c r="AD27" s="202">
        <f>AB27*AD6/100</f>
        <v>36.4</v>
      </c>
      <c r="AE27" s="195">
        <v>65384</v>
      </c>
      <c r="AF27" s="17">
        <f t="shared" si="2"/>
        <v>1000</v>
      </c>
      <c r="AG27" s="195">
        <v>125594</v>
      </c>
      <c r="AH27" s="17">
        <f t="shared" si="3"/>
        <v>1540</v>
      </c>
      <c r="AI27" s="195">
        <v>224771</v>
      </c>
      <c r="AJ27" s="17">
        <f t="shared" si="4"/>
        <v>3460</v>
      </c>
      <c r="AK27" s="195">
        <v>116356</v>
      </c>
      <c r="AL27" s="17">
        <f t="shared" si="4"/>
        <v>1540</v>
      </c>
      <c r="AM27" s="195">
        <v>605556</v>
      </c>
      <c r="AN27" s="17">
        <f t="shared" ref="AN27" si="99">(AM27-AM26)*10</f>
        <v>8910</v>
      </c>
      <c r="AP27" s="202">
        <f t="shared" si="6"/>
        <v>30931.199999999997</v>
      </c>
      <c r="AQ27" s="203">
        <f t="shared" si="7"/>
        <v>24218.799999999999</v>
      </c>
    </row>
    <row r="28" spans="1:43" ht="39.950000000000003" customHeight="1">
      <c r="A28" s="193">
        <f t="shared" si="15"/>
        <v>44641</v>
      </c>
      <c r="B28" s="16"/>
      <c r="C28" s="195">
        <v>232233</v>
      </c>
      <c r="D28" s="17">
        <f t="shared" si="96"/>
        <v>3260</v>
      </c>
      <c r="E28" s="195">
        <v>383536</v>
      </c>
      <c r="F28" s="17">
        <f t="shared" si="97"/>
        <v>6490</v>
      </c>
      <c r="G28" s="195">
        <v>103450</v>
      </c>
      <c r="H28" s="17">
        <f t="shared" si="91"/>
        <v>2250</v>
      </c>
      <c r="I28" s="202">
        <f>H28*I6/100</f>
        <v>1080</v>
      </c>
      <c r="J28" s="202">
        <f>H28*J6/100</f>
        <v>1170</v>
      </c>
      <c r="K28" s="195">
        <v>339968</v>
      </c>
      <c r="L28" s="17">
        <f t="shared" si="87"/>
        <v>4940</v>
      </c>
      <c r="M28" s="195">
        <v>535392</v>
      </c>
      <c r="N28" s="17">
        <f t="shared" si="88"/>
        <v>7120</v>
      </c>
      <c r="O28" s="195">
        <v>225951</v>
      </c>
      <c r="P28" s="17">
        <f t="shared" si="92"/>
        <v>8320</v>
      </c>
      <c r="Q28" s="202">
        <f>P28*Q6/100</f>
        <v>3993.6</v>
      </c>
      <c r="R28" s="202">
        <f>P28*R6/100</f>
        <v>4326.3999999999996</v>
      </c>
      <c r="S28" s="195">
        <v>345796</v>
      </c>
      <c r="T28" s="17">
        <f t="shared" si="93"/>
        <v>3260</v>
      </c>
      <c r="U28" s="202">
        <f>T28*U6/100</f>
        <v>1564.8</v>
      </c>
      <c r="V28" s="202">
        <f>T28*V6/100</f>
        <v>1695.2</v>
      </c>
      <c r="W28" s="195">
        <v>167621</v>
      </c>
      <c r="X28" s="17">
        <f t="shared" si="94"/>
        <v>2630</v>
      </c>
      <c r="Y28" s="202">
        <f>X28*Y6/100</f>
        <v>1262.4000000000001</v>
      </c>
      <c r="Z28" s="202">
        <f>X28*Z6/100</f>
        <v>1367.6</v>
      </c>
      <c r="AA28" s="195">
        <v>246327</v>
      </c>
      <c r="AB28" s="17">
        <f t="shared" si="13"/>
        <v>270</v>
      </c>
      <c r="AC28" s="202">
        <f>AB28*AC6/100</f>
        <v>129.6</v>
      </c>
      <c r="AD28" s="202">
        <f>AB28*AD6/100</f>
        <v>140.4</v>
      </c>
      <c r="AE28" s="195">
        <v>65486</v>
      </c>
      <c r="AF28" s="17">
        <f t="shared" si="2"/>
        <v>1020</v>
      </c>
      <c r="AG28" s="195">
        <v>125745</v>
      </c>
      <c r="AH28" s="17">
        <f t="shared" si="3"/>
        <v>1510</v>
      </c>
      <c r="AI28" s="195">
        <v>225106</v>
      </c>
      <c r="AJ28" s="17">
        <f t="shared" si="4"/>
        <v>3350</v>
      </c>
      <c r="AK28" s="195">
        <v>116503</v>
      </c>
      <c r="AL28" s="17">
        <f t="shared" si="4"/>
        <v>1470</v>
      </c>
      <c r="AM28" s="195">
        <v>606416</v>
      </c>
      <c r="AN28" s="17">
        <f t="shared" ref="AN28" si="100">(AM28-AM27)*10</f>
        <v>8600</v>
      </c>
      <c r="AP28" s="202">
        <f t="shared" si="6"/>
        <v>29840.399999999998</v>
      </c>
      <c r="AQ28" s="203">
        <f t="shared" si="7"/>
        <v>24649.599999999999</v>
      </c>
    </row>
    <row r="29" spans="1:43" ht="39.950000000000003" customHeight="1">
      <c r="A29" s="193">
        <f t="shared" si="15"/>
        <v>44642</v>
      </c>
      <c r="B29" s="16"/>
      <c r="C29" s="195">
        <v>232556</v>
      </c>
      <c r="D29" s="17">
        <f t="shared" si="96"/>
        <v>3230</v>
      </c>
      <c r="E29" s="195">
        <v>384193</v>
      </c>
      <c r="F29" s="17">
        <f t="shared" si="97"/>
        <v>6570</v>
      </c>
      <c r="G29" s="195">
        <v>103673</v>
      </c>
      <c r="H29" s="17">
        <f t="shared" si="91"/>
        <v>2230</v>
      </c>
      <c r="I29" s="202">
        <f>H29*I6/100</f>
        <v>1070.4000000000001</v>
      </c>
      <c r="J29" s="202">
        <f>H29*J6/100</f>
        <v>1159.5999999999999</v>
      </c>
      <c r="K29" s="195">
        <v>340482</v>
      </c>
      <c r="L29" s="17">
        <f t="shared" si="87"/>
        <v>5140</v>
      </c>
      <c r="M29" s="195">
        <v>536239</v>
      </c>
      <c r="N29" s="17">
        <f t="shared" si="88"/>
        <v>8470</v>
      </c>
      <c r="O29" s="195">
        <v>227098</v>
      </c>
      <c r="P29" s="17">
        <f t="shared" si="92"/>
        <v>11470</v>
      </c>
      <c r="Q29" s="202">
        <f>P29*Q6/100</f>
        <v>5505.6</v>
      </c>
      <c r="R29" s="202">
        <f>P29*R6/100</f>
        <v>5964.4</v>
      </c>
      <c r="S29" s="195">
        <v>345840</v>
      </c>
      <c r="T29" s="17">
        <f t="shared" si="93"/>
        <v>440</v>
      </c>
      <c r="U29" s="202">
        <f>T29*U6/100</f>
        <v>211.2</v>
      </c>
      <c r="V29" s="202">
        <f>T29*V6/100</f>
        <v>228.8</v>
      </c>
      <c r="W29" s="195">
        <v>167623</v>
      </c>
      <c r="X29" s="17">
        <f t="shared" si="94"/>
        <v>20</v>
      </c>
      <c r="Y29" s="202">
        <f>X29*Y6/100</f>
        <v>9.6</v>
      </c>
      <c r="Z29" s="202">
        <f>X29*Z6/100</f>
        <v>10.4</v>
      </c>
      <c r="AA29" s="195">
        <v>246807</v>
      </c>
      <c r="AB29" s="17">
        <f t="shared" si="13"/>
        <v>4800</v>
      </c>
      <c r="AC29" s="202">
        <f>AB29*AC6/100</f>
        <v>2304</v>
      </c>
      <c r="AD29" s="202">
        <f>AB29*AD6/100</f>
        <v>2496</v>
      </c>
      <c r="AE29" s="195">
        <v>65587</v>
      </c>
      <c r="AF29" s="17">
        <f t="shared" si="2"/>
        <v>1010</v>
      </c>
      <c r="AG29" s="195">
        <v>125910</v>
      </c>
      <c r="AH29" s="17">
        <f t="shared" si="3"/>
        <v>1650</v>
      </c>
      <c r="AI29" s="195">
        <v>225455</v>
      </c>
      <c r="AJ29" s="17">
        <f t="shared" si="4"/>
        <v>3490</v>
      </c>
      <c r="AK29" s="195">
        <v>116664</v>
      </c>
      <c r="AL29" s="17">
        <f t="shared" si="4"/>
        <v>1610</v>
      </c>
      <c r="AM29" s="195">
        <v>607334</v>
      </c>
      <c r="AN29" s="17">
        <f t="shared" ref="AN29" si="101">(AM29-AM28)*10</f>
        <v>9180</v>
      </c>
      <c r="AP29" s="202">
        <f t="shared" si="6"/>
        <v>32510.799999999999</v>
      </c>
      <c r="AQ29" s="203">
        <f t="shared" si="7"/>
        <v>26799.199999999997</v>
      </c>
    </row>
    <row r="30" spans="1:43" ht="39.950000000000003" customHeight="1">
      <c r="A30" s="193">
        <f t="shared" si="15"/>
        <v>44643</v>
      </c>
      <c r="B30" s="16"/>
      <c r="C30" s="195">
        <v>232863</v>
      </c>
      <c r="D30" s="17">
        <f t="shared" si="96"/>
        <v>3070</v>
      </c>
      <c r="E30" s="195">
        <v>384871</v>
      </c>
      <c r="F30" s="17">
        <f t="shared" si="97"/>
        <v>6780</v>
      </c>
      <c r="G30" s="195">
        <v>103904</v>
      </c>
      <c r="H30" s="17">
        <f t="shared" si="91"/>
        <v>2310</v>
      </c>
      <c r="I30" s="202">
        <f>H30*I6/100</f>
        <v>1108.8</v>
      </c>
      <c r="J30" s="202">
        <f>H30*J6/100</f>
        <v>1201.2</v>
      </c>
      <c r="K30" s="195">
        <v>340985</v>
      </c>
      <c r="L30" s="17">
        <f t="shared" si="87"/>
        <v>5030</v>
      </c>
      <c r="M30" s="195">
        <v>537044</v>
      </c>
      <c r="N30" s="17">
        <f t="shared" si="88"/>
        <v>8050</v>
      </c>
      <c r="O30" s="195">
        <v>228094</v>
      </c>
      <c r="P30" s="17">
        <f t="shared" si="92"/>
        <v>9960</v>
      </c>
      <c r="Q30" s="202">
        <f>P30*Q6/100</f>
        <v>4780.8</v>
      </c>
      <c r="R30" s="202">
        <f>P30*R6/100</f>
        <v>5179.2</v>
      </c>
      <c r="S30" s="195">
        <v>345842</v>
      </c>
      <c r="T30" s="17">
        <f t="shared" si="93"/>
        <v>20</v>
      </c>
      <c r="U30" s="202">
        <f>T30*U6/100</f>
        <v>9.6</v>
      </c>
      <c r="V30" s="202">
        <f>T30*V6/100</f>
        <v>10.4</v>
      </c>
      <c r="W30" s="195">
        <v>167625</v>
      </c>
      <c r="X30" s="17">
        <f t="shared" si="94"/>
        <v>20</v>
      </c>
      <c r="Y30" s="202">
        <f>X30*Y6/100</f>
        <v>9.6</v>
      </c>
      <c r="Z30" s="202">
        <f>X30*Z6/100</f>
        <v>10.4</v>
      </c>
      <c r="AA30" s="195">
        <v>246815</v>
      </c>
      <c r="AB30" s="17">
        <f t="shared" si="13"/>
        <v>80</v>
      </c>
      <c r="AC30" s="202">
        <f>AB30*AC6/100</f>
        <v>38.4</v>
      </c>
      <c r="AD30" s="202">
        <f>AB30*AD6/100</f>
        <v>41.6</v>
      </c>
      <c r="AE30" s="195">
        <v>65686</v>
      </c>
      <c r="AF30" s="17">
        <f t="shared" si="2"/>
        <v>990</v>
      </c>
      <c r="AG30" s="195">
        <v>126070</v>
      </c>
      <c r="AH30" s="17">
        <f t="shared" si="3"/>
        <v>1600</v>
      </c>
      <c r="AI30" s="195">
        <v>225788</v>
      </c>
      <c r="AJ30" s="17">
        <f t="shared" si="4"/>
        <v>3330</v>
      </c>
      <c r="AK30" s="195">
        <v>116819</v>
      </c>
      <c r="AL30" s="17">
        <f t="shared" si="4"/>
        <v>1550</v>
      </c>
      <c r="AM30" s="195">
        <v>608186</v>
      </c>
      <c r="AN30" s="17">
        <f t="shared" ref="AN30" si="102">(AM30-AM29)*10</f>
        <v>8520</v>
      </c>
      <c r="AP30" s="202">
        <f t="shared" si="6"/>
        <v>28877.199999999997</v>
      </c>
      <c r="AQ30" s="203">
        <f t="shared" si="7"/>
        <v>22432.799999999999</v>
      </c>
    </row>
    <row r="31" spans="1:43" ht="39.950000000000003" customHeight="1">
      <c r="A31" s="193">
        <f t="shared" si="15"/>
        <v>44644</v>
      </c>
      <c r="B31" s="16"/>
      <c r="C31" s="195">
        <v>233182</v>
      </c>
      <c r="D31" s="17">
        <f t="shared" si="96"/>
        <v>3190</v>
      </c>
      <c r="E31" s="195">
        <v>385596</v>
      </c>
      <c r="F31" s="17">
        <f t="shared" si="97"/>
        <v>7250</v>
      </c>
      <c r="G31" s="195">
        <v>104132</v>
      </c>
      <c r="H31" s="17">
        <f t="shared" si="91"/>
        <v>2280</v>
      </c>
      <c r="I31" s="202">
        <f>H31*I6/100</f>
        <v>1094.4000000000001</v>
      </c>
      <c r="J31" s="202">
        <f>H31*J6/100</f>
        <v>1185.5999999999999</v>
      </c>
      <c r="K31" s="195">
        <v>341465</v>
      </c>
      <c r="L31" s="17">
        <f t="shared" si="87"/>
        <v>4800</v>
      </c>
      <c r="M31" s="195">
        <v>537847</v>
      </c>
      <c r="N31" s="17">
        <f t="shared" si="88"/>
        <v>8030</v>
      </c>
      <c r="O31" s="195">
        <v>229035</v>
      </c>
      <c r="P31" s="17">
        <f t="shared" si="92"/>
        <v>9410</v>
      </c>
      <c r="Q31" s="202">
        <f>P31*Q6/100</f>
        <v>4516.8</v>
      </c>
      <c r="R31" s="202">
        <f>P31*R6/100</f>
        <v>4893.2</v>
      </c>
      <c r="S31" s="195">
        <v>345844</v>
      </c>
      <c r="T31" s="17">
        <f t="shared" si="93"/>
        <v>20</v>
      </c>
      <c r="U31" s="202">
        <f>T31*U6/100</f>
        <v>9.6</v>
      </c>
      <c r="V31" s="202">
        <f>T31*V6/100</f>
        <v>10.4</v>
      </c>
      <c r="W31" s="195">
        <v>167628</v>
      </c>
      <c r="X31" s="17">
        <f t="shared" si="94"/>
        <v>30</v>
      </c>
      <c r="Y31" s="202">
        <f>X31*Y6/100</f>
        <v>14.4</v>
      </c>
      <c r="Z31" s="202">
        <f>X31*Z6/100</f>
        <v>15.6</v>
      </c>
      <c r="AA31" s="195">
        <v>246822</v>
      </c>
      <c r="AB31" s="17">
        <f t="shared" si="13"/>
        <v>70</v>
      </c>
      <c r="AC31" s="202">
        <f>AB31*AC6/100</f>
        <v>33.6</v>
      </c>
      <c r="AD31" s="202">
        <f>AB31*AD6/100</f>
        <v>36.4</v>
      </c>
      <c r="AE31" s="195">
        <v>65781</v>
      </c>
      <c r="AF31" s="17">
        <f t="shared" si="2"/>
        <v>950</v>
      </c>
      <c r="AG31" s="195">
        <v>126224</v>
      </c>
      <c r="AH31" s="17">
        <f t="shared" si="3"/>
        <v>1540</v>
      </c>
      <c r="AI31" s="195">
        <v>226113</v>
      </c>
      <c r="AJ31" s="17">
        <f t="shared" si="4"/>
        <v>3250</v>
      </c>
      <c r="AK31" s="195">
        <v>116970</v>
      </c>
      <c r="AL31" s="17">
        <f t="shared" si="4"/>
        <v>1510</v>
      </c>
      <c r="AM31" s="195">
        <v>609014</v>
      </c>
      <c r="AN31" s="17">
        <f t="shared" ref="AN31" si="103">(AM31-AM30)*10</f>
        <v>8280</v>
      </c>
      <c r="AP31" s="202">
        <f t="shared" si="6"/>
        <v>28938.799999999999</v>
      </c>
      <c r="AQ31" s="203">
        <f t="shared" si="7"/>
        <v>21671.199999999997</v>
      </c>
    </row>
    <row r="32" spans="1:43" ht="39.950000000000003" customHeight="1">
      <c r="A32" s="193">
        <f t="shared" si="15"/>
        <v>44645</v>
      </c>
      <c r="B32" s="16"/>
      <c r="C32" s="194">
        <v>233520</v>
      </c>
      <c r="D32" s="17">
        <f t="shared" si="96"/>
        <v>3380</v>
      </c>
      <c r="E32" s="194">
        <v>386320</v>
      </c>
      <c r="F32" s="17">
        <f t="shared" si="97"/>
        <v>7240</v>
      </c>
      <c r="G32" s="194">
        <v>104390</v>
      </c>
      <c r="H32" s="17">
        <f t="shared" si="91"/>
        <v>2580</v>
      </c>
      <c r="I32" s="202">
        <f>H32*I6/100</f>
        <v>1238.4000000000001</v>
      </c>
      <c r="J32" s="202">
        <f>H32*J6/100</f>
        <v>1341.6</v>
      </c>
      <c r="K32" s="194">
        <v>341971</v>
      </c>
      <c r="L32" s="17">
        <f t="shared" si="87"/>
        <v>5060</v>
      </c>
      <c r="M32" s="194">
        <v>538656</v>
      </c>
      <c r="N32" s="17">
        <f t="shared" si="88"/>
        <v>8090</v>
      </c>
      <c r="O32" s="194">
        <v>230209</v>
      </c>
      <c r="P32" s="17">
        <f t="shared" si="92"/>
        <v>11740</v>
      </c>
      <c r="Q32" s="202">
        <f>P32*Q6/100</f>
        <v>5635.2</v>
      </c>
      <c r="R32" s="202">
        <f>P32*R6/100</f>
        <v>6104.8</v>
      </c>
      <c r="S32" s="194">
        <v>346341</v>
      </c>
      <c r="T32" s="17">
        <f t="shared" si="93"/>
        <v>4970</v>
      </c>
      <c r="U32" s="202">
        <f>T32*U6/100</f>
        <v>2385.6</v>
      </c>
      <c r="V32" s="202">
        <f>T32*V6/100</f>
        <v>2584.4</v>
      </c>
      <c r="W32" s="194">
        <v>167630</v>
      </c>
      <c r="X32" s="17">
        <f t="shared" si="94"/>
        <v>20</v>
      </c>
      <c r="Y32" s="202">
        <f>X32*Y6/100</f>
        <v>9.6</v>
      </c>
      <c r="Z32" s="202">
        <f>X32*Z6/100</f>
        <v>10.4</v>
      </c>
      <c r="AA32" s="194">
        <v>246830</v>
      </c>
      <c r="AB32" s="17">
        <f t="shared" si="13"/>
        <v>80</v>
      </c>
      <c r="AC32" s="202">
        <f>AB32*AC6/100</f>
        <v>38.4</v>
      </c>
      <c r="AD32" s="202">
        <f>AB32*AD6/100</f>
        <v>41.6</v>
      </c>
      <c r="AE32" s="194">
        <v>65880</v>
      </c>
      <c r="AF32" s="17">
        <f t="shared" si="2"/>
        <v>990</v>
      </c>
      <c r="AG32" s="194">
        <v>126383</v>
      </c>
      <c r="AH32" s="17">
        <f t="shared" si="3"/>
        <v>1590</v>
      </c>
      <c r="AI32" s="194">
        <v>226456</v>
      </c>
      <c r="AJ32" s="17">
        <f t="shared" si="4"/>
        <v>3430</v>
      </c>
      <c r="AK32" s="194">
        <v>117126</v>
      </c>
      <c r="AL32" s="17">
        <f t="shared" si="4"/>
        <v>1560</v>
      </c>
      <c r="AM32" s="194">
        <v>609866</v>
      </c>
      <c r="AN32" s="17">
        <f t="shared" ref="AN32" si="104">(AM32-AM31)*10</f>
        <v>8520</v>
      </c>
      <c r="AP32" s="202">
        <f t="shared" si="6"/>
        <v>33077.200000000004</v>
      </c>
      <c r="AQ32" s="203">
        <f t="shared" si="7"/>
        <v>26172.799999999999</v>
      </c>
    </row>
    <row r="33" spans="1:43" ht="39.950000000000003" customHeight="1">
      <c r="A33" s="193">
        <f t="shared" si="15"/>
        <v>44646</v>
      </c>
      <c r="B33" s="16"/>
      <c r="C33" s="194">
        <v>233887</v>
      </c>
      <c r="D33" s="17">
        <f t="shared" si="96"/>
        <v>3670</v>
      </c>
      <c r="E33" s="194">
        <v>387076</v>
      </c>
      <c r="F33" s="17">
        <f t="shared" si="97"/>
        <v>7560</v>
      </c>
      <c r="G33" s="194">
        <v>104676</v>
      </c>
      <c r="H33" s="17">
        <f t="shared" si="91"/>
        <v>2860</v>
      </c>
      <c r="I33" s="202">
        <f>H33*I6/100</f>
        <v>1372.8</v>
      </c>
      <c r="J33" s="202">
        <f>H33*J6/100</f>
        <v>1487.2</v>
      </c>
      <c r="K33" s="194">
        <v>342486</v>
      </c>
      <c r="L33" s="17">
        <f t="shared" si="87"/>
        <v>5150</v>
      </c>
      <c r="M33" s="194">
        <v>539527</v>
      </c>
      <c r="N33" s="17">
        <f t="shared" si="88"/>
        <v>8710</v>
      </c>
      <c r="O33" s="194">
        <v>231524</v>
      </c>
      <c r="P33" s="17">
        <f t="shared" si="92"/>
        <v>13150</v>
      </c>
      <c r="Q33" s="202">
        <f>P33*Q6/100</f>
        <v>6312</v>
      </c>
      <c r="R33" s="202">
        <f>P33*R6/100</f>
        <v>6838</v>
      </c>
      <c r="S33" s="194">
        <v>347231</v>
      </c>
      <c r="T33" s="17">
        <f t="shared" si="93"/>
        <v>8900</v>
      </c>
      <c r="U33" s="202">
        <f>T33*U6/100</f>
        <v>4272</v>
      </c>
      <c r="V33" s="202">
        <f>T33*V6/100</f>
        <v>4628</v>
      </c>
      <c r="W33" s="194">
        <v>167683</v>
      </c>
      <c r="X33" s="17">
        <f t="shared" si="94"/>
        <v>530</v>
      </c>
      <c r="Y33" s="202">
        <f>X33*Y6/100</f>
        <v>254.4</v>
      </c>
      <c r="Z33" s="202">
        <f>X33*Z6/100</f>
        <v>275.60000000000002</v>
      </c>
      <c r="AA33" s="194">
        <v>246841</v>
      </c>
      <c r="AB33" s="17">
        <f t="shared" si="13"/>
        <v>110</v>
      </c>
      <c r="AC33" s="202">
        <f>AB33*AC6/100</f>
        <v>52.8</v>
      </c>
      <c r="AD33" s="202">
        <f>AB33*AD6/100</f>
        <v>57.2</v>
      </c>
      <c r="AE33" s="194">
        <v>65980</v>
      </c>
      <c r="AF33" s="17">
        <f t="shared" si="2"/>
        <v>1000</v>
      </c>
      <c r="AG33" s="194">
        <v>126539</v>
      </c>
      <c r="AH33" s="17">
        <f t="shared" si="3"/>
        <v>1560</v>
      </c>
      <c r="AI33" s="194">
        <v>226805</v>
      </c>
      <c r="AJ33" s="17">
        <f t="shared" si="4"/>
        <v>3490</v>
      </c>
      <c r="AK33" s="194">
        <v>117280</v>
      </c>
      <c r="AL33" s="17">
        <f t="shared" si="4"/>
        <v>1540</v>
      </c>
      <c r="AM33" s="194">
        <v>610759</v>
      </c>
      <c r="AN33" s="17">
        <f t="shared" ref="AN33" si="105">(AM33-AM32)*10</f>
        <v>8930</v>
      </c>
      <c r="AP33" s="202">
        <f t="shared" si="6"/>
        <v>37354.000000000007</v>
      </c>
      <c r="AQ33" s="203">
        <f t="shared" si="7"/>
        <v>29806.000000000004</v>
      </c>
    </row>
    <row r="34" spans="1:43" ht="39.950000000000003" customHeight="1">
      <c r="A34" s="193">
        <f t="shared" si="15"/>
        <v>44647</v>
      </c>
      <c r="B34" s="16"/>
      <c r="C34" s="194">
        <v>234234</v>
      </c>
      <c r="D34" s="17">
        <f t="shared" si="96"/>
        <v>3470</v>
      </c>
      <c r="E34" s="194">
        <v>387783</v>
      </c>
      <c r="F34" s="17">
        <f t="shared" si="97"/>
        <v>7070</v>
      </c>
      <c r="G34" s="194">
        <v>104945</v>
      </c>
      <c r="H34" s="17">
        <f t="shared" si="91"/>
        <v>2690</v>
      </c>
      <c r="I34" s="202">
        <f>H34*I6/100</f>
        <v>1291.2</v>
      </c>
      <c r="J34" s="202">
        <f>H34*J6/100</f>
        <v>1398.8</v>
      </c>
      <c r="K34" s="194">
        <v>342980</v>
      </c>
      <c r="L34" s="17">
        <f t="shared" si="87"/>
        <v>4940</v>
      </c>
      <c r="M34" s="194">
        <v>540363</v>
      </c>
      <c r="N34" s="17">
        <f t="shared" si="88"/>
        <v>8360</v>
      </c>
      <c r="O34" s="194">
        <v>232618</v>
      </c>
      <c r="P34" s="17">
        <f t="shared" si="92"/>
        <v>10940</v>
      </c>
      <c r="Q34" s="202">
        <f>P34*Q6/100</f>
        <v>5251.2</v>
      </c>
      <c r="R34" s="202">
        <f>P34*R6/100</f>
        <v>5688.8</v>
      </c>
      <c r="S34" s="194">
        <v>347501</v>
      </c>
      <c r="T34" s="17">
        <f t="shared" si="93"/>
        <v>2700</v>
      </c>
      <c r="U34" s="202">
        <f>T34*U6/100</f>
        <v>1296</v>
      </c>
      <c r="V34" s="202">
        <f>T34*V6/100</f>
        <v>1404</v>
      </c>
      <c r="W34" s="194">
        <v>167685</v>
      </c>
      <c r="X34" s="17">
        <f t="shared" si="94"/>
        <v>20</v>
      </c>
      <c r="Y34" s="202">
        <f>X34*Y6/100</f>
        <v>9.6</v>
      </c>
      <c r="Z34" s="202">
        <f>X34*Z6/100</f>
        <v>10.4</v>
      </c>
      <c r="AA34" s="194">
        <v>246849</v>
      </c>
      <c r="AB34" s="17">
        <f t="shared" si="13"/>
        <v>80</v>
      </c>
      <c r="AC34" s="202">
        <f>AB34*AC6/100</f>
        <v>38.4</v>
      </c>
      <c r="AD34" s="202">
        <f>AB34*AD6/100</f>
        <v>41.6</v>
      </c>
      <c r="AE34" s="194">
        <v>66073</v>
      </c>
      <c r="AF34" s="17">
        <f t="shared" si="2"/>
        <v>930</v>
      </c>
      <c r="AG34" s="194">
        <v>126691</v>
      </c>
      <c r="AH34" s="17">
        <f t="shared" si="3"/>
        <v>1520</v>
      </c>
      <c r="AI34" s="194">
        <v>227125</v>
      </c>
      <c r="AJ34" s="17">
        <f t="shared" si="4"/>
        <v>3200</v>
      </c>
      <c r="AK34" s="194">
        <v>117427</v>
      </c>
      <c r="AL34" s="17">
        <f t="shared" si="4"/>
        <v>1470</v>
      </c>
      <c r="AM34" s="194">
        <v>611575</v>
      </c>
      <c r="AN34" s="17">
        <f t="shared" ref="AN34" si="106">(AM34-AM33)*10</f>
        <v>8160</v>
      </c>
      <c r="AP34" s="202">
        <f t="shared" si="6"/>
        <v>31726.400000000001</v>
      </c>
      <c r="AQ34" s="203">
        <f t="shared" si="7"/>
        <v>23823.599999999999</v>
      </c>
    </row>
    <row r="35" spans="1:43" ht="39.950000000000003" customHeight="1">
      <c r="A35" s="193">
        <f t="shared" si="15"/>
        <v>44648</v>
      </c>
      <c r="B35" s="16"/>
      <c r="C35" s="194">
        <v>234577</v>
      </c>
      <c r="D35" s="17">
        <f t="shared" si="96"/>
        <v>3430</v>
      </c>
      <c r="E35" s="194">
        <v>388508</v>
      </c>
      <c r="F35" s="17">
        <f t="shared" si="97"/>
        <v>7250</v>
      </c>
      <c r="G35" s="194">
        <v>105189</v>
      </c>
      <c r="H35" s="17">
        <f t="shared" si="91"/>
        <v>2440</v>
      </c>
      <c r="I35" s="202">
        <f>H35*I6/100</f>
        <v>1171.2</v>
      </c>
      <c r="J35" s="202">
        <f>H35*J6/100</f>
        <v>1268.8</v>
      </c>
      <c r="K35" s="194">
        <v>343464</v>
      </c>
      <c r="L35" s="17">
        <f t="shared" si="87"/>
        <v>4840</v>
      </c>
      <c r="M35" s="194">
        <v>541097</v>
      </c>
      <c r="N35" s="17">
        <f t="shared" si="88"/>
        <v>7340</v>
      </c>
      <c r="O35" s="194">
        <v>233201</v>
      </c>
      <c r="P35" s="17">
        <f t="shared" si="92"/>
        <v>5830</v>
      </c>
      <c r="Q35" s="202">
        <f>P35*Q6/100</f>
        <v>2798.4</v>
      </c>
      <c r="R35" s="202">
        <f>P35*R6/100</f>
        <v>3031.6</v>
      </c>
      <c r="S35" s="194">
        <v>347852</v>
      </c>
      <c r="T35" s="17">
        <f t="shared" si="93"/>
        <v>3510</v>
      </c>
      <c r="U35" s="202">
        <f>T35*U6/100</f>
        <v>1684.8</v>
      </c>
      <c r="V35" s="202">
        <f>T35*V6/100</f>
        <v>1825.2</v>
      </c>
      <c r="W35" s="194">
        <v>167687</v>
      </c>
      <c r="X35" s="17">
        <f t="shared" si="94"/>
        <v>20</v>
      </c>
      <c r="Y35" s="202">
        <f>X35*Y6/100</f>
        <v>9.6</v>
      </c>
      <c r="Z35" s="202">
        <f>X35*Z6/100</f>
        <v>10.4</v>
      </c>
      <c r="AA35" s="194">
        <v>246856</v>
      </c>
      <c r="AB35" s="17">
        <f t="shared" si="13"/>
        <v>70</v>
      </c>
      <c r="AC35" s="202">
        <f>AB35*AC6/100</f>
        <v>33.6</v>
      </c>
      <c r="AD35" s="202">
        <f>AB35*AD6/100</f>
        <v>36.4</v>
      </c>
      <c r="AE35" s="194">
        <v>66172</v>
      </c>
      <c r="AF35" s="17">
        <f t="shared" si="2"/>
        <v>990</v>
      </c>
      <c r="AG35" s="194">
        <v>126856</v>
      </c>
      <c r="AH35" s="17">
        <f t="shared" si="3"/>
        <v>1650</v>
      </c>
      <c r="AI35" s="194">
        <v>227458</v>
      </c>
      <c r="AJ35" s="17">
        <f t="shared" si="4"/>
        <v>3330</v>
      </c>
      <c r="AK35" s="194">
        <v>117580</v>
      </c>
      <c r="AL35" s="17">
        <f t="shared" si="4"/>
        <v>1530</v>
      </c>
      <c r="AM35" s="194">
        <v>612406</v>
      </c>
      <c r="AN35" s="17">
        <f t="shared" ref="AN35" si="107">(AM35-AM34)*10</f>
        <v>8310</v>
      </c>
      <c r="AP35" s="202">
        <f t="shared" si="6"/>
        <v>28557.599999999999</v>
      </c>
      <c r="AQ35" s="203">
        <f t="shared" si="7"/>
        <v>21982.399999999998</v>
      </c>
    </row>
    <row r="36" spans="1:43" ht="39.950000000000003" customHeight="1">
      <c r="A36" s="193">
        <f t="shared" si="15"/>
        <v>44649</v>
      </c>
      <c r="B36" s="16"/>
      <c r="C36" s="194">
        <v>234911</v>
      </c>
      <c r="D36" s="17">
        <f t="shared" si="96"/>
        <v>3340</v>
      </c>
      <c r="E36" s="194">
        <v>389199</v>
      </c>
      <c r="F36" s="17">
        <f t="shared" si="97"/>
        <v>6910</v>
      </c>
      <c r="G36" s="194">
        <v>105433</v>
      </c>
      <c r="H36" s="17">
        <f t="shared" ref="H36:H38" si="108">(G36-G35)*10</f>
        <v>2440</v>
      </c>
      <c r="I36" s="202">
        <f>H36*I6/100</f>
        <v>1171.2</v>
      </c>
      <c r="J36" s="202">
        <f>H36*J6/100</f>
        <v>1268.8</v>
      </c>
      <c r="K36" s="194">
        <v>343964</v>
      </c>
      <c r="L36" s="17">
        <f t="shared" si="87"/>
        <v>5000</v>
      </c>
      <c r="M36" s="194">
        <v>541916</v>
      </c>
      <c r="N36" s="17">
        <f t="shared" si="88"/>
        <v>8190</v>
      </c>
      <c r="O36" s="194">
        <v>233598</v>
      </c>
      <c r="P36" s="17">
        <f t="shared" ref="P36:P38" si="109">(O36-O35)*10</f>
        <v>3970</v>
      </c>
      <c r="Q36" s="202">
        <f>P36*Q6/100</f>
        <v>1905.6</v>
      </c>
      <c r="R36" s="202">
        <f>P36*R6/100</f>
        <v>2064.4</v>
      </c>
      <c r="S36" s="194">
        <v>348455</v>
      </c>
      <c r="T36" s="17">
        <f t="shared" ref="T36:T38" si="110">(S36-S35)*10</f>
        <v>6030</v>
      </c>
      <c r="U36" s="202">
        <f>T36*U6/100</f>
        <v>2894.4</v>
      </c>
      <c r="V36" s="202">
        <f>T36*V6/100</f>
        <v>3135.6</v>
      </c>
      <c r="W36" s="194">
        <v>167689</v>
      </c>
      <c r="X36" s="17">
        <f t="shared" ref="X36:X38" si="111">(W36-W35)*10</f>
        <v>20</v>
      </c>
      <c r="Y36" s="202">
        <f>X36*Y6/100</f>
        <v>9.6</v>
      </c>
      <c r="Z36" s="202">
        <f>X36*Z6/100</f>
        <v>10.4</v>
      </c>
      <c r="AA36" s="194">
        <v>246864</v>
      </c>
      <c r="AB36" s="17">
        <f t="shared" si="13"/>
        <v>80</v>
      </c>
      <c r="AC36" s="202">
        <f>AB36*AC6/100</f>
        <v>38.4</v>
      </c>
      <c r="AD36" s="202">
        <f>AB36*AD6/100</f>
        <v>41.6</v>
      </c>
      <c r="AE36" s="194">
        <v>66276</v>
      </c>
      <c r="AF36" s="17">
        <f t="shared" si="2"/>
        <v>1040</v>
      </c>
      <c r="AG36" s="194">
        <v>127029</v>
      </c>
      <c r="AH36" s="17">
        <f t="shared" si="3"/>
        <v>1730</v>
      </c>
      <c r="AI36" s="194">
        <v>227794</v>
      </c>
      <c r="AJ36" s="17">
        <f t="shared" si="4"/>
        <v>3360</v>
      </c>
      <c r="AK36" s="194">
        <v>117735</v>
      </c>
      <c r="AL36" s="17">
        <f t="shared" si="4"/>
        <v>1550</v>
      </c>
      <c r="AM36" s="194">
        <v>613263</v>
      </c>
      <c r="AN36" s="17">
        <f t="shared" ref="AN36" si="112">(AM36-AM35)*10</f>
        <v>8570</v>
      </c>
      <c r="AP36" s="202">
        <f t="shared" si="6"/>
        <v>29459.200000000001</v>
      </c>
      <c r="AQ36" s="203">
        <f t="shared" si="7"/>
        <v>22770.799999999999</v>
      </c>
    </row>
    <row r="37" spans="1:43" ht="39.950000000000003" customHeight="1">
      <c r="A37" s="193">
        <f t="shared" si="15"/>
        <v>44650</v>
      </c>
      <c r="B37" s="16"/>
      <c r="C37" s="194">
        <v>235256</v>
      </c>
      <c r="D37" s="17">
        <f t="shared" si="96"/>
        <v>3450</v>
      </c>
      <c r="E37" s="194">
        <v>389879</v>
      </c>
      <c r="F37" s="17">
        <f t="shared" si="97"/>
        <v>6800</v>
      </c>
      <c r="G37" s="194">
        <v>105679</v>
      </c>
      <c r="H37" s="17">
        <f t="shared" si="108"/>
        <v>2460</v>
      </c>
      <c r="I37" s="202">
        <f>H37*I6/100</f>
        <v>1180.8</v>
      </c>
      <c r="J37" s="202">
        <f>H37*J6/100</f>
        <v>1279.2</v>
      </c>
      <c r="K37" s="194">
        <v>344475</v>
      </c>
      <c r="L37" s="17">
        <f t="shared" si="87"/>
        <v>5110</v>
      </c>
      <c r="M37" s="194">
        <v>542753</v>
      </c>
      <c r="N37" s="17">
        <f t="shared" si="88"/>
        <v>8370</v>
      </c>
      <c r="O37" s="194">
        <v>234004</v>
      </c>
      <c r="P37" s="17">
        <f t="shared" si="109"/>
        <v>4060</v>
      </c>
      <c r="Q37" s="202">
        <f>P37*Q6/100</f>
        <v>1948.8</v>
      </c>
      <c r="R37" s="202">
        <f>P37*R6/100</f>
        <v>2111.1999999999998</v>
      </c>
      <c r="S37" s="194">
        <v>349222</v>
      </c>
      <c r="T37" s="17">
        <f t="shared" si="110"/>
        <v>7670</v>
      </c>
      <c r="U37" s="202">
        <f>T37*U6/100</f>
        <v>3681.6</v>
      </c>
      <c r="V37" s="202">
        <f>T37*V6/100</f>
        <v>3988.4</v>
      </c>
      <c r="W37" s="194">
        <v>167814</v>
      </c>
      <c r="X37" s="17">
        <f t="shared" si="111"/>
        <v>1250</v>
      </c>
      <c r="Y37" s="202">
        <f>X37*Y6/100</f>
        <v>600</v>
      </c>
      <c r="Z37" s="202">
        <f>X37*Z6/100</f>
        <v>650</v>
      </c>
      <c r="AA37" s="194">
        <v>246883</v>
      </c>
      <c r="AB37" s="17">
        <f t="shared" si="13"/>
        <v>190</v>
      </c>
      <c r="AC37" s="202">
        <f>AB37*AC6/100</f>
        <v>91.2</v>
      </c>
      <c r="AD37" s="202">
        <f>AB37*AD6/100</f>
        <v>98.8</v>
      </c>
      <c r="AE37" s="194">
        <v>66383</v>
      </c>
      <c r="AF37" s="17">
        <f t="shared" si="2"/>
        <v>1070</v>
      </c>
      <c r="AG37" s="194">
        <v>127189</v>
      </c>
      <c r="AH37" s="17">
        <f t="shared" si="3"/>
        <v>1600</v>
      </c>
      <c r="AI37" s="194">
        <v>228123</v>
      </c>
      <c r="AJ37" s="17">
        <f t="shared" si="4"/>
        <v>3290</v>
      </c>
      <c r="AK37" s="194">
        <v>117885</v>
      </c>
      <c r="AL37" s="17">
        <f t="shared" si="4"/>
        <v>1500</v>
      </c>
      <c r="AM37" s="194">
        <v>614130</v>
      </c>
      <c r="AN37" s="17">
        <f t="shared" ref="AN37" si="113">(AM37-AM36)*10</f>
        <v>8670</v>
      </c>
      <c r="AP37" s="202">
        <f t="shared" si="6"/>
        <v>31232.399999999998</v>
      </c>
      <c r="AQ37" s="203">
        <f t="shared" si="7"/>
        <v>24257.600000000002</v>
      </c>
    </row>
    <row r="38" spans="1:43" s="146" customFormat="1" ht="39.950000000000003" customHeight="1">
      <c r="A38" s="193">
        <f t="shared" si="15"/>
        <v>44651</v>
      </c>
      <c r="B38" s="145"/>
      <c r="C38" s="196">
        <v>235614</v>
      </c>
      <c r="D38" s="17">
        <f t="shared" si="96"/>
        <v>3580</v>
      </c>
      <c r="E38" s="196">
        <v>390605</v>
      </c>
      <c r="F38" s="17">
        <f t="shared" si="97"/>
        <v>7260</v>
      </c>
      <c r="G38" s="196">
        <v>105957</v>
      </c>
      <c r="H38" s="17">
        <f t="shared" si="108"/>
        <v>2780</v>
      </c>
      <c r="I38" s="202">
        <f>H38*I6/100</f>
        <v>1334.4</v>
      </c>
      <c r="J38" s="202">
        <f>H38*J6/100</f>
        <v>1445.6</v>
      </c>
      <c r="K38" s="196">
        <v>344987</v>
      </c>
      <c r="L38" s="17">
        <f t="shared" si="87"/>
        <v>5120</v>
      </c>
      <c r="M38" s="196">
        <v>543579</v>
      </c>
      <c r="N38" s="17">
        <f t="shared" si="88"/>
        <v>8260</v>
      </c>
      <c r="O38" s="196">
        <v>234847</v>
      </c>
      <c r="P38" s="17">
        <f t="shared" si="109"/>
        <v>8430</v>
      </c>
      <c r="Q38" s="202">
        <f>P38*Q6/100</f>
        <v>4046.4</v>
      </c>
      <c r="R38" s="202">
        <f>P38*R6/100</f>
        <v>4383.6000000000004</v>
      </c>
      <c r="S38" s="196">
        <v>349842</v>
      </c>
      <c r="T38" s="17">
        <f t="shared" si="110"/>
        <v>6200</v>
      </c>
      <c r="U38" s="202">
        <f>T38*U6/100</f>
        <v>2976</v>
      </c>
      <c r="V38" s="202">
        <f>T38*V6/100</f>
        <v>3224</v>
      </c>
      <c r="W38" s="196">
        <v>167816</v>
      </c>
      <c r="X38" s="17">
        <f t="shared" si="111"/>
        <v>20</v>
      </c>
      <c r="Y38" s="202">
        <f>X38*Y6/100</f>
        <v>9.6</v>
      </c>
      <c r="Z38" s="202">
        <f>X38*Z6/100</f>
        <v>10.4</v>
      </c>
      <c r="AA38" s="196">
        <v>246891</v>
      </c>
      <c r="AB38" s="17">
        <f t="shared" si="13"/>
        <v>80</v>
      </c>
      <c r="AC38" s="202">
        <f>AB38*AC6/100</f>
        <v>38.4</v>
      </c>
      <c r="AD38" s="202">
        <f>AB38*AD6/100</f>
        <v>41.6</v>
      </c>
      <c r="AE38" s="196">
        <v>66479</v>
      </c>
      <c r="AF38" s="17">
        <f t="shared" si="2"/>
        <v>960</v>
      </c>
      <c r="AG38" s="196">
        <v>127349</v>
      </c>
      <c r="AH38" s="17">
        <f t="shared" si="3"/>
        <v>1600</v>
      </c>
      <c r="AI38" s="196">
        <v>228458</v>
      </c>
      <c r="AJ38" s="17">
        <f t="shared" si="4"/>
        <v>3350</v>
      </c>
      <c r="AK38" s="196">
        <v>118035</v>
      </c>
      <c r="AL38" s="17">
        <f t="shared" si="4"/>
        <v>1500</v>
      </c>
      <c r="AM38" s="196">
        <v>615015</v>
      </c>
      <c r="AN38" s="17">
        <f t="shared" ref="AN38" si="114">(AM38-AM37)*10</f>
        <v>8850</v>
      </c>
      <c r="AP38" s="202">
        <f t="shared" si="6"/>
        <v>32624.800000000003</v>
      </c>
      <c r="AQ38" s="203">
        <f>SUM(R38,V38,Z38,AD38,AF38,AH38,AJ38,AL38,AN38,J38)</f>
        <v>25365.199999999997</v>
      </c>
    </row>
    <row r="39" spans="1:43" s="19" customFormat="1" ht="39.950000000000003" customHeight="1">
      <c r="A39" s="18"/>
      <c r="D39" s="20"/>
      <c r="AP39" s="200">
        <f>SUM(AP8:AP38)</f>
        <v>917288.79999999993</v>
      </c>
      <c r="AQ39" s="200">
        <f>SUM(AQ8:AQ38)</f>
        <v>746341.2</v>
      </c>
    </row>
    <row r="40" spans="1:43" s="19" customFormat="1" ht="39.950000000000003" customHeight="1">
      <c r="A40" s="18"/>
      <c r="D40" s="20"/>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tabSelected="1" zoomScale="55" zoomScaleNormal="55" workbookViewId="0">
      <pane xSplit="2" ySplit="4" topLeftCell="C5" activePane="bottomRight" state="frozen"/>
      <selection pane="topRight" activeCell="C1" sqref="C1"/>
      <selection pane="bottomLeft" activeCell="A5" sqref="A5"/>
      <selection pane="bottomRight" activeCell="P7" activeCellId="4" sqref="F7:F37 H7:H37 J7:J37 L7:L37 P7:P3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9"/>
      <c r="B1" s="109"/>
      <c r="C1" s="211" t="s">
        <v>65</v>
      </c>
      <c r="D1" s="211"/>
      <c r="E1" s="211" t="s">
        <v>65</v>
      </c>
      <c r="F1" s="211"/>
      <c r="G1" s="211" t="s">
        <v>65</v>
      </c>
      <c r="H1" s="211"/>
      <c r="I1" s="211" t="s">
        <v>65</v>
      </c>
      <c r="J1" s="211"/>
      <c r="K1" s="224" t="s">
        <v>66</v>
      </c>
      <c r="L1" s="225"/>
      <c r="M1" s="225"/>
      <c r="N1" s="226"/>
      <c r="O1" s="211" t="s">
        <v>67</v>
      </c>
      <c r="P1" s="211"/>
    </row>
    <row r="2" spans="1:19" s="26" customFormat="1" ht="113.25" customHeight="1">
      <c r="A2" s="25"/>
      <c r="B2" s="25"/>
      <c r="C2" s="227" t="s">
        <v>102</v>
      </c>
      <c r="D2" s="228"/>
      <c r="E2" s="227" t="s">
        <v>103</v>
      </c>
      <c r="F2" s="228"/>
      <c r="G2" s="227" t="s">
        <v>104</v>
      </c>
      <c r="H2" s="228"/>
      <c r="I2" s="227" t="s">
        <v>105</v>
      </c>
      <c r="J2" s="228"/>
      <c r="K2" s="236" t="s">
        <v>106</v>
      </c>
      <c r="L2" s="237"/>
      <c r="M2" s="237"/>
      <c r="N2" s="238"/>
      <c r="O2" s="227" t="s">
        <v>107</v>
      </c>
      <c r="P2" s="228"/>
    </row>
    <row r="3" spans="1:19" s="31" customFormat="1" ht="50.1" customHeight="1">
      <c r="A3" s="40"/>
      <c r="B3" s="40"/>
      <c r="C3" s="231" t="s">
        <v>108</v>
      </c>
      <c r="D3" s="232"/>
      <c r="E3" s="229" t="s">
        <v>109</v>
      </c>
      <c r="F3" s="230"/>
      <c r="G3" s="229" t="s">
        <v>110</v>
      </c>
      <c r="H3" s="230"/>
      <c r="I3" s="229" t="s">
        <v>111</v>
      </c>
      <c r="J3" s="230"/>
      <c r="K3" s="233" t="s">
        <v>112</v>
      </c>
      <c r="L3" s="234"/>
      <c r="M3" s="234"/>
      <c r="N3" s="235"/>
      <c r="O3" s="231" t="s">
        <v>113</v>
      </c>
      <c r="P3" s="232"/>
      <c r="R3" s="209" t="s">
        <v>81</v>
      </c>
      <c r="S3" s="209"/>
    </row>
    <row r="4" spans="1:19" s="8" customFormat="1" ht="30" customHeight="1">
      <c r="A4" s="107" t="s">
        <v>96</v>
      </c>
      <c r="B4" s="49"/>
      <c r="C4" s="218"/>
      <c r="D4" s="219"/>
      <c r="E4" s="218"/>
      <c r="F4" s="219"/>
      <c r="G4" s="218"/>
      <c r="H4" s="219"/>
      <c r="I4" s="218"/>
      <c r="J4" s="219"/>
      <c r="K4" s="218"/>
      <c r="L4" s="223"/>
      <c r="M4" s="223"/>
      <c r="N4" s="219"/>
      <c r="O4" s="49"/>
      <c r="P4" s="49"/>
      <c r="R4" s="209"/>
      <c r="S4" s="209"/>
    </row>
    <row r="5" spans="1:19" s="10" customFormat="1" ht="50.1" customHeight="1">
      <c r="A5" s="107" t="s">
        <v>99</v>
      </c>
      <c r="B5" s="107"/>
      <c r="C5" s="107" t="s">
        <v>114</v>
      </c>
      <c r="D5" s="107" t="s">
        <v>115</v>
      </c>
      <c r="E5" s="107" t="s">
        <v>114</v>
      </c>
      <c r="F5" s="107" t="s">
        <v>115</v>
      </c>
      <c r="G5" s="107" t="s">
        <v>114</v>
      </c>
      <c r="H5" s="107" t="s">
        <v>115</v>
      </c>
      <c r="I5" s="107" t="s">
        <v>114</v>
      </c>
      <c r="J5" s="107" t="s">
        <v>115</v>
      </c>
      <c r="K5" s="107" t="s">
        <v>114</v>
      </c>
      <c r="L5" s="107" t="s">
        <v>115</v>
      </c>
      <c r="M5" s="107" t="s">
        <v>65</v>
      </c>
      <c r="N5" s="107" t="s">
        <v>67</v>
      </c>
      <c r="O5" s="107" t="s">
        <v>114</v>
      </c>
      <c r="P5" s="107" t="s">
        <v>115</v>
      </c>
      <c r="R5" s="107"/>
      <c r="S5" s="107"/>
    </row>
    <row r="6" spans="1:19" ht="39.950000000000003" customHeight="1">
      <c r="A6" s="193">
        <v>44620</v>
      </c>
      <c r="B6" s="81"/>
      <c r="C6" s="72">
        <v>46522</v>
      </c>
      <c r="D6" s="74"/>
      <c r="E6" s="72">
        <v>73084</v>
      </c>
      <c r="F6" s="74"/>
      <c r="G6" s="83">
        <v>8878.6512999999995</v>
      </c>
      <c r="H6" s="75"/>
      <c r="I6" s="72">
        <v>16690</v>
      </c>
      <c r="J6" s="74"/>
      <c r="K6" s="72">
        <v>13718</v>
      </c>
      <c r="L6" s="74"/>
      <c r="M6" s="75"/>
      <c r="N6" s="75"/>
      <c r="O6" s="72">
        <v>25664</v>
      </c>
      <c r="P6" s="74"/>
      <c r="R6" s="106"/>
      <c r="S6" s="97"/>
    </row>
    <row r="7" spans="1:19" s="2" customFormat="1" ht="39.950000000000003" customHeight="1">
      <c r="A7" s="193">
        <v>44621</v>
      </c>
      <c r="B7" s="15"/>
      <c r="C7" s="72">
        <v>46590</v>
      </c>
      <c r="D7" s="74">
        <f>(C7-C6)</f>
        <v>68</v>
      </c>
      <c r="E7" s="72">
        <v>73237</v>
      </c>
      <c r="F7" s="74">
        <f>(E7-E6)</f>
        <v>153</v>
      </c>
      <c r="G7" s="83">
        <v>8892.6800999999996</v>
      </c>
      <c r="H7" s="74">
        <f>(G7-G6)</f>
        <v>14.028800000000047</v>
      </c>
      <c r="I7" s="72">
        <v>16715</v>
      </c>
      <c r="J7" s="74">
        <f>(I7-I6)</f>
        <v>25</v>
      </c>
      <c r="K7" s="72">
        <v>13828</v>
      </c>
      <c r="L7" s="74">
        <f>(K7-K6)</f>
        <v>110</v>
      </c>
      <c r="M7" s="75">
        <f>L7*55%</f>
        <v>60.500000000000007</v>
      </c>
      <c r="N7" s="75">
        <f>L7*45%</f>
        <v>49.5</v>
      </c>
      <c r="O7" s="72">
        <v>25758</v>
      </c>
      <c r="P7" s="74">
        <f>(O7-O6)</f>
        <v>94</v>
      </c>
      <c r="R7" s="106">
        <f>SUM(D7,F7,M7,J7,H7)</f>
        <v>320.52880000000005</v>
      </c>
      <c r="S7" s="97">
        <f>SUM(N7,P7)</f>
        <v>143.5</v>
      </c>
    </row>
    <row r="8" spans="1:19" ht="39.950000000000003" customHeight="1">
      <c r="A8" s="193">
        <f>SUM(A7+1)</f>
        <v>44622</v>
      </c>
      <c r="B8" s="16"/>
      <c r="C8" s="72">
        <v>46657</v>
      </c>
      <c r="D8" s="74">
        <f t="shared" ref="D8:L35" si="0">(C8-C7)</f>
        <v>67</v>
      </c>
      <c r="E8" s="72">
        <v>73384</v>
      </c>
      <c r="F8" s="74">
        <f t="shared" si="0"/>
        <v>147</v>
      </c>
      <c r="G8" s="83">
        <v>8896.2275000000009</v>
      </c>
      <c r="H8" s="74">
        <f t="shared" si="0"/>
        <v>3.5474000000012893</v>
      </c>
      <c r="I8" s="72">
        <v>16740</v>
      </c>
      <c r="J8" s="74">
        <f t="shared" si="0"/>
        <v>25</v>
      </c>
      <c r="K8" s="72">
        <v>13911</v>
      </c>
      <c r="L8" s="74">
        <f t="shared" si="0"/>
        <v>83</v>
      </c>
      <c r="M8" s="75">
        <f t="shared" ref="M8:M34" si="1">L8*55%</f>
        <v>45.650000000000006</v>
      </c>
      <c r="N8" s="75">
        <f t="shared" ref="N8:N34" si="2">L8*45%</f>
        <v>37.35</v>
      </c>
      <c r="O8" s="72">
        <v>25839</v>
      </c>
      <c r="P8" s="74">
        <f t="shared" ref="P8:P37" si="3">(O8-O7)</f>
        <v>81</v>
      </c>
      <c r="R8" s="106">
        <f t="shared" ref="R8:R37" si="4">SUM(D8,F8,M8,J8,H8)</f>
        <v>288.19740000000127</v>
      </c>
      <c r="S8" s="97">
        <f t="shared" ref="S8:S34" si="5">SUM(N8,P8)</f>
        <v>118.35</v>
      </c>
    </row>
    <row r="9" spans="1:19" ht="39.950000000000003" customHeight="1">
      <c r="A9" s="193">
        <f t="shared" ref="A9:A37" si="6">SUM(A8+1)</f>
        <v>44623</v>
      </c>
      <c r="B9" s="16"/>
      <c r="C9" s="72">
        <v>46704</v>
      </c>
      <c r="D9" s="74">
        <f t="shared" si="0"/>
        <v>47</v>
      </c>
      <c r="E9" s="72">
        <v>73499</v>
      </c>
      <c r="F9" s="74">
        <f t="shared" si="0"/>
        <v>115</v>
      </c>
      <c r="G9" s="83">
        <v>8908.3356000000003</v>
      </c>
      <c r="H9" s="74">
        <f t="shared" si="0"/>
        <v>12.108099999999467</v>
      </c>
      <c r="I9" s="72">
        <v>16757</v>
      </c>
      <c r="J9" s="74">
        <f t="shared" si="0"/>
        <v>17</v>
      </c>
      <c r="K9" s="72">
        <v>14001</v>
      </c>
      <c r="L9" s="74">
        <f t="shared" si="0"/>
        <v>90</v>
      </c>
      <c r="M9" s="75">
        <f t="shared" si="1"/>
        <v>49.500000000000007</v>
      </c>
      <c r="N9" s="75">
        <f t="shared" si="2"/>
        <v>40.5</v>
      </c>
      <c r="O9" s="72">
        <v>25926</v>
      </c>
      <c r="P9" s="74">
        <f t="shared" si="3"/>
        <v>87</v>
      </c>
      <c r="R9" s="106">
        <f t="shared" si="4"/>
        <v>240.60809999999947</v>
      </c>
      <c r="S9" s="97">
        <f t="shared" si="5"/>
        <v>127.5</v>
      </c>
    </row>
    <row r="10" spans="1:19" ht="39.950000000000003" customHeight="1">
      <c r="A10" s="193">
        <f t="shared" si="6"/>
        <v>44624</v>
      </c>
      <c r="B10" s="16"/>
      <c r="C10" s="72">
        <v>46764</v>
      </c>
      <c r="D10" s="74">
        <f t="shared" si="0"/>
        <v>60</v>
      </c>
      <c r="E10" s="72">
        <v>73620</v>
      </c>
      <c r="F10" s="74">
        <f t="shared" si="0"/>
        <v>121</v>
      </c>
      <c r="G10" s="83">
        <f>(G14-G9)/5+G9</f>
        <v>8916.6264800000008</v>
      </c>
      <c r="H10" s="74">
        <f t="shared" si="0"/>
        <v>8.2908800000004703</v>
      </c>
      <c r="I10" s="72">
        <v>16769</v>
      </c>
      <c r="J10" s="74">
        <f t="shared" si="0"/>
        <v>12</v>
      </c>
      <c r="K10" s="72">
        <v>14082</v>
      </c>
      <c r="L10" s="74">
        <f t="shared" si="0"/>
        <v>81</v>
      </c>
      <c r="M10" s="75">
        <f t="shared" si="1"/>
        <v>44.550000000000004</v>
      </c>
      <c r="N10" s="75">
        <f t="shared" si="2"/>
        <v>36.450000000000003</v>
      </c>
      <c r="O10" s="72">
        <v>26020</v>
      </c>
      <c r="P10" s="74">
        <f t="shared" si="3"/>
        <v>94</v>
      </c>
      <c r="R10" s="106">
        <f t="shared" si="4"/>
        <v>245.84088000000048</v>
      </c>
      <c r="S10" s="97">
        <f t="shared" si="5"/>
        <v>130.44999999999999</v>
      </c>
    </row>
    <row r="11" spans="1:19" ht="39.950000000000003" customHeight="1">
      <c r="A11" s="193">
        <f t="shared" si="6"/>
        <v>44625</v>
      </c>
      <c r="B11" s="16"/>
      <c r="C11" s="72">
        <v>46819</v>
      </c>
      <c r="D11" s="74">
        <f t="shared" si="0"/>
        <v>55</v>
      </c>
      <c r="E11" s="72">
        <v>73753</v>
      </c>
      <c r="F11" s="74">
        <f t="shared" si="0"/>
        <v>133</v>
      </c>
      <c r="G11" s="83">
        <f>(G14-G9)/5+G9</f>
        <v>8916.6264800000008</v>
      </c>
      <c r="H11" s="74">
        <f t="shared" si="0"/>
        <v>0</v>
      </c>
      <c r="I11" s="72">
        <v>16793</v>
      </c>
      <c r="J11" s="74">
        <f t="shared" si="0"/>
        <v>24</v>
      </c>
      <c r="K11" s="72">
        <v>14172</v>
      </c>
      <c r="L11" s="74">
        <f t="shared" si="0"/>
        <v>90</v>
      </c>
      <c r="M11" s="75">
        <f t="shared" si="1"/>
        <v>49.500000000000007</v>
      </c>
      <c r="N11" s="75">
        <f t="shared" si="2"/>
        <v>40.5</v>
      </c>
      <c r="O11" s="72">
        <v>26106</v>
      </c>
      <c r="P11" s="74">
        <f t="shared" si="3"/>
        <v>86</v>
      </c>
      <c r="R11" s="106">
        <f t="shared" si="4"/>
        <v>261.5</v>
      </c>
      <c r="S11" s="97">
        <f t="shared" si="5"/>
        <v>126.5</v>
      </c>
    </row>
    <row r="12" spans="1:19" ht="39.950000000000003" customHeight="1">
      <c r="A12" s="193">
        <f t="shared" si="6"/>
        <v>44626</v>
      </c>
      <c r="B12" s="16"/>
      <c r="C12" s="72">
        <v>46887</v>
      </c>
      <c r="D12" s="74">
        <f t="shared" si="0"/>
        <v>68</v>
      </c>
      <c r="E12" s="72">
        <v>73917</v>
      </c>
      <c r="F12" s="74">
        <f t="shared" si="0"/>
        <v>164</v>
      </c>
      <c r="G12" s="83">
        <f>(G14-G9)/5+G9</f>
        <v>8916.6264800000008</v>
      </c>
      <c r="H12" s="74">
        <f t="shared" si="0"/>
        <v>0</v>
      </c>
      <c r="I12" s="72">
        <v>16816</v>
      </c>
      <c r="J12" s="74">
        <f t="shared" si="0"/>
        <v>23</v>
      </c>
      <c r="K12" s="72">
        <v>14248</v>
      </c>
      <c r="L12" s="74">
        <f t="shared" si="0"/>
        <v>76</v>
      </c>
      <c r="M12" s="75">
        <f t="shared" si="1"/>
        <v>41.800000000000004</v>
      </c>
      <c r="N12" s="75">
        <f t="shared" si="2"/>
        <v>34.200000000000003</v>
      </c>
      <c r="O12" s="72">
        <v>26190</v>
      </c>
      <c r="P12" s="74">
        <f t="shared" si="3"/>
        <v>84</v>
      </c>
      <c r="R12" s="106">
        <f t="shared" si="4"/>
        <v>296.8</v>
      </c>
      <c r="S12" s="97">
        <f t="shared" si="5"/>
        <v>118.2</v>
      </c>
    </row>
    <row r="13" spans="1:19" ht="39.950000000000003" customHeight="1">
      <c r="A13" s="193">
        <f t="shared" si="6"/>
        <v>44627</v>
      </c>
      <c r="B13" s="16"/>
      <c r="C13" s="72">
        <f>(C12+C14)/2</f>
        <v>46943</v>
      </c>
      <c r="D13" s="74">
        <f t="shared" si="0"/>
        <v>56</v>
      </c>
      <c r="E13" s="72">
        <v>74088</v>
      </c>
      <c r="F13" s="74">
        <f t="shared" si="0"/>
        <v>171</v>
      </c>
      <c r="G13" s="83">
        <f>(G14-G9)/5+G9</f>
        <v>8916.6264800000008</v>
      </c>
      <c r="H13" s="74">
        <f t="shared" si="0"/>
        <v>0</v>
      </c>
      <c r="I13" s="72">
        <v>16840</v>
      </c>
      <c r="J13" s="74">
        <f t="shared" si="0"/>
        <v>24</v>
      </c>
      <c r="K13" s="72">
        <v>14320</v>
      </c>
      <c r="L13" s="74">
        <f t="shared" si="0"/>
        <v>72</v>
      </c>
      <c r="M13" s="75">
        <f t="shared" si="1"/>
        <v>39.6</v>
      </c>
      <c r="N13" s="75">
        <f t="shared" si="2"/>
        <v>32.4</v>
      </c>
      <c r="O13" s="72">
        <v>26265</v>
      </c>
      <c r="P13" s="74">
        <f t="shared" si="3"/>
        <v>75</v>
      </c>
      <c r="R13" s="106">
        <f t="shared" si="4"/>
        <v>290.60000000000002</v>
      </c>
      <c r="S13" s="97">
        <f t="shared" si="5"/>
        <v>107.4</v>
      </c>
    </row>
    <row r="14" spans="1:19" ht="39.950000000000003" customHeight="1">
      <c r="A14" s="193">
        <f t="shared" si="6"/>
        <v>44628</v>
      </c>
      <c r="B14" s="16"/>
      <c r="C14" s="72">
        <v>46999</v>
      </c>
      <c r="D14" s="74">
        <f t="shared" si="0"/>
        <v>56</v>
      </c>
      <c r="E14" s="72">
        <v>74243</v>
      </c>
      <c r="F14" s="74">
        <f t="shared" si="0"/>
        <v>155</v>
      </c>
      <c r="G14" s="83">
        <v>8949.7900000000009</v>
      </c>
      <c r="H14" s="74">
        <f t="shared" si="0"/>
        <v>33.163520000000062</v>
      </c>
      <c r="I14" s="72">
        <v>16874</v>
      </c>
      <c r="J14" s="74">
        <f t="shared" si="0"/>
        <v>34</v>
      </c>
      <c r="K14" s="72">
        <v>14419</v>
      </c>
      <c r="L14" s="74">
        <f t="shared" si="0"/>
        <v>99</v>
      </c>
      <c r="M14" s="75">
        <f t="shared" si="1"/>
        <v>54.45</v>
      </c>
      <c r="N14" s="75">
        <f t="shared" si="2"/>
        <v>44.550000000000004</v>
      </c>
      <c r="O14" s="72">
        <v>26348</v>
      </c>
      <c r="P14" s="74">
        <f t="shared" si="3"/>
        <v>83</v>
      </c>
      <c r="R14" s="106">
        <f t="shared" si="4"/>
        <v>332.61352000000005</v>
      </c>
      <c r="S14" s="97">
        <f t="shared" si="5"/>
        <v>127.55000000000001</v>
      </c>
    </row>
    <row r="15" spans="1:19" ht="39.950000000000003" customHeight="1">
      <c r="A15" s="193">
        <f t="shared" si="6"/>
        <v>44629</v>
      </c>
      <c r="B15" s="16"/>
      <c r="C15" s="72">
        <v>47050</v>
      </c>
      <c r="D15" s="74">
        <f t="shared" si="0"/>
        <v>51</v>
      </c>
      <c r="E15" s="72">
        <v>74394</v>
      </c>
      <c r="F15" s="74">
        <f t="shared" si="0"/>
        <v>151</v>
      </c>
      <c r="G15" s="83">
        <v>8953.7999999999993</v>
      </c>
      <c r="H15" s="74">
        <f t="shared" si="0"/>
        <v>4.0099999999983993</v>
      </c>
      <c r="I15" s="72">
        <v>16887</v>
      </c>
      <c r="J15" s="74">
        <f t="shared" si="0"/>
        <v>13</v>
      </c>
      <c r="K15" s="72">
        <v>14503</v>
      </c>
      <c r="L15" s="74">
        <f t="shared" si="0"/>
        <v>84</v>
      </c>
      <c r="M15" s="75">
        <f t="shared" si="1"/>
        <v>46.2</v>
      </c>
      <c r="N15" s="75">
        <f t="shared" si="2"/>
        <v>37.800000000000004</v>
      </c>
      <c r="O15" s="72">
        <v>26430</v>
      </c>
      <c r="P15" s="74">
        <f t="shared" si="3"/>
        <v>82</v>
      </c>
      <c r="R15" s="106">
        <f t="shared" si="4"/>
        <v>265.20999999999839</v>
      </c>
      <c r="S15" s="97">
        <f t="shared" si="5"/>
        <v>119.80000000000001</v>
      </c>
    </row>
    <row r="16" spans="1:19" ht="39.950000000000003" customHeight="1">
      <c r="A16" s="193">
        <f t="shared" si="6"/>
        <v>44630</v>
      </c>
      <c r="B16" s="16"/>
      <c r="C16" s="72">
        <v>47091</v>
      </c>
      <c r="D16" s="74">
        <f t="shared" si="0"/>
        <v>41</v>
      </c>
      <c r="E16" s="72">
        <v>74530</v>
      </c>
      <c r="F16" s="74">
        <f t="shared" si="0"/>
        <v>136</v>
      </c>
      <c r="G16" s="83">
        <v>8959.7000000000007</v>
      </c>
      <c r="H16" s="74">
        <f t="shared" si="0"/>
        <v>5.9000000000014552</v>
      </c>
      <c r="I16" s="72">
        <v>16912</v>
      </c>
      <c r="J16" s="74">
        <f t="shared" si="0"/>
        <v>25</v>
      </c>
      <c r="K16" s="72">
        <v>14591</v>
      </c>
      <c r="L16" s="74">
        <f t="shared" si="0"/>
        <v>88</v>
      </c>
      <c r="M16" s="75">
        <f t="shared" si="1"/>
        <v>48.400000000000006</v>
      </c>
      <c r="N16" s="75">
        <f t="shared" si="2"/>
        <v>39.6</v>
      </c>
      <c r="O16" s="72">
        <v>26515</v>
      </c>
      <c r="P16" s="74">
        <f t="shared" si="3"/>
        <v>85</v>
      </c>
      <c r="R16" s="106">
        <f t="shared" si="4"/>
        <v>256.30000000000143</v>
      </c>
      <c r="S16" s="97">
        <f t="shared" si="5"/>
        <v>124.6</v>
      </c>
    </row>
    <row r="17" spans="1:19" ht="39.950000000000003" customHeight="1">
      <c r="A17" s="193">
        <f t="shared" si="6"/>
        <v>44631</v>
      </c>
      <c r="B17" s="16"/>
      <c r="C17" s="72">
        <v>47147</v>
      </c>
      <c r="D17" s="74">
        <f t="shared" si="0"/>
        <v>56</v>
      </c>
      <c r="E17" s="72">
        <v>74676</v>
      </c>
      <c r="F17" s="74">
        <f t="shared" si="0"/>
        <v>146</v>
      </c>
      <c r="G17" s="83">
        <v>8963</v>
      </c>
      <c r="H17" s="74">
        <f t="shared" si="0"/>
        <v>3.2999999999992724</v>
      </c>
      <c r="I17" s="72">
        <v>16935</v>
      </c>
      <c r="J17" s="74">
        <f t="shared" si="0"/>
        <v>23</v>
      </c>
      <c r="K17" s="72">
        <v>14673</v>
      </c>
      <c r="L17" s="74">
        <f t="shared" si="0"/>
        <v>82</v>
      </c>
      <c r="M17" s="75">
        <f t="shared" si="1"/>
        <v>45.1</v>
      </c>
      <c r="N17" s="75">
        <f t="shared" si="2"/>
        <v>36.9</v>
      </c>
      <c r="O17" s="72">
        <v>26589</v>
      </c>
      <c r="P17" s="74">
        <f t="shared" si="3"/>
        <v>74</v>
      </c>
      <c r="R17" s="106">
        <f t="shared" si="4"/>
        <v>273.3999999999993</v>
      </c>
      <c r="S17" s="97">
        <f t="shared" si="5"/>
        <v>110.9</v>
      </c>
    </row>
    <row r="18" spans="1:19" ht="39.950000000000003" customHeight="1">
      <c r="A18" s="193">
        <f t="shared" si="6"/>
        <v>44632</v>
      </c>
      <c r="B18" s="16"/>
      <c r="C18" s="72">
        <v>47209</v>
      </c>
      <c r="D18" s="74">
        <f t="shared" si="0"/>
        <v>62</v>
      </c>
      <c r="E18" s="72">
        <v>74826</v>
      </c>
      <c r="F18" s="74">
        <f t="shared" si="0"/>
        <v>150</v>
      </c>
      <c r="G18" s="83">
        <v>8965.7669999999998</v>
      </c>
      <c r="H18" s="74">
        <f t="shared" si="0"/>
        <v>2.7669999999998254</v>
      </c>
      <c r="I18" s="72">
        <v>16951</v>
      </c>
      <c r="J18" s="74">
        <f t="shared" si="0"/>
        <v>16</v>
      </c>
      <c r="K18" s="72">
        <v>14767</v>
      </c>
      <c r="L18" s="74">
        <f t="shared" si="0"/>
        <v>94</v>
      </c>
      <c r="M18" s="75">
        <f t="shared" si="1"/>
        <v>51.7</v>
      </c>
      <c r="N18" s="75">
        <f t="shared" si="2"/>
        <v>42.300000000000004</v>
      </c>
      <c r="O18" s="72">
        <v>26660</v>
      </c>
      <c r="P18" s="74">
        <f t="shared" si="3"/>
        <v>71</v>
      </c>
      <c r="R18" s="106">
        <f t="shared" si="4"/>
        <v>282.46699999999981</v>
      </c>
      <c r="S18" s="97">
        <f t="shared" si="5"/>
        <v>113.30000000000001</v>
      </c>
    </row>
    <row r="19" spans="1:19" s="78" customFormat="1" ht="39.950000000000003" customHeight="1">
      <c r="A19" s="193">
        <f t="shared" si="6"/>
        <v>44633</v>
      </c>
      <c r="B19" s="81"/>
      <c r="C19" s="72">
        <v>47290</v>
      </c>
      <c r="D19" s="74">
        <f t="shared" si="0"/>
        <v>81</v>
      </c>
      <c r="E19" s="72">
        <v>74986</v>
      </c>
      <c r="F19" s="74">
        <f t="shared" si="0"/>
        <v>160</v>
      </c>
      <c r="G19" s="83">
        <v>8968.7669999999998</v>
      </c>
      <c r="H19" s="74">
        <f t="shared" si="0"/>
        <v>3</v>
      </c>
      <c r="I19" s="72">
        <v>16962</v>
      </c>
      <c r="J19" s="74">
        <f t="shared" si="0"/>
        <v>11</v>
      </c>
      <c r="K19" s="72">
        <v>14838</v>
      </c>
      <c r="L19" s="74">
        <f t="shared" si="0"/>
        <v>71</v>
      </c>
      <c r="M19" s="75">
        <f t="shared" si="1"/>
        <v>39.050000000000004</v>
      </c>
      <c r="N19" s="75">
        <f t="shared" si="2"/>
        <v>31.95</v>
      </c>
      <c r="O19" s="72">
        <v>26753</v>
      </c>
      <c r="P19" s="74">
        <f t="shared" si="3"/>
        <v>93</v>
      </c>
      <c r="R19" s="106">
        <f t="shared" si="4"/>
        <v>294.05</v>
      </c>
      <c r="S19" s="105">
        <f t="shared" si="5"/>
        <v>124.95</v>
      </c>
    </row>
    <row r="20" spans="1:19" s="78" customFormat="1" ht="39.950000000000003" customHeight="1">
      <c r="A20" s="193">
        <f t="shared" si="6"/>
        <v>44634</v>
      </c>
      <c r="B20" s="81"/>
      <c r="C20" s="72">
        <v>47356</v>
      </c>
      <c r="D20" s="74">
        <f t="shared" si="0"/>
        <v>66</v>
      </c>
      <c r="E20" s="72">
        <v>75145</v>
      </c>
      <c r="F20" s="74">
        <f t="shared" si="0"/>
        <v>159</v>
      </c>
      <c r="G20" s="83">
        <v>8971.8811999999998</v>
      </c>
      <c r="H20" s="74">
        <f t="shared" si="0"/>
        <v>3.1141999999999825</v>
      </c>
      <c r="I20" s="72">
        <v>16968</v>
      </c>
      <c r="J20" s="74">
        <f t="shared" si="0"/>
        <v>6</v>
      </c>
      <c r="K20" s="72">
        <v>14917</v>
      </c>
      <c r="L20" s="74">
        <f t="shared" si="0"/>
        <v>79</v>
      </c>
      <c r="M20" s="75">
        <f t="shared" si="1"/>
        <v>43.45</v>
      </c>
      <c r="N20" s="75">
        <f t="shared" si="2"/>
        <v>35.550000000000004</v>
      </c>
      <c r="O20" s="72">
        <v>26827</v>
      </c>
      <c r="P20" s="74">
        <f t="shared" si="3"/>
        <v>74</v>
      </c>
      <c r="R20" s="106">
        <f t="shared" si="4"/>
        <v>277.56419999999997</v>
      </c>
      <c r="S20" s="105">
        <f t="shared" si="5"/>
        <v>109.55000000000001</v>
      </c>
    </row>
    <row r="21" spans="1:19" s="78" customFormat="1" ht="39.950000000000003" customHeight="1">
      <c r="A21" s="193">
        <f t="shared" si="6"/>
        <v>44635</v>
      </c>
      <c r="B21" s="81"/>
      <c r="C21" s="73">
        <v>47419</v>
      </c>
      <c r="D21" s="74">
        <f t="shared" si="0"/>
        <v>63</v>
      </c>
      <c r="E21" s="73">
        <v>75261</v>
      </c>
      <c r="F21" s="74">
        <f t="shared" si="0"/>
        <v>116</v>
      </c>
      <c r="G21" s="82">
        <v>8975.6047999999992</v>
      </c>
      <c r="H21" s="74">
        <f t="shared" si="0"/>
        <v>3.723599999999351</v>
      </c>
      <c r="I21" s="72">
        <v>16992</v>
      </c>
      <c r="J21" s="74">
        <f t="shared" si="0"/>
        <v>24</v>
      </c>
      <c r="K21" s="73">
        <v>15026</v>
      </c>
      <c r="L21" s="74">
        <f t="shared" si="0"/>
        <v>109</v>
      </c>
      <c r="M21" s="75">
        <f t="shared" si="1"/>
        <v>59.95</v>
      </c>
      <c r="N21" s="75">
        <f t="shared" si="2"/>
        <v>49.050000000000004</v>
      </c>
      <c r="O21" s="73">
        <v>26912</v>
      </c>
      <c r="P21" s="74">
        <f t="shared" si="3"/>
        <v>85</v>
      </c>
      <c r="R21" s="106">
        <f t="shared" si="4"/>
        <v>266.67359999999934</v>
      </c>
      <c r="S21" s="105">
        <f t="shared" si="5"/>
        <v>134.05000000000001</v>
      </c>
    </row>
    <row r="22" spans="1:19" s="78" customFormat="1" ht="39.950000000000003" customHeight="1">
      <c r="A22" s="193">
        <f t="shared" si="6"/>
        <v>44636</v>
      </c>
      <c r="B22" s="81"/>
      <c r="C22" s="73">
        <v>47485</v>
      </c>
      <c r="D22" s="74">
        <f t="shared" si="0"/>
        <v>66</v>
      </c>
      <c r="E22" s="73">
        <v>75388</v>
      </c>
      <c r="F22" s="74">
        <f t="shared" si="0"/>
        <v>127</v>
      </c>
      <c r="G22" s="82">
        <v>8985.6931999999997</v>
      </c>
      <c r="H22" s="74">
        <f t="shared" si="0"/>
        <v>10.088400000000547</v>
      </c>
      <c r="I22" s="72">
        <v>17059</v>
      </c>
      <c r="J22" s="74">
        <f t="shared" si="0"/>
        <v>67</v>
      </c>
      <c r="K22" s="73">
        <v>15099</v>
      </c>
      <c r="L22" s="74">
        <f t="shared" si="0"/>
        <v>73</v>
      </c>
      <c r="M22" s="75">
        <f t="shared" si="1"/>
        <v>40.150000000000006</v>
      </c>
      <c r="N22" s="75">
        <f t="shared" si="2"/>
        <v>32.85</v>
      </c>
      <c r="O22" s="73">
        <v>26984</v>
      </c>
      <c r="P22" s="74">
        <f t="shared" si="3"/>
        <v>72</v>
      </c>
      <c r="R22" s="106">
        <f t="shared" si="4"/>
        <v>310.23840000000052</v>
      </c>
      <c r="S22" s="105">
        <f t="shared" si="5"/>
        <v>104.85</v>
      </c>
    </row>
    <row r="23" spans="1:19" s="78" customFormat="1" ht="39.950000000000003" customHeight="1">
      <c r="A23" s="193">
        <f t="shared" si="6"/>
        <v>44637</v>
      </c>
      <c r="B23" s="81"/>
      <c r="C23" s="73">
        <v>47531</v>
      </c>
      <c r="D23" s="74">
        <f t="shared" si="0"/>
        <v>46</v>
      </c>
      <c r="E23" s="73">
        <v>75534</v>
      </c>
      <c r="F23" s="74">
        <f t="shared" si="0"/>
        <v>146</v>
      </c>
      <c r="G23" s="82">
        <f>(G25-G22)/3+G22</f>
        <v>8987.7954666666665</v>
      </c>
      <c r="H23" s="74">
        <f t="shared" si="0"/>
        <v>2.1022666666667646</v>
      </c>
      <c r="I23" s="72">
        <v>17079</v>
      </c>
      <c r="J23" s="74">
        <f t="shared" si="0"/>
        <v>20</v>
      </c>
      <c r="K23" s="73">
        <v>15189</v>
      </c>
      <c r="L23" s="74">
        <f t="shared" si="0"/>
        <v>90</v>
      </c>
      <c r="M23" s="75">
        <f t="shared" si="1"/>
        <v>49.500000000000007</v>
      </c>
      <c r="N23" s="75">
        <f t="shared" si="2"/>
        <v>40.5</v>
      </c>
      <c r="O23" s="73">
        <v>27057</v>
      </c>
      <c r="P23" s="74">
        <f t="shared" si="3"/>
        <v>73</v>
      </c>
      <c r="R23" s="106">
        <f t="shared" si="4"/>
        <v>263.60226666666676</v>
      </c>
      <c r="S23" s="105">
        <f t="shared" si="5"/>
        <v>113.5</v>
      </c>
    </row>
    <row r="24" spans="1:19" s="78" customFormat="1" ht="39.950000000000003" customHeight="1">
      <c r="A24" s="193">
        <f t="shared" si="6"/>
        <v>44638</v>
      </c>
      <c r="B24" s="81"/>
      <c r="C24" s="73">
        <v>47593</v>
      </c>
      <c r="D24" s="74">
        <f t="shared" si="0"/>
        <v>62</v>
      </c>
      <c r="E24" s="73">
        <v>75728</v>
      </c>
      <c r="F24" s="74">
        <f t="shared" si="0"/>
        <v>194</v>
      </c>
      <c r="G24" s="82">
        <f>(G25-G22)/3+G22</f>
        <v>8987.7954666666665</v>
      </c>
      <c r="H24" s="74">
        <f t="shared" si="0"/>
        <v>0</v>
      </c>
      <c r="I24" s="72">
        <v>17091</v>
      </c>
      <c r="J24" s="74">
        <f t="shared" si="0"/>
        <v>12</v>
      </c>
      <c r="K24" s="73">
        <v>15276</v>
      </c>
      <c r="L24" s="74">
        <f t="shared" si="0"/>
        <v>87</v>
      </c>
      <c r="M24" s="75">
        <f t="shared" si="1"/>
        <v>47.85</v>
      </c>
      <c r="N24" s="75">
        <f t="shared" si="2"/>
        <v>39.15</v>
      </c>
      <c r="O24" s="73">
        <v>27143</v>
      </c>
      <c r="P24" s="74">
        <f t="shared" si="3"/>
        <v>86</v>
      </c>
      <c r="R24" s="106">
        <f t="shared" si="4"/>
        <v>315.85000000000002</v>
      </c>
      <c r="S24" s="105">
        <f t="shared" si="5"/>
        <v>125.15</v>
      </c>
    </row>
    <row r="25" spans="1:19" s="78" customFormat="1" ht="39.950000000000003" customHeight="1">
      <c r="A25" s="193">
        <f t="shared" si="6"/>
        <v>44639</v>
      </c>
      <c r="B25" s="81"/>
      <c r="C25" s="73">
        <v>47647</v>
      </c>
      <c r="D25" s="74">
        <f t="shared" si="0"/>
        <v>54</v>
      </c>
      <c r="E25" s="73">
        <v>75858</v>
      </c>
      <c r="F25" s="74">
        <f t="shared" si="0"/>
        <v>130</v>
      </c>
      <c r="G25" s="73">
        <v>8992</v>
      </c>
      <c r="H25" s="74">
        <f t="shared" si="0"/>
        <v>4.2045333333335293</v>
      </c>
      <c r="I25" s="72">
        <v>17113</v>
      </c>
      <c r="J25" s="74">
        <f t="shared" si="0"/>
        <v>22</v>
      </c>
      <c r="K25" s="73">
        <v>15369</v>
      </c>
      <c r="L25" s="74">
        <f t="shared" si="0"/>
        <v>93</v>
      </c>
      <c r="M25" s="75">
        <f t="shared" si="1"/>
        <v>51.150000000000006</v>
      </c>
      <c r="N25" s="75">
        <f t="shared" si="2"/>
        <v>41.85</v>
      </c>
      <c r="O25" s="73">
        <v>27213</v>
      </c>
      <c r="P25" s="74">
        <f t="shared" si="3"/>
        <v>70</v>
      </c>
      <c r="R25" s="106">
        <f t="shared" si="4"/>
        <v>261.35453333333351</v>
      </c>
      <c r="S25" s="105">
        <f t="shared" si="5"/>
        <v>111.85</v>
      </c>
    </row>
    <row r="26" spans="1:19" ht="39.950000000000003" customHeight="1">
      <c r="A26" s="193">
        <f t="shared" si="6"/>
        <v>44640</v>
      </c>
      <c r="B26" s="81"/>
      <c r="C26" s="73">
        <v>47743</v>
      </c>
      <c r="D26" s="74">
        <f t="shared" si="0"/>
        <v>96</v>
      </c>
      <c r="E26" s="73">
        <v>76057</v>
      </c>
      <c r="F26" s="74">
        <f t="shared" si="0"/>
        <v>199</v>
      </c>
      <c r="G26" s="73">
        <v>8994</v>
      </c>
      <c r="H26" s="74">
        <f t="shared" si="0"/>
        <v>2</v>
      </c>
      <c r="I26" s="72">
        <v>17134</v>
      </c>
      <c r="J26" s="74">
        <f t="shared" si="0"/>
        <v>21</v>
      </c>
      <c r="K26" s="73">
        <v>15442</v>
      </c>
      <c r="L26" s="74">
        <f t="shared" si="0"/>
        <v>73</v>
      </c>
      <c r="M26" s="75">
        <f t="shared" si="1"/>
        <v>40.150000000000006</v>
      </c>
      <c r="N26" s="75">
        <f t="shared" si="2"/>
        <v>32.85</v>
      </c>
      <c r="O26" s="73">
        <v>27276</v>
      </c>
      <c r="P26" s="74">
        <f t="shared" si="3"/>
        <v>63</v>
      </c>
      <c r="R26" s="106">
        <f t="shared" si="4"/>
        <v>358.15</v>
      </c>
      <c r="S26" s="97">
        <f t="shared" si="5"/>
        <v>95.85</v>
      </c>
    </row>
    <row r="27" spans="1:19" ht="39.950000000000003" customHeight="1">
      <c r="A27" s="193">
        <f t="shared" si="6"/>
        <v>44641</v>
      </c>
      <c r="B27" s="81"/>
      <c r="C27" s="73">
        <v>47815</v>
      </c>
      <c r="D27" s="74">
        <f t="shared" si="0"/>
        <v>72</v>
      </c>
      <c r="E27" s="73">
        <v>76253</v>
      </c>
      <c r="F27" s="74">
        <f t="shared" si="0"/>
        <v>196</v>
      </c>
      <c r="G27" s="73">
        <v>9000</v>
      </c>
      <c r="H27" s="74">
        <f t="shared" si="0"/>
        <v>6</v>
      </c>
      <c r="I27" s="72">
        <v>17158</v>
      </c>
      <c r="J27" s="74">
        <f t="shared" si="0"/>
        <v>24</v>
      </c>
      <c r="K27" s="73">
        <v>15532</v>
      </c>
      <c r="L27" s="74">
        <f t="shared" si="0"/>
        <v>90</v>
      </c>
      <c r="M27" s="75">
        <f t="shared" si="1"/>
        <v>49.500000000000007</v>
      </c>
      <c r="N27" s="75">
        <f t="shared" si="2"/>
        <v>40.5</v>
      </c>
      <c r="O27" s="73">
        <v>27350</v>
      </c>
      <c r="P27" s="74">
        <f t="shared" si="3"/>
        <v>74</v>
      </c>
      <c r="R27" s="106">
        <f t="shared" si="4"/>
        <v>347.5</v>
      </c>
      <c r="S27" s="97">
        <f t="shared" si="5"/>
        <v>114.5</v>
      </c>
    </row>
    <row r="28" spans="1:19" ht="39.950000000000003" customHeight="1">
      <c r="A28" s="193">
        <f t="shared" si="6"/>
        <v>44642</v>
      </c>
      <c r="B28" s="81"/>
      <c r="C28" s="73">
        <v>47889</v>
      </c>
      <c r="D28" s="74">
        <f t="shared" si="0"/>
        <v>74</v>
      </c>
      <c r="E28" s="73">
        <v>76393</v>
      </c>
      <c r="F28" s="74">
        <f t="shared" si="0"/>
        <v>140</v>
      </c>
      <c r="G28" s="73">
        <v>9001</v>
      </c>
      <c r="H28" s="74">
        <f t="shared" si="0"/>
        <v>1</v>
      </c>
      <c r="I28" s="73">
        <v>17179</v>
      </c>
      <c r="J28" s="74">
        <f t="shared" si="0"/>
        <v>21</v>
      </c>
      <c r="K28" s="73">
        <v>15611</v>
      </c>
      <c r="L28" s="74">
        <f t="shared" si="0"/>
        <v>79</v>
      </c>
      <c r="M28" s="75">
        <f t="shared" si="1"/>
        <v>43.45</v>
      </c>
      <c r="N28" s="75">
        <f t="shared" si="2"/>
        <v>35.550000000000004</v>
      </c>
      <c r="O28" s="73">
        <v>27423</v>
      </c>
      <c r="P28" s="74">
        <f t="shared" si="3"/>
        <v>73</v>
      </c>
      <c r="R28" s="106">
        <f t="shared" si="4"/>
        <v>279.45</v>
      </c>
      <c r="S28" s="97">
        <f t="shared" si="5"/>
        <v>108.55000000000001</v>
      </c>
    </row>
    <row r="29" spans="1:19" ht="39.950000000000003" customHeight="1">
      <c r="A29" s="193">
        <f t="shared" si="6"/>
        <v>44643</v>
      </c>
      <c r="B29" s="81"/>
      <c r="C29" s="73">
        <v>47954</v>
      </c>
      <c r="D29" s="74">
        <f t="shared" si="0"/>
        <v>65</v>
      </c>
      <c r="E29" s="73">
        <v>76558</v>
      </c>
      <c r="F29" s="74">
        <f t="shared" si="0"/>
        <v>165</v>
      </c>
      <c r="G29" s="82">
        <v>9002</v>
      </c>
      <c r="H29" s="74">
        <f t="shared" si="0"/>
        <v>1</v>
      </c>
      <c r="I29" s="73">
        <v>17202</v>
      </c>
      <c r="J29" s="74">
        <f t="shared" si="0"/>
        <v>23</v>
      </c>
      <c r="K29" s="73">
        <v>15688</v>
      </c>
      <c r="L29" s="74">
        <f t="shared" si="0"/>
        <v>77</v>
      </c>
      <c r="M29" s="75">
        <f t="shared" si="1"/>
        <v>42.35</v>
      </c>
      <c r="N29" s="75">
        <f t="shared" si="2"/>
        <v>34.65</v>
      </c>
      <c r="O29" s="73">
        <v>27490</v>
      </c>
      <c r="P29" s="74">
        <f t="shared" si="3"/>
        <v>67</v>
      </c>
      <c r="R29" s="106">
        <f t="shared" si="4"/>
        <v>296.35000000000002</v>
      </c>
      <c r="S29" s="97">
        <f t="shared" si="5"/>
        <v>101.65</v>
      </c>
    </row>
    <row r="30" spans="1:19" ht="39.950000000000003" customHeight="1">
      <c r="A30" s="193">
        <f t="shared" si="6"/>
        <v>44644</v>
      </c>
      <c r="B30" s="81"/>
      <c r="C30" s="73">
        <v>48018</v>
      </c>
      <c r="D30" s="74">
        <f t="shared" si="0"/>
        <v>64</v>
      </c>
      <c r="E30" s="73">
        <v>76716</v>
      </c>
      <c r="F30" s="74">
        <f t="shared" si="0"/>
        <v>158</v>
      </c>
      <c r="G30" s="82">
        <v>9002.7870999999996</v>
      </c>
      <c r="H30" s="74">
        <f t="shared" si="0"/>
        <v>0.78709999999955471</v>
      </c>
      <c r="I30" s="73">
        <v>17213</v>
      </c>
      <c r="J30" s="74">
        <f t="shared" si="0"/>
        <v>11</v>
      </c>
      <c r="K30" s="73">
        <v>15775</v>
      </c>
      <c r="L30" s="74">
        <f t="shared" si="0"/>
        <v>87</v>
      </c>
      <c r="M30" s="75">
        <f t="shared" si="1"/>
        <v>47.85</v>
      </c>
      <c r="N30" s="75">
        <f t="shared" si="2"/>
        <v>39.15</v>
      </c>
      <c r="O30" s="73">
        <v>27571</v>
      </c>
      <c r="P30" s="74">
        <f t="shared" si="3"/>
        <v>81</v>
      </c>
      <c r="R30" s="106">
        <f t="shared" si="4"/>
        <v>281.63709999999958</v>
      </c>
      <c r="S30" s="97">
        <f t="shared" si="5"/>
        <v>120.15</v>
      </c>
    </row>
    <row r="31" spans="1:19" ht="39.950000000000003" customHeight="1">
      <c r="A31" s="193">
        <f t="shared" si="6"/>
        <v>44645</v>
      </c>
      <c r="B31" s="81"/>
      <c r="C31" s="73">
        <v>48086</v>
      </c>
      <c r="D31" s="74">
        <f t="shared" si="0"/>
        <v>68</v>
      </c>
      <c r="E31" s="73">
        <v>76884</v>
      </c>
      <c r="F31" s="74">
        <f t="shared" si="0"/>
        <v>168</v>
      </c>
      <c r="G31" s="82">
        <v>9004.4150000000009</v>
      </c>
      <c r="H31" s="74">
        <f t="shared" si="0"/>
        <v>1.6279000000013184</v>
      </c>
      <c r="I31" s="73">
        <v>17224</v>
      </c>
      <c r="J31" s="74">
        <f t="shared" si="0"/>
        <v>11</v>
      </c>
      <c r="K31" s="73">
        <v>15885</v>
      </c>
      <c r="L31" s="74">
        <f t="shared" si="0"/>
        <v>110</v>
      </c>
      <c r="M31" s="75">
        <f t="shared" si="1"/>
        <v>60.500000000000007</v>
      </c>
      <c r="N31" s="75">
        <f t="shared" si="2"/>
        <v>49.5</v>
      </c>
      <c r="O31" s="73">
        <v>27641</v>
      </c>
      <c r="P31" s="74">
        <f t="shared" si="3"/>
        <v>70</v>
      </c>
      <c r="R31" s="106">
        <f t="shared" si="4"/>
        <v>309.12790000000132</v>
      </c>
      <c r="S31" s="97">
        <f t="shared" si="5"/>
        <v>119.5</v>
      </c>
    </row>
    <row r="32" spans="1:19" ht="39.950000000000003" customHeight="1">
      <c r="A32" s="193">
        <f t="shared" si="6"/>
        <v>44646</v>
      </c>
      <c r="B32" s="81"/>
      <c r="C32" s="73">
        <v>48173</v>
      </c>
      <c r="D32" s="74">
        <f t="shared" si="0"/>
        <v>87</v>
      </c>
      <c r="E32" s="73">
        <v>77076</v>
      </c>
      <c r="F32" s="74">
        <f t="shared" si="0"/>
        <v>192</v>
      </c>
      <c r="G32" s="82">
        <v>9005.7870000000003</v>
      </c>
      <c r="H32" s="74">
        <f t="shared" si="0"/>
        <v>1.3719999999993888</v>
      </c>
      <c r="I32" s="73">
        <v>17224</v>
      </c>
      <c r="J32" s="74">
        <f t="shared" si="0"/>
        <v>0</v>
      </c>
      <c r="K32" s="73">
        <v>15947</v>
      </c>
      <c r="L32" s="74">
        <f t="shared" si="0"/>
        <v>62</v>
      </c>
      <c r="M32" s="75">
        <f t="shared" si="1"/>
        <v>34.1</v>
      </c>
      <c r="N32" s="75">
        <f t="shared" si="2"/>
        <v>27.900000000000002</v>
      </c>
      <c r="O32" s="73">
        <v>27714</v>
      </c>
      <c r="P32" s="74">
        <f t="shared" si="3"/>
        <v>73</v>
      </c>
      <c r="R32" s="106">
        <f t="shared" si="4"/>
        <v>314.47199999999941</v>
      </c>
      <c r="S32" s="97">
        <f t="shared" si="5"/>
        <v>100.9</v>
      </c>
    </row>
    <row r="33" spans="1:19" ht="39.950000000000003" customHeight="1">
      <c r="A33" s="193">
        <f t="shared" si="6"/>
        <v>44647</v>
      </c>
      <c r="B33" s="81"/>
      <c r="C33" s="73">
        <v>48293</v>
      </c>
      <c r="D33" s="74">
        <f t="shared" si="0"/>
        <v>120</v>
      </c>
      <c r="E33" s="73">
        <v>77291</v>
      </c>
      <c r="F33" s="74">
        <f t="shared" si="0"/>
        <v>215</v>
      </c>
      <c r="G33" s="82">
        <v>9007.6</v>
      </c>
      <c r="H33" s="74">
        <f t="shared" si="0"/>
        <v>1.8130000000001019</v>
      </c>
      <c r="I33" s="73">
        <v>17252</v>
      </c>
      <c r="J33" s="74">
        <f t="shared" si="0"/>
        <v>28</v>
      </c>
      <c r="K33" s="73">
        <v>16027</v>
      </c>
      <c r="L33" s="74">
        <f t="shared" si="0"/>
        <v>80</v>
      </c>
      <c r="M33" s="75">
        <f t="shared" si="1"/>
        <v>44</v>
      </c>
      <c r="N33" s="75">
        <f t="shared" si="2"/>
        <v>36</v>
      </c>
      <c r="O33" s="73">
        <v>27785</v>
      </c>
      <c r="P33" s="74">
        <f t="shared" si="3"/>
        <v>71</v>
      </c>
      <c r="R33" s="106">
        <f t="shared" si="4"/>
        <v>408.8130000000001</v>
      </c>
      <c r="S33" s="97">
        <f t="shared" si="5"/>
        <v>107</v>
      </c>
    </row>
    <row r="34" spans="1:19" ht="39.950000000000003" customHeight="1">
      <c r="A34" s="193">
        <f t="shared" si="6"/>
        <v>44648</v>
      </c>
      <c r="B34" s="81"/>
      <c r="C34" s="73">
        <v>48395</v>
      </c>
      <c r="D34" s="182">
        <f t="shared" si="0"/>
        <v>102</v>
      </c>
      <c r="E34" s="73">
        <v>77490</v>
      </c>
      <c r="F34" s="182">
        <f t="shared" si="0"/>
        <v>199</v>
      </c>
      <c r="G34" s="82">
        <v>9009.4</v>
      </c>
      <c r="H34" s="182">
        <f t="shared" si="0"/>
        <v>1.7999999999992724</v>
      </c>
      <c r="I34" s="73">
        <v>17279</v>
      </c>
      <c r="J34" s="182">
        <f t="shared" si="0"/>
        <v>27</v>
      </c>
      <c r="K34" s="73">
        <v>16114</v>
      </c>
      <c r="L34" s="182">
        <f t="shared" si="0"/>
        <v>87</v>
      </c>
      <c r="M34" s="75">
        <f t="shared" si="1"/>
        <v>47.85</v>
      </c>
      <c r="N34" s="75">
        <f t="shared" si="2"/>
        <v>39.15</v>
      </c>
      <c r="O34" s="73">
        <v>27842</v>
      </c>
      <c r="P34" s="182">
        <f t="shared" si="3"/>
        <v>57</v>
      </c>
      <c r="R34" s="106">
        <f t="shared" si="4"/>
        <v>377.6499999999993</v>
      </c>
      <c r="S34" s="97">
        <f t="shared" si="5"/>
        <v>96.15</v>
      </c>
    </row>
    <row r="35" spans="1:19" ht="39.950000000000003" customHeight="1">
      <c r="A35" s="193">
        <f t="shared" si="6"/>
        <v>44649</v>
      </c>
      <c r="B35" s="81"/>
      <c r="C35" s="82">
        <v>48494</v>
      </c>
      <c r="D35" s="182">
        <f t="shared" si="0"/>
        <v>99</v>
      </c>
      <c r="E35" s="82">
        <v>77651</v>
      </c>
      <c r="F35" s="182">
        <f t="shared" si="0"/>
        <v>161</v>
      </c>
      <c r="G35" s="82">
        <v>9011.2145999999993</v>
      </c>
      <c r="H35" s="182">
        <f t="shared" si="0"/>
        <v>1.8145999999997002</v>
      </c>
      <c r="I35" s="82">
        <v>17291</v>
      </c>
      <c r="J35" s="182">
        <f t="shared" si="0"/>
        <v>12</v>
      </c>
      <c r="K35" s="82">
        <v>16206</v>
      </c>
      <c r="L35" s="182">
        <f t="shared" si="0"/>
        <v>92</v>
      </c>
      <c r="M35" s="75">
        <f t="shared" ref="M35:M37" si="7">L35*55%</f>
        <v>50.6</v>
      </c>
      <c r="N35" s="75">
        <f t="shared" ref="N35:N37" si="8">L35*45%</f>
        <v>41.4</v>
      </c>
      <c r="O35" s="82">
        <v>27914</v>
      </c>
      <c r="P35" s="182">
        <f t="shared" si="3"/>
        <v>72</v>
      </c>
      <c r="R35" s="106">
        <f t="shared" si="4"/>
        <v>324.41459999999972</v>
      </c>
      <c r="S35" s="97">
        <f t="shared" ref="S35:S37" si="9">SUM(N35,P35)</f>
        <v>113.4</v>
      </c>
    </row>
    <row r="36" spans="1:19" ht="39.950000000000003" customHeight="1">
      <c r="A36" s="193">
        <f t="shared" si="6"/>
        <v>44650</v>
      </c>
      <c r="B36" s="81"/>
      <c r="C36" s="73">
        <v>48579</v>
      </c>
      <c r="D36" s="74">
        <f t="shared" ref="D36:L37" si="10">(C36-C35)</f>
        <v>85</v>
      </c>
      <c r="E36" s="73">
        <v>77827</v>
      </c>
      <c r="F36" s="74">
        <f t="shared" si="10"/>
        <v>176</v>
      </c>
      <c r="G36" s="73">
        <v>9011</v>
      </c>
      <c r="H36" s="74">
        <f t="shared" si="10"/>
        <v>-0.21459999999933643</v>
      </c>
      <c r="I36" s="73">
        <v>17293</v>
      </c>
      <c r="J36" s="74">
        <f t="shared" si="10"/>
        <v>2</v>
      </c>
      <c r="K36" s="73">
        <v>16292</v>
      </c>
      <c r="L36" s="74">
        <f t="shared" si="10"/>
        <v>86</v>
      </c>
      <c r="M36" s="75">
        <f t="shared" si="7"/>
        <v>47.300000000000004</v>
      </c>
      <c r="N36" s="75">
        <f t="shared" si="8"/>
        <v>38.700000000000003</v>
      </c>
      <c r="O36" s="73">
        <v>27998</v>
      </c>
      <c r="P36" s="74">
        <f t="shared" si="3"/>
        <v>84</v>
      </c>
      <c r="R36" s="106">
        <f t="shared" si="4"/>
        <v>310.08540000000067</v>
      </c>
      <c r="S36" s="97">
        <f t="shared" si="9"/>
        <v>122.7</v>
      </c>
    </row>
    <row r="37" spans="1:19" ht="39.950000000000003" customHeight="1">
      <c r="A37" s="193">
        <f t="shared" si="6"/>
        <v>44651</v>
      </c>
      <c r="B37" s="16"/>
      <c r="C37" s="72">
        <v>48655</v>
      </c>
      <c r="D37" s="74">
        <f t="shared" si="10"/>
        <v>76</v>
      </c>
      <c r="E37" s="72">
        <v>78002</v>
      </c>
      <c r="F37" s="74">
        <f t="shared" si="10"/>
        <v>175</v>
      </c>
      <c r="G37" s="72">
        <v>9012</v>
      </c>
      <c r="H37" s="74">
        <f t="shared" si="10"/>
        <v>1</v>
      </c>
      <c r="I37" s="72">
        <v>17330</v>
      </c>
      <c r="J37" s="74">
        <f t="shared" si="10"/>
        <v>37</v>
      </c>
      <c r="K37" s="72">
        <v>16385</v>
      </c>
      <c r="L37" s="74">
        <f t="shared" si="10"/>
        <v>93</v>
      </c>
      <c r="M37" s="75">
        <f t="shared" si="7"/>
        <v>51.150000000000006</v>
      </c>
      <c r="N37" s="75">
        <f t="shared" si="8"/>
        <v>41.85</v>
      </c>
      <c r="O37" s="72">
        <v>28054</v>
      </c>
      <c r="P37" s="74">
        <f t="shared" si="3"/>
        <v>56</v>
      </c>
      <c r="R37" s="106">
        <f t="shared" si="4"/>
        <v>340.15</v>
      </c>
      <c r="S37" s="97">
        <f t="shared" si="9"/>
        <v>97.85</v>
      </c>
    </row>
    <row r="38" spans="1:19" s="21" customFormat="1" ht="39.950000000000003" customHeight="1">
      <c r="A38" s="18"/>
      <c r="D38" s="22">
        <f>SUM(D7:D37)</f>
        <v>2133</v>
      </c>
      <c r="F38" s="22">
        <f>SUM(F7:F37)</f>
        <v>4918</v>
      </c>
      <c r="H38" s="22">
        <f>SUM(H7:H37)</f>
        <v>133.34870000000046</v>
      </c>
      <c r="J38" s="22">
        <f>SUM(J7:J37)</f>
        <v>640</v>
      </c>
      <c r="L38" s="22">
        <f>SUM(L7:L37)</f>
        <v>2667</v>
      </c>
      <c r="M38" s="22"/>
      <c r="N38" s="22"/>
      <c r="P38" s="22">
        <f>SUM(P7:P37)</f>
        <v>2390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26" activePane="bottomRight" state="frozen"/>
      <selection pane="topRight" activeCell="C1" sqref="C1"/>
      <selection pane="bottomLeft" activeCell="A8" sqref="A8"/>
      <selection pane="bottomRight" activeCell="BE43" sqref="BE43"/>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09"/>
      <c r="B1" s="109"/>
      <c r="C1" s="211" t="s">
        <v>66</v>
      </c>
      <c r="D1" s="211"/>
      <c r="E1" s="211"/>
      <c r="F1" s="211"/>
      <c r="G1" s="211" t="s">
        <v>65</v>
      </c>
      <c r="H1" s="211"/>
      <c r="I1" s="211" t="s">
        <v>65</v>
      </c>
      <c r="J1" s="211"/>
      <c r="K1" s="211" t="s">
        <v>65</v>
      </c>
      <c r="L1" s="211"/>
      <c r="M1" s="211" t="s">
        <v>65</v>
      </c>
      <c r="N1" s="211"/>
      <c r="O1" s="211" t="s">
        <v>65</v>
      </c>
      <c r="P1" s="211"/>
      <c r="Q1" s="224" t="s">
        <v>65</v>
      </c>
      <c r="R1" s="225"/>
      <c r="S1" s="224" t="s">
        <v>65</v>
      </c>
      <c r="T1" s="225"/>
      <c r="U1" s="224" t="s">
        <v>65</v>
      </c>
      <c r="V1" s="225"/>
      <c r="W1" s="224" t="s">
        <v>65</v>
      </c>
      <c r="X1" s="226"/>
      <c r="Y1" s="211" t="s">
        <v>65</v>
      </c>
      <c r="Z1" s="211"/>
      <c r="AA1" s="224" t="s">
        <v>65</v>
      </c>
      <c r="AB1" s="225"/>
      <c r="AC1" s="211" t="s">
        <v>65</v>
      </c>
      <c r="AD1" s="211"/>
      <c r="AE1" s="211" t="s">
        <v>65</v>
      </c>
      <c r="AF1" s="211"/>
      <c r="AG1" s="211" t="s">
        <v>65</v>
      </c>
      <c r="AH1" s="211"/>
      <c r="AI1" s="211" t="s">
        <v>65</v>
      </c>
      <c r="AJ1" s="211"/>
      <c r="AK1" s="211" t="s">
        <v>65</v>
      </c>
      <c r="AL1" s="211"/>
      <c r="AM1" s="211" t="s">
        <v>67</v>
      </c>
      <c r="AN1" s="211"/>
      <c r="AO1" s="211" t="s">
        <v>67</v>
      </c>
      <c r="AP1" s="211"/>
      <c r="AQ1" s="211" t="s">
        <v>67</v>
      </c>
      <c r="AR1" s="211"/>
      <c r="AS1" s="211" t="s">
        <v>67</v>
      </c>
      <c r="AT1" s="211"/>
      <c r="AU1" s="211" t="s">
        <v>67</v>
      </c>
      <c r="AV1" s="211"/>
      <c r="AW1" s="211" t="s">
        <v>67</v>
      </c>
      <c r="AX1" s="211"/>
      <c r="AY1" s="211" t="s">
        <v>67</v>
      </c>
      <c r="AZ1" s="211"/>
      <c r="BA1" s="211" t="s">
        <v>67</v>
      </c>
      <c r="BB1" s="211"/>
      <c r="BC1" s="211" t="s">
        <v>67</v>
      </c>
      <c r="BD1" s="211"/>
      <c r="BE1" s="211" t="s">
        <v>67</v>
      </c>
      <c r="BF1" s="211"/>
      <c r="BH1" s="32"/>
      <c r="BI1" s="32"/>
    </row>
    <row r="2" spans="1:61" s="24" customFormat="1" ht="75.75" customHeight="1">
      <c r="A2" s="48"/>
      <c r="B2" s="48"/>
      <c r="C2" s="246" t="s">
        <v>116</v>
      </c>
      <c r="D2" s="246"/>
      <c r="E2" s="246"/>
      <c r="F2" s="246"/>
      <c r="G2" s="246" t="s">
        <v>117</v>
      </c>
      <c r="H2" s="246"/>
      <c r="I2" s="246" t="s">
        <v>118</v>
      </c>
      <c r="J2" s="246"/>
      <c r="K2" s="246" t="s">
        <v>119</v>
      </c>
      <c r="L2" s="246"/>
      <c r="M2" s="246" t="s">
        <v>120</v>
      </c>
      <c r="N2" s="246"/>
      <c r="O2" s="251" t="s">
        <v>121</v>
      </c>
      <c r="P2" s="253"/>
      <c r="Q2" s="251" t="s">
        <v>122</v>
      </c>
      <c r="R2" s="253"/>
      <c r="S2" s="251" t="s">
        <v>123</v>
      </c>
      <c r="T2" s="253"/>
      <c r="U2" s="251" t="s">
        <v>124</v>
      </c>
      <c r="V2" s="253"/>
      <c r="W2" s="251" t="s">
        <v>125</v>
      </c>
      <c r="X2" s="252"/>
      <c r="Y2" s="246" t="s">
        <v>126</v>
      </c>
      <c r="Z2" s="246"/>
      <c r="AA2" s="251" t="s">
        <v>127</v>
      </c>
      <c r="AB2" s="253"/>
      <c r="AC2" s="246" t="s">
        <v>128</v>
      </c>
      <c r="AD2" s="246"/>
      <c r="AE2" s="246" t="s">
        <v>129</v>
      </c>
      <c r="AF2" s="246"/>
      <c r="AG2" s="246" t="s">
        <v>129</v>
      </c>
      <c r="AH2" s="246"/>
      <c r="AI2" s="246" t="s">
        <v>129</v>
      </c>
      <c r="AJ2" s="246"/>
      <c r="AK2" s="246" t="s">
        <v>129</v>
      </c>
      <c r="AL2" s="246"/>
      <c r="AM2" s="246" t="s">
        <v>130</v>
      </c>
      <c r="AN2" s="246"/>
      <c r="AO2" s="246" t="s">
        <v>131</v>
      </c>
      <c r="AP2" s="246"/>
      <c r="AQ2" s="246" t="s">
        <v>132</v>
      </c>
      <c r="AR2" s="246"/>
      <c r="AS2" s="246" t="s">
        <v>132</v>
      </c>
      <c r="AT2" s="246"/>
      <c r="AU2" s="246" t="s">
        <v>133</v>
      </c>
      <c r="AV2" s="246"/>
      <c r="AW2" s="246" t="s">
        <v>134</v>
      </c>
      <c r="AX2" s="246"/>
      <c r="AY2" s="246" t="s">
        <v>135</v>
      </c>
      <c r="AZ2" s="246"/>
      <c r="BA2" s="246" t="s">
        <v>135</v>
      </c>
      <c r="BB2" s="246"/>
      <c r="BC2" s="246" t="s">
        <v>136</v>
      </c>
      <c r="BD2" s="246"/>
      <c r="BE2" s="246" t="s">
        <v>136</v>
      </c>
      <c r="BF2" s="246"/>
      <c r="BH2" s="32"/>
      <c r="BI2" s="32"/>
    </row>
    <row r="3" spans="1:61" s="10" customFormat="1" ht="87.75" customHeight="1">
      <c r="A3" s="107"/>
      <c r="B3" s="107"/>
      <c r="C3" s="239" t="s">
        <v>137</v>
      </c>
      <c r="D3" s="240"/>
      <c r="E3" s="107" t="s">
        <v>65</v>
      </c>
      <c r="F3" s="109" t="s">
        <v>67</v>
      </c>
      <c r="G3" s="243" t="s">
        <v>138</v>
      </c>
      <c r="H3" s="244"/>
      <c r="I3" s="243" t="s">
        <v>138</v>
      </c>
      <c r="J3" s="244"/>
      <c r="K3" s="243" t="s">
        <v>138</v>
      </c>
      <c r="L3" s="244"/>
      <c r="M3" s="241" t="s">
        <v>139</v>
      </c>
      <c r="N3" s="242"/>
      <c r="O3" s="243" t="s">
        <v>138</v>
      </c>
      <c r="P3" s="244"/>
      <c r="Q3" s="243" t="s">
        <v>138</v>
      </c>
      <c r="R3" s="244"/>
      <c r="S3" s="249" t="s">
        <v>138</v>
      </c>
      <c r="T3" s="250"/>
      <c r="U3" s="243" t="s">
        <v>138</v>
      </c>
      <c r="V3" s="244"/>
      <c r="W3" s="243" t="s">
        <v>138</v>
      </c>
      <c r="X3" s="244"/>
      <c r="Y3" s="245" t="s">
        <v>140</v>
      </c>
      <c r="Z3" s="244"/>
      <c r="AA3" s="243" t="s">
        <v>141</v>
      </c>
      <c r="AB3" s="244"/>
      <c r="AC3" s="243" t="s">
        <v>142</v>
      </c>
      <c r="AD3" s="244"/>
      <c r="AE3" s="243" t="s">
        <v>142</v>
      </c>
      <c r="AF3" s="244"/>
      <c r="AG3" s="245" t="s">
        <v>143</v>
      </c>
      <c r="AH3" s="244"/>
      <c r="AI3" s="243" t="s">
        <v>144</v>
      </c>
      <c r="AJ3" s="244"/>
      <c r="AK3" s="245" t="s">
        <v>145</v>
      </c>
      <c r="AL3" s="244"/>
      <c r="AM3" s="243" t="s">
        <v>146</v>
      </c>
      <c r="AN3" s="244"/>
      <c r="AO3" s="243" t="s">
        <v>146</v>
      </c>
      <c r="AP3" s="244"/>
      <c r="AQ3" s="245" t="s">
        <v>147</v>
      </c>
      <c r="AR3" s="244"/>
      <c r="AS3" s="243" t="s">
        <v>148</v>
      </c>
      <c r="AT3" s="244"/>
      <c r="AU3" s="245" t="s">
        <v>149</v>
      </c>
      <c r="AV3" s="244"/>
      <c r="AW3" s="245" t="s">
        <v>149</v>
      </c>
      <c r="AX3" s="244"/>
      <c r="AY3" s="243" t="s">
        <v>144</v>
      </c>
      <c r="AZ3" s="244"/>
      <c r="BA3" s="245" t="s">
        <v>145</v>
      </c>
      <c r="BB3" s="244"/>
      <c r="BC3" s="243" t="s">
        <v>144</v>
      </c>
      <c r="BD3" s="244"/>
      <c r="BE3" s="245" t="s">
        <v>145</v>
      </c>
      <c r="BF3" s="244"/>
      <c r="BH3" s="32"/>
      <c r="BI3" s="32"/>
    </row>
    <row r="4" spans="1:61" s="24" customFormat="1" ht="50.1" customHeight="1">
      <c r="A4" s="107"/>
      <c r="B4" s="48"/>
      <c r="C4" s="212" t="s">
        <v>150</v>
      </c>
      <c r="D4" s="214"/>
      <c r="E4" s="247" t="s">
        <v>151</v>
      </c>
      <c r="F4" s="248"/>
      <c r="G4" s="212" t="s">
        <v>152</v>
      </c>
      <c r="H4" s="214"/>
      <c r="I4" s="212" t="s">
        <v>153</v>
      </c>
      <c r="J4" s="214"/>
      <c r="K4" s="212" t="s">
        <v>154</v>
      </c>
      <c r="L4" s="214"/>
      <c r="M4" s="212">
        <v>7092801222</v>
      </c>
      <c r="N4" s="214"/>
      <c r="O4" s="212" t="s">
        <v>155</v>
      </c>
      <c r="P4" s="213"/>
      <c r="Q4" s="212" t="s">
        <v>156</v>
      </c>
      <c r="R4" s="213"/>
      <c r="S4" s="212" t="s">
        <v>157</v>
      </c>
      <c r="T4" s="213"/>
      <c r="U4" s="212" t="s">
        <v>158</v>
      </c>
      <c r="V4" s="213"/>
      <c r="W4" s="212" t="s">
        <v>159</v>
      </c>
      <c r="X4" s="214"/>
      <c r="Y4" s="212" t="s">
        <v>160</v>
      </c>
      <c r="Z4" s="214"/>
      <c r="AA4" s="212" t="s">
        <v>161</v>
      </c>
      <c r="AB4" s="213"/>
      <c r="AC4" s="212" t="s">
        <v>162</v>
      </c>
      <c r="AD4" s="214"/>
      <c r="AE4" s="212" t="s">
        <v>163</v>
      </c>
      <c r="AF4" s="214"/>
      <c r="AG4" s="212" t="s">
        <v>164</v>
      </c>
      <c r="AH4" s="214"/>
      <c r="AI4" s="212">
        <v>7105826734</v>
      </c>
      <c r="AJ4" s="214"/>
      <c r="AK4" s="212">
        <v>7105825932</v>
      </c>
      <c r="AL4" s="214"/>
      <c r="AM4" s="212" t="s">
        <v>165</v>
      </c>
      <c r="AN4" s="214"/>
      <c r="AO4" s="212" t="s">
        <v>166</v>
      </c>
      <c r="AP4" s="214"/>
      <c r="AQ4" s="212" t="s">
        <v>167</v>
      </c>
      <c r="AR4" s="214"/>
      <c r="AS4" s="212" t="s">
        <v>168</v>
      </c>
      <c r="AT4" s="214"/>
      <c r="AU4" s="212" t="s">
        <v>169</v>
      </c>
      <c r="AV4" s="214"/>
      <c r="AW4" s="212" t="s">
        <v>170</v>
      </c>
      <c r="AX4" s="214"/>
      <c r="AY4" s="212">
        <v>7111912486</v>
      </c>
      <c r="AZ4" s="214"/>
      <c r="BA4" s="212">
        <v>7111911842</v>
      </c>
      <c r="BB4" s="214"/>
      <c r="BC4" s="212">
        <v>7111913281</v>
      </c>
      <c r="BD4" s="214"/>
      <c r="BE4" s="212">
        <v>7111912723</v>
      </c>
      <c r="BF4" s="214"/>
      <c r="BH4" s="209" t="s">
        <v>81</v>
      </c>
      <c r="BI4" s="209"/>
    </row>
    <row r="5" spans="1:61" s="24" customFormat="1" ht="50.1" customHeight="1">
      <c r="A5" s="48" t="s">
        <v>171</v>
      </c>
      <c r="B5" s="48"/>
      <c r="C5" s="212" t="s">
        <v>172</v>
      </c>
      <c r="D5" s="214"/>
      <c r="E5" s="79">
        <v>0.6</v>
      </c>
      <c r="F5" s="30">
        <v>0.4</v>
      </c>
      <c r="G5" s="212" t="s">
        <v>173</v>
      </c>
      <c r="H5" s="214"/>
      <c r="I5" s="212" t="s">
        <v>174</v>
      </c>
      <c r="J5" s="214"/>
      <c r="K5" s="212" t="s">
        <v>175</v>
      </c>
      <c r="L5" s="214"/>
      <c r="M5" s="212" t="s">
        <v>176</v>
      </c>
      <c r="N5" s="214"/>
      <c r="O5" s="212" t="s">
        <v>177</v>
      </c>
      <c r="P5" s="213"/>
      <c r="Q5" s="212" t="s">
        <v>178</v>
      </c>
      <c r="R5" s="213"/>
      <c r="S5" s="212" t="s">
        <v>179</v>
      </c>
      <c r="T5" s="213"/>
      <c r="U5" s="212" t="s">
        <v>180</v>
      </c>
      <c r="V5" s="213"/>
      <c r="W5" s="212" t="s">
        <v>181</v>
      </c>
      <c r="X5" s="214"/>
      <c r="Y5" s="212" t="s">
        <v>182</v>
      </c>
      <c r="Z5" s="214"/>
      <c r="AA5" s="212" t="s">
        <v>183</v>
      </c>
      <c r="AB5" s="213"/>
      <c r="AC5" s="212" t="s">
        <v>184</v>
      </c>
      <c r="AD5" s="214"/>
      <c r="AE5" s="212" t="s">
        <v>185</v>
      </c>
      <c r="AF5" s="214"/>
      <c r="AG5" s="212" t="s">
        <v>186</v>
      </c>
      <c r="AH5" s="214"/>
      <c r="AI5" s="212" t="s">
        <v>187</v>
      </c>
      <c r="AJ5" s="214"/>
      <c r="AK5" s="212" t="s">
        <v>188</v>
      </c>
      <c r="AL5" s="214"/>
      <c r="AM5" s="212" t="s">
        <v>189</v>
      </c>
      <c r="AN5" s="214"/>
      <c r="AO5" s="212" t="s">
        <v>190</v>
      </c>
      <c r="AP5" s="214"/>
      <c r="AQ5" s="212" t="s">
        <v>191</v>
      </c>
      <c r="AR5" s="214"/>
      <c r="AS5" s="212" t="s">
        <v>192</v>
      </c>
      <c r="AT5" s="214"/>
      <c r="AU5" s="212" t="s">
        <v>193</v>
      </c>
      <c r="AV5" s="214"/>
      <c r="AW5" s="212" t="s">
        <v>194</v>
      </c>
      <c r="AX5" s="214"/>
      <c r="AY5" s="212">
        <v>744483</v>
      </c>
      <c r="AZ5" s="214"/>
      <c r="BA5" s="212">
        <v>119314</v>
      </c>
      <c r="BB5" s="214"/>
      <c r="BC5" s="212">
        <v>1053229</v>
      </c>
      <c r="BD5" s="214"/>
      <c r="BE5" s="212">
        <v>1053215</v>
      </c>
      <c r="BF5" s="214"/>
      <c r="BH5" s="209"/>
      <c r="BI5" s="209"/>
    </row>
    <row r="6" spans="1:61" s="8" customFormat="1" ht="30" customHeight="1">
      <c r="A6" s="107" t="s">
        <v>96</v>
      </c>
      <c r="B6" s="49"/>
      <c r="C6" s="218"/>
      <c r="D6" s="219"/>
      <c r="E6" s="80"/>
      <c r="F6" s="112"/>
      <c r="G6" s="107"/>
      <c r="H6" s="49"/>
      <c r="I6" s="218"/>
      <c r="J6" s="219"/>
      <c r="K6" s="218"/>
      <c r="L6" s="219"/>
      <c r="M6" s="218"/>
      <c r="N6" s="219"/>
      <c r="O6" s="218"/>
      <c r="P6" s="223"/>
      <c r="Q6" s="218"/>
      <c r="R6" s="223"/>
      <c r="S6" s="218"/>
      <c r="T6" s="223"/>
      <c r="U6" s="218"/>
      <c r="V6" s="223"/>
      <c r="W6" s="218"/>
      <c r="X6" s="219"/>
      <c r="Y6" s="218"/>
      <c r="Z6" s="219"/>
      <c r="AA6" s="218"/>
      <c r="AB6" s="223"/>
      <c r="AC6" s="218"/>
      <c r="AD6" s="219"/>
      <c r="AE6" s="218"/>
      <c r="AF6" s="219"/>
      <c r="AG6" s="218"/>
      <c r="AH6" s="219"/>
      <c r="AI6" s="218"/>
      <c r="AJ6" s="219"/>
      <c r="AK6" s="218"/>
      <c r="AL6" s="219"/>
      <c r="AM6" s="218"/>
      <c r="AN6" s="219"/>
      <c r="AO6" s="218"/>
      <c r="AP6" s="219"/>
      <c r="AQ6" s="218"/>
      <c r="AR6" s="219"/>
      <c r="AS6" s="218"/>
      <c r="AT6" s="219"/>
      <c r="AU6" s="218"/>
      <c r="AV6" s="219"/>
      <c r="AW6" s="218"/>
      <c r="AX6" s="219"/>
      <c r="AY6" s="218"/>
      <c r="AZ6" s="219"/>
      <c r="BA6" s="218"/>
      <c r="BB6" s="219"/>
      <c r="BC6" s="218"/>
      <c r="BD6" s="219"/>
      <c r="BE6" s="218"/>
      <c r="BF6" s="219"/>
      <c r="BH6" s="32"/>
      <c r="BI6" s="32"/>
    </row>
    <row r="7" spans="1:61" s="10" customFormat="1" ht="50.1" customHeight="1">
      <c r="A7" s="107" t="s">
        <v>99</v>
      </c>
      <c r="B7" s="107"/>
      <c r="C7" s="107" t="s">
        <v>114</v>
      </c>
      <c r="D7" s="107" t="s">
        <v>195</v>
      </c>
      <c r="E7" s="107" t="s">
        <v>195</v>
      </c>
      <c r="F7" s="107" t="s">
        <v>195</v>
      </c>
      <c r="G7" s="107" t="s">
        <v>114</v>
      </c>
      <c r="H7" s="107" t="s">
        <v>195</v>
      </c>
      <c r="I7" s="107" t="s">
        <v>114</v>
      </c>
      <c r="J7" s="107" t="s">
        <v>195</v>
      </c>
      <c r="K7" s="107" t="s">
        <v>114</v>
      </c>
      <c r="L7" s="107" t="s">
        <v>195</v>
      </c>
      <c r="M7" s="107" t="s">
        <v>114</v>
      </c>
      <c r="N7" s="107" t="s">
        <v>195</v>
      </c>
      <c r="O7" s="107" t="s">
        <v>114</v>
      </c>
      <c r="P7" s="107" t="s">
        <v>195</v>
      </c>
      <c r="Q7" s="107" t="s">
        <v>114</v>
      </c>
      <c r="R7" s="107" t="s">
        <v>195</v>
      </c>
      <c r="S7" s="107" t="s">
        <v>114</v>
      </c>
      <c r="T7" s="107" t="s">
        <v>195</v>
      </c>
      <c r="U7" s="107" t="s">
        <v>114</v>
      </c>
      <c r="V7" s="107" t="s">
        <v>195</v>
      </c>
      <c r="W7" s="107" t="s">
        <v>114</v>
      </c>
      <c r="X7" s="107" t="s">
        <v>195</v>
      </c>
      <c r="Y7" s="107" t="s">
        <v>114</v>
      </c>
      <c r="Z7" s="107" t="s">
        <v>195</v>
      </c>
      <c r="AA7" s="107" t="s">
        <v>114</v>
      </c>
      <c r="AB7" s="107" t="s">
        <v>195</v>
      </c>
      <c r="AC7" s="107" t="s">
        <v>114</v>
      </c>
      <c r="AD7" s="107" t="s">
        <v>195</v>
      </c>
      <c r="AE7" s="13" t="s">
        <v>114</v>
      </c>
      <c r="AF7" s="107" t="s">
        <v>195</v>
      </c>
      <c r="AG7" s="13" t="s">
        <v>114</v>
      </c>
      <c r="AH7" s="107" t="s">
        <v>195</v>
      </c>
      <c r="AI7" s="13" t="s">
        <v>114</v>
      </c>
      <c r="AJ7" s="107" t="s">
        <v>195</v>
      </c>
      <c r="AK7" s="13" t="s">
        <v>114</v>
      </c>
      <c r="AL7" s="107" t="s">
        <v>195</v>
      </c>
      <c r="AM7" s="13" t="s">
        <v>114</v>
      </c>
      <c r="AN7" s="107" t="s">
        <v>195</v>
      </c>
      <c r="AO7" s="13" t="s">
        <v>114</v>
      </c>
      <c r="AP7" s="107" t="s">
        <v>195</v>
      </c>
      <c r="AQ7" s="13" t="s">
        <v>114</v>
      </c>
      <c r="AR7" s="107" t="s">
        <v>195</v>
      </c>
      <c r="AS7" s="13" t="s">
        <v>114</v>
      </c>
      <c r="AT7" s="107" t="s">
        <v>195</v>
      </c>
      <c r="AU7" s="13" t="s">
        <v>114</v>
      </c>
      <c r="AV7" s="107" t="s">
        <v>195</v>
      </c>
      <c r="AW7" s="13" t="s">
        <v>114</v>
      </c>
      <c r="AX7" s="107" t="s">
        <v>195</v>
      </c>
      <c r="AY7" s="13" t="s">
        <v>114</v>
      </c>
      <c r="AZ7" s="107" t="s">
        <v>195</v>
      </c>
      <c r="BA7" s="13" t="s">
        <v>114</v>
      </c>
      <c r="BB7" s="107" t="s">
        <v>195</v>
      </c>
      <c r="BC7" s="13" t="s">
        <v>114</v>
      </c>
      <c r="BD7" s="107" t="s">
        <v>195</v>
      </c>
      <c r="BE7" s="13" t="s">
        <v>114</v>
      </c>
      <c r="BF7" s="107" t="s">
        <v>195</v>
      </c>
      <c r="BH7" s="107" t="s">
        <v>65</v>
      </c>
      <c r="BI7" s="107" t="s">
        <v>67</v>
      </c>
    </row>
    <row r="8" spans="1:61" s="35" customFormat="1" ht="39.950000000000003" customHeight="1">
      <c r="A8" s="193">
        <v>44620</v>
      </c>
      <c r="B8" s="34"/>
      <c r="C8" s="77">
        <v>6738906</v>
      </c>
      <c r="D8" s="103"/>
      <c r="E8" s="104"/>
      <c r="F8" s="103"/>
      <c r="G8" s="77">
        <v>292668</v>
      </c>
      <c r="H8" s="103"/>
      <c r="I8" s="77">
        <v>172870</v>
      </c>
      <c r="J8" s="37"/>
      <c r="K8" s="77">
        <v>268348</v>
      </c>
      <c r="L8" s="103"/>
      <c r="M8" s="77">
        <v>25315</v>
      </c>
      <c r="N8" s="37"/>
      <c r="O8" s="77">
        <v>317317</v>
      </c>
      <c r="P8" s="37"/>
      <c r="Q8" s="77">
        <v>471986</v>
      </c>
      <c r="R8" s="103"/>
      <c r="S8" s="77">
        <v>754777</v>
      </c>
      <c r="T8" s="103"/>
      <c r="U8" s="82">
        <v>4280.7079999999996</v>
      </c>
      <c r="V8" s="103"/>
      <c r="W8" s="77">
        <v>84313</v>
      </c>
      <c r="X8" s="103"/>
      <c r="Y8" s="77">
        <v>1518181</v>
      </c>
      <c r="Z8" s="103"/>
      <c r="AA8" s="77">
        <v>13885</v>
      </c>
      <c r="AB8" s="103"/>
      <c r="AC8" s="77">
        <v>489157</v>
      </c>
      <c r="AD8" s="103"/>
      <c r="AE8" s="77">
        <v>560087</v>
      </c>
      <c r="AF8" s="103"/>
      <c r="AG8" s="77">
        <v>49787</v>
      </c>
      <c r="AH8" s="103"/>
      <c r="AI8" s="77">
        <v>437559</v>
      </c>
      <c r="AJ8" s="103"/>
      <c r="AK8" s="77">
        <v>102770</v>
      </c>
      <c r="AL8" s="103"/>
      <c r="AM8" s="77">
        <v>597458</v>
      </c>
      <c r="AN8" s="103"/>
      <c r="AO8" s="77">
        <v>979293</v>
      </c>
      <c r="AP8" s="103"/>
      <c r="AQ8" s="77">
        <v>88721</v>
      </c>
      <c r="AR8" s="103"/>
      <c r="AS8" s="77">
        <v>2453</v>
      </c>
      <c r="AT8" s="103"/>
      <c r="AU8" s="77">
        <v>939</v>
      </c>
      <c r="AV8" s="103"/>
      <c r="AW8" s="77">
        <v>3110</v>
      </c>
      <c r="AX8" s="103"/>
      <c r="AY8" s="77">
        <v>339109</v>
      </c>
      <c r="AZ8" s="103"/>
      <c r="BA8" s="77">
        <v>161101</v>
      </c>
      <c r="BB8" s="103"/>
      <c r="BC8" s="77">
        <v>230361</v>
      </c>
      <c r="BD8" s="103"/>
      <c r="BE8" s="77">
        <v>5347</v>
      </c>
      <c r="BF8" s="103"/>
      <c r="BH8" s="105"/>
      <c r="BI8" s="105"/>
    </row>
    <row r="9" spans="1:61" s="28" customFormat="1" ht="39.950000000000003" customHeight="1">
      <c r="A9" s="193">
        <v>44621</v>
      </c>
      <c r="B9" s="27"/>
      <c r="C9" s="77">
        <v>6741628</v>
      </c>
      <c r="D9" s="37">
        <f>(+C9-+C8)*48</f>
        <v>130656</v>
      </c>
      <c r="E9" s="104">
        <f>D9*0.6</f>
        <v>78393.599999999991</v>
      </c>
      <c r="F9" s="37">
        <f>D9*0.4</f>
        <v>52262.400000000001</v>
      </c>
      <c r="G9" s="77">
        <v>292687</v>
      </c>
      <c r="H9" s="37">
        <f>(+G9-+G8)*48</f>
        <v>912</v>
      </c>
      <c r="I9" s="77">
        <v>173024</v>
      </c>
      <c r="J9" s="37">
        <f>(+I9-+I8)*48</f>
        <v>7392</v>
      </c>
      <c r="K9" s="77">
        <v>268348</v>
      </c>
      <c r="L9" s="37">
        <f t="shared" ref="L9:L39" si="0">(+K9-+K8)*48</f>
        <v>0</v>
      </c>
      <c r="M9" s="77">
        <v>25315</v>
      </c>
      <c r="N9" s="37">
        <f>(+M9-+M8)*48</f>
        <v>0</v>
      </c>
      <c r="O9" s="77">
        <v>317431</v>
      </c>
      <c r="P9" s="37">
        <f>(+O9-+O8)*48</f>
        <v>5472</v>
      </c>
      <c r="Q9" s="77">
        <v>472003</v>
      </c>
      <c r="R9" s="37">
        <f>(+Q9-+Q8)*48</f>
        <v>816</v>
      </c>
      <c r="S9" s="77">
        <v>754867</v>
      </c>
      <c r="T9" s="37">
        <f>(+S9-+S8)*48</f>
        <v>4320</v>
      </c>
      <c r="U9" s="77">
        <v>4280.7079999999996</v>
      </c>
      <c r="V9" s="103">
        <f>(+U9-+U8)*48</f>
        <v>0</v>
      </c>
      <c r="W9" s="77">
        <v>84313</v>
      </c>
      <c r="X9" s="37">
        <f>(+W9-+W8)*48</f>
        <v>0</v>
      </c>
      <c r="Y9" s="77">
        <v>1518181</v>
      </c>
      <c r="Z9" s="37">
        <f>(+Y9-+Y8)*48</f>
        <v>0</v>
      </c>
      <c r="AA9" s="77">
        <v>13885</v>
      </c>
      <c r="AB9" s="37">
        <f>(+AA9-+AA8)*48</f>
        <v>0</v>
      </c>
      <c r="AC9" s="77">
        <v>489286</v>
      </c>
      <c r="AD9" s="37">
        <f>(+AC9-+AC8)*48</f>
        <v>6192</v>
      </c>
      <c r="AE9" s="77">
        <v>560155</v>
      </c>
      <c r="AF9" s="37">
        <f>(+AE9-+AE8)*48</f>
        <v>3264</v>
      </c>
      <c r="AG9" s="76">
        <v>49787</v>
      </c>
      <c r="AH9" s="37">
        <f>(+AG9-+AG8)*48</f>
        <v>0</v>
      </c>
      <c r="AI9" s="77">
        <v>437637</v>
      </c>
      <c r="AJ9" s="37">
        <f>(+AI9-+AI8)*48</f>
        <v>3744</v>
      </c>
      <c r="AK9" s="77">
        <v>102770</v>
      </c>
      <c r="AL9" s="37">
        <f>(+AK9-+AK8)*48</f>
        <v>0</v>
      </c>
      <c r="AM9" s="77">
        <v>597540</v>
      </c>
      <c r="AN9" s="37">
        <f>(+AM9-+AM8)*48</f>
        <v>3936</v>
      </c>
      <c r="AO9" s="77">
        <v>979499</v>
      </c>
      <c r="AP9" s="37">
        <f>(+AO9-+AO8)*48</f>
        <v>9888</v>
      </c>
      <c r="AQ9" s="77">
        <v>88721</v>
      </c>
      <c r="AR9" s="37">
        <f>(+AQ9-+AQ8)*48</f>
        <v>0</v>
      </c>
      <c r="AS9" s="77">
        <v>2453</v>
      </c>
      <c r="AT9" s="37">
        <f>(+AS9-+AS8)*48</f>
        <v>0</v>
      </c>
      <c r="AU9" s="77">
        <v>939</v>
      </c>
      <c r="AV9" s="37">
        <f>(+AU9-+AU8)*48</f>
        <v>0</v>
      </c>
      <c r="AW9" s="77">
        <v>3110</v>
      </c>
      <c r="AX9" s="37">
        <f>(+AW9-+AW8)*48</f>
        <v>0</v>
      </c>
      <c r="AY9" s="77">
        <v>339238</v>
      </c>
      <c r="AZ9" s="37">
        <f>(+AY9-+AY8)*48</f>
        <v>6192</v>
      </c>
      <c r="BA9" s="76">
        <v>161101</v>
      </c>
      <c r="BB9" s="37">
        <f>(+BA9-+BA8)*48</f>
        <v>0</v>
      </c>
      <c r="BC9" s="77">
        <v>230379</v>
      </c>
      <c r="BD9" s="37">
        <f>(+BC9-+BC8)*48</f>
        <v>864</v>
      </c>
      <c r="BE9" s="77">
        <v>5347</v>
      </c>
      <c r="BF9" s="37">
        <f>(+BE9-+BE8)*48</f>
        <v>0</v>
      </c>
      <c r="BH9" s="105">
        <f t="shared" ref="BH9:BH36" si="1">SUM(E9,J9,P9,H9,L9,R9,T9,V9,X9,N9,AB9,Z9,AD9,AF9,AH9,AL9,AJ9)</f>
        <v>110505.59999999999</v>
      </c>
      <c r="BI9" s="105">
        <f t="shared" ref="BI9:BI36" si="2">SUM(F9,AN9,AP9,AT9,AV9,AX9,AR9,AZ9,BB9,BD9,BF9)</f>
        <v>73142.399999999994</v>
      </c>
    </row>
    <row r="10" spans="1:61" s="35" customFormat="1" ht="39.950000000000003" customHeight="1">
      <c r="A10" s="193">
        <f>SUM(A9+1)</f>
        <v>44622</v>
      </c>
      <c r="B10" s="34"/>
      <c r="C10" s="77">
        <v>6743466</v>
      </c>
      <c r="D10" s="37">
        <f t="shared" ref="D10" si="3">(+C10-+C9)*48</f>
        <v>88224</v>
      </c>
      <c r="E10" s="104">
        <f t="shared" ref="E10:E36" si="4">D10*0.6</f>
        <v>52934.400000000001</v>
      </c>
      <c r="F10" s="103">
        <f t="shared" ref="F10:F36" si="5">D10*0.4</f>
        <v>35289.599999999999</v>
      </c>
      <c r="G10" s="77">
        <v>292714</v>
      </c>
      <c r="H10" s="37">
        <f t="shared" ref="H10" si="6">(+G10-+G9)*48</f>
        <v>1296</v>
      </c>
      <c r="I10" s="77">
        <v>173185</v>
      </c>
      <c r="J10" s="37">
        <f t="shared" ref="J10" si="7">(+I10-+I9)*48</f>
        <v>7728</v>
      </c>
      <c r="K10" s="77">
        <v>268348</v>
      </c>
      <c r="L10" s="37">
        <f t="shared" si="0"/>
        <v>0</v>
      </c>
      <c r="M10" s="77">
        <v>25315</v>
      </c>
      <c r="N10" s="37">
        <f t="shared" ref="N10" si="8">(+M10-+M9)*48</f>
        <v>0</v>
      </c>
      <c r="O10" s="77">
        <v>317530</v>
      </c>
      <c r="P10" s="37">
        <f t="shared" ref="P10" si="9">(+O10-+O9)*48</f>
        <v>4752</v>
      </c>
      <c r="Q10" s="77">
        <v>472011</v>
      </c>
      <c r="R10" s="37">
        <f t="shared" ref="R10" si="10">(+Q10-+Q9)*48</f>
        <v>384</v>
      </c>
      <c r="S10" s="77">
        <v>754945</v>
      </c>
      <c r="T10" s="37">
        <f t="shared" ref="T10" si="11">(+S10-+S9)*48</f>
        <v>3744</v>
      </c>
      <c r="U10" s="77">
        <v>4280.7079999999996</v>
      </c>
      <c r="V10" s="103">
        <f t="shared" ref="V10" si="12">(+U10-+U9)*48</f>
        <v>0</v>
      </c>
      <c r="W10" s="77">
        <v>84313</v>
      </c>
      <c r="X10" s="37">
        <f t="shared" ref="X10" si="13">(+W10-+W9)*48</f>
        <v>0</v>
      </c>
      <c r="Y10" s="77">
        <v>1518181</v>
      </c>
      <c r="Z10" s="37">
        <f t="shared" ref="Z10" si="14">(+Y10-+Y9)*48</f>
        <v>0</v>
      </c>
      <c r="AA10" s="77">
        <v>13885</v>
      </c>
      <c r="AB10" s="37">
        <f t="shared" ref="AB10" si="15">(+AA10-+AA9)*48</f>
        <v>0</v>
      </c>
      <c r="AC10" s="77">
        <v>489440</v>
      </c>
      <c r="AD10" s="37">
        <f t="shared" ref="AD10:AF37" si="16">(+AC10-+AC9)*48</f>
        <v>7392</v>
      </c>
      <c r="AE10" s="77">
        <v>560306</v>
      </c>
      <c r="AF10" s="37">
        <f t="shared" si="16"/>
        <v>7248</v>
      </c>
      <c r="AG10" s="76">
        <v>49787</v>
      </c>
      <c r="AH10" s="37">
        <f t="shared" ref="AH10" si="17">(+AG10-+AG9)*48</f>
        <v>0</v>
      </c>
      <c r="AI10" s="77">
        <v>437711</v>
      </c>
      <c r="AJ10" s="37">
        <f t="shared" ref="AJ10" si="18">(+AI10-+AI9)*48</f>
        <v>3552</v>
      </c>
      <c r="AK10" s="77">
        <v>102770</v>
      </c>
      <c r="AL10" s="37">
        <f t="shared" ref="AL10" si="19">(+AK10-+AK9)*48</f>
        <v>0</v>
      </c>
      <c r="AM10" s="77">
        <v>597616</v>
      </c>
      <c r="AN10" s="37">
        <f t="shared" ref="AN10" si="20">(+AM10-+AM9)*48</f>
        <v>3648</v>
      </c>
      <c r="AO10" s="77">
        <v>979701</v>
      </c>
      <c r="AP10" s="37">
        <f t="shared" ref="AP10" si="21">(+AO10-+AO9)*48</f>
        <v>9696</v>
      </c>
      <c r="AQ10" s="77">
        <v>88721</v>
      </c>
      <c r="AR10" s="37">
        <f t="shared" ref="AR10" si="22">(+AQ10-+AQ9)*48</f>
        <v>0</v>
      </c>
      <c r="AS10" s="77">
        <v>2453</v>
      </c>
      <c r="AT10" s="37">
        <f t="shared" ref="AT10" si="23">(+AS10-+AS9)*48</f>
        <v>0</v>
      </c>
      <c r="AU10" s="77">
        <v>939</v>
      </c>
      <c r="AV10" s="37">
        <f t="shared" ref="AV10" si="24">(+AU10-+AU9)*48</f>
        <v>0</v>
      </c>
      <c r="AW10" s="77">
        <v>3110</v>
      </c>
      <c r="AX10" s="37">
        <f t="shared" ref="AX10" si="25">(+AW10-+AW9)*48</f>
        <v>0</v>
      </c>
      <c r="AY10" s="77">
        <v>339365</v>
      </c>
      <c r="AZ10" s="37">
        <f t="shared" ref="AZ10" si="26">(+AY10-+AY9)*48</f>
        <v>6096</v>
      </c>
      <c r="BA10" s="76">
        <v>161101</v>
      </c>
      <c r="BB10" s="37">
        <f t="shared" ref="BB10" si="27">(+BA10-+BA9)*48</f>
        <v>0</v>
      </c>
      <c r="BC10" s="77">
        <v>230396</v>
      </c>
      <c r="BD10" s="37">
        <f t="shared" ref="BD10" si="28">(+BC10-+BC9)*48</f>
        <v>816</v>
      </c>
      <c r="BE10" s="77">
        <v>5347</v>
      </c>
      <c r="BF10" s="37">
        <f t="shared" ref="BF10" si="29">(+BE10-+BE9)*48</f>
        <v>0</v>
      </c>
      <c r="BH10" s="105">
        <f t="shared" si="1"/>
        <v>89030.399999999994</v>
      </c>
      <c r="BI10" s="105">
        <f t="shared" si="2"/>
        <v>55545.599999999999</v>
      </c>
    </row>
    <row r="11" spans="1:61" s="35" customFormat="1" ht="39.950000000000003" customHeight="1">
      <c r="A11" s="193">
        <f t="shared" ref="A11:A39" si="30">SUM(A10+1)</f>
        <v>44623</v>
      </c>
      <c r="B11" s="34"/>
      <c r="C11" s="77">
        <v>6745422</v>
      </c>
      <c r="D11" s="37">
        <f t="shared" ref="D11" si="31">(+C11-+C10)*48</f>
        <v>93888</v>
      </c>
      <c r="E11" s="104">
        <f t="shared" si="4"/>
        <v>56332.799999999996</v>
      </c>
      <c r="F11" s="103">
        <f t="shared" si="5"/>
        <v>37555.200000000004</v>
      </c>
      <c r="G11" s="77">
        <v>292733</v>
      </c>
      <c r="H11" s="37">
        <f t="shared" ref="H11" si="32">(+G11-+G10)*48</f>
        <v>912</v>
      </c>
      <c r="I11" s="77">
        <v>173349</v>
      </c>
      <c r="J11" s="37">
        <f t="shared" ref="J11" si="33">(+I11-+I10)*48</f>
        <v>7872</v>
      </c>
      <c r="K11" s="77">
        <v>268348</v>
      </c>
      <c r="L11" s="37">
        <f t="shared" si="0"/>
        <v>0</v>
      </c>
      <c r="M11" s="77">
        <v>25315</v>
      </c>
      <c r="N11" s="37">
        <f t="shared" ref="N11" si="34">(+M11-+M10)*48</f>
        <v>0</v>
      </c>
      <c r="O11" s="77">
        <v>317633</v>
      </c>
      <c r="P11" s="37">
        <f t="shared" ref="P11" si="35">(+O11-+O10)*48</f>
        <v>4944</v>
      </c>
      <c r="Q11" s="77">
        <v>472019</v>
      </c>
      <c r="R11" s="37">
        <f t="shared" ref="R11" si="36">(+Q11-+Q10)*48</f>
        <v>384</v>
      </c>
      <c r="S11" s="77">
        <v>755031</v>
      </c>
      <c r="T11" s="37">
        <f t="shared" ref="T11" si="37">(+S11-+S10)*48</f>
        <v>4128</v>
      </c>
      <c r="U11" s="197">
        <v>4280.7079999999996</v>
      </c>
      <c r="V11" s="103">
        <f t="shared" ref="V11" si="38">(+U11-+U10)*48</f>
        <v>0</v>
      </c>
      <c r="W11" s="77">
        <v>84313</v>
      </c>
      <c r="X11" s="37">
        <f t="shared" ref="X11" si="39">(+W11-+W10)*48</f>
        <v>0</v>
      </c>
      <c r="Y11" s="77">
        <v>1518181</v>
      </c>
      <c r="Z11" s="37">
        <f t="shared" ref="Z11" si="40">(+Y11-+Y10)*48</f>
        <v>0</v>
      </c>
      <c r="AA11" s="77">
        <v>13885</v>
      </c>
      <c r="AB11" s="37">
        <f t="shared" ref="AB11" si="41">(+AA11-+AA10)*48</f>
        <v>0</v>
      </c>
      <c r="AC11" s="77">
        <v>489599</v>
      </c>
      <c r="AD11" s="37">
        <f t="shared" si="16"/>
        <v>7632</v>
      </c>
      <c r="AE11" s="77">
        <v>560464</v>
      </c>
      <c r="AF11" s="37">
        <f t="shared" si="16"/>
        <v>7584</v>
      </c>
      <c r="AG11" s="76">
        <v>49787</v>
      </c>
      <c r="AH11" s="37">
        <f t="shared" ref="AH11" si="42">(+AG11-+AG10)*48</f>
        <v>0</v>
      </c>
      <c r="AI11" s="77">
        <v>437777</v>
      </c>
      <c r="AJ11" s="37">
        <f t="shared" ref="AJ11" si="43">(+AI11-+AI10)*48</f>
        <v>3168</v>
      </c>
      <c r="AK11" s="77">
        <v>102770</v>
      </c>
      <c r="AL11" s="37">
        <f t="shared" ref="AL11" si="44">(+AK11-+AK10)*48</f>
        <v>0</v>
      </c>
      <c r="AM11" s="77">
        <v>597697</v>
      </c>
      <c r="AN11" s="37">
        <f t="shared" ref="AN11" si="45">(+AM11-+AM10)*48</f>
        <v>3888</v>
      </c>
      <c r="AO11" s="77">
        <v>979911</v>
      </c>
      <c r="AP11" s="37">
        <f t="shared" ref="AP11" si="46">(+AO11-+AO10)*48</f>
        <v>10080</v>
      </c>
      <c r="AQ11" s="77">
        <v>88721</v>
      </c>
      <c r="AR11" s="37">
        <f t="shared" ref="AR11" si="47">(+AQ11-+AQ10)*48</f>
        <v>0</v>
      </c>
      <c r="AS11" s="77">
        <v>2453</v>
      </c>
      <c r="AT11" s="37">
        <f t="shared" ref="AT11" si="48">(+AS11-+AS10)*48</f>
        <v>0</v>
      </c>
      <c r="AU11" s="77">
        <v>939</v>
      </c>
      <c r="AV11" s="37">
        <f t="shared" ref="AV11" si="49">(+AU11-+AU10)*48</f>
        <v>0</v>
      </c>
      <c r="AW11" s="77">
        <v>3110</v>
      </c>
      <c r="AX11" s="37">
        <f t="shared" ref="AX11" si="50">(+AW11-+AW10)*48</f>
        <v>0</v>
      </c>
      <c r="AY11" s="77">
        <v>339468</v>
      </c>
      <c r="AZ11" s="37">
        <f t="shared" ref="AZ11" si="51">(+AY11-+AY10)*48</f>
        <v>4944</v>
      </c>
      <c r="BA11" s="76">
        <v>161101</v>
      </c>
      <c r="BB11" s="37">
        <f t="shared" ref="BB11" si="52">(+BA11-+BA10)*48</f>
        <v>0</v>
      </c>
      <c r="BC11" s="77">
        <v>230414</v>
      </c>
      <c r="BD11" s="37">
        <f t="shared" ref="BD11" si="53">(+BC11-+BC10)*48</f>
        <v>864</v>
      </c>
      <c r="BE11" s="77">
        <v>5347</v>
      </c>
      <c r="BF11" s="37">
        <f t="shared" ref="BF11" si="54">(+BE11-+BE10)*48</f>
        <v>0</v>
      </c>
      <c r="BH11" s="105">
        <f t="shared" si="1"/>
        <v>92956.799999999988</v>
      </c>
      <c r="BI11" s="105">
        <f t="shared" si="2"/>
        <v>57331.200000000004</v>
      </c>
    </row>
    <row r="12" spans="1:61" s="35" customFormat="1" ht="39.950000000000003" customHeight="1">
      <c r="A12" s="193">
        <f t="shared" si="30"/>
        <v>44624</v>
      </c>
      <c r="B12" s="34"/>
      <c r="C12" s="77">
        <v>6747241</v>
      </c>
      <c r="D12" s="37">
        <f t="shared" ref="D12" si="55">(+C12-+C11)*48</f>
        <v>87312</v>
      </c>
      <c r="E12" s="104">
        <f t="shared" si="4"/>
        <v>52387.199999999997</v>
      </c>
      <c r="F12" s="103">
        <f t="shared" si="5"/>
        <v>34924.800000000003</v>
      </c>
      <c r="G12" s="77">
        <v>292751</v>
      </c>
      <c r="H12" s="37">
        <f t="shared" ref="H12" si="56">(+G12-+G11)*48</f>
        <v>864</v>
      </c>
      <c r="I12" s="77">
        <v>173510</v>
      </c>
      <c r="J12" s="37">
        <f t="shared" ref="J12" si="57">(+I12-+I11)*48</f>
        <v>7728</v>
      </c>
      <c r="K12" s="77">
        <v>268348</v>
      </c>
      <c r="L12" s="37">
        <f t="shared" si="0"/>
        <v>0</v>
      </c>
      <c r="M12" s="77">
        <v>25315</v>
      </c>
      <c r="N12" s="37">
        <f t="shared" ref="N12" si="58">(+M12-+M11)*48</f>
        <v>0</v>
      </c>
      <c r="O12" s="77">
        <v>317760</v>
      </c>
      <c r="P12" s="37">
        <f t="shared" ref="P12" si="59">(+O12-+O11)*48</f>
        <v>6096</v>
      </c>
      <c r="Q12" s="77">
        <v>472038</v>
      </c>
      <c r="R12" s="37">
        <f t="shared" ref="R12" si="60">(+Q12-+Q11)*48</f>
        <v>912</v>
      </c>
      <c r="S12" s="77">
        <v>755122</v>
      </c>
      <c r="T12" s="37">
        <f t="shared" ref="T12" si="61">(+S12-+S11)*48</f>
        <v>4368</v>
      </c>
      <c r="U12" s="197">
        <v>4280.7079999999996</v>
      </c>
      <c r="V12" s="103">
        <f t="shared" ref="V12" si="62">(+U12-+U11)*48</f>
        <v>0</v>
      </c>
      <c r="W12" s="77">
        <v>84313</v>
      </c>
      <c r="X12" s="37">
        <f t="shared" ref="X12" si="63">(+W12-+W11)*48</f>
        <v>0</v>
      </c>
      <c r="Y12" s="77">
        <v>1518181</v>
      </c>
      <c r="Z12" s="37">
        <f t="shared" ref="Z12" si="64">(+Y12-+Y11)*48</f>
        <v>0</v>
      </c>
      <c r="AA12" s="77">
        <v>13885</v>
      </c>
      <c r="AB12" s="37">
        <f t="shared" ref="AB12" si="65">(+AA12-+AA11)*48</f>
        <v>0</v>
      </c>
      <c r="AC12" s="77">
        <v>489742</v>
      </c>
      <c r="AD12" s="37">
        <f t="shared" si="16"/>
        <v>6864</v>
      </c>
      <c r="AE12" s="77">
        <v>560621</v>
      </c>
      <c r="AF12" s="37">
        <f t="shared" si="16"/>
        <v>7536</v>
      </c>
      <c r="AG12" s="77">
        <v>49787</v>
      </c>
      <c r="AH12" s="37">
        <f t="shared" ref="AH12" si="66">(+AG12-+AG11)*48</f>
        <v>0</v>
      </c>
      <c r="AI12" s="77">
        <v>437819</v>
      </c>
      <c r="AJ12" s="37">
        <f t="shared" ref="AJ12" si="67">(+AI12-+AI11)*48</f>
        <v>2016</v>
      </c>
      <c r="AK12" s="77">
        <v>102770</v>
      </c>
      <c r="AL12" s="37">
        <f t="shared" ref="AL12" si="68">(+AK12-+AK11)*48</f>
        <v>0</v>
      </c>
      <c r="AM12" s="77">
        <v>597779</v>
      </c>
      <c r="AN12" s="37">
        <f t="shared" ref="AN12" si="69">(+AM12-+AM11)*48</f>
        <v>3936</v>
      </c>
      <c r="AO12" s="77">
        <v>980139</v>
      </c>
      <c r="AP12" s="37">
        <f t="shared" ref="AP12" si="70">(+AO12-+AO11)*48</f>
        <v>10944</v>
      </c>
      <c r="AQ12" s="77">
        <v>88721</v>
      </c>
      <c r="AR12" s="37">
        <f t="shared" ref="AR12" si="71">(+AQ12-+AQ11)*48</f>
        <v>0</v>
      </c>
      <c r="AS12" s="77">
        <v>2453</v>
      </c>
      <c r="AT12" s="37">
        <f t="shared" ref="AT12" si="72">(+AS12-+AS11)*48</f>
        <v>0</v>
      </c>
      <c r="AU12" s="77">
        <v>939</v>
      </c>
      <c r="AV12" s="37">
        <f t="shared" ref="AV12" si="73">(+AU12-+AU11)*48</f>
        <v>0</v>
      </c>
      <c r="AW12" s="77">
        <v>3110</v>
      </c>
      <c r="AX12" s="37">
        <f t="shared" ref="AX12" si="74">(+AW12-+AW11)*48</f>
        <v>0</v>
      </c>
      <c r="AY12" s="77">
        <v>339592</v>
      </c>
      <c r="AZ12" s="37">
        <f t="shared" ref="AZ12" si="75">(+AY12-+AY11)*48</f>
        <v>5952</v>
      </c>
      <c r="BA12" s="76">
        <v>161101</v>
      </c>
      <c r="BB12" s="37">
        <f t="shared" ref="BB12" si="76">(+BA12-+BA11)*48</f>
        <v>0</v>
      </c>
      <c r="BC12" s="77">
        <v>230431</v>
      </c>
      <c r="BD12" s="37">
        <f t="shared" ref="BD12" si="77">(+BC12-+BC11)*48</f>
        <v>816</v>
      </c>
      <c r="BE12" s="77">
        <v>5347</v>
      </c>
      <c r="BF12" s="37">
        <f t="shared" ref="BF12" si="78">(+BE12-+BE11)*48</f>
        <v>0</v>
      </c>
      <c r="BH12" s="105">
        <f t="shared" si="1"/>
        <v>88771.199999999997</v>
      </c>
      <c r="BI12" s="105">
        <f t="shared" si="2"/>
        <v>56572.800000000003</v>
      </c>
    </row>
    <row r="13" spans="1:61" s="35" customFormat="1" ht="39.950000000000003" customHeight="1">
      <c r="A13" s="193">
        <f t="shared" si="30"/>
        <v>44625</v>
      </c>
      <c r="B13" s="34"/>
      <c r="C13" s="77">
        <v>6749513</v>
      </c>
      <c r="D13" s="37">
        <f t="shared" ref="D13" si="79">(+C13-+C12)*48</f>
        <v>109056</v>
      </c>
      <c r="E13" s="104">
        <f t="shared" si="4"/>
        <v>65433.599999999999</v>
      </c>
      <c r="F13" s="103">
        <f t="shared" si="5"/>
        <v>43622.400000000001</v>
      </c>
      <c r="G13" s="77">
        <v>292170</v>
      </c>
      <c r="H13" s="37">
        <f t="shared" ref="H13" si="80">(+G13-+G12)*48</f>
        <v>-27888</v>
      </c>
      <c r="I13" s="77">
        <v>173662</v>
      </c>
      <c r="J13" s="37">
        <f t="shared" ref="J13" si="81">(+I13-+I12)*48</f>
        <v>7296</v>
      </c>
      <c r="K13" s="77">
        <v>268351</v>
      </c>
      <c r="L13" s="37">
        <f t="shared" si="0"/>
        <v>144</v>
      </c>
      <c r="M13" s="77">
        <v>25315</v>
      </c>
      <c r="N13" s="37">
        <f t="shared" ref="N13" si="82">(+M13-+M12)*48</f>
        <v>0</v>
      </c>
      <c r="O13" s="77">
        <v>317868</v>
      </c>
      <c r="P13" s="37">
        <f t="shared" ref="P13" si="83">(+O13-+O12)*48</f>
        <v>5184</v>
      </c>
      <c r="Q13" s="77">
        <v>472066</v>
      </c>
      <c r="R13" s="37">
        <f t="shared" ref="R13" si="84">(+Q13-+Q12)*48</f>
        <v>1344</v>
      </c>
      <c r="S13" s="77">
        <v>755228</v>
      </c>
      <c r="T13" s="37">
        <f t="shared" ref="T13" si="85">(+S13-+S12)*48</f>
        <v>5088</v>
      </c>
      <c r="U13" s="197">
        <v>4280.7079999999996</v>
      </c>
      <c r="V13" s="103">
        <f t="shared" ref="V13" si="86">(+U13-+U12)*48</f>
        <v>0</v>
      </c>
      <c r="W13" s="77">
        <v>84313</v>
      </c>
      <c r="X13" s="37">
        <f t="shared" ref="X13" si="87">(+W13-+W12)*48</f>
        <v>0</v>
      </c>
      <c r="Y13" s="77">
        <v>1518181</v>
      </c>
      <c r="Z13" s="37">
        <f t="shared" ref="Z13" si="88">(+Y13-+Y12)*48</f>
        <v>0</v>
      </c>
      <c r="AA13" s="77">
        <v>13885</v>
      </c>
      <c r="AB13" s="37">
        <f t="shared" ref="AB13" si="89">(+AA13-+AA12)*48</f>
        <v>0</v>
      </c>
      <c r="AC13" s="77">
        <v>489900</v>
      </c>
      <c r="AD13" s="37">
        <f t="shared" si="16"/>
        <v>7584</v>
      </c>
      <c r="AE13" s="77">
        <v>560779</v>
      </c>
      <c r="AF13" s="37">
        <f t="shared" si="16"/>
        <v>7584</v>
      </c>
      <c r="AG13" s="77">
        <v>49787</v>
      </c>
      <c r="AH13" s="37">
        <f t="shared" ref="AH13" si="90">(+AG13-+AG12)*48</f>
        <v>0</v>
      </c>
      <c r="AI13" s="77">
        <v>437862</v>
      </c>
      <c r="AJ13" s="37">
        <f t="shared" ref="AJ13:AJ14" si="91">(+AI13-+AI12)*48</f>
        <v>2064</v>
      </c>
      <c r="AK13" s="77">
        <v>102770</v>
      </c>
      <c r="AL13" s="37">
        <f t="shared" ref="AL13" si="92">(+AK13-+AK12)*48</f>
        <v>0</v>
      </c>
      <c r="AM13" s="77">
        <v>597889</v>
      </c>
      <c r="AN13" s="37">
        <f t="shared" ref="AN13" si="93">(+AM13-+AM12)*48</f>
        <v>5280</v>
      </c>
      <c r="AO13" s="77">
        <v>980331</v>
      </c>
      <c r="AP13" s="37">
        <f t="shared" ref="AP13" si="94">(+AO13-+AO12)*48</f>
        <v>9216</v>
      </c>
      <c r="AQ13" s="77">
        <v>88721</v>
      </c>
      <c r="AR13" s="37">
        <f t="shared" ref="AR13" si="95">(+AQ13-+AQ12)*48</f>
        <v>0</v>
      </c>
      <c r="AS13" s="77">
        <v>2453</v>
      </c>
      <c r="AT13" s="37">
        <f t="shared" ref="AT13" si="96">(+AS13-+AS12)*48</f>
        <v>0</v>
      </c>
      <c r="AU13" s="77">
        <v>939</v>
      </c>
      <c r="AV13" s="37">
        <f t="shared" ref="AV13" si="97">(+AU13-+AU12)*48</f>
        <v>0</v>
      </c>
      <c r="AW13" s="77">
        <v>3110</v>
      </c>
      <c r="AX13" s="37">
        <f t="shared" ref="AX13" si="98">(+AW13-+AW12)*48</f>
        <v>0</v>
      </c>
      <c r="AY13" s="77">
        <v>339689</v>
      </c>
      <c r="AZ13" s="37">
        <f t="shared" ref="AZ13" si="99">(+AY13-+AY12)*48</f>
        <v>4656</v>
      </c>
      <c r="BA13" s="77">
        <v>161101</v>
      </c>
      <c r="BB13" s="37">
        <f t="shared" ref="BB13" si="100">(+BA13-+BA12)*48</f>
        <v>0</v>
      </c>
      <c r="BC13" s="77">
        <v>230445</v>
      </c>
      <c r="BD13" s="37">
        <f t="shared" ref="BD13" si="101">(+BC13-+BC12)*48</f>
        <v>672</v>
      </c>
      <c r="BE13" s="77">
        <v>5347</v>
      </c>
      <c r="BF13" s="37">
        <f t="shared" ref="BF13" si="102">(+BE13-+BE12)*48</f>
        <v>0</v>
      </c>
      <c r="BH13" s="105">
        <f t="shared" si="1"/>
        <v>73833.600000000006</v>
      </c>
      <c r="BI13" s="105">
        <f t="shared" si="2"/>
        <v>63446.400000000001</v>
      </c>
    </row>
    <row r="14" spans="1:61" s="35" customFormat="1" ht="39.950000000000003" customHeight="1">
      <c r="A14" s="193">
        <f t="shared" si="30"/>
        <v>44626</v>
      </c>
      <c r="B14" s="34"/>
      <c r="C14" s="77">
        <v>6751111</v>
      </c>
      <c r="D14" s="37">
        <f t="shared" ref="D14" si="103">(+C14-+C13)*48</f>
        <v>76704</v>
      </c>
      <c r="E14" s="104">
        <f t="shared" si="4"/>
        <v>46022.400000000001</v>
      </c>
      <c r="F14" s="103">
        <f t="shared" si="5"/>
        <v>30681.600000000002</v>
      </c>
      <c r="G14" s="77">
        <v>292795</v>
      </c>
      <c r="H14" s="37">
        <f t="shared" ref="H14" si="104">(+G14-+G13)*48</f>
        <v>30000</v>
      </c>
      <c r="I14" s="77">
        <v>173833</v>
      </c>
      <c r="J14" s="37">
        <f t="shared" ref="J14" si="105">(+I14-+I13)*48</f>
        <v>8208</v>
      </c>
      <c r="K14" s="77">
        <v>268354</v>
      </c>
      <c r="L14" s="37">
        <f t="shared" si="0"/>
        <v>144</v>
      </c>
      <c r="M14" s="77">
        <v>25315</v>
      </c>
      <c r="N14" s="37">
        <f t="shared" ref="N14" si="106">(+M14-+M13)*48</f>
        <v>0</v>
      </c>
      <c r="O14" s="77">
        <v>318006</v>
      </c>
      <c r="P14" s="37">
        <f t="shared" ref="P14" si="107">(+O14-+O13)*48</f>
        <v>6624</v>
      </c>
      <c r="Q14" s="77">
        <v>472102</v>
      </c>
      <c r="R14" s="37">
        <f t="shared" ref="R14" si="108">(+Q14-+Q13)*48</f>
        <v>1728</v>
      </c>
      <c r="S14" s="77">
        <v>755310</v>
      </c>
      <c r="T14" s="37">
        <f t="shared" ref="T14" si="109">(+S14-+S13)*48</f>
        <v>3936</v>
      </c>
      <c r="U14" s="197">
        <v>4280.7079999999996</v>
      </c>
      <c r="V14" s="103">
        <f>(+U14-+U13)*48</f>
        <v>0</v>
      </c>
      <c r="W14" s="77">
        <v>84313</v>
      </c>
      <c r="X14" s="37">
        <f t="shared" ref="X14" si="110">(+W14-+W13)*48</f>
        <v>0</v>
      </c>
      <c r="Y14" s="77">
        <v>1518181</v>
      </c>
      <c r="Z14" s="37">
        <f t="shared" ref="Z14" si="111">(+Y14-+Y13)*48</f>
        <v>0</v>
      </c>
      <c r="AA14" s="77">
        <v>13885</v>
      </c>
      <c r="AB14" s="37">
        <f t="shared" ref="AB14" si="112">(+AA14-+AA13)*48</f>
        <v>0</v>
      </c>
      <c r="AC14" s="77">
        <v>490071</v>
      </c>
      <c r="AD14" s="37">
        <f t="shared" si="16"/>
        <v>8208</v>
      </c>
      <c r="AE14" s="77">
        <v>560936</v>
      </c>
      <c r="AF14" s="37">
        <f t="shared" si="16"/>
        <v>7536</v>
      </c>
      <c r="AG14" s="77">
        <v>49787</v>
      </c>
      <c r="AH14" s="37">
        <f t="shared" ref="AH14" si="113">(+AG14-+AG13)*48</f>
        <v>0</v>
      </c>
      <c r="AI14" s="77">
        <v>437862</v>
      </c>
      <c r="AJ14" s="37">
        <f t="shared" si="91"/>
        <v>0</v>
      </c>
      <c r="AK14" s="77">
        <v>102770</v>
      </c>
      <c r="AL14" s="37">
        <f t="shared" ref="AL14" si="114">(+AK14-+AK13)*48</f>
        <v>0</v>
      </c>
      <c r="AM14" s="77">
        <v>597989</v>
      </c>
      <c r="AN14" s="37">
        <f t="shared" ref="AN14" si="115">(+AM14-+AM13)*48</f>
        <v>4800</v>
      </c>
      <c r="AO14" s="77">
        <v>980558</v>
      </c>
      <c r="AP14" s="37">
        <f t="shared" ref="AP14" si="116">(+AO14-+AO13)*48</f>
        <v>10896</v>
      </c>
      <c r="AQ14" s="77">
        <v>88721</v>
      </c>
      <c r="AR14" s="37">
        <f t="shared" ref="AR14" si="117">(+AQ14-+AQ13)*48</f>
        <v>0</v>
      </c>
      <c r="AS14" s="77">
        <v>2453</v>
      </c>
      <c r="AT14" s="37">
        <f t="shared" ref="AT14" si="118">(+AS14-+AS13)*48</f>
        <v>0</v>
      </c>
      <c r="AU14" s="77">
        <v>939</v>
      </c>
      <c r="AV14" s="37">
        <f t="shared" ref="AV14" si="119">(+AU14-+AU13)*48</f>
        <v>0</v>
      </c>
      <c r="AW14" s="77">
        <v>3110</v>
      </c>
      <c r="AX14" s="37">
        <f t="shared" ref="AX14" si="120">(+AW14-+AW13)*48</f>
        <v>0</v>
      </c>
      <c r="AY14" s="77">
        <v>339803</v>
      </c>
      <c r="AZ14" s="37">
        <f t="shared" ref="AZ14" si="121">(+AY14-+AY13)*48</f>
        <v>5472</v>
      </c>
      <c r="BA14" s="77">
        <v>161101</v>
      </c>
      <c r="BB14" s="37">
        <f t="shared" ref="BB14" si="122">(+BA14-+BA13)*48</f>
        <v>0</v>
      </c>
      <c r="BC14" s="77">
        <v>230466</v>
      </c>
      <c r="BD14" s="37">
        <f t="shared" ref="BD14" si="123">(+BC14-+BC13)*48</f>
        <v>1008</v>
      </c>
      <c r="BE14" s="77">
        <v>5347</v>
      </c>
      <c r="BF14" s="37">
        <f t="shared" ref="BF14" si="124">(+BE14-+BE13)*48</f>
        <v>0</v>
      </c>
      <c r="BH14" s="105">
        <f t="shared" si="1"/>
        <v>112406.39999999999</v>
      </c>
      <c r="BI14" s="105">
        <f t="shared" si="2"/>
        <v>52857.600000000006</v>
      </c>
    </row>
    <row r="15" spans="1:61" s="35" customFormat="1" ht="39.950000000000003" customHeight="1">
      <c r="A15" s="193">
        <f t="shared" si="30"/>
        <v>44627</v>
      </c>
      <c r="B15" s="34"/>
      <c r="C15" s="77">
        <v>6752928</v>
      </c>
      <c r="D15" s="37">
        <f t="shared" ref="D15" si="125">(+C15-+C14)*48</f>
        <v>87216</v>
      </c>
      <c r="E15" s="104">
        <f t="shared" si="4"/>
        <v>52329.599999999999</v>
      </c>
      <c r="F15" s="103">
        <f t="shared" si="5"/>
        <v>34886.400000000001</v>
      </c>
      <c r="G15" s="77">
        <v>292845</v>
      </c>
      <c r="H15" s="37">
        <f t="shared" ref="H15" si="126">(+G15-+G14)*48</f>
        <v>2400</v>
      </c>
      <c r="I15" s="77">
        <v>173993</v>
      </c>
      <c r="J15" s="37">
        <f t="shared" ref="J15" si="127">(+I15-+I14)*48</f>
        <v>7680</v>
      </c>
      <c r="K15" s="77">
        <v>268357</v>
      </c>
      <c r="L15" s="37">
        <f t="shared" si="0"/>
        <v>144</v>
      </c>
      <c r="M15" s="77">
        <v>25315</v>
      </c>
      <c r="N15" s="37">
        <f t="shared" ref="N15" si="128">(+M15-+M14)*48</f>
        <v>0</v>
      </c>
      <c r="O15" s="77">
        <v>318067</v>
      </c>
      <c r="P15" s="37">
        <f t="shared" ref="P15" si="129">(+O15-+O14)*48</f>
        <v>2928</v>
      </c>
      <c r="Q15" s="77">
        <v>472147</v>
      </c>
      <c r="R15" s="37">
        <f t="shared" ref="R15" si="130">(+Q15-+Q14)*48</f>
        <v>2160</v>
      </c>
      <c r="S15" s="77">
        <v>755397</v>
      </c>
      <c r="T15" s="37">
        <f t="shared" ref="T15" si="131">(+S15-+S14)*48</f>
        <v>4176</v>
      </c>
      <c r="U15" s="197">
        <v>4280.7079999999996</v>
      </c>
      <c r="V15" s="103">
        <f t="shared" ref="V15" si="132">(+U15-+U14)*48</f>
        <v>0</v>
      </c>
      <c r="W15" s="77">
        <v>84313</v>
      </c>
      <c r="X15" s="37">
        <f t="shared" ref="X15" si="133">(+W15-+W14)*48</f>
        <v>0</v>
      </c>
      <c r="Y15" s="77">
        <v>1518181</v>
      </c>
      <c r="Z15" s="37">
        <f t="shared" ref="Z15" si="134">(+Y15-+Y14)*48</f>
        <v>0</v>
      </c>
      <c r="AA15" s="77">
        <v>13885</v>
      </c>
      <c r="AB15" s="37">
        <f t="shared" ref="AB15" si="135">(+AA15-+AA14)*48</f>
        <v>0</v>
      </c>
      <c r="AC15" s="77">
        <v>490236</v>
      </c>
      <c r="AD15" s="37">
        <f t="shared" si="16"/>
        <v>7920</v>
      </c>
      <c r="AE15" s="77">
        <v>561105</v>
      </c>
      <c r="AF15" s="37">
        <f t="shared" si="16"/>
        <v>8112</v>
      </c>
      <c r="AG15" s="77">
        <v>49787</v>
      </c>
      <c r="AH15" s="37">
        <f t="shared" ref="AH15" si="136">(+AG15-+AG14)*48</f>
        <v>0</v>
      </c>
      <c r="AI15" s="77">
        <v>437951</v>
      </c>
      <c r="AJ15" s="37">
        <f t="shared" ref="AJ15" si="137">(+AI15-+AI14)*48</f>
        <v>4272</v>
      </c>
      <c r="AK15" s="77">
        <v>102770</v>
      </c>
      <c r="AL15" s="37">
        <f t="shared" ref="AL15" si="138">(+AK15-+AK14)*48</f>
        <v>0</v>
      </c>
      <c r="AM15" s="77">
        <v>598097</v>
      </c>
      <c r="AN15" s="37">
        <f t="shared" ref="AN15" si="139">(+AM15-+AM14)*48</f>
        <v>5184</v>
      </c>
      <c r="AO15" s="77">
        <v>980763</v>
      </c>
      <c r="AP15" s="37">
        <f t="shared" ref="AP15" si="140">(+AO15-+AO14)*48</f>
        <v>9840</v>
      </c>
      <c r="AQ15" s="77">
        <v>88721</v>
      </c>
      <c r="AR15" s="37">
        <f t="shared" ref="AR15" si="141">(+AQ15-+AQ14)*48</f>
        <v>0</v>
      </c>
      <c r="AS15" s="77">
        <v>2453</v>
      </c>
      <c r="AT15" s="37">
        <f t="shared" ref="AT15" si="142">(+AS15-+AS14)*48</f>
        <v>0</v>
      </c>
      <c r="AU15" s="77">
        <v>939</v>
      </c>
      <c r="AV15" s="37">
        <f t="shared" ref="AV15" si="143">(+AU15-+AU14)*48</f>
        <v>0</v>
      </c>
      <c r="AW15" s="77">
        <v>3110</v>
      </c>
      <c r="AX15" s="37">
        <f t="shared" ref="AX15" si="144">(+AW15-+AW14)*48</f>
        <v>0</v>
      </c>
      <c r="AY15" s="77">
        <v>339904</v>
      </c>
      <c r="AZ15" s="37">
        <f t="shared" ref="AZ15" si="145">(+AY15-+AY14)*48</f>
        <v>4848</v>
      </c>
      <c r="BA15" s="77">
        <v>161101</v>
      </c>
      <c r="BB15" s="37">
        <f t="shared" ref="BB15" si="146">(+BA15-+BA14)*48</f>
        <v>0</v>
      </c>
      <c r="BC15" s="77">
        <v>230480</v>
      </c>
      <c r="BD15" s="37">
        <f t="shared" ref="BD15" si="147">(+BC15-+BC14)*48</f>
        <v>672</v>
      </c>
      <c r="BE15" s="77">
        <v>5347</v>
      </c>
      <c r="BF15" s="37">
        <f t="shared" ref="BF15" si="148">(+BE15-+BE14)*48</f>
        <v>0</v>
      </c>
      <c r="BH15" s="105">
        <f t="shared" si="1"/>
        <v>92121.600000000006</v>
      </c>
      <c r="BI15" s="105">
        <f t="shared" si="2"/>
        <v>55430.400000000001</v>
      </c>
    </row>
    <row r="16" spans="1:61" s="35" customFormat="1" ht="39.950000000000003" customHeight="1">
      <c r="A16" s="193">
        <f t="shared" si="30"/>
        <v>44628</v>
      </c>
      <c r="B16" s="34"/>
      <c r="C16" s="77">
        <v>6754929</v>
      </c>
      <c r="D16" s="37">
        <f t="shared" ref="D16" si="149">(+C16-+C15)*48</f>
        <v>96048</v>
      </c>
      <c r="E16" s="104">
        <f t="shared" si="4"/>
        <v>57628.799999999996</v>
      </c>
      <c r="F16" s="103">
        <f t="shared" si="5"/>
        <v>38419.200000000004</v>
      </c>
      <c r="G16" s="77">
        <v>292873</v>
      </c>
      <c r="H16" s="37">
        <f t="shared" ref="H16" si="150">(+G16-+G15)*48</f>
        <v>1344</v>
      </c>
      <c r="I16" s="77">
        <v>174145</v>
      </c>
      <c r="J16" s="37">
        <f t="shared" ref="J16" si="151">(+I16-+I15)*48</f>
        <v>7296</v>
      </c>
      <c r="K16" s="77">
        <v>268359</v>
      </c>
      <c r="L16" s="37">
        <f t="shared" si="0"/>
        <v>96</v>
      </c>
      <c r="M16" s="77">
        <v>25315</v>
      </c>
      <c r="N16" s="37">
        <f t="shared" ref="N16" si="152">(+M16-+M15)*48</f>
        <v>0</v>
      </c>
      <c r="O16" s="77">
        <v>318261</v>
      </c>
      <c r="P16" s="37">
        <f t="shared" ref="P16" si="153">(+O16-+O15)*48</f>
        <v>9312</v>
      </c>
      <c r="Q16" s="77">
        <v>472158</v>
      </c>
      <c r="R16" s="37">
        <f t="shared" ref="R16" si="154">(+Q16-+Q15)*48</f>
        <v>528</v>
      </c>
      <c r="S16" s="77">
        <v>755505</v>
      </c>
      <c r="T16" s="37">
        <f t="shared" ref="T16" si="155">(+S16-+S15)*48</f>
        <v>5184</v>
      </c>
      <c r="U16" s="197">
        <v>4280.7079999999996</v>
      </c>
      <c r="V16" s="103">
        <f t="shared" ref="V16" si="156">(+U16-+U15)*48</f>
        <v>0</v>
      </c>
      <c r="W16" s="77">
        <v>84313</v>
      </c>
      <c r="X16" s="37">
        <f t="shared" ref="X16" si="157">(+W16-+W15)*48</f>
        <v>0</v>
      </c>
      <c r="Y16" s="77">
        <v>1518181</v>
      </c>
      <c r="Z16" s="37">
        <f t="shared" ref="Z16" si="158">(+Y16-+Y15)*48</f>
        <v>0</v>
      </c>
      <c r="AA16" s="77">
        <v>13886</v>
      </c>
      <c r="AB16" s="37">
        <f t="shared" ref="AB16" si="159">(+AA16-+AA15)*48</f>
        <v>48</v>
      </c>
      <c r="AC16" s="77">
        <v>490354</v>
      </c>
      <c r="AD16" s="37">
        <f t="shared" si="16"/>
        <v>5664</v>
      </c>
      <c r="AE16" s="77">
        <v>561124</v>
      </c>
      <c r="AF16" s="37">
        <f t="shared" si="16"/>
        <v>912</v>
      </c>
      <c r="AG16" s="77">
        <v>49787</v>
      </c>
      <c r="AH16" s="37">
        <f t="shared" ref="AH16" si="160">(+AG16-+AG15)*48</f>
        <v>0</v>
      </c>
      <c r="AI16" s="77">
        <v>437994</v>
      </c>
      <c r="AJ16" s="37">
        <f t="shared" ref="AJ16" si="161">(+AI16-+AI15)*48</f>
        <v>2064</v>
      </c>
      <c r="AK16" s="77">
        <v>102770</v>
      </c>
      <c r="AL16" s="37">
        <f t="shared" ref="AL16" si="162">(+AK16-+AK15)*48</f>
        <v>0</v>
      </c>
      <c r="AM16" s="77">
        <v>598164</v>
      </c>
      <c r="AN16" s="37">
        <f t="shared" ref="AN16" si="163">(+AM16-+AM15)*48</f>
        <v>3216</v>
      </c>
      <c r="AO16" s="77">
        <v>980873</v>
      </c>
      <c r="AP16" s="37">
        <f t="shared" ref="AP16" si="164">(+AO16-+AO15)*48</f>
        <v>5280</v>
      </c>
      <c r="AQ16" s="77">
        <v>88721</v>
      </c>
      <c r="AR16" s="37">
        <f t="shared" ref="AR16" si="165">(+AQ16-+AQ15)*48</f>
        <v>0</v>
      </c>
      <c r="AS16" s="77">
        <v>2453</v>
      </c>
      <c r="AT16" s="37">
        <f t="shared" ref="AT16" si="166">(+AS16-+AS15)*48</f>
        <v>0</v>
      </c>
      <c r="AU16" s="77">
        <v>939</v>
      </c>
      <c r="AV16" s="37">
        <f t="shared" ref="AV16" si="167">(+AU16-+AU15)*48</f>
        <v>0</v>
      </c>
      <c r="AW16" s="77">
        <v>3110</v>
      </c>
      <c r="AX16" s="37">
        <f t="shared" ref="AX16" si="168">(+AW16-+AW15)*48</f>
        <v>0</v>
      </c>
      <c r="AY16" s="77">
        <v>340058</v>
      </c>
      <c r="AZ16" s="37">
        <f t="shared" ref="AZ16" si="169">(+AY16-+AY15)*48</f>
        <v>7392</v>
      </c>
      <c r="BA16" s="77">
        <v>161101</v>
      </c>
      <c r="BB16" s="37">
        <f t="shared" ref="BB16" si="170">(+BA16-+BA15)*48</f>
        <v>0</v>
      </c>
      <c r="BC16" s="77">
        <v>230499</v>
      </c>
      <c r="BD16" s="37">
        <f t="shared" ref="BD16" si="171">(+BC16-+BC15)*48</f>
        <v>912</v>
      </c>
      <c r="BE16" s="77">
        <v>5347</v>
      </c>
      <c r="BF16" s="37">
        <f t="shared" ref="BF16" si="172">(+BE16-+BE15)*48</f>
        <v>0</v>
      </c>
      <c r="BH16" s="105">
        <f t="shared" si="1"/>
        <v>90076.799999999988</v>
      </c>
      <c r="BI16" s="105">
        <f t="shared" si="2"/>
        <v>55219.200000000004</v>
      </c>
    </row>
    <row r="17" spans="1:61" s="35" customFormat="1" ht="39.950000000000003" customHeight="1">
      <c r="A17" s="193">
        <f t="shared" si="30"/>
        <v>44629</v>
      </c>
      <c r="B17" s="34"/>
      <c r="C17" s="77">
        <v>6756763</v>
      </c>
      <c r="D17" s="37">
        <f t="shared" ref="D17" si="173">(+C17-+C16)*48</f>
        <v>88032</v>
      </c>
      <c r="E17" s="104">
        <f t="shared" si="4"/>
        <v>52819.199999999997</v>
      </c>
      <c r="F17" s="103">
        <f t="shared" si="5"/>
        <v>35212.800000000003</v>
      </c>
      <c r="G17" s="77">
        <v>292893</v>
      </c>
      <c r="H17" s="37">
        <f t="shared" ref="H17" si="174">(+G17-+G16)*48</f>
        <v>960</v>
      </c>
      <c r="I17" s="77">
        <v>174300</v>
      </c>
      <c r="J17" s="37">
        <f t="shared" ref="J17" si="175">(+I17-+I16)*48</f>
        <v>7440</v>
      </c>
      <c r="K17" s="77">
        <v>268359</v>
      </c>
      <c r="L17" s="37">
        <f t="shared" si="0"/>
        <v>0</v>
      </c>
      <c r="M17" s="77">
        <v>25315</v>
      </c>
      <c r="N17" s="37">
        <f t="shared" ref="N17" si="176">(+M17-+M16)*48</f>
        <v>0</v>
      </c>
      <c r="O17" s="77">
        <v>318362</v>
      </c>
      <c r="P17" s="37">
        <f t="shared" ref="P17" si="177">(+O17-+O16)*48</f>
        <v>4848</v>
      </c>
      <c r="Q17" s="77">
        <v>472163</v>
      </c>
      <c r="R17" s="37">
        <f t="shared" ref="R17" si="178">(+Q17-+Q16)*48</f>
        <v>240</v>
      </c>
      <c r="S17" s="77">
        <v>755582</v>
      </c>
      <c r="T17" s="37">
        <f t="shared" ref="T17" si="179">(+S17-+S16)*48</f>
        <v>3696</v>
      </c>
      <c r="U17" s="197">
        <v>4280.7079999999996</v>
      </c>
      <c r="V17" s="103">
        <f t="shared" ref="V17" si="180">(+U17-+U16)*48</f>
        <v>0</v>
      </c>
      <c r="W17" s="77">
        <v>84313</v>
      </c>
      <c r="X17" s="37">
        <f t="shared" ref="X17" si="181">(+W17-+W16)*48</f>
        <v>0</v>
      </c>
      <c r="Y17" s="77">
        <v>1518181</v>
      </c>
      <c r="Z17" s="37">
        <f t="shared" ref="Z17" si="182">(+Y17-+Y16)*48</f>
        <v>0</v>
      </c>
      <c r="AA17" s="77">
        <v>13886</v>
      </c>
      <c r="AB17" s="37">
        <f t="shared" ref="AB17" si="183">(+AA17-+AA16)*48</f>
        <v>0</v>
      </c>
      <c r="AC17" s="77">
        <v>490368</v>
      </c>
      <c r="AD17" s="37">
        <f t="shared" si="16"/>
        <v>672</v>
      </c>
      <c r="AE17" s="77">
        <v>561231</v>
      </c>
      <c r="AF17" s="37">
        <f t="shared" si="16"/>
        <v>5136</v>
      </c>
      <c r="AG17" s="77">
        <v>49787</v>
      </c>
      <c r="AH17" s="37">
        <f t="shared" ref="AH17" si="184">(+AG17-+AG16)*48</f>
        <v>0</v>
      </c>
      <c r="AI17" s="77">
        <v>438036</v>
      </c>
      <c r="AJ17" s="37">
        <f t="shared" ref="AJ17" si="185">(+AI17-+AI16)*48</f>
        <v>2016</v>
      </c>
      <c r="AK17" s="77">
        <v>102770</v>
      </c>
      <c r="AL17" s="37">
        <f t="shared" ref="AL17" si="186">(+AK17-+AK16)*48</f>
        <v>0</v>
      </c>
      <c r="AM17" s="77">
        <v>598173</v>
      </c>
      <c r="AN17" s="37">
        <f t="shared" ref="AN17" si="187">(+AM17-+AM16)*48</f>
        <v>432</v>
      </c>
      <c r="AO17" s="77">
        <v>980983</v>
      </c>
      <c r="AP17" s="37">
        <f t="shared" ref="AP17" si="188">(+AO17-+AO16)*48</f>
        <v>5280</v>
      </c>
      <c r="AQ17" s="77">
        <v>88721</v>
      </c>
      <c r="AR17" s="37">
        <f t="shared" ref="AR17" si="189">(+AQ17-+AQ16)*48</f>
        <v>0</v>
      </c>
      <c r="AS17" s="77">
        <v>2453</v>
      </c>
      <c r="AT17" s="37">
        <f t="shared" ref="AT17" si="190">(+AS17-+AS16)*48</f>
        <v>0</v>
      </c>
      <c r="AU17" s="77">
        <v>939</v>
      </c>
      <c r="AV17" s="37">
        <f t="shared" ref="AV17" si="191">(+AU17-+AU16)*48</f>
        <v>0</v>
      </c>
      <c r="AW17" s="77">
        <v>3110</v>
      </c>
      <c r="AX17" s="37">
        <f t="shared" ref="AX17" si="192">(+AW17-+AW16)*48</f>
        <v>0</v>
      </c>
      <c r="AY17" s="77">
        <v>340175</v>
      </c>
      <c r="AZ17" s="37">
        <f t="shared" ref="AZ17" si="193">(+AY17-+AY16)*48</f>
        <v>5616</v>
      </c>
      <c r="BA17" s="77">
        <v>161101</v>
      </c>
      <c r="BB17" s="37">
        <f t="shared" ref="BB17" si="194">(+BA17-+BA16)*48</f>
        <v>0</v>
      </c>
      <c r="BC17" s="77">
        <v>230516</v>
      </c>
      <c r="BD17" s="37">
        <f t="shared" ref="BD17" si="195">(+BC17-+BC16)*48</f>
        <v>816</v>
      </c>
      <c r="BE17" s="77">
        <v>5347</v>
      </c>
      <c r="BF17" s="37">
        <f t="shared" ref="BF17" si="196">(+BE17-+BE16)*48</f>
        <v>0</v>
      </c>
      <c r="BH17" s="105">
        <f t="shared" si="1"/>
        <v>77827.199999999997</v>
      </c>
      <c r="BI17" s="105">
        <f t="shared" si="2"/>
        <v>47356.800000000003</v>
      </c>
    </row>
    <row r="18" spans="1:61" s="35" customFormat="1" ht="39.950000000000003" customHeight="1">
      <c r="A18" s="193">
        <f t="shared" si="30"/>
        <v>44630</v>
      </c>
      <c r="B18" s="34"/>
      <c r="C18" s="77">
        <v>6758553</v>
      </c>
      <c r="D18" s="37">
        <f t="shared" ref="D18" si="197">(+C18-+C17)*48</f>
        <v>85920</v>
      </c>
      <c r="E18" s="104">
        <f t="shared" si="4"/>
        <v>51552</v>
      </c>
      <c r="F18" s="103">
        <f t="shared" si="5"/>
        <v>34368</v>
      </c>
      <c r="G18" s="77">
        <v>292919</v>
      </c>
      <c r="H18" s="37">
        <f t="shared" ref="H18" si="198">(+G18-+G17)*48</f>
        <v>1248</v>
      </c>
      <c r="I18" s="77">
        <v>174452</v>
      </c>
      <c r="J18" s="37">
        <f t="shared" ref="J18" si="199">(+I18-+I17)*48</f>
        <v>7296</v>
      </c>
      <c r="K18" s="77">
        <v>268359</v>
      </c>
      <c r="L18" s="37">
        <f t="shared" si="0"/>
        <v>0</v>
      </c>
      <c r="M18" s="77">
        <v>25315</v>
      </c>
      <c r="N18" s="37">
        <f t="shared" ref="N18" si="200">(+M18-+M17)*48</f>
        <v>0</v>
      </c>
      <c r="O18" s="77">
        <v>318454</v>
      </c>
      <c r="P18" s="37">
        <f t="shared" ref="P18" si="201">(+O18-+O17)*48</f>
        <v>4416</v>
      </c>
      <c r="Q18" s="77">
        <v>472183</v>
      </c>
      <c r="R18" s="37">
        <f t="shared" ref="R18" si="202">(+Q18-+Q17)*48</f>
        <v>960</v>
      </c>
      <c r="S18" s="77">
        <v>755686</v>
      </c>
      <c r="T18" s="37">
        <f t="shared" ref="T18" si="203">(+S18-+S17)*48</f>
        <v>4992</v>
      </c>
      <c r="U18" s="197">
        <v>4280.7079999999996</v>
      </c>
      <c r="V18" s="103">
        <f t="shared" ref="V18" si="204">(+U18-+U17)*48</f>
        <v>0</v>
      </c>
      <c r="W18" s="77">
        <v>84313</v>
      </c>
      <c r="X18" s="37">
        <f t="shared" ref="X18" si="205">(+W18-+W17)*48</f>
        <v>0</v>
      </c>
      <c r="Y18" s="77">
        <v>1518181</v>
      </c>
      <c r="Z18" s="37">
        <f t="shared" ref="Z18" si="206">(+Y18-+Y17)*48</f>
        <v>0</v>
      </c>
      <c r="AA18" s="77">
        <v>13886</v>
      </c>
      <c r="AB18" s="37">
        <f t="shared" ref="AB18" si="207">(+AA18-+AA17)*48</f>
        <v>0</v>
      </c>
      <c r="AC18" s="77">
        <v>490422</v>
      </c>
      <c r="AD18" s="37">
        <f t="shared" si="16"/>
        <v>2592</v>
      </c>
      <c r="AE18" s="77">
        <v>561279</v>
      </c>
      <c r="AF18" s="37">
        <f t="shared" si="16"/>
        <v>2304</v>
      </c>
      <c r="AG18" s="77">
        <v>49787</v>
      </c>
      <c r="AH18" s="37">
        <f t="shared" ref="AH18" si="208">(+AG18-+AG17)*48</f>
        <v>0</v>
      </c>
      <c r="AI18" s="77">
        <v>438078</v>
      </c>
      <c r="AJ18" s="37">
        <f t="shared" ref="AJ18" si="209">(+AI18-+AI17)*48</f>
        <v>2016</v>
      </c>
      <c r="AK18" s="77">
        <v>102770</v>
      </c>
      <c r="AL18" s="37">
        <f t="shared" ref="AL18" si="210">(+AK18-+AK17)*48</f>
        <v>0</v>
      </c>
      <c r="AM18" s="77">
        <v>598189</v>
      </c>
      <c r="AN18" s="37">
        <f t="shared" ref="AN18" si="211">(+AM18-+AM17)*48</f>
        <v>768</v>
      </c>
      <c r="AO18" s="77">
        <v>981047</v>
      </c>
      <c r="AP18" s="37">
        <f t="shared" ref="AP18" si="212">(+AO18-+AO17)*48</f>
        <v>3072</v>
      </c>
      <c r="AQ18" s="77">
        <v>88721</v>
      </c>
      <c r="AR18" s="37">
        <f t="shared" ref="AR18" si="213">(+AQ18-+AQ17)*48</f>
        <v>0</v>
      </c>
      <c r="AS18" s="77">
        <v>2453</v>
      </c>
      <c r="AT18" s="37">
        <f t="shared" ref="AT18" si="214">(+AS18-+AS17)*48</f>
        <v>0</v>
      </c>
      <c r="AU18" s="77">
        <v>939</v>
      </c>
      <c r="AV18" s="37">
        <f t="shared" ref="AV18" si="215">(+AU18-+AU17)*48</f>
        <v>0</v>
      </c>
      <c r="AW18" s="77">
        <v>3110</v>
      </c>
      <c r="AX18" s="37">
        <f t="shared" ref="AX18" si="216">(+AW18-+AW17)*48</f>
        <v>0</v>
      </c>
      <c r="AY18" s="77">
        <v>340292</v>
      </c>
      <c r="AZ18" s="37">
        <f t="shared" ref="AZ18" si="217">(+AY18-+AY17)*48</f>
        <v>5616</v>
      </c>
      <c r="BA18" s="77">
        <v>161101</v>
      </c>
      <c r="BB18" s="37">
        <f t="shared" ref="BB18" si="218">(+BA18-+BA17)*48</f>
        <v>0</v>
      </c>
      <c r="BC18" s="77">
        <v>230531</v>
      </c>
      <c r="BD18" s="37">
        <f t="shared" ref="BD18" si="219">(+BC18-+BC17)*48</f>
        <v>720</v>
      </c>
      <c r="BE18" s="77">
        <v>5347</v>
      </c>
      <c r="BF18" s="37">
        <f t="shared" ref="BF18" si="220">(+BE18-+BE17)*48</f>
        <v>0</v>
      </c>
      <c r="BH18" s="105">
        <f t="shared" si="1"/>
        <v>77376</v>
      </c>
      <c r="BI18" s="105">
        <f t="shared" si="2"/>
        <v>44544</v>
      </c>
    </row>
    <row r="19" spans="1:61" s="35" customFormat="1" ht="39.950000000000003" customHeight="1">
      <c r="A19" s="193">
        <f t="shared" si="30"/>
        <v>44631</v>
      </c>
      <c r="B19" s="34"/>
      <c r="C19" s="77">
        <v>6760287</v>
      </c>
      <c r="D19" s="37">
        <f t="shared" ref="D19" si="221">(+C19-+C18)*48</f>
        <v>83232</v>
      </c>
      <c r="E19" s="104">
        <f t="shared" si="4"/>
        <v>49939.199999999997</v>
      </c>
      <c r="F19" s="103">
        <f t="shared" si="5"/>
        <v>33292.800000000003</v>
      </c>
      <c r="G19" s="77">
        <v>292939</v>
      </c>
      <c r="H19" s="37">
        <f t="shared" ref="H19" si="222">(+G19-+G18)*48</f>
        <v>960</v>
      </c>
      <c r="I19" s="77">
        <v>174618</v>
      </c>
      <c r="J19" s="37">
        <f t="shared" ref="J19" si="223">(+I19-+I18)*48</f>
        <v>7968</v>
      </c>
      <c r="K19" s="77">
        <v>268359</v>
      </c>
      <c r="L19" s="37">
        <f t="shared" si="0"/>
        <v>0</v>
      </c>
      <c r="M19" s="77">
        <v>25315</v>
      </c>
      <c r="N19" s="37">
        <f t="shared" ref="N19" si="224">(+M19-+M18)*48</f>
        <v>0</v>
      </c>
      <c r="O19" s="77">
        <v>318556</v>
      </c>
      <c r="P19" s="37">
        <f t="shared" ref="P19" si="225">(+O19-+O18)*48</f>
        <v>4896</v>
      </c>
      <c r="Q19" s="77">
        <v>472193</v>
      </c>
      <c r="R19" s="37">
        <f t="shared" ref="R19" si="226">(+Q19-+Q18)*48</f>
        <v>480</v>
      </c>
      <c r="S19" s="77">
        <v>755777</v>
      </c>
      <c r="T19" s="37">
        <f t="shared" ref="T19" si="227">(+S19-+S18)*48</f>
        <v>4368</v>
      </c>
      <c r="U19" s="197">
        <v>4280.7079999999996</v>
      </c>
      <c r="V19" s="103">
        <f t="shared" ref="V19" si="228">(+U19-+U18)*48</f>
        <v>0</v>
      </c>
      <c r="W19" s="77">
        <v>84313</v>
      </c>
      <c r="X19" s="37">
        <f t="shared" ref="X19" si="229">(+W19-+W18)*48</f>
        <v>0</v>
      </c>
      <c r="Y19" s="77">
        <v>1518181</v>
      </c>
      <c r="Z19" s="37">
        <f t="shared" ref="Z19" si="230">(+Y19-+Y18)*48</f>
        <v>0</v>
      </c>
      <c r="AA19" s="77">
        <v>13886</v>
      </c>
      <c r="AB19" s="37">
        <f t="shared" ref="AB19" si="231">(+AA19-+AA18)*48</f>
        <v>0</v>
      </c>
      <c r="AC19" s="77">
        <v>490524</v>
      </c>
      <c r="AD19" s="37">
        <f t="shared" si="16"/>
        <v>4896</v>
      </c>
      <c r="AE19" s="77">
        <v>561378</v>
      </c>
      <c r="AF19" s="37">
        <f t="shared" si="16"/>
        <v>4752</v>
      </c>
      <c r="AG19" s="77">
        <v>49787</v>
      </c>
      <c r="AH19" s="37">
        <f t="shared" ref="AH19" si="232">(+AG19-+AG18)*48</f>
        <v>0</v>
      </c>
      <c r="AI19" s="77">
        <v>438121</v>
      </c>
      <c r="AJ19" s="37">
        <f t="shared" ref="AJ19" si="233">(+AI19-+AI18)*48</f>
        <v>2064</v>
      </c>
      <c r="AK19" s="77">
        <v>102770</v>
      </c>
      <c r="AL19" s="37">
        <f t="shared" ref="AL19" si="234">(+AK19-+AK18)*48</f>
        <v>0</v>
      </c>
      <c r="AM19" s="77">
        <v>598204</v>
      </c>
      <c r="AN19" s="37">
        <f t="shared" ref="AN19" si="235">(+AM19-+AM18)*48</f>
        <v>720</v>
      </c>
      <c r="AO19" s="77">
        <v>981128</v>
      </c>
      <c r="AP19" s="37">
        <f t="shared" ref="AP19" si="236">(+AO19-+AO18)*48</f>
        <v>3888</v>
      </c>
      <c r="AQ19" s="77">
        <v>88721</v>
      </c>
      <c r="AR19" s="37">
        <f t="shared" ref="AR19" si="237">(+AQ19-+AQ18)*48</f>
        <v>0</v>
      </c>
      <c r="AS19" s="77">
        <v>2453</v>
      </c>
      <c r="AT19" s="37">
        <f t="shared" ref="AT19" si="238">(+AS19-+AS18)*48</f>
        <v>0</v>
      </c>
      <c r="AU19" s="77">
        <v>939</v>
      </c>
      <c r="AV19" s="37">
        <f t="shared" ref="AV19" si="239">(+AU19-+AU18)*48</f>
        <v>0</v>
      </c>
      <c r="AW19" s="77">
        <v>3110</v>
      </c>
      <c r="AX19" s="37">
        <f t="shared" ref="AX19" si="240">(+AW19-+AW18)*48</f>
        <v>0</v>
      </c>
      <c r="AY19" s="77">
        <v>340374</v>
      </c>
      <c r="AZ19" s="37">
        <f t="shared" ref="AZ19" si="241">(+AY19-+AY18)*48</f>
        <v>3936</v>
      </c>
      <c r="BA19" s="77">
        <v>161101</v>
      </c>
      <c r="BB19" s="37">
        <f t="shared" ref="BB19" si="242">(+BA19-+BA18)*48</f>
        <v>0</v>
      </c>
      <c r="BC19" s="77">
        <v>230543</v>
      </c>
      <c r="BD19" s="37">
        <f t="shared" ref="BD19" si="243">(+BC19-+BC18)*48</f>
        <v>576</v>
      </c>
      <c r="BE19" s="77">
        <v>5347</v>
      </c>
      <c r="BF19" s="37">
        <f t="shared" ref="BF19" si="244">(+BE19-+BE18)*48</f>
        <v>0</v>
      </c>
      <c r="BH19" s="167">
        <f t="shared" si="1"/>
        <v>80323.199999999997</v>
      </c>
      <c r="BI19" s="167">
        <f t="shared" si="2"/>
        <v>42412.800000000003</v>
      </c>
    </row>
    <row r="20" spans="1:61" s="35" customFormat="1" ht="39.950000000000003" customHeight="1">
      <c r="A20" s="193">
        <f t="shared" si="30"/>
        <v>44632</v>
      </c>
      <c r="B20" s="34"/>
      <c r="C20" s="77">
        <v>6762114</v>
      </c>
      <c r="D20" s="37">
        <f t="shared" ref="D20" si="245">(+C20-+C19)*48</f>
        <v>87696</v>
      </c>
      <c r="E20" s="104">
        <f t="shared" si="4"/>
        <v>52617.599999999999</v>
      </c>
      <c r="F20" s="103">
        <f t="shared" si="5"/>
        <v>35078.400000000001</v>
      </c>
      <c r="G20" s="77">
        <v>292960</v>
      </c>
      <c r="H20" s="37">
        <f t="shared" ref="H20" si="246">(+G20-+G19)*48</f>
        <v>1008</v>
      </c>
      <c r="I20" s="77">
        <v>174775</v>
      </c>
      <c r="J20" s="37">
        <f t="shared" ref="J20" si="247">(+I20-+I19)*48</f>
        <v>7536</v>
      </c>
      <c r="K20" s="77">
        <v>268359</v>
      </c>
      <c r="L20" s="37">
        <f t="shared" si="0"/>
        <v>0</v>
      </c>
      <c r="M20" s="77">
        <v>25315</v>
      </c>
      <c r="N20" s="37">
        <f t="shared" ref="N20" si="248">(+M20-+M19)*48</f>
        <v>0</v>
      </c>
      <c r="O20" s="77">
        <v>318653</v>
      </c>
      <c r="P20" s="37">
        <f t="shared" ref="P20" si="249">(+O20-+O19)*48</f>
        <v>4656</v>
      </c>
      <c r="Q20" s="77">
        <v>472218</v>
      </c>
      <c r="R20" s="37">
        <f t="shared" ref="R20" si="250">(+Q20-+Q19)*48</f>
        <v>1200</v>
      </c>
      <c r="S20" s="77">
        <v>755868</v>
      </c>
      <c r="T20" s="37">
        <f t="shared" ref="T20" si="251">(+S20-+S19)*48</f>
        <v>4368</v>
      </c>
      <c r="U20" s="197">
        <v>4280.7079999999996</v>
      </c>
      <c r="V20" s="103">
        <f t="shared" ref="V20" si="252">(+U20-+U19)*48</f>
        <v>0</v>
      </c>
      <c r="W20" s="77">
        <v>84313</v>
      </c>
      <c r="X20" s="37">
        <f t="shared" ref="X20" si="253">(+W20-+W19)*48</f>
        <v>0</v>
      </c>
      <c r="Y20" s="77">
        <v>1518181</v>
      </c>
      <c r="Z20" s="37">
        <f t="shared" ref="Z20" si="254">(+Y20-+Y19)*48</f>
        <v>0</v>
      </c>
      <c r="AA20" s="77">
        <v>13886</v>
      </c>
      <c r="AB20" s="37">
        <f t="shared" ref="AB20" si="255">(+AA20-+AA19)*48</f>
        <v>0</v>
      </c>
      <c r="AC20" s="76">
        <v>490665</v>
      </c>
      <c r="AD20" s="37">
        <f t="shared" si="16"/>
        <v>6768</v>
      </c>
      <c r="AE20" s="76">
        <v>561531</v>
      </c>
      <c r="AF20" s="37">
        <f t="shared" si="16"/>
        <v>7344</v>
      </c>
      <c r="AG20" s="76">
        <v>49787</v>
      </c>
      <c r="AH20" s="37">
        <f t="shared" ref="AH20" si="256">(+AG20-+AG19)*48</f>
        <v>0</v>
      </c>
      <c r="AI20" s="76">
        <v>438165</v>
      </c>
      <c r="AJ20" s="37">
        <f t="shared" ref="AJ20" si="257">(+AI20-+AI19)*48</f>
        <v>2112</v>
      </c>
      <c r="AK20" s="76">
        <v>102770</v>
      </c>
      <c r="AL20" s="37">
        <f t="shared" ref="AL20" si="258">(+AK20-+AK19)*48</f>
        <v>0</v>
      </c>
      <c r="AM20" s="77">
        <v>598294</v>
      </c>
      <c r="AN20" s="37">
        <f t="shared" ref="AN20" si="259">(+AM20-+AM19)*48</f>
        <v>4320</v>
      </c>
      <c r="AO20" s="77">
        <v>981332</v>
      </c>
      <c r="AP20" s="37">
        <f t="shared" ref="AP20" si="260">(+AO20-+AO19)*48</f>
        <v>9792</v>
      </c>
      <c r="AQ20" s="77">
        <v>88721</v>
      </c>
      <c r="AR20" s="37">
        <f t="shared" ref="AR20" si="261">(+AQ20-+AQ19)*48</f>
        <v>0</v>
      </c>
      <c r="AS20" s="77">
        <v>2453</v>
      </c>
      <c r="AT20" s="37">
        <f t="shared" ref="AT20" si="262">(+AS20-+AS19)*48</f>
        <v>0</v>
      </c>
      <c r="AU20" s="77">
        <v>939</v>
      </c>
      <c r="AV20" s="37">
        <f t="shared" ref="AV20" si="263">(+AU20-+AU19)*48</f>
        <v>0</v>
      </c>
      <c r="AW20" s="77">
        <v>3110</v>
      </c>
      <c r="AX20" s="37">
        <f t="shared" ref="AX20" si="264">(+AW20-+AW19)*48</f>
        <v>0</v>
      </c>
      <c r="AY20" s="77">
        <v>340485</v>
      </c>
      <c r="AZ20" s="37">
        <f t="shared" ref="AZ20" si="265">(+AY20-+AY19)*48</f>
        <v>5328</v>
      </c>
      <c r="BA20" s="77">
        <v>161101</v>
      </c>
      <c r="BB20" s="37">
        <f t="shared" ref="BB20" si="266">(+BA20-+BA19)*48</f>
        <v>0</v>
      </c>
      <c r="BC20" s="77">
        <v>230563</v>
      </c>
      <c r="BD20" s="37">
        <f t="shared" ref="BD20" si="267">(+BC20-+BC19)*48</f>
        <v>960</v>
      </c>
      <c r="BE20" s="77">
        <v>5347</v>
      </c>
      <c r="BF20" s="37">
        <f t="shared" ref="BF20" si="268">(+BE20-+BE19)*48</f>
        <v>0</v>
      </c>
      <c r="BH20" s="167">
        <f t="shared" si="1"/>
        <v>87609.600000000006</v>
      </c>
      <c r="BI20" s="167">
        <f t="shared" si="2"/>
        <v>55478.400000000001</v>
      </c>
    </row>
    <row r="21" spans="1:61" s="35" customFormat="1" ht="39.950000000000003" customHeight="1">
      <c r="A21" s="193">
        <f t="shared" si="30"/>
        <v>44633</v>
      </c>
      <c r="B21" s="34"/>
      <c r="C21" s="77">
        <v>6763968</v>
      </c>
      <c r="D21" s="37">
        <f t="shared" ref="D21" si="269">(+C21-+C20)*48</f>
        <v>88992</v>
      </c>
      <c r="E21" s="104">
        <f t="shared" si="4"/>
        <v>53395.199999999997</v>
      </c>
      <c r="F21" s="103">
        <f t="shared" si="5"/>
        <v>35596.800000000003</v>
      </c>
      <c r="G21" s="77">
        <v>292980</v>
      </c>
      <c r="H21" s="37">
        <f t="shared" ref="H21" si="270">(+G21-+G20)*48</f>
        <v>960</v>
      </c>
      <c r="I21" s="77">
        <v>174940</v>
      </c>
      <c r="J21" s="37">
        <f t="shared" ref="J21" si="271">(+I21-+I20)*48</f>
        <v>7920</v>
      </c>
      <c r="K21" s="77">
        <v>268359</v>
      </c>
      <c r="L21" s="37">
        <f t="shared" si="0"/>
        <v>0</v>
      </c>
      <c r="M21" s="77">
        <v>25315</v>
      </c>
      <c r="N21" s="37">
        <f t="shared" ref="N21" si="272">(+M21-+M20)*48</f>
        <v>0</v>
      </c>
      <c r="O21" s="77">
        <v>318809</v>
      </c>
      <c r="P21" s="37">
        <f t="shared" ref="P21" si="273">(+O21-+O20)*48</f>
        <v>7488</v>
      </c>
      <c r="Q21" s="77">
        <v>472239</v>
      </c>
      <c r="R21" s="37">
        <f t="shared" ref="R21" si="274">(+Q21-+Q20)*48</f>
        <v>1008</v>
      </c>
      <c r="S21" s="77">
        <v>755943</v>
      </c>
      <c r="T21" s="37">
        <f t="shared" ref="T21" si="275">(+S21-+S20)*48</f>
        <v>3600</v>
      </c>
      <c r="U21" s="197">
        <v>4280.7079999999996</v>
      </c>
      <c r="V21" s="103">
        <f t="shared" ref="V21" si="276">(+U21-+U20)*48</f>
        <v>0</v>
      </c>
      <c r="W21" s="77">
        <v>84313</v>
      </c>
      <c r="X21" s="37">
        <f t="shared" ref="X21" si="277">(+W21-+W20)*48</f>
        <v>0</v>
      </c>
      <c r="Y21" s="77">
        <v>1518181</v>
      </c>
      <c r="Z21" s="37">
        <f t="shared" ref="Z21" si="278">(+Y21-+Y20)*48</f>
        <v>0</v>
      </c>
      <c r="AA21" s="77">
        <v>13886</v>
      </c>
      <c r="AB21" s="37">
        <f t="shared" ref="AB21" si="279">(+AA21-+AA20)*48</f>
        <v>0</v>
      </c>
      <c r="AC21" s="77">
        <v>490796</v>
      </c>
      <c r="AD21" s="37">
        <f t="shared" si="16"/>
        <v>6288</v>
      </c>
      <c r="AE21" s="77">
        <v>561664</v>
      </c>
      <c r="AF21" s="37">
        <f t="shared" si="16"/>
        <v>6384</v>
      </c>
      <c r="AG21" s="77">
        <v>49787</v>
      </c>
      <c r="AH21" s="37">
        <f t="shared" ref="AH21" si="280">(+AG21-+AG20)*48</f>
        <v>0</v>
      </c>
      <c r="AI21" s="77">
        <v>438210</v>
      </c>
      <c r="AJ21" s="37">
        <f t="shared" ref="AJ21" si="281">(+AI21-+AI20)*48</f>
        <v>2160</v>
      </c>
      <c r="AK21" s="77">
        <v>102770</v>
      </c>
      <c r="AL21" s="37">
        <f t="shared" ref="AL21" si="282">(+AK21-+AK20)*48</f>
        <v>0</v>
      </c>
      <c r="AM21" s="76">
        <v>598365</v>
      </c>
      <c r="AN21" s="37">
        <f t="shared" ref="AN21" si="283">(+AM21-+AM20)*48</f>
        <v>3408</v>
      </c>
      <c r="AO21" s="76">
        <v>981505</v>
      </c>
      <c r="AP21" s="37">
        <f t="shared" ref="AP21" si="284">(+AO21-+AO20)*48</f>
        <v>8304</v>
      </c>
      <c r="AQ21" s="77">
        <v>88721</v>
      </c>
      <c r="AR21" s="37">
        <f t="shared" ref="AR21" si="285">(+AQ21-+AQ20)*48</f>
        <v>0</v>
      </c>
      <c r="AS21" s="77">
        <v>2453</v>
      </c>
      <c r="AT21" s="37">
        <f t="shared" ref="AT21" si="286">(+AS21-+AS20)*48</f>
        <v>0</v>
      </c>
      <c r="AU21" s="77">
        <v>939</v>
      </c>
      <c r="AV21" s="37">
        <f t="shared" ref="AV21" si="287">(+AU21-+AU20)*48</f>
        <v>0</v>
      </c>
      <c r="AW21" s="77">
        <v>3110</v>
      </c>
      <c r="AX21" s="37">
        <f t="shared" ref="AX21" si="288">(+AW21-+AW20)*48</f>
        <v>0</v>
      </c>
      <c r="AY21" s="77">
        <v>340600</v>
      </c>
      <c r="AZ21" s="37">
        <f t="shared" ref="AZ21" si="289">(+AY21-+AY20)*48</f>
        <v>5520</v>
      </c>
      <c r="BA21" s="77">
        <v>161101</v>
      </c>
      <c r="BB21" s="37">
        <f t="shared" ref="BB21" si="290">(+BA21-+BA20)*48</f>
        <v>0</v>
      </c>
      <c r="BC21" s="77">
        <v>230583</v>
      </c>
      <c r="BD21" s="37">
        <f t="shared" ref="BD21" si="291">(+BC21-+BC20)*48</f>
        <v>960</v>
      </c>
      <c r="BE21" s="77">
        <v>5348</v>
      </c>
      <c r="BF21" s="37">
        <f t="shared" ref="BF21" si="292">(+BE21-+BE20)*48</f>
        <v>48</v>
      </c>
      <c r="BH21" s="167">
        <f t="shared" si="1"/>
        <v>89203.199999999997</v>
      </c>
      <c r="BI21" s="167">
        <f t="shared" si="2"/>
        <v>53836.800000000003</v>
      </c>
    </row>
    <row r="22" spans="1:61" s="35" customFormat="1" ht="39.950000000000003" customHeight="1">
      <c r="A22" s="193">
        <f t="shared" si="30"/>
        <v>44634</v>
      </c>
      <c r="B22" s="34"/>
      <c r="C22" s="77">
        <v>6765899</v>
      </c>
      <c r="D22" s="37">
        <f t="shared" ref="D22" si="293">(+C22-+C21)*48</f>
        <v>92688</v>
      </c>
      <c r="E22" s="104">
        <f t="shared" si="4"/>
        <v>55612.799999999996</v>
      </c>
      <c r="F22" s="103">
        <f t="shared" si="5"/>
        <v>37075.200000000004</v>
      </c>
      <c r="G22" s="77">
        <v>293005</v>
      </c>
      <c r="H22" s="37">
        <f t="shared" ref="H22" si="294">(+G22-+G21)*48</f>
        <v>1200</v>
      </c>
      <c r="I22" s="77">
        <v>175098</v>
      </c>
      <c r="J22" s="37">
        <f t="shared" ref="J22" si="295">(+I22-+I21)*48</f>
        <v>7584</v>
      </c>
      <c r="K22" s="77">
        <v>268359</v>
      </c>
      <c r="L22" s="37">
        <f t="shared" si="0"/>
        <v>0</v>
      </c>
      <c r="M22" s="77">
        <v>25315</v>
      </c>
      <c r="N22" s="37">
        <f t="shared" ref="N22" si="296">(+M22-+M21)*48</f>
        <v>0</v>
      </c>
      <c r="O22" s="77">
        <v>318953</v>
      </c>
      <c r="P22" s="37">
        <f t="shared" ref="P22" si="297">(+O22-+O21)*48</f>
        <v>6912</v>
      </c>
      <c r="Q22" s="77">
        <v>472266</v>
      </c>
      <c r="R22" s="37">
        <f t="shared" ref="R22" si="298">(+Q22-+Q21)*48</f>
        <v>1296</v>
      </c>
      <c r="S22" s="77">
        <v>756019</v>
      </c>
      <c r="T22" s="37">
        <f t="shared" ref="T22" si="299">(+S22-+S21)*48</f>
        <v>3648</v>
      </c>
      <c r="U22" s="82">
        <v>4280.7079999999996</v>
      </c>
      <c r="V22" s="103">
        <f t="shared" ref="V22" si="300">(+U22-+U21)*48</f>
        <v>0</v>
      </c>
      <c r="W22" s="77">
        <v>84313</v>
      </c>
      <c r="X22" s="37">
        <f t="shared" ref="X22" si="301">(+W22-+W21)*48</f>
        <v>0</v>
      </c>
      <c r="Y22" s="77">
        <v>1518181</v>
      </c>
      <c r="Z22" s="37">
        <f t="shared" ref="Z22" si="302">(+Y22-+Y21)*48</f>
        <v>0</v>
      </c>
      <c r="AA22" s="77">
        <v>13886</v>
      </c>
      <c r="AB22" s="37">
        <f t="shared" ref="AB22" si="303">(+AA22-+AA21)*48</f>
        <v>0</v>
      </c>
      <c r="AC22" s="77">
        <v>490939</v>
      </c>
      <c r="AD22" s="37">
        <f t="shared" si="16"/>
        <v>6864</v>
      </c>
      <c r="AE22" s="77">
        <v>561817</v>
      </c>
      <c r="AF22" s="37">
        <f t="shared" si="16"/>
        <v>7344</v>
      </c>
      <c r="AG22" s="77">
        <v>49787</v>
      </c>
      <c r="AH22" s="37">
        <f t="shared" ref="AH22" si="304">(+AG22-+AG21)*48</f>
        <v>0</v>
      </c>
      <c r="AI22" s="77">
        <v>438258</v>
      </c>
      <c r="AJ22" s="37">
        <f t="shared" ref="AJ22" si="305">(+AI22-+AI21)*48</f>
        <v>2304</v>
      </c>
      <c r="AK22" s="77">
        <v>102770</v>
      </c>
      <c r="AL22" s="37">
        <f t="shared" ref="AL22" si="306">(+AK22-+AK21)*48</f>
        <v>0</v>
      </c>
      <c r="AM22" s="77">
        <v>598462</v>
      </c>
      <c r="AN22" s="37">
        <f t="shared" ref="AN22" si="307">(+AM22-+AM21)*48</f>
        <v>4656</v>
      </c>
      <c r="AO22" s="77">
        <v>981717</v>
      </c>
      <c r="AP22" s="37">
        <f t="shared" ref="AP22" si="308">(+AO22-+AO21)*48</f>
        <v>10176</v>
      </c>
      <c r="AQ22" s="77">
        <v>88721</v>
      </c>
      <c r="AR22" s="37">
        <f t="shared" ref="AR22" si="309">(+AQ22-+AQ21)*48</f>
        <v>0</v>
      </c>
      <c r="AS22" s="77">
        <v>2453</v>
      </c>
      <c r="AT22" s="37">
        <f t="shared" ref="AT22" si="310">(+AS22-+AS21)*48</f>
        <v>0</v>
      </c>
      <c r="AU22" s="77">
        <v>939</v>
      </c>
      <c r="AV22" s="37">
        <f t="shared" ref="AV22" si="311">(+AU22-+AU21)*48</f>
        <v>0</v>
      </c>
      <c r="AW22" s="77">
        <v>3110</v>
      </c>
      <c r="AX22" s="37">
        <f t="shared" ref="AX22" si="312">(+AW22-+AW21)*48</f>
        <v>0</v>
      </c>
      <c r="AY22" s="77">
        <v>340710</v>
      </c>
      <c r="AZ22" s="37">
        <f t="shared" ref="AZ22" si="313">(+AY22-+AY21)*48</f>
        <v>5280</v>
      </c>
      <c r="BA22" s="77">
        <v>161101</v>
      </c>
      <c r="BB22" s="37">
        <f>(+BA23-+BA21)*48</f>
        <v>0</v>
      </c>
      <c r="BC22" s="77">
        <v>230599</v>
      </c>
      <c r="BD22" s="37">
        <f t="shared" ref="BD22" si="314">(+BC22-+BC21)*48</f>
        <v>768</v>
      </c>
      <c r="BE22" s="77">
        <v>5348</v>
      </c>
      <c r="BF22" s="37">
        <f t="shared" ref="BF22" si="315">(+BE22-+BE21)*48</f>
        <v>0</v>
      </c>
      <c r="BH22" s="167">
        <f t="shared" si="1"/>
        <v>92764.799999999988</v>
      </c>
      <c r="BI22" s="167">
        <f t="shared" si="2"/>
        <v>57955.200000000004</v>
      </c>
    </row>
    <row r="23" spans="1:61" s="35" customFormat="1" ht="39.950000000000003" customHeight="1">
      <c r="A23" s="193">
        <f t="shared" si="30"/>
        <v>44635</v>
      </c>
      <c r="B23" s="34"/>
      <c r="C23" s="77">
        <v>6767832</v>
      </c>
      <c r="D23" s="37">
        <f t="shared" ref="D23" si="316">(+C23-+C22)*48</f>
        <v>92784</v>
      </c>
      <c r="E23" s="104">
        <f t="shared" si="4"/>
        <v>55670.400000000001</v>
      </c>
      <c r="F23" s="103">
        <f t="shared" si="5"/>
        <v>37113.599999999999</v>
      </c>
      <c r="G23" s="77">
        <v>293026</v>
      </c>
      <c r="H23" s="37">
        <f t="shared" ref="H23" si="317">(+G23-+G22)*48</f>
        <v>1008</v>
      </c>
      <c r="I23" s="77">
        <v>175252</v>
      </c>
      <c r="J23" s="37">
        <f t="shared" ref="J23" si="318">(+I23-+I22)*48</f>
        <v>7392</v>
      </c>
      <c r="K23" s="77">
        <v>268359</v>
      </c>
      <c r="L23" s="37">
        <f t="shared" si="0"/>
        <v>0</v>
      </c>
      <c r="M23" s="77">
        <v>25315</v>
      </c>
      <c r="N23" s="37">
        <f t="shared" ref="N23" si="319">(+M23-+M22)*48</f>
        <v>0</v>
      </c>
      <c r="O23" s="77">
        <v>319052</v>
      </c>
      <c r="P23" s="37">
        <f t="shared" ref="P23" si="320">(+O23-+O22)*48</f>
        <v>4752</v>
      </c>
      <c r="Q23" s="77">
        <v>472267</v>
      </c>
      <c r="R23" s="37">
        <f t="shared" ref="R23" si="321">(+Q23-+Q22)*48</f>
        <v>48</v>
      </c>
      <c r="S23" s="77">
        <v>756084</v>
      </c>
      <c r="T23" s="37">
        <f t="shared" ref="T23" si="322">(+S23-+S22)*48</f>
        <v>3120</v>
      </c>
      <c r="U23" s="82">
        <v>4280.7079999999996</v>
      </c>
      <c r="V23" s="103">
        <f t="shared" ref="V23" si="323">(+U23-+U22)*48</f>
        <v>0</v>
      </c>
      <c r="W23" s="77">
        <v>84313</v>
      </c>
      <c r="X23" s="37">
        <f t="shared" ref="X23" si="324">(+W23-+W22)*48</f>
        <v>0</v>
      </c>
      <c r="Y23" s="77">
        <v>1518181</v>
      </c>
      <c r="Z23" s="37">
        <f t="shared" ref="Z23" si="325">(+Y23-+Y22)*48</f>
        <v>0</v>
      </c>
      <c r="AA23" s="77">
        <v>13886</v>
      </c>
      <c r="AB23" s="37">
        <f t="shared" ref="AB23" si="326">(+AA23-+AA22)*48</f>
        <v>0</v>
      </c>
      <c r="AC23" s="77">
        <v>491086</v>
      </c>
      <c r="AD23" s="37">
        <f t="shared" si="16"/>
        <v>7056</v>
      </c>
      <c r="AE23" s="77">
        <v>561964</v>
      </c>
      <c r="AF23" s="37">
        <f t="shared" si="16"/>
        <v>7056</v>
      </c>
      <c r="AG23" s="77">
        <v>49787</v>
      </c>
      <c r="AH23" s="37">
        <f t="shared" ref="AH23" si="327">(+AG23-+AG22)*48</f>
        <v>0</v>
      </c>
      <c r="AI23" s="77">
        <v>438306</v>
      </c>
      <c r="AJ23" s="37">
        <f t="shared" ref="AJ23" si="328">(+AI23-+AI22)*48</f>
        <v>2304</v>
      </c>
      <c r="AK23" s="77">
        <v>102770</v>
      </c>
      <c r="AL23" s="37">
        <f t="shared" ref="AL23" si="329">(+AK23-+AK22)*48</f>
        <v>0</v>
      </c>
      <c r="AM23" s="77">
        <v>598582</v>
      </c>
      <c r="AN23" s="37">
        <f t="shared" ref="AN23" si="330">(+AM23-+AM22)*48</f>
        <v>5760</v>
      </c>
      <c r="AO23" s="77">
        <v>981931</v>
      </c>
      <c r="AP23" s="37">
        <f t="shared" ref="AP23" si="331">(+AO23-+AO22)*48</f>
        <v>10272</v>
      </c>
      <c r="AQ23" s="77">
        <v>88721</v>
      </c>
      <c r="AR23" s="37">
        <f t="shared" ref="AR23" si="332">(+AQ23-+AQ22)*48</f>
        <v>0</v>
      </c>
      <c r="AS23" s="77">
        <v>2453</v>
      </c>
      <c r="AT23" s="37">
        <f t="shared" ref="AT23" si="333">(+AS23-+AS22)*48</f>
        <v>0</v>
      </c>
      <c r="AU23" s="77">
        <v>939</v>
      </c>
      <c r="AV23" s="37">
        <f t="shared" ref="AV23" si="334">(+AU23-+AU22)*48</f>
        <v>0</v>
      </c>
      <c r="AW23" s="77">
        <v>3110</v>
      </c>
      <c r="AX23" s="37">
        <f t="shared" ref="AX23" si="335">(+AW23-+AW22)*48</f>
        <v>0</v>
      </c>
      <c r="AY23" s="77">
        <v>340819</v>
      </c>
      <c r="AZ23" s="37">
        <f t="shared" ref="AZ23" si="336">(+AY23-+AY22)*48</f>
        <v>5232</v>
      </c>
      <c r="BA23" s="77">
        <v>161101</v>
      </c>
      <c r="BB23" s="103">
        <f t="shared" ref="BB23:BB25" si="337">(+BA23-+BA22)*48</f>
        <v>0</v>
      </c>
      <c r="BC23" s="77">
        <v>230621</v>
      </c>
      <c r="BD23" s="37">
        <f t="shared" ref="BD23" si="338">(+BC23-+BC22)*48</f>
        <v>1056</v>
      </c>
      <c r="BE23" s="77">
        <v>5348</v>
      </c>
      <c r="BF23" s="37">
        <f t="shared" ref="BF23" si="339">(+BE23-+BE22)*48</f>
        <v>0</v>
      </c>
      <c r="BH23" s="105">
        <f t="shared" si="1"/>
        <v>88406.399999999994</v>
      </c>
      <c r="BI23" s="105">
        <f t="shared" si="2"/>
        <v>59433.599999999999</v>
      </c>
    </row>
    <row r="24" spans="1:61" s="35" customFormat="1" ht="39.950000000000003" customHeight="1">
      <c r="A24" s="193">
        <f t="shared" si="30"/>
        <v>44636</v>
      </c>
      <c r="B24" s="34"/>
      <c r="C24" s="77">
        <v>6769576</v>
      </c>
      <c r="D24" s="103">
        <f t="shared" ref="D24" si="340">(+C24-+C23)*48</f>
        <v>83712</v>
      </c>
      <c r="E24" s="104">
        <f t="shared" si="4"/>
        <v>50227.199999999997</v>
      </c>
      <c r="F24" s="103">
        <f t="shared" si="5"/>
        <v>33484.800000000003</v>
      </c>
      <c r="G24" s="77">
        <v>293043</v>
      </c>
      <c r="H24" s="103">
        <f t="shared" ref="H24" si="341">(+G24-+G23)*48</f>
        <v>816</v>
      </c>
      <c r="I24" s="77">
        <v>175405</v>
      </c>
      <c r="J24" s="103">
        <f t="shared" ref="J24" si="342">(+I24-+I23)*48</f>
        <v>7344</v>
      </c>
      <c r="K24" s="77">
        <v>268359</v>
      </c>
      <c r="L24" s="103">
        <f t="shared" si="0"/>
        <v>0</v>
      </c>
      <c r="M24" s="77">
        <v>25315</v>
      </c>
      <c r="N24" s="37">
        <f t="shared" ref="N24" si="343">(+M24-+M23)*48</f>
        <v>0</v>
      </c>
      <c r="O24" s="77">
        <v>319154</v>
      </c>
      <c r="P24" s="103">
        <f t="shared" ref="P24" si="344">(+O24-+O23)*48</f>
        <v>4896</v>
      </c>
      <c r="Q24" s="77">
        <v>472273</v>
      </c>
      <c r="R24" s="103">
        <f t="shared" ref="R24" si="345">(+Q24-+Q23)*48</f>
        <v>288</v>
      </c>
      <c r="S24" s="77">
        <v>756158</v>
      </c>
      <c r="T24" s="103">
        <f t="shared" ref="T24" si="346">(+S24-+S23)*48</f>
        <v>3552</v>
      </c>
      <c r="U24" s="82">
        <v>4280.7079999999996</v>
      </c>
      <c r="V24" s="103">
        <f t="shared" ref="V24" si="347">(+U24-+U23)*48</f>
        <v>0</v>
      </c>
      <c r="W24" s="77">
        <v>84313</v>
      </c>
      <c r="X24" s="103">
        <f t="shared" ref="X24" si="348">(+W24-+W23)*48</f>
        <v>0</v>
      </c>
      <c r="Y24" s="77">
        <v>1518181</v>
      </c>
      <c r="Z24" s="103">
        <f t="shared" ref="Z24" si="349">(+Y24-+Y23)*48</f>
        <v>0</v>
      </c>
      <c r="AA24" s="77">
        <v>13886</v>
      </c>
      <c r="AB24" s="103">
        <f t="shared" ref="AB24" si="350">(+AA24-+AA23)*48</f>
        <v>0</v>
      </c>
      <c r="AC24" s="77">
        <v>491234</v>
      </c>
      <c r="AD24" s="103">
        <f t="shared" si="16"/>
        <v>7104</v>
      </c>
      <c r="AE24" s="77">
        <v>562099</v>
      </c>
      <c r="AF24" s="103">
        <f t="shared" si="16"/>
        <v>6480</v>
      </c>
      <c r="AG24" s="77">
        <v>49787</v>
      </c>
      <c r="AH24" s="103">
        <f t="shared" ref="AH24" si="351">(+AG24-+AG23)*48</f>
        <v>0</v>
      </c>
      <c r="AI24" s="77">
        <v>438346</v>
      </c>
      <c r="AJ24" s="103">
        <f t="shared" ref="AJ24" si="352">(+AI24-+AI23)*48</f>
        <v>1920</v>
      </c>
      <c r="AK24" s="77">
        <v>102770</v>
      </c>
      <c r="AL24" s="103">
        <f t="shared" ref="AL24" si="353">(+AK24-+AK23)*48</f>
        <v>0</v>
      </c>
      <c r="AM24" s="77">
        <v>598720</v>
      </c>
      <c r="AN24" s="103">
        <f t="shared" ref="AN24" si="354">(+AM24-+AM23)*48</f>
        <v>6624</v>
      </c>
      <c r="AO24" s="77">
        <v>982160</v>
      </c>
      <c r="AP24" s="103">
        <f t="shared" ref="AP24" si="355">(+AO24-+AO23)*48</f>
        <v>10992</v>
      </c>
      <c r="AQ24" s="77">
        <v>88721</v>
      </c>
      <c r="AR24" s="103">
        <f t="shared" ref="AR24" si="356">(+AQ24-+AQ23)*48</f>
        <v>0</v>
      </c>
      <c r="AS24" s="77">
        <v>2453</v>
      </c>
      <c r="AT24" s="103">
        <f t="shared" ref="AT24" si="357">(+AS24-+AS23)*48</f>
        <v>0</v>
      </c>
      <c r="AU24" s="77">
        <v>939</v>
      </c>
      <c r="AV24" s="103">
        <f t="shared" ref="AV24" si="358">(+AU24-+AU23)*48</f>
        <v>0</v>
      </c>
      <c r="AW24" s="77">
        <v>3110</v>
      </c>
      <c r="AX24" s="103">
        <f t="shared" ref="AX24" si="359">(+AW24-+AW23)*48</f>
        <v>0</v>
      </c>
      <c r="AY24" s="77">
        <v>340928</v>
      </c>
      <c r="AZ24" s="103">
        <f t="shared" ref="AZ24" si="360">(+AY24-+AY23)*48</f>
        <v>5232</v>
      </c>
      <c r="BA24" s="77">
        <v>161101</v>
      </c>
      <c r="BB24" s="103">
        <f t="shared" si="337"/>
        <v>0</v>
      </c>
      <c r="BC24" s="77">
        <v>230639</v>
      </c>
      <c r="BD24" s="103">
        <f t="shared" ref="BD24" si="361">(+BC24-+BC23)*48</f>
        <v>864</v>
      </c>
      <c r="BE24" s="77">
        <v>5348</v>
      </c>
      <c r="BF24" s="103">
        <f t="shared" ref="BF24" si="362">(+BE24-+BE23)*48</f>
        <v>0</v>
      </c>
      <c r="BH24" s="105">
        <f t="shared" si="1"/>
        <v>82627.199999999997</v>
      </c>
      <c r="BI24" s="105">
        <f t="shared" si="2"/>
        <v>57196.800000000003</v>
      </c>
    </row>
    <row r="25" spans="1:61" s="35" customFormat="1" ht="39.950000000000003" customHeight="1">
      <c r="A25" s="193">
        <f t="shared" si="30"/>
        <v>44637</v>
      </c>
      <c r="B25" s="34"/>
      <c r="C25" s="77">
        <v>6771403</v>
      </c>
      <c r="D25" s="103">
        <f t="shared" ref="D25" si="363">(+C25-+C24)*48</f>
        <v>87696</v>
      </c>
      <c r="E25" s="104">
        <f t="shared" si="4"/>
        <v>52617.599999999999</v>
      </c>
      <c r="F25" s="103">
        <f t="shared" si="5"/>
        <v>35078.400000000001</v>
      </c>
      <c r="G25" s="77">
        <v>293062</v>
      </c>
      <c r="H25" s="103">
        <f t="shared" ref="H25" si="364">(+G25-+G24)*48</f>
        <v>912</v>
      </c>
      <c r="I25" s="77">
        <v>175553</v>
      </c>
      <c r="J25" s="103">
        <f t="shared" ref="J25" si="365">(+I25-+I24)*48</f>
        <v>7104</v>
      </c>
      <c r="K25" s="77">
        <v>268359</v>
      </c>
      <c r="L25" s="103">
        <f t="shared" si="0"/>
        <v>0</v>
      </c>
      <c r="M25" s="77">
        <v>25315</v>
      </c>
      <c r="N25" s="37">
        <f t="shared" ref="N25" si="366">(+M25-+M24)*48</f>
        <v>0</v>
      </c>
      <c r="O25" s="77">
        <v>319253</v>
      </c>
      <c r="P25" s="103">
        <f t="shared" ref="P25" si="367">(+O25-+O24)*48</f>
        <v>4752</v>
      </c>
      <c r="Q25" s="77">
        <v>472290</v>
      </c>
      <c r="R25" s="103">
        <f t="shared" ref="R25" si="368">(+Q25-+Q24)*48</f>
        <v>816</v>
      </c>
      <c r="S25" s="77">
        <v>756249</v>
      </c>
      <c r="T25" s="103">
        <f t="shared" ref="T25" si="369">(+S25-+S24)*48</f>
        <v>4368</v>
      </c>
      <c r="U25" s="77">
        <v>4280.7939999999999</v>
      </c>
      <c r="V25" s="103">
        <f t="shared" ref="V25" si="370">(+U25-+U24)*48</f>
        <v>4.1280000000115251</v>
      </c>
      <c r="W25" s="77">
        <v>84332</v>
      </c>
      <c r="X25" s="103">
        <f t="shared" ref="X25" si="371">(+W25-+W24)*48</f>
        <v>912</v>
      </c>
      <c r="Y25" s="77">
        <v>1518181</v>
      </c>
      <c r="Z25" s="103">
        <f t="shared" ref="Z25" si="372">(+Y25-+Y24)*48</f>
        <v>0</v>
      </c>
      <c r="AA25" s="77">
        <v>13886</v>
      </c>
      <c r="AB25" s="103">
        <f t="shared" ref="AB25" si="373">(+AA25-+AA24)*48</f>
        <v>0</v>
      </c>
      <c r="AC25" s="77">
        <v>491385</v>
      </c>
      <c r="AD25" s="103">
        <f t="shared" si="16"/>
        <v>7248</v>
      </c>
      <c r="AE25" s="77">
        <v>562250</v>
      </c>
      <c r="AF25" s="103">
        <f t="shared" si="16"/>
        <v>7248</v>
      </c>
      <c r="AG25" s="77">
        <v>49787</v>
      </c>
      <c r="AH25" s="103">
        <f t="shared" ref="AH25" si="374">(+AG25-+AG24)*48</f>
        <v>0</v>
      </c>
      <c r="AI25" s="77">
        <v>438389</v>
      </c>
      <c r="AJ25" s="103">
        <f t="shared" ref="AJ25" si="375">(+AI25-+AI24)*48</f>
        <v>2064</v>
      </c>
      <c r="AK25" s="77">
        <v>102770</v>
      </c>
      <c r="AL25" s="103">
        <f t="shared" ref="AL25" si="376">(+AK25-+AK24)*48</f>
        <v>0</v>
      </c>
      <c r="AM25" s="77">
        <v>598850</v>
      </c>
      <c r="AN25" s="103">
        <f t="shared" ref="AN25" si="377">(+AM25-+AM24)*48</f>
        <v>6240</v>
      </c>
      <c r="AO25" s="77">
        <v>982382</v>
      </c>
      <c r="AP25" s="103">
        <f t="shared" ref="AP25" si="378">(+AO25-+AO24)*48</f>
        <v>10656</v>
      </c>
      <c r="AQ25" s="77">
        <v>88721</v>
      </c>
      <c r="AR25" s="103">
        <f t="shared" ref="AR25" si="379">(+AQ25-+AQ24)*48</f>
        <v>0</v>
      </c>
      <c r="AS25" s="77">
        <v>2453</v>
      </c>
      <c r="AT25" s="103">
        <f t="shared" ref="AT25" si="380">(+AS25-+AS24)*48</f>
        <v>0</v>
      </c>
      <c r="AU25" s="77">
        <v>939</v>
      </c>
      <c r="AV25" s="103">
        <f t="shared" ref="AV25" si="381">(+AU25-+AU24)*48</f>
        <v>0</v>
      </c>
      <c r="AW25" s="77">
        <v>3110</v>
      </c>
      <c r="AX25" s="103">
        <f t="shared" ref="AX25" si="382">(+AW25-+AW24)*48</f>
        <v>0</v>
      </c>
      <c r="AY25" s="77">
        <v>341037</v>
      </c>
      <c r="AZ25" s="103">
        <f t="shared" ref="AZ25" si="383">(+AY25-+AY24)*48</f>
        <v>5232</v>
      </c>
      <c r="BA25" s="77">
        <v>161101</v>
      </c>
      <c r="BB25" s="103">
        <f t="shared" si="337"/>
        <v>0</v>
      </c>
      <c r="BC25" s="77">
        <v>230661</v>
      </c>
      <c r="BD25" s="103">
        <f t="shared" ref="BD25" si="384">(+BC25-+BC24)*48</f>
        <v>1056</v>
      </c>
      <c r="BE25" s="77">
        <v>5348</v>
      </c>
      <c r="BF25" s="103">
        <f t="shared" ref="BF25" si="385">(+BE25-+BE24)*48</f>
        <v>0</v>
      </c>
      <c r="BH25" s="105">
        <f t="shared" si="1"/>
        <v>88045.728000000017</v>
      </c>
      <c r="BI25" s="105">
        <f t="shared" si="2"/>
        <v>58262.400000000001</v>
      </c>
    </row>
    <row r="26" spans="1:61" s="35" customFormat="1" ht="39.950000000000003" customHeight="1">
      <c r="A26" s="193">
        <f t="shared" si="30"/>
        <v>44638</v>
      </c>
      <c r="B26" s="34"/>
      <c r="C26" s="77">
        <v>6773219</v>
      </c>
      <c r="D26" s="103">
        <f t="shared" ref="D26" si="386">(+C26-+C25)*48</f>
        <v>87168</v>
      </c>
      <c r="E26" s="104">
        <f t="shared" si="4"/>
        <v>52300.799999999996</v>
      </c>
      <c r="F26" s="103">
        <f t="shared" si="5"/>
        <v>34867.200000000004</v>
      </c>
      <c r="G26" s="77">
        <v>293088</v>
      </c>
      <c r="H26" s="103">
        <f t="shared" ref="H26" si="387">(+G26-+G25)*48</f>
        <v>1248</v>
      </c>
      <c r="I26" s="77">
        <v>175719</v>
      </c>
      <c r="J26" s="103">
        <f t="shared" ref="J26" si="388">(+I26-+I25)*48</f>
        <v>7968</v>
      </c>
      <c r="K26" s="77">
        <v>268359</v>
      </c>
      <c r="L26" s="103">
        <f t="shared" si="0"/>
        <v>0</v>
      </c>
      <c r="M26" s="77">
        <v>25315</v>
      </c>
      <c r="N26" s="37">
        <f t="shared" ref="N26" si="389">(+M26-+M25)*48</f>
        <v>0</v>
      </c>
      <c r="O26" s="77">
        <v>319383</v>
      </c>
      <c r="P26" s="103">
        <f t="shared" ref="P26" si="390">(+O26-+O25)*48</f>
        <v>6240</v>
      </c>
      <c r="Q26" s="77">
        <v>472299</v>
      </c>
      <c r="R26" s="103">
        <f t="shared" ref="R26" si="391">(+Q26-+Q25)*48</f>
        <v>432</v>
      </c>
      <c r="S26" s="77">
        <v>756338</v>
      </c>
      <c r="T26" s="103">
        <f t="shared" ref="T26" si="392">(+S26-+S25)*48</f>
        <v>4272</v>
      </c>
      <c r="U26" s="77">
        <v>4280</v>
      </c>
      <c r="V26" s="103">
        <f t="shared" ref="V26" si="393">(+U26-+U25)*48</f>
        <v>-38.111999999993714</v>
      </c>
      <c r="W26" s="77">
        <v>84335</v>
      </c>
      <c r="X26" s="103">
        <f t="shared" ref="X26" si="394">(+W26-+W25)*48</f>
        <v>144</v>
      </c>
      <c r="Y26" s="77">
        <v>1518181</v>
      </c>
      <c r="Z26" s="103">
        <f t="shared" ref="Z26" si="395">(+Y26-+Y25)*48</f>
        <v>0</v>
      </c>
      <c r="AA26" s="77">
        <v>13886</v>
      </c>
      <c r="AB26" s="103">
        <f t="shared" ref="AB26" si="396">(+AA26-+AA25)*48</f>
        <v>0</v>
      </c>
      <c r="AC26" s="77">
        <v>491534</v>
      </c>
      <c r="AD26" s="103">
        <f t="shared" si="16"/>
        <v>7152</v>
      </c>
      <c r="AE26" s="77">
        <v>562407</v>
      </c>
      <c r="AF26" s="103">
        <f t="shared" si="16"/>
        <v>7536</v>
      </c>
      <c r="AG26" s="77">
        <v>49787</v>
      </c>
      <c r="AH26" s="103">
        <f t="shared" ref="AH26" si="397">(+AG26-+AG25)*48</f>
        <v>0</v>
      </c>
      <c r="AI26" s="77">
        <f>(AI27+AI25)/2</f>
        <v>438464.5</v>
      </c>
      <c r="AJ26" s="103">
        <f t="shared" ref="AJ26" si="398">(+AI26-+AI25)*48</f>
        <v>3624</v>
      </c>
      <c r="AK26" s="77">
        <v>102770</v>
      </c>
      <c r="AL26" s="103">
        <f t="shared" ref="AL26" si="399">(+AK26-+AK25)*48</f>
        <v>0</v>
      </c>
      <c r="AM26" s="77">
        <v>598978</v>
      </c>
      <c r="AN26" s="103">
        <f t="shared" ref="AN26" si="400">(+AM26-+AM25)*48</f>
        <v>6144</v>
      </c>
      <c r="AO26" s="77">
        <v>982600</v>
      </c>
      <c r="AP26" s="103">
        <f t="shared" ref="AP26" si="401">(+AO26-+AO25)*48</f>
        <v>10464</v>
      </c>
      <c r="AQ26" s="77">
        <v>88721</v>
      </c>
      <c r="AR26" s="103">
        <f t="shared" ref="AR26" si="402">(+AQ26-+AQ25)*48</f>
        <v>0</v>
      </c>
      <c r="AS26" s="77">
        <v>2453</v>
      </c>
      <c r="AT26" s="103">
        <f t="shared" ref="AT26" si="403">(+AS26-+AS25)*48</f>
        <v>0</v>
      </c>
      <c r="AU26" s="77">
        <v>939</v>
      </c>
      <c r="AV26" s="103">
        <f t="shared" ref="AV26" si="404">(+AU26-+AU25)*48</f>
        <v>0</v>
      </c>
      <c r="AW26" s="77">
        <v>3110</v>
      </c>
      <c r="AX26" s="103">
        <f t="shared" ref="AX26" si="405">(+AW26-+AW25)*48</f>
        <v>0</v>
      </c>
      <c r="AY26" s="77">
        <v>341135</v>
      </c>
      <c r="AZ26" s="103">
        <f>(+AY26-+AY25)*48</f>
        <v>4704</v>
      </c>
      <c r="BA26" s="77">
        <v>161101</v>
      </c>
      <c r="BB26" s="103">
        <f>(+BA26-+BA25)*48</f>
        <v>0</v>
      </c>
      <c r="BC26" s="77">
        <v>230682</v>
      </c>
      <c r="BD26" s="103">
        <f t="shared" ref="BD26" si="406">(+BC26-+BC25)*48</f>
        <v>1008</v>
      </c>
      <c r="BE26" s="77">
        <v>5348</v>
      </c>
      <c r="BF26" s="103">
        <f t="shared" ref="BF26" si="407">(+BE26-+BE25)*48</f>
        <v>0</v>
      </c>
      <c r="BH26" s="105">
        <f t="shared" si="1"/>
        <v>90878.687999999995</v>
      </c>
      <c r="BI26" s="105">
        <f t="shared" si="2"/>
        <v>57187.200000000004</v>
      </c>
    </row>
    <row r="27" spans="1:61" s="35" customFormat="1" ht="39.950000000000003" customHeight="1">
      <c r="A27" s="193">
        <f t="shared" si="30"/>
        <v>44639</v>
      </c>
      <c r="B27" s="34"/>
      <c r="C27" s="77">
        <v>6774849</v>
      </c>
      <c r="D27" s="103">
        <f t="shared" ref="D27" si="408">(+C27-+C26)*48</f>
        <v>78240</v>
      </c>
      <c r="E27" s="104">
        <f t="shared" si="4"/>
        <v>46944</v>
      </c>
      <c r="F27" s="103">
        <f t="shared" si="5"/>
        <v>31296</v>
      </c>
      <c r="G27" s="77">
        <v>293111</v>
      </c>
      <c r="H27" s="103">
        <f t="shared" ref="H27" si="409">(+G27-+G26)*48</f>
        <v>1104</v>
      </c>
      <c r="I27" s="77">
        <v>175869</v>
      </c>
      <c r="J27" s="103">
        <f t="shared" ref="J27" si="410">(+I27-+I26)*48</f>
        <v>7200</v>
      </c>
      <c r="K27" s="77">
        <v>268362</v>
      </c>
      <c r="L27" s="103">
        <f t="shared" si="0"/>
        <v>144</v>
      </c>
      <c r="M27" s="77">
        <v>25315</v>
      </c>
      <c r="N27" s="37">
        <f t="shared" ref="N27" si="411">(+M27-+M26)*48</f>
        <v>0</v>
      </c>
      <c r="O27" s="77">
        <v>319497</v>
      </c>
      <c r="P27" s="103">
        <f t="shared" ref="P27" si="412">(+O27-+O26)*48</f>
        <v>5472</v>
      </c>
      <c r="Q27" s="77">
        <v>472367</v>
      </c>
      <c r="R27" s="103">
        <f t="shared" ref="R27" si="413">(+Q27-+Q26)*48</f>
        <v>3264</v>
      </c>
      <c r="S27" s="77">
        <v>756417</v>
      </c>
      <c r="T27" s="103">
        <f t="shared" ref="T27" si="414">(+S27-+S26)*48</f>
        <v>3792</v>
      </c>
      <c r="U27" s="77">
        <v>4280</v>
      </c>
      <c r="V27" s="103">
        <f t="shared" ref="V27" si="415">(+U27-+U26)*48</f>
        <v>0</v>
      </c>
      <c r="W27" s="77">
        <v>84338</v>
      </c>
      <c r="X27" s="103">
        <f t="shared" ref="X27" si="416">(+W27-+W26)*48</f>
        <v>144</v>
      </c>
      <c r="Y27" s="77">
        <v>1518181</v>
      </c>
      <c r="Z27" s="103">
        <f t="shared" ref="Z27" si="417">(+Y27-+Y26)*48</f>
        <v>0</v>
      </c>
      <c r="AA27" s="77">
        <v>13886</v>
      </c>
      <c r="AB27" s="103">
        <f t="shared" ref="AB27" si="418">(+AA27-+AA26)*48</f>
        <v>0</v>
      </c>
      <c r="AC27" s="77">
        <v>491675</v>
      </c>
      <c r="AD27" s="103">
        <f t="shared" si="16"/>
        <v>6768</v>
      </c>
      <c r="AE27" s="77">
        <v>562563</v>
      </c>
      <c r="AF27" s="103">
        <f t="shared" si="16"/>
        <v>7488</v>
      </c>
      <c r="AG27" s="77">
        <v>49787</v>
      </c>
      <c r="AH27" s="103">
        <f t="shared" ref="AH27" si="419">(+AG27-+AG26)*48</f>
        <v>0</v>
      </c>
      <c r="AI27" s="77">
        <v>438540</v>
      </c>
      <c r="AJ27" s="103">
        <f t="shared" ref="AJ27" si="420">(+AI27-+AI26)*48</f>
        <v>3624</v>
      </c>
      <c r="AK27" s="77">
        <v>102770</v>
      </c>
      <c r="AL27" s="103">
        <f t="shared" ref="AL27" si="421">(+AK27-+AK26)*48</f>
        <v>0</v>
      </c>
      <c r="AM27" s="77">
        <v>599108</v>
      </c>
      <c r="AN27" s="103">
        <f t="shared" ref="AN27" si="422">(+AM27-+AM26)*48</f>
        <v>6240</v>
      </c>
      <c r="AO27" s="77">
        <v>982822</v>
      </c>
      <c r="AP27" s="103">
        <f t="shared" ref="AP27" si="423">(+AO27-+AO26)*48</f>
        <v>10656</v>
      </c>
      <c r="AQ27" s="77">
        <v>88721</v>
      </c>
      <c r="AR27" s="103">
        <f t="shared" ref="AR27" si="424">(+AQ27-+AQ26)*48</f>
        <v>0</v>
      </c>
      <c r="AS27" s="77">
        <v>2453</v>
      </c>
      <c r="AT27" s="103">
        <f t="shared" ref="AT27" si="425">(+AS27-+AS26)*48</f>
        <v>0</v>
      </c>
      <c r="AU27" s="77">
        <v>939</v>
      </c>
      <c r="AV27" s="103">
        <f t="shared" ref="AV27" si="426">(+AU27-+AU26)*48</f>
        <v>0</v>
      </c>
      <c r="AW27" s="77">
        <v>3110</v>
      </c>
      <c r="AX27" s="103">
        <f t="shared" ref="AX27" si="427">(+AW27-+AW26)*48</f>
        <v>0</v>
      </c>
      <c r="AY27" s="77">
        <v>341241</v>
      </c>
      <c r="AZ27" s="103">
        <f t="shared" ref="AZ27" si="428">(+AY27-+AY26)*48</f>
        <v>5088</v>
      </c>
      <c r="BA27" s="77">
        <v>161101</v>
      </c>
      <c r="BB27" s="103">
        <f>(+BA27-+BA26)*48</f>
        <v>0</v>
      </c>
      <c r="BC27" s="77">
        <v>230746</v>
      </c>
      <c r="BD27" s="103">
        <f t="shared" ref="BD27" si="429">(+BC27-+BC26)*48</f>
        <v>3072</v>
      </c>
      <c r="BE27" s="77">
        <v>5348</v>
      </c>
      <c r="BF27" s="103">
        <f t="shared" ref="BF27" si="430">(+BE27-+BE26)*48</f>
        <v>0</v>
      </c>
      <c r="BH27" s="105">
        <f t="shared" si="1"/>
        <v>85944</v>
      </c>
      <c r="BI27" s="105">
        <f t="shared" si="2"/>
        <v>56352</v>
      </c>
    </row>
    <row r="28" spans="1:61" s="35" customFormat="1" ht="39.950000000000003" customHeight="1">
      <c r="A28" s="193">
        <f t="shared" si="30"/>
        <v>44640</v>
      </c>
      <c r="B28" s="34"/>
      <c r="C28" s="77">
        <v>6776621</v>
      </c>
      <c r="D28" s="103">
        <f t="shared" ref="D28" si="431">(+C28-+C27)*48</f>
        <v>85056</v>
      </c>
      <c r="E28" s="104">
        <f t="shared" si="4"/>
        <v>51033.599999999999</v>
      </c>
      <c r="F28" s="103">
        <f t="shared" si="5"/>
        <v>34022.400000000001</v>
      </c>
      <c r="G28" s="77">
        <v>293133</v>
      </c>
      <c r="H28" s="103">
        <f t="shared" ref="H28" si="432">(+G28-+G27)*48</f>
        <v>1056</v>
      </c>
      <c r="I28" s="77">
        <v>176035</v>
      </c>
      <c r="J28" s="103">
        <f t="shared" ref="J28" si="433">(+I28-+I27)*48</f>
        <v>7968</v>
      </c>
      <c r="K28" s="77">
        <v>268369</v>
      </c>
      <c r="L28" s="103">
        <f t="shared" si="0"/>
        <v>336</v>
      </c>
      <c r="M28" s="77">
        <v>25315</v>
      </c>
      <c r="N28" s="37">
        <f t="shared" ref="N28" si="434">(+M28-+M27)*48</f>
        <v>0</v>
      </c>
      <c r="O28" s="77">
        <v>319649</v>
      </c>
      <c r="P28" s="103">
        <f t="shared" ref="P28" si="435">(+O28-+O27)*48</f>
        <v>7296</v>
      </c>
      <c r="Q28" s="77">
        <v>472413</v>
      </c>
      <c r="R28" s="103">
        <f t="shared" ref="R28" si="436">(+Q28-+Q27)*48</f>
        <v>2208</v>
      </c>
      <c r="S28" s="77">
        <v>756498</v>
      </c>
      <c r="T28" s="103">
        <f t="shared" ref="T28" si="437">(+S28-+S27)*48</f>
        <v>3888</v>
      </c>
      <c r="U28" s="77">
        <v>4280</v>
      </c>
      <c r="V28" s="103">
        <f t="shared" ref="V28" si="438">(+U28-+U27)*48</f>
        <v>0</v>
      </c>
      <c r="W28" s="77">
        <v>84340</v>
      </c>
      <c r="X28" s="103">
        <f t="shared" ref="X28" si="439">(+W28-+W27)*48</f>
        <v>96</v>
      </c>
      <c r="Y28" s="77">
        <v>1518181</v>
      </c>
      <c r="Z28" s="103">
        <f t="shared" ref="Z28" si="440">(+Y28-+Y27)*48</f>
        <v>0</v>
      </c>
      <c r="AA28" s="77">
        <v>13886</v>
      </c>
      <c r="AB28" s="103">
        <f t="shared" ref="AB28" si="441">(+AA28-+AA27)*48</f>
        <v>0</v>
      </c>
      <c r="AC28" s="77">
        <v>491820</v>
      </c>
      <c r="AD28" s="103">
        <f t="shared" si="16"/>
        <v>6960</v>
      </c>
      <c r="AE28" s="77">
        <v>562721</v>
      </c>
      <c r="AF28" s="103">
        <f t="shared" si="16"/>
        <v>7584</v>
      </c>
      <c r="AG28" s="77">
        <v>49787</v>
      </c>
      <c r="AH28" s="103">
        <f t="shared" ref="AH28" si="442">(+AG28-+AG27)*48</f>
        <v>0</v>
      </c>
      <c r="AI28" s="77">
        <v>438625</v>
      </c>
      <c r="AJ28" s="103">
        <f t="shared" ref="AJ28" si="443">(+AI28-+AI27)*48</f>
        <v>4080</v>
      </c>
      <c r="AK28" s="77">
        <v>102770</v>
      </c>
      <c r="AL28" s="103">
        <f t="shared" ref="AL28" si="444">(+AK28-+AK27)*48</f>
        <v>0</v>
      </c>
      <c r="AM28" s="77">
        <v>599244</v>
      </c>
      <c r="AN28" s="103">
        <f t="shared" ref="AN28" si="445">(+AM28-+AM27)*48</f>
        <v>6528</v>
      </c>
      <c r="AO28" s="77">
        <v>983049</v>
      </c>
      <c r="AP28" s="103">
        <f t="shared" ref="AP28" si="446">(+AO28-+AO27)*48</f>
        <v>10896</v>
      </c>
      <c r="AQ28" s="77">
        <v>88721</v>
      </c>
      <c r="AR28" s="103">
        <f t="shared" ref="AR28" si="447">(+AQ28-+AQ27)*48</f>
        <v>0</v>
      </c>
      <c r="AS28" s="77">
        <v>2453</v>
      </c>
      <c r="AT28" s="103">
        <f t="shared" ref="AT28" si="448">(+AS28-+AS27)*48</f>
        <v>0</v>
      </c>
      <c r="AU28" s="77">
        <v>939</v>
      </c>
      <c r="AV28" s="103">
        <f t="shared" ref="AV28" si="449">(+AU28-+AU27)*48</f>
        <v>0</v>
      </c>
      <c r="AW28" s="77">
        <v>3110</v>
      </c>
      <c r="AX28" s="103">
        <f t="shared" ref="AX28" si="450">(+AW28-+AW27)*48</f>
        <v>0</v>
      </c>
      <c r="AY28" s="77">
        <v>341346</v>
      </c>
      <c r="AZ28" s="103">
        <f t="shared" ref="AZ28" si="451">(+AY28-+AY27)*48</f>
        <v>5040</v>
      </c>
      <c r="BA28" s="77">
        <v>161101</v>
      </c>
      <c r="BB28" s="103">
        <f t="shared" ref="BB28" si="452">(+BA28-+BA27)*48</f>
        <v>0</v>
      </c>
      <c r="BC28" s="77">
        <v>230815</v>
      </c>
      <c r="BD28" s="103">
        <f t="shared" ref="BD28" si="453">(+BC28-+BC27)*48</f>
        <v>3312</v>
      </c>
      <c r="BE28" s="77">
        <v>5348</v>
      </c>
      <c r="BF28" s="103">
        <f t="shared" ref="BF28" si="454">(+BE28-+BE27)*48</f>
        <v>0</v>
      </c>
      <c r="BH28" s="105">
        <f t="shared" si="1"/>
        <v>92505.600000000006</v>
      </c>
      <c r="BI28" s="105">
        <f t="shared" si="2"/>
        <v>59798.400000000001</v>
      </c>
    </row>
    <row r="29" spans="1:61" s="35" customFormat="1" ht="39.950000000000003" customHeight="1">
      <c r="A29" s="193">
        <f t="shared" si="30"/>
        <v>44641</v>
      </c>
      <c r="B29" s="34"/>
      <c r="C29" s="77">
        <v>6778333</v>
      </c>
      <c r="D29" s="103">
        <f t="shared" ref="D29" si="455">(+C29-+C28)*48</f>
        <v>82176</v>
      </c>
      <c r="E29" s="104">
        <f t="shared" si="4"/>
        <v>49305.599999999999</v>
      </c>
      <c r="F29" s="103">
        <f t="shared" si="5"/>
        <v>32870.400000000001</v>
      </c>
      <c r="G29" s="77">
        <v>293149</v>
      </c>
      <c r="H29" s="103">
        <f t="shared" ref="H29" si="456">(+G29-+G28)*48</f>
        <v>768</v>
      </c>
      <c r="I29" s="77">
        <v>176204</v>
      </c>
      <c r="J29" s="103">
        <f t="shared" ref="J29" si="457">(+I29-+I28)*48</f>
        <v>8112</v>
      </c>
      <c r="K29" s="77">
        <v>268373</v>
      </c>
      <c r="L29" s="103">
        <f t="shared" si="0"/>
        <v>192</v>
      </c>
      <c r="M29" s="77">
        <v>25315</v>
      </c>
      <c r="N29" s="37">
        <f t="shared" ref="N29" si="458">(+M29-+M28)*48</f>
        <v>0</v>
      </c>
      <c r="O29" s="77">
        <v>319786</v>
      </c>
      <c r="P29" s="103">
        <f t="shared" ref="P29" si="459">(+O29-+O28)*48</f>
        <v>6576</v>
      </c>
      <c r="Q29" s="77">
        <v>472464</v>
      </c>
      <c r="R29" s="103">
        <f t="shared" ref="R29" si="460">(+Q29-+Q28)*48</f>
        <v>2448</v>
      </c>
      <c r="S29" s="77">
        <v>756578</v>
      </c>
      <c r="T29" s="103">
        <f t="shared" ref="T29" si="461">(+S29-+S28)*48</f>
        <v>3840</v>
      </c>
      <c r="U29" s="77">
        <v>4280</v>
      </c>
      <c r="V29" s="103">
        <f t="shared" ref="V29" si="462">(+U29-+U28)*48</f>
        <v>0</v>
      </c>
      <c r="W29" s="77">
        <v>84343</v>
      </c>
      <c r="X29" s="103">
        <f t="shared" ref="X29" si="463">(+W29-+W28)*48</f>
        <v>144</v>
      </c>
      <c r="Y29" s="77">
        <v>1518181</v>
      </c>
      <c r="Z29" s="103">
        <f t="shared" ref="Z29" si="464">(+Y29-+Y28)*48</f>
        <v>0</v>
      </c>
      <c r="AA29" s="77">
        <v>13886</v>
      </c>
      <c r="AB29" s="103">
        <f t="shared" ref="AB29" si="465">(+AA29-+AA28)*48</f>
        <v>0</v>
      </c>
      <c r="AC29" s="77">
        <v>491975</v>
      </c>
      <c r="AD29" s="103">
        <f t="shared" si="16"/>
        <v>7440</v>
      </c>
      <c r="AE29" s="77">
        <v>562880</v>
      </c>
      <c r="AF29" s="103">
        <f t="shared" si="16"/>
        <v>7632</v>
      </c>
      <c r="AG29" s="77">
        <v>49787</v>
      </c>
      <c r="AH29" s="103">
        <f t="shared" ref="AH29" si="466">(+AG29-+AG28)*48</f>
        <v>0</v>
      </c>
      <c r="AI29" s="77">
        <v>438685</v>
      </c>
      <c r="AJ29" s="103">
        <f t="shared" ref="AJ29" si="467">(+AI29-+AI28)*48</f>
        <v>2880</v>
      </c>
      <c r="AK29" s="77">
        <v>102770</v>
      </c>
      <c r="AL29" s="103">
        <f t="shared" ref="AL29" si="468">(+AK29-+AK28)*48</f>
        <v>0</v>
      </c>
      <c r="AM29" s="77">
        <v>599396</v>
      </c>
      <c r="AN29" s="103">
        <f t="shared" ref="AN29" si="469">(+AM29-+AM28)*48</f>
        <v>7296</v>
      </c>
      <c r="AO29" s="77">
        <v>983290</v>
      </c>
      <c r="AP29" s="103">
        <f t="shared" ref="AP29" si="470">(+AO29-+AO28)*48</f>
        <v>11568</v>
      </c>
      <c r="AQ29" s="77">
        <v>88721</v>
      </c>
      <c r="AR29" s="103">
        <f t="shared" ref="AR29" si="471">(+AQ29-+AQ28)*48</f>
        <v>0</v>
      </c>
      <c r="AS29" s="77">
        <v>2453</v>
      </c>
      <c r="AT29" s="103">
        <f t="shared" ref="AT29" si="472">(+AS29-+AS28)*48</f>
        <v>0</v>
      </c>
      <c r="AU29" s="77">
        <v>939</v>
      </c>
      <c r="AV29" s="103">
        <f t="shared" ref="AV29" si="473">(+AU29-+AU28)*48</f>
        <v>0</v>
      </c>
      <c r="AW29" s="77">
        <v>3110</v>
      </c>
      <c r="AX29" s="103">
        <f t="shared" ref="AX29" si="474">(+AW29-+AW28)*48</f>
        <v>0</v>
      </c>
      <c r="AY29" s="77">
        <v>341454</v>
      </c>
      <c r="AZ29" s="103">
        <f t="shared" ref="AZ29" si="475">(+AY29-+AY28)*48</f>
        <v>5184</v>
      </c>
      <c r="BA29" s="77">
        <v>161101</v>
      </c>
      <c r="BB29" s="103">
        <f t="shared" ref="BB29" si="476">(+BA29-+BA28)*48</f>
        <v>0</v>
      </c>
      <c r="BC29" s="77">
        <v>230883</v>
      </c>
      <c r="BD29" s="103">
        <f t="shared" ref="BD29" si="477">(+BC29-+BC28)*48</f>
        <v>3264</v>
      </c>
      <c r="BE29" s="77">
        <v>5348</v>
      </c>
      <c r="BF29" s="103">
        <f t="shared" ref="BF29" si="478">(+BE29-+BE28)*48</f>
        <v>0</v>
      </c>
      <c r="BH29" s="105">
        <f t="shared" si="1"/>
        <v>89337.600000000006</v>
      </c>
      <c r="BI29" s="105">
        <f t="shared" si="2"/>
        <v>60182.400000000001</v>
      </c>
    </row>
    <row r="30" spans="1:61" s="35" customFormat="1" ht="39.950000000000003" customHeight="1">
      <c r="A30" s="193">
        <f t="shared" si="30"/>
        <v>44642</v>
      </c>
      <c r="B30" s="34"/>
      <c r="C30" s="77">
        <v>6780192</v>
      </c>
      <c r="D30" s="103">
        <f t="shared" ref="D30:D34" si="479">(+C30-+C29)*48</f>
        <v>89232</v>
      </c>
      <c r="E30" s="104">
        <f t="shared" ref="E30:E33" si="480">D30*0.6</f>
        <v>53539.199999999997</v>
      </c>
      <c r="F30" s="103">
        <f t="shared" ref="F30:F33" si="481">D30*0.4</f>
        <v>35692.800000000003</v>
      </c>
      <c r="G30" s="77">
        <v>293170</v>
      </c>
      <c r="H30" s="103">
        <f t="shared" ref="H30:H34" si="482">(+G30-+G29)*48</f>
        <v>1008</v>
      </c>
      <c r="I30" s="77">
        <v>176363</v>
      </c>
      <c r="J30" s="103">
        <f t="shared" ref="J30:J34" si="483">(+I30-+I29)*48</f>
        <v>7632</v>
      </c>
      <c r="K30" s="77">
        <v>268373</v>
      </c>
      <c r="L30" s="103">
        <f t="shared" ref="L30:L33" si="484">(+K30-+K29)*48</f>
        <v>0</v>
      </c>
      <c r="M30" s="77">
        <v>25315</v>
      </c>
      <c r="N30" s="37">
        <f t="shared" ref="N30:N34" si="485">(+M30-+M29)*48</f>
        <v>0</v>
      </c>
      <c r="O30" s="77">
        <v>319913</v>
      </c>
      <c r="P30" s="103">
        <f t="shared" ref="P30:P34" si="486">(+O30-+O29)*48</f>
        <v>6096</v>
      </c>
      <c r="Q30" s="77">
        <v>472479</v>
      </c>
      <c r="R30" s="103">
        <f t="shared" ref="R30:R34" si="487">(+Q30-+Q29)*48</f>
        <v>720</v>
      </c>
      <c r="S30" s="77">
        <v>756685</v>
      </c>
      <c r="T30" s="103">
        <f t="shared" ref="T30:T34" si="488">(+S30-+S29)*48</f>
        <v>5136</v>
      </c>
      <c r="U30" s="77">
        <v>4280</v>
      </c>
      <c r="V30" s="103">
        <f t="shared" ref="V30:V34" si="489">(+U30-+U29)*48</f>
        <v>0</v>
      </c>
      <c r="W30" s="77">
        <v>84343</v>
      </c>
      <c r="X30" s="103">
        <f t="shared" ref="X30:X34" si="490">(+W30-+W29)*48</f>
        <v>0</v>
      </c>
      <c r="Y30" s="77">
        <v>1518181</v>
      </c>
      <c r="Z30" s="103">
        <f t="shared" ref="Z30:Z34" si="491">(+Y30-+Y29)*48</f>
        <v>0</v>
      </c>
      <c r="AA30" s="77">
        <v>13886</v>
      </c>
      <c r="AB30" s="103">
        <f t="shared" ref="AB30:AB34" si="492">(+AA30-+AA29)*48</f>
        <v>0</v>
      </c>
      <c r="AC30" s="77">
        <v>492122</v>
      </c>
      <c r="AD30" s="103">
        <f t="shared" ref="AD30:AD33" si="493">(+AC30-+AC29)*48</f>
        <v>7056</v>
      </c>
      <c r="AE30" s="77">
        <v>563040</v>
      </c>
      <c r="AF30" s="103">
        <f t="shared" ref="AF30:AF33" si="494">(+AE30-+AE29)*48</f>
        <v>7680</v>
      </c>
      <c r="AG30" s="77">
        <v>49787</v>
      </c>
      <c r="AH30" s="103">
        <f t="shared" ref="AH30:AH34" si="495">(+AG30-+AG29)*48</f>
        <v>0</v>
      </c>
      <c r="AI30" s="77">
        <v>438685</v>
      </c>
      <c r="AJ30" s="103">
        <f t="shared" ref="AJ30:AJ34" si="496">(+AI30-+AI29)*48</f>
        <v>0</v>
      </c>
      <c r="AK30" s="77">
        <v>102770</v>
      </c>
      <c r="AL30" s="103">
        <f t="shared" ref="AL30:AL34" si="497">(+AK30-+AK29)*48</f>
        <v>0</v>
      </c>
      <c r="AM30" s="77">
        <v>599536</v>
      </c>
      <c r="AN30" s="103">
        <f t="shared" ref="AN30:AN34" si="498">(+AM30-+AM29)*48</f>
        <v>6720</v>
      </c>
      <c r="AO30" s="77">
        <v>983530</v>
      </c>
      <c r="AP30" s="103">
        <f t="shared" ref="AP30:AP34" si="499">(+AO30-+AO29)*48</f>
        <v>11520</v>
      </c>
      <c r="AQ30" s="77">
        <v>88721</v>
      </c>
      <c r="AR30" s="103">
        <f t="shared" ref="AR30:AR34" si="500">(+AQ30-+AQ29)*48</f>
        <v>0</v>
      </c>
      <c r="AS30" s="77">
        <v>2453</v>
      </c>
      <c r="AT30" s="103">
        <f t="shared" ref="AT30:AT33" si="501">(+AS30-+AS29)*48</f>
        <v>0</v>
      </c>
      <c r="AU30" s="77">
        <v>939</v>
      </c>
      <c r="AV30" s="103">
        <f t="shared" ref="AV30:AV34" si="502">(+AU30-+AU29)*48</f>
        <v>0</v>
      </c>
      <c r="AW30" s="77">
        <v>3110</v>
      </c>
      <c r="AX30" s="103">
        <f t="shared" ref="AX30:AX32" si="503">(+AW30-+AW29)*48</f>
        <v>0</v>
      </c>
      <c r="AY30" s="77">
        <v>341566</v>
      </c>
      <c r="AZ30" s="103">
        <f t="shared" ref="AZ30:AZ34" si="504">(+AY30-+AY29)*48</f>
        <v>5376</v>
      </c>
      <c r="BA30" s="77">
        <v>161101</v>
      </c>
      <c r="BB30" s="103">
        <f t="shared" ref="BB30:BB34" si="505">(+BA30-+BA29)*48</f>
        <v>0</v>
      </c>
      <c r="BC30" s="77">
        <v>230956</v>
      </c>
      <c r="BD30" s="103">
        <f t="shared" ref="BD30:BD34" si="506">(+BC30-+BC29)*48</f>
        <v>3504</v>
      </c>
      <c r="BE30" s="77">
        <v>5348</v>
      </c>
      <c r="BF30" s="103">
        <f t="shared" ref="BF30:BF34" si="507">(+BE30-+BE29)*48</f>
        <v>0</v>
      </c>
      <c r="BH30" s="105">
        <f t="shared" si="1"/>
        <v>88867.199999999997</v>
      </c>
      <c r="BI30" s="105">
        <f t="shared" si="2"/>
        <v>62812.800000000003</v>
      </c>
    </row>
    <row r="31" spans="1:61" s="35" customFormat="1" ht="39.950000000000003" customHeight="1">
      <c r="A31" s="193">
        <f t="shared" si="30"/>
        <v>44643</v>
      </c>
      <c r="B31" s="34"/>
      <c r="C31" s="77">
        <v>6781929</v>
      </c>
      <c r="D31" s="103">
        <f t="shared" si="479"/>
        <v>83376</v>
      </c>
      <c r="E31" s="104">
        <f t="shared" si="480"/>
        <v>50025.599999999999</v>
      </c>
      <c r="F31" s="103">
        <f t="shared" si="481"/>
        <v>33350.400000000001</v>
      </c>
      <c r="G31" s="77">
        <v>293195</v>
      </c>
      <c r="H31" s="103">
        <f t="shared" si="482"/>
        <v>1200</v>
      </c>
      <c r="I31" s="77">
        <v>176525</v>
      </c>
      <c r="J31" s="103">
        <f t="shared" si="483"/>
        <v>7776</v>
      </c>
      <c r="K31" s="77">
        <v>268373</v>
      </c>
      <c r="L31" s="103">
        <f t="shared" si="484"/>
        <v>0</v>
      </c>
      <c r="M31" s="77">
        <v>25315</v>
      </c>
      <c r="N31" s="37">
        <f t="shared" si="485"/>
        <v>0</v>
      </c>
      <c r="O31" s="77">
        <v>320046</v>
      </c>
      <c r="P31" s="103">
        <f t="shared" si="486"/>
        <v>6384</v>
      </c>
      <c r="Q31" s="77">
        <v>472512</v>
      </c>
      <c r="R31" s="103">
        <f t="shared" si="487"/>
        <v>1584</v>
      </c>
      <c r="S31" s="77">
        <v>756808</v>
      </c>
      <c r="T31" s="103">
        <f t="shared" si="488"/>
        <v>5904</v>
      </c>
      <c r="U31" s="77">
        <v>4280</v>
      </c>
      <c r="V31" s="103">
        <f t="shared" si="489"/>
        <v>0</v>
      </c>
      <c r="W31" s="77">
        <v>84346</v>
      </c>
      <c r="X31" s="103">
        <f t="shared" si="490"/>
        <v>144</v>
      </c>
      <c r="Y31" s="77">
        <v>1518181</v>
      </c>
      <c r="Z31" s="103">
        <f t="shared" si="491"/>
        <v>0</v>
      </c>
      <c r="AA31" s="77">
        <v>13886</v>
      </c>
      <c r="AB31" s="103">
        <f t="shared" si="492"/>
        <v>0</v>
      </c>
      <c r="AC31" s="77">
        <v>492270</v>
      </c>
      <c r="AD31" s="103">
        <f t="shared" si="493"/>
        <v>7104</v>
      </c>
      <c r="AE31" s="77">
        <v>563196</v>
      </c>
      <c r="AF31" s="103">
        <f t="shared" si="494"/>
        <v>7488</v>
      </c>
      <c r="AG31" s="77">
        <v>49787</v>
      </c>
      <c r="AH31" s="103">
        <f t="shared" si="495"/>
        <v>0</v>
      </c>
      <c r="AI31" s="77">
        <v>438729</v>
      </c>
      <c r="AJ31" s="103">
        <f t="shared" si="496"/>
        <v>2112</v>
      </c>
      <c r="AK31" s="77">
        <v>102770</v>
      </c>
      <c r="AL31" s="103">
        <f t="shared" si="497"/>
        <v>0</v>
      </c>
      <c r="AM31" s="77">
        <v>599669</v>
      </c>
      <c r="AN31" s="103">
        <f t="shared" si="498"/>
        <v>6384</v>
      </c>
      <c r="AO31" s="77">
        <v>983756</v>
      </c>
      <c r="AP31" s="103">
        <f t="shared" si="499"/>
        <v>10848</v>
      </c>
      <c r="AQ31" s="77">
        <v>88721</v>
      </c>
      <c r="AR31" s="103">
        <f t="shared" si="500"/>
        <v>0</v>
      </c>
      <c r="AS31" s="77">
        <v>2453</v>
      </c>
      <c r="AT31" s="103">
        <f t="shared" si="501"/>
        <v>0</v>
      </c>
      <c r="AU31" s="77">
        <v>939</v>
      </c>
      <c r="AV31" s="103">
        <f t="shared" si="502"/>
        <v>0</v>
      </c>
      <c r="AW31" s="77">
        <v>3110</v>
      </c>
      <c r="AX31" s="103">
        <f t="shared" si="503"/>
        <v>0</v>
      </c>
      <c r="AY31" s="77">
        <v>341677</v>
      </c>
      <c r="AZ31" s="103">
        <f t="shared" si="504"/>
        <v>5328</v>
      </c>
      <c r="BA31" s="77">
        <v>161101</v>
      </c>
      <c r="BB31" s="103">
        <f t="shared" si="505"/>
        <v>0</v>
      </c>
      <c r="BC31" s="77">
        <v>231028</v>
      </c>
      <c r="BD31" s="103">
        <f t="shared" si="506"/>
        <v>3456</v>
      </c>
      <c r="BE31" s="77">
        <v>5348</v>
      </c>
      <c r="BF31" s="103">
        <f t="shared" si="507"/>
        <v>0</v>
      </c>
      <c r="BH31" s="105">
        <f t="shared" si="1"/>
        <v>89721.600000000006</v>
      </c>
      <c r="BI31" s="105">
        <f t="shared" si="2"/>
        <v>59366.400000000001</v>
      </c>
    </row>
    <row r="32" spans="1:61" s="35" customFormat="1" ht="39.950000000000003" customHeight="1">
      <c r="A32" s="193">
        <f t="shared" si="30"/>
        <v>44644</v>
      </c>
      <c r="B32" s="34"/>
      <c r="C32" s="77">
        <v>6783635</v>
      </c>
      <c r="D32" s="103">
        <f t="shared" si="479"/>
        <v>81888</v>
      </c>
      <c r="E32" s="104">
        <f t="shared" si="480"/>
        <v>49132.799999999996</v>
      </c>
      <c r="F32" s="103">
        <f t="shared" si="481"/>
        <v>32755.200000000001</v>
      </c>
      <c r="G32" s="77">
        <v>293219</v>
      </c>
      <c r="H32" s="37">
        <f t="shared" si="482"/>
        <v>1152</v>
      </c>
      <c r="I32" s="77">
        <v>176677</v>
      </c>
      <c r="J32" s="37">
        <f t="shared" si="483"/>
        <v>7296</v>
      </c>
      <c r="K32" s="77">
        <v>268373</v>
      </c>
      <c r="L32" s="37">
        <f t="shared" si="484"/>
        <v>0</v>
      </c>
      <c r="M32" s="77">
        <v>25315</v>
      </c>
      <c r="N32" s="37">
        <f t="shared" si="485"/>
        <v>0</v>
      </c>
      <c r="O32" s="77">
        <v>320046</v>
      </c>
      <c r="P32" s="37">
        <f t="shared" si="486"/>
        <v>0</v>
      </c>
      <c r="Q32" s="77">
        <v>472512</v>
      </c>
      <c r="R32" s="103">
        <f t="shared" si="487"/>
        <v>0</v>
      </c>
      <c r="S32" s="77">
        <v>756915</v>
      </c>
      <c r="T32" s="103">
        <f t="shared" si="488"/>
        <v>5136</v>
      </c>
      <c r="U32" s="77">
        <v>4280</v>
      </c>
      <c r="V32" s="103">
        <f t="shared" si="489"/>
        <v>0</v>
      </c>
      <c r="W32" s="77">
        <v>84348</v>
      </c>
      <c r="X32" s="103">
        <f t="shared" si="490"/>
        <v>96</v>
      </c>
      <c r="Y32" s="77">
        <v>1518181</v>
      </c>
      <c r="Z32" s="103">
        <f t="shared" si="491"/>
        <v>0</v>
      </c>
      <c r="AA32" s="77">
        <v>13886</v>
      </c>
      <c r="AB32" s="103">
        <f t="shared" si="492"/>
        <v>0</v>
      </c>
      <c r="AC32" s="77">
        <v>492449</v>
      </c>
      <c r="AD32" s="103">
        <f t="shared" si="493"/>
        <v>8592</v>
      </c>
      <c r="AE32" s="77">
        <v>563367</v>
      </c>
      <c r="AF32" s="103">
        <f t="shared" si="494"/>
        <v>8208</v>
      </c>
      <c r="AG32" s="77">
        <v>49787</v>
      </c>
      <c r="AH32" s="103">
        <f t="shared" si="495"/>
        <v>0</v>
      </c>
      <c r="AI32" s="77">
        <v>438802</v>
      </c>
      <c r="AJ32" s="103">
        <f t="shared" si="496"/>
        <v>3504</v>
      </c>
      <c r="AK32" s="77">
        <v>102770</v>
      </c>
      <c r="AL32" s="103">
        <f t="shared" si="497"/>
        <v>0</v>
      </c>
      <c r="AM32" s="77">
        <v>599819</v>
      </c>
      <c r="AN32" s="103">
        <f t="shared" si="498"/>
        <v>7200</v>
      </c>
      <c r="AO32" s="77">
        <v>983959</v>
      </c>
      <c r="AP32" s="103">
        <f t="shared" si="499"/>
        <v>9744</v>
      </c>
      <c r="AQ32" s="77">
        <v>88721</v>
      </c>
      <c r="AR32" s="103">
        <f t="shared" si="500"/>
        <v>0</v>
      </c>
      <c r="AS32" s="77">
        <v>2453</v>
      </c>
      <c r="AT32" s="103">
        <f t="shared" si="501"/>
        <v>0</v>
      </c>
      <c r="AU32" s="77">
        <v>939</v>
      </c>
      <c r="AV32" s="103">
        <f t="shared" si="502"/>
        <v>0</v>
      </c>
      <c r="AW32" s="77">
        <v>3110</v>
      </c>
      <c r="AX32" s="103">
        <f t="shared" si="503"/>
        <v>0</v>
      </c>
      <c r="AY32" s="77">
        <v>341788</v>
      </c>
      <c r="AZ32" s="103">
        <f t="shared" si="504"/>
        <v>5328</v>
      </c>
      <c r="BA32" s="77">
        <v>161101</v>
      </c>
      <c r="BB32" s="103">
        <f t="shared" si="505"/>
        <v>0</v>
      </c>
      <c r="BC32" s="77">
        <v>231104</v>
      </c>
      <c r="BD32" s="103">
        <f t="shared" si="506"/>
        <v>3648</v>
      </c>
      <c r="BE32" s="77">
        <v>5348</v>
      </c>
      <c r="BF32" s="103">
        <f t="shared" si="507"/>
        <v>0</v>
      </c>
      <c r="BH32" s="105">
        <f t="shared" si="1"/>
        <v>83116.799999999988</v>
      </c>
      <c r="BI32" s="105">
        <f t="shared" si="2"/>
        <v>58675.199999999997</v>
      </c>
    </row>
    <row r="33" spans="1:61" s="35" customFormat="1" ht="39.950000000000003" customHeight="1">
      <c r="A33" s="193">
        <f t="shared" si="30"/>
        <v>44645</v>
      </c>
      <c r="B33" s="34"/>
      <c r="C33" s="77">
        <v>6785349</v>
      </c>
      <c r="D33" s="103">
        <f t="shared" si="479"/>
        <v>82272</v>
      </c>
      <c r="E33" s="104">
        <f t="shared" si="480"/>
        <v>49363.199999999997</v>
      </c>
      <c r="F33" s="103">
        <f t="shared" si="481"/>
        <v>32908.800000000003</v>
      </c>
      <c r="G33" s="77">
        <v>293235</v>
      </c>
      <c r="H33" s="37">
        <f t="shared" si="482"/>
        <v>768</v>
      </c>
      <c r="I33" s="77">
        <v>176834</v>
      </c>
      <c r="J33" s="37">
        <f t="shared" si="483"/>
        <v>7536</v>
      </c>
      <c r="K33" s="77">
        <v>268373</v>
      </c>
      <c r="L33" s="37">
        <f t="shared" si="484"/>
        <v>0</v>
      </c>
      <c r="M33" s="77">
        <v>25315</v>
      </c>
      <c r="N33" s="37">
        <f t="shared" si="485"/>
        <v>0</v>
      </c>
      <c r="O33" s="77">
        <v>320290</v>
      </c>
      <c r="P33" s="37">
        <f t="shared" si="486"/>
        <v>11712</v>
      </c>
      <c r="Q33" s="77">
        <v>472551</v>
      </c>
      <c r="R33" s="103">
        <f t="shared" si="487"/>
        <v>1872</v>
      </c>
      <c r="S33" s="77">
        <v>757023</v>
      </c>
      <c r="T33" s="103">
        <f t="shared" si="488"/>
        <v>5184</v>
      </c>
      <c r="U33" s="82">
        <v>4280.7939999999999</v>
      </c>
      <c r="V33" s="103">
        <f t="shared" si="489"/>
        <v>38.111999999993714</v>
      </c>
      <c r="W33" s="77">
        <v>84352</v>
      </c>
      <c r="X33" s="103">
        <f t="shared" si="490"/>
        <v>192</v>
      </c>
      <c r="Y33" s="77">
        <v>1518181</v>
      </c>
      <c r="Z33" s="103">
        <f t="shared" si="491"/>
        <v>0</v>
      </c>
      <c r="AA33" s="77">
        <v>13886</v>
      </c>
      <c r="AB33" s="103">
        <f t="shared" si="492"/>
        <v>0</v>
      </c>
      <c r="AC33" s="77">
        <v>492627</v>
      </c>
      <c r="AD33" s="103">
        <f t="shared" si="493"/>
        <v>8544</v>
      </c>
      <c r="AE33" s="77">
        <v>563546</v>
      </c>
      <c r="AF33" s="103">
        <f t="shared" si="494"/>
        <v>8592</v>
      </c>
      <c r="AG33" s="77">
        <v>49787</v>
      </c>
      <c r="AH33" s="103">
        <f t="shared" si="495"/>
        <v>0</v>
      </c>
      <c r="AI33" s="77">
        <v>438889</v>
      </c>
      <c r="AJ33" s="103">
        <f t="shared" si="496"/>
        <v>4176</v>
      </c>
      <c r="AK33" s="77">
        <v>102770</v>
      </c>
      <c r="AL33" s="103">
        <f t="shared" si="497"/>
        <v>0</v>
      </c>
      <c r="AM33" s="77">
        <v>599976</v>
      </c>
      <c r="AN33" s="103">
        <f t="shared" si="498"/>
        <v>7536</v>
      </c>
      <c r="AO33" s="77">
        <v>984184</v>
      </c>
      <c r="AP33" s="103">
        <f t="shared" si="499"/>
        <v>10800</v>
      </c>
      <c r="AQ33" s="77">
        <v>88721</v>
      </c>
      <c r="AR33" s="103">
        <f t="shared" si="500"/>
        <v>0</v>
      </c>
      <c r="AS33" s="77">
        <v>2453</v>
      </c>
      <c r="AT33" s="103">
        <f t="shared" si="501"/>
        <v>0</v>
      </c>
      <c r="AU33" s="77">
        <v>939</v>
      </c>
      <c r="AV33" s="103">
        <f t="shared" si="502"/>
        <v>0</v>
      </c>
      <c r="AW33" s="77">
        <v>3110</v>
      </c>
      <c r="AX33" s="103">
        <f>(+AW34-+AW32)*48</f>
        <v>0</v>
      </c>
      <c r="AY33" s="77">
        <v>341899</v>
      </c>
      <c r="AZ33" s="103">
        <f t="shared" si="504"/>
        <v>5328</v>
      </c>
      <c r="BA33" s="77">
        <v>161101</v>
      </c>
      <c r="BB33" s="103">
        <f t="shared" si="505"/>
        <v>0</v>
      </c>
      <c r="BC33" s="77">
        <v>231176</v>
      </c>
      <c r="BD33" s="103">
        <f t="shared" si="506"/>
        <v>3456</v>
      </c>
      <c r="BE33" s="77">
        <v>5349</v>
      </c>
      <c r="BF33" s="103">
        <f t="shared" si="507"/>
        <v>48</v>
      </c>
      <c r="BH33" s="105">
        <f t="shared" si="1"/>
        <v>97977.311999999991</v>
      </c>
      <c r="BI33" s="105">
        <f t="shared" si="2"/>
        <v>60076.800000000003</v>
      </c>
    </row>
    <row r="34" spans="1:61" s="35" customFormat="1" ht="39.950000000000003" customHeight="1">
      <c r="A34" s="193">
        <f t="shared" si="30"/>
        <v>44646</v>
      </c>
      <c r="B34" s="34"/>
      <c r="C34" s="77">
        <v>6787260</v>
      </c>
      <c r="D34" s="103">
        <f t="shared" si="479"/>
        <v>91728</v>
      </c>
      <c r="E34" s="104">
        <f t="shared" si="4"/>
        <v>55036.799999999996</v>
      </c>
      <c r="F34" s="103">
        <f t="shared" si="5"/>
        <v>36691.200000000004</v>
      </c>
      <c r="G34" s="77">
        <v>293257</v>
      </c>
      <c r="H34" s="103">
        <f t="shared" si="482"/>
        <v>1056</v>
      </c>
      <c r="I34" s="77">
        <v>176999</v>
      </c>
      <c r="J34" s="37">
        <f t="shared" si="483"/>
        <v>7920</v>
      </c>
      <c r="K34" s="77">
        <v>268377</v>
      </c>
      <c r="L34" s="103">
        <f t="shared" si="0"/>
        <v>192</v>
      </c>
      <c r="M34" s="77">
        <v>25315</v>
      </c>
      <c r="N34" s="37">
        <f t="shared" si="485"/>
        <v>0</v>
      </c>
      <c r="O34" s="77">
        <v>320423</v>
      </c>
      <c r="P34" s="37">
        <f t="shared" si="486"/>
        <v>6384</v>
      </c>
      <c r="Q34" s="77">
        <v>472602</v>
      </c>
      <c r="R34" s="103">
        <f t="shared" si="487"/>
        <v>2448</v>
      </c>
      <c r="S34" s="77">
        <v>757126</v>
      </c>
      <c r="T34" s="103">
        <f t="shared" si="488"/>
        <v>4944</v>
      </c>
      <c r="U34" s="82">
        <v>4280.7939999999999</v>
      </c>
      <c r="V34" s="103">
        <f t="shared" si="489"/>
        <v>0</v>
      </c>
      <c r="W34" s="77">
        <v>84357</v>
      </c>
      <c r="X34" s="103">
        <f t="shared" si="490"/>
        <v>240</v>
      </c>
      <c r="Y34" s="77">
        <v>1518181</v>
      </c>
      <c r="Z34" s="103">
        <f t="shared" si="491"/>
        <v>0</v>
      </c>
      <c r="AA34" s="77">
        <v>13886</v>
      </c>
      <c r="AB34" s="103">
        <f t="shared" si="492"/>
        <v>0</v>
      </c>
      <c r="AC34" s="77">
        <v>492784</v>
      </c>
      <c r="AD34" s="103">
        <f t="shared" si="16"/>
        <v>7536</v>
      </c>
      <c r="AE34" s="77">
        <v>563711</v>
      </c>
      <c r="AF34" s="103">
        <f t="shared" si="16"/>
        <v>7920</v>
      </c>
      <c r="AG34" s="77">
        <v>49787</v>
      </c>
      <c r="AH34" s="103">
        <f t="shared" si="495"/>
        <v>0</v>
      </c>
      <c r="AI34" s="77">
        <v>438983</v>
      </c>
      <c r="AJ34" s="103">
        <f t="shared" si="496"/>
        <v>4512</v>
      </c>
      <c r="AK34" s="77">
        <v>102770</v>
      </c>
      <c r="AL34" s="103">
        <f t="shared" si="497"/>
        <v>0</v>
      </c>
      <c r="AM34" s="77">
        <v>600086</v>
      </c>
      <c r="AN34" s="103">
        <f t="shared" si="498"/>
        <v>5280</v>
      </c>
      <c r="AO34" s="77">
        <v>984402</v>
      </c>
      <c r="AP34" s="103">
        <f t="shared" si="499"/>
        <v>10464</v>
      </c>
      <c r="AQ34" s="77">
        <v>88721</v>
      </c>
      <c r="AR34" s="103">
        <f t="shared" si="500"/>
        <v>0</v>
      </c>
      <c r="AS34" s="77">
        <v>2453</v>
      </c>
      <c r="AT34" s="103">
        <f>(+AS34-+AS33)*48</f>
        <v>0</v>
      </c>
      <c r="AU34" s="77">
        <v>939</v>
      </c>
      <c r="AV34" s="103">
        <f t="shared" si="502"/>
        <v>0</v>
      </c>
      <c r="AW34" s="77">
        <v>3110</v>
      </c>
      <c r="AX34" s="103">
        <v>0</v>
      </c>
      <c r="AY34" s="77">
        <v>342007</v>
      </c>
      <c r="AZ34" s="103">
        <f t="shared" si="504"/>
        <v>5184</v>
      </c>
      <c r="BA34" s="77">
        <v>161101</v>
      </c>
      <c r="BB34" s="103">
        <f t="shared" si="505"/>
        <v>0</v>
      </c>
      <c r="BC34" s="77">
        <v>231247</v>
      </c>
      <c r="BD34" s="103">
        <f t="shared" si="506"/>
        <v>3408</v>
      </c>
      <c r="BE34" s="77">
        <v>5349</v>
      </c>
      <c r="BF34" s="103">
        <f t="shared" si="507"/>
        <v>0</v>
      </c>
      <c r="BH34" s="105">
        <f t="shared" si="1"/>
        <v>98188.799999999988</v>
      </c>
      <c r="BI34" s="105">
        <f t="shared" si="2"/>
        <v>61027.200000000004</v>
      </c>
    </row>
    <row r="35" spans="1:61" s="35" customFormat="1" ht="39.950000000000003" customHeight="1">
      <c r="A35" s="193">
        <f t="shared" si="30"/>
        <v>44647</v>
      </c>
      <c r="B35" s="34"/>
      <c r="C35" s="77">
        <v>6789091</v>
      </c>
      <c r="D35" s="103">
        <f t="shared" ref="D35" si="508">(+C35-+C34)*48</f>
        <v>87888</v>
      </c>
      <c r="E35" s="104">
        <f t="shared" si="4"/>
        <v>52732.799999999996</v>
      </c>
      <c r="F35" s="103">
        <f t="shared" si="5"/>
        <v>35155.200000000004</v>
      </c>
      <c r="G35" s="77">
        <v>293279</v>
      </c>
      <c r="H35" s="103">
        <f t="shared" ref="H35" si="509">(+G35-+G34)*48</f>
        <v>1056</v>
      </c>
      <c r="I35" s="77">
        <v>177169</v>
      </c>
      <c r="J35" s="37">
        <f t="shared" ref="J35" si="510">(+I35-+I34)*48</f>
        <v>8160</v>
      </c>
      <c r="K35" s="77">
        <v>268383</v>
      </c>
      <c r="L35" s="103">
        <f t="shared" si="0"/>
        <v>288</v>
      </c>
      <c r="M35" s="77">
        <v>25315</v>
      </c>
      <c r="N35" s="37">
        <f t="shared" ref="N35" si="511">(+M35-+M34)*48</f>
        <v>0</v>
      </c>
      <c r="O35" s="77">
        <v>320575</v>
      </c>
      <c r="P35" s="37">
        <f t="shared" ref="P35" si="512">(+O35-+O34)*48</f>
        <v>7296</v>
      </c>
      <c r="Q35" s="77">
        <v>472660</v>
      </c>
      <c r="R35" s="103">
        <f t="shared" ref="R35" si="513">(+Q35-+Q34)*48</f>
        <v>2784</v>
      </c>
      <c r="S35" s="77">
        <v>757218</v>
      </c>
      <c r="T35" s="103">
        <f t="shared" ref="T35" si="514">(+S35-+S34)*48</f>
        <v>4416</v>
      </c>
      <c r="U35" s="82">
        <v>4280.7939999999999</v>
      </c>
      <c r="V35" s="103">
        <f t="shared" ref="V35" si="515">(+U35-+U34)*48</f>
        <v>0</v>
      </c>
      <c r="W35" s="77">
        <v>84362</v>
      </c>
      <c r="X35" s="103">
        <f t="shared" ref="X35" si="516">(+W35-+W34)*48</f>
        <v>240</v>
      </c>
      <c r="Y35" s="77">
        <v>1518181</v>
      </c>
      <c r="Z35" s="103">
        <f>(+Y35-+Y34)*48</f>
        <v>0</v>
      </c>
      <c r="AA35" s="77">
        <v>13886</v>
      </c>
      <c r="AB35" s="103">
        <f t="shared" ref="AB35" si="517">(+AA35-+AA34)*48</f>
        <v>0</v>
      </c>
      <c r="AC35" s="77">
        <v>492923</v>
      </c>
      <c r="AD35" s="103">
        <f t="shared" si="16"/>
        <v>6672</v>
      </c>
      <c r="AE35" s="77">
        <v>563852</v>
      </c>
      <c r="AF35" s="103">
        <f t="shared" si="16"/>
        <v>6768</v>
      </c>
      <c r="AG35" s="77">
        <v>49787</v>
      </c>
      <c r="AH35" s="103">
        <f t="shared" ref="AH35" si="518">(+AG35-+AG34)*48</f>
        <v>0</v>
      </c>
      <c r="AI35" s="77">
        <v>439092</v>
      </c>
      <c r="AJ35" s="103">
        <f t="shared" ref="AJ35" si="519">(+AI35-+AI34)*48</f>
        <v>5232</v>
      </c>
      <c r="AK35" s="77">
        <v>102770</v>
      </c>
      <c r="AL35" s="103">
        <f t="shared" ref="AL35" si="520">(+AK35-+AK34)*48</f>
        <v>0</v>
      </c>
      <c r="AM35" s="77">
        <v>600178</v>
      </c>
      <c r="AN35" s="103">
        <f t="shared" ref="AN35" si="521">(+AM35-+AM34)*48</f>
        <v>4416</v>
      </c>
      <c r="AO35" s="77">
        <v>984597</v>
      </c>
      <c r="AP35" s="103">
        <f t="shared" ref="AP35" si="522">(+AO35-+AO34)*48</f>
        <v>9360</v>
      </c>
      <c r="AQ35" s="77">
        <v>88721</v>
      </c>
      <c r="AR35" s="103">
        <f t="shared" ref="AR35" si="523">(+AQ35-+AQ34)*48</f>
        <v>0</v>
      </c>
      <c r="AS35" s="77">
        <v>2453</v>
      </c>
      <c r="AT35" s="103">
        <f>(+AS35-+AS34)*48</f>
        <v>0</v>
      </c>
      <c r="AU35" s="77">
        <v>939</v>
      </c>
      <c r="AV35" s="103">
        <f t="shared" ref="AV35" si="524">(+AU35-+AU34)*48</f>
        <v>0</v>
      </c>
      <c r="AW35" s="77">
        <v>3110</v>
      </c>
      <c r="AX35" s="103">
        <f t="shared" ref="AX35" si="525">(+AW35-+AW34)*48</f>
        <v>0</v>
      </c>
      <c r="AY35" s="77">
        <v>342115</v>
      </c>
      <c r="AZ35" s="103">
        <f t="shared" ref="AZ35" si="526">(+AY35-+AY34)*48</f>
        <v>5184</v>
      </c>
      <c r="BA35" s="77">
        <v>161101</v>
      </c>
      <c r="BB35" s="103">
        <f t="shared" ref="BB35" si="527">(+BA35-+BA34)*48</f>
        <v>0</v>
      </c>
      <c r="BC35" s="77">
        <v>231319</v>
      </c>
      <c r="BD35" s="103">
        <f t="shared" ref="BD35" si="528">(+BC35-+BC34)*48</f>
        <v>3456</v>
      </c>
      <c r="BE35" s="77">
        <v>5349</v>
      </c>
      <c r="BF35" s="103">
        <f t="shared" ref="BF35" si="529">(+BE35-+BE34)*48</f>
        <v>0</v>
      </c>
      <c r="BH35" s="105">
        <f t="shared" si="1"/>
        <v>95644.799999999988</v>
      </c>
      <c r="BI35" s="105">
        <f t="shared" si="2"/>
        <v>57571.200000000004</v>
      </c>
    </row>
    <row r="36" spans="1:61" s="35" customFormat="1" ht="39.950000000000003" customHeight="1">
      <c r="A36" s="193">
        <f t="shared" si="30"/>
        <v>44648</v>
      </c>
      <c r="B36" s="34"/>
      <c r="C36" s="77">
        <v>6790873</v>
      </c>
      <c r="D36" s="103">
        <f t="shared" ref="D36" si="530">(+C36-+C35)*48</f>
        <v>85536</v>
      </c>
      <c r="E36" s="104">
        <f t="shared" si="4"/>
        <v>51321.599999999999</v>
      </c>
      <c r="F36" s="103">
        <f t="shared" si="5"/>
        <v>34214.400000000001</v>
      </c>
      <c r="G36" s="77">
        <v>293296</v>
      </c>
      <c r="H36" s="103">
        <f t="shared" ref="H36:H39" si="531">(+G36-+G35)*48</f>
        <v>816</v>
      </c>
      <c r="I36" s="77">
        <v>177333</v>
      </c>
      <c r="J36" s="37">
        <f t="shared" ref="J36:J39" si="532">(+I36-+I35)*48</f>
        <v>7872</v>
      </c>
      <c r="K36" s="77">
        <v>268388</v>
      </c>
      <c r="L36" s="103">
        <f t="shared" si="0"/>
        <v>240</v>
      </c>
      <c r="M36" s="77">
        <v>25315</v>
      </c>
      <c r="N36" s="37">
        <f t="shared" ref="N36:N39" si="533">(+M36-+M35)*48</f>
        <v>0</v>
      </c>
      <c r="O36" s="77">
        <v>320722</v>
      </c>
      <c r="P36" s="37">
        <f t="shared" ref="P36:P39" si="534">(+O36-+O35)*48</f>
        <v>7056</v>
      </c>
      <c r="Q36" s="77">
        <v>472724</v>
      </c>
      <c r="R36" s="103">
        <f t="shared" ref="R36:R39" si="535">(+Q36-+Q35)*48</f>
        <v>3072</v>
      </c>
      <c r="S36" s="77">
        <v>757324</v>
      </c>
      <c r="T36" s="103">
        <f t="shared" ref="T36:T39" si="536">(+S36-+S35)*48</f>
        <v>5088</v>
      </c>
      <c r="U36" s="82">
        <v>4280.7939999999999</v>
      </c>
      <c r="V36" s="103">
        <f t="shared" ref="V36:V39" si="537">(+U36-+U35)*48</f>
        <v>0</v>
      </c>
      <c r="W36" s="77">
        <v>84366</v>
      </c>
      <c r="X36" s="103">
        <f t="shared" ref="X36:X39" si="538">(+W36-+W35)*48</f>
        <v>192</v>
      </c>
      <c r="Y36" s="77">
        <v>1518181</v>
      </c>
      <c r="Z36" s="103">
        <f>(+Y36-+Y35)*48</f>
        <v>0</v>
      </c>
      <c r="AA36" s="77">
        <v>13886</v>
      </c>
      <c r="AB36" s="103">
        <f t="shared" ref="AB36:AB39" si="539">(+AA36-+AA35)*48</f>
        <v>0</v>
      </c>
      <c r="AC36" s="77">
        <v>493071</v>
      </c>
      <c r="AD36" s="103">
        <f t="shared" si="16"/>
        <v>7104</v>
      </c>
      <c r="AE36" s="77">
        <v>564010</v>
      </c>
      <c r="AF36" s="103">
        <f t="shared" si="16"/>
        <v>7584</v>
      </c>
      <c r="AG36" s="77">
        <v>49787</v>
      </c>
      <c r="AH36" s="103">
        <f t="shared" ref="AH36:AH39" si="540">(+AG36-+AG35)*48</f>
        <v>0</v>
      </c>
      <c r="AI36" s="77">
        <v>439182</v>
      </c>
      <c r="AJ36" s="103">
        <f t="shared" ref="AJ36:AJ39" si="541">(+AI36-+AI35)*48</f>
        <v>4320</v>
      </c>
      <c r="AK36" s="77">
        <v>102770</v>
      </c>
      <c r="AL36" s="103">
        <f t="shared" ref="AL36:AL39" si="542">(+AK36-+AK35)*48</f>
        <v>0</v>
      </c>
      <c r="AM36" s="77">
        <v>600280</v>
      </c>
      <c r="AN36" s="103">
        <f t="shared" ref="AN36:AN39" si="543">(+AM36-+AM35)*48</f>
        <v>4896</v>
      </c>
      <c r="AO36" s="77">
        <v>984791</v>
      </c>
      <c r="AP36" s="103">
        <f t="shared" ref="AP36:AP39" si="544">(+AO36-+AO35)*48</f>
        <v>9312</v>
      </c>
      <c r="AQ36" s="77">
        <v>88721</v>
      </c>
      <c r="AR36" s="103">
        <f t="shared" ref="AR36:AR39" si="545">(+AQ36-+AQ35)*48</f>
        <v>0</v>
      </c>
      <c r="AS36" s="77">
        <v>2453</v>
      </c>
      <c r="AT36" s="103">
        <f>(+AS36-+AS35)*48</f>
        <v>0</v>
      </c>
      <c r="AU36" s="77">
        <v>939</v>
      </c>
      <c r="AV36" s="103">
        <f t="shared" ref="AV36:AV39" si="546">(+AU36-+AU35)*48</f>
        <v>0</v>
      </c>
      <c r="AW36" s="77">
        <v>3110</v>
      </c>
      <c r="AX36" s="103">
        <f t="shared" ref="AX36:AX39" si="547">(+AW36-+AW35)*48</f>
        <v>0</v>
      </c>
      <c r="AY36" s="77">
        <v>342219</v>
      </c>
      <c r="AZ36" s="103">
        <f t="shared" ref="AZ36:AZ39" si="548">(+AY36-+AY35)*48</f>
        <v>4992</v>
      </c>
      <c r="BA36" s="77">
        <v>161101</v>
      </c>
      <c r="BB36" s="103">
        <f t="shared" ref="BB36:BB39" si="549">(+BA36-+BA35)*48</f>
        <v>0</v>
      </c>
      <c r="BC36" s="77">
        <v>231388</v>
      </c>
      <c r="BD36" s="103">
        <f t="shared" ref="BD36:BD39" si="550">(+BC36-+BC35)*48</f>
        <v>3312</v>
      </c>
      <c r="BE36" s="77">
        <v>5349</v>
      </c>
      <c r="BF36" s="103">
        <f t="shared" ref="BF36:BF39" si="551">(+BE36-+BE35)*48</f>
        <v>0</v>
      </c>
      <c r="BH36" s="105">
        <f t="shared" si="1"/>
        <v>94665.600000000006</v>
      </c>
      <c r="BI36" s="105">
        <f t="shared" si="2"/>
        <v>56726.400000000001</v>
      </c>
    </row>
    <row r="37" spans="1:61" s="35" customFormat="1" ht="39.950000000000003" customHeight="1">
      <c r="A37" s="193">
        <f t="shared" si="30"/>
        <v>44649</v>
      </c>
      <c r="B37" s="34"/>
      <c r="C37" s="77">
        <v>6792846</v>
      </c>
      <c r="D37" s="103">
        <f t="shared" ref="D37:D39" si="552">(+C37-+C36)*48</f>
        <v>94704</v>
      </c>
      <c r="E37" s="104">
        <f t="shared" ref="E37:E39" si="553">D37*0.6</f>
        <v>56822.400000000001</v>
      </c>
      <c r="F37" s="103">
        <f t="shared" ref="F37:F39" si="554">D37*0.4</f>
        <v>37881.599999999999</v>
      </c>
      <c r="G37" s="77">
        <v>293316</v>
      </c>
      <c r="H37" s="103">
        <f t="shared" si="531"/>
        <v>960</v>
      </c>
      <c r="I37" s="77">
        <v>177493</v>
      </c>
      <c r="J37" s="37">
        <f t="shared" si="532"/>
        <v>7680</v>
      </c>
      <c r="K37" s="77">
        <v>268388</v>
      </c>
      <c r="L37" s="103">
        <f t="shared" si="0"/>
        <v>0</v>
      </c>
      <c r="M37" s="77">
        <v>25315</v>
      </c>
      <c r="N37" s="37">
        <f t="shared" si="533"/>
        <v>0</v>
      </c>
      <c r="O37" s="77">
        <v>320835</v>
      </c>
      <c r="P37" s="37">
        <f t="shared" si="534"/>
        <v>5424</v>
      </c>
      <c r="Q37" s="77">
        <v>472747</v>
      </c>
      <c r="R37" s="103">
        <f t="shared" si="535"/>
        <v>1104</v>
      </c>
      <c r="S37" s="77">
        <v>757442</v>
      </c>
      <c r="T37" s="103">
        <f t="shared" si="536"/>
        <v>5664</v>
      </c>
      <c r="U37" s="82">
        <v>4280.7939999999999</v>
      </c>
      <c r="V37" s="103">
        <f t="shared" si="537"/>
        <v>0</v>
      </c>
      <c r="W37" s="77">
        <v>84366</v>
      </c>
      <c r="X37" s="103">
        <f t="shared" si="538"/>
        <v>0</v>
      </c>
      <c r="Y37" s="77">
        <v>1518181</v>
      </c>
      <c r="Z37" s="103">
        <f>(+Y37-+Y36)*48</f>
        <v>0</v>
      </c>
      <c r="AA37" s="77">
        <v>13886</v>
      </c>
      <c r="AB37" s="103">
        <f t="shared" si="539"/>
        <v>0</v>
      </c>
      <c r="AC37" s="77">
        <v>493251</v>
      </c>
      <c r="AD37" s="103">
        <f t="shared" si="16"/>
        <v>8640</v>
      </c>
      <c r="AE37" s="77">
        <v>564187</v>
      </c>
      <c r="AF37" s="103">
        <f t="shared" si="16"/>
        <v>8496</v>
      </c>
      <c r="AG37" s="77">
        <v>49787</v>
      </c>
      <c r="AH37" s="103">
        <f t="shared" si="540"/>
        <v>0</v>
      </c>
      <c r="AI37" s="77">
        <v>439219</v>
      </c>
      <c r="AJ37" s="103">
        <f t="shared" si="541"/>
        <v>1776</v>
      </c>
      <c r="AK37" s="77">
        <v>102770</v>
      </c>
      <c r="AL37" s="103">
        <f t="shared" si="542"/>
        <v>0</v>
      </c>
      <c r="AM37" s="77">
        <v>600415</v>
      </c>
      <c r="AN37" s="103">
        <f t="shared" si="543"/>
        <v>6480</v>
      </c>
      <c r="AO37" s="77">
        <v>984983</v>
      </c>
      <c r="AP37" s="103">
        <f t="shared" si="544"/>
        <v>9216</v>
      </c>
      <c r="AQ37" s="77">
        <v>88721</v>
      </c>
      <c r="AR37" s="103">
        <f t="shared" si="545"/>
        <v>0</v>
      </c>
      <c r="AS37" s="77">
        <v>2453</v>
      </c>
      <c r="AT37" s="103">
        <f t="shared" ref="AT37:AT39" si="555">(+AS37-+AS36)*48</f>
        <v>0</v>
      </c>
      <c r="AU37" s="77">
        <v>939</v>
      </c>
      <c r="AV37" s="103">
        <f t="shared" si="546"/>
        <v>0</v>
      </c>
      <c r="AW37" s="77">
        <v>3110</v>
      </c>
      <c r="AX37" s="103">
        <f t="shared" si="547"/>
        <v>0</v>
      </c>
      <c r="AY37" s="77">
        <v>342328</v>
      </c>
      <c r="AZ37" s="103">
        <f t="shared" si="548"/>
        <v>5232</v>
      </c>
      <c r="BA37" s="77">
        <v>161101</v>
      </c>
      <c r="BB37" s="103">
        <f t="shared" si="549"/>
        <v>0</v>
      </c>
      <c r="BC37" s="77">
        <v>231459</v>
      </c>
      <c r="BD37" s="103">
        <f t="shared" si="550"/>
        <v>3408</v>
      </c>
      <c r="BE37" s="77">
        <v>5349</v>
      </c>
      <c r="BF37" s="103">
        <f t="shared" si="551"/>
        <v>0</v>
      </c>
      <c r="BH37" s="105">
        <f t="shared" ref="BH37:BH39" si="556">SUM(E37,J37,P37,H37,L37,R37,T37,V37,X37,N37,AB37,Z37,AD37,AF37,AH37,AL37,AJ37)</f>
        <v>96566.399999999994</v>
      </c>
      <c r="BI37" s="105">
        <f t="shared" ref="BI37:BI39" si="557">SUM(F37,AN37,AP37,AT37,AV37,AX37,AR37,AZ37,BB37,BD37,BF37)</f>
        <v>62217.599999999999</v>
      </c>
    </row>
    <row r="38" spans="1:61" s="35" customFormat="1" ht="39.950000000000003" customHeight="1">
      <c r="A38" s="193">
        <f t="shared" si="30"/>
        <v>44650</v>
      </c>
      <c r="B38" s="34"/>
      <c r="C38" s="77">
        <v>6794627</v>
      </c>
      <c r="D38" s="103">
        <f t="shared" si="552"/>
        <v>85488</v>
      </c>
      <c r="E38" s="104">
        <f t="shared" si="553"/>
        <v>51292.799999999996</v>
      </c>
      <c r="F38" s="103">
        <f t="shared" si="554"/>
        <v>34195.200000000004</v>
      </c>
      <c r="G38" s="77">
        <v>293352</v>
      </c>
      <c r="H38" s="103">
        <f t="shared" si="531"/>
        <v>1728</v>
      </c>
      <c r="I38" s="77">
        <v>177660</v>
      </c>
      <c r="J38" s="37">
        <f t="shared" si="532"/>
        <v>8016</v>
      </c>
      <c r="K38" s="77">
        <v>268388</v>
      </c>
      <c r="L38" s="103">
        <f t="shared" si="0"/>
        <v>0</v>
      </c>
      <c r="M38" s="77">
        <v>25315</v>
      </c>
      <c r="N38" s="37">
        <f t="shared" si="533"/>
        <v>0</v>
      </c>
      <c r="O38" s="77">
        <v>320963</v>
      </c>
      <c r="P38" s="37">
        <f t="shared" si="534"/>
        <v>6144</v>
      </c>
      <c r="Q38" s="77">
        <v>472780</v>
      </c>
      <c r="R38" s="103">
        <f t="shared" si="535"/>
        <v>1584</v>
      </c>
      <c r="S38" s="77">
        <v>757549</v>
      </c>
      <c r="T38" s="103">
        <f t="shared" si="536"/>
        <v>5136</v>
      </c>
      <c r="U38" s="82">
        <v>4281</v>
      </c>
      <c r="V38" s="103">
        <f t="shared" si="537"/>
        <v>9.8880000000062864</v>
      </c>
      <c r="W38" s="77">
        <v>84369</v>
      </c>
      <c r="X38" s="103">
        <f t="shared" si="538"/>
        <v>144</v>
      </c>
      <c r="Y38" s="77">
        <v>1518181</v>
      </c>
      <c r="Z38" s="103">
        <f t="shared" ref="Z38:Z39" si="558">(+Y38-+Y37)*48</f>
        <v>0</v>
      </c>
      <c r="AA38" s="77">
        <v>13866</v>
      </c>
      <c r="AB38" s="103">
        <f t="shared" si="539"/>
        <v>-960</v>
      </c>
      <c r="AC38" s="77">
        <v>493417</v>
      </c>
      <c r="AD38" s="103">
        <f t="shared" ref="AD38:AD39" si="559">(+AC38-+AC37)*48</f>
        <v>7968</v>
      </c>
      <c r="AE38" s="77">
        <v>564363</v>
      </c>
      <c r="AF38" s="103">
        <f t="shared" ref="AF38:AF39" si="560">(+AE38-+AE37)*48</f>
        <v>8448</v>
      </c>
      <c r="AG38" s="77">
        <v>49787</v>
      </c>
      <c r="AH38" s="103">
        <f t="shared" si="540"/>
        <v>0</v>
      </c>
      <c r="AI38" s="77">
        <v>439274</v>
      </c>
      <c r="AJ38" s="103">
        <f t="shared" si="541"/>
        <v>2640</v>
      </c>
      <c r="AK38" s="77">
        <v>102770</v>
      </c>
      <c r="AL38" s="103">
        <f t="shared" si="542"/>
        <v>0</v>
      </c>
      <c r="AM38" s="77">
        <v>600554</v>
      </c>
      <c r="AN38" s="103">
        <f t="shared" si="543"/>
        <v>6672</v>
      </c>
      <c r="AO38" s="77">
        <v>985184</v>
      </c>
      <c r="AP38" s="103">
        <f t="shared" si="544"/>
        <v>9648</v>
      </c>
      <c r="AQ38" s="77">
        <v>88721</v>
      </c>
      <c r="AR38" s="103">
        <f t="shared" si="545"/>
        <v>0</v>
      </c>
      <c r="AS38" s="77">
        <v>2453</v>
      </c>
      <c r="AT38" s="103">
        <f t="shared" si="555"/>
        <v>0</v>
      </c>
      <c r="AU38" s="77">
        <v>939</v>
      </c>
      <c r="AV38" s="103">
        <f t="shared" si="546"/>
        <v>0</v>
      </c>
      <c r="AW38" s="77">
        <v>3110</v>
      </c>
      <c r="AX38" s="103">
        <f t="shared" si="547"/>
        <v>0</v>
      </c>
      <c r="AY38" s="77">
        <v>342441</v>
      </c>
      <c r="AZ38" s="103">
        <f t="shared" si="548"/>
        <v>5424</v>
      </c>
      <c r="BA38" s="77">
        <v>161101</v>
      </c>
      <c r="BB38" s="103">
        <f t="shared" si="549"/>
        <v>0</v>
      </c>
      <c r="BC38" s="77">
        <v>231532</v>
      </c>
      <c r="BD38" s="103">
        <f t="shared" si="550"/>
        <v>3504</v>
      </c>
      <c r="BE38" s="77">
        <v>5349</v>
      </c>
      <c r="BF38" s="103">
        <f t="shared" si="551"/>
        <v>0</v>
      </c>
      <c r="BH38" s="105">
        <f t="shared" si="556"/>
        <v>92150.687999999995</v>
      </c>
      <c r="BI38" s="105">
        <f t="shared" si="557"/>
        <v>59443.200000000004</v>
      </c>
    </row>
    <row r="39" spans="1:61" s="35" customFormat="1" ht="39.950000000000003" customHeight="1">
      <c r="A39" s="193">
        <f t="shared" si="30"/>
        <v>44651</v>
      </c>
      <c r="B39" s="34"/>
      <c r="C39" s="77">
        <v>6796462</v>
      </c>
      <c r="D39" s="103">
        <f t="shared" si="552"/>
        <v>88080</v>
      </c>
      <c r="E39" s="104">
        <f t="shared" si="553"/>
        <v>52848</v>
      </c>
      <c r="F39" s="103">
        <f t="shared" si="554"/>
        <v>35232</v>
      </c>
      <c r="G39" s="77">
        <v>293359</v>
      </c>
      <c r="H39" s="103">
        <f t="shared" si="531"/>
        <v>336</v>
      </c>
      <c r="I39" s="77">
        <v>177818</v>
      </c>
      <c r="J39" s="37">
        <f t="shared" si="532"/>
        <v>7584</v>
      </c>
      <c r="K39" s="77">
        <v>268388</v>
      </c>
      <c r="L39" s="103">
        <f t="shared" si="0"/>
        <v>0</v>
      </c>
      <c r="M39" s="77">
        <v>25315</v>
      </c>
      <c r="N39" s="37">
        <f t="shared" si="533"/>
        <v>0</v>
      </c>
      <c r="O39" s="77">
        <v>321092</v>
      </c>
      <c r="P39" s="37">
        <f t="shared" si="534"/>
        <v>6192</v>
      </c>
      <c r="Q39" s="77">
        <v>472800</v>
      </c>
      <c r="R39" s="103">
        <f t="shared" si="535"/>
        <v>960</v>
      </c>
      <c r="S39" s="77">
        <v>757671</v>
      </c>
      <c r="T39" s="103">
        <f t="shared" si="536"/>
        <v>5856</v>
      </c>
      <c r="U39" s="82">
        <v>4281</v>
      </c>
      <c r="V39" s="103">
        <f t="shared" si="537"/>
        <v>0</v>
      </c>
      <c r="W39" s="77">
        <v>84370</v>
      </c>
      <c r="X39" s="103">
        <f t="shared" si="538"/>
        <v>48</v>
      </c>
      <c r="Y39" s="77">
        <v>1518181</v>
      </c>
      <c r="Z39" s="103">
        <f t="shared" si="558"/>
        <v>0</v>
      </c>
      <c r="AA39" s="77">
        <v>13866</v>
      </c>
      <c r="AB39" s="103">
        <f t="shared" si="539"/>
        <v>0</v>
      </c>
      <c r="AC39" s="77">
        <v>493560</v>
      </c>
      <c r="AD39" s="103">
        <f t="shared" si="559"/>
        <v>6864</v>
      </c>
      <c r="AE39" s="77">
        <v>564524</v>
      </c>
      <c r="AF39" s="103">
        <f t="shared" si="560"/>
        <v>7728</v>
      </c>
      <c r="AG39" s="77">
        <v>49787</v>
      </c>
      <c r="AH39" s="103">
        <f t="shared" si="540"/>
        <v>0</v>
      </c>
      <c r="AI39" s="77">
        <v>439316</v>
      </c>
      <c r="AJ39" s="103">
        <f t="shared" si="541"/>
        <v>2016</v>
      </c>
      <c r="AK39" s="77">
        <v>102770</v>
      </c>
      <c r="AL39" s="103">
        <f t="shared" si="542"/>
        <v>0</v>
      </c>
      <c r="AM39" s="77">
        <v>600688</v>
      </c>
      <c r="AN39" s="103">
        <f t="shared" si="543"/>
        <v>6432</v>
      </c>
      <c r="AO39" s="77">
        <v>985391</v>
      </c>
      <c r="AP39" s="103">
        <f t="shared" si="544"/>
        <v>9936</v>
      </c>
      <c r="AQ39" s="77">
        <v>88721</v>
      </c>
      <c r="AR39" s="103">
        <f t="shared" si="545"/>
        <v>0</v>
      </c>
      <c r="AS39" s="77">
        <v>2453</v>
      </c>
      <c r="AT39" s="103">
        <f t="shared" si="555"/>
        <v>0</v>
      </c>
      <c r="AU39" s="77">
        <v>939</v>
      </c>
      <c r="AV39" s="103">
        <f t="shared" si="546"/>
        <v>0</v>
      </c>
      <c r="AW39" s="77">
        <v>3110</v>
      </c>
      <c r="AX39" s="103">
        <f t="shared" si="547"/>
        <v>0</v>
      </c>
      <c r="AY39" s="77">
        <v>342556</v>
      </c>
      <c r="AZ39" s="103">
        <f t="shared" si="548"/>
        <v>5520</v>
      </c>
      <c r="BA39" s="77">
        <v>161101</v>
      </c>
      <c r="BB39" s="103">
        <f t="shared" si="549"/>
        <v>0</v>
      </c>
      <c r="BC39" s="77">
        <v>231608</v>
      </c>
      <c r="BD39" s="103">
        <f t="shared" si="550"/>
        <v>3648</v>
      </c>
      <c r="BE39" s="77">
        <v>5349</v>
      </c>
      <c r="BF39" s="103">
        <f t="shared" si="551"/>
        <v>0</v>
      </c>
      <c r="BH39" s="105">
        <f t="shared" si="556"/>
        <v>90432</v>
      </c>
      <c r="BI39" s="105">
        <f t="shared" si="557"/>
        <v>60768</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71" t="s">
        <v>196</v>
      </c>
      <c r="C1" s="271"/>
      <c r="D1" s="271" t="s">
        <v>196</v>
      </c>
      <c r="E1" s="271"/>
      <c r="F1" s="271" t="s">
        <v>196</v>
      </c>
      <c r="G1" s="271"/>
      <c r="H1" s="271" t="s">
        <v>197</v>
      </c>
      <c r="I1" s="271"/>
      <c r="J1" s="268"/>
      <c r="K1" s="268"/>
      <c r="L1" s="271" t="s">
        <v>198</v>
      </c>
      <c r="M1" s="271"/>
      <c r="N1" s="271" t="s">
        <v>198</v>
      </c>
      <c r="O1" s="271"/>
      <c r="P1" s="271" t="s">
        <v>198</v>
      </c>
      <c r="Q1" s="271"/>
      <c r="R1" s="271" t="s">
        <v>198</v>
      </c>
      <c r="S1" s="271"/>
      <c r="T1" s="271" t="s">
        <v>199</v>
      </c>
      <c r="U1" s="271"/>
      <c r="V1" s="279" t="s">
        <v>199</v>
      </c>
      <c r="W1" s="279"/>
      <c r="X1" s="271" t="s">
        <v>199</v>
      </c>
      <c r="Y1" s="271"/>
      <c r="Z1" s="271" t="s">
        <v>199</v>
      </c>
      <c r="AA1" s="271"/>
      <c r="AB1" s="268"/>
      <c r="AC1" s="268"/>
      <c r="AD1" s="271" t="s">
        <v>199</v>
      </c>
      <c r="AE1" s="271"/>
      <c r="AF1" s="271" t="s">
        <v>199</v>
      </c>
      <c r="AG1" s="271"/>
      <c r="AH1" s="271" t="s">
        <v>200</v>
      </c>
      <c r="AI1" s="271"/>
      <c r="AJ1" s="271" t="s">
        <v>200</v>
      </c>
      <c r="AK1" s="271"/>
      <c r="AL1" s="280" t="s">
        <v>200</v>
      </c>
      <c r="AM1" s="280"/>
      <c r="AN1" s="271" t="s">
        <v>200</v>
      </c>
      <c r="AO1" s="271"/>
      <c r="AP1" s="268" t="s">
        <v>200</v>
      </c>
      <c r="AQ1" s="268"/>
      <c r="AR1" s="280" t="s">
        <v>200</v>
      </c>
      <c r="AS1" s="280"/>
      <c r="AT1" s="271" t="s">
        <v>200</v>
      </c>
      <c r="AU1" s="271"/>
      <c r="AV1" s="268"/>
      <c r="AW1" s="268"/>
      <c r="AX1" s="271" t="s">
        <v>200</v>
      </c>
      <c r="AY1" s="271"/>
      <c r="AZ1" s="271" t="s">
        <v>200</v>
      </c>
      <c r="BA1" s="271"/>
      <c r="BB1" s="271" t="s">
        <v>200</v>
      </c>
      <c r="BC1" s="271"/>
      <c r="BD1" s="271" t="s">
        <v>201</v>
      </c>
      <c r="BE1" s="271"/>
      <c r="BF1" s="271" t="s">
        <v>201</v>
      </c>
      <c r="BG1" s="271"/>
      <c r="BH1" s="271" t="s">
        <v>201</v>
      </c>
      <c r="BI1" s="271"/>
      <c r="BJ1" s="271" t="s">
        <v>201</v>
      </c>
      <c r="BK1" s="271"/>
      <c r="BL1" s="271" t="s">
        <v>201</v>
      </c>
      <c r="BM1" s="271"/>
      <c r="BN1" s="271" t="s">
        <v>201</v>
      </c>
      <c r="BO1" s="271"/>
      <c r="BP1" s="271" t="s">
        <v>201</v>
      </c>
      <c r="BQ1" s="271"/>
      <c r="BR1" s="271" t="s">
        <v>201</v>
      </c>
      <c r="BS1" s="271"/>
      <c r="BT1" s="271" t="s">
        <v>201</v>
      </c>
      <c r="BU1" s="271"/>
      <c r="BV1" s="271" t="s">
        <v>201</v>
      </c>
      <c r="BW1" s="271"/>
      <c r="BX1" s="271" t="s">
        <v>201</v>
      </c>
      <c r="BY1" s="271"/>
      <c r="BZ1" s="271" t="s">
        <v>202</v>
      </c>
      <c r="CA1" s="271"/>
      <c r="CB1" s="279" t="s">
        <v>202</v>
      </c>
      <c r="CC1" s="279"/>
      <c r="CD1" s="271" t="s">
        <v>202</v>
      </c>
      <c r="CE1" s="271"/>
      <c r="CF1" s="271" t="s">
        <v>202</v>
      </c>
      <c r="CG1" s="271"/>
      <c r="CH1" s="271" t="s">
        <v>203</v>
      </c>
      <c r="CI1" s="271"/>
      <c r="CJ1" s="271" t="s">
        <v>203</v>
      </c>
      <c r="CK1" s="271"/>
      <c r="CL1" s="271" t="s">
        <v>203</v>
      </c>
      <c r="CM1" s="271"/>
      <c r="CN1" s="271" t="s">
        <v>204</v>
      </c>
      <c r="CO1" s="271"/>
      <c r="CP1" s="271" t="s">
        <v>204</v>
      </c>
      <c r="CQ1" s="271"/>
      <c r="CR1" s="279" t="s">
        <v>204</v>
      </c>
      <c r="CS1" s="279"/>
      <c r="CT1" s="271" t="s">
        <v>204</v>
      </c>
      <c r="CU1" s="271"/>
      <c r="CV1" s="271" t="s">
        <v>204</v>
      </c>
      <c r="CW1" s="271"/>
      <c r="CX1" s="271" t="s">
        <v>204</v>
      </c>
      <c r="CY1" s="271"/>
      <c r="CZ1" s="271" t="s">
        <v>204</v>
      </c>
      <c r="DA1" s="271"/>
      <c r="DB1" s="271" t="s">
        <v>204</v>
      </c>
      <c r="DC1" s="271"/>
      <c r="DD1" s="271" t="s">
        <v>204</v>
      </c>
      <c r="DE1" s="271"/>
      <c r="DF1" s="271" t="s">
        <v>204</v>
      </c>
      <c r="DG1" s="271"/>
      <c r="DH1" s="271" t="s">
        <v>204</v>
      </c>
      <c r="DI1" s="271"/>
      <c r="DJ1" s="268" t="s">
        <v>204</v>
      </c>
      <c r="DK1" s="268"/>
      <c r="DL1" s="271" t="s">
        <v>205</v>
      </c>
      <c r="DM1" s="271"/>
      <c r="DN1" s="271" t="s">
        <v>205</v>
      </c>
      <c r="DO1" s="271"/>
      <c r="DP1" s="271" t="s">
        <v>205</v>
      </c>
      <c r="DQ1" s="271"/>
      <c r="DR1" s="271" t="s">
        <v>205</v>
      </c>
      <c r="DS1" s="271"/>
      <c r="DT1" s="271" t="s">
        <v>205</v>
      </c>
      <c r="DU1" s="271"/>
      <c r="DV1" s="271" t="s">
        <v>205</v>
      </c>
      <c r="DW1" s="271"/>
      <c r="DX1" s="271" t="s">
        <v>206</v>
      </c>
      <c r="DY1" s="271"/>
      <c r="DZ1" s="271" t="s">
        <v>206</v>
      </c>
      <c r="EA1" s="271"/>
      <c r="EB1" s="271" t="s">
        <v>206</v>
      </c>
      <c r="EC1" s="271"/>
      <c r="ED1" s="271" t="s">
        <v>206</v>
      </c>
      <c r="EE1" s="271"/>
      <c r="EF1" s="271" t="s">
        <v>206</v>
      </c>
      <c r="EG1" s="271"/>
      <c r="EH1" s="271" t="s">
        <v>206</v>
      </c>
      <c r="EI1" s="271"/>
      <c r="EJ1" s="271" t="s">
        <v>206</v>
      </c>
      <c r="EK1" s="271"/>
      <c r="EL1" s="271" t="s">
        <v>207</v>
      </c>
      <c r="EM1" s="271"/>
      <c r="EN1" s="271" t="s">
        <v>207</v>
      </c>
      <c r="EO1" s="271"/>
      <c r="EP1" s="271" t="s">
        <v>207</v>
      </c>
      <c r="EQ1" s="271"/>
      <c r="ER1" s="271" t="s">
        <v>208</v>
      </c>
      <c r="ES1" s="271"/>
      <c r="ET1" s="271" t="s">
        <v>208</v>
      </c>
      <c r="EU1" s="271"/>
      <c r="EV1" s="271" t="s">
        <v>208</v>
      </c>
      <c r="EW1" s="271"/>
      <c r="EX1" s="271" t="s">
        <v>209</v>
      </c>
      <c r="EY1" s="271"/>
      <c r="EZ1" s="271" t="s">
        <v>210</v>
      </c>
      <c r="FA1" s="271"/>
      <c r="FB1" s="271" t="s">
        <v>210</v>
      </c>
      <c r="FC1" s="271"/>
      <c r="FD1" s="271" t="s">
        <v>210</v>
      </c>
      <c r="FE1" s="271"/>
      <c r="FF1" s="271" t="s">
        <v>211</v>
      </c>
      <c r="FG1" s="271"/>
      <c r="FH1" s="271" t="s">
        <v>211</v>
      </c>
      <c r="FI1" s="271"/>
      <c r="FJ1" s="271" t="s">
        <v>211</v>
      </c>
      <c r="FK1" s="271"/>
      <c r="FL1" s="268" t="s">
        <v>211</v>
      </c>
      <c r="FM1" s="268"/>
    </row>
    <row r="2" spans="1:169" s="23" customFormat="1" ht="49.5" customHeight="1">
      <c r="B2" s="271" t="s">
        <v>212</v>
      </c>
      <c r="C2" s="271"/>
      <c r="D2" s="271" t="s">
        <v>213</v>
      </c>
      <c r="E2" s="271"/>
      <c r="F2" s="271" t="s">
        <v>212</v>
      </c>
      <c r="G2" s="271"/>
      <c r="H2" s="271" t="s">
        <v>213</v>
      </c>
      <c r="I2" s="271"/>
      <c r="J2" s="271" t="s">
        <v>213</v>
      </c>
      <c r="K2" s="271"/>
      <c r="L2" s="271" t="s">
        <v>212</v>
      </c>
      <c r="M2" s="271"/>
      <c r="N2" s="271" t="s">
        <v>212</v>
      </c>
      <c r="O2" s="271"/>
      <c r="P2" s="271" t="s">
        <v>213</v>
      </c>
      <c r="Q2" s="271"/>
      <c r="R2" s="271" t="s">
        <v>213</v>
      </c>
      <c r="S2" s="271"/>
      <c r="T2" s="271" t="s">
        <v>212</v>
      </c>
      <c r="U2" s="271"/>
      <c r="V2" s="271" t="s">
        <v>213</v>
      </c>
      <c r="W2" s="271"/>
      <c r="X2" s="271" t="s">
        <v>213</v>
      </c>
      <c r="Y2" s="271"/>
      <c r="Z2" s="271" t="s">
        <v>213</v>
      </c>
      <c r="AA2" s="271"/>
      <c r="AB2" s="268" t="s">
        <v>213</v>
      </c>
      <c r="AC2" s="268"/>
      <c r="AD2" s="271" t="s">
        <v>212</v>
      </c>
      <c r="AE2" s="271"/>
      <c r="AF2" s="271" t="s">
        <v>213</v>
      </c>
      <c r="AG2" s="271"/>
      <c r="AH2" s="271" t="s">
        <v>213</v>
      </c>
      <c r="AI2" s="271"/>
      <c r="AJ2" s="271" t="s">
        <v>213</v>
      </c>
      <c r="AK2" s="271"/>
      <c r="AL2" s="271" t="s">
        <v>213</v>
      </c>
      <c r="AM2" s="271"/>
      <c r="AN2" s="271" t="s">
        <v>213</v>
      </c>
      <c r="AO2" s="271"/>
      <c r="AP2" s="268" t="s">
        <v>213</v>
      </c>
      <c r="AQ2" s="268"/>
      <c r="AR2" s="271" t="s">
        <v>213</v>
      </c>
      <c r="AS2" s="271"/>
      <c r="AT2" s="271" t="s">
        <v>213</v>
      </c>
      <c r="AU2" s="271"/>
      <c r="AV2" s="268" t="s">
        <v>213</v>
      </c>
      <c r="AW2" s="268"/>
      <c r="AX2" s="271" t="s">
        <v>213</v>
      </c>
      <c r="AY2" s="271"/>
      <c r="AZ2" s="271" t="s">
        <v>213</v>
      </c>
      <c r="BA2" s="271"/>
      <c r="BB2" s="271" t="s">
        <v>213</v>
      </c>
      <c r="BC2" s="271"/>
      <c r="BD2" s="271" t="s">
        <v>212</v>
      </c>
      <c r="BE2" s="271"/>
      <c r="BF2" s="271" t="s">
        <v>214</v>
      </c>
      <c r="BG2" s="271"/>
      <c r="BH2" s="271" t="s">
        <v>213</v>
      </c>
      <c r="BI2" s="271"/>
      <c r="BJ2" s="271" t="s">
        <v>213</v>
      </c>
      <c r="BK2" s="271"/>
      <c r="BL2" s="271" t="s">
        <v>213</v>
      </c>
      <c r="BM2" s="271"/>
      <c r="BN2" s="271" t="s">
        <v>213</v>
      </c>
      <c r="BO2" s="271"/>
      <c r="BP2" s="271" t="s">
        <v>213</v>
      </c>
      <c r="BQ2" s="271"/>
      <c r="BR2" s="271" t="s">
        <v>213</v>
      </c>
      <c r="BS2" s="271"/>
      <c r="BT2" s="271" t="s">
        <v>213</v>
      </c>
      <c r="BU2" s="271"/>
      <c r="BV2" s="271" t="s">
        <v>213</v>
      </c>
      <c r="BW2" s="271"/>
      <c r="BX2" s="271" t="s">
        <v>213</v>
      </c>
      <c r="BY2" s="271"/>
      <c r="BZ2" s="271" t="s">
        <v>212</v>
      </c>
      <c r="CA2" s="271"/>
      <c r="CB2" s="271" t="s">
        <v>212</v>
      </c>
      <c r="CC2" s="271"/>
      <c r="CD2" s="271" t="s">
        <v>212</v>
      </c>
      <c r="CE2" s="271"/>
      <c r="CF2" s="271" t="s">
        <v>212</v>
      </c>
      <c r="CG2" s="271"/>
      <c r="CH2" s="271" t="s">
        <v>213</v>
      </c>
      <c r="CI2" s="271"/>
      <c r="CJ2" s="271" t="s">
        <v>213</v>
      </c>
      <c r="CK2" s="271"/>
      <c r="CL2" s="271" t="s">
        <v>213</v>
      </c>
      <c r="CM2" s="271"/>
      <c r="CN2" s="271" t="s">
        <v>212</v>
      </c>
      <c r="CO2" s="271"/>
      <c r="CP2" s="271" t="s">
        <v>213</v>
      </c>
      <c r="CQ2" s="271"/>
      <c r="CR2" s="271" t="s">
        <v>213</v>
      </c>
      <c r="CS2" s="271"/>
      <c r="CT2" s="271" t="s">
        <v>213</v>
      </c>
      <c r="CU2" s="271"/>
      <c r="CV2" s="271" t="s">
        <v>213</v>
      </c>
      <c r="CW2" s="271"/>
      <c r="CX2" s="271" t="s">
        <v>213</v>
      </c>
      <c r="CY2" s="271"/>
      <c r="CZ2" s="271" t="s">
        <v>213</v>
      </c>
      <c r="DA2" s="271"/>
      <c r="DB2" s="271" t="s">
        <v>212</v>
      </c>
      <c r="DC2" s="271"/>
      <c r="DD2" s="271" t="s">
        <v>213</v>
      </c>
      <c r="DE2" s="271"/>
      <c r="DF2" s="271" t="s">
        <v>213</v>
      </c>
      <c r="DG2" s="271"/>
      <c r="DH2" s="271" t="s">
        <v>213</v>
      </c>
      <c r="DI2" s="271"/>
      <c r="DJ2" s="268" t="s">
        <v>213</v>
      </c>
      <c r="DK2" s="268"/>
      <c r="DL2" s="271" t="s">
        <v>213</v>
      </c>
      <c r="DM2" s="271"/>
      <c r="DN2" s="271" t="s">
        <v>213</v>
      </c>
      <c r="DO2" s="271"/>
      <c r="DP2" s="271" t="s">
        <v>213</v>
      </c>
      <c r="DQ2" s="271"/>
      <c r="DR2" s="271" t="s">
        <v>213</v>
      </c>
      <c r="DS2" s="271"/>
      <c r="DT2" s="271" t="s">
        <v>213</v>
      </c>
      <c r="DU2" s="271"/>
      <c r="DV2" s="271" t="s">
        <v>213</v>
      </c>
      <c r="DW2" s="271"/>
      <c r="DX2" s="271" t="s">
        <v>213</v>
      </c>
      <c r="DY2" s="271"/>
      <c r="DZ2" s="271" t="s">
        <v>213</v>
      </c>
      <c r="EA2" s="271"/>
      <c r="EB2" s="271" t="s">
        <v>213</v>
      </c>
      <c r="EC2" s="271"/>
      <c r="ED2" s="271" t="s">
        <v>213</v>
      </c>
      <c r="EE2" s="271"/>
      <c r="EF2" s="271" t="s">
        <v>213</v>
      </c>
      <c r="EG2" s="271"/>
      <c r="EH2" s="271" t="s">
        <v>213</v>
      </c>
      <c r="EI2" s="271"/>
      <c r="EJ2" s="271" t="s">
        <v>213</v>
      </c>
      <c r="EK2" s="271"/>
      <c r="EL2" s="271" t="s">
        <v>213</v>
      </c>
      <c r="EM2" s="271"/>
      <c r="EN2" s="271" t="s">
        <v>213</v>
      </c>
      <c r="EO2" s="271"/>
      <c r="EP2" s="271" t="s">
        <v>213</v>
      </c>
      <c r="EQ2" s="271"/>
      <c r="ER2" s="271" t="s">
        <v>213</v>
      </c>
      <c r="ES2" s="271"/>
      <c r="ET2" s="271" t="s">
        <v>213</v>
      </c>
      <c r="EU2" s="271"/>
      <c r="EV2" s="271" t="s">
        <v>213</v>
      </c>
      <c r="EW2" s="271"/>
      <c r="EX2" s="271" t="s">
        <v>213</v>
      </c>
      <c r="EY2" s="271"/>
      <c r="EZ2" s="271" t="s">
        <v>213</v>
      </c>
      <c r="FA2" s="271"/>
      <c r="FB2" s="271" t="s">
        <v>213</v>
      </c>
      <c r="FC2" s="271"/>
      <c r="FD2" s="271" t="s">
        <v>213</v>
      </c>
      <c r="FE2" s="271"/>
      <c r="FF2" s="271" t="s">
        <v>213</v>
      </c>
      <c r="FG2" s="271"/>
      <c r="FH2" s="271" t="s">
        <v>213</v>
      </c>
      <c r="FI2" s="271"/>
      <c r="FJ2" s="271" t="s">
        <v>213</v>
      </c>
      <c r="FK2" s="271"/>
      <c r="FL2" s="268" t="s">
        <v>213</v>
      </c>
      <c r="FM2" s="268"/>
    </row>
    <row r="3" spans="1:169" s="23" customFormat="1" ht="49.5" customHeight="1">
      <c r="B3" s="220" t="s">
        <v>67</v>
      </c>
      <c r="C3" s="221"/>
      <c r="D3" s="220" t="s">
        <v>215</v>
      </c>
      <c r="E3" s="221"/>
      <c r="F3" s="220"/>
      <c r="G3" s="221"/>
      <c r="H3" s="220" t="s">
        <v>215</v>
      </c>
      <c r="I3" s="221"/>
      <c r="J3" s="220" t="s">
        <v>215</v>
      </c>
      <c r="K3" s="221"/>
      <c r="L3" s="220"/>
      <c r="M3" s="221"/>
      <c r="N3" s="220"/>
      <c r="O3" s="221"/>
      <c r="P3" s="220" t="s">
        <v>215</v>
      </c>
      <c r="Q3" s="221"/>
      <c r="R3" s="220" t="s">
        <v>215</v>
      </c>
      <c r="S3" s="221"/>
      <c r="T3" s="220"/>
      <c r="U3" s="221"/>
      <c r="V3" s="220" t="s">
        <v>216</v>
      </c>
      <c r="W3" s="221"/>
      <c r="X3" s="220" t="s">
        <v>216</v>
      </c>
      <c r="Y3" s="221"/>
      <c r="Z3" s="220" t="s">
        <v>216</v>
      </c>
      <c r="AA3" s="221"/>
      <c r="AB3" s="277" t="s">
        <v>216</v>
      </c>
      <c r="AC3" s="278"/>
      <c r="AD3" s="220"/>
      <c r="AE3" s="221"/>
      <c r="AF3" s="220" t="s">
        <v>216</v>
      </c>
      <c r="AG3" s="221"/>
      <c r="AH3" s="220" t="s">
        <v>215</v>
      </c>
      <c r="AI3" s="221"/>
      <c r="AJ3" s="220" t="s">
        <v>215</v>
      </c>
      <c r="AK3" s="221"/>
      <c r="AL3" s="220" t="s">
        <v>215</v>
      </c>
      <c r="AM3" s="221"/>
      <c r="AN3" s="220" t="s">
        <v>215</v>
      </c>
      <c r="AO3" s="221"/>
      <c r="AP3" s="277" t="s">
        <v>215</v>
      </c>
      <c r="AQ3" s="278"/>
      <c r="AR3" s="220" t="s">
        <v>215</v>
      </c>
      <c r="AS3" s="221"/>
      <c r="AT3" s="220" t="s">
        <v>215</v>
      </c>
      <c r="AU3" s="221"/>
      <c r="AV3" s="277" t="s">
        <v>215</v>
      </c>
      <c r="AW3" s="278"/>
      <c r="AX3" s="220" t="s">
        <v>215</v>
      </c>
      <c r="AY3" s="221"/>
      <c r="AZ3" s="220" t="s">
        <v>215</v>
      </c>
      <c r="BA3" s="221"/>
      <c r="BB3" s="220" t="s">
        <v>215</v>
      </c>
      <c r="BC3" s="221"/>
      <c r="BD3" s="220"/>
      <c r="BE3" s="221"/>
      <c r="BF3" s="220"/>
      <c r="BG3" s="221"/>
      <c r="BH3" s="220" t="s">
        <v>215</v>
      </c>
      <c r="BI3" s="221"/>
      <c r="BJ3" s="220" t="s">
        <v>215</v>
      </c>
      <c r="BK3" s="221"/>
      <c r="BL3" s="220" t="s">
        <v>215</v>
      </c>
      <c r="BM3" s="221"/>
      <c r="BN3" s="220" t="s">
        <v>215</v>
      </c>
      <c r="BO3" s="221"/>
      <c r="BP3" s="220" t="s">
        <v>215</v>
      </c>
      <c r="BQ3" s="221"/>
      <c r="BR3" s="220" t="s">
        <v>215</v>
      </c>
      <c r="BS3" s="221"/>
      <c r="BT3" s="220" t="s">
        <v>215</v>
      </c>
      <c r="BU3" s="221"/>
      <c r="BV3" s="220" t="s">
        <v>215</v>
      </c>
      <c r="BW3" s="221"/>
      <c r="BX3" s="220" t="s">
        <v>215</v>
      </c>
      <c r="BY3" s="221"/>
      <c r="BZ3" s="220" t="s">
        <v>66</v>
      </c>
      <c r="CA3" s="221"/>
      <c r="CB3" s="220" t="s">
        <v>66</v>
      </c>
      <c r="CC3" s="221"/>
      <c r="CD3" s="220" t="s">
        <v>66</v>
      </c>
      <c r="CE3" s="221"/>
      <c r="CF3" s="113"/>
      <c r="CG3" s="113"/>
      <c r="CH3" s="220" t="s">
        <v>67</v>
      </c>
      <c r="CI3" s="221"/>
      <c r="CJ3" s="220" t="s">
        <v>67</v>
      </c>
      <c r="CK3" s="221"/>
      <c r="CL3" s="220" t="s">
        <v>215</v>
      </c>
      <c r="CM3" s="221"/>
      <c r="CN3" s="220"/>
      <c r="CO3" s="221"/>
      <c r="CP3" s="220" t="s">
        <v>215</v>
      </c>
      <c r="CQ3" s="221"/>
      <c r="CR3" s="220" t="s">
        <v>215</v>
      </c>
      <c r="CS3" s="221"/>
      <c r="CT3" s="220" t="s">
        <v>215</v>
      </c>
      <c r="CU3" s="221"/>
      <c r="CV3" s="220" t="s">
        <v>215</v>
      </c>
      <c r="CW3" s="221"/>
      <c r="CX3" s="220" t="s">
        <v>215</v>
      </c>
      <c r="CY3" s="221"/>
      <c r="CZ3" s="220" t="s">
        <v>215</v>
      </c>
      <c r="DA3" s="221"/>
      <c r="DB3" s="220" t="s">
        <v>215</v>
      </c>
      <c r="DC3" s="221"/>
      <c r="DD3" s="220" t="s">
        <v>215</v>
      </c>
      <c r="DE3" s="221"/>
      <c r="DF3" s="220" t="s">
        <v>215</v>
      </c>
      <c r="DG3" s="221"/>
      <c r="DH3" s="220" t="s">
        <v>215</v>
      </c>
      <c r="DI3" s="221"/>
      <c r="DJ3" s="277" t="s">
        <v>215</v>
      </c>
      <c r="DK3" s="278"/>
      <c r="DL3" s="220" t="s">
        <v>65</v>
      </c>
      <c r="DM3" s="221"/>
      <c r="DN3" s="220" t="s">
        <v>65</v>
      </c>
      <c r="DO3" s="221"/>
      <c r="DP3" s="220" t="s">
        <v>65</v>
      </c>
      <c r="DQ3" s="221"/>
      <c r="DR3" s="220" t="s">
        <v>65</v>
      </c>
      <c r="DS3" s="221"/>
      <c r="DT3" s="220" t="s">
        <v>65</v>
      </c>
      <c r="DU3" s="221"/>
      <c r="DV3" s="220" t="s">
        <v>217</v>
      </c>
      <c r="DW3" s="221"/>
      <c r="DX3" s="220" t="s">
        <v>65</v>
      </c>
      <c r="DY3" s="221"/>
      <c r="DZ3" s="220" t="s">
        <v>216</v>
      </c>
      <c r="EA3" s="221"/>
      <c r="EB3" s="220" t="s">
        <v>65</v>
      </c>
      <c r="EC3" s="221"/>
      <c r="ED3" s="220" t="s">
        <v>65</v>
      </c>
      <c r="EE3" s="221"/>
      <c r="EF3" s="220" t="s">
        <v>65</v>
      </c>
      <c r="EG3" s="221"/>
      <c r="EH3" s="220" t="s">
        <v>65</v>
      </c>
      <c r="EI3" s="221"/>
      <c r="EJ3" s="220" t="s">
        <v>65</v>
      </c>
      <c r="EK3" s="221"/>
      <c r="EL3" s="220" t="s">
        <v>67</v>
      </c>
      <c r="EM3" s="221"/>
      <c r="EN3" s="220" t="s">
        <v>67</v>
      </c>
      <c r="EO3" s="221"/>
      <c r="EP3" s="220" t="s">
        <v>67</v>
      </c>
      <c r="EQ3" s="221"/>
      <c r="ER3" s="220" t="s">
        <v>67</v>
      </c>
      <c r="ES3" s="221"/>
      <c r="ET3" s="220" t="s">
        <v>67</v>
      </c>
      <c r="EU3" s="221"/>
      <c r="EV3" s="220" t="s">
        <v>67</v>
      </c>
      <c r="EW3" s="221"/>
      <c r="EX3" s="220" t="s">
        <v>67</v>
      </c>
      <c r="EY3" s="221"/>
      <c r="EZ3" s="220" t="s">
        <v>67</v>
      </c>
      <c r="FA3" s="221"/>
      <c r="FB3" s="220" t="s">
        <v>67</v>
      </c>
      <c r="FC3" s="221"/>
      <c r="FD3" s="220" t="s">
        <v>67</v>
      </c>
      <c r="FE3" s="221"/>
      <c r="FF3" s="220" t="s">
        <v>67</v>
      </c>
      <c r="FG3" s="221"/>
      <c r="FH3" s="220" t="s">
        <v>67</v>
      </c>
      <c r="FI3" s="221"/>
      <c r="FJ3" s="220" t="s">
        <v>67</v>
      </c>
      <c r="FK3" s="221"/>
      <c r="FL3" s="277" t="s">
        <v>215</v>
      </c>
      <c r="FM3" s="278"/>
    </row>
    <row r="4" spans="1:169" s="23" customFormat="1" ht="30" customHeight="1">
      <c r="B4" s="220" t="s">
        <v>218</v>
      </c>
      <c r="C4" s="221"/>
      <c r="D4" s="220" t="s">
        <v>218</v>
      </c>
      <c r="E4" s="221"/>
      <c r="F4" s="110"/>
      <c r="G4" s="111"/>
      <c r="H4" s="220" t="s">
        <v>218</v>
      </c>
      <c r="I4" s="221"/>
      <c r="J4" s="220" t="s">
        <v>219</v>
      </c>
      <c r="K4" s="221"/>
      <c r="L4" s="110"/>
      <c r="M4" s="111"/>
      <c r="N4" s="220"/>
      <c r="O4" s="221"/>
      <c r="P4" s="220" t="s">
        <v>220</v>
      </c>
      <c r="Q4" s="221"/>
      <c r="R4" s="220" t="s">
        <v>220</v>
      </c>
      <c r="S4" s="221"/>
      <c r="T4" s="110"/>
      <c r="U4" s="111"/>
      <c r="V4" s="220" t="s">
        <v>220</v>
      </c>
      <c r="W4" s="221"/>
      <c r="X4" s="220" t="s">
        <v>220</v>
      </c>
      <c r="Y4" s="221"/>
      <c r="Z4" s="220" t="s">
        <v>220</v>
      </c>
      <c r="AA4" s="221"/>
      <c r="AB4" s="277" t="s">
        <v>220</v>
      </c>
      <c r="AC4" s="278"/>
      <c r="AD4" s="110"/>
      <c r="AE4" s="111"/>
      <c r="AF4" s="220" t="s">
        <v>220</v>
      </c>
      <c r="AG4" s="221"/>
      <c r="AH4" s="220" t="s">
        <v>220</v>
      </c>
      <c r="AI4" s="221"/>
      <c r="AJ4" s="220" t="s">
        <v>218</v>
      </c>
      <c r="AK4" s="221"/>
      <c r="AL4" s="220" t="s">
        <v>218</v>
      </c>
      <c r="AM4" s="221"/>
      <c r="AN4" s="220" t="s">
        <v>218</v>
      </c>
      <c r="AO4" s="221"/>
      <c r="AP4" s="277" t="s">
        <v>219</v>
      </c>
      <c r="AQ4" s="278"/>
      <c r="AR4" s="220" t="s">
        <v>218</v>
      </c>
      <c r="AS4" s="221"/>
      <c r="AT4" s="220" t="s">
        <v>218</v>
      </c>
      <c r="AU4" s="221"/>
      <c r="AV4" s="277" t="s">
        <v>218</v>
      </c>
      <c r="AW4" s="278"/>
      <c r="AX4" s="220" t="s">
        <v>220</v>
      </c>
      <c r="AY4" s="221"/>
      <c r="AZ4" s="220" t="s">
        <v>218</v>
      </c>
      <c r="BA4" s="221"/>
      <c r="BB4" s="220" t="s">
        <v>218</v>
      </c>
      <c r="BC4" s="221"/>
      <c r="BD4" s="110"/>
      <c r="BE4" s="111"/>
      <c r="BF4" s="110"/>
      <c r="BG4" s="111"/>
      <c r="BH4" s="220" t="s">
        <v>219</v>
      </c>
      <c r="BI4" s="221"/>
      <c r="BJ4" s="220" t="s">
        <v>220</v>
      </c>
      <c r="BK4" s="221"/>
      <c r="BL4" s="220" t="s">
        <v>218</v>
      </c>
      <c r="BM4" s="221"/>
      <c r="BN4" s="220" t="s">
        <v>218</v>
      </c>
      <c r="BO4" s="221"/>
      <c r="BP4" s="220" t="s">
        <v>218</v>
      </c>
      <c r="BQ4" s="221"/>
      <c r="BR4" s="220" t="s">
        <v>218</v>
      </c>
      <c r="BS4" s="221"/>
      <c r="BT4" s="220" t="s">
        <v>218</v>
      </c>
      <c r="BU4" s="221"/>
      <c r="BV4" s="220" t="s">
        <v>218</v>
      </c>
      <c r="BW4" s="221"/>
      <c r="BX4" s="220" t="s">
        <v>218</v>
      </c>
      <c r="BY4" s="221"/>
      <c r="BZ4" s="220" t="s">
        <v>220</v>
      </c>
      <c r="CA4" s="221"/>
      <c r="CB4" s="220" t="s">
        <v>220</v>
      </c>
      <c r="CC4" s="221"/>
      <c r="CD4" s="220" t="s">
        <v>220</v>
      </c>
      <c r="CE4" s="221"/>
      <c r="CF4" s="220" t="s">
        <v>218</v>
      </c>
      <c r="CG4" s="221"/>
      <c r="CH4" s="220" t="s">
        <v>218</v>
      </c>
      <c r="CI4" s="221"/>
      <c r="CJ4" s="220" t="s">
        <v>218</v>
      </c>
      <c r="CK4" s="221"/>
      <c r="CL4" s="220" t="s">
        <v>218</v>
      </c>
      <c r="CM4" s="221"/>
      <c r="CN4" s="110"/>
      <c r="CO4" s="111"/>
      <c r="CP4" s="220" t="s">
        <v>219</v>
      </c>
      <c r="CQ4" s="221"/>
      <c r="CR4" s="220" t="s">
        <v>221</v>
      </c>
      <c r="CS4" s="221"/>
      <c r="CT4" s="220" t="s">
        <v>219</v>
      </c>
      <c r="CU4" s="221"/>
      <c r="CV4" s="220" t="s">
        <v>220</v>
      </c>
      <c r="CW4" s="221"/>
      <c r="CX4" s="220" t="s">
        <v>218</v>
      </c>
      <c r="CY4" s="221"/>
      <c r="CZ4" s="220" t="s">
        <v>218</v>
      </c>
      <c r="DA4" s="221"/>
      <c r="DB4" s="110"/>
      <c r="DC4" s="111"/>
      <c r="DD4" s="220" t="s">
        <v>219</v>
      </c>
      <c r="DE4" s="221"/>
      <c r="DF4" s="220" t="s">
        <v>220</v>
      </c>
      <c r="DG4" s="221"/>
      <c r="DH4" s="220" t="s">
        <v>220</v>
      </c>
      <c r="DI4" s="221"/>
      <c r="DJ4" s="277" t="s">
        <v>219</v>
      </c>
      <c r="DK4" s="278"/>
      <c r="DL4" s="220" t="s">
        <v>218</v>
      </c>
      <c r="DM4" s="221"/>
      <c r="DN4" s="220" t="s">
        <v>218</v>
      </c>
      <c r="DO4" s="221"/>
      <c r="DP4" s="220" t="s">
        <v>218</v>
      </c>
      <c r="DQ4" s="221"/>
      <c r="DR4" s="220" t="s">
        <v>218</v>
      </c>
      <c r="DS4" s="221"/>
      <c r="DT4" s="220" t="s">
        <v>220</v>
      </c>
      <c r="DU4" s="221"/>
      <c r="DV4" s="220" t="s">
        <v>220</v>
      </c>
      <c r="DW4" s="221"/>
      <c r="DX4" s="220" t="s">
        <v>222</v>
      </c>
      <c r="DY4" s="221"/>
      <c r="DZ4" s="220" t="s">
        <v>223</v>
      </c>
      <c r="EA4" s="221"/>
      <c r="EB4" s="220" t="s">
        <v>222</v>
      </c>
      <c r="EC4" s="221"/>
      <c r="ED4" s="220" t="s">
        <v>218</v>
      </c>
      <c r="EE4" s="221"/>
      <c r="EF4" s="220" t="s">
        <v>218</v>
      </c>
      <c r="EG4" s="221"/>
      <c r="EH4" s="220" t="s">
        <v>220</v>
      </c>
      <c r="EI4" s="221"/>
      <c r="EJ4" s="220" t="s">
        <v>220</v>
      </c>
      <c r="EK4" s="221"/>
      <c r="EL4" s="220" t="s">
        <v>218</v>
      </c>
      <c r="EM4" s="221"/>
      <c r="EN4" s="220" t="s">
        <v>218</v>
      </c>
      <c r="EO4" s="221"/>
      <c r="EP4" s="220" t="s">
        <v>218</v>
      </c>
      <c r="EQ4" s="221"/>
      <c r="ER4" s="220" t="s">
        <v>218</v>
      </c>
      <c r="ES4" s="221"/>
      <c r="ET4" s="220" t="s">
        <v>218</v>
      </c>
      <c r="EU4" s="221"/>
      <c r="EV4" s="220" t="s">
        <v>218</v>
      </c>
      <c r="EW4" s="221"/>
      <c r="EX4" s="220" t="s">
        <v>218</v>
      </c>
      <c r="EY4" s="221"/>
      <c r="EZ4" s="220" t="s">
        <v>220</v>
      </c>
      <c r="FA4" s="221"/>
      <c r="FB4" s="220" t="s">
        <v>218</v>
      </c>
      <c r="FC4" s="221"/>
      <c r="FD4" s="220" t="s">
        <v>218</v>
      </c>
      <c r="FE4" s="221"/>
      <c r="FF4" s="220" t="s">
        <v>222</v>
      </c>
      <c r="FG4" s="221"/>
      <c r="FH4" s="220" t="s">
        <v>218</v>
      </c>
      <c r="FI4" s="221"/>
      <c r="FJ4" s="220" t="s">
        <v>222</v>
      </c>
      <c r="FK4" s="221"/>
      <c r="FL4" s="277" t="s">
        <v>218</v>
      </c>
      <c r="FM4" s="278"/>
    </row>
    <row r="5" spans="1:169" s="84" customFormat="1" ht="138.75" customHeight="1">
      <c r="B5" s="274" t="s">
        <v>78</v>
      </c>
      <c r="C5" s="274"/>
      <c r="D5" s="274" t="s">
        <v>224</v>
      </c>
      <c r="E5" s="274"/>
      <c r="F5" s="274" t="s">
        <v>79</v>
      </c>
      <c r="G5" s="274"/>
      <c r="H5" s="274" t="s">
        <v>225</v>
      </c>
      <c r="I5" s="274"/>
      <c r="J5" s="274" t="s">
        <v>226</v>
      </c>
      <c r="K5" s="274"/>
      <c r="L5" s="274" t="s">
        <v>78</v>
      </c>
      <c r="M5" s="274"/>
      <c r="N5" s="274" t="s">
        <v>80</v>
      </c>
      <c r="O5" s="274"/>
      <c r="P5" s="274" t="s">
        <v>227</v>
      </c>
      <c r="Q5" s="274"/>
      <c r="R5" s="274" t="s">
        <v>227</v>
      </c>
      <c r="S5" s="274"/>
      <c r="T5" s="274" t="s">
        <v>68</v>
      </c>
      <c r="U5" s="274"/>
      <c r="V5" s="274" t="s">
        <v>228</v>
      </c>
      <c r="W5" s="274"/>
      <c r="X5" s="274" t="s">
        <v>229</v>
      </c>
      <c r="Y5" s="274"/>
      <c r="Z5" s="274" t="s">
        <v>230</v>
      </c>
      <c r="AA5" s="274"/>
      <c r="AB5" s="275" t="s">
        <v>227</v>
      </c>
      <c r="AC5" s="275"/>
      <c r="AD5" s="274" t="s">
        <v>69</v>
      </c>
      <c r="AE5" s="274"/>
      <c r="AF5" s="274" t="s">
        <v>231</v>
      </c>
      <c r="AG5" s="274"/>
      <c r="AH5" s="274" t="s">
        <v>232</v>
      </c>
      <c r="AI5" s="274"/>
      <c r="AJ5" s="274" t="s">
        <v>233</v>
      </c>
      <c r="AK5" s="274"/>
      <c r="AL5" s="274" t="s">
        <v>225</v>
      </c>
      <c r="AM5" s="274"/>
      <c r="AN5" s="274" t="s">
        <v>234</v>
      </c>
      <c r="AO5" s="274"/>
      <c r="AP5" s="275" t="s">
        <v>235</v>
      </c>
      <c r="AQ5" s="275"/>
      <c r="AR5" s="274" t="s">
        <v>236</v>
      </c>
      <c r="AS5" s="274"/>
      <c r="AT5" s="274" t="s">
        <v>237</v>
      </c>
      <c r="AU5" s="274"/>
      <c r="AV5" s="275" t="s">
        <v>238</v>
      </c>
      <c r="AW5" s="275"/>
      <c r="AX5" s="274" t="s">
        <v>227</v>
      </c>
      <c r="AY5" s="274"/>
      <c r="AZ5" s="274" t="s">
        <v>225</v>
      </c>
      <c r="BA5" s="274"/>
      <c r="BB5" s="274" t="s">
        <v>239</v>
      </c>
      <c r="BC5" s="274"/>
      <c r="BD5" s="274" t="s">
        <v>71</v>
      </c>
      <c r="BE5" s="274"/>
      <c r="BF5" s="274" t="s">
        <v>72</v>
      </c>
      <c r="BG5" s="274"/>
      <c r="BH5" s="274" t="s">
        <v>240</v>
      </c>
      <c r="BI5" s="274"/>
      <c r="BJ5" s="274" t="s">
        <v>241</v>
      </c>
      <c r="BK5" s="274"/>
      <c r="BL5" s="274" t="s">
        <v>242</v>
      </c>
      <c r="BM5" s="274"/>
      <c r="BN5" s="274" t="s">
        <v>243</v>
      </c>
      <c r="BO5" s="274"/>
      <c r="BP5" s="274" t="s">
        <v>244</v>
      </c>
      <c r="BQ5" s="274"/>
      <c r="BR5" s="274" t="s">
        <v>245</v>
      </c>
      <c r="BS5" s="274"/>
      <c r="BT5" s="274" t="s">
        <v>246</v>
      </c>
      <c r="BU5" s="274"/>
      <c r="BV5" s="274" t="s">
        <v>247</v>
      </c>
      <c r="BW5" s="274"/>
      <c r="BX5" s="274" t="s">
        <v>245</v>
      </c>
      <c r="BY5" s="274"/>
      <c r="BZ5" s="274" t="s">
        <v>74</v>
      </c>
      <c r="CA5" s="274"/>
      <c r="CB5" s="274" t="s">
        <v>75</v>
      </c>
      <c r="CC5" s="274"/>
      <c r="CD5" s="274" t="s">
        <v>76</v>
      </c>
      <c r="CE5" s="274"/>
      <c r="CF5" s="274" t="s">
        <v>77</v>
      </c>
      <c r="CG5" s="274"/>
      <c r="CH5" s="274" t="s">
        <v>248</v>
      </c>
      <c r="CI5" s="274"/>
      <c r="CJ5" s="274" t="s">
        <v>248</v>
      </c>
      <c r="CK5" s="274"/>
      <c r="CL5" s="274" t="s">
        <v>249</v>
      </c>
      <c r="CM5" s="274"/>
      <c r="CN5" s="274" t="s">
        <v>70</v>
      </c>
      <c r="CO5" s="274"/>
      <c r="CP5" s="276" t="s">
        <v>250</v>
      </c>
      <c r="CQ5" s="276"/>
      <c r="CR5" s="276" t="s">
        <v>221</v>
      </c>
      <c r="CS5" s="276"/>
      <c r="CT5" s="276" t="s">
        <v>251</v>
      </c>
      <c r="CU5" s="276"/>
      <c r="CV5" s="276" t="s">
        <v>252</v>
      </c>
      <c r="CW5" s="276"/>
      <c r="CX5" s="276" t="s">
        <v>253</v>
      </c>
      <c r="CY5" s="276"/>
      <c r="CZ5" s="276" t="s">
        <v>254</v>
      </c>
      <c r="DA5" s="276"/>
      <c r="DB5" s="274" t="s">
        <v>73</v>
      </c>
      <c r="DC5" s="274"/>
      <c r="DD5" s="274" t="s">
        <v>255</v>
      </c>
      <c r="DE5" s="274"/>
      <c r="DF5" s="274" t="s">
        <v>256</v>
      </c>
      <c r="DG5" s="274"/>
      <c r="DH5" s="274" t="s">
        <v>257</v>
      </c>
      <c r="DI5" s="274"/>
      <c r="DJ5" s="275" t="s">
        <v>255</v>
      </c>
      <c r="DK5" s="275"/>
      <c r="DL5" s="274" t="s">
        <v>258</v>
      </c>
      <c r="DM5" s="274"/>
      <c r="DN5" s="274" t="s">
        <v>258</v>
      </c>
      <c r="DO5" s="274"/>
      <c r="DP5" s="274" t="s">
        <v>259</v>
      </c>
      <c r="DQ5" s="274"/>
      <c r="DR5" s="274" t="s">
        <v>259</v>
      </c>
      <c r="DS5" s="274"/>
      <c r="DT5" s="274" t="s">
        <v>231</v>
      </c>
      <c r="DU5" s="274"/>
      <c r="DV5" s="274" t="s">
        <v>260</v>
      </c>
      <c r="DW5" s="274"/>
      <c r="DX5" s="276" t="s">
        <v>261</v>
      </c>
      <c r="DY5" s="276"/>
      <c r="DZ5" s="274" t="s">
        <v>225</v>
      </c>
      <c r="EA5" s="274"/>
      <c r="EB5" s="276" t="s">
        <v>262</v>
      </c>
      <c r="EC5" s="276"/>
      <c r="ED5" s="276" t="s">
        <v>263</v>
      </c>
      <c r="EE5" s="276"/>
      <c r="EF5" s="276" t="s">
        <v>264</v>
      </c>
      <c r="EG5" s="276"/>
      <c r="EH5" s="276" t="s">
        <v>227</v>
      </c>
      <c r="EI5" s="276"/>
      <c r="EJ5" s="276" t="s">
        <v>265</v>
      </c>
      <c r="EK5" s="276"/>
      <c r="EL5" s="274" t="s">
        <v>266</v>
      </c>
      <c r="EM5" s="274"/>
      <c r="EN5" s="274" t="s">
        <v>267</v>
      </c>
      <c r="EO5" s="274"/>
      <c r="EP5" s="274" t="s">
        <v>268</v>
      </c>
      <c r="EQ5" s="274"/>
      <c r="ER5" s="274" t="s">
        <v>269</v>
      </c>
      <c r="ES5" s="274"/>
      <c r="ET5" s="274" t="s">
        <v>267</v>
      </c>
      <c r="EU5" s="274"/>
      <c r="EV5" s="274" t="s">
        <v>268</v>
      </c>
      <c r="EW5" s="274"/>
      <c r="EX5" s="274" t="s">
        <v>270</v>
      </c>
      <c r="EY5" s="274"/>
      <c r="EZ5" s="274" t="s">
        <v>265</v>
      </c>
      <c r="FA5" s="274"/>
      <c r="FB5" s="274" t="s">
        <v>271</v>
      </c>
      <c r="FC5" s="274"/>
      <c r="FD5" s="274" t="s">
        <v>272</v>
      </c>
      <c r="FE5" s="274"/>
      <c r="FF5" s="274" t="s">
        <v>273</v>
      </c>
      <c r="FG5" s="274"/>
      <c r="FH5" s="274" t="s">
        <v>274</v>
      </c>
      <c r="FI5" s="274"/>
      <c r="FJ5" s="274" t="s">
        <v>275</v>
      </c>
      <c r="FK5" s="274"/>
      <c r="FL5" s="275" t="s">
        <v>276</v>
      </c>
      <c r="FM5" s="275"/>
    </row>
    <row r="6" spans="1:169" s="23" customFormat="1" ht="30" customHeight="1">
      <c r="B6" s="271">
        <v>5065544</v>
      </c>
      <c r="C6" s="271"/>
      <c r="D6" s="220"/>
      <c r="E6" s="221"/>
      <c r="F6" s="271">
        <v>5065541</v>
      </c>
      <c r="G6" s="271"/>
      <c r="H6" s="220"/>
      <c r="I6" s="221"/>
      <c r="J6" s="220"/>
      <c r="K6" s="221"/>
      <c r="L6" s="271">
        <v>5065542</v>
      </c>
      <c r="M6" s="271"/>
      <c r="N6" s="271">
        <v>5065540</v>
      </c>
      <c r="O6" s="271"/>
      <c r="P6" s="220"/>
      <c r="Q6" s="221"/>
      <c r="R6" s="220"/>
      <c r="S6" s="221"/>
      <c r="T6" s="271">
        <v>5065546</v>
      </c>
      <c r="U6" s="271"/>
      <c r="V6" s="220"/>
      <c r="W6" s="221"/>
      <c r="X6" s="220"/>
      <c r="Y6" s="221"/>
      <c r="Z6" s="220"/>
      <c r="AA6" s="221"/>
      <c r="AB6" s="220"/>
      <c r="AC6" s="221"/>
      <c r="AD6" s="271">
        <v>5065547</v>
      </c>
      <c r="AE6" s="271"/>
      <c r="AF6" s="220"/>
      <c r="AG6" s="221"/>
      <c r="AH6" s="272"/>
      <c r="AI6" s="273"/>
      <c r="AJ6" s="272"/>
      <c r="AK6" s="273"/>
      <c r="AL6" s="272"/>
      <c r="AM6" s="273"/>
      <c r="AN6" s="272"/>
      <c r="AO6" s="273"/>
      <c r="AP6" s="272"/>
      <c r="AQ6" s="273"/>
      <c r="AR6" s="272"/>
      <c r="AS6" s="273"/>
      <c r="AT6" s="272"/>
      <c r="AU6" s="273"/>
      <c r="AV6" s="272"/>
      <c r="AW6" s="273"/>
      <c r="AX6" s="272"/>
      <c r="AY6" s="273"/>
      <c r="AZ6" s="272"/>
      <c r="BA6" s="273"/>
      <c r="BB6" s="272"/>
      <c r="BC6" s="273"/>
      <c r="BD6" s="271">
        <v>5065548</v>
      </c>
      <c r="BE6" s="271"/>
      <c r="BF6" s="271">
        <v>5465545</v>
      </c>
      <c r="BG6" s="271"/>
      <c r="BH6" s="220"/>
      <c r="BI6" s="221"/>
      <c r="BJ6" s="220"/>
      <c r="BK6" s="221"/>
      <c r="BL6" s="220"/>
      <c r="BM6" s="221"/>
      <c r="BN6" s="220"/>
      <c r="BO6" s="221"/>
      <c r="BP6" s="220"/>
      <c r="BQ6" s="221"/>
      <c r="BR6" s="220"/>
      <c r="BS6" s="221"/>
      <c r="BT6" s="220"/>
      <c r="BU6" s="221"/>
      <c r="BV6" s="220"/>
      <c r="BW6" s="221"/>
      <c r="BX6" s="220"/>
      <c r="BY6" s="221"/>
      <c r="BZ6" s="271">
        <v>5018351</v>
      </c>
      <c r="CA6" s="271"/>
      <c r="CB6" s="271">
        <v>5018354</v>
      </c>
      <c r="CC6" s="271"/>
      <c r="CD6" s="271">
        <v>5018350</v>
      </c>
      <c r="CE6" s="271"/>
      <c r="CF6" s="271">
        <v>5065543</v>
      </c>
      <c r="CG6" s="271"/>
      <c r="CH6" s="220"/>
      <c r="CI6" s="221"/>
      <c r="CJ6" s="220"/>
      <c r="CK6" s="221"/>
      <c r="CL6" s="220"/>
      <c r="CM6" s="221"/>
      <c r="CN6" s="271">
        <v>5008272</v>
      </c>
      <c r="CO6" s="271"/>
      <c r="CP6" s="220"/>
      <c r="CQ6" s="221"/>
      <c r="CR6" s="220"/>
      <c r="CS6" s="221"/>
      <c r="CT6" s="220"/>
      <c r="CU6" s="221"/>
      <c r="CV6" s="220"/>
      <c r="CW6" s="221"/>
      <c r="CX6" s="220"/>
      <c r="CY6" s="221"/>
      <c r="CZ6" s="220"/>
      <c r="DA6" s="221"/>
      <c r="DB6" s="271">
        <v>5008273</v>
      </c>
      <c r="DC6" s="271"/>
      <c r="DD6" s="220"/>
      <c r="DE6" s="221"/>
      <c r="DF6" s="220"/>
      <c r="DG6" s="221"/>
      <c r="DH6" s="220"/>
      <c r="DI6" s="221"/>
      <c r="DJ6" s="220"/>
      <c r="DK6" s="221"/>
      <c r="DL6" s="220"/>
      <c r="DM6" s="221"/>
      <c r="DN6" s="220"/>
      <c r="DO6" s="221"/>
      <c r="DP6" s="220"/>
      <c r="DQ6" s="221"/>
      <c r="DR6" s="220"/>
      <c r="DS6" s="221"/>
      <c r="DT6" s="220"/>
      <c r="DU6" s="221"/>
      <c r="DV6" s="220"/>
      <c r="DW6" s="221"/>
      <c r="DX6" s="220"/>
      <c r="DY6" s="221"/>
      <c r="DZ6" s="220"/>
      <c r="EA6" s="221"/>
      <c r="EB6" s="220"/>
      <c r="EC6" s="221"/>
      <c r="ED6" s="220"/>
      <c r="EE6" s="221"/>
      <c r="EF6" s="220"/>
      <c r="EG6" s="221"/>
      <c r="EH6" s="220"/>
      <c r="EI6" s="221"/>
      <c r="EJ6" s="220"/>
      <c r="EK6" s="221"/>
      <c r="EL6" s="220"/>
      <c r="EM6" s="221"/>
      <c r="EN6" s="220"/>
      <c r="EO6" s="221"/>
      <c r="EP6" s="220"/>
      <c r="EQ6" s="221"/>
      <c r="ER6" s="220"/>
      <c r="ES6" s="221"/>
      <c r="ET6" s="220"/>
      <c r="EU6" s="221"/>
      <c r="EV6" s="220"/>
      <c r="EW6" s="221"/>
      <c r="EX6" s="220"/>
      <c r="EY6" s="221"/>
      <c r="EZ6" s="220"/>
      <c r="FA6" s="221"/>
      <c r="FB6" s="220"/>
      <c r="FC6" s="221"/>
      <c r="FD6" s="220"/>
      <c r="FE6" s="221"/>
      <c r="FF6" s="220"/>
      <c r="FG6" s="221"/>
      <c r="FH6" s="220"/>
      <c r="FI6" s="221"/>
      <c r="FJ6" s="220"/>
      <c r="FK6" s="221"/>
      <c r="FL6" s="220"/>
      <c r="FM6" s="221"/>
    </row>
    <row r="7" spans="1:169" s="23" customFormat="1" ht="30" customHeight="1">
      <c r="B7" s="259" t="s">
        <v>92</v>
      </c>
      <c r="C7" s="259"/>
      <c r="D7" s="259" t="s">
        <v>92</v>
      </c>
      <c r="E7" s="259"/>
      <c r="F7" s="257" t="s">
        <v>93</v>
      </c>
      <c r="G7" s="257"/>
      <c r="H7" s="258" t="s">
        <v>94</v>
      </c>
      <c r="I7" s="258"/>
      <c r="J7" s="258" t="s">
        <v>94</v>
      </c>
      <c r="K7" s="258"/>
      <c r="L7" s="258" t="s">
        <v>94</v>
      </c>
      <c r="M7" s="258"/>
      <c r="N7" s="260" t="s">
        <v>95</v>
      </c>
      <c r="O7" s="260"/>
      <c r="P7" s="260" t="s">
        <v>95</v>
      </c>
      <c r="Q7" s="260"/>
      <c r="R7" s="260" t="s">
        <v>95</v>
      </c>
      <c r="S7" s="260"/>
      <c r="T7" s="261" t="s">
        <v>82</v>
      </c>
      <c r="U7" s="261"/>
      <c r="V7" s="261" t="s">
        <v>82</v>
      </c>
      <c r="W7" s="261"/>
      <c r="X7" s="261" t="s">
        <v>82</v>
      </c>
      <c r="Y7" s="261"/>
      <c r="Z7" s="261" t="s">
        <v>82</v>
      </c>
      <c r="AA7" s="261"/>
      <c r="AB7" s="261" t="s">
        <v>82</v>
      </c>
      <c r="AC7" s="261"/>
      <c r="AD7" s="263" t="s">
        <v>83</v>
      </c>
      <c r="AE7" s="263"/>
      <c r="AF7" s="263" t="s">
        <v>83</v>
      </c>
      <c r="AG7" s="263"/>
      <c r="AH7" s="270" t="s">
        <v>85</v>
      </c>
      <c r="AI7" s="270"/>
      <c r="AJ7" s="270" t="s">
        <v>85</v>
      </c>
      <c r="AK7" s="270"/>
      <c r="AL7" s="270" t="s">
        <v>85</v>
      </c>
      <c r="AM7" s="270"/>
      <c r="AN7" s="270" t="s">
        <v>85</v>
      </c>
      <c r="AO7" s="270"/>
      <c r="AP7" s="270" t="s">
        <v>85</v>
      </c>
      <c r="AQ7" s="270"/>
      <c r="AR7" s="270" t="s">
        <v>85</v>
      </c>
      <c r="AS7" s="270"/>
      <c r="AT7" s="270" t="s">
        <v>85</v>
      </c>
      <c r="AU7" s="270"/>
      <c r="AV7" s="270" t="s">
        <v>85</v>
      </c>
      <c r="AW7" s="270"/>
      <c r="AX7" s="270" t="s">
        <v>85</v>
      </c>
      <c r="AY7" s="270"/>
      <c r="AZ7" s="270" t="s">
        <v>85</v>
      </c>
      <c r="BA7" s="270"/>
      <c r="BB7" s="270" t="s">
        <v>85</v>
      </c>
      <c r="BC7" s="270"/>
      <c r="BD7" s="270" t="s">
        <v>85</v>
      </c>
      <c r="BE7" s="270"/>
      <c r="BF7" s="265" t="s">
        <v>86</v>
      </c>
      <c r="BG7" s="265"/>
      <c r="BH7" s="265" t="s">
        <v>86</v>
      </c>
      <c r="BI7" s="265"/>
      <c r="BJ7" s="265" t="s">
        <v>86</v>
      </c>
      <c r="BK7" s="265"/>
      <c r="BL7" s="265" t="s">
        <v>86</v>
      </c>
      <c r="BM7" s="265"/>
      <c r="BN7" s="265" t="s">
        <v>86</v>
      </c>
      <c r="BO7" s="265"/>
      <c r="BP7" s="265" t="s">
        <v>86</v>
      </c>
      <c r="BQ7" s="265"/>
      <c r="BR7" s="265" t="s">
        <v>86</v>
      </c>
      <c r="BS7" s="265"/>
      <c r="BT7" s="265" t="s">
        <v>86</v>
      </c>
      <c r="BU7" s="265"/>
      <c r="BV7" s="265" t="s">
        <v>86</v>
      </c>
      <c r="BW7" s="265"/>
      <c r="BX7" s="265" t="s">
        <v>86</v>
      </c>
      <c r="BY7" s="265"/>
      <c r="BZ7" s="266" t="s">
        <v>88</v>
      </c>
      <c r="CA7" s="266"/>
      <c r="CB7" s="267" t="s">
        <v>89</v>
      </c>
      <c r="CC7" s="267"/>
      <c r="CD7" s="268" t="s">
        <v>90</v>
      </c>
      <c r="CE7" s="268"/>
      <c r="CF7" s="269" t="s">
        <v>91</v>
      </c>
      <c r="CG7" s="269"/>
      <c r="CH7" s="269" t="s">
        <v>91</v>
      </c>
      <c r="CI7" s="269"/>
      <c r="CJ7" s="269" t="s">
        <v>91</v>
      </c>
      <c r="CK7" s="269"/>
      <c r="CL7" s="269" t="s">
        <v>91</v>
      </c>
      <c r="CM7" s="269"/>
      <c r="CN7" s="264" t="s">
        <v>84</v>
      </c>
      <c r="CO7" s="264"/>
      <c r="CP7" s="264" t="s">
        <v>84</v>
      </c>
      <c r="CQ7" s="264"/>
      <c r="CR7" s="264" t="s">
        <v>84</v>
      </c>
      <c r="CS7" s="264"/>
      <c r="CT7" s="264" t="s">
        <v>84</v>
      </c>
      <c r="CU7" s="264"/>
      <c r="CV7" s="264" t="s">
        <v>84</v>
      </c>
      <c r="CW7" s="264"/>
      <c r="CX7" s="264" t="s">
        <v>84</v>
      </c>
      <c r="CY7" s="264"/>
      <c r="CZ7" s="264" t="s">
        <v>84</v>
      </c>
      <c r="DA7" s="264"/>
      <c r="DB7" s="262" t="s">
        <v>87</v>
      </c>
      <c r="DC7" s="262"/>
      <c r="DD7" s="262" t="s">
        <v>87</v>
      </c>
      <c r="DE7" s="262"/>
      <c r="DF7" s="262" t="s">
        <v>87</v>
      </c>
      <c r="DG7" s="262"/>
      <c r="DH7" s="262" t="s">
        <v>87</v>
      </c>
      <c r="DI7" s="262"/>
      <c r="DJ7" s="262" t="s">
        <v>87</v>
      </c>
      <c r="DK7" s="262"/>
      <c r="DL7" s="263" t="s">
        <v>83</v>
      </c>
      <c r="DM7" s="263"/>
      <c r="DN7" s="263" t="s">
        <v>83</v>
      </c>
      <c r="DO7" s="263"/>
      <c r="DP7" s="263" t="s">
        <v>83</v>
      </c>
      <c r="DQ7" s="263"/>
      <c r="DR7" s="263" t="s">
        <v>83</v>
      </c>
      <c r="DS7" s="263"/>
      <c r="DT7" s="263" t="s">
        <v>83</v>
      </c>
      <c r="DU7" s="263"/>
      <c r="DV7" s="263" t="s">
        <v>83</v>
      </c>
      <c r="DW7" s="263"/>
      <c r="DX7" s="261" t="s">
        <v>82</v>
      </c>
      <c r="DY7" s="261"/>
      <c r="DZ7" s="261" t="s">
        <v>82</v>
      </c>
      <c r="EA7" s="261"/>
      <c r="EB7" s="261" t="s">
        <v>82</v>
      </c>
      <c r="EC7" s="261"/>
      <c r="ED7" s="261" t="s">
        <v>82</v>
      </c>
      <c r="EE7" s="261"/>
      <c r="EF7" s="261" t="s">
        <v>82</v>
      </c>
      <c r="EG7" s="261"/>
      <c r="EH7" s="261" t="s">
        <v>82</v>
      </c>
      <c r="EI7" s="261"/>
      <c r="EJ7" s="261" t="s">
        <v>82</v>
      </c>
      <c r="EK7" s="261"/>
      <c r="EL7" s="258" t="s">
        <v>94</v>
      </c>
      <c r="EM7" s="258"/>
      <c r="EN7" s="258" t="s">
        <v>94</v>
      </c>
      <c r="EO7" s="258"/>
      <c r="EP7" s="258" t="s">
        <v>94</v>
      </c>
      <c r="EQ7" s="258"/>
      <c r="ER7" s="259" t="s">
        <v>92</v>
      </c>
      <c r="ES7" s="259"/>
      <c r="ET7" s="259" t="s">
        <v>92</v>
      </c>
      <c r="EU7" s="259"/>
      <c r="EV7" s="259" t="s">
        <v>92</v>
      </c>
      <c r="EW7" s="259"/>
      <c r="EX7" s="257" t="s">
        <v>93</v>
      </c>
      <c r="EY7" s="257"/>
      <c r="EZ7" s="260" t="s">
        <v>95</v>
      </c>
      <c r="FA7" s="260"/>
      <c r="FB7" s="260" t="s">
        <v>95</v>
      </c>
      <c r="FC7" s="260"/>
      <c r="FD7" s="260" t="s">
        <v>95</v>
      </c>
      <c r="FE7" s="260"/>
      <c r="FF7" s="257" t="s">
        <v>93</v>
      </c>
      <c r="FG7" s="257"/>
      <c r="FH7" s="257" t="s">
        <v>93</v>
      </c>
      <c r="FI7" s="257"/>
      <c r="FJ7" s="257" t="s">
        <v>93</v>
      </c>
      <c r="FK7" s="257"/>
      <c r="FL7" s="257" t="s">
        <v>93</v>
      </c>
      <c r="FM7" s="257"/>
    </row>
    <row r="8" spans="1:169" s="23" customFormat="1" ht="30" customHeight="1">
      <c r="B8" s="256"/>
      <c r="C8" s="256"/>
      <c r="D8" s="254" t="s">
        <v>277</v>
      </c>
      <c r="E8" s="255"/>
      <c r="F8" s="256"/>
      <c r="G8" s="256"/>
      <c r="H8" s="254" t="s">
        <v>278</v>
      </c>
      <c r="I8" s="255"/>
      <c r="J8" s="254" t="s">
        <v>279</v>
      </c>
      <c r="K8" s="255"/>
      <c r="L8" s="256"/>
      <c r="M8" s="256"/>
      <c r="N8" s="256"/>
      <c r="O8" s="256"/>
      <c r="P8" s="254" t="s">
        <v>280</v>
      </c>
      <c r="Q8" s="255"/>
      <c r="R8" s="254" t="s">
        <v>281</v>
      </c>
      <c r="S8" s="255"/>
      <c r="T8" s="256"/>
      <c r="U8" s="256"/>
      <c r="V8" s="254" t="s">
        <v>282</v>
      </c>
      <c r="W8" s="255"/>
      <c r="X8" s="254" t="s">
        <v>283</v>
      </c>
      <c r="Y8" s="255"/>
      <c r="Z8" s="254" t="s">
        <v>284</v>
      </c>
      <c r="AA8" s="255"/>
      <c r="AB8" s="254" t="s">
        <v>285</v>
      </c>
      <c r="AC8" s="255"/>
      <c r="AD8" s="256"/>
      <c r="AE8" s="256"/>
      <c r="AF8" s="254" t="s">
        <v>286</v>
      </c>
      <c r="AG8" s="255"/>
      <c r="AH8" s="254" t="s">
        <v>287</v>
      </c>
      <c r="AI8" s="255"/>
      <c r="AJ8" s="254" t="s">
        <v>288</v>
      </c>
      <c r="AK8" s="255"/>
      <c r="AL8" s="254" t="s">
        <v>289</v>
      </c>
      <c r="AM8" s="255"/>
      <c r="AN8" s="254" t="s">
        <v>290</v>
      </c>
      <c r="AO8" s="255"/>
      <c r="AP8" s="254" t="s">
        <v>291</v>
      </c>
      <c r="AQ8" s="255"/>
      <c r="AR8" s="254" t="s">
        <v>292</v>
      </c>
      <c r="AS8" s="255"/>
      <c r="AT8" s="254" t="s">
        <v>293</v>
      </c>
      <c r="AU8" s="255"/>
      <c r="AV8" s="254" t="s">
        <v>294</v>
      </c>
      <c r="AW8" s="255"/>
      <c r="AX8" s="254" t="s">
        <v>295</v>
      </c>
      <c r="AY8" s="255"/>
      <c r="AZ8" s="254" t="s">
        <v>296</v>
      </c>
      <c r="BA8" s="255"/>
      <c r="BB8" s="254" t="s">
        <v>297</v>
      </c>
      <c r="BC8" s="255"/>
      <c r="BD8" s="254"/>
      <c r="BE8" s="255"/>
      <c r="BF8" s="256"/>
      <c r="BG8" s="256"/>
      <c r="BH8" s="254" t="s">
        <v>298</v>
      </c>
      <c r="BI8" s="255"/>
      <c r="BJ8" s="254" t="s">
        <v>299</v>
      </c>
      <c r="BK8" s="255"/>
      <c r="BL8" s="254" t="s">
        <v>300</v>
      </c>
      <c r="BM8" s="255"/>
      <c r="BN8" s="254" t="s">
        <v>301</v>
      </c>
      <c r="BO8" s="255"/>
      <c r="BP8" s="254" t="s">
        <v>302</v>
      </c>
      <c r="BQ8" s="255"/>
      <c r="BR8" s="254" t="s">
        <v>303</v>
      </c>
      <c r="BS8" s="255"/>
      <c r="BT8" s="254" t="s">
        <v>304</v>
      </c>
      <c r="BU8" s="255"/>
      <c r="BV8" s="254" t="s">
        <v>305</v>
      </c>
      <c r="BW8" s="255"/>
      <c r="BX8" s="254" t="s">
        <v>306</v>
      </c>
      <c r="BY8" s="255"/>
      <c r="BZ8" s="256"/>
      <c r="CA8" s="256"/>
      <c r="CB8" s="256"/>
      <c r="CC8" s="256"/>
      <c r="CD8" s="256"/>
      <c r="CE8" s="256"/>
      <c r="CF8" s="256"/>
      <c r="CG8" s="256"/>
      <c r="CH8" s="254" t="s">
        <v>307</v>
      </c>
      <c r="CI8" s="255"/>
      <c r="CJ8" s="254" t="s">
        <v>308</v>
      </c>
      <c r="CK8" s="255"/>
      <c r="CL8" s="254" t="s">
        <v>309</v>
      </c>
      <c r="CM8" s="255"/>
      <c r="CN8" s="256"/>
      <c r="CO8" s="256"/>
      <c r="CP8" s="254" t="s">
        <v>310</v>
      </c>
      <c r="CQ8" s="255"/>
      <c r="CR8" s="254" t="s">
        <v>311</v>
      </c>
      <c r="CS8" s="255"/>
      <c r="CT8" s="254" t="s">
        <v>312</v>
      </c>
      <c r="CU8" s="255"/>
      <c r="CV8" s="254" t="s">
        <v>313</v>
      </c>
      <c r="CW8" s="255"/>
      <c r="CX8" s="254" t="s">
        <v>314</v>
      </c>
      <c r="CY8" s="255"/>
      <c r="CZ8" s="254" t="s">
        <v>315</v>
      </c>
      <c r="DA8" s="255"/>
      <c r="DB8" s="256"/>
      <c r="DC8" s="256"/>
      <c r="DD8" s="254" t="s">
        <v>316</v>
      </c>
      <c r="DE8" s="255"/>
      <c r="DF8" s="254" t="s">
        <v>317</v>
      </c>
      <c r="DG8" s="255"/>
      <c r="DH8" s="254" t="s">
        <v>318</v>
      </c>
      <c r="DI8" s="255"/>
      <c r="DJ8" s="254" t="s">
        <v>319</v>
      </c>
      <c r="DK8" s="255"/>
      <c r="DL8" s="254" t="s">
        <v>320</v>
      </c>
      <c r="DM8" s="255"/>
      <c r="DN8" s="254" t="s">
        <v>321</v>
      </c>
      <c r="DO8" s="255"/>
      <c r="DP8" s="254" t="s">
        <v>322</v>
      </c>
      <c r="DQ8" s="255"/>
      <c r="DR8" s="254" t="s">
        <v>323</v>
      </c>
      <c r="DS8" s="255"/>
      <c r="DT8" s="254" t="s">
        <v>324</v>
      </c>
      <c r="DU8" s="255"/>
      <c r="DV8" s="254" t="s">
        <v>325</v>
      </c>
      <c r="DW8" s="255"/>
      <c r="DX8" s="254" t="s">
        <v>326</v>
      </c>
      <c r="DY8" s="255"/>
      <c r="DZ8" s="254" t="s">
        <v>327</v>
      </c>
      <c r="EA8" s="255"/>
      <c r="EB8" s="254" t="s">
        <v>328</v>
      </c>
      <c r="EC8" s="255"/>
      <c r="ED8" s="254" t="s">
        <v>329</v>
      </c>
      <c r="EE8" s="255"/>
      <c r="EF8" s="254" t="s">
        <v>330</v>
      </c>
      <c r="EG8" s="255"/>
      <c r="EH8" s="254" t="s">
        <v>331</v>
      </c>
      <c r="EI8" s="255"/>
      <c r="EJ8" s="254" t="s">
        <v>332</v>
      </c>
      <c r="EK8" s="255"/>
      <c r="EL8" s="254" t="s">
        <v>333</v>
      </c>
      <c r="EM8" s="255"/>
      <c r="EN8" s="254" t="s">
        <v>334</v>
      </c>
      <c r="EO8" s="255"/>
      <c r="EP8" s="254" t="s">
        <v>335</v>
      </c>
      <c r="EQ8" s="255"/>
      <c r="ER8" s="254" t="s">
        <v>336</v>
      </c>
      <c r="ES8" s="255"/>
      <c r="ET8" s="254" t="s">
        <v>337</v>
      </c>
      <c r="EU8" s="255"/>
      <c r="EV8" s="254" t="s">
        <v>338</v>
      </c>
      <c r="EW8" s="255"/>
      <c r="EX8" s="254" t="s">
        <v>339</v>
      </c>
      <c r="EY8" s="255"/>
      <c r="EZ8" s="254" t="s">
        <v>340</v>
      </c>
      <c r="FA8" s="255"/>
      <c r="FB8" s="254" t="s">
        <v>341</v>
      </c>
      <c r="FC8" s="255"/>
      <c r="FD8" s="254" t="s">
        <v>342</v>
      </c>
      <c r="FE8" s="255"/>
      <c r="FF8" s="254" t="s">
        <v>343</v>
      </c>
      <c r="FG8" s="255"/>
      <c r="FH8" s="254" t="s">
        <v>344</v>
      </c>
      <c r="FI8" s="255"/>
      <c r="FJ8" s="254" t="s">
        <v>345</v>
      </c>
      <c r="FK8" s="255"/>
      <c r="FL8" s="254" t="s">
        <v>346</v>
      </c>
      <c r="FM8" s="255"/>
    </row>
    <row r="9" spans="1:169" s="84" customFormat="1" ht="50.1" customHeight="1">
      <c r="A9" s="114" t="s">
        <v>99</v>
      </c>
      <c r="B9" s="114" t="s">
        <v>100</v>
      </c>
      <c r="C9" s="114" t="s">
        <v>101</v>
      </c>
      <c r="D9" s="114" t="s">
        <v>100</v>
      </c>
      <c r="E9" s="114" t="s">
        <v>101</v>
      </c>
      <c r="F9" s="114" t="s">
        <v>100</v>
      </c>
      <c r="G9" s="114" t="s">
        <v>101</v>
      </c>
      <c r="H9" s="114" t="s">
        <v>100</v>
      </c>
      <c r="I9" s="114" t="s">
        <v>101</v>
      </c>
      <c r="J9" s="114" t="s">
        <v>100</v>
      </c>
      <c r="K9" s="114" t="s">
        <v>101</v>
      </c>
      <c r="L9" s="114" t="s">
        <v>100</v>
      </c>
      <c r="M9" s="114" t="s">
        <v>101</v>
      </c>
      <c r="N9" s="114" t="s">
        <v>100</v>
      </c>
      <c r="O9" s="114" t="s">
        <v>101</v>
      </c>
      <c r="P9" s="114" t="s">
        <v>100</v>
      </c>
      <c r="Q9" s="114" t="s">
        <v>101</v>
      </c>
      <c r="R9" s="114" t="s">
        <v>100</v>
      </c>
      <c r="S9" s="114" t="s">
        <v>101</v>
      </c>
      <c r="T9" s="114" t="s">
        <v>100</v>
      </c>
      <c r="U9" s="114" t="s">
        <v>101</v>
      </c>
      <c r="V9" s="114" t="s">
        <v>100</v>
      </c>
      <c r="W9" s="114" t="s">
        <v>101</v>
      </c>
      <c r="X9" s="114" t="s">
        <v>100</v>
      </c>
      <c r="Y9" s="114" t="s">
        <v>101</v>
      </c>
      <c r="Z9" s="114" t="s">
        <v>100</v>
      </c>
      <c r="AA9" s="114" t="s">
        <v>101</v>
      </c>
      <c r="AB9" s="114" t="s">
        <v>100</v>
      </c>
      <c r="AC9" s="114" t="s">
        <v>101</v>
      </c>
      <c r="AD9" s="114" t="s">
        <v>100</v>
      </c>
      <c r="AE9" s="114" t="s">
        <v>101</v>
      </c>
      <c r="AF9" s="114" t="s">
        <v>100</v>
      </c>
      <c r="AG9" s="114" t="s">
        <v>101</v>
      </c>
      <c r="AH9" s="114" t="s">
        <v>100</v>
      </c>
      <c r="AI9" s="114" t="s">
        <v>101</v>
      </c>
      <c r="AJ9" s="114" t="s">
        <v>100</v>
      </c>
      <c r="AK9" s="114" t="s">
        <v>101</v>
      </c>
      <c r="AL9" s="114" t="s">
        <v>100</v>
      </c>
      <c r="AM9" s="114" t="s">
        <v>101</v>
      </c>
      <c r="AN9" s="114" t="s">
        <v>100</v>
      </c>
      <c r="AO9" s="114" t="s">
        <v>101</v>
      </c>
      <c r="AP9" s="114" t="s">
        <v>100</v>
      </c>
      <c r="AQ9" s="114" t="s">
        <v>101</v>
      </c>
      <c r="AR9" s="114" t="s">
        <v>100</v>
      </c>
      <c r="AS9" s="114" t="s">
        <v>101</v>
      </c>
      <c r="AT9" s="114" t="s">
        <v>100</v>
      </c>
      <c r="AU9" s="114" t="s">
        <v>101</v>
      </c>
      <c r="AV9" s="114" t="s">
        <v>100</v>
      </c>
      <c r="AW9" s="114" t="s">
        <v>101</v>
      </c>
      <c r="AX9" s="114" t="s">
        <v>100</v>
      </c>
      <c r="AY9" s="114" t="s">
        <v>101</v>
      </c>
      <c r="AZ9" s="114" t="s">
        <v>100</v>
      </c>
      <c r="BA9" s="114" t="s">
        <v>101</v>
      </c>
      <c r="BB9" s="114" t="s">
        <v>100</v>
      </c>
      <c r="BC9" s="114" t="s">
        <v>101</v>
      </c>
      <c r="BD9" s="114" t="s">
        <v>100</v>
      </c>
      <c r="BE9" s="114" t="s">
        <v>101</v>
      </c>
      <c r="BF9" s="114" t="s">
        <v>100</v>
      </c>
      <c r="BG9" s="114" t="s">
        <v>101</v>
      </c>
      <c r="BH9" s="114" t="s">
        <v>100</v>
      </c>
      <c r="BI9" s="114" t="s">
        <v>101</v>
      </c>
      <c r="BJ9" s="114" t="s">
        <v>100</v>
      </c>
      <c r="BK9" s="114" t="s">
        <v>101</v>
      </c>
      <c r="BL9" s="114" t="s">
        <v>100</v>
      </c>
      <c r="BM9" s="114" t="s">
        <v>101</v>
      </c>
      <c r="BN9" s="114" t="s">
        <v>100</v>
      </c>
      <c r="BO9" s="114" t="s">
        <v>101</v>
      </c>
      <c r="BP9" s="114" t="s">
        <v>100</v>
      </c>
      <c r="BQ9" s="114" t="s">
        <v>101</v>
      </c>
      <c r="BR9" s="114" t="s">
        <v>100</v>
      </c>
      <c r="BS9" s="114" t="s">
        <v>101</v>
      </c>
      <c r="BT9" s="114" t="s">
        <v>100</v>
      </c>
      <c r="BU9" s="114" t="s">
        <v>101</v>
      </c>
      <c r="BV9" s="114" t="s">
        <v>100</v>
      </c>
      <c r="BW9" s="114" t="s">
        <v>101</v>
      </c>
      <c r="BX9" s="114" t="s">
        <v>100</v>
      </c>
      <c r="BY9" s="114" t="s">
        <v>101</v>
      </c>
      <c r="BZ9" s="114" t="s">
        <v>100</v>
      </c>
      <c r="CA9" s="114" t="s">
        <v>101</v>
      </c>
      <c r="CB9" s="114" t="s">
        <v>100</v>
      </c>
      <c r="CC9" s="114" t="s">
        <v>101</v>
      </c>
      <c r="CD9" s="114" t="s">
        <v>100</v>
      </c>
      <c r="CE9" s="114" t="s">
        <v>101</v>
      </c>
      <c r="CF9" s="114" t="s">
        <v>100</v>
      </c>
      <c r="CG9" s="114" t="s">
        <v>101</v>
      </c>
      <c r="CH9" s="114" t="s">
        <v>100</v>
      </c>
      <c r="CI9" s="114" t="s">
        <v>101</v>
      </c>
      <c r="CJ9" s="114" t="s">
        <v>100</v>
      </c>
      <c r="CK9" s="114" t="s">
        <v>101</v>
      </c>
      <c r="CL9" s="114" t="s">
        <v>100</v>
      </c>
      <c r="CM9" s="114" t="s">
        <v>101</v>
      </c>
      <c r="CN9" s="114" t="s">
        <v>100</v>
      </c>
      <c r="CO9" s="114" t="s">
        <v>101</v>
      </c>
      <c r="CP9" s="114" t="s">
        <v>100</v>
      </c>
      <c r="CQ9" s="114" t="s">
        <v>101</v>
      </c>
      <c r="CR9" s="114" t="s">
        <v>100</v>
      </c>
      <c r="CS9" s="114" t="s">
        <v>101</v>
      </c>
      <c r="CT9" s="114" t="s">
        <v>100</v>
      </c>
      <c r="CU9" s="114" t="s">
        <v>101</v>
      </c>
      <c r="CV9" s="114" t="s">
        <v>100</v>
      </c>
      <c r="CW9" s="114" t="s">
        <v>101</v>
      </c>
      <c r="CX9" s="114" t="s">
        <v>100</v>
      </c>
      <c r="CY9" s="114" t="s">
        <v>101</v>
      </c>
      <c r="CZ9" s="114" t="s">
        <v>100</v>
      </c>
      <c r="DA9" s="114" t="s">
        <v>101</v>
      </c>
      <c r="DB9" s="114" t="s">
        <v>100</v>
      </c>
      <c r="DC9" s="114" t="s">
        <v>101</v>
      </c>
      <c r="DD9" s="114" t="s">
        <v>100</v>
      </c>
      <c r="DE9" s="114" t="s">
        <v>101</v>
      </c>
      <c r="DF9" s="114" t="s">
        <v>100</v>
      </c>
      <c r="DG9" s="114" t="s">
        <v>101</v>
      </c>
      <c r="DH9" s="114" t="s">
        <v>100</v>
      </c>
      <c r="DI9" s="114" t="s">
        <v>101</v>
      </c>
      <c r="DJ9" s="114" t="s">
        <v>100</v>
      </c>
      <c r="DK9" s="114" t="s">
        <v>101</v>
      </c>
      <c r="DL9" s="114" t="s">
        <v>100</v>
      </c>
      <c r="DM9" s="114" t="s">
        <v>101</v>
      </c>
      <c r="DN9" s="114" t="s">
        <v>100</v>
      </c>
      <c r="DO9" s="114" t="s">
        <v>101</v>
      </c>
      <c r="DP9" s="114" t="s">
        <v>100</v>
      </c>
      <c r="DQ9" s="114" t="s">
        <v>101</v>
      </c>
      <c r="DR9" s="114" t="s">
        <v>100</v>
      </c>
      <c r="DS9" s="114" t="s">
        <v>101</v>
      </c>
      <c r="DT9" s="114" t="s">
        <v>100</v>
      </c>
      <c r="DU9" s="114" t="s">
        <v>101</v>
      </c>
      <c r="DV9" s="114" t="s">
        <v>100</v>
      </c>
      <c r="DW9" s="114" t="s">
        <v>101</v>
      </c>
      <c r="DX9" s="114" t="s">
        <v>100</v>
      </c>
      <c r="DY9" s="114" t="s">
        <v>101</v>
      </c>
      <c r="DZ9" s="114" t="s">
        <v>100</v>
      </c>
      <c r="EA9" s="114" t="s">
        <v>101</v>
      </c>
      <c r="EB9" s="114" t="s">
        <v>100</v>
      </c>
      <c r="EC9" s="114" t="s">
        <v>101</v>
      </c>
      <c r="ED9" s="114" t="s">
        <v>100</v>
      </c>
      <c r="EE9" s="114" t="s">
        <v>101</v>
      </c>
      <c r="EF9" s="114" t="s">
        <v>100</v>
      </c>
      <c r="EG9" s="114" t="s">
        <v>101</v>
      </c>
      <c r="EH9" s="114" t="s">
        <v>100</v>
      </c>
      <c r="EI9" s="114" t="s">
        <v>101</v>
      </c>
      <c r="EJ9" s="114" t="s">
        <v>100</v>
      </c>
      <c r="EK9" s="114" t="s">
        <v>101</v>
      </c>
      <c r="EL9" s="114" t="s">
        <v>100</v>
      </c>
      <c r="EM9" s="114" t="s">
        <v>101</v>
      </c>
      <c r="EN9" s="114" t="s">
        <v>100</v>
      </c>
      <c r="EO9" s="114" t="s">
        <v>101</v>
      </c>
      <c r="EP9" s="114" t="s">
        <v>100</v>
      </c>
      <c r="EQ9" s="114" t="s">
        <v>101</v>
      </c>
      <c r="ER9" s="114" t="s">
        <v>100</v>
      </c>
      <c r="ES9" s="114" t="s">
        <v>101</v>
      </c>
      <c r="ET9" s="114" t="s">
        <v>100</v>
      </c>
      <c r="EU9" s="114" t="s">
        <v>101</v>
      </c>
      <c r="EV9" s="114" t="s">
        <v>100</v>
      </c>
      <c r="EW9" s="114" t="s">
        <v>101</v>
      </c>
      <c r="EX9" s="114" t="s">
        <v>100</v>
      </c>
      <c r="EY9" s="114" t="s">
        <v>101</v>
      </c>
      <c r="EZ9" s="114" t="s">
        <v>100</v>
      </c>
      <c r="FA9" s="114" t="s">
        <v>101</v>
      </c>
      <c r="FB9" s="114" t="s">
        <v>100</v>
      </c>
      <c r="FC9" s="114" t="s">
        <v>101</v>
      </c>
      <c r="FD9" s="114" t="s">
        <v>100</v>
      </c>
      <c r="FE9" s="114" t="s">
        <v>101</v>
      </c>
      <c r="FF9" s="114" t="s">
        <v>100</v>
      </c>
      <c r="FG9" s="114" t="s">
        <v>101</v>
      </c>
      <c r="FH9" s="114" t="s">
        <v>100</v>
      </c>
      <c r="FI9" s="114" t="s">
        <v>101</v>
      </c>
      <c r="FJ9" s="114" t="s">
        <v>100</v>
      </c>
      <c r="FK9" s="114" t="s">
        <v>101</v>
      </c>
      <c r="FL9" s="114" t="s">
        <v>100</v>
      </c>
      <c r="FM9" s="114"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9"/>
      <c r="B1" s="109"/>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2" t="s">
        <v>347</v>
      </c>
      <c r="D2" s="282"/>
      <c r="E2" s="282" t="s">
        <v>348</v>
      </c>
      <c r="F2" s="282"/>
      <c r="G2" s="282" t="s">
        <v>349</v>
      </c>
      <c r="H2" s="282"/>
      <c r="I2" s="282" t="s">
        <v>350</v>
      </c>
      <c r="J2" s="282"/>
      <c r="K2" s="282" t="s">
        <v>351</v>
      </c>
      <c r="L2" s="282"/>
      <c r="M2" s="282" t="s">
        <v>352</v>
      </c>
      <c r="N2" s="282"/>
      <c r="O2" s="282" t="s">
        <v>353</v>
      </c>
      <c r="P2" s="282"/>
      <c r="Q2" s="282" t="s">
        <v>354</v>
      </c>
      <c r="R2" s="282"/>
      <c r="S2" s="282" t="s">
        <v>355</v>
      </c>
      <c r="T2" s="282"/>
      <c r="V2" s="282" t="s">
        <v>356</v>
      </c>
      <c r="W2" s="282"/>
      <c r="X2" s="282" t="s">
        <v>357</v>
      </c>
      <c r="Y2" s="282"/>
      <c r="Z2" s="282" t="s">
        <v>358</v>
      </c>
      <c r="AA2" s="282"/>
      <c r="AB2" s="282" t="s">
        <v>359</v>
      </c>
      <c r="AC2" s="282"/>
      <c r="AD2" s="282" t="s">
        <v>360</v>
      </c>
      <c r="AE2" s="282"/>
      <c r="AF2" s="282" t="s">
        <v>361</v>
      </c>
      <c r="AG2" s="282"/>
      <c r="AH2" s="282" t="s">
        <v>362</v>
      </c>
      <c r="AI2" s="282"/>
      <c r="AJ2" s="282" t="s">
        <v>363</v>
      </c>
      <c r="AK2" s="282"/>
      <c r="AL2" s="282" t="s">
        <v>364</v>
      </c>
      <c r="AM2" s="282"/>
      <c r="AO2" s="282" t="s">
        <v>365</v>
      </c>
      <c r="AP2" s="282"/>
      <c r="AQ2" s="282" t="s">
        <v>366</v>
      </c>
      <c r="AR2" s="282"/>
      <c r="AS2" s="282" t="s">
        <v>367</v>
      </c>
      <c r="AT2" s="282"/>
      <c r="AU2" s="282" t="s">
        <v>368</v>
      </c>
      <c r="AV2" s="282"/>
      <c r="AW2" s="282" t="s">
        <v>369</v>
      </c>
      <c r="AX2" s="282"/>
      <c r="AY2" s="282" t="s">
        <v>370</v>
      </c>
      <c r="AZ2" s="282"/>
      <c r="BA2" s="282" t="s">
        <v>371</v>
      </c>
      <c r="BB2" s="282"/>
      <c r="BC2" s="282" t="s">
        <v>372</v>
      </c>
      <c r="BD2" s="282"/>
      <c r="BE2" s="282" t="s">
        <v>373</v>
      </c>
      <c r="BF2" s="282"/>
      <c r="BH2" s="282" t="s">
        <v>103</v>
      </c>
      <c r="BI2" s="282"/>
      <c r="BJ2" s="282" t="s">
        <v>374</v>
      </c>
      <c r="BK2" s="282"/>
      <c r="BL2" s="282" t="s">
        <v>375</v>
      </c>
      <c r="BM2" s="282"/>
      <c r="BN2" s="282" t="s">
        <v>376</v>
      </c>
      <c r="BO2" s="282"/>
      <c r="BP2" s="282" t="s">
        <v>377</v>
      </c>
      <c r="BQ2" s="282"/>
      <c r="BR2" s="282" t="s">
        <v>378</v>
      </c>
      <c r="BS2" s="282"/>
      <c r="BT2" s="282" t="s">
        <v>379</v>
      </c>
      <c r="BU2" s="282"/>
      <c r="BV2" s="282" t="s">
        <v>380</v>
      </c>
      <c r="BW2" s="282"/>
      <c r="BX2" s="282" t="s">
        <v>381</v>
      </c>
      <c r="BY2" s="282"/>
      <c r="BZ2" s="282" t="s">
        <v>382</v>
      </c>
      <c r="CA2" s="282"/>
      <c r="CB2" s="282" t="s">
        <v>383</v>
      </c>
      <c r="CC2" s="282"/>
      <c r="CD2" s="282" t="s">
        <v>384</v>
      </c>
      <c r="CE2" s="282"/>
      <c r="CF2" s="282" t="s">
        <v>385</v>
      </c>
      <c r="CG2" s="282"/>
      <c r="CH2" s="282" t="s">
        <v>386</v>
      </c>
      <c r="CI2" s="282"/>
      <c r="CJ2" s="282" t="s">
        <v>387</v>
      </c>
      <c r="CK2" s="282"/>
      <c r="CL2" s="282" t="s">
        <v>388</v>
      </c>
      <c r="CM2" s="282"/>
      <c r="CN2" s="282" t="s">
        <v>389</v>
      </c>
      <c r="CO2" s="282"/>
      <c r="CP2" s="282" t="s">
        <v>390</v>
      </c>
      <c r="CQ2" s="282"/>
      <c r="CR2" s="282" t="s">
        <v>391</v>
      </c>
      <c r="CS2" s="282"/>
    </row>
    <row r="3" spans="1:97" s="54" customFormat="1" ht="49.5" customHeight="1">
      <c r="A3" s="115"/>
      <c r="B3" s="68"/>
      <c r="C3" s="281"/>
      <c r="D3" s="281"/>
      <c r="E3" s="284" t="s">
        <v>110</v>
      </c>
      <c r="F3" s="284"/>
      <c r="G3" s="281"/>
      <c r="H3" s="281"/>
      <c r="I3" s="285" t="s">
        <v>112</v>
      </c>
      <c r="J3" s="285"/>
      <c r="K3" s="281"/>
      <c r="L3" s="281"/>
      <c r="M3" s="281"/>
      <c r="N3" s="281"/>
      <c r="O3" s="281"/>
      <c r="P3" s="281"/>
      <c r="Q3" s="283" t="s">
        <v>113</v>
      </c>
      <c r="R3" s="283"/>
      <c r="S3" s="281"/>
      <c r="T3" s="281"/>
      <c r="U3" s="53"/>
      <c r="V3" s="283" t="s">
        <v>108</v>
      </c>
      <c r="W3" s="283"/>
      <c r="X3" s="281"/>
      <c r="Y3" s="281"/>
      <c r="Z3" s="281"/>
      <c r="AA3" s="281"/>
      <c r="AB3" s="281"/>
      <c r="AC3" s="281"/>
      <c r="AD3" s="281"/>
      <c r="AE3" s="281"/>
      <c r="AF3" s="281"/>
      <c r="AG3" s="281"/>
      <c r="AH3" s="281"/>
      <c r="AI3" s="281"/>
      <c r="AJ3" s="281"/>
      <c r="AK3" s="281"/>
      <c r="AL3" s="281"/>
      <c r="AM3" s="281"/>
      <c r="AN3" s="53"/>
      <c r="AO3" s="284" t="s">
        <v>111</v>
      </c>
      <c r="AP3" s="284"/>
      <c r="AQ3" s="281"/>
      <c r="AR3" s="281"/>
      <c r="AS3" s="281"/>
      <c r="AT3" s="281"/>
      <c r="AU3" s="281"/>
      <c r="AV3" s="281"/>
      <c r="AW3" s="281"/>
      <c r="AX3" s="281"/>
      <c r="AY3" s="281"/>
      <c r="AZ3" s="281"/>
      <c r="BA3" s="281"/>
      <c r="BB3" s="281"/>
      <c r="BC3" s="281"/>
      <c r="BD3" s="281"/>
      <c r="BE3" s="281"/>
      <c r="BF3" s="281"/>
      <c r="BG3" s="53"/>
      <c r="BH3" s="284" t="s">
        <v>109</v>
      </c>
      <c r="BI3" s="284"/>
      <c r="BJ3" s="281"/>
      <c r="BK3" s="281"/>
      <c r="BL3" s="281"/>
      <c r="BM3" s="281"/>
      <c r="BN3" s="281"/>
      <c r="BO3" s="281"/>
      <c r="BP3" s="281"/>
      <c r="BQ3" s="281"/>
      <c r="BR3" s="281"/>
      <c r="BS3" s="281"/>
      <c r="BT3" s="281"/>
      <c r="BU3" s="281"/>
      <c r="BV3" s="281"/>
      <c r="BW3" s="281"/>
      <c r="BX3" s="281"/>
      <c r="BY3" s="281"/>
      <c r="BZ3" s="281"/>
      <c r="CA3" s="281"/>
      <c r="CB3" s="281"/>
      <c r="CC3" s="281"/>
      <c r="CD3" s="281"/>
      <c r="CE3" s="281"/>
      <c r="CF3" s="281"/>
      <c r="CG3" s="281"/>
      <c r="CH3" s="281"/>
      <c r="CI3" s="281"/>
      <c r="CJ3" s="281"/>
      <c r="CK3" s="281"/>
      <c r="CL3" s="281"/>
      <c r="CM3" s="281"/>
      <c r="CN3" s="281"/>
      <c r="CO3" s="281"/>
      <c r="CP3" s="281"/>
      <c r="CQ3" s="281"/>
      <c r="CR3" s="281"/>
      <c r="CS3" s="281"/>
    </row>
    <row r="4" spans="1:97" s="57" customFormat="1" ht="50.1" customHeight="1">
      <c r="A4" s="58" t="s">
        <v>99</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2023-02-09T03:57:26Z</dcterms:modified>
  <cp:category/>
  <cp:contentStatus/>
</cp:coreProperties>
</file>