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2796" documentId="8_{5B502D95-7A37-4D5A-8B6B-374537CC2F26}" xr6:coauthVersionLast="47" xr6:coauthVersionMax="48" xr10:uidLastSave="{344C0F5C-DCC5-4C50-9B2E-FAB0ED0CEE0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0" i="2" l="1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G30" i="22"/>
  <c r="C35" i="4"/>
  <c r="X36" i="2"/>
  <c r="X37" i="2"/>
  <c r="X38" i="2"/>
  <c r="H39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G4" i="4"/>
  <c r="E4" i="4"/>
  <c r="C4" i="4"/>
  <c r="L31" i="22"/>
  <c r="K31" i="22"/>
  <c r="I31" i="22"/>
  <c r="I31" i="21"/>
  <c r="H31" i="21"/>
  <c r="G31" i="21"/>
  <c r="F31" i="21"/>
  <c r="E31" i="21"/>
  <c r="E31" i="22" s="1"/>
  <c r="Q39" i="2"/>
  <c r="O39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G27" i="22"/>
  <c r="G28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34" i="4" l="1"/>
  <c r="X39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Q40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9" i="22" l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<sst xmlns="http://schemas.openxmlformats.org/spreadsheetml/2006/main" count="482" uniqueCount="187">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</sst>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9" workbookViewId="0">
      <selection activeCell="G29" sqref="G29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2022</v>
      </c>
      <c r="E2" s="137">
        <f>submetering!E2+submetering!F2+submetering!G2</f>
        <v>16925</v>
      </c>
      <c r="F2" s="134">
        <v>1.05</v>
      </c>
      <c r="G2" s="134">
        <f>'Consommation mensuel énergie'!V10</f>
        <v>159.99605</v>
      </c>
      <c r="H2" s="134">
        <v>9.9649999999999999</v>
      </c>
      <c r="I2" s="134">
        <f>'Consommation mensuel énergie'!F10</f>
        <v>267</v>
      </c>
      <c r="J2" s="134">
        <v>11.4</v>
      </c>
      <c r="K2" s="137">
        <f>'Consommation mensuel énergie'!D10</f>
        <v>179</v>
      </c>
      <c r="L2" s="137">
        <f>'Consommation mensuel énergie'!E10</f>
        <v>253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submetering!E3+submetering!F3+submetering!G3</f>
        <v>14697</v>
      </c>
      <c r="F3" s="134">
        <v>1.05</v>
      </c>
      <c r="G3" s="134">
        <f>'Consommation mensuel énergie'!V11</f>
        <v>0</v>
      </c>
      <c r="H3" s="134">
        <v>9.9649999999999999</v>
      </c>
      <c r="I3" s="134">
        <f>'Consommation mensuel énergie'!F11</f>
        <v>165.29999999998836</v>
      </c>
      <c r="J3" s="134">
        <v>11.4</v>
      </c>
      <c r="K3" s="137">
        <f>'Consommation mensuel énergie'!D11</f>
        <v>0</v>
      </c>
      <c r="L3" s="137">
        <f>'Consommation mensuel énergie'!E11</f>
        <v>0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submetering!E4+submetering!F4+submetering!G4</f>
        <v>0</v>
      </c>
      <c r="F4" s="134">
        <v>1.05</v>
      </c>
      <c r="G4" s="134">
        <f>'Consommation mensuel énergie'!V12</f>
        <v>0</v>
      </c>
      <c r="H4" s="134">
        <v>9.9649999999999999</v>
      </c>
      <c r="I4" s="134">
        <f>'Consommation mensuel énergie'!F12</f>
        <v>0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9.9649999999999999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9.9649999999999999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9.9649999999999999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159.99605</v>
      </c>
      <c r="H31" s="134">
        <v>9.9649999999999999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2022</v>
      </c>
      <c r="E2" s="137">
        <f>'Consommation mensuel énergie'!L10</f>
        <v>4384</v>
      </c>
      <c r="F2" s="137">
        <f>'Consommation mensuel énergie'!M10</f>
        <v>9147</v>
      </c>
      <c r="G2" s="137">
        <f>'Consommation mensuel énergie'!N10</f>
        <v>3394</v>
      </c>
      <c r="H2" s="137">
        <f>'Consommation mensuel énergie'!D10</f>
        <v>179</v>
      </c>
      <c r="I2" s="137">
        <f>'Consommation mensuel énergie'!E10</f>
        <v>253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'Consommation mensuel énergie'!L11</f>
        <v>4441</v>
      </c>
      <c r="F3" s="137">
        <f>'Consommation mensuel énergie'!M11</f>
        <v>10256</v>
      </c>
      <c r="G3" s="137">
        <f>'Consommation mensuel énergie'!N14</f>
        <v>0</v>
      </c>
      <c r="H3" s="137">
        <f>'Consommation mensuel énergie'!D11</f>
        <v>0</v>
      </c>
      <c r="I3" s="137">
        <f>'Consommation mensuel énergie'!E11</f>
        <v>0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'Consommation mensuel énergie'!L12</f>
        <v>0</v>
      </c>
      <c r="F4" s="137">
        <f>'Consommation mensuel énergie'!M12</f>
        <v>0</v>
      </c>
      <c r="G4" s="137">
        <f>'Consommation mensuel énergie'!N12</f>
        <v>0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0" activePane="bottomRight" state="frozen"/>
      <selection pane="bottomRight" activeCell="E11" sqref="E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44713</v>
      </c>
      <c r="C10" s="7"/>
      <c r="D10" s="143">
        <v>179</v>
      </c>
      <c r="E10" s="143">
        <v>253</v>
      </c>
      <c r="F10" s="13">
        <f>'Suivi EAU-ELEC'!E9</f>
        <v>267</v>
      </c>
      <c r="G10" s="11"/>
      <c r="H10" s="168">
        <f>F10*8.79</f>
        <v>2346.9299999999998</v>
      </c>
      <c r="I10" s="169"/>
      <c r="J10" s="169"/>
      <c r="K10" s="60">
        <v>42278</v>
      </c>
      <c r="L10" s="90">
        <f>'Suivi EAU-ELEC'!G9</f>
        <v>4384</v>
      </c>
      <c r="M10" s="91">
        <f>'Suivi EAU-ELEC'!I9</f>
        <v>9147</v>
      </c>
      <c r="N10" s="91">
        <f>'Suivi EAU-ELEC'!K9</f>
        <v>3394</v>
      </c>
      <c r="O10" s="91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6">
        <f>'Suvi Gaz'!O4</f>
        <v>159.99605</v>
      </c>
      <c r="W10" s="11"/>
      <c r="X10" s="34">
        <f>V10*13.14</f>
        <v>2102.3480970000001</v>
      </c>
    </row>
    <row r="11" spans="1:24" ht="32.25" customHeight="1">
      <c r="A11" s="2"/>
      <c r="B11" s="6">
        <v>44714</v>
      </c>
      <c r="C11" s="7"/>
      <c r="D11" s="143"/>
      <c r="E11" s="143"/>
      <c r="F11" s="13">
        <f>'Suivi EAU-ELEC'!E10</f>
        <v>165.29999999998836</v>
      </c>
      <c r="G11" s="11"/>
      <c r="H11" s="168">
        <f t="shared" ref="H11:H21" si="0">F11*8.79</f>
        <v>1452.9869999998975</v>
      </c>
      <c r="I11" s="169"/>
      <c r="J11" s="169"/>
      <c r="K11" s="60">
        <v>42279</v>
      </c>
      <c r="L11" s="90">
        <f>'Suivi EAU-ELEC'!G10</f>
        <v>4441</v>
      </c>
      <c r="M11" s="91">
        <f>'Suivi EAU-ELEC'!I10</f>
        <v>10256</v>
      </c>
      <c r="N11" s="91">
        <f>'Suivi EAU-ELEC'!K10</f>
        <v>3721</v>
      </c>
      <c r="O11" s="91">
        <f>L11+M11+N11</f>
        <v>18418</v>
      </c>
      <c r="P11" s="11"/>
      <c r="Q11" s="34">
        <f>L11*0.6985+M11*0.9514+N14*1.3304</f>
        <v>12859.5969</v>
      </c>
      <c r="R11" s="11"/>
      <c r="S11" s="28"/>
      <c r="T11" s="11"/>
      <c r="U11" s="28"/>
      <c r="V11" s="146"/>
      <c r="W11" s="11"/>
      <c r="X11" s="34">
        <f t="shared" ref="X11:X39" si="1">V11*13.14</f>
        <v>0</v>
      </c>
    </row>
    <row r="12" spans="1:24" ht="32.25" customHeight="1">
      <c r="A12" s="2"/>
      <c r="B12" s="6">
        <v>44715</v>
      </c>
      <c r="C12" s="7"/>
      <c r="D12" s="143"/>
      <c r="E12" s="143"/>
      <c r="F12" s="13"/>
      <c r="G12" s="11"/>
      <c r="H12" s="168">
        <f t="shared" si="0"/>
        <v>0</v>
      </c>
      <c r="I12" s="169"/>
      <c r="J12" s="169"/>
      <c r="K12" s="60">
        <v>42280</v>
      </c>
      <c r="L12" s="90"/>
      <c r="M12" s="91"/>
      <c r="N12" s="91"/>
      <c r="O12" s="91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44716</v>
      </c>
      <c r="C13" s="7"/>
      <c r="D13" s="143"/>
      <c r="E13" s="143"/>
      <c r="F13" s="13"/>
      <c r="G13" s="11"/>
      <c r="H13" s="168">
        <f t="shared" si="0"/>
        <v>0</v>
      </c>
      <c r="I13" s="169"/>
      <c r="J13" s="169"/>
      <c r="K13" s="60">
        <v>42281</v>
      </c>
      <c r="L13" s="90"/>
      <c r="M13" s="91"/>
      <c r="N13" s="91"/>
      <c r="O13" s="91">
        <f t="shared" ref="O13:O36" si="2">L13+M13+N13</f>
        <v>0</v>
      </c>
      <c r="P13" s="11"/>
      <c r="Q13" s="34">
        <f t="shared" ref="Q13:Q36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44717</v>
      </c>
      <c r="C14" s="7"/>
      <c r="D14" s="143"/>
      <c r="E14" s="143"/>
      <c r="F14" s="13"/>
      <c r="G14" s="12"/>
      <c r="H14" s="168">
        <f t="shared" si="0"/>
        <v>0</v>
      </c>
      <c r="I14" s="169"/>
      <c r="J14" s="169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44718</v>
      </c>
      <c r="C15" s="7"/>
      <c r="D15" s="143"/>
      <c r="E15" s="143"/>
      <c r="F15" s="13"/>
      <c r="G15" s="11"/>
      <c r="H15" s="168">
        <f t="shared" si="0"/>
        <v>0</v>
      </c>
      <c r="I15" s="169"/>
      <c r="J15" s="169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44719</v>
      </c>
      <c r="C16" s="7"/>
      <c r="D16" s="143"/>
      <c r="E16" s="143"/>
      <c r="F16" s="13"/>
      <c r="G16" s="11"/>
      <c r="H16" s="168">
        <f t="shared" si="0"/>
        <v>0</v>
      </c>
      <c r="I16" s="169"/>
      <c r="J16" s="169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44720</v>
      </c>
      <c r="C17" s="7"/>
      <c r="D17" s="143"/>
      <c r="E17" s="143"/>
      <c r="F17" s="13"/>
      <c r="G17" s="11"/>
      <c r="H17" s="168">
        <f t="shared" si="0"/>
        <v>0</v>
      </c>
      <c r="I17" s="169"/>
      <c r="J17" s="16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44721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44722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44723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44724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44725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44726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44727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44728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44729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44730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44731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44732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44733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44734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44735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44736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44737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44738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44739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44740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44741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44742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179</v>
      </c>
      <c r="E40" s="8">
        <f>SUM(E10:E39)</f>
        <v>253</v>
      </c>
      <c r="F40" s="152">
        <f>SUM(F10:F39)</f>
        <v>432.29999999998836</v>
      </c>
      <c r="G40" s="1"/>
      <c r="H40" s="206">
        <f>SUM(H10:H39)</f>
        <v>3799.9169999998976</v>
      </c>
      <c r="I40" s="207"/>
      <c r="J40" s="208"/>
      <c r="K40" s="1"/>
      <c r="L40" s="53">
        <f>SUM(L10:L39)</f>
        <v>8825</v>
      </c>
      <c r="M40" s="53">
        <f>SUM(M10:M39)</f>
        <v>19403</v>
      </c>
      <c r="N40" s="54">
        <f>SUM(N10:N39)</f>
        <v>7115</v>
      </c>
      <c r="O40" s="55">
        <f>SUM(O10:O39)</f>
        <v>35343</v>
      </c>
      <c r="P40" s="31"/>
      <c r="Q40" s="34">
        <f t="shared" si="7"/>
        <v>34090.072700000004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159.99605</v>
      </c>
      <c r="W40" s="31"/>
      <c r="X40" s="32">
        <f>SUM(X10:X39)</f>
        <v>2102.3480970000001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8825</v>
      </c>
      <c r="J43" s="221"/>
      <c r="K43" s="222"/>
      <c r="L43" s="204">
        <f>I43*H43</f>
        <v>6164.2624999999998</v>
      </c>
      <c r="M43" s="205"/>
      <c r="N43" s="177">
        <f>L43+L44+L45</f>
        <v>34090.072700000004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19403</v>
      </c>
      <c r="J44" s="221"/>
      <c r="K44" s="222"/>
      <c r="L44" s="204">
        <f>I44*H44</f>
        <v>18460.014200000001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7115</v>
      </c>
      <c r="J45" s="196"/>
      <c r="K45" s="197"/>
      <c r="L45" s="204">
        <f>I45*H45</f>
        <v>9465.7960000000003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44317.09451000001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432.29999999998836</v>
      </c>
      <c r="J47" s="216"/>
      <c r="K47" s="217"/>
      <c r="L47" s="218">
        <f>I47*H47</f>
        <v>3799.9169999998971</v>
      </c>
      <c r="M47" s="219"/>
      <c r="N47" s="174">
        <f>L47</f>
        <v>3799.9169999998971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13.14</v>
      </c>
      <c r="I48" s="192">
        <f>V40</f>
        <v>159.99605</v>
      </c>
      <c r="J48" s="193"/>
      <c r="K48" s="194"/>
      <c r="L48" s="192">
        <f>I48*H48</f>
        <v>2102.3480970000001</v>
      </c>
      <c r="M48" s="194"/>
      <c r="N48" s="171">
        <f>L48</f>
        <v>2102.3480970000001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0" activePane="bottomRight" state="frozen"/>
      <selection pane="bottomRight" activeCell="A9" sqref="A9:K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44713</v>
      </c>
      <c r="B9" s="116">
        <v>2560</v>
      </c>
      <c r="C9" s="115">
        <v>0</v>
      </c>
      <c r="D9" s="57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>
      <c r="A10" s="59">
        <v>44714</v>
      </c>
      <c r="B10" s="116">
        <v>2560</v>
      </c>
      <c r="C10" s="115">
        <f>B10-B9</f>
        <v>0</v>
      </c>
      <c r="D10" s="57">
        <v>148461.29999999999</v>
      </c>
      <c r="E10" s="50">
        <f>D10-D9</f>
        <v>165.29999999998836</v>
      </c>
      <c r="F10" s="51">
        <v>11848105</v>
      </c>
      <c r="G10" s="50">
        <f>F10-F9</f>
        <v>4441</v>
      </c>
      <c r="H10" s="51">
        <v>20117099</v>
      </c>
      <c r="I10" s="50">
        <f>H10-H9</f>
        <v>10256</v>
      </c>
      <c r="J10" s="51">
        <v>8833074</v>
      </c>
      <c r="K10" s="50">
        <f>J10-J9</f>
        <v>3721</v>
      </c>
    </row>
    <row r="11" spans="1:12" ht="19.5">
      <c r="A11" s="59">
        <v>44715</v>
      </c>
      <c r="B11" s="116"/>
      <c r="C11" s="115"/>
      <c r="D11" s="57"/>
      <c r="E11" s="50"/>
      <c r="F11" s="51"/>
      <c r="G11" s="50"/>
      <c r="H11" s="51"/>
      <c r="I11" s="50"/>
      <c r="J11" s="51"/>
      <c r="K11" s="50"/>
    </row>
    <row r="12" spans="1:12" ht="19.5">
      <c r="A12" s="59">
        <v>44716</v>
      </c>
      <c r="B12" s="116"/>
      <c r="C12" s="115"/>
      <c r="D12" s="57"/>
      <c r="E12" s="50"/>
      <c r="F12" s="51"/>
      <c r="G12" s="50"/>
      <c r="H12" s="51"/>
      <c r="I12" s="50"/>
      <c r="J12" s="51"/>
      <c r="K12" s="50"/>
    </row>
    <row r="13" spans="1:12" ht="19.5">
      <c r="A13" s="59">
        <v>44717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44718</v>
      </c>
      <c r="B14" s="116"/>
      <c r="C14" s="115"/>
      <c r="D14" s="57"/>
      <c r="E14" s="50"/>
      <c r="F14" s="51"/>
      <c r="G14" s="50"/>
      <c r="H14" s="51"/>
      <c r="I14" s="50"/>
      <c r="J14" s="51"/>
      <c r="K14" s="50"/>
    </row>
    <row r="15" spans="1:12" ht="19.5">
      <c r="A15" s="59">
        <v>44719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44720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44721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44722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44723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44724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44725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44726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44727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44728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44729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44730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44731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44732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44733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44734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44735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44736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44737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44738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44739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44740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44741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44742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44743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44744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8">
    <cfRule type="cellIs" dxfId="5" priority="10" stopIfTrue="1" operator="lessThanOrEqual">
      <formula>0</formula>
    </cfRule>
  </conditionalFormatting>
  <conditionalFormatting sqref="E10:E38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39:E40">
    <cfRule type="cellIs" dxfId="1" priority="2" stopIfTrue="1" operator="lessThanOrEqual">
      <formula>0</formula>
    </cfRule>
  </conditionalFormatting>
  <conditionalFormatting sqref="E3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O29" activePane="bottomRight" state="frozen"/>
      <selection pane="bottomRight" activeCell="A4" sqref="A4:AC3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O4*13.14</f>
        <v>2102.3480970000001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44714</v>
      </c>
      <c r="B5" s="41">
        <v>81</v>
      </c>
      <c r="C5" s="39">
        <f t="shared" ref="C4:C35" si="7">IF(AC5&gt;0,((B5-R5)+(S5-B6)),IF(B6=0, ,(B5-B6)))</f>
        <v>0</v>
      </c>
      <c r="D5" s="41">
        <v>83</v>
      </c>
      <c r="E5" s="39">
        <f t="shared" ref="E4:E35" si="8">IF(AC5&gt;0,((D5-U5)+(V5-D6)),IF(D6=0, ,(D5-D6)))</f>
        <v>0</v>
      </c>
      <c r="F5" s="41">
        <v>85</v>
      </c>
      <c r="G5" s="39">
        <f t="shared" ref="G4:G35" si="9">IF(AC5&gt;0,((F5-X5)+(Y5-F6)),IF(F6=0, ,(F5-F6)))</f>
        <v>0</v>
      </c>
      <c r="H5" s="41">
        <v>85</v>
      </c>
      <c r="I5" s="39">
        <f>IF(AC5&gt;0,((H5-AA5)+(AB5-H6)),IF(H6=0, ,(H5-H6)))</f>
        <v>0</v>
      </c>
      <c r="J5" s="39">
        <f>B5+D5+F5+H5</f>
        <v>334</v>
      </c>
      <c r="K5" s="39">
        <f>J5/4</f>
        <v>83.5</v>
      </c>
      <c r="L5" s="39">
        <f>IF(AC5&gt;0,((K5-AD5)+(AE5-K6)),IF(K6=0, ,(K5-K6)))</f>
        <v>0</v>
      </c>
      <c r="M5" s="149">
        <f t="shared" si="3"/>
        <v>24196</v>
      </c>
      <c r="N5" s="39">
        <f>L5*M5/100</f>
        <v>0</v>
      </c>
      <c r="O5" s="39">
        <f>N5*0.529</f>
        <v>0</v>
      </c>
      <c r="P5" s="42">
        <f t="shared" ref="P5:P33" si="10">O5*13.14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44715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44716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44717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44718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44719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44720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44721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44722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44723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44724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44725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44726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44727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44728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44729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44730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44731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44732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44733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44734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44735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44736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44737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44738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44739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44740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44741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44742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44743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302.45</v>
      </c>
      <c r="O43" s="39">
        <f>N43*0.529</f>
        <v>159.99605</v>
      </c>
      <c r="P43" s="42">
        <f>O43*13.64</f>
        <v>2182.3461219999999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302.45</v>
      </c>
      <c r="L47" s="46">
        <f>O43</f>
        <v>159.99605</v>
      </c>
      <c r="M47" s="46">
        <f>P43</f>
        <v>2182.3461219999999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L48*13.14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44567</v>
      </c>
      <c r="D8" s="327"/>
      <c r="E8" s="113">
        <v>44598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793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20117099</v>
      </c>
      <c r="D17" s="66">
        <v>20106843</v>
      </c>
      <c r="E17" s="67">
        <f>MIN(C17-D17)</f>
        <v>10256</v>
      </c>
      <c r="F17" s="67">
        <f>+E17</f>
        <v>10256</v>
      </c>
      <c r="G17" s="341"/>
      <c r="H17" s="342"/>
      <c r="I17" s="341">
        <f>+E17</f>
        <v>10256</v>
      </c>
      <c r="J17" s="342"/>
    </row>
    <row r="18" spans="1:10">
      <c r="A18" s="339" t="s">
        <v>111</v>
      </c>
      <c r="B18" s="340"/>
      <c r="C18" s="66">
        <v>11848105</v>
      </c>
      <c r="D18" s="66">
        <v>11843664</v>
      </c>
      <c r="E18" s="67">
        <f>MIN(C18-D18)</f>
        <v>4441</v>
      </c>
      <c r="F18" s="67">
        <f>+E18</f>
        <v>4441</v>
      </c>
      <c r="G18" s="341"/>
      <c r="H18" s="342"/>
      <c r="I18" s="341">
        <f>+E18</f>
        <v>4441</v>
      </c>
      <c r="J18" s="342"/>
    </row>
    <row r="19" spans="1:10">
      <c r="A19" s="339" t="s">
        <v>112</v>
      </c>
      <c r="B19" s="340"/>
      <c r="C19" s="66">
        <v>8833074</v>
      </c>
      <c r="D19" s="66">
        <v>8829353</v>
      </c>
      <c r="E19" s="67">
        <f>AVERAGE(C19-D19)</f>
        <v>3721</v>
      </c>
      <c r="F19" s="67">
        <f>+E19</f>
        <v>3721</v>
      </c>
      <c r="G19" s="341"/>
      <c r="H19" s="342"/>
      <c r="I19" s="341">
        <f>+E19</f>
        <v>3721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18418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10256</v>
      </c>
      <c r="E25" s="72">
        <v>0.95140000000000002</v>
      </c>
      <c r="F25" s="73">
        <f>PRODUCT(D25*E25)</f>
        <v>9757.5583999999999</v>
      </c>
      <c r="G25" s="151">
        <v>14</v>
      </c>
      <c r="H25" s="65">
        <f>PRODUCT(0.14,F25)</f>
        <v>1366.058176</v>
      </c>
      <c r="I25" s="346">
        <f>SUM(H25,F25)</f>
        <v>11123.616576</v>
      </c>
      <c r="J25" s="347"/>
    </row>
    <row r="26" spans="1:10" ht="15">
      <c r="A26" s="348" t="s">
        <v>124</v>
      </c>
      <c r="B26" s="349"/>
      <c r="C26" s="350"/>
      <c r="D26" s="67">
        <f>+E18</f>
        <v>4441</v>
      </c>
      <c r="E26" s="74">
        <v>0.69850000000000001</v>
      </c>
      <c r="F26" s="73">
        <f>PRODUCT(D26*E26)</f>
        <v>3102.0385000000001</v>
      </c>
      <c r="G26">
        <v>14</v>
      </c>
      <c r="H26" s="67">
        <f>PRODUCT(0.14,F26)</f>
        <v>434.28539000000006</v>
      </c>
      <c r="I26" s="346">
        <f t="shared" ref="I26:I31" si="0">SUM(H26,F26)</f>
        <v>3536.3238900000001</v>
      </c>
      <c r="J26" s="347"/>
    </row>
    <row r="27" spans="1:10" ht="15">
      <c r="A27" s="348" t="s">
        <v>125</v>
      </c>
      <c r="B27" s="349"/>
      <c r="C27" s="350"/>
      <c r="D27" s="67">
        <f>+E19</f>
        <v>3721</v>
      </c>
      <c r="E27" s="74">
        <v>1.3304</v>
      </c>
      <c r="F27" s="73">
        <f>PRODUCT(D27*E27)</f>
        <v>4950.4184000000005</v>
      </c>
      <c r="G27">
        <v>14</v>
      </c>
      <c r="H27" s="67">
        <f>PRODUCT(0.14,F27)</f>
        <v>693.05857600000013</v>
      </c>
      <c r="I27" s="346">
        <f>SUM(H27,F27)</f>
        <v>5643.4769760000008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64024.685299999997</v>
      </c>
      <c r="G32" s="85"/>
      <c r="H32" s="86"/>
      <c r="I32" s="375">
        <f>SUM(I25:J31)</f>
        <v>72934.161242000002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44314</v>
      </c>
      <c r="D8" s="327"/>
      <c r="E8" s="113">
        <v>44709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1135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41"/>
      <c r="H17" s="342"/>
      <c r="I17" s="341">
        <f>+E17</f>
        <v>237864</v>
      </c>
      <c r="J17" s="342"/>
    </row>
    <row r="18" spans="1:10">
      <c r="A18" s="339" t="s">
        <v>111</v>
      </c>
      <c r="B18" s="340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41"/>
      <c r="H18" s="342"/>
      <c r="I18" s="341">
        <f>+E18</f>
        <v>119775</v>
      </c>
      <c r="J18" s="342"/>
    </row>
    <row r="19" spans="1:10">
      <c r="A19" s="339" t="s">
        <v>112</v>
      </c>
      <c r="B19" s="340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41"/>
      <c r="H19" s="342"/>
      <c r="I19" s="341">
        <f>+E19</f>
        <v>94787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452426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46">
        <f>SUM(H25,F25)</f>
        <v>257986.342944</v>
      </c>
      <c r="J25" s="347"/>
    </row>
    <row r="26" spans="1:10" ht="15">
      <c r="A26" s="348" t="s">
        <v>124</v>
      </c>
      <c r="B26" s="349"/>
      <c r="C26" s="350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46">
        <f t="shared" ref="I26:I31" si="0">SUM(H26,F26)</f>
        <v>95375.634749999997</v>
      </c>
      <c r="J26" s="347"/>
    </row>
    <row r="27" spans="1:10" ht="15">
      <c r="A27" s="348" t="s">
        <v>125</v>
      </c>
      <c r="B27" s="349"/>
      <c r="C27" s="350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46">
        <f>SUM(H27,F27)</f>
        <v>143759.272272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79">
        <f t="shared" si="0"/>
        <v>10130.083519500002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491171.98007499997</v>
      </c>
      <c r="G32" s="85"/>
      <c r="H32" s="86"/>
      <c r="I32" s="375">
        <f>SUM(I25:J31)</f>
        <v>559882.07728549989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4551.1000000000058</v>
      </c>
      <c r="C13" s="396"/>
      <c r="D13" s="396">
        <v>8.7899999999999991</v>
      </c>
      <c r="E13" s="396"/>
      <c r="F13" s="400">
        <f>PRODUCT(D13,B13)</f>
        <v>40004.169000000045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4551.1000000000058</v>
      </c>
      <c r="C19" s="396"/>
      <c r="D19" s="396">
        <v>2.61</v>
      </c>
      <c r="E19" s="396"/>
      <c r="F19" s="396">
        <f>PRODUCT(D19,B19)</f>
        <v>11878.371000000014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51905.540000000059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3633.3878000000045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3841.6478000000043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55747.187800000065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148461.29999999999</v>
      </c>
      <c r="F8" s="97">
        <v>44714</v>
      </c>
      <c r="G8" s="98">
        <f>E8-C8</f>
        <v>165.19999999998254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165.19999999998254</v>
      </c>
      <c r="C13" s="396"/>
      <c r="D13" s="396">
        <v>8.5</v>
      </c>
      <c r="E13" s="396"/>
      <c r="F13" s="400">
        <f>PRODUCT(D13,B13)</f>
        <v>1404.1999999998516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165.19999999998254</v>
      </c>
      <c r="C20" s="396"/>
      <c r="D20" s="396">
        <v>2.54</v>
      </c>
      <c r="E20" s="396"/>
      <c r="F20" s="396">
        <f>PRODUCT(D20,B20)</f>
        <v>419.60799999995567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1846.8079999998072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129.27655999998652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337.53655999998648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2184.3445599997935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2022-06-02T12:11:02Z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