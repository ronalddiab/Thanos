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12"/>
  <workbookPr defaultThemeVersion="124226"/>
  <mc:AlternateContent xmlns:mc="http://schemas.openxmlformats.org/markup-compatibility/2006">
    <mc:Choice Requires="x15">
      <x15ac:absPath xmlns:x15ac="http://schemas.microsoft.com/office/spreadsheetml/2010/11/ac" url="K:\ENG UBU\4. Energy\Hotel Energy Portal (HEP)\2021\"/>
    </mc:Choice>
  </mc:AlternateContent>
  <xr:revisionPtr revIDLastSave="2" documentId="11_37B22EF953445EC2C66D4C6CBC3C6D9F1FAEFBC3" xr6:coauthVersionLast="47" xr6:coauthVersionMax="47" xr10:uidLastSave="{AB837249-AB54-4AE0-A618-335C167C6358}"/>
  <bookViews>
    <workbookView xWindow="0" yWindow="0" windowWidth="20490" windowHeight="7755" tabRatio="620" xr2:uid="{00000000-000D-0000-FFFF-FFFF00000000}"/>
  </bookViews>
  <sheets>
    <sheet name="TOTAL" sheetId="117" r:id="rId1"/>
    <sheet name="Electricity" sheetId="102" r:id="rId2"/>
    <sheet name="Gas" sheetId="109" r:id="rId3"/>
    <sheet name="Fuel Diesel" sheetId="116" r:id="rId4"/>
    <sheet name="Water" sheetId="106" r:id="rId5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8" i="116" l="1"/>
  <c r="G23" i="116"/>
  <c r="G24" i="116"/>
  <c r="G25" i="116"/>
  <c r="G26" i="116"/>
  <c r="G27" i="116"/>
  <c r="G28" i="116"/>
  <c r="G29" i="116"/>
  <c r="G30" i="116"/>
  <c r="G31" i="116"/>
  <c r="G32" i="116"/>
  <c r="G33" i="116"/>
  <c r="G34" i="116"/>
  <c r="G35" i="116"/>
  <c r="G36" i="116"/>
  <c r="G37" i="116"/>
  <c r="G22" i="116"/>
  <c r="G39" i="106" l="1"/>
  <c r="H22" i="116" l="1"/>
  <c r="H23" i="116"/>
  <c r="H24" i="116"/>
  <c r="H25" i="116"/>
  <c r="H26" i="116"/>
  <c r="H27" i="116"/>
  <c r="H28" i="116"/>
  <c r="H29" i="116"/>
  <c r="H30" i="116"/>
  <c r="H31" i="116"/>
  <c r="H32" i="116"/>
  <c r="H33" i="116"/>
  <c r="H34" i="116"/>
  <c r="H35" i="116"/>
  <c r="H36" i="116"/>
  <c r="H37" i="116"/>
  <c r="H38" i="116"/>
  <c r="G20" i="117" l="1"/>
  <c r="G21" i="117"/>
  <c r="G22" i="117"/>
  <c r="G23" i="117"/>
  <c r="G24" i="117"/>
  <c r="G25" i="117"/>
  <c r="G26" i="117"/>
  <c r="G27" i="117"/>
  <c r="G28" i="117"/>
  <c r="G29" i="117"/>
  <c r="G30" i="117"/>
  <c r="G31" i="117"/>
  <c r="H20" i="106" l="1"/>
  <c r="F39" i="109" l="1"/>
  <c r="F8" i="102" l="1"/>
  <c r="F9" i="102"/>
  <c r="F10" i="102"/>
  <c r="F11" i="102"/>
  <c r="F12" i="102"/>
  <c r="F13" i="102"/>
  <c r="F14" i="102"/>
  <c r="F15" i="102"/>
  <c r="F16" i="102"/>
  <c r="F17" i="102"/>
  <c r="F18" i="102"/>
  <c r="F19" i="102"/>
  <c r="F20" i="102"/>
  <c r="F21" i="102"/>
  <c r="F22" i="102"/>
  <c r="F23" i="102"/>
  <c r="F24" i="102"/>
  <c r="F25" i="102"/>
  <c r="F26" i="102"/>
  <c r="F27" i="102"/>
  <c r="F28" i="102"/>
  <c r="F29" i="102"/>
  <c r="F30" i="102"/>
  <c r="F31" i="102"/>
  <c r="F32" i="102"/>
  <c r="F33" i="102"/>
  <c r="F34" i="102"/>
  <c r="F35" i="102"/>
  <c r="F36" i="102"/>
  <c r="F37" i="102"/>
  <c r="D10" i="109" l="1"/>
  <c r="D11" i="109"/>
  <c r="D12" i="109"/>
  <c r="D13" i="109"/>
  <c r="D14" i="109"/>
  <c r="D15" i="109"/>
  <c r="D16" i="109"/>
  <c r="D17" i="109"/>
  <c r="D18" i="109"/>
  <c r="D19" i="109"/>
  <c r="D20" i="109"/>
  <c r="D21" i="109"/>
  <c r="D22" i="109"/>
  <c r="D23" i="109"/>
  <c r="D24" i="109"/>
  <c r="D25" i="109"/>
  <c r="D26" i="109"/>
  <c r="D27" i="109"/>
  <c r="D28" i="109"/>
  <c r="D29" i="109"/>
  <c r="D30" i="109"/>
  <c r="D31" i="109"/>
  <c r="D32" i="109"/>
  <c r="D33" i="109"/>
  <c r="D34" i="109"/>
  <c r="D35" i="109"/>
  <c r="D36" i="109"/>
  <c r="D37" i="109"/>
  <c r="D38" i="109"/>
  <c r="D9" i="109"/>
  <c r="H11" i="106"/>
  <c r="H12" i="106"/>
  <c r="H13" i="106"/>
  <c r="H14" i="106"/>
  <c r="H15" i="106"/>
  <c r="H16" i="106"/>
  <c r="H17" i="106"/>
  <c r="H18" i="106"/>
  <c r="H19" i="106"/>
  <c r="H21" i="106"/>
  <c r="H22" i="106"/>
  <c r="H23" i="106"/>
  <c r="H24" i="106"/>
  <c r="H25" i="106"/>
  <c r="H26" i="106"/>
  <c r="H27" i="106"/>
  <c r="H28" i="106"/>
  <c r="H29" i="106"/>
  <c r="H30" i="106"/>
  <c r="H31" i="106"/>
  <c r="H32" i="106"/>
  <c r="H33" i="106"/>
  <c r="H34" i="106"/>
  <c r="H35" i="106"/>
  <c r="H36" i="106"/>
  <c r="H37" i="106"/>
  <c r="H38" i="106"/>
  <c r="H10" i="106"/>
  <c r="H9" i="106"/>
  <c r="G9" i="116"/>
  <c r="D10" i="116"/>
  <c r="D11" i="116"/>
  <c r="D12" i="116"/>
  <c r="D13" i="116"/>
  <c r="D14" i="116"/>
  <c r="D15" i="116"/>
  <c r="D16" i="116"/>
  <c r="D17" i="116"/>
  <c r="D18" i="116"/>
  <c r="D19" i="116"/>
  <c r="D20" i="116"/>
  <c r="D21" i="116"/>
  <c r="D22" i="116"/>
  <c r="D23" i="116"/>
  <c r="D24" i="116"/>
  <c r="D25" i="116"/>
  <c r="D26" i="116"/>
  <c r="D27" i="116"/>
  <c r="D28" i="116"/>
  <c r="D29" i="116"/>
  <c r="D30" i="116"/>
  <c r="D31" i="116"/>
  <c r="D32" i="116"/>
  <c r="D33" i="116"/>
  <c r="D34" i="116"/>
  <c r="D35" i="116"/>
  <c r="D36" i="116"/>
  <c r="D37" i="116"/>
  <c r="D38" i="116"/>
  <c r="D9" i="116"/>
  <c r="C10" i="116"/>
  <c r="C11" i="116"/>
  <c r="C12" i="116"/>
  <c r="C13" i="116"/>
  <c r="C14" i="116"/>
  <c r="C15" i="116"/>
  <c r="C16" i="116"/>
  <c r="C17" i="116"/>
  <c r="C18" i="116"/>
  <c r="C19" i="116"/>
  <c r="C20" i="116"/>
  <c r="C21" i="116"/>
  <c r="C22" i="116"/>
  <c r="C23" i="116"/>
  <c r="C24" i="116"/>
  <c r="C25" i="116"/>
  <c r="C26" i="116"/>
  <c r="C27" i="116"/>
  <c r="C28" i="116"/>
  <c r="C29" i="116"/>
  <c r="C30" i="116"/>
  <c r="C31" i="116"/>
  <c r="C32" i="116"/>
  <c r="C33" i="116"/>
  <c r="C34" i="116"/>
  <c r="C35" i="116"/>
  <c r="C36" i="116"/>
  <c r="C37" i="116"/>
  <c r="C38" i="116"/>
  <c r="C9" i="116"/>
  <c r="D10" i="106"/>
  <c r="D11" i="106"/>
  <c r="D12" i="106"/>
  <c r="D13" i="106"/>
  <c r="D14" i="106"/>
  <c r="D15" i="106"/>
  <c r="D16" i="106"/>
  <c r="D17" i="106"/>
  <c r="D18" i="106"/>
  <c r="D19" i="106"/>
  <c r="D20" i="106"/>
  <c r="D21" i="106"/>
  <c r="D22" i="106"/>
  <c r="D23" i="106"/>
  <c r="D24" i="106"/>
  <c r="D25" i="106"/>
  <c r="D26" i="106"/>
  <c r="D27" i="106"/>
  <c r="D28" i="106"/>
  <c r="D29" i="106"/>
  <c r="D30" i="106"/>
  <c r="D31" i="106"/>
  <c r="D32" i="106"/>
  <c r="D33" i="106"/>
  <c r="D34" i="106"/>
  <c r="D35" i="106"/>
  <c r="D36" i="106"/>
  <c r="D37" i="106"/>
  <c r="D38" i="106"/>
  <c r="D9" i="106"/>
  <c r="C10" i="106"/>
  <c r="C11" i="106"/>
  <c r="C12" i="106"/>
  <c r="C13" i="106"/>
  <c r="C14" i="106"/>
  <c r="C15" i="106"/>
  <c r="C16" i="106"/>
  <c r="C17" i="106"/>
  <c r="C18" i="106"/>
  <c r="C19" i="106"/>
  <c r="C20" i="106"/>
  <c r="C21" i="106"/>
  <c r="C22" i="106"/>
  <c r="C23" i="106"/>
  <c r="C24" i="106"/>
  <c r="C25" i="106"/>
  <c r="C26" i="106"/>
  <c r="C27" i="106"/>
  <c r="C28" i="106"/>
  <c r="C29" i="106"/>
  <c r="C30" i="106"/>
  <c r="C31" i="106"/>
  <c r="C32" i="106"/>
  <c r="C33" i="106"/>
  <c r="C34" i="106"/>
  <c r="C35" i="106"/>
  <c r="C36" i="106"/>
  <c r="C37" i="106"/>
  <c r="C38" i="106"/>
  <c r="C9" i="106"/>
  <c r="C10" i="109"/>
  <c r="C11" i="109"/>
  <c r="C12" i="109"/>
  <c r="C13" i="109"/>
  <c r="C14" i="109"/>
  <c r="C15" i="109"/>
  <c r="C16" i="109"/>
  <c r="C17" i="109"/>
  <c r="C18" i="109"/>
  <c r="C19" i="109"/>
  <c r="C20" i="109"/>
  <c r="C21" i="109"/>
  <c r="C22" i="109"/>
  <c r="C23" i="109"/>
  <c r="C24" i="109"/>
  <c r="C25" i="109"/>
  <c r="C26" i="109"/>
  <c r="C27" i="109"/>
  <c r="C28" i="109"/>
  <c r="C29" i="109"/>
  <c r="C30" i="109"/>
  <c r="C31" i="109"/>
  <c r="C32" i="109"/>
  <c r="C33" i="109"/>
  <c r="C34" i="109"/>
  <c r="C35" i="109"/>
  <c r="C36" i="109"/>
  <c r="C37" i="109"/>
  <c r="C38" i="109"/>
  <c r="C9" i="109"/>
  <c r="H9" i="116" l="1"/>
  <c r="M3" i="117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M30" i="117"/>
  <c r="N30" i="117"/>
  <c r="M31" i="117"/>
  <c r="N31" i="117"/>
  <c r="N2" i="117"/>
  <c r="M2" i="117"/>
  <c r="K3" i="117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2" i="117"/>
  <c r="I3" i="117"/>
  <c r="I7" i="117"/>
  <c r="I10" i="117"/>
  <c r="I17" i="117"/>
  <c r="I24" i="117"/>
  <c r="I31" i="117"/>
  <c r="G3" i="117"/>
  <c r="G4" i="117"/>
  <c r="G5" i="117"/>
  <c r="G6" i="117"/>
  <c r="G7" i="117"/>
  <c r="G8" i="117"/>
  <c r="G9" i="117"/>
  <c r="G10" i="117"/>
  <c r="G11" i="117"/>
  <c r="G12" i="117"/>
  <c r="G13" i="117"/>
  <c r="G14" i="117"/>
  <c r="G15" i="117"/>
  <c r="G16" i="117"/>
  <c r="G17" i="117"/>
  <c r="G18" i="117"/>
  <c r="G19" i="117"/>
  <c r="G2" i="117"/>
  <c r="B3" i="117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J11" i="106" l="1"/>
  <c r="J12" i="106"/>
  <c r="J13" i="106"/>
  <c r="J14" i="106"/>
  <c r="J15" i="106"/>
  <c r="J16" i="106"/>
  <c r="J17" i="106"/>
  <c r="J18" i="106"/>
  <c r="J19" i="106"/>
  <c r="J20" i="106"/>
  <c r="J21" i="106"/>
  <c r="J22" i="106"/>
  <c r="J23" i="106"/>
  <c r="J24" i="106"/>
  <c r="J25" i="106"/>
  <c r="J26" i="106"/>
  <c r="J27" i="106"/>
  <c r="J28" i="106"/>
  <c r="J29" i="106"/>
  <c r="J30" i="106"/>
  <c r="J31" i="106"/>
  <c r="J32" i="106"/>
  <c r="J33" i="106"/>
  <c r="J34" i="106"/>
  <c r="J35" i="106"/>
  <c r="J36" i="106"/>
  <c r="J37" i="106"/>
  <c r="J38" i="106"/>
  <c r="J10" i="106"/>
  <c r="J9" i="106"/>
  <c r="I13" i="117"/>
  <c r="G9" i="109"/>
  <c r="I16" i="102"/>
  <c r="I17" i="102"/>
  <c r="I18" i="102"/>
  <c r="I19" i="102"/>
  <c r="I20" i="102"/>
  <c r="I21" i="102"/>
  <c r="I22" i="102"/>
  <c r="I23" i="102"/>
  <c r="I24" i="102"/>
  <c r="I25" i="102"/>
  <c r="E19" i="117" s="1"/>
  <c r="J25" i="102"/>
  <c r="I26" i="102"/>
  <c r="I27" i="102"/>
  <c r="I28" i="102"/>
  <c r="I29" i="102"/>
  <c r="I30" i="102"/>
  <c r="I31" i="102"/>
  <c r="I32" i="102"/>
  <c r="I33" i="102"/>
  <c r="I34" i="102"/>
  <c r="I35" i="102"/>
  <c r="I36" i="102"/>
  <c r="I37" i="102"/>
  <c r="G17" i="102"/>
  <c r="G23" i="102"/>
  <c r="G25" i="102"/>
  <c r="G28" i="102"/>
  <c r="G30" i="102"/>
  <c r="G34" i="102"/>
  <c r="G37" i="102"/>
  <c r="D39" i="116"/>
  <c r="C39" i="116"/>
  <c r="I30" i="117"/>
  <c r="I29" i="117"/>
  <c r="I28" i="117"/>
  <c r="I27" i="117"/>
  <c r="I26" i="117"/>
  <c r="I25" i="117"/>
  <c r="I23" i="117"/>
  <c r="I22" i="117"/>
  <c r="I21" i="117"/>
  <c r="I20" i="117"/>
  <c r="I19" i="117"/>
  <c r="I18" i="117"/>
  <c r="I16" i="117"/>
  <c r="I15" i="117"/>
  <c r="I14" i="117"/>
  <c r="G20" i="116"/>
  <c r="H20" i="116" s="1"/>
  <c r="I12" i="117"/>
  <c r="I11" i="117"/>
  <c r="G18" i="116"/>
  <c r="H18" i="116" s="1"/>
  <c r="G17" i="116"/>
  <c r="H17" i="116" s="1"/>
  <c r="I9" i="117"/>
  <c r="I8" i="117"/>
  <c r="G15" i="116"/>
  <c r="H15" i="116" s="1"/>
  <c r="G14" i="116"/>
  <c r="H14" i="116" s="1"/>
  <c r="I6" i="117"/>
  <c r="I5" i="117"/>
  <c r="G12" i="116"/>
  <c r="H12" i="116" s="1"/>
  <c r="I4" i="117"/>
  <c r="G11" i="116"/>
  <c r="H11" i="116" s="1"/>
  <c r="G10" i="116"/>
  <c r="I2" i="117"/>
  <c r="J2" i="117"/>
  <c r="J8" i="109"/>
  <c r="I39" i="106"/>
  <c r="J42" i="106" s="1"/>
  <c r="F38" i="106"/>
  <c r="F37" i="106"/>
  <c r="F36" i="106"/>
  <c r="F35" i="106"/>
  <c r="F34" i="106"/>
  <c r="F33" i="106"/>
  <c r="F32" i="106"/>
  <c r="F31" i="106"/>
  <c r="F30" i="106"/>
  <c r="F29" i="106"/>
  <c r="F28" i="106"/>
  <c r="F27" i="106"/>
  <c r="F26" i="106"/>
  <c r="F25" i="106"/>
  <c r="F24" i="106"/>
  <c r="F23" i="106"/>
  <c r="F22" i="106"/>
  <c r="F21" i="106"/>
  <c r="F20" i="106"/>
  <c r="F19" i="106"/>
  <c r="F18" i="106"/>
  <c r="F17" i="106"/>
  <c r="F16" i="106"/>
  <c r="F15" i="106"/>
  <c r="F14" i="106"/>
  <c r="F13" i="106"/>
  <c r="F12" i="106"/>
  <c r="F11" i="106"/>
  <c r="F10" i="106"/>
  <c r="F9" i="106"/>
  <c r="D39" i="109"/>
  <c r="C39" i="109"/>
  <c r="G38" i="109"/>
  <c r="G37" i="109"/>
  <c r="G36" i="109"/>
  <c r="G35" i="109"/>
  <c r="G34" i="109"/>
  <c r="G33" i="109"/>
  <c r="G32" i="109"/>
  <c r="G31" i="109"/>
  <c r="G30" i="109"/>
  <c r="G29" i="109"/>
  <c r="G28" i="109"/>
  <c r="G27" i="109"/>
  <c r="G26" i="109"/>
  <c r="G25" i="109"/>
  <c r="G24" i="109"/>
  <c r="G23" i="109"/>
  <c r="G22" i="109"/>
  <c r="G21" i="109"/>
  <c r="G20" i="109"/>
  <c r="G19" i="109"/>
  <c r="G18" i="109"/>
  <c r="G17" i="109"/>
  <c r="G16" i="109"/>
  <c r="G15" i="109"/>
  <c r="G14" i="109"/>
  <c r="G13" i="109"/>
  <c r="G12" i="109"/>
  <c r="G11" i="109"/>
  <c r="C39" i="106"/>
  <c r="D39" i="106"/>
  <c r="I8" i="102"/>
  <c r="G9" i="102"/>
  <c r="I9" i="102"/>
  <c r="G10" i="102"/>
  <c r="I10" i="102"/>
  <c r="I11" i="102"/>
  <c r="I12" i="102"/>
  <c r="G13" i="102"/>
  <c r="I13" i="102"/>
  <c r="I14" i="102"/>
  <c r="I15" i="102"/>
  <c r="C38" i="102"/>
  <c r="D38" i="102"/>
  <c r="G10" i="109"/>
  <c r="O39" i="109"/>
  <c r="O41" i="109" s="1"/>
  <c r="H10" i="116" l="1"/>
  <c r="J19" i="109"/>
  <c r="J30" i="102"/>
  <c r="K30" i="102" s="1"/>
  <c r="L30" i="102" s="1"/>
  <c r="M30" i="102" s="1"/>
  <c r="E24" i="117"/>
  <c r="J29" i="102"/>
  <c r="E23" i="117"/>
  <c r="J28" i="102"/>
  <c r="K28" i="102" s="1"/>
  <c r="L28" i="102" s="1"/>
  <c r="M28" i="102" s="1"/>
  <c r="E22" i="117"/>
  <c r="J27" i="102"/>
  <c r="E21" i="117"/>
  <c r="J26" i="102"/>
  <c r="E20" i="117"/>
  <c r="J37" i="102"/>
  <c r="K37" i="102" s="1"/>
  <c r="L37" i="102" s="1"/>
  <c r="M37" i="102" s="1"/>
  <c r="E31" i="117"/>
  <c r="J36" i="102"/>
  <c r="E30" i="117"/>
  <c r="J35" i="102"/>
  <c r="E29" i="117"/>
  <c r="J34" i="102"/>
  <c r="E28" i="117"/>
  <c r="J33" i="102"/>
  <c r="E27" i="117"/>
  <c r="J32" i="102"/>
  <c r="E26" i="117"/>
  <c r="J31" i="102"/>
  <c r="E25" i="117"/>
  <c r="J23" i="102"/>
  <c r="K23" i="102" s="1"/>
  <c r="L23" i="102" s="1"/>
  <c r="M23" i="102" s="1"/>
  <c r="E17" i="117"/>
  <c r="J12" i="102"/>
  <c r="E6" i="117"/>
  <c r="J10" i="102"/>
  <c r="K10" i="102" s="1"/>
  <c r="L10" i="102" s="1"/>
  <c r="M10" i="102" s="1"/>
  <c r="E4" i="117"/>
  <c r="J22" i="102"/>
  <c r="E16" i="117"/>
  <c r="J19" i="102"/>
  <c r="E13" i="117"/>
  <c r="J18" i="102"/>
  <c r="E12" i="117"/>
  <c r="J16" i="102"/>
  <c r="E10" i="117"/>
  <c r="J9" i="102"/>
  <c r="K9" i="102" s="1"/>
  <c r="L9" i="102" s="1"/>
  <c r="M9" i="102" s="1"/>
  <c r="E3" i="117"/>
  <c r="J8" i="102"/>
  <c r="E2" i="117"/>
  <c r="J15" i="102"/>
  <c r="E9" i="117"/>
  <c r="J14" i="102"/>
  <c r="E8" i="117"/>
  <c r="J13" i="102"/>
  <c r="K13" i="102" s="1"/>
  <c r="L13" i="102" s="1"/>
  <c r="M13" i="102" s="1"/>
  <c r="E7" i="117"/>
  <c r="J21" i="102"/>
  <c r="E15" i="117"/>
  <c r="J11" i="102"/>
  <c r="E5" i="117"/>
  <c r="J17" i="102"/>
  <c r="K17" i="102" s="1"/>
  <c r="L17" i="102" s="1"/>
  <c r="M17" i="102" s="1"/>
  <c r="E11" i="117"/>
  <c r="J24" i="102"/>
  <c r="E18" i="117"/>
  <c r="J20" i="102"/>
  <c r="E14" i="117"/>
  <c r="K30" i="106"/>
  <c r="L30" i="106" s="1"/>
  <c r="K18" i="106"/>
  <c r="L18" i="106" s="1"/>
  <c r="K10" i="106"/>
  <c r="L10" i="106" s="1"/>
  <c r="K15" i="106"/>
  <c r="L15" i="106" s="1"/>
  <c r="K27" i="106"/>
  <c r="L27" i="106" s="1"/>
  <c r="K38" i="106"/>
  <c r="L38" i="106" s="1"/>
  <c r="K31" i="106"/>
  <c r="L31" i="106" s="1"/>
  <c r="K32" i="106"/>
  <c r="L32" i="106" s="1"/>
  <c r="J16" i="117"/>
  <c r="J24" i="117"/>
  <c r="J5" i="117"/>
  <c r="J10" i="117"/>
  <c r="J7" i="117"/>
  <c r="J18" i="117"/>
  <c r="J11" i="117"/>
  <c r="J3" i="117"/>
  <c r="J28" i="117"/>
  <c r="J23" i="117"/>
  <c r="J4" i="117"/>
  <c r="J8" i="117"/>
  <c r="J17" i="117"/>
  <c r="J19" i="117"/>
  <c r="J13" i="117"/>
  <c r="J21" i="117"/>
  <c r="J15" i="117"/>
  <c r="J22" i="117"/>
  <c r="J31" i="117"/>
  <c r="K21" i="106"/>
  <c r="L21" i="106" s="1"/>
  <c r="K33" i="106"/>
  <c r="L33" i="106" s="1"/>
  <c r="K35" i="106"/>
  <c r="L35" i="106" s="1"/>
  <c r="K11" i="106"/>
  <c r="L11" i="106" s="1"/>
  <c r="K17" i="106"/>
  <c r="L17" i="106" s="1"/>
  <c r="K9" i="106"/>
  <c r="K28" i="106"/>
  <c r="L28" i="106" s="1"/>
  <c r="K16" i="106"/>
  <c r="L16" i="106" s="1"/>
  <c r="K13" i="106"/>
  <c r="L13" i="106" s="1"/>
  <c r="K23" i="106"/>
  <c r="L23" i="106" s="1"/>
  <c r="K29" i="106"/>
  <c r="L29" i="106" s="1"/>
  <c r="K36" i="106"/>
  <c r="L36" i="106" s="1"/>
  <c r="K25" i="106"/>
  <c r="L25" i="106" s="1"/>
  <c r="K37" i="106"/>
  <c r="L37" i="106" s="1"/>
  <c r="K12" i="106"/>
  <c r="L12" i="106" s="1"/>
  <c r="G16" i="116"/>
  <c r="H16" i="116" s="1"/>
  <c r="G13" i="116"/>
  <c r="G19" i="116"/>
  <c r="H19" i="116" s="1"/>
  <c r="G21" i="116"/>
  <c r="H21" i="116" s="1"/>
  <c r="G22" i="102"/>
  <c r="J33" i="109"/>
  <c r="J11" i="109"/>
  <c r="J27" i="109"/>
  <c r="J28" i="109"/>
  <c r="J13" i="109"/>
  <c r="M8" i="109"/>
  <c r="J26" i="109"/>
  <c r="K25" i="102"/>
  <c r="L25" i="102" s="1"/>
  <c r="M25" i="102" s="1"/>
  <c r="K34" i="102"/>
  <c r="L34" i="102" s="1"/>
  <c r="M34" i="102" s="1"/>
  <c r="G26" i="102"/>
  <c r="G20" i="102"/>
  <c r="J14" i="109"/>
  <c r="J12" i="109"/>
  <c r="K22" i="106"/>
  <c r="L22" i="106" s="1"/>
  <c r="G35" i="102"/>
  <c r="K35" i="102" s="1"/>
  <c r="L35" i="102" s="1"/>
  <c r="M35" i="102" s="1"/>
  <c r="G33" i="102"/>
  <c r="K33" i="102" s="1"/>
  <c r="L33" i="102" s="1"/>
  <c r="M33" i="102" s="1"/>
  <c r="K34" i="106"/>
  <c r="L34" i="106" s="1"/>
  <c r="K26" i="106"/>
  <c r="L26" i="106" s="1"/>
  <c r="J20" i="109"/>
  <c r="F39" i="116"/>
  <c r="J24" i="109"/>
  <c r="J16" i="109"/>
  <c r="J31" i="109"/>
  <c r="J9" i="109"/>
  <c r="J38" i="109"/>
  <c r="J32" i="109"/>
  <c r="J37" i="109"/>
  <c r="J10" i="109"/>
  <c r="J17" i="109"/>
  <c r="J30" i="109"/>
  <c r="K19" i="106"/>
  <c r="L19" i="106" s="1"/>
  <c r="K24" i="106"/>
  <c r="L24" i="106" s="1"/>
  <c r="G24" i="102"/>
  <c r="P8" i="109"/>
  <c r="J18" i="109"/>
  <c r="J25" i="109"/>
  <c r="J21" i="109"/>
  <c r="G8" i="102"/>
  <c r="J29" i="109"/>
  <c r="J36" i="109"/>
  <c r="J22" i="109"/>
  <c r="J35" i="109"/>
  <c r="J15" i="109"/>
  <c r="J34" i="109"/>
  <c r="J23" i="109"/>
  <c r="G15" i="102"/>
  <c r="G11" i="102"/>
  <c r="K11" i="102" s="1"/>
  <c r="L11" i="102" s="1"/>
  <c r="M11" i="102" s="1"/>
  <c r="K14" i="106"/>
  <c r="L14" i="106" s="1"/>
  <c r="K20" i="106"/>
  <c r="L20" i="106" s="1"/>
  <c r="G29" i="102"/>
  <c r="G27" i="102"/>
  <c r="G19" i="102"/>
  <c r="F38" i="102"/>
  <c r="G18" i="102"/>
  <c r="G14" i="102"/>
  <c r="G12" i="102"/>
  <c r="G36" i="102"/>
  <c r="G32" i="102"/>
  <c r="I38" i="102"/>
  <c r="G31" i="102"/>
  <c r="G21" i="102"/>
  <c r="G16" i="102"/>
  <c r="H13" i="116" l="1"/>
  <c r="G39" i="116"/>
  <c r="K39" i="106"/>
  <c r="L9" i="106"/>
  <c r="H39" i="116"/>
  <c r="K12" i="102"/>
  <c r="L12" i="102" s="1"/>
  <c r="M12" i="102" s="1"/>
  <c r="K31" i="102"/>
  <c r="L31" i="102" s="1"/>
  <c r="M31" i="102" s="1"/>
  <c r="K36" i="102"/>
  <c r="L36" i="102" s="1"/>
  <c r="M36" i="102" s="1"/>
  <c r="K32" i="102"/>
  <c r="L32" i="102" s="1"/>
  <c r="M32" i="102" s="1"/>
  <c r="K15" i="102"/>
  <c r="L15" i="102" s="1"/>
  <c r="M15" i="102" s="1"/>
  <c r="K29" i="102"/>
  <c r="L29" i="102" s="1"/>
  <c r="M29" i="102" s="1"/>
  <c r="K22" i="102"/>
  <c r="L22" i="102" s="1"/>
  <c r="M22" i="102" s="1"/>
  <c r="K24" i="102"/>
  <c r="L24" i="102" s="1"/>
  <c r="M24" i="102" s="1"/>
  <c r="K20" i="102"/>
  <c r="L20" i="102" s="1"/>
  <c r="M20" i="102" s="1"/>
  <c r="K8" i="102"/>
  <c r="L8" i="102" s="1"/>
  <c r="M8" i="102" s="1"/>
  <c r="K26" i="102"/>
  <c r="L26" i="102" s="1"/>
  <c r="M26" i="102" s="1"/>
  <c r="M13" i="109"/>
  <c r="K27" i="102"/>
  <c r="L27" i="102" s="1"/>
  <c r="M27" i="102" s="1"/>
  <c r="K16" i="102"/>
  <c r="L16" i="102" s="1"/>
  <c r="M16" i="102" s="1"/>
  <c r="K14" i="102"/>
  <c r="L14" i="102" s="1"/>
  <c r="M14" i="102" s="1"/>
  <c r="K18" i="102"/>
  <c r="L18" i="102" s="1"/>
  <c r="M18" i="102" s="1"/>
  <c r="K19" i="102"/>
  <c r="L19" i="102" s="1"/>
  <c r="M19" i="102" s="1"/>
  <c r="K21" i="102"/>
  <c r="L21" i="102" s="1"/>
  <c r="M21" i="102" s="1"/>
  <c r="M29" i="109"/>
  <c r="L23" i="117"/>
  <c r="F17" i="117"/>
  <c r="L11" i="117"/>
  <c r="L3" i="117"/>
  <c r="L8" i="117"/>
  <c r="L25" i="117"/>
  <c r="L10" i="117"/>
  <c r="L21" i="117"/>
  <c r="L20" i="117"/>
  <c r="L31" i="117"/>
  <c r="L2" i="117"/>
  <c r="F31" i="117"/>
  <c r="M31" i="109"/>
  <c r="M34" i="109"/>
  <c r="M26" i="109"/>
  <c r="M16" i="109"/>
  <c r="M35" i="109"/>
  <c r="M24" i="109"/>
  <c r="M28" i="109"/>
  <c r="M25" i="109"/>
  <c r="M9" i="109"/>
  <c r="M17" i="109"/>
  <c r="M30" i="109"/>
  <c r="M18" i="109"/>
  <c r="P21" i="109"/>
  <c r="M12" i="109"/>
  <c r="M19" i="109"/>
  <c r="M36" i="109"/>
  <c r="M21" i="109"/>
  <c r="M27" i="109"/>
  <c r="M15" i="109"/>
  <c r="M14" i="109"/>
  <c r="L24" i="117"/>
  <c r="L12" i="117"/>
  <c r="L9" i="117"/>
  <c r="L17" i="117"/>
  <c r="J20" i="117"/>
  <c r="J9" i="117"/>
  <c r="J14" i="117"/>
  <c r="J6" i="117"/>
  <c r="L26" i="117"/>
  <c r="L4" i="117"/>
  <c r="L28" i="117"/>
  <c r="L14" i="117"/>
  <c r="L16" i="117"/>
  <c r="L6" i="117"/>
  <c r="L5" i="117"/>
  <c r="L22" i="117"/>
  <c r="L30" i="117"/>
  <c r="L13" i="117"/>
  <c r="L19" i="117"/>
  <c r="L29" i="117"/>
  <c r="L15" i="117"/>
  <c r="L39" i="106"/>
  <c r="L7" i="117"/>
  <c r="L18" i="117"/>
  <c r="J12" i="117"/>
  <c r="F3" i="117"/>
  <c r="F4" i="117"/>
  <c r="F5" i="117"/>
  <c r="F29" i="117"/>
  <c r="M38" i="109"/>
  <c r="M23" i="109"/>
  <c r="M33" i="109"/>
  <c r="P37" i="109"/>
  <c r="M32" i="109"/>
  <c r="M11" i="109"/>
  <c r="M37" i="109"/>
  <c r="M10" i="109"/>
  <c r="M22" i="109"/>
  <c r="M20" i="109"/>
  <c r="F7" i="117"/>
  <c r="F27" i="117"/>
  <c r="F19" i="117"/>
  <c r="F28" i="117"/>
  <c r="F24" i="117"/>
  <c r="P30" i="109"/>
  <c r="P33" i="109"/>
  <c r="P18" i="109"/>
  <c r="P23" i="109"/>
  <c r="P31" i="109"/>
  <c r="P32" i="109"/>
  <c r="P10" i="109"/>
  <c r="P11" i="109"/>
  <c r="P24" i="109"/>
  <c r="Q24" i="109" s="1"/>
  <c r="R24" i="109" s="1"/>
  <c r="P14" i="109"/>
  <c r="P13" i="109"/>
  <c r="P28" i="109"/>
  <c r="P25" i="109"/>
  <c r="P27" i="109"/>
  <c r="P36" i="109"/>
  <c r="P17" i="109"/>
  <c r="P9" i="109"/>
  <c r="P12" i="109"/>
  <c r="P16" i="109"/>
  <c r="P22" i="109"/>
  <c r="P38" i="109"/>
  <c r="P26" i="109"/>
  <c r="P19" i="109"/>
  <c r="J27" i="117"/>
  <c r="P15" i="109"/>
  <c r="P29" i="109"/>
  <c r="L27" i="117"/>
  <c r="J29" i="117"/>
  <c r="J26" i="117"/>
  <c r="F11" i="117"/>
  <c r="P35" i="109"/>
  <c r="P20" i="109"/>
  <c r="P34" i="109"/>
  <c r="J30" i="117"/>
  <c r="J25" i="117"/>
  <c r="F6" i="117"/>
  <c r="I40" i="102"/>
  <c r="F22" i="117"/>
  <c r="M38" i="102" l="1"/>
  <c r="F14" i="117"/>
  <c r="F20" i="117"/>
  <c r="F16" i="117"/>
  <c r="F2" i="117"/>
  <c r="Q13" i="109"/>
  <c r="F25" i="117"/>
  <c r="F9" i="117"/>
  <c r="F30" i="117"/>
  <c r="F26" i="117"/>
  <c r="H17" i="117"/>
  <c r="F23" i="117"/>
  <c r="F8" i="117"/>
  <c r="F10" i="117"/>
  <c r="F18" i="117"/>
  <c r="F21" i="117"/>
  <c r="L38" i="102"/>
  <c r="F12" i="117"/>
  <c r="F13" i="117"/>
  <c r="F15" i="117"/>
  <c r="Q32" i="109"/>
  <c r="R32" i="109" s="1"/>
  <c r="Q29" i="109"/>
  <c r="R29" i="109" s="1"/>
  <c r="Q21" i="109"/>
  <c r="R21" i="109" s="1"/>
  <c r="Q28" i="109"/>
  <c r="R28" i="109" s="1"/>
  <c r="Q9" i="109"/>
  <c r="Q31" i="109"/>
  <c r="R31" i="109" s="1"/>
  <c r="Q20" i="109"/>
  <c r="R20" i="109" s="1"/>
  <c r="Q17" i="109"/>
  <c r="R17" i="109" s="1"/>
  <c r="Q35" i="109"/>
  <c r="R35" i="109" s="1"/>
  <c r="Q14" i="109"/>
  <c r="R14" i="109" s="1"/>
  <c r="Q38" i="109"/>
  <c r="R38" i="109" s="1"/>
  <c r="Q34" i="109"/>
  <c r="R34" i="109" s="1"/>
  <c r="Q19" i="109"/>
  <c r="R19" i="109" s="1"/>
  <c r="Q26" i="109"/>
  <c r="R26" i="109" s="1"/>
  <c r="Q16" i="109"/>
  <c r="R16" i="109" s="1"/>
  <c r="Q12" i="109"/>
  <c r="R12" i="109" s="1"/>
  <c r="Q36" i="109"/>
  <c r="R36" i="109" s="1"/>
  <c r="Q18" i="109"/>
  <c r="R18" i="109" s="1"/>
  <c r="Q22" i="109"/>
  <c r="R22" i="109" s="1"/>
  <c r="Q33" i="109"/>
  <c r="R33" i="109" s="1"/>
  <c r="Q15" i="109"/>
  <c r="R15" i="109" s="1"/>
  <c r="Q27" i="109"/>
  <c r="R27" i="109" s="1"/>
  <c r="Q25" i="109"/>
  <c r="R25" i="109" s="1"/>
  <c r="Q30" i="109"/>
  <c r="R30" i="109" s="1"/>
  <c r="Q23" i="109"/>
  <c r="R23" i="109" s="1"/>
  <c r="Q11" i="109"/>
  <c r="R11" i="109" s="1"/>
  <c r="Q10" i="109"/>
  <c r="R10" i="109" s="1"/>
  <c r="Q37" i="109"/>
  <c r="R37" i="109" s="1"/>
  <c r="Q39" i="109" l="1"/>
  <c r="R9" i="109"/>
  <c r="H6" i="117"/>
  <c r="R13" i="109"/>
  <c r="H25" i="117"/>
  <c r="H27" i="117"/>
  <c r="H31" i="117"/>
  <c r="H7" i="117"/>
  <c r="H26" i="117"/>
  <c r="H13" i="117"/>
  <c r="H2" i="117"/>
  <c r="H12" i="117"/>
  <c r="H23" i="117"/>
  <c r="H18" i="117"/>
  <c r="H8" i="117"/>
  <c r="H11" i="117"/>
  <c r="H5" i="117"/>
  <c r="H21" i="117"/>
  <c r="H28" i="117"/>
  <c r="H15" i="117"/>
  <c r="H29" i="117"/>
  <c r="H3" i="117"/>
  <c r="H9" i="117"/>
  <c r="H14" i="117"/>
  <c r="H16" i="117"/>
  <c r="H20" i="117"/>
  <c r="H10" i="117"/>
  <c r="H24" i="117"/>
  <c r="H30" i="117"/>
  <c r="H4" i="117"/>
  <c r="H19" i="117"/>
  <c r="H22" i="117"/>
  <c r="R39" i="109" l="1"/>
</calcChain>
</file>

<file path=xl/sharedStrings.xml><?xml version="1.0" encoding="utf-8"?>
<sst xmlns="http://schemas.openxmlformats.org/spreadsheetml/2006/main" count="119" uniqueCount="61">
  <si>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</si>
  <si>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</si>
  <si>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</si>
  <si>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</si>
  <si>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</si>
  <si>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</si>
  <si>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</si>
  <si>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</si>
  <si>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Total Fuel Oil  (Liter)</t>
  </si>
  <si>
    <t>Fuel Oil  $/Liter</t>
  </si>
  <si>
    <t>Water Utility Supply (m3) m3</t>
  </si>
  <si>
    <t>Water Utility Supply (m3) $/m3</t>
  </si>
  <si>
    <t xml:space="preserve">Room Nights </t>
  </si>
  <si>
    <t>Food Covers</t>
  </si>
  <si>
    <t>Bali at Sayan</t>
  </si>
  <si>
    <t xml:space="preserve">Daily Electricity Consumption </t>
  </si>
  <si>
    <t>Engineering Department</t>
  </si>
  <si>
    <t>Date</t>
  </si>
  <si>
    <t>Room Nights</t>
  </si>
  <si>
    <t>BASED LOAD  (from 10 pm - 6 pm)</t>
  </si>
  <si>
    <t>PEAK LOAD (from 6 pm - 10 pm)</t>
  </si>
  <si>
    <t>Sub-Total Cost    (Based + Peak cost)</t>
  </si>
  <si>
    <t xml:space="preserve">TOTAL COST include 10% TAX  (sub total cost X 1.1) </t>
  </si>
  <si>
    <t>USD</t>
  </si>
  <si>
    <t>Used (reading)</t>
  </si>
  <si>
    <t>kWh (Used x2000)</t>
  </si>
  <si>
    <t>IDR Cost (kWh x IDR 1035.5)</t>
  </si>
  <si>
    <t>Cost  (kWh x IDR 1553.25)</t>
  </si>
  <si>
    <t>TOTAL Used (kWh)</t>
  </si>
  <si>
    <t>RNs &amp; Food Cover is based on actual November &amp; forecasting December 2020</t>
  </si>
  <si>
    <t xml:space="preserve">Daily Gas Consumption </t>
  </si>
  <si>
    <t>LPG Tube 50kg</t>
  </si>
  <si>
    <t>TOTAL Cost (include Tax)</t>
  </si>
  <si>
    <t>Ayung Terrace</t>
  </si>
  <si>
    <t>Riverside</t>
  </si>
  <si>
    <t>Sokasi - Cooking class</t>
  </si>
  <si>
    <t>Porte Cochere bonfire</t>
  </si>
  <si>
    <t>METER READING</t>
  </si>
  <si>
    <t>Used (kg)</t>
  </si>
  <si>
    <t xml:space="preserve">IDR Cost kg x rate IDR </t>
  </si>
  <si>
    <t>METER READING (tube installed)</t>
  </si>
  <si>
    <t xml:space="preserve">IDR Cost m3 x rate IDR </t>
  </si>
  <si>
    <t>Tube installed</t>
  </si>
  <si>
    <t>IDR</t>
  </si>
  <si>
    <t>Closure</t>
  </si>
  <si>
    <t>Total Used (kg)</t>
  </si>
  <si>
    <t xml:space="preserve">Daily Fuel Consumption </t>
  </si>
  <si>
    <t xml:space="preserve">Diesel </t>
  </si>
  <si>
    <t>Used (ltrs)</t>
  </si>
  <si>
    <t xml:space="preserve">Daily Water Consumption </t>
  </si>
  <si>
    <t>RN</t>
  </si>
  <si>
    <t>MUNICIPAL WATER</t>
  </si>
  <si>
    <t>DEEP WELL</t>
  </si>
  <si>
    <t>Total Cost    (Municipal + DW1 + DW2 cost)</t>
  </si>
  <si>
    <t>USD (Total Cost / exchange rate IDR)</t>
  </si>
  <si>
    <t>Used</t>
  </si>
  <si>
    <t>Water Cost (M3 x IDR 13,582)</t>
  </si>
  <si>
    <t>DW 1 Cost  (M3 x IDR 4,000)</t>
  </si>
  <si>
    <t>Used (m3)</t>
  </si>
  <si>
    <t>DW 2 Cost  (M3 x IDR 4,000)</t>
  </si>
  <si>
    <r>
      <t>TOTAL Used m</t>
    </r>
    <r>
      <rPr>
        <b/>
        <vertAlign val="superscript"/>
        <sz val="10"/>
        <rFont val="Arial"/>
        <family val="2"/>
      </rPr>
      <t>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</si>
</sst>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&quot;$&quot;#,##0.00"/>
    <numFmt numFmtId="167" formatCode="[$$-409]#,##0.00"/>
    <numFmt numFmtId="168" formatCode="[$IDR]\ #,##0_);\([$IDR]\ #,##0\)"/>
    <numFmt numFmtId="169" formatCode="[$IDR]\ #,##0.00_);\([$IDR]\ #,##0.00\)"/>
    <numFmt numFmtId="170" formatCode="[$IDR]\ #,##0.00"/>
  </numFmts>
  <fonts count="17">
    <font>
      <sz val="10"/>
      <name val="Arial"/>
    </font>
    <font>
      <sz val="10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FF0000"/>
      <name val="Calibri"/>
      <family val="2"/>
      <scheme val="minor"/>
    </font>
    <font>
      <b/>
      <vertAlign val="superscript"/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ABF8F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1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11" fillId="0" borderId="0"/>
    <xf numFmtId="0" fontId="5" fillId="0" borderId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01">
    <xf numFmtId="0" fontId="0" fillId="0" borderId="0" xfId="0"/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shrinkToFit="1"/>
    </xf>
    <xf numFmtId="43" fontId="3" fillId="0" borderId="1" xfId="1" applyFont="1" applyFill="1" applyBorder="1" applyAlignment="1">
      <alignment horizontal="center" shrinkToFit="1"/>
    </xf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shrinkToFit="1"/>
    </xf>
    <xf numFmtId="43" fontId="3" fillId="0" borderId="0" xfId="1" applyFont="1" applyFill="1" applyBorder="1" applyAlignment="1">
      <alignment horizontal="center" shrinkToFit="1"/>
    </xf>
    <xf numFmtId="43" fontId="4" fillId="0" borderId="1" xfId="1" applyFont="1" applyFill="1" applyBorder="1" applyAlignment="1">
      <alignment horizontal="center" shrinkToFit="1"/>
    </xf>
    <xf numFmtId="165" fontId="4" fillId="0" borderId="1" xfId="1" applyNumberFormat="1" applyFont="1" applyFill="1" applyBorder="1" applyAlignment="1">
      <alignment horizontal="center" shrinkToFit="1"/>
    </xf>
    <xf numFmtId="164" fontId="3" fillId="0" borderId="1" xfId="0" applyNumberFormat="1" applyFont="1" applyBorder="1" applyAlignment="1">
      <alignment shrinkToFit="1"/>
    </xf>
    <xf numFmtId="0" fontId="1" fillId="2" borderId="0" xfId="0" applyFont="1" applyFill="1" applyAlignment="1">
      <alignment horizontal="center" vertical="center"/>
    </xf>
    <xf numFmtId="0" fontId="14" fillId="0" borderId="1" xfId="0" applyFont="1" applyBorder="1"/>
    <xf numFmtId="0" fontId="14" fillId="0" borderId="1" xfId="0" applyFont="1" applyBorder="1" applyAlignment="1">
      <alignment horizontal="center"/>
    </xf>
    <xf numFmtId="41" fontId="4" fillId="0" borderId="1" xfId="2" applyFont="1" applyFill="1" applyBorder="1" applyAlignment="1">
      <alignment horizontal="center" vertical="center" shrinkToFit="1"/>
    </xf>
    <xf numFmtId="43" fontId="3" fillId="0" borderId="0" xfId="1" applyFont="1" applyFill="1" applyBorder="1" applyAlignment="1">
      <alignment horizontal="center" vertical="center" shrinkToFit="1"/>
    </xf>
    <xf numFmtId="41" fontId="2" fillId="0" borderId="0" xfId="2" applyFont="1" applyFill="1" applyBorder="1" applyAlignment="1">
      <alignment shrinkToFit="1"/>
    </xf>
    <xf numFmtId="165" fontId="3" fillId="0" borderId="1" xfId="1" applyNumberFormat="1" applyFont="1" applyFill="1" applyBorder="1" applyAlignment="1">
      <alignment horizontal="center" shrinkToFit="1"/>
    </xf>
    <xf numFmtId="43" fontId="2" fillId="0" borderId="0" xfId="1" applyFont="1" applyFill="1" applyBorder="1" applyAlignment="1">
      <alignment shrinkToFit="1"/>
    </xf>
    <xf numFmtId="165" fontId="3" fillId="0" borderId="0" xfId="1" applyNumberFormat="1" applyFont="1" applyFill="1" applyBorder="1" applyAlignment="1">
      <alignment horizontal="center" shrinkToFit="1"/>
    </xf>
    <xf numFmtId="43" fontId="14" fillId="0" borderId="1" xfId="1" applyFont="1" applyBorder="1"/>
    <xf numFmtId="43" fontId="0" fillId="0" borderId="0" xfId="1" applyFont="1" applyAlignment="1">
      <alignment horizontal="center" vertical="center"/>
    </xf>
    <xf numFmtId="2" fontId="4" fillId="0" borderId="0" xfId="0" applyNumberFormat="1" applyFont="1" applyAlignment="1">
      <alignment horizontal="center" shrinkToFit="1"/>
    </xf>
    <xf numFmtId="43" fontId="4" fillId="0" borderId="0" xfId="1" applyFont="1" applyFill="1" applyBorder="1" applyAlignment="1">
      <alignment horizontal="center" shrinkToFit="1"/>
    </xf>
    <xf numFmtId="165" fontId="4" fillId="0" borderId="0" xfId="1" applyNumberFormat="1" applyFont="1" applyFill="1" applyBorder="1" applyAlignment="1">
      <alignment horizontal="center" shrinkToFit="1"/>
    </xf>
    <xf numFmtId="165" fontId="0" fillId="0" borderId="0" xfId="1" applyNumberFormat="1" applyFont="1" applyAlignment="1">
      <alignment horizontal="center"/>
    </xf>
    <xf numFmtId="165" fontId="11" fillId="0" borderId="1" xfId="5" applyNumberFormat="1" applyFont="1" applyBorder="1"/>
    <xf numFmtId="44" fontId="0" fillId="0" borderId="0" xfId="0" applyNumberFormat="1"/>
    <xf numFmtId="44" fontId="0" fillId="0" borderId="0" xfId="6" applyFont="1"/>
    <xf numFmtId="41" fontId="0" fillId="0" borderId="0" xfId="0" applyNumberFormat="1"/>
    <xf numFmtId="41" fontId="0" fillId="0" borderId="0" xfId="0" applyNumberFormat="1" applyAlignment="1">
      <alignment horizontal="center"/>
    </xf>
    <xf numFmtId="43" fontId="0" fillId="0" borderId="0" xfId="0" applyNumberFormat="1" applyAlignment="1">
      <alignment horizontal="center"/>
    </xf>
    <xf numFmtId="43" fontId="0" fillId="0" borderId="0" xfId="0" applyNumberFormat="1"/>
    <xf numFmtId="167" fontId="0" fillId="0" borderId="0" xfId="0" applyNumberFormat="1"/>
    <xf numFmtId="166" fontId="2" fillId="0" borderId="0" xfId="2" applyNumberFormat="1" applyFont="1" applyFill="1" applyBorder="1" applyAlignment="1">
      <alignment shrinkToFit="1"/>
    </xf>
    <xf numFmtId="41" fontId="2" fillId="0" borderId="0" xfId="2" applyFont="1" applyFill="1" applyBorder="1" applyAlignment="1">
      <alignment horizontal="center" shrinkToFit="1"/>
    </xf>
    <xf numFmtId="166" fontId="7" fillId="0" borderId="0" xfId="2" applyNumberFormat="1" applyFont="1" applyFill="1" applyBorder="1" applyAlignment="1">
      <alignment shrinkToFit="1"/>
    </xf>
    <xf numFmtId="44" fontId="7" fillId="0" borderId="0" xfId="2" applyNumberFormat="1" applyFont="1" applyFill="1" applyBorder="1" applyAlignment="1">
      <alignment shrinkToFit="1"/>
    </xf>
    <xf numFmtId="167" fontId="9" fillId="0" borderId="0" xfId="2" applyNumberFormat="1" applyFont="1" applyFill="1" applyBorder="1" applyAlignment="1">
      <alignment shrinkToFit="1"/>
    </xf>
    <xf numFmtId="0" fontId="0" fillId="10" borderId="0" xfId="0" applyFill="1"/>
    <xf numFmtId="0" fontId="12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2" fontId="15" fillId="0" borderId="1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13" fillId="0" borderId="1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0" fillId="0" borderId="2" xfId="0" applyBorder="1"/>
    <xf numFmtId="0" fontId="6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43" fontId="2" fillId="3" borderId="1" xfId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vertical="center" wrapText="1"/>
    </xf>
    <xf numFmtId="0" fontId="0" fillId="0" borderId="1" xfId="0" applyBorder="1"/>
    <xf numFmtId="0" fontId="3" fillId="2" borderId="1" xfId="0" applyFont="1" applyFill="1" applyBorder="1" applyAlignment="1">
      <alignment horizontal="center" vertical="center" shrinkToFit="1"/>
    </xf>
    <xf numFmtId="44" fontId="4" fillId="0" borderId="1" xfId="1" applyNumberFormat="1" applyFont="1" applyFill="1" applyBorder="1" applyAlignment="1">
      <alignment horizontal="center" shrinkToFit="1"/>
    </xf>
    <xf numFmtId="0" fontId="6" fillId="0" borderId="3" xfId="0" applyFont="1" applyBorder="1" applyAlignment="1">
      <alignment horizontal="center" vertical="center"/>
    </xf>
    <xf numFmtId="0" fontId="0" fillId="0" borderId="3" xfId="0" applyBorder="1"/>
    <xf numFmtId="166" fontId="0" fillId="0" borderId="1" xfId="0" applyNumberFormat="1" applyBorder="1"/>
    <xf numFmtId="3" fontId="2" fillId="3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167" fontId="0" fillId="0" borderId="1" xfId="0" applyNumberFormat="1" applyBorder="1"/>
    <xf numFmtId="169" fontId="7" fillId="0" borderId="0" xfId="2" applyNumberFormat="1" applyFont="1" applyFill="1" applyBorder="1" applyAlignment="1">
      <alignment shrinkToFit="1"/>
    </xf>
    <xf numFmtId="165" fontId="3" fillId="11" borderId="0" xfId="1" applyNumberFormat="1" applyFont="1" applyFill="1" applyBorder="1" applyAlignment="1">
      <alignment horizontal="center" vertical="center" shrinkToFit="1"/>
    </xf>
    <xf numFmtId="170" fontId="2" fillId="0" borderId="0" xfId="2" applyNumberFormat="1" applyFont="1" applyFill="1" applyBorder="1" applyAlignment="1">
      <alignment horizontal="left" indent="1" shrinkToFit="1"/>
    </xf>
    <xf numFmtId="165" fontId="1" fillId="2" borderId="0" xfId="1" applyNumberFormat="1" applyFont="1" applyFill="1" applyAlignment="1">
      <alignment horizontal="center"/>
    </xf>
    <xf numFmtId="165" fontId="6" fillId="0" borderId="0" xfId="1" applyNumberFormat="1" applyFont="1" applyFill="1" applyBorder="1" applyAlignment="1">
      <alignment horizontal="center" shrinkToFit="1"/>
    </xf>
    <xf numFmtId="168" fontId="7" fillId="0" borderId="0" xfId="1" applyNumberFormat="1" applyFont="1" applyFill="1" applyBorder="1" applyAlignment="1">
      <alignment shrinkToFit="1"/>
    </xf>
    <xf numFmtId="168" fontId="9" fillId="0" borderId="0" xfId="2" applyNumberFormat="1" applyFont="1" applyFill="1" applyBorder="1" applyAlignment="1">
      <alignment shrinkToFit="1"/>
    </xf>
    <xf numFmtId="0" fontId="6" fillId="0" borderId="0" xfId="0" applyFont="1" applyAlignment="1">
      <alignment horizontal="center" vertical="center"/>
    </xf>
    <xf numFmtId="41" fontId="9" fillId="11" borderId="0" xfId="0" applyNumberFormat="1" applyFont="1" applyFill="1"/>
    <xf numFmtId="0" fontId="7" fillId="2" borderId="0" xfId="0" applyFont="1" applyFill="1" applyAlignment="1">
      <alignment horizontal="center"/>
    </xf>
    <xf numFmtId="0" fontId="2" fillId="6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17" fontId="6" fillId="2" borderId="0" xfId="0" applyNumberFormat="1" applyFont="1" applyFill="1" applyAlignment="1">
      <alignment horizontal="center" vertical="center"/>
    </xf>
    <xf numFmtId="0" fontId="9" fillId="11" borderId="0" xfId="0" applyFont="1" applyFill="1" applyAlignment="1">
      <alignment horizontal="right"/>
    </xf>
    <xf numFmtId="0" fontId="2" fillId="7" borderId="1" xfId="0" applyFont="1" applyFill="1" applyBorder="1" applyAlignment="1">
      <alignment horizontal="center" vertical="center"/>
    </xf>
    <xf numFmtId="0" fontId="3" fillId="11" borderId="0" xfId="0" applyFont="1" applyFill="1" applyAlignment="1">
      <alignment horizontal="center" shrinkToFit="1"/>
    </xf>
    <xf numFmtId="17" fontId="6" fillId="2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43" fontId="2" fillId="3" borderId="1" xfId="1" applyFont="1" applyFill="1" applyBorder="1" applyAlignment="1">
      <alignment horizontal="center" vertical="center" wrapText="1"/>
    </xf>
    <xf numFmtId="0" fontId="6" fillId="0" borderId="0" xfId="0" applyFont="1" applyAlignment="1">
      <alignment horizontal="right" vertical="center" indent="1"/>
    </xf>
    <xf numFmtId="165" fontId="2" fillId="3" borderId="1" xfId="1" applyNumberFormat="1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vertical="center"/>
    </xf>
    <xf numFmtId="165" fontId="1" fillId="0" borderId="0" xfId="1" applyNumberFormat="1" applyFont="1" applyAlignment="1">
      <alignment vertical="center"/>
    </xf>
    <xf numFmtId="165" fontId="1" fillId="0" borderId="0" xfId="0" applyNumberFormat="1" applyFont="1" applyAlignment="1">
      <alignment vertical="center"/>
    </xf>
    <xf numFmtId="43" fontId="1" fillId="2" borderId="0" xfId="1" applyFont="1" applyFill="1" applyAlignment="1">
      <alignment horizontal="center" vertical="center"/>
    </xf>
    <xf numFmtId="43" fontId="1" fillId="0" borderId="0" xfId="1" applyFont="1" applyAlignment="1">
      <alignment vertical="center"/>
    </xf>
  </cellXfs>
  <cellStyles count="14">
    <cellStyle name="Comma" xfId="1" builtinId="3"/>
    <cellStyle name="Comma [0]" xfId="2" builtinId="6"/>
    <cellStyle name="Comma 2" xfId="3" xr:uid="{00000000-0005-0000-0000-000002000000}"/>
    <cellStyle name="Comma 3" xfId="4" xr:uid="{00000000-0005-0000-0000-000003000000}"/>
    <cellStyle name="Comma 4" xfId="5" xr:uid="{00000000-0005-0000-0000-000004000000}"/>
    <cellStyle name="Currency" xfId="6" builtinId="4"/>
    <cellStyle name="Currency 2" xfId="7" xr:uid="{00000000-0005-0000-0000-000006000000}"/>
    <cellStyle name="Currency 3" xfId="8" xr:uid="{00000000-0005-0000-0000-000007000000}"/>
    <cellStyle name="Normal" xfId="0" builtinId="0"/>
    <cellStyle name="Normal 2" xfId="9" xr:uid="{00000000-0005-0000-0000-000009000000}"/>
    <cellStyle name="Normal 3" xfId="10" xr:uid="{00000000-0005-0000-0000-00000A000000}"/>
    <cellStyle name="Percent 2" xfId="11" xr:uid="{00000000-0005-0000-0000-00000B000000}"/>
    <cellStyle name="Percent 3" xfId="12" xr:uid="{00000000-0005-0000-0000-00000C000000}"/>
    <cellStyle name="Percent 4" xfId="13" xr:uid="{00000000-0005-0000-0000-00000D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0</xdr:rowOff>
    </xdr:from>
    <xdr:to>
      <xdr:col>3</xdr:col>
      <xdr:colOff>45764</xdr:colOff>
      <xdr:row>2</xdr:row>
      <xdr:rowOff>123825</xdr:rowOff>
    </xdr:to>
    <xdr:pic>
      <xdr:nvPicPr>
        <xdr:cNvPr id="37086" name="Picture 1">
          <a:extLst>
            <a:ext uri="{FF2B5EF4-FFF2-40B4-BE49-F238E27FC236}">
              <a16:creationId xmlns:a16="http://schemas.microsoft.com/office/drawing/2014/main" id="{00000000-0008-0000-0100-0000DE9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0"/>
          <a:ext cx="809625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152400</xdr:colOff>
      <xdr:row>3</xdr:row>
      <xdr:rowOff>123825</xdr:rowOff>
    </xdr:to>
    <xdr:pic>
      <xdr:nvPicPr>
        <xdr:cNvPr id="38180" name="Picture 1">
          <a:extLst>
            <a:ext uri="{FF2B5EF4-FFF2-40B4-BE49-F238E27FC236}">
              <a16:creationId xmlns:a16="http://schemas.microsoft.com/office/drawing/2014/main" id="{00000000-0008-0000-0400-0000249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668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pane xSplit="1" ySplit="1" topLeftCell="B6" activePane="bottomRight" state="frozen"/>
      <selection pane="bottomRight" activeCell="O1" sqref="O1"/>
      <selection pane="bottomLeft" activeCell="A2" sqref="A2"/>
      <selection pane="topRight" activeCell="B1" sqref="B1"/>
    </sheetView>
  </sheetViews>
  <sheetFormatPr defaultRowHeight="12.75"/>
  <cols>
    <col min="1" max="1" width="12.7109375" bestFit="1" customWidth="1"/>
    <col min="5" max="5" width="10.7109375" customWidth="1"/>
    <col min="6" max="6" width="12.140625" customWidth="1"/>
    <col min="11" max="11" width="10.85546875" customWidth="1"/>
    <col min="12" max="12" width="17.28515625" customWidth="1"/>
  </cols>
  <sheetData>
    <row r="1" spans="1:14" ht="60.75">
      <c r="A1" s="42" t="s">
        <v>0</v>
      </c>
      <c r="B1" s="42" t="s">
        <v>1</v>
      </c>
      <c r="C1" s="43" t="s">
        <v>2</v>
      </c>
      <c r="D1" s="42" t="s">
        <v>3</v>
      </c>
      <c r="E1" s="44" t="s">
        <v>4</v>
      </c>
      <c r="F1" s="45" t="s">
        <v>5</v>
      </c>
      <c r="G1" s="44" t="s">
        <v>6</v>
      </c>
      <c r="H1" s="45" t="s">
        <v>7</v>
      </c>
      <c r="I1" s="44" t="s">
        <v>8</v>
      </c>
      <c r="J1" s="45" t="s">
        <v>9</v>
      </c>
      <c r="K1" s="44" t="s">
        <v>10</v>
      </c>
      <c r="L1" s="46" t="s">
        <v>11</v>
      </c>
      <c r="M1" s="44" t="s">
        <v>12</v>
      </c>
      <c r="N1" s="44" t="s">
        <v>13</v>
      </c>
    </row>
    <row r="2" spans="1:14" ht="15">
      <c r="A2" s="47" t="s">
        <v>14</v>
      </c>
      <c r="B2" s="48">
        <v>1</v>
      </c>
      <c r="C2" s="49">
        <v>6</v>
      </c>
      <c r="D2" s="48">
        <v>2021</v>
      </c>
      <c r="E2" s="50">
        <f>Electricity!F8+Electricity!I8</f>
        <v>6979.9999999999618</v>
      </c>
      <c r="F2" s="51">
        <f>Electricity!L8/TOTAL!E2</f>
        <v>1238.5944842406859</v>
      </c>
      <c r="G2" s="50">
        <f>Gas!F9+Gas!I9+Gas!L9+Gas!O9</f>
        <v>48.789519999996919</v>
      </c>
      <c r="H2" s="51">
        <f>Gas!Q9/TOTAL!G2</f>
        <v>12560</v>
      </c>
      <c r="I2" s="50">
        <f>'Fuel Diesel'!F9</f>
        <v>15</v>
      </c>
      <c r="J2" s="52">
        <f>'Fuel Diesel'!G9/'Fuel Diesel'!F9</f>
        <v>10700</v>
      </c>
      <c r="K2" s="50">
        <f>Water!E9+Water!G9+Water!I9</f>
        <v>334</v>
      </c>
      <c r="L2" s="51">
        <f>Water!K9/TOTAL!K2</f>
        <v>4000</v>
      </c>
      <c r="M2" s="50">
        <f>Electricity!C8</f>
        <v>6</v>
      </c>
      <c r="N2" s="50">
        <f>Electricity!D8</f>
        <v>35</v>
      </c>
    </row>
    <row r="3" spans="1:14" ht="15">
      <c r="A3" s="47" t="s">
        <v>14</v>
      </c>
      <c r="B3" s="48">
        <f>B2+1</f>
        <v>2</v>
      </c>
      <c r="C3" s="49">
        <v>6</v>
      </c>
      <c r="D3" s="48">
        <v>2021</v>
      </c>
      <c r="E3" s="50">
        <f>Electricity!F9+Electricity!I9</f>
        <v>7320.0000000001637</v>
      </c>
      <c r="F3" s="51">
        <f>Electricity!L9/TOTAL!E3</f>
        <v>1237.0829918032759</v>
      </c>
      <c r="G3" s="50">
        <f>Gas!F10+Gas!I10+Gas!L10+Gas!O10</f>
        <v>63.69312000000351</v>
      </c>
      <c r="H3" s="51">
        <f>Gas!Q10/TOTAL!G3</f>
        <v>12560</v>
      </c>
      <c r="I3" s="50">
        <f>'Fuel Diesel'!F10</f>
        <v>0</v>
      </c>
      <c r="J3" s="52" t="e">
        <f>'Fuel Diesel'!G10/'Fuel Diesel'!F10</f>
        <v>#DIV/0!</v>
      </c>
      <c r="K3" s="50">
        <f>Water!E10+Water!G10+Water!I10</f>
        <v>330</v>
      </c>
      <c r="L3" s="51">
        <f>Water!K10/TOTAL!K3</f>
        <v>4000</v>
      </c>
      <c r="M3" s="50">
        <f>Electricity!C9</f>
        <v>7</v>
      </c>
      <c r="N3" s="50">
        <f>Electricity!D9</f>
        <v>22</v>
      </c>
    </row>
    <row r="4" spans="1:14" ht="15">
      <c r="A4" s="47" t="s">
        <v>14</v>
      </c>
      <c r="B4" s="48">
        <f t="shared" ref="B4:B31" si="0">B3+1</f>
        <v>3</v>
      </c>
      <c r="C4" s="49">
        <v>6</v>
      </c>
      <c r="D4" s="48">
        <v>2021</v>
      </c>
      <c r="E4" s="50">
        <f>Electricity!F10+Electricity!I10</f>
        <v>7099.9999999999654</v>
      </c>
      <c r="F4" s="51">
        <f>Electricity!L10/TOTAL!E4</f>
        <v>1243.3292253521142</v>
      </c>
      <c r="G4" s="50">
        <f>Gas!F11+Gas!I11+Gas!L11+Gas!O11</f>
        <v>54.750959999998827</v>
      </c>
      <c r="H4" s="51">
        <f>Gas!Q11/TOTAL!G4</f>
        <v>12560</v>
      </c>
      <c r="I4" s="50">
        <f>'Fuel Diesel'!F11</f>
        <v>0</v>
      </c>
      <c r="J4" s="52" t="e">
        <f>'Fuel Diesel'!G11/'Fuel Diesel'!F11</f>
        <v>#DIV/0!</v>
      </c>
      <c r="K4" s="50">
        <f>Water!E11+Water!G11+Water!I11</f>
        <v>327</v>
      </c>
      <c r="L4" s="51">
        <f>Water!K11/TOTAL!K4</f>
        <v>4000</v>
      </c>
      <c r="M4" s="50">
        <f>Electricity!C10</f>
        <v>7</v>
      </c>
      <c r="N4" s="50">
        <f>Electricity!D10</f>
        <v>42</v>
      </c>
    </row>
    <row r="5" spans="1:14" ht="15">
      <c r="A5" s="47" t="s">
        <v>14</v>
      </c>
      <c r="B5" s="48">
        <f t="shared" si="0"/>
        <v>4</v>
      </c>
      <c r="C5" s="49">
        <v>6</v>
      </c>
      <c r="D5" s="48">
        <v>2021</v>
      </c>
      <c r="E5" s="50">
        <f>Electricity!F11+Electricity!I11</f>
        <v>6200.0000000000455</v>
      </c>
      <c r="F5" s="51">
        <f>Electricity!L11/TOTAL!E5</f>
        <v>1252.9549999999999</v>
      </c>
      <c r="G5" s="50">
        <f>Gas!F12+Gas!I12+Gas!L12+Gas!O12</f>
        <v>51.206319999998385</v>
      </c>
      <c r="H5" s="51">
        <f>Gas!Q12/TOTAL!G5</f>
        <v>12560</v>
      </c>
      <c r="I5" s="50">
        <f>'Fuel Diesel'!F12</f>
        <v>0</v>
      </c>
      <c r="J5" s="52" t="e">
        <f>'Fuel Diesel'!G12/'Fuel Diesel'!F12</f>
        <v>#DIV/0!</v>
      </c>
      <c r="K5" s="50">
        <f>Water!E12+Water!G12+Water!I12</f>
        <v>321</v>
      </c>
      <c r="L5" s="51">
        <f>Water!K12/TOTAL!K5</f>
        <v>4000</v>
      </c>
      <c r="M5" s="50">
        <f>Electricity!C11</f>
        <v>8</v>
      </c>
      <c r="N5" s="50">
        <f>Electricity!D11</f>
        <v>35</v>
      </c>
    </row>
    <row r="6" spans="1:14" ht="15">
      <c r="A6" s="47" t="s">
        <v>14</v>
      </c>
      <c r="B6" s="48">
        <f t="shared" si="0"/>
        <v>5</v>
      </c>
      <c r="C6" s="49">
        <v>6</v>
      </c>
      <c r="D6" s="48">
        <v>2021</v>
      </c>
      <c r="E6" s="50">
        <f>Electricity!F12+Electricity!I12</f>
        <v>9399.9999999998636</v>
      </c>
      <c r="F6" s="51">
        <f>Electricity!L12/TOTAL!E6</f>
        <v>1216.6023404255313</v>
      </c>
      <c r="G6" s="50">
        <f>Gas!F13+Gas!I13+Gas!L13+Gas!O13</f>
        <v>47.903359999999559</v>
      </c>
      <c r="H6" s="51">
        <f>Gas!Q13/TOTAL!G6</f>
        <v>12560</v>
      </c>
      <c r="I6" s="50">
        <f>'Fuel Diesel'!F13</f>
        <v>0</v>
      </c>
      <c r="J6" s="52" t="e">
        <f>'Fuel Diesel'!G13/'Fuel Diesel'!F13</f>
        <v>#DIV/0!</v>
      </c>
      <c r="K6" s="50">
        <f>Water!E13+Water!G13+Water!I13</f>
        <v>366</v>
      </c>
      <c r="L6" s="51">
        <f>Water!K13/TOTAL!K6</f>
        <v>4000</v>
      </c>
      <c r="M6" s="50">
        <f>Electricity!C12</f>
        <v>10</v>
      </c>
      <c r="N6" s="50">
        <f>Electricity!D12</f>
        <v>39</v>
      </c>
    </row>
    <row r="7" spans="1:14" ht="15">
      <c r="A7" s="47" t="s">
        <v>14</v>
      </c>
      <c r="B7" s="48">
        <f t="shared" si="0"/>
        <v>6</v>
      </c>
      <c r="C7" s="49">
        <v>6</v>
      </c>
      <c r="D7" s="48">
        <v>2021</v>
      </c>
      <c r="E7" s="50">
        <f>Electricity!F13+Electricity!I13</f>
        <v>7240.0000000000655</v>
      </c>
      <c r="F7" s="51">
        <f>Electricity!L13/TOTAL!E7</f>
        <v>1238.1662292817709</v>
      </c>
      <c r="G7" s="50">
        <f>Gas!F14+Gas!I14+Gas!L14+Gas!O14</f>
        <v>55.637119999999847</v>
      </c>
      <c r="H7" s="51">
        <f>Gas!Q14/TOTAL!G7</f>
        <v>12560</v>
      </c>
      <c r="I7" s="50">
        <f>'Fuel Diesel'!F14</f>
        <v>0</v>
      </c>
      <c r="J7" s="52" t="e">
        <f>'Fuel Diesel'!G14/'Fuel Diesel'!F14</f>
        <v>#DIV/0!</v>
      </c>
      <c r="K7" s="50">
        <f>Water!E14+Water!G14+Water!I14</f>
        <v>307</v>
      </c>
      <c r="L7" s="51">
        <f>Water!K14/TOTAL!K7</f>
        <v>4000</v>
      </c>
      <c r="M7" s="50">
        <f>Electricity!C13</f>
        <v>9</v>
      </c>
      <c r="N7" s="50">
        <f>Electricity!D13</f>
        <v>49</v>
      </c>
    </row>
    <row r="8" spans="1:14" ht="15">
      <c r="A8" s="47" t="s">
        <v>14</v>
      </c>
      <c r="B8" s="48">
        <f t="shared" si="0"/>
        <v>7</v>
      </c>
      <c r="C8" s="49">
        <v>6</v>
      </c>
      <c r="D8" s="48">
        <v>2021</v>
      </c>
      <c r="E8" s="50">
        <f>Electricity!F14+Electricity!I14</f>
        <v>7759.9999999999909</v>
      </c>
      <c r="F8" s="51">
        <f>Electricity!L14/TOTAL!E8</f>
        <v>1234.4601159793783</v>
      </c>
      <c r="G8" s="50">
        <f>Gas!F15+Gas!I15+Gas!L15+Gas!O15</f>
        <v>54.267600000002929</v>
      </c>
      <c r="H8" s="51">
        <f>Gas!Q15/TOTAL!G8</f>
        <v>12560</v>
      </c>
      <c r="I8" s="50">
        <f>'Fuel Diesel'!F15</f>
        <v>0</v>
      </c>
      <c r="J8" s="52" t="e">
        <f>'Fuel Diesel'!G15/'Fuel Diesel'!F15</f>
        <v>#DIV/0!</v>
      </c>
      <c r="K8" s="50">
        <f>Water!E15+Water!G15+Water!I15</f>
        <v>347</v>
      </c>
      <c r="L8" s="51">
        <f>Water!K15/TOTAL!K8</f>
        <v>4000</v>
      </c>
      <c r="M8" s="50">
        <f>Electricity!C14</f>
        <v>6</v>
      </c>
      <c r="N8" s="50">
        <f>Electricity!D14</f>
        <v>33</v>
      </c>
    </row>
    <row r="9" spans="1:14" ht="15">
      <c r="A9" s="47" t="s">
        <v>14</v>
      </c>
      <c r="B9" s="48">
        <f t="shared" si="0"/>
        <v>8</v>
      </c>
      <c r="C9" s="49">
        <v>6</v>
      </c>
      <c r="D9" s="48">
        <v>2021</v>
      </c>
      <c r="E9" s="50">
        <f>Electricity!F15+Electricity!I15</f>
        <v>7999.9999999999436</v>
      </c>
      <c r="F9" s="51">
        <f>Electricity!L15/TOTAL!E9</f>
        <v>1238.7168750000033</v>
      </c>
      <c r="G9" s="50">
        <f>Gas!F16+Gas!I16+Gas!L16+Gas!O16</f>
        <v>56.442719999999113</v>
      </c>
      <c r="H9" s="51">
        <f>Gas!Q16/TOTAL!G9</f>
        <v>12560.000000000002</v>
      </c>
      <c r="I9" s="50">
        <f>'Fuel Diesel'!F16</f>
        <v>17</v>
      </c>
      <c r="J9" s="52">
        <f>'Fuel Diesel'!G16/'Fuel Diesel'!F16</f>
        <v>10700</v>
      </c>
      <c r="K9" s="50">
        <f>Water!E16+Water!G16+Water!I16</f>
        <v>350</v>
      </c>
      <c r="L9" s="51">
        <f>Water!K16/TOTAL!K9</f>
        <v>4000</v>
      </c>
      <c r="M9" s="50">
        <f>Electricity!C15</f>
        <v>9</v>
      </c>
      <c r="N9" s="50">
        <f>Electricity!D15</f>
        <v>32</v>
      </c>
    </row>
    <row r="10" spans="1:14" ht="15">
      <c r="A10" s="47" t="s">
        <v>14</v>
      </c>
      <c r="B10" s="48">
        <f t="shared" si="0"/>
        <v>9</v>
      </c>
      <c r="C10" s="49">
        <v>6</v>
      </c>
      <c r="D10" s="48">
        <v>2021</v>
      </c>
      <c r="E10" s="50">
        <f>Electricity!F16+Electricity!I16</f>
        <v>8119.9999999999472</v>
      </c>
      <c r="F10" s="51">
        <f>Electricity!L16/TOTAL!E10</f>
        <v>1233.0356527093586</v>
      </c>
      <c r="G10" s="50">
        <f>Gas!F17+Gas!I17+Gas!L17+Gas!O17</f>
        <v>49.071479999999411</v>
      </c>
      <c r="H10" s="51">
        <f>Gas!Q17/TOTAL!G10</f>
        <v>12560</v>
      </c>
      <c r="I10" s="50">
        <f>'Fuel Diesel'!F17</f>
        <v>0</v>
      </c>
      <c r="J10" s="52" t="e">
        <f>'Fuel Diesel'!G17/'Fuel Diesel'!F17</f>
        <v>#DIV/0!</v>
      </c>
      <c r="K10" s="50">
        <f>Water!E17+Water!G17+Water!I17</f>
        <v>354</v>
      </c>
      <c r="L10" s="51">
        <f>Water!K17/TOTAL!K10</f>
        <v>4000</v>
      </c>
      <c r="M10" s="50">
        <f>Electricity!C16</f>
        <v>7</v>
      </c>
      <c r="N10" s="50">
        <f>Electricity!D16</f>
        <v>41</v>
      </c>
    </row>
    <row r="11" spans="1:14" ht="15">
      <c r="A11" s="47" t="s">
        <v>14</v>
      </c>
      <c r="B11" s="48">
        <f t="shared" si="0"/>
        <v>10</v>
      </c>
      <c r="C11" s="49">
        <v>6</v>
      </c>
      <c r="D11" s="48">
        <v>2021</v>
      </c>
      <c r="E11" s="50">
        <f>Electricity!F17+Electricity!I17</f>
        <v>7700.0000000001019</v>
      </c>
      <c r="F11" s="51">
        <f>Electricity!L17/TOTAL!E11</f>
        <v>1236.6828571428555</v>
      </c>
      <c r="G11" s="50">
        <f>Gas!F18+Gas!I18+Gas!L18+Gas!O18</f>
        <v>63.209760000000287</v>
      </c>
      <c r="H11" s="51">
        <f>Gas!Q18/TOTAL!G11</f>
        <v>12560</v>
      </c>
      <c r="I11" s="50">
        <f>'Fuel Diesel'!F18</f>
        <v>0</v>
      </c>
      <c r="J11" s="52" t="e">
        <f>'Fuel Diesel'!G18/'Fuel Diesel'!F18</f>
        <v>#DIV/0!</v>
      </c>
      <c r="K11" s="50">
        <f>Water!E18+Water!G18+Water!I18</f>
        <v>324</v>
      </c>
      <c r="L11" s="51">
        <f>Water!K18/TOTAL!K11</f>
        <v>4000</v>
      </c>
      <c r="M11" s="50">
        <f>Electricity!C17</f>
        <v>9</v>
      </c>
      <c r="N11" s="50">
        <f>Electricity!D17</f>
        <v>43</v>
      </c>
    </row>
    <row r="12" spans="1:14" ht="15">
      <c r="A12" s="47" t="s">
        <v>14</v>
      </c>
      <c r="B12" s="48">
        <f t="shared" si="0"/>
        <v>11</v>
      </c>
      <c r="C12" s="49">
        <v>6</v>
      </c>
      <c r="D12" s="48">
        <v>2021</v>
      </c>
      <c r="E12" s="50">
        <f>Electricity!F18+Electricity!I18</f>
        <v>7679.99999999995</v>
      </c>
      <c r="F12" s="51">
        <f>Electricity!L18/TOTAL!E12</f>
        <v>1238.4202473958364</v>
      </c>
      <c r="G12" s="50">
        <f>Gas!F19+Gas!I19+Gas!L19+Gas!O19</f>
        <v>50.15904000000117</v>
      </c>
      <c r="H12" s="51">
        <f>Gas!Q19/TOTAL!G12</f>
        <v>12560</v>
      </c>
      <c r="I12" s="50">
        <f>'Fuel Diesel'!F19</f>
        <v>0</v>
      </c>
      <c r="J12" s="52" t="e">
        <f>'Fuel Diesel'!G19/'Fuel Diesel'!F19</f>
        <v>#DIV/0!</v>
      </c>
      <c r="K12" s="50">
        <f>Water!E19+Water!G19+Water!I19</f>
        <v>361</v>
      </c>
      <c r="L12" s="51">
        <f>Water!K19/TOTAL!K12</f>
        <v>4000</v>
      </c>
      <c r="M12" s="50">
        <f>Electricity!C18</f>
        <v>17</v>
      </c>
      <c r="N12" s="50">
        <f>Electricity!D18</f>
        <v>40</v>
      </c>
    </row>
    <row r="13" spans="1:14" ht="15">
      <c r="A13" s="47" t="s">
        <v>14</v>
      </c>
      <c r="B13" s="48">
        <f t="shared" si="0"/>
        <v>12</v>
      </c>
      <c r="C13" s="49">
        <v>6</v>
      </c>
      <c r="D13" s="48">
        <v>2021</v>
      </c>
      <c r="E13" s="50">
        <f>Electricity!F19+Electricity!I19</f>
        <v>7940.0000000000546</v>
      </c>
      <c r="F13" s="51">
        <f>Electricity!L19/TOTAL!E13</f>
        <v>1227.9934508816123</v>
      </c>
      <c r="G13" s="50">
        <f>Gas!F20+Gas!I20+Gas!L20+Gas!O20</f>
        <v>57.32888000000014</v>
      </c>
      <c r="H13" s="51">
        <f>Gas!Q20/TOTAL!G13</f>
        <v>12560</v>
      </c>
      <c r="I13" s="50">
        <f>'Fuel Diesel'!F20</f>
        <v>0</v>
      </c>
      <c r="J13" s="52" t="e">
        <f>'Fuel Diesel'!G20/'Fuel Diesel'!F20</f>
        <v>#DIV/0!</v>
      </c>
      <c r="K13" s="50">
        <f>Water!E20+Water!G20+Water!I20</f>
        <v>352</v>
      </c>
      <c r="L13" s="51">
        <f>Water!K20/TOTAL!K13</f>
        <v>4000</v>
      </c>
      <c r="M13" s="50">
        <f>Electricity!C19</f>
        <v>13</v>
      </c>
      <c r="N13" s="50">
        <f>Electricity!D19</f>
        <v>61</v>
      </c>
    </row>
    <row r="14" spans="1:14" ht="15">
      <c r="A14" s="47" t="s">
        <v>14</v>
      </c>
      <c r="B14" s="48">
        <f t="shared" si="0"/>
        <v>13</v>
      </c>
      <c r="C14" s="49">
        <v>6</v>
      </c>
      <c r="D14" s="48">
        <v>2021</v>
      </c>
      <c r="E14" s="50">
        <f>Electricity!F20+Electricity!I20</f>
        <v>7299.9999999998981</v>
      </c>
      <c r="F14" s="51">
        <f>Electricity!L20/TOTAL!E14</f>
        <v>1234.230890410958</v>
      </c>
      <c r="G14" s="50">
        <f>Gas!F21+Gas!I21+Gas!L21+Gas!O21</f>
        <v>53.220319999998381</v>
      </c>
      <c r="H14" s="51">
        <f>Gas!Q21/TOTAL!G14</f>
        <v>12560</v>
      </c>
      <c r="I14" s="50">
        <f>'Fuel Diesel'!F21</f>
        <v>0</v>
      </c>
      <c r="J14" s="52" t="e">
        <f>'Fuel Diesel'!G21/'Fuel Diesel'!F21</f>
        <v>#DIV/0!</v>
      </c>
      <c r="K14" s="50">
        <f>Water!E21+Water!G21+Water!I21</f>
        <v>357</v>
      </c>
      <c r="L14" s="51">
        <f>Water!K21/TOTAL!K14</f>
        <v>4000</v>
      </c>
      <c r="M14" s="50">
        <f>Electricity!C20</f>
        <v>8</v>
      </c>
      <c r="N14" s="50">
        <f>Electricity!D20</f>
        <v>53</v>
      </c>
    </row>
    <row r="15" spans="1:14" ht="15">
      <c r="A15" s="47" t="s">
        <v>14</v>
      </c>
      <c r="B15" s="48">
        <f t="shared" si="0"/>
        <v>14</v>
      </c>
      <c r="C15" s="49">
        <v>6</v>
      </c>
      <c r="D15" s="48">
        <v>2021</v>
      </c>
      <c r="E15" s="50">
        <f>Electricity!F21+Electricity!I21</f>
        <v>7459.99999999998</v>
      </c>
      <c r="F15" s="51">
        <f>Electricity!L21/TOTAL!E15</f>
        <v>1230.6626005361923</v>
      </c>
      <c r="G15" s="50">
        <f>Gas!F22+Gas!I22+Gas!L22+Gas!O22</f>
        <v>57.489999999999995</v>
      </c>
      <c r="H15" s="51">
        <f>Gas!Q22/TOTAL!G15</f>
        <v>12560</v>
      </c>
      <c r="I15" s="50">
        <f>'Fuel Diesel'!F22</f>
        <v>16</v>
      </c>
      <c r="J15" s="52">
        <f>'Fuel Diesel'!G22/'Fuel Diesel'!F22</f>
        <v>10700</v>
      </c>
      <c r="K15" s="50">
        <f>Water!E22+Water!G22+Water!I22</f>
        <v>351</v>
      </c>
      <c r="L15" s="51">
        <f>Water!K22/TOTAL!K15</f>
        <v>4000</v>
      </c>
      <c r="M15" s="50">
        <f>Electricity!C21</f>
        <v>4</v>
      </c>
      <c r="N15" s="50">
        <f>Electricity!D21</f>
        <v>28</v>
      </c>
    </row>
    <row r="16" spans="1:14" ht="15">
      <c r="A16" s="47" t="s">
        <v>14</v>
      </c>
      <c r="B16" s="48">
        <f t="shared" si="0"/>
        <v>15</v>
      </c>
      <c r="C16" s="49">
        <v>6</v>
      </c>
      <c r="D16" s="48">
        <v>2021</v>
      </c>
      <c r="E16" s="50">
        <f>Electricity!F22+Electricity!I22</f>
        <v>7540.00000000002</v>
      </c>
      <c r="F16" s="51">
        <f>Electricity!L22/TOTAL!E16</f>
        <v>1235.7332891246706</v>
      </c>
      <c r="G16" s="50">
        <f>Gas!F23+Gas!I23+Gas!L23+Gas!O23</f>
        <v>54.630119999999849</v>
      </c>
      <c r="H16" s="51">
        <f>Gas!Q23/TOTAL!G16</f>
        <v>12560</v>
      </c>
      <c r="I16" s="50">
        <f>'Fuel Diesel'!F23</f>
        <v>0</v>
      </c>
      <c r="J16" s="52" t="e">
        <f>'Fuel Diesel'!G23/'Fuel Diesel'!F23</f>
        <v>#DIV/0!</v>
      </c>
      <c r="K16" s="50">
        <f>Water!E23+Water!G23+Water!I23</f>
        <v>359</v>
      </c>
      <c r="L16" s="51">
        <f>Water!K23/TOTAL!K16</f>
        <v>4000</v>
      </c>
      <c r="M16" s="50">
        <f>Electricity!C22</f>
        <v>5</v>
      </c>
      <c r="N16" s="50">
        <f>Electricity!D22</f>
        <v>36</v>
      </c>
    </row>
    <row r="17" spans="1:14" ht="15">
      <c r="A17" s="47" t="s">
        <v>14</v>
      </c>
      <c r="B17" s="48">
        <f t="shared" si="0"/>
        <v>16</v>
      </c>
      <c r="C17" s="49">
        <v>6</v>
      </c>
      <c r="D17" s="48">
        <v>2021</v>
      </c>
      <c r="E17" s="50">
        <f>Electricity!F23+Electricity!I23</f>
        <v>7519.9999999999818</v>
      </c>
      <c r="F17" s="51">
        <f>Electricity!L23/TOTAL!E17</f>
        <v>1235.9904255319132</v>
      </c>
      <c r="G17" s="50">
        <f>Gas!F24+Gas!I24+Gas!L24+Gas!O24</f>
        <v>50.481280000000872</v>
      </c>
      <c r="H17" s="51">
        <f>Gas!Q24/TOTAL!G17</f>
        <v>12560</v>
      </c>
      <c r="I17" s="50">
        <f>'Fuel Diesel'!F24</f>
        <v>0</v>
      </c>
      <c r="J17" s="52" t="e">
        <f>'Fuel Diesel'!G24/'Fuel Diesel'!F24</f>
        <v>#DIV/0!</v>
      </c>
      <c r="K17" s="50">
        <f>Water!E24+Water!G24+Water!I24</f>
        <v>327</v>
      </c>
      <c r="L17" s="51">
        <f>Water!K24/TOTAL!K17</f>
        <v>4000</v>
      </c>
      <c r="M17" s="50">
        <f>Electricity!C23</f>
        <v>9</v>
      </c>
      <c r="N17" s="50">
        <f>Electricity!D23</f>
        <v>36</v>
      </c>
    </row>
    <row r="18" spans="1:14" ht="15">
      <c r="A18" s="47" t="s">
        <v>14</v>
      </c>
      <c r="B18" s="48">
        <f t="shared" si="0"/>
        <v>17</v>
      </c>
      <c r="C18" s="49">
        <v>6</v>
      </c>
      <c r="D18" s="48">
        <v>2021</v>
      </c>
      <c r="E18" s="50">
        <f>Electricity!F24+Electricity!I24</f>
        <v>7819.9999999999927</v>
      </c>
      <c r="F18" s="51">
        <f>Electricity!L24/TOTAL!E18</f>
        <v>1235.1846547314576</v>
      </c>
      <c r="G18" s="50">
        <f>Gas!F25+Gas!I25+Gas!L25+Gas!O25</f>
        <v>56.603839999998968</v>
      </c>
      <c r="H18" s="51">
        <f>Gas!Q25/TOTAL!G18</f>
        <v>12560</v>
      </c>
      <c r="I18" s="50">
        <f>'Fuel Diesel'!F25</f>
        <v>0</v>
      </c>
      <c r="J18" s="52" t="e">
        <f>'Fuel Diesel'!G25/'Fuel Diesel'!F25</f>
        <v>#DIV/0!</v>
      </c>
      <c r="K18" s="50">
        <f>Water!E25+Water!G25+Water!I25</f>
        <v>352</v>
      </c>
      <c r="L18" s="51">
        <f>Water!K25/TOTAL!K18</f>
        <v>4000</v>
      </c>
      <c r="M18" s="50">
        <f>Electricity!C24</f>
        <v>8</v>
      </c>
      <c r="N18" s="50">
        <f>Electricity!D24</f>
        <v>69</v>
      </c>
    </row>
    <row r="19" spans="1:14" ht="15">
      <c r="A19" s="47" t="s">
        <v>14</v>
      </c>
      <c r="B19" s="48">
        <f t="shared" si="0"/>
        <v>18</v>
      </c>
      <c r="C19" s="49">
        <v>6</v>
      </c>
      <c r="D19" s="48">
        <v>2021</v>
      </c>
      <c r="E19" s="50">
        <f>Electricity!F25+Electricity!I25</f>
        <v>7760.0000000000473</v>
      </c>
      <c r="F19" s="51">
        <f>Electricity!L25/TOTAL!E19</f>
        <v>1232.992268041239</v>
      </c>
      <c r="G19" s="50">
        <f>Gas!F26+Gas!I26+Gas!L26+Gas!O26</f>
        <v>60.14847999999941</v>
      </c>
      <c r="H19" s="51">
        <f>Gas!Q26/TOTAL!G19</f>
        <v>12560.000000000002</v>
      </c>
      <c r="I19" s="50">
        <f>'Fuel Diesel'!F26</f>
        <v>0</v>
      </c>
      <c r="J19" s="52" t="e">
        <f>'Fuel Diesel'!G26/'Fuel Diesel'!F26</f>
        <v>#DIV/0!</v>
      </c>
      <c r="K19" s="50">
        <f>Water!E26+Water!G26+Water!I26</f>
        <v>349</v>
      </c>
      <c r="L19" s="51">
        <f>Water!K26/TOTAL!K19</f>
        <v>4000</v>
      </c>
      <c r="M19" s="50">
        <f>Electricity!C25</f>
        <v>10</v>
      </c>
      <c r="N19" s="50">
        <f>Electricity!D25</f>
        <v>65</v>
      </c>
    </row>
    <row r="20" spans="1:14" ht="15">
      <c r="A20" s="47" t="s">
        <v>14</v>
      </c>
      <c r="B20" s="48">
        <f t="shared" si="0"/>
        <v>19</v>
      </c>
      <c r="C20" s="49">
        <v>6</v>
      </c>
      <c r="D20" s="48">
        <v>2021</v>
      </c>
      <c r="E20" s="50">
        <f>Electricity!F26+Electricity!I26</f>
        <v>7520.0000000001528</v>
      </c>
      <c r="F20" s="51">
        <f>Electricity!L26/TOTAL!E20</f>
        <v>1231.4463430851022</v>
      </c>
      <c r="G20" s="50">
        <f>Gas!F27+Gas!I27+Gas!L27+Gas!O27</f>
        <v>59.947080000002337</v>
      </c>
      <c r="H20" s="51">
        <f>Gas!Q27/TOTAL!G20</f>
        <v>12560</v>
      </c>
      <c r="I20" s="50">
        <f>'Fuel Diesel'!F27</f>
        <v>0</v>
      </c>
      <c r="J20" s="52" t="e">
        <f>'Fuel Diesel'!G27/'Fuel Diesel'!F27</f>
        <v>#DIV/0!</v>
      </c>
      <c r="K20" s="50">
        <f>Water!E27+Water!G27+Water!I27</f>
        <v>341</v>
      </c>
      <c r="L20" s="51">
        <f>Water!K27/TOTAL!K20</f>
        <v>4000</v>
      </c>
      <c r="M20" s="50">
        <f>Electricity!C26</f>
        <v>12</v>
      </c>
      <c r="N20" s="50">
        <f>Electricity!D26</f>
        <v>85</v>
      </c>
    </row>
    <row r="21" spans="1:14" ht="15">
      <c r="A21" s="47" t="s">
        <v>14</v>
      </c>
      <c r="B21" s="48">
        <f t="shared" si="0"/>
        <v>20</v>
      </c>
      <c r="C21" s="49">
        <v>6</v>
      </c>
      <c r="D21" s="48">
        <v>2021</v>
      </c>
      <c r="E21" s="50">
        <f>Electricity!F27+Electricity!I27</f>
        <v>7339.9999999999745</v>
      </c>
      <c r="F21" s="51">
        <f>Electricity!L27/TOTAL!E21</f>
        <v>1238.367711171665</v>
      </c>
      <c r="G21" s="50">
        <f>Gas!F28+Gas!I28+Gas!L28+Gas!O28</f>
        <v>54.066199999998531</v>
      </c>
      <c r="H21" s="51">
        <f>Gas!Q28/TOTAL!G21</f>
        <v>12560</v>
      </c>
      <c r="I21" s="50">
        <f>'Fuel Diesel'!F28</f>
        <v>0</v>
      </c>
      <c r="J21" s="52" t="e">
        <f>'Fuel Diesel'!G28/'Fuel Diesel'!F28</f>
        <v>#DIV/0!</v>
      </c>
      <c r="K21" s="50">
        <f>Water!E28+Water!G28+Water!I28</f>
        <v>317</v>
      </c>
      <c r="L21" s="51">
        <f>Water!K28/TOTAL!K21</f>
        <v>4000</v>
      </c>
      <c r="M21" s="50">
        <f>Electricity!C27</f>
        <v>7</v>
      </c>
      <c r="N21" s="50">
        <f>Electricity!D27</f>
        <v>81</v>
      </c>
    </row>
    <row r="22" spans="1:14" ht="15">
      <c r="A22" s="47" t="s">
        <v>14</v>
      </c>
      <c r="B22" s="48">
        <f t="shared" si="0"/>
        <v>21</v>
      </c>
      <c r="C22" s="49">
        <v>6</v>
      </c>
      <c r="D22" s="48">
        <v>2021</v>
      </c>
      <c r="E22" s="50">
        <f>Electricity!F28+Electricity!I28</f>
        <v>7519.9999999999254</v>
      </c>
      <c r="F22" s="51">
        <f>Electricity!L28/TOTAL!E22</f>
        <v>1228.4169547872352</v>
      </c>
      <c r="G22" s="50">
        <f>Gas!F29+Gas!I29+Gas!L29+Gas!O29</f>
        <v>60.833239999999705</v>
      </c>
      <c r="H22" s="51">
        <f>Gas!Q29/TOTAL!G22</f>
        <v>12560.000000000002</v>
      </c>
      <c r="I22" s="50">
        <f>'Fuel Diesel'!F29</f>
        <v>0</v>
      </c>
      <c r="J22" s="52" t="e">
        <f>'Fuel Diesel'!G29/'Fuel Diesel'!F29</f>
        <v>#DIV/0!</v>
      </c>
      <c r="K22" s="50">
        <f>Water!E29+Water!G29+Water!I29</f>
        <v>346</v>
      </c>
      <c r="L22" s="51">
        <f>Water!K29/TOTAL!K22</f>
        <v>4000</v>
      </c>
      <c r="M22" s="50">
        <f>Electricity!C28</f>
        <v>7</v>
      </c>
      <c r="N22" s="50">
        <f>Electricity!D28</f>
        <v>52</v>
      </c>
    </row>
    <row r="23" spans="1:14" ht="15">
      <c r="A23" s="47" t="s">
        <v>14</v>
      </c>
      <c r="B23" s="48">
        <f t="shared" si="0"/>
        <v>22</v>
      </c>
      <c r="C23" s="49">
        <v>6</v>
      </c>
      <c r="D23" s="48">
        <v>2021</v>
      </c>
      <c r="E23" s="50">
        <f>Electricity!F29+Electricity!I29</f>
        <v>7739.9999999999527</v>
      </c>
      <c r="F23" s="51">
        <f>Electricity!L29/TOTAL!E23</f>
        <v>1247.9514211886285</v>
      </c>
      <c r="G23" s="50">
        <f>Gas!F30+Gas!I30+Gas!L30+Gas!O30</f>
        <v>53.180040000001171</v>
      </c>
      <c r="H23" s="51">
        <f>Gas!Q30/TOTAL!G23</f>
        <v>12560</v>
      </c>
      <c r="I23" s="50">
        <f>'Fuel Diesel'!F30</f>
        <v>15</v>
      </c>
      <c r="J23" s="52">
        <f>'Fuel Diesel'!G30/'Fuel Diesel'!F30</f>
        <v>10700</v>
      </c>
      <c r="K23" s="50">
        <f>Water!E30+Water!G30+Water!I30</f>
        <v>330</v>
      </c>
      <c r="L23" s="51">
        <f>Water!K30/TOTAL!K23</f>
        <v>4000</v>
      </c>
      <c r="M23" s="50">
        <f>Electricity!C29</f>
        <v>14</v>
      </c>
      <c r="N23" s="50">
        <f>Electricity!D29</f>
        <v>55</v>
      </c>
    </row>
    <row r="24" spans="1:14" ht="15">
      <c r="A24" s="47" t="s">
        <v>14</v>
      </c>
      <c r="B24" s="48">
        <f t="shared" si="0"/>
        <v>23</v>
      </c>
      <c r="C24" s="49">
        <v>6</v>
      </c>
      <c r="D24" s="48">
        <v>2021</v>
      </c>
      <c r="E24" s="50">
        <f>Electricity!F30+Electricity!I30</f>
        <v>7880.0000000001655</v>
      </c>
      <c r="F24" s="51">
        <f>Electricity!L30/TOTAL!E24</f>
        <v>1214.2157360406093</v>
      </c>
      <c r="G24" s="50">
        <f>Gas!F31+Gas!I31+Gas!L31+Gas!O31</f>
        <v>62.404160000001021</v>
      </c>
      <c r="H24" s="51">
        <f>Gas!Q31/TOTAL!G24</f>
        <v>12560</v>
      </c>
      <c r="I24" s="50">
        <f>'Fuel Diesel'!F31</f>
        <v>0</v>
      </c>
      <c r="J24" s="52" t="e">
        <f>'Fuel Diesel'!G31/'Fuel Diesel'!F31</f>
        <v>#DIV/0!</v>
      </c>
      <c r="K24" s="50">
        <f>Water!E31+Water!G31+Water!I31</f>
        <v>257</v>
      </c>
      <c r="L24" s="51">
        <f>Water!K31/TOTAL!K24</f>
        <v>4000</v>
      </c>
      <c r="M24" s="50">
        <f>Electricity!C30</f>
        <v>10</v>
      </c>
      <c r="N24" s="50">
        <f>Electricity!D30</f>
        <v>61</v>
      </c>
    </row>
    <row r="25" spans="1:14" ht="15">
      <c r="A25" s="47" t="s">
        <v>14</v>
      </c>
      <c r="B25" s="48">
        <f t="shared" si="0"/>
        <v>24</v>
      </c>
      <c r="C25" s="49">
        <v>6</v>
      </c>
      <c r="D25" s="48">
        <v>2021</v>
      </c>
      <c r="E25" s="50">
        <f>Electricity!F31+Electricity!I31</f>
        <v>7839.9999999998045</v>
      </c>
      <c r="F25" s="51">
        <f>Electricity!L31/TOTAL!E25</f>
        <v>1237.8451530612281</v>
      </c>
      <c r="G25" s="50">
        <f>Gas!F32+Gas!I32+Gas!L32+Gas!O32</f>
        <v>51.81051999999692</v>
      </c>
      <c r="H25" s="51">
        <f>Gas!Q32/TOTAL!G25</f>
        <v>12560</v>
      </c>
      <c r="I25" s="50">
        <f>'Fuel Diesel'!F32</f>
        <v>0</v>
      </c>
      <c r="J25" s="52" t="e">
        <f>'Fuel Diesel'!G32/'Fuel Diesel'!F32</f>
        <v>#DIV/0!</v>
      </c>
      <c r="K25" s="50">
        <f>Water!E32+Water!G32+Water!I32</f>
        <v>412</v>
      </c>
      <c r="L25" s="51">
        <f>Water!K32/TOTAL!K25</f>
        <v>4000</v>
      </c>
      <c r="M25" s="50">
        <f>Electricity!C31</f>
        <v>11</v>
      </c>
      <c r="N25" s="50">
        <f>Electricity!D31</f>
        <v>56</v>
      </c>
    </row>
    <row r="26" spans="1:14" ht="15">
      <c r="A26" s="47" t="s">
        <v>14</v>
      </c>
      <c r="B26" s="48">
        <f>B25+1</f>
        <v>25</v>
      </c>
      <c r="C26" s="49">
        <v>6</v>
      </c>
      <c r="D26" s="48">
        <v>2021</v>
      </c>
      <c r="E26" s="50">
        <f>Electricity!F32+Electricity!I32</f>
        <v>7700.0000000000455</v>
      </c>
      <c r="F26" s="51">
        <f>Electricity!L32/TOTAL!E26</f>
        <v>1232.244999999999</v>
      </c>
      <c r="G26" s="50">
        <f>Gas!F33+Gas!I33+Gas!L33+Gas!O33</f>
        <v>60.792960000002488</v>
      </c>
      <c r="H26" s="51">
        <f>Gas!Q33/TOTAL!G26</f>
        <v>12560</v>
      </c>
      <c r="I26" s="50">
        <f>'Fuel Diesel'!F33</f>
        <v>0</v>
      </c>
      <c r="J26" s="52" t="e">
        <f>'Fuel Diesel'!G33/'Fuel Diesel'!F33</f>
        <v>#DIV/0!</v>
      </c>
      <c r="K26" s="50">
        <f>Water!E33+Water!G33+Water!I33</f>
        <v>333</v>
      </c>
      <c r="L26" s="51">
        <f>Water!K33/TOTAL!K26</f>
        <v>4000</v>
      </c>
      <c r="M26" s="50">
        <f>Electricity!C32</f>
        <v>14</v>
      </c>
      <c r="N26" s="50">
        <f>Electricity!D32</f>
        <v>75</v>
      </c>
    </row>
    <row r="27" spans="1:14" ht="15">
      <c r="A27" s="47" t="s">
        <v>14</v>
      </c>
      <c r="B27" s="48">
        <f t="shared" si="0"/>
        <v>26</v>
      </c>
      <c r="C27" s="49">
        <v>6</v>
      </c>
      <c r="D27" s="48">
        <v>2021</v>
      </c>
      <c r="E27" s="50">
        <f>Electricity!F33+Electricity!I33</f>
        <v>8020.0000000000955</v>
      </c>
      <c r="F27" s="51">
        <f>Electricity!L33/TOTAL!E27</f>
        <v>1237.0480673316695</v>
      </c>
      <c r="G27" s="50">
        <f>Gas!F34+Gas!I34+Gas!L34+Gas!O34</f>
        <v>56.684399999997062</v>
      </c>
      <c r="H27" s="51">
        <f>Gas!Q34/TOTAL!G27</f>
        <v>12560</v>
      </c>
      <c r="I27" s="50">
        <f>'Fuel Diesel'!F34</f>
        <v>0</v>
      </c>
      <c r="J27" s="52" t="e">
        <f>'Fuel Diesel'!G34/'Fuel Diesel'!F34</f>
        <v>#DIV/0!</v>
      </c>
      <c r="K27" s="50">
        <f>Water!E34+Water!G34+Water!I34</f>
        <v>344</v>
      </c>
      <c r="L27" s="51">
        <f>Water!K34/TOTAL!K27</f>
        <v>4000</v>
      </c>
      <c r="M27" s="50">
        <f>Electricity!C33</f>
        <v>20</v>
      </c>
      <c r="N27" s="50">
        <f>Electricity!D33</f>
        <v>75</v>
      </c>
    </row>
    <row r="28" spans="1:14" ht="15">
      <c r="A28" s="47" t="s">
        <v>14</v>
      </c>
      <c r="B28" s="48">
        <f t="shared" si="0"/>
        <v>27</v>
      </c>
      <c r="C28" s="49">
        <v>6</v>
      </c>
      <c r="D28" s="48">
        <v>2021</v>
      </c>
      <c r="E28" s="50">
        <f>Electricity!F34+Electricity!I34</f>
        <v>8079.9999999999836</v>
      </c>
      <c r="F28" s="51">
        <f>Electricity!L34/TOTAL!E28</f>
        <v>1232.0912128712869</v>
      </c>
      <c r="G28" s="50">
        <f>Gas!F35+Gas!I35+Gas!L35+Gas!O35</f>
        <v>56.724680000001605</v>
      </c>
      <c r="H28" s="51">
        <f>Gas!Q35/TOTAL!G28</f>
        <v>12560</v>
      </c>
      <c r="I28" s="50">
        <f>'Fuel Diesel'!F35</f>
        <v>0</v>
      </c>
      <c r="J28" s="52" t="e">
        <f>'Fuel Diesel'!G35/'Fuel Diesel'!F35</f>
        <v>#DIV/0!</v>
      </c>
      <c r="K28" s="50">
        <f>Water!E35+Water!G35+Water!I35</f>
        <v>323</v>
      </c>
      <c r="L28" s="51">
        <f>Water!K35/TOTAL!K28</f>
        <v>4000</v>
      </c>
      <c r="M28" s="50">
        <f>Electricity!C34</f>
        <v>16</v>
      </c>
      <c r="N28" s="50">
        <f>Electricity!D34</f>
        <v>111</v>
      </c>
    </row>
    <row r="29" spans="1:14" ht="15">
      <c r="A29" s="47" t="s">
        <v>14</v>
      </c>
      <c r="B29" s="48">
        <f t="shared" si="0"/>
        <v>28</v>
      </c>
      <c r="C29" s="49">
        <v>6</v>
      </c>
      <c r="D29" s="48">
        <v>2021</v>
      </c>
      <c r="E29" s="50">
        <f>Electricity!F35+Electricity!I35</f>
        <v>7579.9999999999272</v>
      </c>
      <c r="F29" s="51">
        <f>Electricity!L35/TOTAL!E29</f>
        <v>1196.1527704485488</v>
      </c>
      <c r="G29" s="50">
        <f>Gas!F36+Gas!I36+Gas!L36+Gas!O36</f>
        <v>48.507560000001753</v>
      </c>
      <c r="H29" s="51">
        <f>Gas!Q36/TOTAL!G29</f>
        <v>12560</v>
      </c>
      <c r="I29" s="50">
        <f>'Fuel Diesel'!F36</f>
        <v>0</v>
      </c>
      <c r="J29" s="52" t="e">
        <f>'Fuel Diesel'!G36/'Fuel Diesel'!F36</f>
        <v>#DIV/0!</v>
      </c>
      <c r="K29" s="50">
        <f>Water!E36+Water!G36+Water!I36</f>
        <v>330</v>
      </c>
      <c r="L29" s="51">
        <f>Water!K36/TOTAL!K29</f>
        <v>4000</v>
      </c>
      <c r="M29" s="50">
        <f>Electricity!C35</f>
        <v>15</v>
      </c>
      <c r="N29" s="50">
        <f>Electricity!D35</f>
        <v>84</v>
      </c>
    </row>
    <row r="30" spans="1:14" ht="15">
      <c r="A30" s="47" t="s">
        <v>14</v>
      </c>
      <c r="B30" s="48">
        <f t="shared" si="0"/>
        <v>29</v>
      </c>
      <c r="C30" s="49">
        <v>6</v>
      </c>
      <c r="D30" s="48">
        <v>2021</v>
      </c>
      <c r="E30" s="50">
        <f>Electricity!F36+Electricity!I36</f>
        <v>7860.0000000001273</v>
      </c>
      <c r="F30" s="51">
        <f>Electricity!L36/TOTAL!E30</f>
        <v>1282.5181297709914</v>
      </c>
      <c r="G30" s="50">
        <f>Gas!F37+Gas!I37+Gas!L37+Gas!O37</f>
        <v>54.388439999998241</v>
      </c>
      <c r="H30" s="51">
        <f>Gas!Q37/TOTAL!G30</f>
        <v>12560</v>
      </c>
      <c r="I30" s="50">
        <f>'Fuel Diesel'!F37</f>
        <v>410</v>
      </c>
      <c r="J30" s="52">
        <f>'Fuel Diesel'!G37/'Fuel Diesel'!F37</f>
        <v>10700</v>
      </c>
      <c r="K30" s="50">
        <f>Water!E37+Water!G37+Water!I37</f>
        <v>349</v>
      </c>
      <c r="L30" s="51">
        <f>Water!K37/TOTAL!K30</f>
        <v>4000</v>
      </c>
      <c r="M30" s="50">
        <f>Electricity!C36</f>
        <v>20</v>
      </c>
      <c r="N30" s="50">
        <f>Electricity!D36</f>
        <v>88</v>
      </c>
    </row>
    <row r="31" spans="1:14" ht="15">
      <c r="A31" s="47" t="s">
        <v>14</v>
      </c>
      <c r="B31" s="48">
        <f t="shared" si="0"/>
        <v>30</v>
      </c>
      <c r="C31" s="49">
        <v>6</v>
      </c>
      <c r="D31" s="48">
        <v>2021</v>
      </c>
      <c r="E31" s="50">
        <f>Electricity!F37+Electricity!I37</f>
        <v>8519.9999999999254</v>
      </c>
      <c r="F31" s="51">
        <f>Electricity!L37/TOTAL!E31</f>
        <v>1236.6446596244125</v>
      </c>
      <c r="G31" s="50">
        <f>Gas!F38+Gas!I38+Gas!L38+Gas!O38</f>
        <v>70.339319999998381</v>
      </c>
      <c r="H31" s="51">
        <f>Gas!Q38/TOTAL!G31</f>
        <v>12560</v>
      </c>
      <c r="I31" s="50">
        <f>'Fuel Diesel'!F38</f>
        <v>0</v>
      </c>
      <c r="J31" s="52" t="e">
        <f>'Fuel Diesel'!G38/'Fuel Diesel'!F38</f>
        <v>#DIV/0!</v>
      </c>
      <c r="K31" s="50">
        <f>Water!E38+Water!G38+Water!I38</f>
        <v>356</v>
      </c>
      <c r="L31" s="51">
        <f>Water!K38/TOTAL!K31</f>
        <v>4000</v>
      </c>
      <c r="M31" s="50">
        <f>Electricity!C37</f>
        <v>17</v>
      </c>
      <c r="N31" s="50">
        <f>Electricity!D37</f>
        <v>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42"/>
  <sheetViews>
    <sheetView zoomScale="87" zoomScaleNormal="87" workbookViewId="0">
      <pane xSplit="2" ySplit="7" topLeftCell="C32" activePane="bottomRight" state="frozen"/>
      <selection pane="bottomRight" activeCell="G40" sqref="G40:H40"/>
      <selection pane="bottomLeft" activeCell="A9" sqref="A9"/>
      <selection pane="topRight" activeCell="C1" sqref="C1"/>
    </sheetView>
  </sheetViews>
  <sheetFormatPr defaultRowHeight="12.75"/>
  <cols>
    <col min="1" max="1" width="2.5703125" customWidth="1"/>
    <col min="2" max="2" width="5.85546875" customWidth="1"/>
    <col min="3" max="3" width="6.5703125" customWidth="1"/>
    <col min="4" max="4" width="7.5703125" style="6" customWidth="1"/>
    <col min="5" max="5" width="9.42578125" style="1" customWidth="1"/>
    <col min="6" max="6" width="11.28515625" style="1" customWidth="1"/>
    <col min="7" max="7" width="16.5703125" style="1" customWidth="1"/>
    <col min="8" max="8" width="10.28515625" style="1" customWidth="1"/>
    <col min="9" max="9" width="11.140625" style="1" customWidth="1"/>
    <col min="10" max="10" width="16.7109375" style="1" customWidth="1"/>
    <col min="11" max="11" width="16.28515625" style="1" customWidth="1"/>
    <col min="12" max="12" width="23.28515625" bestFit="1" customWidth="1"/>
    <col min="13" max="13" width="16.7109375" customWidth="1"/>
    <col min="14" max="14" width="2.5703125" customWidth="1"/>
    <col min="16" max="16" width="16.7109375" customWidth="1"/>
  </cols>
  <sheetData>
    <row r="1" spans="1:14" ht="15.75">
      <c r="B1" s="78" t="s">
        <v>15</v>
      </c>
      <c r="C1" s="78"/>
      <c r="D1" s="78"/>
      <c r="E1" s="78"/>
      <c r="F1" s="78"/>
      <c r="G1" s="78"/>
      <c r="H1" s="78"/>
      <c r="I1" s="78"/>
      <c r="J1" s="78"/>
      <c r="K1" s="78"/>
      <c r="L1" s="78"/>
      <c r="M1" s="41"/>
      <c r="N1" s="41"/>
    </row>
    <row r="2" spans="1:14" ht="15.75">
      <c r="B2" s="78" t="s">
        <v>16</v>
      </c>
      <c r="C2" s="78"/>
      <c r="D2" s="78"/>
      <c r="E2" s="78"/>
      <c r="F2" s="78"/>
      <c r="G2" s="78"/>
      <c r="H2" s="78"/>
      <c r="I2" s="78"/>
      <c r="J2" s="78"/>
      <c r="K2" s="78"/>
      <c r="L2" s="78"/>
      <c r="M2" s="41"/>
      <c r="N2" s="41"/>
    </row>
    <row r="3" spans="1:14">
      <c r="B3" s="5"/>
      <c r="C3" s="4"/>
      <c r="D3" s="13"/>
      <c r="E3" s="4"/>
      <c r="F3" s="4"/>
      <c r="G3" s="4"/>
      <c r="H3" s="4"/>
      <c r="I3" s="4"/>
      <c r="J3" s="4"/>
      <c r="K3" s="4"/>
      <c r="L3" s="4"/>
      <c r="M3" s="41"/>
      <c r="N3" s="41"/>
    </row>
    <row r="4" spans="1:14">
      <c r="A4" s="7"/>
      <c r="B4" s="81">
        <v>44348</v>
      </c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  <c r="N4" s="7"/>
    </row>
    <row r="5" spans="1:14" ht="23.25" customHeight="1">
      <c r="A5" s="63"/>
      <c r="B5" s="80" t="s">
        <v>17</v>
      </c>
      <c r="C5" s="80" t="s">
        <v>18</v>
      </c>
      <c r="D5" s="80" t="s">
        <v>13</v>
      </c>
      <c r="E5" s="83" t="s">
        <v>19</v>
      </c>
      <c r="F5" s="83"/>
      <c r="G5" s="83"/>
      <c r="H5" s="79" t="s">
        <v>20</v>
      </c>
      <c r="I5" s="79"/>
      <c r="J5" s="79"/>
      <c r="K5" s="80" t="s">
        <v>21</v>
      </c>
      <c r="L5" s="80" t="s">
        <v>22</v>
      </c>
      <c r="M5" s="80" t="s">
        <v>23</v>
      </c>
      <c r="N5" s="76"/>
    </row>
    <row r="6" spans="1:14" s="6" customFormat="1" ht="48" customHeight="1">
      <c r="A6" s="63"/>
      <c r="B6" s="80"/>
      <c r="C6" s="80"/>
      <c r="D6" s="80"/>
      <c r="E6" s="80" t="s">
        <v>24</v>
      </c>
      <c r="F6" s="80" t="s">
        <v>25</v>
      </c>
      <c r="G6" s="80" t="s">
        <v>26</v>
      </c>
      <c r="H6" s="80" t="s">
        <v>24</v>
      </c>
      <c r="I6" s="80" t="s">
        <v>25</v>
      </c>
      <c r="J6" s="80" t="s">
        <v>27</v>
      </c>
      <c r="K6" s="80"/>
      <c r="L6" s="80"/>
      <c r="M6" s="80"/>
      <c r="N6" s="76"/>
    </row>
    <row r="7" spans="1:14" ht="15.75" customHeight="1">
      <c r="A7" s="64"/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</row>
    <row r="8" spans="1:14" ht="15.75" customHeight="1">
      <c r="A8" s="64"/>
      <c r="B8" s="61">
        <v>1</v>
      </c>
      <c r="C8" s="28">
        <v>6</v>
      </c>
      <c r="D8" s="28">
        <v>35</v>
      </c>
      <c r="E8" s="10">
        <v>2.8799999999999955</v>
      </c>
      <c r="F8" s="11">
        <f t="shared" ref="F8:F37" si="0">E8*2000</f>
        <v>5759.9999999999909</v>
      </c>
      <c r="G8" s="3">
        <f t="shared" ref="G8:G37" si="1">F8*1035.5</f>
        <v>5964479.9999999907</v>
      </c>
      <c r="H8" s="10">
        <v>0.60999999999998522</v>
      </c>
      <c r="I8" s="11">
        <f t="shared" ref="I8:I15" si="2">H8*2000</f>
        <v>1219.9999999999704</v>
      </c>
      <c r="J8" s="3">
        <f t="shared" ref="J8:J15" si="3">I8*1553.25</f>
        <v>1894964.9999999541</v>
      </c>
      <c r="K8" s="10">
        <f t="shared" ref="K8:K15" si="4">G8+J8</f>
        <v>7859444.9999999451</v>
      </c>
      <c r="L8" s="12">
        <f t="shared" ref="L8:L15" si="5">K8*1.1</f>
        <v>8645389.4999999404</v>
      </c>
      <c r="M8" s="68">
        <f>L8/14542</f>
        <v>594.51172465960258</v>
      </c>
      <c r="N8" s="35"/>
    </row>
    <row r="9" spans="1:14" ht="17.100000000000001" customHeight="1">
      <c r="A9" s="64"/>
      <c r="B9" s="61">
        <v>2</v>
      </c>
      <c r="C9" s="28">
        <v>7</v>
      </c>
      <c r="D9" s="28">
        <v>22</v>
      </c>
      <c r="E9" s="10">
        <v>3.0300000000000864</v>
      </c>
      <c r="F9" s="11">
        <f t="shared" si="0"/>
        <v>6060.0000000001728</v>
      </c>
      <c r="G9" s="3">
        <f t="shared" si="1"/>
        <v>6275130.0000001788</v>
      </c>
      <c r="H9" s="10">
        <v>0.62999999999999545</v>
      </c>
      <c r="I9" s="11">
        <f t="shared" si="2"/>
        <v>1259.9999999999909</v>
      </c>
      <c r="J9" s="3">
        <f t="shared" si="3"/>
        <v>1957094.9999999858</v>
      </c>
      <c r="K9" s="10">
        <f t="shared" si="4"/>
        <v>8232225.0000001648</v>
      </c>
      <c r="L9" s="12">
        <f t="shared" si="5"/>
        <v>9055447.5000001825</v>
      </c>
      <c r="M9" s="68">
        <f t="shared" ref="M9:M37" si="6">L9/14542</f>
        <v>622.70990922845431</v>
      </c>
      <c r="N9" s="35"/>
    </row>
    <row r="10" spans="1:14" ht="17.100000000000001" customHeight="1">
      <c r="A10" s="64"/>
      <c r="B10" s="61">
        <v>3</v>
      </c>
      <c r="C10" s="28">
        <v>7</v>
      </c>
      <c r="D10" s="28">
        <v>42</v>
      </c>
      <c r="E10" s="10">
        <v>2.8999999999999773</v>
      </c>
      <c r="F10" s="11">
        <f t="shared" si="0"/>
        <v>5799.9999999999545</v>
      </c>
      <c r="G10" s="3">
        <f t="shared" si="1"/>
        <v>6005899.9999999525</v>
      </c>
      <c r="H10" s="10">
        <v>0.65000000000000568</v>
      </c>
      <c r="I10" s="11">
        <f t="shared" si="2"/>
        <v>1300.0000000000114</v>
      </c>
      <c r="J10" s="3">
        <f t="shared" si="3"/>
        <v>2019225.0000000177</v>
      </c>
      <c r="K10" s="10">
        <f t="shared" si="4"/>
        <v>8025124.9999999702</v>
      </c>
      <c r="L10" s="12">
        <f t="shared" si="5"/>
        <v>8827637.4999999683</v>
      </c>
      <c r="M10" s="68">
        <f t="shared" si="6"/>
        <v>607.04425113464231</v>
      </c>
      <c r="N10" s="35"/>
    </row>
    <row r="11" spans="1:14" ht="17.100000000000001" customHeight="1">
      <c r="A11" s="64"/>
      <c r="B11" s="61">
        <v>4</v>
      </c>
      <c r="C11" s="28">
        <v>8</v>
      </c>
      <c r="D11" s="28">
        <v>35</v>
      </c>
      <c r="E11" s="10">
        <v>2.4800000000000182</v>
      </c>
      <c r="F11" s="11">
        <f t="shared" si="0"/>
        <v>4960.0000000000364</v>
      </c>
      <c r="G11" s="3">
        <f t="shared" si="1"/>
        <v>5136080.0000000373</v>
      </c>
      <c r="H11" s="10">
        <v>0.62000000000000455</v>
      </c>
      <c r="I11" s="11">
        <f t="shared" si="2"/>
        <v>1240.0000000000091</v>
      </c>
      <c r="J11" s="3">
        <f t="shared" si="3"/>
        <v>1926030.0000000142</v>
      </c>
      <c r="K11" s="10">
        <f t="shared" si="4"/>
        <v>7062110.0000000512</v>
      </c>
      <c r="L11" s="12">
        <f t="shared" si="5"/>
        <v>7768321.0000000568</v>
      </c>
      <c r="M11" s="68">
        <f t="shared" si="6"/>
        <v>534.19894099849103</v>
      </c>
      <c r="N11" s="35"/>
    </row>
    <row r="12" spans="1:14" ht="17.100000000000001" customHeight="1">
      <c r="A12" s="64"/>
      <c r="B12" s="61">
        <v>5</v>
      </c>
      <c r="C12" s="28">
        <v>10</v>
      </c>
      <c r="D12" s="28">
        <v>39</v>
      </c>
      <c r="E12" s="10">
        <v>4.0599999999999454</v>
      </c>
      <c r="F12" s="11">
        <f t="shared" si="0"/>
        <v>8119.9999999998909</v>
      </c>
      <c r="G12" s="3">
        <f t="shared" si="1"/>
        <v>8408259.9999998864</v>
      </c>
      <c r="H12" s="10">
        <v>0.63999999999998636</v>
      </c>
      <c r="I12" s="11">
        <f t="shared" si="2"/>
        <v>1279.9999999999727</v>
      </c>
      <c r="J12" s="3">
        <f t="shared" si="3"/>
        <v>1988159.9999999576</v>
      </c>
      <c r="K12" s="10">
        <f t="shared" si="4"/>
        <v>10396419.999999844</v>
      </c>
      <c r="L12" s="12">
        <f t="shared" si="5"/>
        <v>11436061.999999829</v>
      </c>
      <c r="M12" s="68">
        <f t="shared" si="6"/>
        <v>786.41603630861152</v>
      </c>
      <c r="N12" s="35"/>
    </row>
    <row r="13" spans="1:14" ht="17.100000000000001" customHeight="1">
      <c r="A13" s="64"/>
      <c r="B13" s="61">
        <v>6</v>
      </c>
      <c r="C13" s="28">
        <v>9</v>
      </c>
      <c r="D13" s="28">
        <v>49</v>
      </c>
      <c r="E13" s="10">
        <v>2.9900000000000091</v>
      </c>
      <c r="F13" s="11">
        <f t="shared" si="0"/>
        <v>5980.0000000000182</v>
      </c>
      <c r="G13" s="3">
        <f t="shared" si="1"/>
        <v>6192290.0000000186</v>
      </c>
      <c r="H13" s="10">
        <v>0.63000000000002387</v>
      </c>
      <c r="I13" s="11">
        <f t="shared" si="2"/>
        <v>1260.0000000000477</v>
      </c>
      <c r="J13" s="3">
        <f t="shared" si="3"/>
        <v>1957095.0000000743</v>
      </c>
      <c r="K13" s="10">
        <f t="shared" si="4"/>
        <v>8149385.0000000931</v>
      </c>
      <c r="L13" s="12">
        <f t="shared" si="5"/>
        <v>8964323.5000001024</v>
      </c>
      <c r="M13" s="68">
        <f t="shared" si="6"/>
        <v>616.44364599092989</v>
      </c>
      <c r="N13" s="35"/>
    </row>
    <row r="14" spans="1:14" ht="17.100000000000001" customHeight="1">
      <c r="A14" s="64"/>
      <c r="B14" s="61">
        <v>7</v>
      </c>
      <c r="C14" s="28">
        <v>6</v>
      </c>
      <c r="D14" s="28">
        <v>33</v>
      </c>
      <c r="E14" s="10">
        <v>3.2300000000000182</v>
      </c>
      <c r="F14" s="11">
        <f t="shared" si="0"/>
        <v>6460.0000000000364</v>
      </c>
      <c r="G14" s="3">
        <f t="shared" si="1"/>
        <v>6689330.0000000373</v>
      </c>
      <c r="H14" s="10">
        <v>0.64999999999997726</v>
      </c>
      <c r="I14" s="11">
        <f t="shared" si="2"/>
        <v>1299.9999999999545</v>
      </c>
      <c r="J14" s="3">
        <f t="shared" si="3"/>
        <v>2019224.9999999295</v>
      </c>
      <c r="K14" s="10">
        <f t="shared" si="4"/>
        <v>8708554.9999999665</v>
      </c>
      <c r="L14" s="12">
        <f t="shared" si="5"/>
        <v>9579410.4999999646</v>
      </c>
      <c r="M14" s="68">
        <f t="shared" si="6"/>
        <v>658.74092284417304</v>
      </c>
      <c r="N14" s="35"/>
    </row>
    <row r="15" spans="1:14" ht="17.100000000000001" customHeight="1">
      <c r="A15" s="64"/>
      <c r="B15" s="61">
        <v>8</v>
      </c>
      <c r="C15" s="28">
        <v>9</v>
      </c>
      <c r="D15" s="28">
        <v>32</v>
      </c>
      <c r="E15" s="10">
        <v>3.2999999999999545</v>
      </c>
      <c r="F15" s="11">
        <f t="shared" si="0"/>
        <v>6599.9999999999091</v>
      </c>
      <c r="G15" s="3">
        <f t="shared" si="1"/>
        <v>6834299.9999999059</v>
      </c>
      <c r="H15" s="10">
        <v>0.70000000000001705</v>
      </c>
      <c r="I15" s="11">
        <f t="shared" si="2"/>
        <v>1400.0000000000341</v>
      </c>
      <c r="J15" s="3">
        <f t="shared" si="3"/>
        <v>2174550.0000000531</v>
      </c>
      <c r="K15" s="10">
        <f t="shared" si="4"/>
        <v>9008849.999999959</v>
      </c>
      <c r="L15" s="12">
        <f t="shared" si="5"/>
        <v>9909734.9999999553</v>
      </c>
      <c r="M15" s="68">
        <f t="shared" si="6"/>
        <v>681.45612708017848</v>
      </c>
      <c r="N15" s="35"/>
    </row>
    <row r="16" spans="1:14" ht="17.100000000000001" customHeight="1">
      <c r="A16" s="64"/>
      <c r="B16" s="61">
        <v>9</v>
      </c>
      <c r="C16" s="28">
        <v>7</v>
      </c>
      <c r="D16" s="28">
        <v>41</v>
      </c>
      <c r="E16" s="10">
        <v>3.3899999999999864</v>
      </c>
      <c r="F16" s="11">
        <f t="shared" si="0"/>
        <v>6779.9999999999727</v>
      </c>
      <c r="G16" s="3">
        <f t="shared" si="1"/>
        <v>7020689.9999999721</v>
      </c>
      <c r="H16" s="10">
        <v>0.66999999999998749</v>
      </c>
      <c r="I16" s="11">
        <f t="shared" ref="I16:I37" si="7">H16*2000</f>
        <v>1339.999999999975</v>
      </c>
      <c r="J16" s="3">
        <f t="shared" ref="J16:J37" si="8">I16*1553.25</f>
        <v>2081354.9999999611</v>
      </c>
      <c r="K16" s="10">
        <f t="shared" ref="K16:K37" si="9">G16+J16</f>
        <v>9102044.9999999329</v>
      </c>
      <c r="L16" s="12">
        <f t="shared" ref="L16:L37" si="10">K16*1.1</f>
        <v>10012249.499999927</v>
      </c>
      <c r="M16" s="68">
        <f t="shared" si="6"/>
        <v>688.50567322238533</v>
      </c>
      <c r="N16" s="35"/>
    </row>
    <row r="17" spans="1:14" ht="17.100000000000001" customHeight="1">
      <c r="A17" s="64"/>
      <c r="B17" s="61">
        <v>10</v>
      </c>
      <c r="C17" s="28">
        <v>9</v>
      </c>
      <c r="D17" s="28">
        <v>43</v>
      </c>
      <c r="E17" s="10">
        <v>3.1900000000000546</v>
      </c>
      <c r="F17" s="11">
        <f t="shared" si="0"/>
        <v>6380.0000000001091</v>
      </c>
      <c r="G17" s="3">
        <f t="shared" si="1"/>
        <v>6606490.0000001127</v>
      </c>
      <c r="H17" s="10">
        <v>0.65999999999999659</v>
      </c>
      <c r="I17" s="11">
        <f t="shared" si="7"/>
        <v>1319.9999999999932</v>
      </c>
      <c r="J17" s="3">
        <f t="shared" si="8"/>
        <v>2050289.9999999893</v>
      </c>
      <c r="K17" s="10">
        <f t="shared" si="9"/>
        <v>8656780.0000001024</v>
      </c>
      <c r="L17" s="12">
        <f t="shared" si="10"/>
        <v>9522458.0000001136</v>
      </c>
      <c r="M17" s="68">
        <f t="shared" si="6"/>
        <v>654.82450832073403</v>
      </c>
      <c r="N17" s="35"/>
    </row>
    <row r="18" spans="1:14" ht="17.100000000000001" customHeight="1">
      <c r="A18" s="64"/>
      <c r="B18" s="61">
        <v>11</v>
      </c>
      <c r="C18" s="28">
        <v>17</v>
      </c>
      <c r="D18" s="28">
        <v>40</v>
      </c>
      <c r="E18" s="10">
        <v>3.1699999999999591</v>
      </c>
      <c r="F18" s="11">
        <f t="shared" si="0"/>
        <v>6339.9999999999181</v>
      </c>
      <c r="G18" s="3">
        <f t="shared" si="1"/>
        <v>6565069.9999999152</v>
      </c>
      <c r="H18" s="10">
        <v>0.67000000000001592</v>
      </c>
      <c r="I18" s="11">
        <f t="shared" si="7"/>
        <v>1340.0000000000318</v>
      </c>
      <c r="J18" s="3">
        <f t="shared" si="8"/>
        <v>2081355.0000000494</v>
      </c>
      <c r="K18" s="10">
        <f t="shared" si="9"/>
        <v>8646424.9999999646</v>
      </c>
      <c r="L18" s="12">
        <f t="shared" si="10"/>
        <v>9511067.4999999627</v>
      </c>
      <c r="M18" s="68">
        <f t="shared" si="6"/>
        <v>654.04122541603374</v>
      </c>
      <c r="N18" s="35"/>
    </row>
    <row r="19" spans="1:14" ht="17.100000000000001" customHeight="1">
      <c r="A19" s="64"/>
      <c r="B19" s="61">
        <v>12</v>
      </c>
      <c r="C19" s="28">
        <v>13</v>
      </c>
      <c r="D19" s="28">
        <v>61</v>
      </c>
      <c r="E19" s="10">
        <v>3.3500000000000227</v>
      </c>
      <c r="F19" s="11">
        <f t="shared" si="0"/>
        <v>6700.0000000000455</v>
      </c>
      <c r="G19" s="3">
        <f t="shared" si="1"/>
        <v>6937850.0000000475</v>
      </c>
      <c r="H19" s="10">
        <v>0.62000000000000455</v>
      </c>
      <c r="I19" s="11">
        <f t="shared" si="7"/>
        <v>1240.0000000000091</v>
      </c>
      <c r="J19" s="3">
        <f t="shared" si="8"/>
        <v>1926030.0000000142</v>
      </c>
      <c r="K19" s="10">
        <f t="shared" si="9"/>
        <v>8863880.0000000615</v>
      </c>
      <c r="L19" s="12">
        <f t="shared" si="10"/>
        <v>9750268.0000000689</v>
      </c>
      <c r="M19" s="68">
        <f t="shared" si="6"/>
        <v>670.49016641452818</v>
      </c>
      <c r="N19" s="35"/>
    </row>
    <row r="20" spans="1:14" ht="17.100000000000001" customHeight="1">
      <c r="A20" s="64"/>
      <c r="B20" s="61">
        <v>13</v>
      </c>
      <c r="C20" s="28">
        <v>8</v>
      </c>
      <c r="D20" s="28">
        <v>53</v>
      </c>
      <c r="E20" s="10">
        <v>3.0399999999999636</v>
      </c>
      <c r="F20" s="11">
        <f t="shared" si="0"/>
        <v>6079.9999999999272</v>
      </c>
      <c r="G20" s="3">
        <f t="shared" si="1"/>
        <v>6295839.9999999246</v>
      </c>
      <c r="H20" s="10">
        <v>0.60999999999998522</v>
      </c>
      <c r="I20" s="11">
        <f t="shared" si="7"/>
        <v>1219.9999999999704</v>
      </c>
      <c r="J20" s="3">
        <f t="shared" si="8"/>
        <v>1894964.9999999541</v>
      </c>
      <c r="K20" s="10">
        <f t="shared" si="9"/>
        <v>8190804.9999998789</v>
      </c>
      <c r="L20" s="12">
        <f t="shared" si="10"/>
        <v>9009885.4999998678</v>
      </c>
      <c r="M20" s="68">
        <f t="shared" si="6"/>
        <v>619.57677760967317</v>
      </c>
      <c r="N20" s="35"/>
    </row>
    <row r="21" spans="1:14" ht="17.100000000000001" customHeight="1">
      <c r="A21" s="64"/>
      <c r="B21" s="61">
        <v>14</v>
      </c>
      <c r="C21" s="28">
        <v>4</v>
      </c>
      <c r="D21" s="28">
        <v>28</v>
      </c>
      <c r="E21" s="10">
        <v>3.1299999999999955</v>
      </c>
      <c r="F21" s="11">
        <f t="shared" si="0"/>
        <v>6259.9999999999909</v>
      </c>
      <c r="G21" s="3">
        <f t="shared" si="1"/>
        <v>6482229.9999999907</v>
      </c>
      <c r="H21" s="10">
        <v>0.59999999999999432</v>
      </c>
      <c r="I21" s="11">
        <f t="shared" si="7"/>
        <v>1199.9999999999886</v>
      </c>
      <c r="J21" s="3">
        <f t="shared" si="8"/>
        <v>1863899.9999999823</v>
      </c>
      <c r="K21" s="10">
        <f t="shared" si="9"/>
        <v>8346129.999999973</v>
      </c>
      <c r="L21" s="12">
        <f t="shared" si="10"/>
        <v>9180742.9999999702</v>
      </c>
      <c r="M21" s="68">
        <f t="shared" si="6"/>
        <v>631.32602118002819</v>
      </c>
      <c r="N21" s="35"/>
    </row>
    <row r="22" spans="1:14" ht="17.100000000000001" customHeight="1">
      <c r="A22" s="64"/>
      <c r="B22" s="61">
        <v>15</v>
      </c>
      <c r="C22" s="28">
        <v>5</v>
      </c>
      <c r="D22" s="28">
        <v>36</v>
      </c>
      <c r="E22" s="10">
        <v>3.1299999999999955</v>
      </c>
      <c r="F22" s="11">
        <f t="shared" si="0"/>
        <v>6259.9999999999909</v>
      </c>
      <c r="G22" s="3">
        <f t="shared" si="1"/>
        <v>6482229.9999999907</v>
      </c>
      <c r="H22" s="10">
        <v>0.64000000000001478</v>
      </c>
      <c r="I22" s="11">
        <f t="shared" si="7"/>
        <v>1280.0000000000296</v>
      </c>
      <c r="J22" s="3">
        <f t="shared" si="8"/>
        <v>1988160.0000000459</v>
      </c>
      <c r="K22" s="10">
        <f t="shared" si="9"/>
        <v>8470390.0000000373</v>
      </c>
      <c r="L22" s="12">
        <f t="shared" si="10"/>
        <v>9317429.000000041</v>
      </c>
      <c r="M22" s="68">
        <f t="shared" si="6"/>
        <v>640.72541603631146</v>
      </c>
      <c r="N22" s="35"/>
    </row>
    <row r="23" spans="1:14" ht="17.100000000000001" customHeight="1">
      <c r="A23" s="64"/>
      <c r="B23" s="61">
        <v>16</v>
      </c>
      <c r="C23" s="28">
        <v>9</v>
      </c>
      <c r="D23" s="28">
        <v>36</v>
      </c>
      <c r="E23" s="10">
        <v>3.1200000000000045</v>
      </c>
      <c r="F23" s="11">
        <f t="shared" si="0"/>
        <v>6240.0000000000091</v>
      </c>
      <c r="G23" s="3">
        <f t="shared" si="1"/>
        <v>6461520.0000000093</v>
      </c>
      <c r="H23" s="10">
        <v>0.63999999999998636</v>
      </c>
      <c r="I23" s="11">
        <f t="shared" si="7"/>
        <v>1279.9999999999727</v>
      </c>
      <c r="J23" s="3">
        <f t="shared" si="8"/>
        <v>1988159.9999999576</v>
      </c>
      <c r="K23" s="10">
        <f t="shared" si="9"/>
        <v>8449679.9999999665</v>
      </c>
      <c r="L23" s="12">
        <f t="shared" si="10"/>
        <v>9294647.9999999646</v>
      </c>
      <c r="M23" s="68">
        <f t="shared" si="6"/>
        <v>639.15885022692646</v>
      </c>
      <c r="N23" s="35"/>
    </row>
    <row r="24" spans="1:14" ht="17.100000000000001" customHeight="1">
      <c r="A24" s="64"/>
      <c r="B24" s="61">
        <v>17</v>
      </c>
      <c r="C24" s="28">
        <v>8</v>
      </c>
      <c r="D24" s="28">
        <v>69</v>
      </c>
      <c r="E24" s="10">
        <v>3.25</v>
      </c>
      <c r="F24" s="11">
        <f t="shared" si="0"/>
        <v>6500</v>
      </c>
      <c r="G24" s="3">
        <f t="shared" si="1"/>
        <v>6730750</v>
      </c>
      <c r="H24" s="10">
        <v>0.65999999999999659</v>
      </c>
      <c r="I24" s="11">
        <f t="shared" si="7"/>
        <v>1319.9999999999932</v>
      </c>
      <c r="J24" s="3">
        <f t="shared" si="8"/>
        <v>2050289.9999999893</v>
      </c>
      <c r="K24" s="10">
        <f t="shared" si="9"/>
        <v>8781039.9999999888</v>
      </c>
      <c r="L24" s="12">
        <f t="shared" si="10"/>
        <v>9659143.9999999888</v>
      </c>
      <c r="M24" s="68">
        <f t="shared" si="6"/>
        <v>664.22390317700376</v>
      </c>
      <c r="N24" s="35"/>
    </row>
    <row r="25" spans="1:14" ht="17.100000000000001" customHeight="1">
      <c r="A25" s="64"/>
      <c r="B25" s="61">
        <v>18</v>
      </c>
      <c r="C25" s="28">
        <v>10</v>
      </c>
      <c r="D25" s="28">
        <v>65</v>
      </c>
      <c r="E25" s="10">
        <v>3.2400000000000091</v>
      </c>
      <c r="F25" s="11">
        <f t="shared" si="0"/>
        <v>6480.0000000000182</v>
      </c>
      <c r="G25" s="3">
        <f t="shared" si="1"/>
        <v>6710040.0000000186</v>
      </c>
      <c r="H25" s="10">
        <v>0.64000000000001478</v>
      </c>
      <c r="I25" s="11">
        <f t="shared" si="7"/>
        <v>1280.0000000000296</v>
      </c>
      <c r="J25" s="3">
        <f t="shared" si="8"/>
        <v>1988160.0000000459</v>
      </c>
      <c r="K25" s="10">
        <f t="shared" si="9"/>
        <v>8698200.0000000652</v>
      </c>
      <c r="L25" s="12">
        <f t="shared" si="10"/>
        <v>9568020.0000000726</v>
      </c>
      <c r="M25" s="68">
        <f t="shared" si="6"/>
        <v>657.9576399394906</v>
      </c>
      <c r="N25" s="35"/>
    </row>
    <row r="26" spans="1:14" ht="17.100000000000001" customHeight="1">
      <c r="A26" s="64"/>
      <c r="B26" s="61">
        <v>19</v>
      </c>
      <c r="C26" s="28">
        <v>12</v>
      </c>
      <c r="D26" s="28">
        <v>85</v>
      </c>
      <c r="E26" s="10">
        <v>3.1500000000000909</v>
      </c>
      <c r="F26" s="11">
        <f t="shared" si="0"/>
        <v>6300.0000000001819</v>
      </c>
      <c r="G26" s="3">
        <f t="shared" si="1"/>
        <v>6523650.0000001881</v>
      </c>
      <c r="H26" s="10">
        <v>0.60999999999998522</v>
      </c>
      <c r="I26" s="11">
        <f t="shared" si="7"/>
        <v>1219.9999999999704</v>
      </c>
      <c r="J26" s="3">
        <f t="shared" si="8"/>
        <v>1894964.9999999541</v>
      </c>
      <c r="K26" s="10">
        <f t="shared" si="9"/>
        <v>8418615.0000001416</v>
      </c>
      <c r="L26" s="12">
        <f t="shared" si="10"/>
        <v>9260476.5000001565</v>
      </c>
      <c r="M26" s="68">
        <f t="shared" si="6"/>
        <v>636.80900151287005</v>
      </c>
      <c r="N26" s="35"/>
    </row>
    <row r="27" spans="1:14" ht="17.100000000000001" customHeight="1">
      <c r="A27" s="64"/>
      <c r="B27" s="61">
        <v>20</v>
      </c>
      <c r="C27" s="28">
        <v>7</v>
      </c>
      <c r="D27" s="28">
        <v>81</v>
      </c>
      <c r="E27" s="10">
        <v>3.0299999999999727</v>
      </c>
      <c r="F27" s="11">
        <f t="shared" si="0"/>
        <v>6059.9999999999454</v>
      </c>
      <c r="G27" s="3">
        <f t="shared" si="1"/>
        <v>6275129.9999999432</v>
      </c>
      <c r="H27" s="10">
        <v>0.64000000000001478</v>
      </c>
      <c r="I27" s="11">
        <f t="shared" si="7"/>
        <v>1280.0000000000296</v>
      </c>
      <c r="J27" s="3">
        <f t="shared" si="8"/>
        <v>1988160.0000000459</v>
      </c>
      <c r="K27" s="10">
        <f t="shared" si="9"/>
        <v>8263289.9999999888</v>
      </c>
      <c r="L27" s="12">
        <f t="shared" si="10"/>
        <v>9089618.9999999888</v>
      </c>
      <c r="M27" s="68">
        <f t="shared" si="6"/>
        <v>625.0597579425106</v>
      </c>
      <c r="N27" s="35"/>
    </row>
    <row r="28" spans="1:14" ht="17.100000000000001" customHeight="1">
      <c r="A28" s="64"/>
      <c r="B28" s="61">
        <v>21</v>
      </c>
      <c r="C28" s="28">
        <v>7</v>
      </c>
      <c r="D28" s="28">
        <v>52</v>
      </c>
      <c r="E28" s="10">
        <v>3.1699999999999591</v>
      </c>
      <c r="F28" s="11">
        <f t="shared" si="0"/>
        <v>6339.9999999999181</v>
      </c>
      <c r="G28" s="3">
        <f t="shared" si="1"/>
        <v>6565069.9999999152</v>
      </c>
      <c r="H28" s="10">
        <v>0.59000000000000341</v>
      </c>
      <c r="I28" s="11">
        <f t="shared" si="7"/>
        <v>1180.0000000000068</v>
      </c>
      <c r="J28" s="3">
        <f t="shared" si="8"/>
        <v>1832835.0000000107</v>
      </c>
      <c r="K28" s="10">
        <f t="shared" si="9"/>
        <v>8397904.9999999255</v>
      </c>
      <c r="L28" s="12">
        <f t="shared" si="10"/>
        <v>9237695.499999918</v>
      </c>
      <c r="M28" s="68">
        <f t="shared" si="6"/>
        <v>635.24243570347392</v>
      </c>
      <c r="N28" s="35"/>
    </row>
    <row r="29" spans="1:14" ht="17.100000000000001" customHeight="1">
      <c r="A29" s="64"/>
      <c r="B29" s="61">
        <v>22</v>
      </c>
      <c r="C29" s="28">
        <v>14</v>
      </c>
      <c r="D29" s="28">
        <v>55</v>
      </c>
      <c r="E29" s="10">
        <v>3.1299999999999955</v>
      </c>
      <c r="F29" s="11">
        <f t="shared" si="0"/>
        <v>6259.9999999999909</v>
      </c>
      <c r="G29" s="3">
        <f t="shared" si="1"/>
        <v>6482229.9999999907</v>
      </c>
      <c r="H29" s="10">
        <v>0.73999999999998067</v>
      </c>
      <c r="I29" s="11">
        <f t="shared" si="7"/>
        <v>1479.9999999999613</v>
      </c>
      <c r="J29" s="3">
        <f t="shared" si="8"/>
        <v>2298809.9999999399</v>
      </c>
      <c r="K29" s="10">
        <f t="shared" si="9"/>
        <v>8781039.9999999311</v>
      </c>
      <c r="L29" s="12">
        <f t="shared" si="10"/>
        <v>9659143.9999999255</v>
      </c>
      <c r="M29" s="68">
        <f t="shared" si="6"/>
        <v>664.22390317699944</v>
      </c>
      <c r="N29" s="35"/>
    </row>
    <row r="30" spans="1:14" ht="17.100000000000001" customHeight="1">
      <c r="A30" s="64"/>
      <c r="B30" s="61">
        <v>23</v>
      </c>
      <c r="C30" s="28">
        <v>10</v>
      </c>
      <c r="D30" s="28">
        <v>61</v>
      </c>
      <c r="E30" s="10">
        <v>3.4200000000000728</v>
      </c>
      <c r="F30" s="11">
        <f t="shared" si="0"/>
        <v>6840.0000000001455</v>
      </c>
      <c r="G30" s="3">
        <f t="shared" si="1"/>
        <v>7082820.0000001509</v>
      </c>
      <c r="H30" s="10">
        <v>0.52000000000001023</v>
      </c>
      <c r="I30" s="11">
        <f t="shared" si="7"/>
        <v>1040.0000000000205</v>
      </c>
      <c r="J30" s="3">
        <f t="shared" si="8"/>
        <v>1615380.0000000319</v>
      </c>
      <c r="K30" s="10">
        <f t="shared" si="9"/>
        <v>8698200.0000001825</v>
      </c>
      <c r="L30" s="12">
        <f t="shared" si="10"/>
        <v>9568020.0000002012</v>
      </c>
      <c r="M30" s="68">
        <f t="shared" si="6"/>
        <v>657.95763993949947</v>
      </c>
      <c r="N30" s="35"/>
    </row>
    <row r="31" spans="1:14" ht="17.100000000000001" customHeight="1">
      <c r="A31" s="64"/>
      <c r="B31" s="61">
        <v>24</v>
      </c>
      <c r="C31" s="28">
        <v>11</v>
      </c>
      <c r="D31" s="28">
        <v>56</v>
      </c>
      <c r="E31" s="10">
        <v>3.2399999999998954</v>
      </c>
      <c r="F31" s="11">
        <f t="shared" si="0"/>
        <v>6479.9999999997908</v>
      </c>
      <c r="G31" s="3">
        <f t="shared" si="1"/>
        <v>6710039.999999783</v>
      </c>
      <c r="H31" s="10">
        <v>0.68000000000000682</v>
      </c>
      <c r="I31" s="11">
        <f t="shared" si="7"/>
        <v>1360.0000000000136</v>
      </c>
      <c r="J31" s="3">
        <f t="shared" si="8"/>
        <v>2112420.0000000214</v>
      </c>
      <c r="K31" s="10">
        <f t="shared" si="9"/>
        <v>8822459.9999998044</v>
      </c>
      <c r="L31" s="12">
        <f t="shared" si="10"/>
        <v>9704705.9999997858</v>
      </c>
      <c r="M31" s="68">
        <f t="shared" si="6"/>
        <v>667.35703479574931</v>
      </c>
      <c r="N31" s="35"/>
    </row>
    <row r="32" spans="1:14" ht="17.100000000000001" customHeight="1">
      <c r="A32" s="64"/>
      <c r="B32" s="61">
        <v>25</v>
      </c>
      <c r="C32" s="28">
        <v>14</v>
      </c>
      <c r="D32" s="28">
        <v>75</v>
      </c>
      <c r="E32" s="10">
        <v>3.2200000000000273</v>
      </c>
      <c r="F32" s="11">
        <f t="shared" si="0"/>
        <v>6440.0000000000546</v>
      </c>
      <c r="G32" s="3">
        <f t="shared" si="1"/>
        <v>6668620.0000000568</v>
      </c>
      <c r="H32" s="10">
        <v>0.62999999999999545</v>
      </c>
      <c r="I32" s="11">
        <f t="shared" si="7"/>
        <v>1259.9999999999909</v>
      </c>
      <c r="J32" s="3">
        <f t="shared" si="8"/>
        <v>1957094.9999999858</v>
      </c>
      <c r="K32" s="10">
        <f t="shared" si="9"/>
        <v>8625715.0000000428</v>
      </c>
      <c r="L32" s="12">
        <f t="shared" si="10"/>
        <v>9488286.5000000484</v>
      </c>
      <c r="M32" s="68">
        <f t="shared" si="6"/>
        <v>652.47465960665988</v>
      </c>
      <c r="N32" s="35"/>
    </row>
    <row r="33" spans="1:16" ht="17.100000000000001" customHeight="1">
      <c r="A33" s="64"/>
      <c r="B33" s="61">
        <v>26</v>
      </c>
      <c r="C33" s="28">
        <v>20</v>
      </c>
      <c r="D33" s="28">
        <v>75</v>
      </c>
      <c r="E33" s="10">
        <v>3.32000000000005</v>
      </c>
      <c r="F33" s="11">
        <f t="shared" si="0"/>
        <v>6640.0000000001</v>
      </c>
      <c r="G33" s="3">
        <f t="shared" si="1"/>
        <v>6875720.0000001034</v>
      </c>
      <c r="H33" s="10">
        <v>0.68999999999999773</v>
      </c>
      <c r="I33" s="11">
        <f t="shared" si="7"/>
        <v>1379.9999999999955</v>
      </c>
      <c r="J33" s="3">
        <f t="shared" si="8"/>
        <v>2143484.999999993</v>
      </c>
      <c r="K33" s="10">
        <f t="shared" si="9"/>
        <v>9019205.0000000969</v>
      </c>
      <c r="L33" s="12">
        <f t="shared" si="10"/>
        <v>9921125.500000108</v>
      </c>
      <c r="M33" s="68">
        <f t="shared" si="6"/>
        <v>682.23940998487888</v>
      </c>
      <c r="N33" s="35"/>
    </row>
    <row r="34" spans="1:16" ht="17.100000000000001" customHeight="1">
      <c r="A34" s="64"/>
      <c r="B34" s="61">
        <v>27</v>
      </c>
      <c r="C34" s="28">
        <v>16</v>
      </c>
      <c r="D34" s="28">
        <v>111</v>
      </c>
      <c r="E34" s="10">
        <v>3.3799999999999955</v>
      </c>
      <c r="F34" s="11">
        <f t="shared" si="0"/>
        <v>6759.9999999999909</v>
      </c>
      <c r="G34" s="3">
        <f t="shared" si="1"/>
        <v>6999979.9999999907</v>
      </c>
      <c r="H34" s="10">
        <v>0.65999999999999659</v>
      </c>
      <c r="I34" s="11">
        <f t="shared" si="7"/>
        <v>1319.9999999999932</v>
      </c>
      <c r="J34" s="3">
        <f t="shared" si="8"/>
        <v>2050289.9999999893</v>
      </c>
      <c r="K34" s="10">
        <f t="shared" si="9"/>
        <v>9050269.9999999795</v>
      </c>
      <c r="L34" s="12">
        <f t="shared" si="10"/>
        <v>9955296.9999999776</v>
      </c>
      <c r="M34" s="68">
        <f t="shared" si="6"/>
        <v>684.58925869893949</v>
      </c>
      <c r="N34" s="35"/>
    </row>
    <row r="35" spans="1:16" ht="17.100000000000001" customHeight="1">
      <c r="A35" s="64"/>
      <c r="B35" s="61">
        <v>28</v>
      </c>
      <c r="C35" s="28">
        <v>15</v>
      </c>
      <c r="D35" s="28">
        <v>84</v>
      </c>
      <c r="E35" s="10">
        <v>3.4099999999999682</v>
      </c>
      <c r="F35" s="11">
        <f t="shared" si="0"/>
        <v>6819.9999999999363</v>
      </c>
      <c r="G35" s="3">
        <f t="shared" si="1"/>
        <v>7062109.9999999339</v>
      </c>
      <c r="H35" s="10">
        <v>0.37999999999999545</v>
      </c>
      <c r="I35" s="11">
        <f t="shared" si="7"/>
        <v>759.99999999999091</v>
      </c>
      <c r="J35" s="3">
        <f t="shared" si="8"/>
        <v>1180469.9999999858</v>
      </c>
      <c r="K35" s="10">
        <f t="shared" si="9"/>
        <v>8242579.9999999199</v>
      </c>
      <c r="L35" s="12">
        <f t="shared" si="10"/>
        <v>9066837.9999999125</v>
      </c>
      <c r="M35" s="68">
        <f t="shared" si="6"/>
        <v>623.4931921331256</v>
      </c>
      <c r="N35" s="35"/>
    </row>
    <row r="36" spans="1:16" ht="17.100000000000001" customHeight="1">
      <c r="A36" s="64"/>
      <c r="B36" s="61">
        <v>29</v>
      </c>
      <c r="C36" s="28">
        <v>20</v>
      </c>
      <c r="D36" s="28">
        <v>88</v>
      </c>
      <c r="E36" s="10">
        <v>2.9400000000000546</v>
      </c>
      <c r="F36" s="11">
        <f t="shared" si="0"/>
        <v>5880.0000000001091</v>
      </c>
      <c r="G36" s="3">
        <f t="shared" si="1"/>
        <v>6088740.0000001127</v>
      </c>
      <c r="H36" s="10">
        <v>0.99000000000000909</v>
      </c>
      <c r="I36" s="11">
        <f t="shared" si="7"/>
        <v>1980.0000000000182</v>
      </c>
      <c r="J36" s="3">
        <f t="shared" si="8"/>
        <v>3075435.0000000284</v>
      </c>
      <c r="K36" s="10">
        <f t="shared" si="9"/>
        <v>9164175.0000001416</v>
      </c>
      <c r="L36" s="12">
        <f t="shared" si="10"/>
        <v>10080592.500000156</v>
      </c>
      <c r="M36" s="68">
        <f t="shared" si="6"/>
        <v>693.2053706505402</v>
      </c>
      <c r="N36" s="35"/>
    </row>
    <row r="37" spans="1:16" ht="17.100000000000001" customHeight="1">
      <c r="A37" s="64"/>
      <c r="B37" s="61">
        <v>30</v>
      </c>
      <c r="C37" s="28">
        <v>17</v>
      </c>
      <c r="D37" s="28">
        <v>96</v>
      </c>
      <c r="E37" s="10">
        <v>3.5299999999999727</v>
      </c>
      <c r="F37" s="11">
        <f t="shared" si="0"/>
        <v>7059.9999999999454</v>
      </c>
      <c r="G37" s="3">
        <f t="shared" si="1"/>
        <v>7310629.9999999432</v>
      </c>
      <c r="H37" s="10">
        <v>0.72999999999998977</v>
      </c>
      <c r="I37" s="11">
        <f t="shared" si="7"/>
        <v>1459.9999999999795</v>
      </c>
      <c r="J37" s="3">
        <f t="shared" si="8"/>
        <v>2267744.9999999683</v>
      </c>
      <c r="K37" s="10">
        <f t="shared" si="9"/>
        <v>9578374.9999999106</v>
      </c>
      <c r="L37" s="12">
        <f t="shared" si="10"/>
        <v>10536212.499999903</v>
      </c>
      <c r="M37" s="68">
        <f t="shared" si="6"/>
        <v>724.53668683811736</v>
      </c>
      <c r="N37" s="35"/>
    </row>
    <row r="38" spans="1:16" ht="15">
      <c r="C38" s="18">
        <f>SUM(C8:C37)</f>
        <v>315</v>
      </c>
      <c r="D38" s="18">
        <f>SUM(D8:D37)</f>
        <v>1678</v>
      </c>
      <c r="F38" s="18">
        <f>SUM(F8:F37)</f>
        <v>191640.00000000009</v>
      </c>
      <c r="I38" s="18">
        <f>SUM(I8:I37)</f>
        <v>38799.999999999949</v>
      </c>
      <c r="L38" s="75">
        <f>SUM(L8:L37)</f>
        <v>284580252.00000006</v>
      </c>
      <c r="M38" s="40">
        <f>SUM(M8:M37)</f>
        <v>19569.540090771559</v>
      </c>
      <c r="N38" s="35"/>
      <c r="P38" s="30"/>
    </row>
    <row r="40" spans="1:16" ht="15">
      <c r="G40" s="82" t="s">
        <v>28</v>
      </c>
      <c r="H40" s="82"/>
      <c r="I40" s="77">
        <f>F38+I38</f>
        <v>230440.00000000003</v>
      </c>
      <c r="M40" s="31"/>
      <c r="P40" s="29"/>
    </row>
    <row r="41" spans="1:16">
      <c r="M41" s="34"/>
    </row>
    <row r="42" spans="1:16">
      <c r="A42" t="s">
        <v>29</v>
      </c>
    </row>
  </sheetData>
  <mergeCells count="18">
    <mergeCell ref="G40:H40"/>
    <mergeCell ref="E5:G5"/>
    <mergeCell ref="G6:G7"/>
    <mergeCell ref="H6:H7"/>
    <mergeCell ref="I6:I7"/>
    <mergeCell ref="B1:L1"/>
    <mergeCell ref="B2:L2"/>
    <mergeCell ref="H5:J5"/>
    <mergeCell ref="K5:K7"/>
    <mergeCell ref="L5:L7"/>
    <mergeCell ref="B5:B7"/>
    <mergeCell ref="C5:C7"/>
    <mergeCell ref="B4:M4"/>
    <mergeCell ref="D5:D7"/>
    <mergeCell ref="M5:M7"/>
    <mergeCell ref="E6:E7"/>
    <mergeCell ref="F6:F7"/>
    <mergeCell ref="J6:J7"/>
  </mergeCells>
  <pageMargins left="1.5748031496062993" right="0.19685039370078741" top="0.78740157480314965" bottom="0" header="0.51181102362204722" footer="0.51181102362204722"/>
  <pageSetup paperSize="9" scale="72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43"/>
  <sheetViews>
    <sheetView topLeftCell="A3" workbookViewId="0">
      <pane xSplit="2" ySplit="6" topLeftCell="C31" activePane="bottomRight" state="frozen"/>
      <selection pane="bottomRight" activeCell="Q39" sqref="Q39"/>
      <selection pane="bottomLeft" activeCell="A9" sqref="A9"/>
      <selection pane="topRight" activeCell="C3" sqref="C3"/>
    </sheetView>
  </sheetViews>
  <sheetFormatPr defaultRowHeight="12.75"/>
  <cols>
    <col min="1" max="1" width="2.5703125" customWidth="1"/>
    <col min="2" max="2" width="5.42578125" customWidth="1"/>
    <col min="3" max="3" width="6.42578125" style="1" customWidth="1"/>
    <col min="4" max="4" width="8.42578125" style="6" customWidth="1"/>
    <col min="5" max="5" width="11" style="1" customWidth="1"/>
    <col min="6" max="6" width="9.5703125" style="1" customWidth="1"/>
    <col min="7" max="7" width="11.140625" style="1" customWidth="1"/>
    <col min="8" max="8" width="9.42578125" style="1" customWidth="1"/>
    <col min="9" max="9" width="7.140625" style="1" customWidth="1"/>
    <col min="10" max="10" width="13.7109375" style="1" customWidth="1"/>
    <col min="11" max="11" width="11.140625" style="1" customWidth="1"/>
    <col min="12" max="12" width="6.7109375" style="1" customWidth="1"/>
    <col min="13" max="13" width="13.7109375" style="27" customWidth="1"/>
    <col min="14" max="14" width="8.7109375" style="1" customWidth="1"/>
    <col min="15" max="15" width="6.42578125" style="1" customWidth="1"/>
    <col min="16" max="16" width="11.140625" style="1" customWidth="1"/>
    <col min="17" max="17" width="15" style="6" customWidth="1"/>
    <col min="18" max="18" width="16.28515625" style="1" customWidth="1"/>
    <col min="19" max="19" width="2.5703125" customWidth="1"/>
    <col min="21" max="21" width="21.5703125" customWidth="1"/>
  </cols>
  <sheetData>
    <row r="1" spans="1:19" ht="15.75">
      <c r="B1" s="78" t="s">
        <v>30</v>
      </c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</row>
    <row r="2" spans="1:19" ht="15.75">
      <c r="B2" s="78" t="s">
        <v>16</v>
      </c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</row>
    <row r="3" spans="1:19">
      <c r="E3" s="8"/>
      <c r="F3" s="9"/>
      <c r="G3" s="9"/>
      <c r="H3" s="9"/>
      <c r="I3" s="9"/>
      <c r="J3" s="9"/>
      <c r="K3" s="9"/>
      <c r="L3" s="9"/>
      <c r="M3" s="21"/>
      <c r="N3" s="8"/>
      <c r="O3" s="9"/>
      <c r="P3" s="9"/>
      <c r="Q3" s="17"/>
    </row>
    <row r="4" spans="1:19">
      <c r="A4" s="7"/>
      <c r="B4" s="85">
        <v>44348</v>
      </c>
      <c r="C4" s="85"/>
      <c r="D4" s="85"/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7"/>
    </row>
    <row r="5" spans="1:19" ht="23.25" customHeight="1">
      <c r="A5" s="63"/>
      <c r="B5" s="80" t="s">
        <v>17</v>
      </c>
      <c r="C5" s="80" t="s">
        <v>18</v>
      </c>
      <c r="D5" s="80" t="s">
        <v>13</v>
      </c>
      <c r="E5" s="87" t="s">
        <v>31</v>
      </c>
      <c r="F5" s="87"/>
      <c r="G5" s="87"/>
      <c r="H5" s="87"/>
      <c r="I5" s="87"/>
      <c r="J5" s="87"/>
      <c r="K5" s="87"/>
      <c r="L5" s="87"/>
      <c r="M5" s="87"/>
      <c r="N5" s="87"/>
      <c r="O5" s="87"/>
      <c r="P5" s="87"/>
      <c r="Q5" s="86" t="s">
        <v>32</v>
      </c>
      <c r="R5" s="86"/>
      <c r="S5" s="53"/>
    </row>
    <row r="6" spans="1:19" s="6" customFormat="1" ht="48" customHeight="1">
      <c r="A6" s="63"/>
      <c r="B6" s="80"/>
      <c r="C6" s="80"/>
      <c r="D6" s="80"/>
      <c r="E6" s="87" t="s">
        <v>33</v>
      </c>
      <c r="F6" s="87"/>
      <c r="G6" s="87"/>
      <c r="H6" s="87" t="s">
        <v>34</v>
      </c>
      <c r="I6" s="87"/>
      <c r="J6" s="87"/>
      <c r="K6" s="87" t="s">
        <v>35</v>
      </c>
      <c r="L6" s="87"/>
      <c r="M6" s="87"/>
      <c r="N6" s="88" t="s">
        <v>36</v>
      </c>
      <c r="O6" s="88"/>
      <c r="P6" s="88"/>
      <c r="Q6" s="86"/>
      <c r="R6" s="86"/>
      <c r="S6" s="53"/>
    </row>
    <row r="7" spans="1:19" ht="36" customHeight="1">
      <c r="A7" s="64"/>
      <c r="B7" s="80"/>
      <c r="C7" s="80"/>
      <c r="D7" s="80"/>
      <c r="E7" s="80" t="s">
        <v>37</v>
      </c>
      <c r="F7" s="89" t="s">
        <v>38</v>
      </c>
      <c r="G7" s="57" t="s">
        <v>39</v>
      </c>
      <c r="H7" s="80" t="s">
        <v>40</v>
      </c>
      <c r="I7" s="80" t="s">
        <v>38</v>
      </c>
      <c r="J7" s="57" t="s">
        <v>39</v>
      </c>
      <c r="K7" s="80" t="s">
        <v>37</v>
      </c>
      <c r="L7" s="80" t="s">
        <v>38</v>
      </c>
      <c r="M7" s="57" t="s">
        <v>41</v>
      </c>
      <c r="N7" s="80" t="s">
        <v>42</v>
      </c>
      <c r="O7" s="80" t="s">
        <v>38</v>
      </c>
      <c r="P7" s="57" t="s">
        <v>41</v>
      </c>
      <c r="Q7" s="86"/>
      <c r="R7" s="86"/>
      <c r="S7" s="54"/>
    </row>
    <row r="8" spans="1:19" ht="15.75" customHeight="1">
      <c r="A8" s="64"/>
      <c r="B8" s="80"/>
      <c r="C8" s="80"/>
      <c r="D8" s="80"/>
      <c r="E8" s="80"/>
      <c r="F8" s="90"/>
      <c r="G8" s="66">
        <v>12560</v>
      </c>
      <c r="H8" s="80"/>
      <c r="I8" s="80"/>
      <c r="J8" s="66">
        <f>G8</f>
        <v>12560</v>
      </c>
      <c r="K8" s="80"/>
      <c r="L8" s="80"/>
      <c r="M8" s="66">
        <f>J8</f>
        <v>12560</v>
      </c>
      <c r="N8" s="80"/>
      <c r="O8" s="80"/>
      <c r="P8" s="66">
        <f>J8</f>
        <v>12560</v>
      </c>
      <c r="Q8" s="67" t="s">
        <v>43</v>
      </c>
      <c r="R8" s="57" t="s">
        <v>23</v>
      </c>
      <c r="S8" s="54"/>
    </row>
    <row r="9" spans="1:19" ht="17.100000000000001" customHeight="1">
      <c r="A9" s="64"/>
      <c r="B9" s="61">
        <v>1</v>
      </c>
      <c r="C9" s="15">
        <f>Electricity!C8</f>
        <v>6</v>
      </c>
      <c r="D9" s="15">
        <f>Electricity!D8</f>
        <v>35</v>
      </c>
      <c r="E9" s="2">
        <v>8</v>
      </c>
      <c r="F9" s="10">
        <v>41.649519999996919</v>
      </c>
      <c r="G9" s="19">
        <f>F9*$G$8</f>
        <v>523117.97119996132</v>
      </c>
      <c r="H9" s="2"/>
      <c r="I9" s="19"/>
      <c r="J9" s="19">
        <f>I9*$J$8</f>
        <v>0</v>
      </c>
      <c r="K9" s="2"/>
      <c r="L9" s="10">
        <v>0</v>
      </c>
      <c r="M9" s="11">
        <f>L9*$M$8</f>
        <v>0</v>
      </c>
      <c r="N9" s="2"/>
      <c r="O9" s="10">
        <v>7.14</v>
      </c>
      <c r="P9" s="10">
        <f>O9*$P$8</f>
        <v>89678.399999999994</v>
      </c>
      <c r="Q9" s="16">
        <f>P9+G9+J9+M9</f>
        <v>612796.37119996129</v>
      </c>
      <c r="R9" s="62">
        <f>Q9/14542</f>
        <v>42.139758712691602</v>
      </c>
      <c r="S9" s="54"/>
    </row>
    <row r="10" spans="1:19" ht="17.100000000000001" customHeight="1">
      <c r="A10" s="64"/>
      <c r="B10" s="61">
        <v>2</v>
      </c>
      <c r="C10" s="15">
        <f>Electricity!C9</f>
        <v>7</v>
      </c>
      <c r="D10" s="15">
        <f>Electricity!D9</f>
        <v>22</v>
      </c>
      <c r="E10" s="2">
        <v>8</v>
      </c>
      <c r="F10" s="10">
        <v>56.55312000000351</v>
      </c>
      <c r="G10" s="19">
        <f>F10*$G$8</f>
        <v>710307.18720004405</v>
      </c>
      <c r="H10" s="2"/>
      <c r="I10" s="19"/>
      <c r="J10" s="19">
        <f>I10*$J$8</f>
        <v>0</v>
      </c>
      <c r="K10" s="2"/>
      <c r="L10" s="10">
        <v>0</v>
      </c>
      <c r="M10" s="11">
        <f t="shared" ref="M10:M38" si="0">L10*$M$8</f>
        <v>0</v>
      </c>
      <c r="N10" s="2"/>
      <c r="O10" s="10">
        <v>7.14</v>
      </c>
      <c r="P10" s="10">
        <f>O10*$P$8</f>
        <v>89678.399999999994</v>
      </c>
      <c r="Q10" s="16">
        <f>J10+M10+G10+P10</f>
        <v>799985.58720004407</v>
      </c>
      <c r="R10" s="62">
        <f t="shared" ref="R10:R38" si="1">Q10/14542</f>
        <v>55.012074487693859</v>
      </c>
      <c r="S10" s="54"/>
    </row>
    <row r="11" spans="1:19" ht="17.100000000000001" customHeight="1">
      <c r="A11" s="64"/>
      <c r="B11" s="61">
        <v>3</v>
      </c>
      <c r="C11" s="15">
        <f>Electricity!C10</f>
        <v>7</v>
      </c>
      <c r="D11" s="15">
        <f>Electricity!D10</f>
        <v>42</v>
      </c>
      <c r="E11" s="2">
        <v>8</v>
      </c>
      <c r="F11" s="10">
        <v>47.610959999998826</v>
      </c>
      <c r="G11" s="19">
        <f t="shared" ref="G11:G38" si="2">F11*$G$8</f>
        <v>597993.65759998525</v>
      </c>
      <c r="H11" s="2"/>
      <c r="I11" s="19"/>
      <c r="J11" s="19">
        <f t="shared" ref="J11:J38" si="3">I11*$J$8</f>
        <v>0</v>
      </c>
      <c r="K11" s="2"/>
      <c r="L11" s="10">
        <v>0</v>
      </c>
      <c r="M11" s="11">
        <f t="shared" si="0"/>
        <v>0</v>
      </c>
      <c r="N11" s="2"/>
      <c r="O11" s="10">
        <v>7.14</v>
      </c>
      <c r="P11" s="10">
        <f t="shared" ref="P11:P38" si="4">O11*$P$8</f>
        <v>89678.399999999994</v>
      </c>
      <c r="Q11" s="16">
        <f t="shared" ref="Q11:Q38" si="5">J11+M11+G11+P11</f>
        <v>687672.05759998527</v>
      </c>
      <c r="R11" s="62">
        <f t="shared" si="1"/>
        <v>47.28868502269188</v>
      </c>
      <c r="S11" s="54"/>
    </row>
    <row r="12" spans="1:19" ht="17.100000000000001" customHeight="1">
      <c r="A12" s="64"/>
      <c r="B12" s="61">
        <v>4</v>
      </c>
      <c r="C12" s="15">
        <f>Electricity!C11</f>
        <v>8</v>
      </c>
      <c r="D12" s="15">
        <f>Electricity!D11</f>
        <v>35</v>
      </c>
      <c r="E12" s="2">
        <v>8</v>
      </c>
      <c r="F12" s="10">
        <v>44.066319999998385</v>
      </c>
      <c r="G12" s="19">
        <f t="shared" si="2"/>
        <v>553472.97919997969</v>
      </c>
      <c r="H12" s="2"/>
      <c r="I12" s="19"/>
      <c r="J12" s="19">
        <f t="shared" si="3"/>
        <v>0</v>
      </c>
      <c r="K12" s="2"/>
      <c r="L12" s="10">
        <v>0</v>
      </c>
      <c r="M12" s="11">
        <f t="shared" si="0"/>
        <v>0</v>
      </c>
      <c r="N12" s="2"/>
      <c r="O12" s="10">
        <v>7.14</v>
      </c>
      <c r="P12" s="10">
        <f t="shared" si="4"/>
        <v>89678.399999999994</v>
      </c>
      <c r="Q12" s="16">
        <f t="shared" si="5"/>
        <v>643151.37919997971</v>
      </c>
      <c r="R12" s="62">
        <f t="shared" si="1"/>
        <v>44.227161270800423</v>
      </c>
      <c r="S12" s="54"/>
    </row>
    <row r="13" spans="1:19" ht="17.100000000000001" customHeight="1">
      <c r="A13" s="64"/>
      <c r="B13" s="61">
        <v>5</v>
      </c>
      <c r="C13" s="15">
        <f>Electricity!C12</f>
        <v>10</v>
      </c>
      <c r="D13" s="15">
        <f>Electricity!D12</f>
        <v>39</v>
      </c>
      <c r="E13" s="2">
        <v>8</v>
      </c>
      <c r="F13" s="10">
        <v>40.763359999999558</v>
      </c>
      <c r="G13" s="19">
        <f t="shared" si="2"/>
        <v>511987.80159999448</v>
      </c>
      <c r="H13" s="2"/>
      <c r="I13" s="19"/>
      <c r="J13" s="19">
        <f t="shared" si="3"/>
        <v>0</v>
      </c>
      <c r="K13" s="2"/>
      <c r="L13" s="10">
        <v>0</v>
      </c>
      <c r="M13" s="11">
        <f t="shared" si="0"/>
        <v>0</v>
      </c>
      <c r="N13" s="2"/>
      <c r="O13" s="10">
        <v>7.14</v>
      </c>
      <c r="P13" s="10">
        <f t="shared" si="4"/>
        <v>89678.399999999994</v>
      </c>
      <c r="Q13" s="16">
        <f t="shared" si="5"/>
        <v>601666.20159999444</v>
      </c>
      <c r="R13" s="62">
        <f t="shared" si="1"/>
        <v>41.374377774721111</v>
      </c>
      <c r="S13" s="54"/>
    </row>
    <row r="14" spans="1:19" ht="17.100000000000001" customHeight="1">
      <c r="A14" s="64"/>
      <c r="B14" s="61">
        <v>6</v>
      </c>
      <c r="C14" s="15">
        <f>Electricity!C13</f>
        <v>9</v>
      </c>
      <c r="D14" s="15">
        <f>Electricity!D13</f>
        <v>49</v>
      </c>
      <c r="E14" s="2">
        <v>8</v>
      </c>
      <c r="F14" s="10">
        <v>48.497119999999846</v>
      </c>
      <c r="G14" s="19">
        <f t="shared" si="2"/>
        <v>609123.82719999808</v>
      </c>
      <c r="H14" s="2"/>
      <c r="I14" s="19"/>
      <c r="J14" s="19">
        <f t="shared" si="3"/>
        <v>0</v>
      </c>
      <c r="K14" s="2"/>
      <c r="L14" s="10">
        <v>0</v>
      </c>
      <c r="M14" s="11">
        <f t="shared" si="0"/>
        <v>0</v>
      </c>
      <c r="N14" s="2"/>
      <c r="O14" s="10">
        <v>7.14</v>
      </c>
      <c r="P14" s="10">
        <f t="shared" si="4"/>
        <v>89678.399999999994</v>
      </c>
      <c r="Q14" s="16">
        <f t="shared" si="5"/>
        <v>698802.2271999981</v>
      </c>
      <c r="R14" s="62">
        <f t="shared" si="1"/>
        <v>48.054065960665525</v>
      </c>
      <c r="S14" s="54"/>
    </row>
    <row r="15" spans="1:19" ht="17.100000000000001" customHeight="1">
      <c r="A15" s="64"/>
      <c r="B15" s="61">
        <v>7</v>
      </c>
      <c r="C15" s="15">
        <f>Electricity!C14</f>
        <v>6</v>
      </c>
      <c r="D15" s="15">
        <f>Electricity!D14</f>
        <v>33</v>
      </c>
      <c r="E15" s="2">
        <v>8</v>
      </c>
      <c r="F15" s="10">
        <v>47.127600000002928</v>
      </c>
      <c r="G15" s="19">
        <f t="shared" si="2"/>
        <v>591922.65600003675</v>
      </c>
      <c r="H15" s="2"/>
      <c r="I15" s="19"/>
      <c r="J15" s="19">
        <f t="shared" si="3"/>
        <v>0</v>
      </c>
      <c r="K15" s="2"/>
      <c r="L15" s="10">
        <v>0</v>
      </c>
      <c r="M15" s="11">
        <f t="shared" si="0"/>
        <v>0</v>
      </c>
      <c r="N15" s="2"/>
      <c r="O15" s="10">
        <v>7.14</v>
      </c>
      <c r="P15" s="10">
        <f t="shared" si="4"/>
        <v>89678.399999999994</v>
      </c>
      <c r="Q15" s="16">
        <f t="shared" si="5"/>
        <v>681601.05600003677</v>
      </c>
      <c r="R15" s="62">
        <f t="shared" si="1"/>
        <v>46.871204511073906</v>
      </c>
      <c r="S15" s="54"/>
    </row>
    <row r="16" spans="1:19" ht="17.100000000000001" customHeight="1">
      <c r="A16" s="64"/>
      <c r="B16" s="61">
        <v>8</v>
      </c>
      <c r="C16" s="15">
        <f>Electricity!C15</f>
        <v>9</v>
      </c>
      <c r="D16" s="15">
        <f>Electricity!D15</f>
        <v>32</v>
      </c>
      <c r="E16" s="2">
        <v>8</v>
      </c>
      <c r="F16" s="10">
        <v>49.302719999999113</v>
      </c>
      <c r="G16" s="19">
        <f t="shared" si="2"/>
        <v>619242.16319998889</v>
      </c>
      <c r="H16" s="2"/>
      <c r="I16" s="19"/>
      <c r="J16" s="19">
        <f t="shared" si="3"/>
        <v>0</v>
      </c>
      <c r="K16" s="2"/>
      <c r="L16" s="10">
        <v>0</v>
      </c>
      <c r="M16" s="11">
        <f t="shared" si="0"/>
        <v>0</v>
      </c>
      <c r="N16" s="2"/>
      <c r="O16" s="10">
        <v>7.14</v>
      </c>
      <c r="P16" s="10">
        <f t="shared" si="4"/>
        <v>89678.399999999994</v>
      </c>
      <c r="Q16" s="16">
        <f t="shared" si="5"/>
        <v>708920.56319998892</v>
      </c>
      <c r="R16" s="62">
        <f t="shared" si="1"/>
        <v>48.749866813367412</v>
      </c>
      <c r="S16" s="54"/>
    </row>
    <row r="17" spans="1:19" ht="17.100000000000001" customHeight="1">
      <c r="A17" s="64"/>
      <c r="B17" s="61">
        <v>9</v>
      </c>
      <c r="C17" s="15">
        <f>Electricity!C16</f>
        <v>7</v>
      </c>
      <c r="D17" s="15">
        <f>Electricity!D16</f>
        <v>41</v>
      </c>
      <c r="E17" s="2">
        <v>8</v>
      </c>
      <c r="F17" s="10">
        <v>41.931479999999411</v>
      </c>
      <c r="G17" s="19">
        <f t="shared" si="2"/>
        <v>526659.38879999262</v>
      </c>
      <c r="H17" s="2"/>
      <c r="I17" s="19"/>
      <c r="J17" s="19">
        <f t="shared" si="3"/>
        <v>0</v>
      </c>
      <c r="K17" s="2"/>
      <c r="L17" s="10">
        <v>0</v>
      </c>
      <c r="M17" s="11">
        <f t="shared" si="0"/>
        <v>0</v>
      </c>
      <c r="N17" s="2"/>
      <c r="O17" s="10">
        <v>7.14</v>
      </c>
      <c r="P17" s="10">
        <f t="shared" si="4"/>
        <v>89678.399999999994</v>
      </c>
      <c r="Q17" s="16">
        <f t="shared" si="5"/>
        <v>616337.78879999265</v>
      </c>
      <c r="R17" s="62">
        <f t="shared" si="1"/>
        <v>42.383289011139638</v>
      </c>
      <c r="S17" s="54"/>
    </row>
    <row r="18" spans="1:19" ht="17.100000000000001" customHeight="1">
      <c r="A18" s="64"/>
      <c r="B18" s="61">
        <v>10</v>
      </c>
      <c r="C18" s="15">
        <f>Electricity!C17</f>
        <v>9</v>
      </c>
      <c r="D18" s="15">
        <f>Electricity!D17</f>
        <v>43</v>
      </c>
      <c r="E18" s="2">
        <v>8</v>
      </c>
      <c r="F18" s="10">
        <v>56.069760000000286</v>
      </c>
      <c r="G18" s="19">
        <f t="shared" si="2"/>
        <v>704236.18560000358</v>
      </c>
      <c r="H18" s="2"/>
      <c r="I18" s="19"/>
      <c r="J18" s="19">
        <f t="shared" si="3"/>
        <v>0</v>
      </c>
      <c r="K18" s="2"/>
      <c r="L18" s="10">
        <v>0</v>
      </c>
      <c r="M18" s="11">
        <f t="shared" si="0"/>
        <v>0</v>
      </c>
      <c r="N18" s="2"/>
      <c r="O18" s="10">
        <v>7.14</v>
      </c>
      <c r="P18" s="10">
        <f t="shared" si="4"/>
        <v>89678.399999999994</v>
      </c>
      <c r="Q18" s="16">
        <f t="shared" si="5"/>
        <v>793914.5856000036</v>
      </c>
      <c r="R18" s="62">
        <f t="shared" si="1"/>
        <v>54.594593976069561</v>
      </c>
      <c r="S18" s="54"/>
    </row>
    <row r="19" spans="1:19" ht="17.100000000000001" customHeight="1">
      <c r="A19" s="64"/>
      <c r="B19" s="61">
        <v>11</v>
      </c>
      <c r="C19" s="15">
        <f>Electricity!C18</f>
        <v>17</v>
      </c>
      <c r="D19" s="15">
        <f>Electricity!D18</f>
        <v>40</v>
      </c>
      <c r="E19" s="2">
        <v>8</v>
      </c>
      <c r="F19" s="10">
        <v>43.019040000001169</v>
      </c>
      <c r="G19" s="19">
        <f t="shared" si="2"/>
        <v>540319.14240001468</v>
      </c>
      <c r="H19" s="2"/>
      <c r="I19" s="19"/>
      <c r="J19" s="19">
        <f t="shared" si="3"/>
        <v>0</v>
      </c>
      <c r="K19" s="2"/>
      <c r="L19" s="10">
        <v>0</v>
      </c>
      <c r="M19" s="11">
        <f t="shared" si="0"/>
        <v>0</v>
      </c>
      <c r="N19" s="2"/>
      <c r="O19" s="10">
        <v>7.14</v>
      </c>
      <c r="P19" s="10">
        <f t="shared" si="4"/>
        <v>89678.399999999994</v>
      </c>
      <c r="Q19" s="16">
        <f t="shared" si="5"/>
        <v>629997.5424000147</v>
      </c>
      <c r="R19" s="62">
        <f t="shared" si="1"/>
        <v>43.322620162289553</v>
      </c>
      <c r="S19" s="54"/>
    </row>
    <row r="20" spans="1:19" ht="17.100000000000001" customHeight="1">
      <c r="A20" s="64"/>
      <c r="B20" s="61">
        <v>12</v>
      </c>
      <c r="C20" s="15">
        <f>Electricity!C19</f>
        <v>13</v>
      </c>
      <c r="D20" s="15">
        <f>Electricity!D19</f>
        <v>61</v>
      </c>
      <c r="E20" s="2">
        <v>8</v>
      </c>
      <c r="F20" s="10">
        <v>50.18888000000014</v>
      </c>
      <c r="G20" s="19">
        <f t="shared" si="2"/>
        <v>630372.33280000172</v>
      </c>
      <c r="H20" s="2"/>
      <c r="I20" s="19"/>
      <c r="J20" s="19">
        <f t="shared" si="3"/>
        <v>0</v>
      </c>
      <c r="K20" s="2"/>
      <c r="L20" s="10">
        <v>0</v>
      </c>
      <c r="M20" s="11">
        <f t="shared" si="0"/>
        <v>0</v>
      </c>
      <c r="N20" s="2"/>
      <c r="O20" s="10">
        <v>7.14</v>
      </c>
      <c r="P20" s="10">
        <f t="shared" si="4"/>
        <v>89678.399999999994</v>
      </c>
      <c r="Q20" s="16">
        <f t="shared" si="5"/>
        <v>720050.73280000174</v>
      </c>
      <c r="R20" s="62">
        <f t="shared" si="1"/>
        <v>49.515247751341064</v>
      </c>
      <c r="S20" s="54"/>
    </row>
    <row r="21" spans="1:19" ht="17.100000000000001" customHeight="1">
      <c r="A21" s="64"/>
      <c r="B21" s="61">
        <v>13</v>
      </c>
      <c r="C21" s="15">
        <f>Electricity!C20</f>
        <v>8</v>
      </c>
      <c r="D21" s="15">
        <f>Electricity!D20</f>
        <v>53</v>
      </c>
      <c r="E21" s="2">
        <v>8</v>
      </c>
      <c r="F21" s="10">
        <v>46.08031999999838</v>
      </c>
      <c r="G21" s="19">
        <f t="shared" si="2"/>
        <v>578768.81919997965</v>
      </c>
      <c r="H21" s="2"/>
      <c r="I21" s="19"/>
      <c r="J21" s="19">
        <f t="shared" si="3"/>
        <v>0</v>
      </c>
      <c r="K21" s="2"/>
      <c r="L21" s="10">
        <v>0</v>
      </c>
      <c r="M21" s="11">
        <f t="shared" si="0"/>
        <v>0</v>
      </c>
      <c r="N21" s="2"/>
      <c r="O21" s="10">
        <v>7.14</v>
      </c>
      <c r="P21" s="10">
        <f t="shared" si="4"/>
        <v>89678.399999999994</v>
      </c>
      <c r="Q21" s="16">
        <f t="shared" si="5"/>
        <v>668447.21919997968</v>
      </c>
      <c r="R21" s="62">
        <f t="shared" si="1"/>
        <v>45.966663402556712</v>
      </c>
      <c r="S21" s="54"/>
    </row>
    <row r="22" spans="1:19" ht="17.100000000000001" customHeight="1">
      <c r="A22" s="64"/>
      <c r="B22" s="61">
        <v>14</v>
      </c>
      <c r="C22" s="15">
        <f>Electricity!C21</f>
        <v>4</v>
      </c>
      <c r="D22" s="15">
        <f>Electricity!D21</f>
        <v>28</v>
      </c>
      <c r="E22" s="2">
        <v>8</v>
      </c>
      <c r="F22" s="10">
        <v>50.349999999999994</v>
      </c>
      <c r="G22" s="19">
        <f t="shared" si="2"/>
        <v>632395.99999999988</v>
      </c>
      <c r="H22" s="2"/>
      <c r="I22" s="19"/>
      <c r="J22" s="19">
        <f t="shared" si="3"/>
        <v>0</v>
      </c>
      <c r="K22" s="2"/>
      <c r="L22" s="10">
        <v>0</v>
      </c>
      <c r="M22" s="11">
        <f t="shared" si="0"/>
        <v>0</v>
      </c>
      <c r="N22" s="2"/>
      <c r="O22" s="10">
        <v>7.14</v>
      </c>
      <c r="P22" s="10">
        <f t="shared" si="4"/>
        <v>89678.399999999994</v>
      </c>
      <c r="Q22" s="16">
        <f t="shared" si="5"/>
        <v>722074.39999999991</v>
      </c>
      <c r="R22" s="62">
        <f t="shared" si="1"/>
        <v>49.654407921881443</v>
      </c>
      <c r="S22" s="54"/>
    </row>
    <row r="23" spans="1:19" ht="17.100000000000001" customHeight="1">
      <c r="A23" s="64"/>
      <c r="B23" s="61">
        <v>15</v>
      </c>
      <c r="C23" s="15">
        <f>Electricity!C22</f>
        <v>5</v>
      </c>
      <c r="D23" s="15">
        <f>Electricity!D22</f>
        <v>36</v>
      </c>
      <c r="E23" s="2">
        <v>8</v>
      </c>
      <c r="F23" s="10">
        <v>47.490119999999848</v>
      </c>
      <c r="G23" s="19">
        <f t="shared" si="2"/>
        <v>596475.90719999804</v>
      </c>
      <c r="H23" s="2"/>
      <c r="I23" s="19"/>
      <c r="J23" s="19">
        <f t="shared" si="3"/>
        <v>0</v>
      </c>
      <c r="K23" s="2"/>
      <c r="L23" s="10">
        <v>0</v>
      </c>
      <c r="M23" s="11">
        <f t="shared" si="0"/>
        <v>0</v>
      </c>
      <c r="N23" s="2"/>
      <c r="O23" s="10">
        <v>7.14</v>
      </c>
      <c r="P23" s="10">
        <f t="shared" si="4"/>
        <v>89678.399999999994</v>
      </c>
      <c r="Q23" s="16">
        <f t="shared" si="5"/>
        <v>686154.30719999806</v>
      </c>
      <c r="R23" s="62">
        <f t="shared" si="1"/>
        <v>47.184314894787377</v>
      </c>
      <c r="S23" s="54"/>
    </row>
    <row r="24" spans="1:19" ht="17.100000000000001" customHeight="1">
      <c r="A24" s="64"/>
      <c r="B24" s="61">
        <v>16</v>
      </c>
      <c r="C24" s="15">
        <f>Electricity!C23</f>
        <v>9</v>
      </c>
      <c r="D24" s="15">
        <f>Electricity!D23</f>
        <v>36</v>
      </c>
      <c r="E24" s="2">
        <v>8</v>
      </c>
      <c r="F24" s="10">
        <v>43.341280000000872</v>
      </c>
      <c r="G24" s="19">
        <f t="shared" si="2"/>
        <v>544366.47680001089</v>
      </c>
      <c r="H24" s="2"/>
      <c r="I24" s="19"/>
      <c r="J24" s="19">
        <f t="shared" si="3"/>
        <v>0</v>
      </c>
      <c r="K24" s="2"/>
      <c r="L24" s="10">
        <v>0</v>
      </c>
      <c r="M24" s="11">
        <f t="shared" si="0"/>
        <v>0</v>
      </c>
      <c r="N24" s="2"/>
      <c r="O24" s="10">
        <v>7.14</v>
      </c>
      <c r="P24" s="10">
        <f t="shared" si="4"/>
        <v>89678.399999999994</v>
      </c>
      <c r="Q24" s="16">
        <f t="shared" si="5"/>
        <v>634044.87680001091</v>
      </c>
      <c r="R24" s="62">
        <f t="shared" si="1"/>
        <v>43.600940503370303</v>
      </c>
      <c r="S24" s="54"/>
    </row>
    <row r="25" spans="1:19" ht="17.100000000000001" customHeight="1">
      <c r="A25" s="64"/>
      <c r="B25" s="61">
        <v>17</v>
      </c>
      <c r="C25" s="15">
        <f>Electricity!C24</f>
        <v>8</v>
      </c>
      <c r="D25" s="15">
        <f>Electricity!D24</f>
        <v>69</v>
      </c>
      <c r="E25" s="2">
        <v>8</v>
      </c>
      <c r="F25" s="10">
        <v>49.463839999998967</v>
      </c>
      <c r="G25" s="19">
        <f t="shared" si="2"/>
        <v>621265.83039998705</v>
      </c>
      <c r="H25" s="2"/>
      <c r="I25" s="19"/>
      <c r="J25" s="19">
        <f t="shared" si="3"/>
        <v>0</v>
      </c>
      <c r="K25" s="2"/>
      <c r="L25" s="10">
        <v>0</v>
      </c>
      <c r="M25" s="11">
        <f t="shared" si="0"/>
        <v>0</v>
      </c>
      <c r="N25" s="2"/>
      <c r="O25" s="10">
        <v>7.14</v>
      </c>
      <c r="P25" s="10">
        <f t="shared" si="4"/>
        <v>89678.399999999994</v>
      </c>
      <c r="Q25" s="16">
        <f t="shared" si="5"/>
        <v>710944.23039998708</v>
      </c>
      <c r="R25" s="62">
        <f t="shared" si="1"/>
        <v>48.88902698390779</v>
      </c>
      <c r="S25" s="54"/>
    </row>
    <row r="26" spans="1:19" ht="17.100000000000001" customHeight="1">
      <c r="A26" s="64"/>
      <c r="B26" s="61">
        <v>18</v>
      </c>
      <c r="C26" s="15">
        <f>Electricity!C25</f>
        <v>10</v>
      </c>
      <c r="D26" s="15">
        <f>Electricity!D25</f>
        <v>65</v>
      </c>
      <c r="E26" s="2">
        <v>8</v>
      </c>
      <c r="F26" s="10">
        <v>53.008479999999409</v>
      </c>
      <c r="G26" s="19">
        <f t="shared" si="2"/>
        <v>665786.50879999262</v>
      </c>
      <c r="H26" s="2"/>
      <c r="I26" s="19"/>
      <c r="J26" s="19">
        <f t="shared" si="3"/>
        <v>0</v>
      </c>
      <c r="K26" s="2"/>
      <c r="L26" s="10">
        <v>0</v>
      </c>
      <c r="M26" s="11">
        <f t="shared" si="0"/>
        <v>0</v>
      </c>
      <c r="N26" s="2"/>
      <c r="O26" s="10">
        <v>7.14</v>
      </c>
      <c r="P26" s="10">
        <f t="shared" si="4"/>
        <v>89678.399999999994</v>
      </c>
      <c r="Q26" s="16">
        <f t="shared" si="5"/>
        <v>755464.90879999264</v>
      </c>
      <c r="R26" s="62">
        <f t="shared" si="1"/>
        <v>51.950550735799247</v>
      </c>
      <c r="S26" s="54"/>
    </row>
    <row r="27" spans="1:19" ht="17.100000000000001" customHeight="1">
      <c r="A27" s="64"/>
      <c r="B27" s="61">
        <v>19</v>
      </c>
      <c r="C27" s="15">
        <f>Electricity!C26</f>
        <v>12</v>
      </c>
      <c r="D27" s="15">
        <f>Electricity!D26</f>
        <v>85</v>
      </c>
      <c r="E27" s="2">
        <v>8</v>
      </c>
      <c r="F27" s="10">
        <v>52.807080000002337</v>
      </c>
      <c r="G27" s="19">
        <f t="shared" si="2"/>
        <v>663256.92480002937</v>
      </c>
      <c r="H27" s="2"/>
      <c r="I27" s="19"/>
      <c r="J27" s="19">
        <f t="shared" si="3"/>
        <v>0</v>
      </c>
      <c r="K27" s="2"/>
      <c r="L27" s="10">
        <v>0</v>
      </c>
      <c r="M27" s="11">
        <f t="shared" si="0"/>
        <v>0</v>
      </c>
      <c r="N27" s="2"/>
      <c r="O27" s="10">
        <v>7.14</v>
      </c>
      <c r="P27" s="10">
        <f t="shared" si="4"/>
        <v>89678.399999999994</v>
      </c>
      <c r="Q27" s="16">
        <f t="shared" si="5"/>
        <v>752935.3248000294</v>
      </c>
      <c r="R27" s="62">
        <f t="shared" si="1"/>
        <v>51.776600522626147</v>
      </c>
      <c r="S27" s="54"/>
    </row>
    <row r="28" spans="1:19" ht="17.100000000000001" customHeight="1">
      <c r="A28" s="64"/>
      <c r="B28" s="61">
        <v>20</v>
      </c>
      <c r="C28" s="15">
        <f>Electricity!C27</f>
        <v>7</v>
      </c>
      <c r="D28" s="15">
        <f>Electricity!D27</f>
        <v>81</v>
      </c>
      <c r="E28" s="2">
        <v>8</v>
      </c>
      <c r="F28" s="10">
        <v>46.926199999998531</v>
      </c>
      <c r="G28" s="19">
        <f t="shared" si="2"/>
        <v>589393.07199998153</v>
      </c>
      <c r="H28" s="2"/>
      <c r="I28" s="19"/>
      <c r="J28" s="19">
        <f t="shared" si="3"/>
        <v>0</v>
      </c>
      <c r="K28" s="2"/>
      <c r="L28" s="10">
        <v>0</v>
      </c>
      <c r="M28" s="11">
        <f t="shared" si="0"/>
        <v>0</v>
      </c>
      <c r="N28" s="2"/>
      <c r="O28" s="10">
        <v>7.14</v>
      </c>
      <c r="P28" s="10">
        <f t="shared" si="4"/>
        <v>89678.399999999994</v>
      </c>
      <c r="Q28" s="16">
        <f t="shared" si="5"/>
        <v>679071.47199998156</v>
      </c>
      <c r="R28" s="62">
        <f t="shared" si="1"/>
        <v>46.697254297894482</v>
      </c>
      <c r="S28" s="54"/>
    </row>
    <row r="29" spans="1:19" ht="17.100000000000001" customHeight="1">
      <c r="A29" s="64"/>
      <c r="B29" s="61">
        <v>21</v>
      </c>
      <c r="C29" s="15">
        <f>Electricity!C28</f>
        <v>7</v>
      </c>
      <c r="D29" s="15">
        <f>Electricity!D28</f>
        <v>52</v>
      </c>
      <c r="E29" s="2">
        <v>8</v>
      </c>
      <c r="F29" s="10">
        <v>53.693239999999705</v>
      </c>
      <c r="G29" s="19">
        <f t="shared" si="2"/>
        <v>674387.09439999633</v>
      </c>
      <c r="H29" s="2"/>
      <c r="I29" s="19"/>
      <c r="J29" s="19">
        <f t="shared" si="3"/>
        <v>0</v>
      </c>
      <c r="K29" s="2"/>
      <c r="L29" s="10">
        <v>0</v>
      </c>
      <c r="M29" s="11">
        <f t="shared" si="0"/>
        <v>0</v>
      </c>
      <c r="N29" s="2"/>
      <c r="O29" s="10">
        <v>7.14</v>
      </c>
      <c r="P29" s="10">
        <f t="shared" si="4"/>
        <v>89678.399999999994</v>
      </c>
      <c r="Q29" s="16">
        <f t="shared" si="5"/>
        <v>764065.49439999636</v>
      </c>
      <c r="R29" s="62">
        <f t="shared" si="1"/>
        <v>52.541981460596638</v>
      </c>
      <c r="S29" s="54"/>
    </row>
    <row r="30" spans="1:19" ht="17.100000000000001" customHeight="1">
      <c r="A30" s="64"/>
      <c r="B30" s="61">
        <v>22</v>
      </c>
      <c r="C30" s="15">
        <f>Electricity!C29</f>
        <v>14</v>
      </c>
      <c r="D30" s="15">
        <f>Electricity!D29</f>
        <v>55</v>
      </c>
      <c r="E30" s="2">
        <v>8</v>
      </c>
      <c r="F30" s="10">
        <v>46.04004000000117</v>
      </c>
      <c r="G30" s="19">
        <f t="shared" si="2"/>
        <v>578262.90240001469</v>
      </c>
      <c r="H30" s="2"/>
      <c r="I30" s="19"/>
      <c r="J30" s="19">
        <f t="shared" si="3"/>
        <v>0</v>
      </c>
      <c r="K30" s="2"/>
      <c r="L30" s="10">
        <v>0</v>
      </c>
      <c r="M30" s="11">
        <f t="shared" si="0"/>
        <v>0</v>
      </c>
      <c r="N30" s="2"/>
      <c r="O30" s="10">
        <v>7.14</v>
      </c>
      <c r="P30" s="10">
        <f t="shared" si="4"/>
        <v>89678.399999999994</v>
      </c>
      <c r="Q30" s="16">
        <f t="shared" si="5"/>
        <v>667941.30240001471</v>
      </c>
      <c r="R30" s="62">
        <f t="shared" si="1"/>
        <v>45.931873359923991</v>
      </c>
      <c r="S30" s="54"/>
    </row>
    <row r="31" spans="1:19" ht="17.100000000000001" customHeight="1">
      <c r="A31" s="64"/>
      <c r="B31" s="61">
        <v>23</v>
      </c>
      <c r="C31" s="15">
        <f>Electricity!C30</f>
        <v>10</v>
      </c>
      <c r="D31" s="15">
        <f>Electricity!D30</f>
        <v>61</v>
      </c>
      <c r="E31" s="2">
        <v>8</v>
      </c>
      <c r="F31" s="10">
        <v>55.26416000000102</v>
      </c>
      <c r="G31" s="19">
        <f t="shared" si="2"/>
        <v>694117.84960001276</v>
      </c>
      <c r="H31" s="2"/>
      <c r="I31" s="19"/>
      <c r="J31" s="19">
        <f t="shared" si="3"/>
        <v>0</v>
      </c>
      <c r="K31" s="2"/>
      <c r="L31" s="10">
        <v>0</v>
      </c>
      <c r="M31" s="11">
        <f t="shared" si="0"/>
        <v>0</v>
      </c>
      <c r="N31" s="2"/>
      <c r="O31" s="10">
        <v>7.14</v>
      </c>
      <c r="P31" s="10">
        <f t="shared" si="4"/>
        <v>89678.399999999994</v>
      </c>
      <c r="Q31" s="16">
        <f t="shared" si="5"/>
        <v>783796.24960001279</v>
      </c>
      <c r="R31" s="62">
        <f t="shared" si="1"/>
        <v>53.898793123367682</v>
      </c>
      <c r="S31" s="54"/>
    </row>
    <row r="32" spans="1:19" ht="17.100000000000001" customHeight="1">
      <c r="A32" s="64"/>
      <c r="B32" s="61">
        <v>24</v>
      </c>
      <c r="C32" s="15">
        <f>Electricity!C31</f>
        <v>11</v>
      </c>
      <c r="D32" s="15">
        <f>Electricity!D31</f>
        <v>56</v>
      </c>
      <c r="E32" s="2">
        <v>8</v>
      </c>
      <c r="F32" s="10">
        <v>44.67051999999692</v>
      </c>
      <c r="G32" s="19">
        <f t="shared" si="2"/>
        <v>561061.73119996127</v>
      </c>
      <c r="H32" s="2"/>
      <c r="I32" s="19"/>
      <c r="J32" s="19">
        <f t="shared" si="3"/>
        <v>0</v>
      </c>
      <c r="K32" s="2"/>
      <c r="L32" s="10">
        <v>0</v>
      </c>
      <c r="M32" s="11">
        <f t="shared" si="0"/>
        <v>0</v>
      </c>
      <c r="N32" s="2"/>
      <c r="O32" s="10">
        <v>7.14</v>
      </c>
      <c r="P32" s="10">
        <f t="shared" si="4"/>
        <v>89678.399999999994</v>
      </c>
      <c r="Q32" s="16">
        <f t="shared" si="5"/>
        <v>650740.1311999613</v>
      </c>
      <c r="R32" s="62">
        <f t="shared" si="1"/>
        <v>44.74901191032604</v>
      </c>
      <c r="S32" s="54"/>
    </row>
    <row r="33" spans="1:21" ht="17.100000000000001" customHeight="1">
      <c r="A33" s="64"/>
      <c r="B33" s="61">
        <v>25</v>
      </c>
      <c r="C33" s="15">
        <f>Electricity!C32</f>
        <v>14</v>
      </c>
      <c r="D33" s="15">
        <f>Electricity!D32</f>
        <v>75</v>
      </c>
      <c r="E33" s="2">
        <v>8</v>
      </c>
      <c r="F33" s="10">
        <v>53.652960000002487</v>
      </c>
      <c r="G33" s="19">
        <f t="shared" si="2"/>
        <v>673881.17760003125</v>
      </c>
      <c r="H33" s="2"/>
      <c r="I33" s="19"/>
      <c r="J33" s="19">
        <f t="shared" si="3"/>
        <v>0</v>
      </c>
      <c r="K33" s="2"/>
      <c r="L33" s="10">
        <v>0</v>
      </c>
      <c r="M33" s="11">
        <f t="shared" si="0"/>
        <v>0</v>
      </c>
      <c r="N33" s="2"/>
      <c r="O33" s="10">
        <v>7.14</v>
      </c>
      <c r="P33" s="10">
        <f t="shared" si="4"/>
        <v>89678.399999999994</v>
      </c>
      <c r="Q33" s="16">
        <f t="shared" si="5"/>
        <v>763559.57760003128</v>
      </c>
      <c r="R33" s="62">
        <f t="shared" si="1"/>
        <v>52.507191417963917</v>
      </c>
      <c r="S33" s="54"/>
    </row>
    <row r="34" spans="1:21" ht="17.100000000000001" customHeight="1">
      <c r="A34" s="64"/>
      <c r="B34" s="61">
        <v>26</v>
      </c>
      <c r="C34" s="15">
        <f>Electricity!C33</f>
        <v>20</v>
      </c>
      <c r="D34" s="15">
        <f>Electricity!D33</f>
        <v>75</v>
      </c>
      <c r="E34" s="2">
        <v>8</v>
      </c>
      <c r="F34" s="10">
        <v>49.544399999997061</v>
      </c>
      <c r="G34" s="19">
        <f t="shared" si="2"/>
        <v>622277.66399996309</v>
      </c>
      <c r="H34" s="2"/>
      <c r="I34" s="19"/>
      <c r="J34" s="19">
        <f t="shared" si="3"/>
        <v>0</v>
      </c>
      <c r="K34" s="2"/>
      <c r="L34" s="10">
        <v>0</v>
      </c>
      <c r="M34" s="11">
        <f t="shared" si="0"/>
        <v>0</v>
      </c>
      <c r="N34" s="2"/>
      <c r="O34" s="10">
        <v>7.14</v>
      </c>
      <c r="P34" s="10">
        <f t="shared" si="4"/>
        <v>89678.399999999994</v>
      </c>
      <c r="Q34" s="16">
        <f t="shared" si="5"/>
        <v>711956.06399996311</v>
      </c>
      <c r="R34" s="62">
        <f t="shared" si="1"/>
        <v>48.958607069176395</v>
      </c>
      <c r="S34" s="54"/>
    </row>
    <row r="35" spans="1:21" ht="17.100000000000001" customHeight="1">
      <c r="A35" s="64"/>
      <c r="B35" s="61">
        <v>27</v>
      </c>
      <c r="C35" s="15">
        <f>Electricity!C34</f>
        <v>16</v>
      </c>
      <c r="D35" s="15">
        <f>Electricity!D34</f>
        <v>111</v>
      </c>
      <c r="E35" s="2">
        <v>8</v>
      </c>
      <c r="F35" s="10">
        <v>49.584680000001605</v>
      </c>
      <c r="G35" s="19">
        <f t="shared" si="2"/>
        <v>622783.58080002014</v>
      </c>
      <c r="H35" s="2"/>
      <c r="I35" s="19"/>
      <c r="J35" s="19">
        <f t="shared" si="3"/>
        <v>0</v>
      </c>
      <c r="K35" s="2"/>
      <c r="L35" s="10">
        <v>0</v>
      </c>
      <c r="M35" s="11">
        <f t="shared" si="0"/>
        <v>0</v>
      </c>
      <c r="N35" s="2"/>
      <c r="O35" s="10">
        <v>7.14</v>
      </c>
      <c r="P35" s="10">
        <f t="shared" si="4"/>
        <v>89678.399999999994</v>
      </c>
      <c r="Q35" s="16">
        <f t="shared" si="5"/>
        <v>712461.98080002016</v>
      </c>
      <c r="R35" s="62">
        <f t="shared" si="1"/>
        <v>48.99339711181544</v>
      </c>
      <c r="S35" s="54"/>
    </row>
    <row r="36" spans="1:21" ht="17.100000000000001" customHeight="1">
      <c r="A36" s="64"/>
      <c r="B36" s="61">
        <v>28</v>
      </c>
      <c r="C36" s="15">
        <f>Electricity!C35</f>
        <v>15</v>
      </c>
      <c r="D36" s="15">
        <f>Electricity!D35</f>
        <v>84</v>
      </c>
      <c r="E36" s="2">
        <v>8</v>
      </c>
      <c r="F36" s="10">
        <v>41.367560000001752</v>
      </c>
      <c r="G36" s="19">
        <f t="shared" si="2"/>
        <v>519576.55360002199</v>
      </c>
      <c r="H36" s="2"/>
      <c r="I36" s="19"/>
      <c r="J36" s="19">
        <f t="shared" si="3"/>
        <v>0</v>
      </c>
      <c r="K36" s="2"/>
      <c r="L36" s="10">
        <v>0</v>
      </c>
      <c r="M36" s="11">
        <f t="shared" si="0"/>
        <v>0</v>
      </c>
      <c r="N36" s="2"/>
      <c r="O36" s="10">
        <v>7.14</v>
      </c>
      <c r="P36" s="10">
        <f t="shared" si="4"/>
        <v>89678.399999999994</v>
      </c>
      <c r="Q36" s="16">
        <f t="shared" si="5"/>
        <v>609254.95360002201</v>
      </c>
      <c r="R36" s="62">
        <f t="shared" si="1"/>
        <v>41.896228414249897</v>
      </c>
      <c r="S36" s="54"/>
    </row>
    <row r="37" spans="1:21" ht="17.100000000000001" customHeight="1">
      <c r="A37" s="64"/>
      <c r="B37" s="61">
        <v>29</v>
      </c>
      <c r="C37" s="15">
        <f>Electricity!C36</f>
        <v>20</v>
      </c>
      <c r="D37" s="15">
        <f>Electricity!D36</f>
        <v>88</v>
      </c>
      <c r="E37" s="2">
        <v>8</v>
      </c>
      <c r="F37" s="10">
        <v>47.24843999999824</v>
      </c>
      <c r="G37" s="19">
        <f t="shared" si="2"/>
        <v>593440.40639997786</v>
      </c>
      <c r="H37" s="2"/>
      <c r="I37" s="19"/>
      <c r="J37" s="19">
        <f t="shared" si="3"/>
        <v>0</v>
      </c>
      <c r="K37" s="2"/>
      <c r="L37" s="10">
        <v>0</v>
      </c>
      <c r="M37" s="11">
        <f t="shared" si="0"/>
        <v>0</v>
      </c>
      <c r="N37" s="2"/>
      <c r="O37" s="10">
        <v>7.14</v>
      </c>
      <c r="P37" s="10">
        <f t="shared" si="4"/>
        <v>89678.399999999994</v>
      </c>
      <c r="Q37" s="16">
        <f t="shared" si="5"/>
        <v>683118.80639997788</v>
      </c>
      <c r="R37" s="62">
        <f t="shared" si="1"/>
        <v>46.975574638975239</v>
      </c>
      <c r="S37" s="54"/>
    </row>
    <row r="38" spans="1:21" ht="17.100000000000001" customHeight="1">
      <c r="A38" s="64"/>
      <c r="B38" s="61">
        <v>30</v>
      </c>
      <c r="C38" s="15">
        <f>Electricity!C37</f>
        <v>17</v>
      </c>
      <c r="D38" s="15">
        <f>Electricity!D37</f>
        <v>96</v>
      </c>
      <c r="E38" s="2">
        <v>8</v>
      </c>
      <c r="F38" s="10">
        <v>63.19931999999838</v>
      </c>
      <c r="G38" s="19">
        <f t="shared" si="2"/>
        <v>793783.45919997967</v>
      </c>
      <c r="H38" s="2"/>
      <c r="I38" s="19"/>
      <c r="J38" s="19">
        <f t="shared" si="3"/>
        <v>0</v>
      </c>
      <c r="K38" s="2"/>
      <c r="L38" s="10">
        <v>0</v>
      </c>
      <c r="M38" s="11">
        <f t="shared" si="0"/>
        <v>0</v>
      </c>
      <c r="N38" s="2"/>
      <c r="O38" s="10">
        <v>7.14</v>
      </c>
      <c r="P38" s="10">
        <f t="shared" si="4"/>
        <v>89678.399999999994</v>
      </c>
      <c r="Q38" s="16">
        <f t="shared" si="5"/>
        <v>883461.85919997969</v>
      </c>
      <c r="R38" s="62">
        <f t="shared" si="1"/>
        <v>60.752431522485196</v>
      </c>
      <c r="S38" s="54"/>
    </row>
    <row r="39" spans="1:21" ht="15.75">
      <c r="C39" s="37">
        <f>SUM(C9:C38)</f>
        <v>315</v>
      </c>
      <c r="D39" s="37">
        <f>SUM(D9:D38)</f>
        <v>1678</v>
      </c>
      <c r="E39" s="18"/>
      <c r="F39" s="18">
        <f>SUM(F9:F38)</f>
        <v>1460.5125199999966</v>
      </c>
      <c r="G39" s="9"/>
      <c r="H39" s="9"/>
      <c r="I39" s="18" t="s">
        <v>44</v>
      </c>
      <c r="J39" s="9"/>
      <c r="K39" s="9"/>
      <c r="L39" s="18" t="s">
        <v>44</v>
      </c>
      <c r="M39" s="9"/>
      <c r="N39" s="8"/>
      <c r="O39" s="18">
        <f>SUM(O9:O38)</f>
        <v>214.19999999999982</v>
      </c>
      <c r="P39" s="9"/>
      <c r="Q39" s="69">
        <f>SUM(Q9:Q38)</f>
        <v>21034389.251199961</v>
      </c>
      <c r="R39" s="39">
        <f>SUM(R9:R38)</f>
        <v>1446.4577947462496</v>
      </c>
      <c r="U39" s="30"/>
    </row>
    <row r="40" spans="1:21">
      <c r="E40" s="24"/>
      <c r="F40" s="25"/>
      <c r="G40" s="21"/>
      <c r="H40" s="21"/>
      <c r="I40" s="21"/>
      <c r="J40" s="21"/>
      <c r="K40" s="21"/>
      <c r="L40" s="21"/>
      <c r="M40" s="21"/>
      <c r="N40" s="8"/>
      <c r="O40" s="25"/>
      <c r="P40" s="26"/>
      <c r="Q40" s="18"/>
      <c r="R40" s="21"/>
      <c r="U40" s="29"/>
    </row>
    <row r="41" spans="1:21">
      <c r="B41" s="95" t="s">
        <v>29</v>
      </c>
      <c r="E41" s="8"/>
      <c r="F41" s="9"/>
      <c r="G41" s="9"/>
      <c r="H41" s="9"/>
      <c r="I41" s="9"/>
      <c r="J41" s="9"/>
      <c r="K41" s="9"/>
      <c r="L41" s="9"/>
      <c r="M41" s="84" t="s">
        <v>45</v>
      </c>
      <c r="N41" s="84"/>
      <c r="O41" s="70">
        <f>F39+O39</f>
        <v>1674.7125199999964</v>
      </c>
      <c r="Q41" s="17"/>
      <c r="R41" s="32"/>
    </row>
    <row r="42" spans="1:21">
      <c r="E42" s="96"/>
      <c r="F42" s="96"/>
      <c r="G42" s="96"/>
      <c r="H42" s="96"/>
      <c r="I42" s="96"/>
      <c r="J42" s="96"/>
      <c r="K42" s="96"/>
      <c r="L42" s="96"/>
      <c r="M42" s="97"/>
      <c r="N42" s="96"/>
      <c r="O42" s="96"/>
      <c r="P42" s="98"/>
      <c r="R42" s="33"/>
    </row>
    <row r="43" spans="1:21">
      <c r="R43" s="33"/>
    </row>
  </sheetData>
  <mergeCells count="21">
    <mergeCell ref="M41:N41"/>
    <mergeCell ref="B4:R4"/>
    <mergeCell ref="B1:R1"/>
    <mergeCell ref="B2:R2"/>
    <mergeCell ref="Q5:R7"/>
    <mergeCell ref="E6:G6"/>
    <mergeCell ref="H6:J6"/>
    <mergeCell ref="B5:B8"/>
    <mergeCell ref="C5:C8"/>
    <mergeCell ref="D5:D8"/>
    <mergeCell ref="E5:P5"/>
    <mergeCell ref="K6:M6"/>
    <mergeCell ref="N6:P6"/>
    <mergeCell ref="H7:H8"/>
    <mergeCell ref="F7:F8"/>
    <mergeCell ref="I7:I8"/>
    <mergeCell ref="E7:E8"/>
    <mergeCell ref="K7:K8"/>
    <mergeCell ref="L7:L8"/>
    <mergeCell ref="N7:N8"/>
    <mergeCell ref="O7:O8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2"/>
  <sheetViews>
    <sheetView workbookViewId="0">
      <pane xSplit="2" ySplit="8" topLeftCell="C24" activePane="bottomRight" state="frozen"/>
      <selection pane="bottomRight" activeCell="M39" sqref="M39"/>
      <selection pane="bottomLeft" activeCell="A9" sqref="A9"/>
      <selection pane="topRight" activeCell="C1" sqref="C1"/>
    </sheetView>
  </sheetViews>
  <sheetFormatPr defaultRowHeight="12.75"/>
  <cols>
    <col min="1" max="1" width="2.5703125" customWidth="1"/>
    <col min="2" max="2" width="5.42578125" customWidth="1"/>
    <col min="3" max="3" width="6.42578125" customWidth="1"/>
    <col min="4" max="4" width="8.42578125" style="6" customWidth="1"/>
    <col min="5" max="5" width="9.85546875" style="6" customWidth="1"/>
    <col min="6" max="6" width="8" style="23" bestFit="1" customWidth="1"/>
    <col min="7" max="7" width="13.28515625" style="23" bestFit="1" customWidth="1"/>
    <col min="8" max="8" width="16.28515625" style="1" customWidth="1"/>
    <col min="9" max="9" width="2.5703125" customWidth="1"/>
    <col min="11" max="11" width="21.5703125" customWidth="1"/>
  </cols>
  <sheetData>
    <row r="1" spans="1:9" ht="15.75">
      <c r="B1" s="78" t="s">
        <v>46</v>
      </c>
      <c r="C1" s="78"/>
      <c r="D1" s="78"/>
      <c r="E1" s="78"/>
      <c r="F1" s="78"/>
      <c r="G1" s="78"/>
      <c r="H1" s="78"/>
    </row>
    <row r="2" spans="1:9" ht="15.75">
      <c r="B2" s="78" t="s">
        <v>16</v>
      </c>
      <c r="C2" s="78"/>
      <c r="D2" s="78"/>
      <c r="E2" s="78"/>
      <c r="F2" s="78"/>
      <c r="G2" s="78"/>
      <c r="H2" s="78"/>
    </row>
    <row r="3" spans="1:9">
      <c r="B3" s="5"/>
      <c r="C3" s="4"/>
      <c r="D3" s="13"/>
      <c r="E3" s="13"/>
      <c r="F3" s="99"/>
      <c r="G3" s="99"/>
      <c r="H3" s="4"/>
    </row>
    <row r="4" spans="1:9">
      <c r="A4" s="55"/>
      <c r="B4" s="85">
        <v>44348</v>
      </c>
      <c r="C4" s="85"/>
      <c r="D4" s="85"/>
      <c r="E4" s="85"/>
      <c r="F4" s="85"/>
      <c r="G4" s="85"/>
      <c r="H4" s="85"/>
      <c r="I4" s="7"/>
    </row>
    <row r="5" spans="1:9" ht="12.75" customHeight="1">
      <c r="A5" s="56"/>
      <c r="B5" s="80" t="s">
        <v>17</v>
      </c>
      <c r="C5" s="80" t="s">
        <v>18</v>
      </c>
      <c r="D5" s="80" t="s">
        <v>13</v>
      </c>
      <c r="E5" s="80" t="s">
        <v>47</v>
      </c>
      <c r="F5" s="80"/>
      <c r="G5" s="80"/>
      <c r="H5" s="80" t="s">
        <v>23</v>
      </c>
      <c r="I5" s="53"/>
    </row>
    <row r="6" spans="1:9">
      <c r="A6" s="56"/>
      <c r="B6" s="80"/>
      <c r="C6" s="80"/>
      <c r="D6" s="80"/>
      <c r="E6" s="80"/>
      <c r="F6" s="80"/>
      <c r="G6" s="80"/>
      <c r="H6" s="80"/>
      <c r="I6" s="53"/>
    </row>
    <row r="7" spans="1:9" s="6" customFormat="1" ht="31.5" customHeight="1">
      <c r="A7" s="56"/>
      <c r="B7" s="80"/>
      <c r="C7" s="80"/>
      <c r="D7" s="80"/>
      <c r="E7" s="57" t="s">
        <v>37</v>
      </c>
      <c r="F7" s="91" t="s">
        <v>48</v>
      </c>
      <c r="G7" s="58" t="s">
        <v>41</v>
      </c>
      <c r="H7" s="80"/>
      <c r="I7" s="53"/>
    </row>
    <row r="8" spans="1:9" s="6" customFormat="1">
      <c r="A8" s="56"/>
      <c r="B8" s="80"/>
      <c r="C8" s="80"/>
      <c r="D8" s="80"/>
      <c r="E8" s="59"/>
      <c r="F8" s="91"/>
      <c r="G8" s="58">
        <v>10700</v>
      </c>
      <c r="H8" s="80"/>
      <c r="I8" s="53"/>
    </row>
    <row r="9" spans="1:9" ht="17.100000000000001" customHeight="1">
      <c r="A9" s="60"/>
      <c r="B9" s="61">
        <v>1</v>
      </c>
      <c r="C9" s="28">
        <f>Electricity!C8</f>
        <v>6</v>
      </c>
      <c r="D9" s="28">
        <f>Electricity!D8</f>
        <v>35</v>
      </c>
      <c r="E9" s="14">
        <v>1430</v>
      </c>
      <c r="F9" s="22">
        <v>15</v>
      </c>
      <c r="G9" s="22">
        <f t="shared" ref="G9:G22" si="0">F9*$G$8</f>
        <v>160500</v>
      </c>
      <c r="H9" s="62">
        <f>G9/14542</f>
        <v>11.036996286618072</v>
      </c>
      <c r="I9" s="54"/>
    </row>
    <row r="10" spans="1:9" ht="17.100000000000001" customHeight="1">
      <c r="A10" s="60"/>
      <c r="B10" s="61">
        <v>2</v>
      </c>
      <c r="C10" s="28">
        <f>Electricity!C9</f>
        <v>7</v>
      </c>
      <c r="D10" s="28">
        <f>Electricity!D9</f>
        <v>22</v>
      </c>
      <c r="E10" s="14">
        <v>1430</v>
      </c>
      <c r="F10" s="22">
        <v>0</v>
      </c>
      <c r="G10" s="22">
        <f>F10*$G$8</f>
        <v>0</v>
      </c>
      <c r="H10" s="62">
        <f t="shared" ref="H10:H38" si="1">G10/14542</f>
        <v>0</v>
      </c>
      <c r="I10" s="54"/>
    </row>
    <row r="11" spans="1:9" ht="17.100000000000001" customHeight="1">
      <c r="A11" s="60"/>
      <c r="B11" s="61">
        <v>3</v>
      </c>
      <c r="C11" s="28">
        <f>Electricity!C10</f>
        <v>7</v>
      </c>
      <c r="D11" s="28">
        <f>Electricity!D10</f>
        <v>42</v>
      </c>
      <c r="E11" s="14">
        <v>1430</v>
      </c>
      <c r="F11" s="22">
        <v>0</v>
      </c>
      <c r="G11" s="22">
        <f t="shared" si="0"/>
        <v>0</v>
      </c>
      <c r="H11" s="62">
        <f t="shared" si="1"/>
        <v>0</v>
      </c>
      <c r="I11" s="54"/>
    </row>
    <row r="12" spans="1:9" ht="17.100000000000001" customHeight="1">
      <c r="A12" s="60"/>
      <c r="B12" s="61">
        <v>4</v>
      </c>
      <c r="C12" s="28">
        <f>Electricity!C11</f>
        <v>8</v>
      </c>
      <c r="D12" s="28">
        <f>Electricity!D11</f>
        <v>35</v>
      </c>
      <c r="E12" s="14">
        <v>1430</v>
      </c>
      <c r="F12" s="22">
        <v>0</v>
      </c>
      <c r="G12" s="22">
        <f t="shared" si="0"/>
        <v>0</v>
      </c>
      <c r="H12" s="62">
        <f t="shared" si="1"/>
        <v>0</v>
      </c>
      <c r="I12" s="54"/>
    </row>
    <row r="13" spans="1:9" ht="17.100000000000001" customHeight="1">
      <c r="A13" s="60"/>
      <c r="B13" s="61">
        <v>5</v>
      </c>
      <c r="C13" s="28">
        <f>Electricity!C12</f>
        <v>10</v>
      </c>
      <c r="D13" s="28">
        <f>Electricity!D12</f>
        <v>39</v>
      </c>
      <c r="E13" s="14">
        <v>1430</v>
      </c>
      <c r="F13" s="22">
        <v>0</v>
      </c>
      <c r="G13" s="22">
        <f t="shared" si="0"/>
        <v>0</v>
      </c>
      <c r="H13" s="62">
        <f t="shared" si="1"/>
        <v>0</v>
      </c>
      <c r="I13" s="54"/>
    </row>
    <row r="14" spans="1:9" ht="17.100000000000001" customHeight="1">
      <c r="A14" s="60"/>
      <c r="B14" s="61">
        <v>6</v>
      </c>
      <c r="C14" s="28">
        <f>Electricity!C13</f>
        <v>9</v>
      </c>
      <c r="D14" s="28">
        <f>Electricity!D13</f>
        <v>49</v>
      </c>
      <c r="E14" s="14">
        <v>1430</v>
      </c>
      <c r="F14" s="22">
        <v>0</v>
      </c>
      <c r="G14" s="22">
        <f t="shared" si="0"/>
        <v>0</v>
      </c>
      <c r="H14" s="62">
        <f t="shared" si="1"/>
        <v>0</v>
      </c>
      <c r="I14" s="54"/>
    </row>
    <row r="15" spans="1:9" ht="17.100000000000001" customHeight="1">
      <c r="A15" s="60"/>
      <c r="B15" s="61">
        <v>7</v>
      </c>
      <c r="C15" s="28">
        <f>Electricity!C14</f>
        <v>6</v>
      </c>
      <c r="D15" s="28">
        <f>Electricity!D14</f>
        <v>33</v>
      </c>
      <c r="E15" s="14">
        <v>1430</v>
      </c>
      <c r="F15" s="22">
        <v>0</v>
      </c>
      <c r="G15" s="22">
        <f t="shared" si="0"/>
        <v>0</v>
      </c>
      <c r="H15" s="62">
        <f t="shared" si="1"/>
        <v>0</v>
      </c>
      <c r="I15" s="54"/>
    </row>
    <row r="16" spans="1:9" ht="17.100000000000001" customHeight="1">
      <c r="A16" s="60"/>
      <c r="B16" s="61">
        <v>8</v>
      </c>
      <c r="C16" s="28">
        <f>Electricity!C15</f>
        <v>9</v>
      </c>
      <c r="D16" s="28">
        <f>Electricity!D15</f>
        <v>32</v>
      </c>
      <c r="E16" s="14">
        <v>1447</v>
      </c>
      <c r="F16" s="22">
        <v>17</v>
      </c>
      <c r="G16" s="22">
        <f t="shared" si="0"/>
        <v>181900</v>
      </c>
      <c r="H16" s="62">
        <f t="shared" si="1"/>
        <v>12.508595791500481</v>
      </c>
      <c r="I16" s="54"/>
    </row>
    <row r="17" spans="1:9" ht="17.100000000000001" customHeight="1">
      <c r="A17" s="60"/>
      <c r="B17" s="61">
        <v>9</v>
      </c>
      <c r="C17" s="28">
        <f>Electricity!C16</f>
        <v>7</v>
      </c>
      <c r="D17" s="28">
        <f>Electricity!D16</f>
        <v>41</v>
      </c>
      <c r="E17" s="14">
        <v>1447</v>
      </c>
      <c r="F17" s="22">
        <v>0</v>
      </c>
      <c r="G17" s="22">
        <f t="shared" si="0"/>
        <v>0</v>
      </c>
      <c r="H17" s="62">
        <f t="shared" si="1"/>
        <v>0</v>
      </c>
      <c r="I17" s="54"/>
    </row>
    <row r="18" spans="1:9" ht="17.100000000000001" customHeight="1">
      <c r="A18" s="60"/>
      <c r="B18" s="61">
        <v>10</v>
      </c>
      <c r="C18" s="28">
        <f>Electricity!C17</f>
        <v>9</v>
      </c>
      <c r="D18" s="28">
        <f>Electricity!D17</f>
        <v>43</v>
      </c>
      <c r="E18" s="14">
        <v>1447</v>
      </c>
      <c r="F18" s="22">
        <v>0</v>
      </c>
      <c r="G18" s="22">
        <f t="shared" si="0"/>
        <v>0</v>
      </c>
      <c r="H18" s="62">
        <f t="shared" si="1"/>
        <v>0</v>
      </c>
      <c r="I18" s="54"/>
    </row>
    <row r="19" spans="1:9" ht="17.100000000000001" customHeight="1">
      <c r="A19" s="60"/>
      <c r="B19" s="61">
        <v>11</v>
      </c>
      <c r="C19" s="28">
        <f>Electricity!C18</f>
        <v>17</v>
      </c>
      <c r="D19" s="28">
        <f>Electricity!D18</f>
        <v>40</v>
      </c>
      <c r="E19" s="14">
        <v>1447</v>
      </c>
      <c r="F19" s="22">
        <v>0</v>
      </c>
      <c r="G19" s="22">
        <f t="shared" si="0"/>
        <v>0</v>
      </c>
      <c r="H19" s="62">
        <f t="shared" si="1"/>
        <v>0</v>
      </c>
      <c r="I19" s="54"/>
    </row>
    <row r="20" spans="1:9" ht="17.100000000000001" customHeight="1">
      <c r="A20" s="60"/>
      <c r="B20" s="61">
        <v>12</v>
      </c>
      <c r="C20" s="28">
        <f>Electricity!C19</f>
        <v>13</v>
      </c>
      <c r="D20" s="28">
        <f>Electricity!D19</f>
        <v>61</v>
      </c>
      <c r="E20" s="14">
        <v>1447</v>
      </c>
      <c r="F20" s="22">
        <v>0</v>
      </c>
      <c r="G20" s="22">
        <f t="shared" si="0"/>
        <v>0</v>
      </c>
      <c r="H20" s="62">
        <f t="shared" si="1"/>
        <v>0</v>
      </c>
      <c r="I20" s="54"/>
    </row>
    <row r="21" spans="1:9" ht="17.100000000000001" customHeight="1">
      <c r="A21" s="60"/>
      <c r="B21" s="61">
        <v>13</v>
      </c>
      <c r="C21" s="28">
        <f>Electricity!C20</f>
        <v>8</v>
      </c>
      <c r="D21" s="28">
        <f>Electricity!D20</f>
        <v>53</v>
      </c>
      <c r="E21" s="14">
        <v>1447</v>
      </c>
      <c r="F21" s="22">
        <v>0</v>
      </c>
      <c r="G21" s="22">
        <f t="shared" si="0"/>
        <v>0</v>
      </c>
      <c r="H21" s="62">
        <f t="shared" si="1"/>
        <v>0</v>
      </c>
      <c r="I21" s="54"/>
    </row>
    <row r="22" spans="1:9" ht="17.100000000000001" customHeight="1">
      <c r="A22" s="60"/>
      <c r="B22" s="61">
        <v>14</v>
      </c>
      <c r="C22" s="28">
        <f>Electricity!C21</f>
        <v>4</v>
      </c>
      <c r="D22" s="28">
        <f>Electricity!D21</f>
        <v>28</v>
      </c>
      <c r="E22" s="14">
        <v>1463</v>
      </c>
      <c r="F22" s="22">
        <v>16</v>
      </c>
      <c r="G22" s="22">
        <f>F22*$G$8</f>
        <v>171200</v>
      </c>
      <c r="H22" s="62">
        <f t="shared" si="1"/>
        <v>11.772796039059276</v>
      </c>
      <c r="I22" s="54"/>
    </row>
    <row r="23" spans="1:9" ht="17.100000000000001" customHeight="1">
      <c r="A23" s="60"/>
      <c r="B23" s="61">
        <v>15</v>
      </c>
      <c r="C23" s="28">
        <f>Electricity!C22</f>
        <v>5</v>
      </c>
      <c r="D23" s="28">
        <f>Electricity!D22</f>
        <v>36</v>
      </c>
      <c r="E23" s="14">
        <v>1463</v>
      </c>
      <c r="F23" s="22">
        <v>0</v>
      </c>
      <c r="G23" s="22">
        <f t="shared" ref="G23:G37" si="2">F23*$G$8</f>
        <v>0</v>
      </c>
      <c r="H23" s="62">
        <f t="shared" si="1"/>
        <v>0</v>
      </c>
      <c r="I23" s="54"/>
    </row>
    <row r="24" spans="1:9" ht="17.100000000000001" customHeight="1">
      <c r="A24" s="60"/>
      <c r="B24" s="61">
        <v>16</v>
      </c>
      <c r="C24" s="28">
        <f>Electricity!C23</f>
        <v>9</v>
      </c>
      <c r="D24" s="28">
        <f>Electricity!D23</f>
        <v>36</v>
      </c>
      <c r="E24" s="14">
        <v>1463</v>
      </c>
      <c r="F24" s="22">
        <v>0</v>
      </c>
      <c r="G24" s="22">
        <f t="shared" si="2"/>
        <v>0</v>
      </c>
      <c r="H24" s="62">
        <f t="shared" si="1"/>
        <v>0</v>
      </c>
      <c r="I24" s="54"/>
    </row>
    <row r="25" spans="1:9" ht="17.100000000000001" customHeight="1">
      <c r="A25" s="60"/>
      <c r="B25" s="61">
        <v>17</v>
      </c>
      <c r="C25" s="28">
        <f>Electricity!C24</f>
        <v>8</v>
      </c>
      <c r="D25" s="28">
        <f>Electricity!D24</f>
        <v>69</v>
      </c>
      <c r="E25" s="14">
        <v>1463</v>
      </c>
      <c r="F25" s="22">
        <v>0</v>
      </c>
      <c r="G25" s="22">
        <f t="shared" si="2"/>
        <v>0</v>
      </c>
      <c r="H25" s="62">
        <f t="shared" si="1"/>
        <v>0</v>
      </c>
      <c r="I25" s="54"/>
    </row>
    <row r="26" spans="1:9" ht="17.100000000000001" customHeight="1">
      <c r="A26" s="60"/>
      <c r="B26" s="61">
        <v>18</v>
      </c>
      <c r="C26" s="28">
        <f>Electricity!C25</f>
        <v>10</v>
      </c>
      <c r="D26" s="28">
        <f>Electricity!D25</f>
        <v>65</v>
      </c>
      <c r="E26" s="14">
        <v>1463</v>
      </c>
      <c r="F26" s="22">
        <v>0</v>
      </c>
      <c r="G26" s="22">
        <f t="shared" si="2"/>
        <v>0</v>
      </c>
      <c r="H26" s="62">
        <f t="shared" si="1"/>
        <v>0</v>
      </c>
      <c r="I26" s="54"/>
    </row>
    <row r="27" spans="1:9" ht="17.100000000000001" customHeight="1">
      <c r="A27" s="60"/>
      <c r="B27" s="61">
        <v>19</v>
      </c>
      <c r="C27" s="28">
        <f>Electricity!C26</f>
        <v>12</v>
      </c>
      <c r="D27" s="28">
        <f>Electricity!D26</f>
        <v>85</v>
      </c>
      <c r="E27" s="14">
        <v>1463</v>
      </c>
      <c r="F27" s="22">
        <v>0</v>
      </c>
      <c r="G27" s="22">
        <f t="shared" si="2"/>
        <v>0</v>
      </c>
      <c r="H27" s="62">
        <f t="shared" si="1"/>
        <v>0</v>
      </c>
      <c r="I27" s="54"/>
    </row>
    <row r="28" spans="1:9" ht="17.100000000000001" customHeight="1">
      <c r="A28" s="60"/>
      <c r="B28" s="61">
        <v>20</v>
      </c>
      <c r="C28" s="28">
        <f>Electricity!C27</f>
        <v>7</v>
      </c>
      <c r="D28" s="28">
        <f>Electricity!D27</f>
        <v>81</v>
      </c>
      <c r="E28" s="14">
        <v>1463</v>
      </c>
      <c r="F28" s="22">
        <v>0</v>
      </c>
      <c r="G28" s="22">
        <f t="shared" si="2"/>
        <v>0</v>
      </c>
      <c r="H28" s="62">
        <f t="shared" si="1"/>
        <v>0</v>
      </c>
      <c r="I28" s="54"/>
    </row>
    <row r="29" spans="1:9" ht="17.100000000000001" customHeight="1">
      <c r="A29" s="60"/>
      <c r="B29" s="61">
        <v>21</v>
      </c>
      <c r="C29" s="28">
        <f>Electricity!C28</f>
        <v>7</v>
      </c>
      <c r="D29" s="28">
        <f>Electricity!D28</f>
        <v>52</v>
      </c>
      <c r="E29" s="14">
        <v>1463</v>
      </c>
      <c r="F29" s="22">
        <v>0</v>
      </c>
      <c r="G29" s="22">
        <f t="shared" si="2"/>
        <v>0</v>
      </c>
      <c r="H29" s="62">
        <f t="shared" si="1"/>
        <v>0</v>
      </c>
      <c r="I29" s="54"/>
    </row>
    <row r="30" spans="1:9" ht="17.100000000000001" customHeight="1">
      <c r="A30" s="60"/>
      <c r="B30" s="61">
        <v>22</v>
      </c>
      <c r="C30" s="28">
        <f>Electricity!C29</f>
        <v>14</v>
      </c>
      <c r="D30" s="28">
        <f>Electricity!D29</f>
        <v>55</v>
      </c>
      <c r="E30" s="14">
        <v>1478</v>
      </c>
      <c r="F30" s="22">
        <v>15</v>
      </c>
      <c r="G30" s="22">
        <f t="shared" si="2"/>
        <v>160500</v>
      </c>
      <c r="H30" s="62">
        <f t="shared" si="1"/>
        <v>11.036996286618072</v>
      </c>
      <c r="I30" s="54"/>
    </row>
    <row r="31" spans="1:9" ht="17.100000000000001" customHeight="1">
      <c r="A31" s="60"/>
      <c r="B31" s="61">
        <v>23</v>
      </c>
      <c r="C31" s="28">
        <f>Electricity!C30</f>
        <v>10</v>
      </c>
      <c r="D31" s="28">
        <f>Electricity!D30</f>
        <v>61</v>
      </c>
      <c r="E31" s="14">
        <v>1478</v>
      </c>
      <c r="F31" s="22">
        <v>0</v>
      </c>
      <c r="G31" s="22">
        <f t="shared" si="2"/>
        <v>0</v>
      </c>
      <c r="H31" s="62">
        <f t="shared" si="1"/>
        <v>0</v>
      </c>
      <c r="I31" s="54"/>
    </row>
    <row r="32" spans="1:9" ht="17.100000000000001" customHeight="1">
      <c r="A32" s="60"/>
      <c r="B32" s="61">
        <v>24</v>
      </c>
      <c r="C32" s="28">
        <f>Electricity!C31</f>
        <v>11</v>
      </c>
      <c r="D32" s="28">
        <f>Electricity!D31</f>
        <v>56</v>
      </c>
      <c r="E32" s="14">
        <v>1478</v>
      </c>
      <c r="F32" s="22">
        <v>0</v>
      </c>
      <c r="G32" s="22">
        <f t="shared" si="2"/>
        <v>0</v>
      </c>
      <c r="H32" s="62">
        <f t="shared" si="1"/>
        <v>0</v>
      </c>
      <c r="I32" s="54"/>
    </row>
    <row r="33" spans="1:11" ht="17.100000000000001" customHeight="1">
      <c r="A33" s="60"/>
      <c r="B33" s="61">
        <v>25</v>
      </c>
      <c r="C33" s="28">
        <f>Electricity!C32</f>
        <v>14</v>
      </c>
      <c r="D33" s="28">
        <f>Electricity!D32</f>
        <v>75</v>
      </c>
      <c r="E33" s="14">
        <v>1478</v>
      </c>
      <c r="F33" s="22">
        <v>0</v>
      </c>
      <c r="G33" s="22">
        <f t="shared" si="2"/>
        <v>0</v>
      </c>
      <c r="H33" s="62">
        <f t="shared" si="1"/>
        <v>0</v>
      </c>
      <c r="I33" s="54"/>
    </row>
    <row r="34" spans="1:11" ht="17.100000000000001" customHeight="1">
      <c r="A34" s="60"/>
      <c r="B34" s="61">
        <v>26</v>
      </c>
      <c r="C34" s="28">
        <f>Electricity!C33</f>
        <v>20</v>
      </c>
      <c r="D34" s="28">
        <f>Electricity!D33</f>
        <v>75</v>
      </c>
      <c r="E34" s="14">
        <v>1478</v>
      </c>
      <c r="F34" s="22">
        <v>0</v>
      </c>
      <c r="G34" s="22">
        <f t="shared" si="2"/>
        <v>0</v>
      </c>
      <c r="H34" s="62">
        <f t="shared" si="1"/>
        <v>0</v>
      </c>
      <c r="I34" s="54"/>
    </row>
    <row r="35" spans="1:11" ht="17.100000000000001" customHeight="1">
      <c r="A35" s="60"/>
      <c r="B35" s="61">
        <v>27</v>
      </c>
      <c r="C35" s="28">
        <f>Electricity!C34</f>
        <v>16</v>
      </c>
      <c r="D35" s="28">
        <f>Electricity!D34</f>
        <v>111</v>
      </c>
      <c r="E35" s="14">
        <v>1478</v>
      </c>
      <c r="F35" s="22">
        <v>0</v>
      </c>
      <c r="G35" s="22">
        <f t="shared" si="2"/>
        <v>0</v>
      </c>
      <c r="H35" s="62">
        <f t="shared" si="1"/>
        <v>0</v>
      </c>
      <c r="I35" s="54"/>
    </row>
    <row r="36" spans="1:11" ht="17.100000000000001" customHeight="1">
      <c r="A36" s="60"/>
      <c r="B36" s="61">
        <v>28</v>
      </c>
      <c r="C36" s="28">
        <f>Electricity!C35</f>
        <v>15</v>
      </c>
      <c r="D36" s="28">
        <f>Electricity!D35</f>
        <v>84</v>
      </c>
      <c r="E36" s="14">
        <v>1478</v>
      </c>
      <c r="F36" s="22">
        <v>0</v>
      </c>
      <c r="G36" s="22">
        <f t="shared" si="2"/>
        <v>0</v>
      </c>
      <c r="H36" s="62">
        <f t="shared" si="1"/>
        <v>0</v>
      </c>
      <c r="I36" s="54"/>
    </row>
    <row r="37" spans="1:11" ht="17.100000000000001" customHeight="1">
      <c r="A37" s="60"/>
      <c r="B37" s="61">
        <v>29</v>
      </c>
      <c r="C37" s="28">
        <f>Electricity!C36</f>
        <v>20</v>
      </c>
      <c r="D37" s="28">
        <f>Electricity!D36</f>
        <v>88</v>
      </c>
      <c r="E37" s="14">
        <v>1888</v>
      </c>
      <c r="F37" s="22">
        <v>410</v>
      </c>
      <c r="G37" s="22">
        <f t="shared" si="2"/>
        <v>4387000</v>
      </c>
      <c r="H37" s="62">
        <f t="shared" si="1"/>
        <v>301.67789850089395</v>
      </c>
      <c r="I37" s="54"/>
    </row>
    <row r="38" spans="1:11" ht="17.100000000000001" customHeight="1">
      <c r="A38" s="60"/>
      <c r="B38" s="61">
        <v>30</v>
      </c>
      <c r="C38" s="28">
        <f>Electricity!C37</f>
        <v>17</v>
      </c>
      <c r="D38" s="28">
        <f>Electricity!D37</f>
        <v>96</v>
      </c>
      <c r="E38" s="14">
        <v>1888</v>
      </c>
      <c r="F38" s="22">
        <v>0</v>
      </c>
      <c r="G38" s="22">
        <f>F38*$G$8</f>
        <v>0</v>
      </c>
      <c r="H38" s="62">
        <f t="shared" si="1"/>
        <v>0</v>
      </c>
      <c r="I38" s="54"/>
    </row>
    <row r="39" spans="1:11" ht="21.6" customHeight="1">
      <c r="C39" s="18">
        <f>SUM(C9:C38)</f>
        <v>315</v>
      </c>
      <c r="D39" s="18">
        <f>SUM(D9:D38)</f>
        <v>1678</v>
      </c>
      <c r="E39" s="18"/>
      <c r="F39" s="18">
        <f>SUM(F9:F38)</f>
        <v>473</v>
      </c>
      <c r="G39" s="71">
        <f>SUM(G9:G38)</f>
        <v>5061100</v>
      </c>
      <c r="H39" s="36">
        <f>SUM(H9:H38)</f>
        <v>348.03328290468983</v>
      </c>
      <c r="K39" s="30"/>
    </row>
    <row r="40" spans="1:11">
      <c r="E40" s="18"/>
      <c r="F40" s="20"/>
      <c r="G40" s="20"/>
      <c r="H40" s="21"/>
    </row>
    <row r="41" spans="1:11">
      <c r="C41" t="s">
        <v>29</v>
      </c>
      <c r="E41" s="96"/>
      <c r="F41" s="100"/>
      <c r="G41" s="100"/>
    </row>
    <row r="42" spans="1:11">
      <c r="E42" s="96"/>
      <c r="F42" s="100"/>
      <c r="G42" s="100"/>
    </row>
  </sheetData>
  <mergeCells count="9">
    <mergeCell ref="B5:B8"/>
    <mergeCell ref="C5:C8"/>
    <mergeCell ref="B1:H1"/>
    <mergeCell ref="B2:H2"/>
    <mergeCell ref="B4:H4"/>
    <mergeCell ref="D5:D8"/>
    <mergeCell ref="F7:F8"/>
    <mergeCell ref="H5:H8"/>
    <mergeCell ref="E5:G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O42"/>
  <sheetViews>
    <sheetView topLeftCell="A19" zoomScaleNormal="100" workbookViewId="0">
      <selection activeCell="I47" sqref="I47"/>
    </sheetView>
  </sheetViews>
  <sheetFormatPr defaultRowHeight="12.75"/>
  <cols>
    <col min="1" max="1" width="2.5703125" customWidth="1"/>
    <col min="2" max="2" width="4.7109375" customWidth="1"/>
    <col min="3" max="3" width="6.42578125" customWidth="1"/>
    <col min="4" max="4" width="6.42578125" style="6" customWidth="1"/>
    <col min="5" max="5" width="9.42578125" style="1" customWidth="1"/>
    <col min="6" max="6" width="16.5703125" style="1" customWidth="1"/>
    <col min="7" max="7" width="10.28515625" style="1" customWidth="1"/>
    <col min="8" max="8" width="16.7109375" style="1" customWidth="1"/>
    <col min="9" max="9" width="10.28515625" style="1" customWidth="1"/>
    <col min="10" max="10" width="16.7109375" style="1" customWidth="1"/>
    <col min="11" max="11" width="16.28515625" style="27" customWidth="1"/>
    <col min="12" max="12" width="19.7109375" customWidth="1"/>
    <col min="13" max="13" width="2.5703125" customWidth="1"/>
    <col min="15" max="15" width="20.5703125" customWidth="1"/>
  </cols>
  <sheetData>
    <row r="2" spans="1:13" ht="15.75">
      <c r="B2" s="78" t="s">
        <v>49</v>
      </c>
      <c r="C2" s="78"/>
      <c r="D2" s="78"/>
      <c r="E2" s="78"/>
      <c r="F2" s="78"/>
      <c r="G2" s="78"/>
      <c r="H2" s="78"/>
      <c r="I2" s="78"/>
      <c r="J2" s="78"/>
      <c r="K2" s="78"/>
      <c r="L2" s="78"/>
    </row>
    <row r="3" spans="1:13" ht="15.75">
      <c r="B3" s="78" t="s">
        <v>16</v>
      </c>
      <c r="C3" s="78"/>
      <c r="D3" s="78"/>
      <c r="E3" s="78"/>
      <c r="F3" s="78"/>
      <c r="G3" s="78"/>
      <c r="H3" s="78"/>
      <c r="I3" s="78"/>
      <c r="J3" s="78"/>
      <c r="K3" s="78"/>
      <c r="L3" s="78"/>
    </row>
    <row r="4" spans="1:13">
      <c r="B4" s="5"/>
      <c r="C4" s="4"/>
      <c r="D4" s="13"/>
      <c r="E4" s="4"/>
      <c r="F4" s="4"/>
      <c r="G4" s="4"/>
      <c r="H4" s="4"/>
      <c r="I4" s="4"/>
      <c r="J4" s="4"/>
      <c r="K4" s="72"/>
    </row>
    <row r="5" spans="1:13">
      <c r="A5" s="7"/>
      <c r="B5" s="81">
        <v>44348</v>
      </c>
      <c r="C5" s="94"/>
      <c r="D5" s="94"/>
      <c r="E5" s="94"/>
      <c r="F5" s="94"/>
      <c r="G5" s="94"/>
      <c r="H5" s="94"/>
      <c r="I5" s="94"/>
      <c r="J5" s="94"/>
      <c r="K5" s="94"/>
      <c r="L5" s="94"/>
      <c r="M5" s="7"/>
    </row>
    <row r="6" spans="1:13" ht="23.25" customHeight="1">
      <c r="A6" s="63"/>
      <c r="B6" s="80" t="s">
        <v>17</v>
      </c>
      <c r="C6" s="80" t="s">
        <v>50</v>
      </c>
      <c r="D6" s="80" t="s">
        <v>13</v>
      </c>
      <c r="E6" s="87" t="s">
        <v>51</v>
      </c>
      <c r="F6" s="87"/>
      <c r="G6" s="88" t="s">
        <v>52</v>
      </c>
      <c r="H6" s="88"/>
      <c r="I6" s="88"/>
      <c r="J6" s="88"/>
      <c r="K6" s="93" t="s">
        <v>53</v>
      </c>
      <c r="L6" s="80" t="s">
        <v>54</v>
      </c>
      <c r="M6" s="53"/>
    </row>
    <row r="7" spans="1:13" s="6" customFormat="1" ht="48" customHeight="1">
      <c r="A7" s="63"/>
      <c r="B7" s="80"/>
      <c r="C7" s="80"/>
      <c r="D7" s="80"/>
      <c r="E7" s="80" t="s">
        <v>55</v>
      </c>
      <c r="F7" s="80" t="s">
        <v>56</v>
      </c>
      <c r="G7" s="80" t="s">
        <v>55</v>
      </c>
      <c r="H7" s="80" t="s">
        <v>57</v>
      </c>
      <c r="I7" s="80" t="s">
        <v>58</v>
      </c>
      <c r="J7" s="80" t="s">
        <v>59</v>
      </c>
      <c r="K7" s="93"/>
      <c r="L7" s="80"/>
      <c r="M7" s="53"/>
    </row>
    <row r="8" spans="1:13" ht="15.75" customHeight="1">
      <c r="A8" s="64"/>
      <c r="B8" s="80"/>
      <c r="C8" s="80"/>
      <c r="D8" s="80"/>
      <c r="E8" s="80"/>
      <c r="F8" s="80"/>
      <c r="G8" s="80"/>
      <c r="H8" s="80"/>
      <c r="I8" s="80"/>
      <c r="J8" s="80"/>
      <c r="K8" s="93"/>
      <c r="L8" s="80"/>
      <c r="M8" s="54"/>
    </row>
    <row r="9" spans="1:13" ht="15.75" customHeight="1">
      <c r="A9" s="64"/>
      <c r="B9" s="61">
        <v>1</v>
      </c>
      <c r="C9" s="28">
        <f>Electricity!C8</f>
        <v>6</v>
      </c>
      <c r="D9" s="28">
        <f>Electricity!D8</f>
        <v>35</v>
      </c>
      <c r="E9" s="10">
        <v>0</v>
      </c>
      <c r="F9" s="3">
        <f>E9*13582</f>
        <v>0</v>
      </c>
      <c r="G9" s="10">
        <v>137</v>
      </c>
      <c r="H9" s="3">
        <f>G9*4000</f>
        <v>548000</v>
      </c>
      <c r="I9" s="10">
        <v>197</v>
      </c>
      <c r="J9" s="3">
        <f>I9*4000</f>
        <v>788000</v>
      </c>
      <c r="K9" s="11">
        <f t="shared" ref="K9:K38" si="0">F9+H9+J9</f>
        <v>1336000</v>
      </c>
      <c r="L9" s="65">
        <f>K9/14542</f>
        <v>91.871819557144818</v>
      </c>
      <c r="M9" s="54"/>
    </row>
    <row r="10" spans="1:13" ht="17.100000000000001" customHeight="1">
      <c r="A10" s="64"/>
      <c r="B10" s="61">
        <v>2</v>
      </c>
      <c r="C10" s="28">
        <f>Electricity!C9</f>
        <v>7</v>
      </c>
      <c r="D10" s="28">
        <f>Electricity!D9</f>
        <v>22</v>
      </c>
      <c r="E10" s="10">
        <v>0</v>
      </c>
      <c r="F10" s="3">
        <f>E10*13582</f>
        <v>0</v>
      </c>
      <c r="G10" s="10">
        <v>133</v>
      </c>
      <c r="H10" s="3">
        <f>G10*4000</f>
        <v>532000</v>
      </c>
      <c r="I10" s="10">
        <v>197</v>
      </c>
      <c r="J10" s="3">
        <f>I10*4000</f>
        <v>788000</v>
      </c>
      <c r="K10" s="11">
        <f t="shared" si="0"/>
        <v>1320000</v>
      </c>
      <c r="L10" s="65">
        <f t="shared" ref="L10:L38" si="1">K10/14542</f>
        <v>90.771558245083213</v>
      </c>
      <c r="M10" s="54"/>
    </row>
    <row r="11" spans="1:13" ht="17.100000000000001" customHeight="1">
      <c r="A11" s="64"/>
      <c r="B11" s="61">
        <v>3</v>
      </c>
      <c r="C11" s="28">
        <f>Electricity!C10</f>
        <v>7</v>
      </c>
      <c r="D11" s="28">
        <f>Electricity!D10</f>
        <v>42</v>
      </c>
      <c r="E11" s="10">
        <v>0</v>
      </c>
      <c r="F11" s="3">
        <f t="shared" ref="F11:F38" si="2">E11*13582</f>
        <v>0</v>
      </c>
      <c r="G11" s="10">
        <v>132</v>
      </c>
      <c r="H11" s="3">
        <f t="shared" ref="H11:H38" si="3">G11*4000</f>
        <v>528000</v>
      </c>
      <c r="I11" s="10">
        <v>195</v>
      </c>
      <c r="J11" s="3">
        <f t="shared" ref="J11:J38" si="4">I11*4000</f>
        <v>780000</v>
      </c>
      <c r="K11" s="11">
        <f t="shared" si="0"/>
        <v>1308000</v>
      </c>
      <c r="L11" s="65">
        <f t="shared" si="1"/>
        <v>89.946362261036995</v>
      </c>
      <c r="M11" s="54"/>
    </row>
    <row r="12" spans="1:13" ht="17.100000000000001" customHeight="1">
      <c r="A12" s="64"/>
      <c r="B12" s="61">
        <v>4</v>
      </c>
      <c r="C12" s="28">
        <f>Electricity!C11</f>
        <v>8</v>
      </c>
      <c r="D12" s="28">
        <f>Electricity!D11</f>
        <v>35</v>
      </c>
      <c r="E12" s="10">
        <v>0</v>
      </c>
      <c r="F12" s="3">
        <f t="shared" si="2"/>
        <v>0</v>
      </c>
      <c r="G12" s="10">
        <v>130</v>
      </c>
      <c r="H12" s="3">
        <f t="shared" si="3"/>
        <v>520000</v>
      </c>
      <c r="I12" s="10">
        <v>191</v>
      </c>
      <c r="J12" s="3">
        <f t="shared" si="4"/>
        <v>764000</v>
      </c>
      <c r="K12" s="11">
        <f t="shared" si="0"/>
        <v>1284000</v>
      </c>
      <c r="L12" s="65">
        <f t="shared" si="1"/>
        <v>88.295970292944574</v>
      </c>
      <c r="M12" s="54"/>
    </row>
    <row r="13" spans="1:13" ht="17.100000000000001" customHeight="1">
      <c r="A13" s="64"/>
      <c r="B13" s="61">
        <v>5</v>
      </c>
      <c r="C13" s="28">
        <f>Electricity!C12</f>
        <v>10</v>
      </c>
      <c r="D13" s="28">
        <f>Electricity!D12</f>
        <v>39</v>
      </c>
      <c r="E13" s="10">
        <v>0</v>
      </c>
      <c r="F13" s="3">
        <f t="shared" si="2"/>
        <v>0</v>
      </c>
      <c r="G13" s="10">
        <v>126</v>
      </c>
      <c r="H13" s="3">
        <f t="shared" si="3"/>
        <v>504000</v>
      </c>
      <c r="I13" s="10">
        <v>240</v>
      </c>
      <c r="J13" s="3">
        <f t="shared" si="4"/>
        <v>960000</v>
      </c>
      <c r="K13" s="11">
        <f t="shared" si="0"/>
        <v>1464000</v>
      </c>
      <c r="L13" s="65">
        <f t="shared" si="1"/>
        <v>100.67391005363774</v>
      </c>
      <c r="M13" s="54"/>
    </row>
    <row r="14" spans="1:13" ht="17.100000000000001" customHeight="1">
      <c r="A14" s="64"/>
      <c r="B14" s="61">
        <v>6</v>
      </c>
      <c r="C14" s="28">
        <f>Electricity!C13</f>
        <v>9</v>
      </c>
      <c r="D14" s="28">
        <f>Electricity!D13</f>
        <v>49</v>
      </c>
      <c r="E14" s="10">
        <v>0</v>
      </c>
      <c r="F14" s="3">
        <f t="shared" si="2"/>
        <v>0</v>
      </c>
      <c r="G14" s="10">
        <v>70</v>
      </c>
      <c r="H14" s="3">
        <f t="shared" si="3"/>
        <v>280000</v>
      </c>
      <c r="I14" s="10">
        <v>237</v>
      </c>
      <c r="J14" s="3">
        <f t="shared" si="4"/>
        <v>948000</v>
      </c>
      <c r="K14" s="11">
        <f t="shared" si="0"/>
        <v>1228000</v>
      </c>
      <c r="L14" s="65">
        <f t="shared" si="1"/>
        <v>84.445055700728929</v>
      </c>
      <c r="M14" s="54"/>
    </row>
    <row r="15" spans="1:13" ht="17.100000000000001" customHeight="1">
      <c r="A15" s="64"/>
      <c r="B15" s="61">
        <v>7</v>
      </c>
      <c r="C15" s="28">
        <f>Electricity!C14</f>
        <v>6</v>
      </c>
      <c r="D15" s="28">
        <f>Electricity!D14</f>
        <v>33</v>
      </c>
      <c r="E15" s="10">
        <v>0</v>
      </c>
      <c r="F15" s="3">
        <f t="shared" si="2"/>
        <v>0</v>
      </c>
      <c r="G15" s="10">
        <v>132</v>
      </c>
      <c r="H15" s="3">
        <f t="shared" si="3"/>
        <v>528000</v>
      </c>
      <c r="I15" s="10">
        <v>215</v>
      </c>
      <c r="J15" s="3">
        <f t="shared" si="4"/>
        <v>860000</v>
      </c>
      <c r="K15" s="11">
        <f t="shared" si="0"/>
        <v>1388000</v>
      </c>
      <c r="L15" s="65">
        <f t="shared" si="1"/>
        <v>95.447668821345076</v>
      </c>
      <c r="M15" s="54"/>
    </row>
    <row r="16" spans="1:13" ht="17.100000000000001" customHeight="1">
      <c r="A16" s="64"/>
      <c r="B16" s="61">
        <v>8</v>
      </c>
      <c r="C16" s="28">
        <f>Electricity!C15</f>
        <v>9</v>
      </c>
      <c r="D16" s="28">
        <f>Electricity!D15</f>
        <v>32</v>
      </c>
      <c r="E16" s="10">
        <v>0</v>
      </c>
      <c r="F16" s="3">
        <f t="shared" si="2"/>
        <v>0</v>
      </c>
      <c r="G16" s="10">
        <v>141</v>
      </c>
      <c r="H16" s="3">
        <f t="shared" si="3"/>
        <v>564000</v>
      </c>
      <c r="I16" s="10">
        <v>209</v>
      </c>
      <c r="J16" s="3">
        <f t="shared" si="4"/>
        <v>836000</v>
      </c>
      <c r="K16" s="11">
        <f t="shared" si="0"/>
        <v>1400000</v>
      </c>
      <c r="L16" s="65">
        <f t="shared" si="1"/>
        <v>96.272864805391279</v>
      </c>
      <c r="M16" s="54"/>
    </row>
    <row r="17" spans="1:13" ht="17.100000000000001" customHeight="1">
      <c r="A17" s="64"/>
      <c r="B17" s="61">
        <v>9</v>
      </c>
      <c r="C17" s="28">
        <f>Electricity!C16</f>
        <v>7</v>
      </c>
      <c r="D17" s="28">
        <f>Electricity!D16</f>
        <v>41</v>
      </c>
      <c r="E17" s="10">
        <v>0</v>
      </c>
      <c r="F17" s="3">
        <f t="shared" si="2"/>
        <v>0</v>
      </c>
      <c r="G17" s="10">
        <v>143</v>
      </c>
      <c r="H17" s="3">
        <f t="shared" si="3"/>
        <v>572000</v>
      </c>
      <c r="I17" s="10">
        <v>211</v>
      </c>
      <c r="J17" s="3">
        <f t="shared" si="4"/>
        <v>844000</v>
      </c>
      <c r="K17" s="11">
        <f t="shared" si="0"/>
        <v>1416000</v>
      </c>
      <c r="L17" s="65">
        <f t="shared" si="1"/>
        <v>97.373126117452898</v>
      </c>
      <c r="M17" s="54"/>
    </row>
    <row r="18" spans="1:13" ht="17.100000000000001" customHeight="1">
      <c r="A18" s="64"/>
      <c r="B18" s="61">
        <v>10</v>
      </c>
      <c r="C18" s="28">
        <f>Electricity!C17</f>
        <v>9</v>
      </c>
      <c r="D18" s="28">
        <f>Electricity!D17</f>
        <v>43</v>
      </c>
      <c r="E18" s="10">
        <v>0</v>
      </c>
      <c r="F18" s="3">
        <f t="shared" si="2"/>
        <v>0</v>
      </c>
      <c r="G18" s="10">
        <v>131</v>
      </c>
      <c r="H18" s="3">
        <f t="shared" si="3"/>
        <v>524000</v>
      </c>
      <c r="I18" s="10">
        <v>193</v>
      </c>
      <c r="J18" s="3">
        <f t="shared" si="4"/>
        <v>772000</v>
      </c>
      <c r="K18" s="11">
        <f t="shared" si="0"/>
        <v>1296000</v>
      </c>
      <c r="L18" s="65">
        <f t="shared" si="1"/>
        <v>89.121166276990792</v>
      </c>
      <c r="M18" s="54"/>
    </row>
    <row r="19" spans="1:13" ht="17.100000000000001" customHeight="1">
      <c r="A19" s="64"/>
      <c r="B19" s="61">
        <v>11</v>
      </c>
      <c r="C19" s="28">
        <f>Electricity!C18</f>
        <v>17</v>
      </c>
      <c r="D19" s="28">
        <f>Electricity!D18</f>
        <v>40</v>
      </c>
      <c r="E19" s="10">
        <v>0</v>
      </c>
      <c r="F19" s="3">
        <f t="shared" si="2"/>
        <v>0</v>
      </c>
      <c r="G19" s="10">
        <v>147</v>
      </c>
      <c r="H19" s="3">
        <f t="shared" si="3"/>
        <v>588000</v>
      </c>
      <c r="I19" s="10">
        <v>214</v>
      </c>
      <c r="J19" s="3">
        <f t="shared" si="4"/>
        <v>856000</v>
      </c>
      <c r="K19" s="11">
        <f t="shared" si="0"/>
        <v>1444000</v>
      </c>
      <c r="L19" s="65">
        <f t="shared" si="1"/>
        <v>99.298583413560721</v>
      </c>
      <c r="M19" s="54"/>
    </row>
    <row r="20" spans="1:13" ht="17.100000000000001" customHeight="1">
      <c r="A20" s="64"/>
      <c r="B20" s="61">
        <v>12</v>
      </c>
      <c r="C20" s="28">
        <f>Electricity!C19</f>
        <v>13</v>
      </c>
      <c r="D20" s="28">
        <f>Electricity!D19</f>
        <v>61</v>
      </c>
      <c r="E20" s="10">
        <v>0</v>
      </c>
      <c r="F20" s="3">
        <f t="shared" si="2"/>
        <v>0</v>
      </c>
      <c r="G20" s="10">
        <v>140</v>
      </c>
      <c r="H20" s="3">
        <f>G20*4000</f>
        <v>560000</v>
      </c>
      <c r="I20" s="10">
        <v>212</v>
      </c>
      <c r="J20" s="3">
        <f t="shared" si="4"/>
        <v>848000</v>
      </c>
      <c r="K20" s="11">
        <f t="shared" si="0"/>
        <v>1408000</v>
      </c>
      <c r="L20" s="65">
        <f t="shared" si="1"/>
        <v>96.822995461422082</v>
      </c>
      <c r="M20" s="54"/>
    </row>
    <row r="21" spans="1:13" ht="17.100000000000001" customHeight="1">
      <c r="A21" s="64"/>
      <c r="B21" s="61">
        <v>13</v>
      </c>
      <c r="C21" s="28">
        <f>Electricity!C20</f>
        <v>8</v>
      </c>
      <c r="D21" s="28">
        <f>Electricity!D20</f>
        <v>53</v>
      </c>
      <c r="E21" s="10">
        <v>0</v>
      </c>
      <c r="F21" s="3">
        <f t="shared" si="2"/>
        <v>0</v>
      </c>
      <c r="G21" s="10">
        <v>148</v>
      </c>
      <c r="H21" s="3">
        <f t="shared" si="3"/>
        <v>592000</v>
      </c>
      <c r="I21" s="10">
        <v>209</v>
      </c>
      <c r="J21" s="3">
        <f t="shared" si="4"/>
        <v>836000</v>
      </c>
      <c r="K21" s="11">
        <f t="shared" si="0"/>
        <v>1428000</v>
      </c>
      <c r="L21" s="65">
        <f t="shared" si="1"/>
        <v>98.198322101499102</v>
      </c>
      <c r="M21" s="54"/>
    </row>
    <row r="22" spans="1:13" ht="17.100000000000001" customHeight="1">
      <c r="A22" s="64"/>
      <c r="B22" s="61">
        <v>14</v>
      </c>
      <c r="C22" s="28">
        <f>Electricity!C21</f>
        <v>4</v>
      </c>
      <c r="D22" s="28">
        <f>Electricity!D21</f>
        <v>28</v>
      </c>
      <c r="E22" s="10">
        <v>0</v>
      </c>
      <c r="F22" s="3">
        <f t="shared" si="2"/>
        <v>0</v>
      </c>
      <c r="G22" s="10">
        <v>141</v>
      </c>
      <c r="H22" s="3">
        <f t="shared" si="3"/>
        <v>564000</v>
      </c>
      <c r="I22" s="10">
        <v>210</v>
      </c>
      <c r="J22" s="3">
        <f t="shared" si="4"/>
        <v>840000</v>
      </c>
      <c r="K22" s="11">
        <f t="shared" si="0"/>
        <v>1404000</v>
      </c>
      <c r="L22" s="65">
        <f t="shared" si="1"/>
        <v>96.54793013340668</v>
      </c>
      <c r="M22" s="54"/>
    </row>
    <row r="23" spans="1:13" ht="17.100000000000001" customHeight="1">
      <c r="A23" s="64"/>
      <c r="B23" s="61">
        <v>15</v>
      </c>
      <c r="C23" s="28">
        <f>Electricity!C22</f>
        <v>5</v>
      </c>
      <c r="D23" s="28">
        <f>Electricity!D22</f>
        <v>36</v>
      </c>
      <c r="E23" s="10">
        <v>0</v>
      </c>
      <c r="F23" s="3">
        <f t="shared" si="2"/>
        <v>0</v>
      </c>
      <c r="G23" s="10">
        <v>147</v>
      </c>
      <c r="H23" s="3">
        <f t="shared" si="3"/>
        <v>588000</v>
      </c>
      <c r="I23" s="10">
        <v>212</v>
      </c>
      <c r="J23" s="3">
        <f t="shared" si="4"/>
        <v>848000</v>
      </c>
      <c r="K23" s="11">
        <f t="shared" si="0"/>
        <v>1436000</v>
      </c>
      <c r="L23" s="65">
        <f t="shared" si="1"/>
        <v>98.748452757529918</v>
      </c>
      <c r="M23" s="54"/>
    </row>
    <row r="24" spans="1:13" ht="17.100000000000001" customHeight="1">
      <c r="A24" s="64"/>
      <c r="B24" s="61">
        <v>16</v>
      </c>
      <c r="C24" s="28">
        <f>Electricity!C23</f>
        <v>9</v>
      </c>
      <c r="D24" s="28">
        <f>Electricity!D23</f>
        <v>36</v>
      </c>
      <c r="E24" s="10">
        <v>0</v>
      </c>
      <c r="F24" s="3">
        <f t="shared" si="2"/>
        <v>0</v>
      </c>
      <c r="G24" s="10">
        <v>134</v>
      </c>
      <c r="H24" s="3">
        <f t="shared" si="3"/>
        <v>536000</v>
      </c>
      <c r="I24" s="10">
        <v>193</v>
      </c>
      <c r="J24" s="3">
        <f t="shared" si="4"/>
        <v>772000</v>
      </c>
      <c r="K24" s="11">
        <f t="shared" si="0"/>
        <v>1308000</v>
      </c>
      <c r="L24" s="65">
        <f t="shared" si="1"/>
        <v>89.946362261036995</v>
      </c>
      <c r="M24" s="54"/>
    </row>
    <row r="25" spans="1:13" ht="17.100000000000001" customHeight="1">
      <c r="A25" s="64"/>
      <c r="B25" s="61">
        <v>17</v>
      </c>
      <c r="C25" s="28">
        <f>Electricity!C24</f>
        <v>8</v>
      </c>
      <c r="D25" s="28">
        <f>Electricity!D24</f>
        <v>69</v>
      </c>
      <c r="E25" s="10">
        <v>0</v>
      </c>
      <c r="F25" s="3">
        <f t="shared" si="2"/>
        <v>0</v>
      </c>
      <c r="G25" s="10">
        <v>138</v>
      </c>
      <c r="H25" s="3">
        <f t="shared" si="3"/>
        <v>552000</v>
      </c>
      <c r="I25" s="10">
        <v>214</v>
      </c>
      <c r="J25" s="3">
        <f t="shared" si="4"/>
        <v>856000</v>
      </c>
      <c r="K25" s="11">
        <f t="shared" si="0"/>
        <v>1408000</v>
      </c>
      <c r="L25" s="65">
        <f t="shared" si="1"/>
        <v>96.822995461422082</v>
      </c>
      <c r="M25" s="54"/>
    </row>
    <row r="26" spans="1:13" ht="17.100000000000001" customHeight="1">
      <c r="A26" s="64"/>
      <c r="B26" s="61">
        <v>18</v>
      </c>
      <c r="C26" s="28">
        <f>Electricity!C25</f>
        <v>10</v>
      </c>
      <c r="D26" s="28">
        <f>Electricity!D25</f>
        <v>65</v>
      </c>
      <c r="E26" s="10">
        <v>0</v>
      </c>
      <c r="F26" s="3">
        <f t="shared" si="2"/>
        <v>0</v>
      </c>
      <c r="G26" s="10">
        <v>140</v>
      </c>
      <c r="H26" s="3">
        <f t="shared" si="3"/>
        <v>560000</v>
      </c>
      <c r="I26" s="10">
        <v>209</v>
      </c>
      <c r="J26" s="3">
        <f t="shared" si="4"/>
        <v>836000</v>
      </c>
      <c r="K26" s="11">
        <f t="shared" si="0"/>
        <v>1396000</v>
      </c>
      <c r="L26" s="65">
        <f t="shared" si="1"/>
        <v>95.997799477375878</v>
      </c>
      <c r="M26" s="54"/>
    </row>
    <row r="27" spans="1:13" ht="17.100000000000001" customHeight="1">
      <c r="A27" s="64"/>
      <c r="B27" s="61">
        <v>19</v>
      </c>
      <c r="C27" s="28">
        <f>Electricity!C26</f>
        <v>12</v>
      </c>
      <c r="D27" s="28">
        <f>Electricity!D26</f>
        <v>85</v>
      </c>
      <c r="E27" s="10">
        <v>0</v>
      </c>
      <c r="F27" s="3">
        <f t="shared" si="2"/>
        <v>0</v>
      </c>
      <c r="G27" s="10">
        <v>138</v>
      </c>
      <c r="H27" s="3">
        <f t="shared" si="3"/>
        <v>552000</v>
      </c>
      <c r="I27" s="10">
        <v>203</v>
      </c>
      <c r="J27" s="3">
        <f t="shared" si="4"/>
        <v>812000</v>
      </c>
      <c r="K27" s="11">
        <f t="shared" si="0"/>
        <v>1364000</v>
      </c>
      <c r="L27" s="65">
        <f t="shared" si="1"/>
        <v>93.797276853252654</v>
      </c>
      <c r="M27" s="54"/>
    </row>
    <row r="28" spans="1:13" ht="17.100000000000001" customHeight="1">
      <c r="A28" s="64"/>
      <c r="B28" s="61">
        <v>20</v>
      </c>
      <c r="C28" s="28">
        <f>Electricity!C27</f>
        <v>7</v>
      </c>
      <c r="D28" s="28">
        <f>Electricity!D27</f>
        <v>81</v>
      </c>
      <c r="E28" s="10">
        <v>0</v>
      </c>
      <c r="F28" s="3">
        <f t="shared" si="2"/>
        <v>0</v>
      </c>
      <c r="G28" s="10">
        <v>136</v>
      </c>
      <c r="H28" s="3">
        <f t="shared" si="3"/>
        <v>544000</v>
      </c>
      <c r="I28" s="10">
        <v>181</v>
      </c>
      <c r="J28" s="3">
        <f t="shared" si="4"/>
        <v>724000</v>
      </c>
      <c r="K28" s="11">
        <f t="shared" si="0"/>
        <v>1268000</v>
      </c>
      <c r="L28" s="65">
        <f t="shared" si="1"/>
        <v>87.195708980882955</v>
      </c>
      <c r="M28" s="54"/>
    </row>
    <row r="29" spans="1:13" ht="17.100000000000001" customHeight="1">
      <c r="A29" s="64"/>
      <c r="B29" s="61">
        <v>21</v>
      </c>
      <c r="C29" s="28">
        <f>Electricity!C28</f>
        <v>7</v>
      </c>
      <c r="D29" s="28">
        <f>Electricity!D28</f>
        <v>52</v>
      </c>
      <c r="E29" s="10">
        <v>0</v>
      </c>
      <c r="F29" s="3">
        <f t="shared" si="2"/>
        <v>0</v>
      </c>
      <c r="G29" s="10">
        <v>140</v>
      </c>
      <c r="H29" s="3">
        <f t="shared" si="3"/>
        <v>560000</v>
      </c>
      <c r="I29" s="10">
        <v>206</v>
      </c>
      <c r="J29" s="3">
        <f t="shared" si="4"/>
        <v>824000</v>
      </c>
      <c r="K29" s="11">
        <f t="shared" si="0"/>
        <v>1384000</v>
      </c>
      <c r="L29" s="65">
        <f t="shared" si="1"/>
        <v>95.17260349332966</v>
      </c>
      <c r="M29" s="54"/>
    </row>
    <row r="30" spans="1:13" ht="17.100000000000001" customHeight="1">
      <c r="A30" s="64"/>
      <c r="B30" s="61">
        <v>22</v>
      </c>
      <c r="C30" s="28">
        <f>Electricity!C29</f>
        <v>14</v>
      </c>
      <c r="D30" s="28">
        <f>Electricity!D29</f>
        <v>55</v>
      </c>
      <c r="E30" s="10">
        <v>0</v>
      </c>
      <c r="F30" s="3">
        <f t="shared" si="2"/>
        <v>0</v>
      </c>
      <c r="G30" s="10">
        <v>134</v>
      </c>
      <c r="H30" s="3">
        <f t="shared" si="3"/>
        <v>536000</v>
      </c>
      <c r="I30" s="10">
        <v>196</v>
      </c>
      <c r="J30" s="3">
        <f t="shared" si="4"/>
        <v>784000</v>
      </c>
      <c r="K30" s="11">
        <f t="shared" si="0"/>
        <v>1320000</v>
      </c>
      <c r="L30" s="65">
        <f t="shared" si="1"/>
        <v>90.771558245083213</v>
      </c>
      <c r="M30" s="54"/>
    </row>
    <row r="31" spans="1:13" ht="17.100000000000001" customHeight="1">
      <c r="A31" s="64"/>
      <c r="B31" s="61">
        <v>23</v>
      </c>
      <c r="C31" s="28">
        <f>Electricity!C30</f>
        <v>10</v>
      </c>
      <c r="D31" s="28">
        <f>Electricity!D30</f>
        <v>61</v>
      </c>
      <c r="E31" s="10">
        <v>0</v>
      </c>
      <c r="F31" s="3">
        <f t="shared" si="2"/>
        <v>0</v>
      </c>
      <c r="G31" s="10">
        <v>48</v>
      </c>
      <c r="H31" s="3">
        <f t="shared" si="3"/>
        <v>192000</v>
      </c>
      <c r="I31" s="10">
        <v>209</v>
      </c>
      <c r="J31" s="3">
        <f t="shared" si="4"/>
        <v>836000</v>
      </c>
      <c r="K31" s="11">
        <f t="shared" si="0"/>
        <v>1028000</v>
      </c>
      <c r="L31" s="65">
        <f t="shared" si="1"/>
        <v>70.691789299958742</v>
      </c>
      <c r="M31" s="54"/>
    </row>
    <row r="32" spans="1:13" ht="17.100000000000001" customHeight="1">
      <c r="A32" s="64"/>
      <c r="B32" s="61">
        <v>24</v>
      </c>
      <c r="C32" s="28">
        <f>Electricity!C31</f>
        <v>11</v>
      </c>
      <c r="D32" s="28">
        <f>Electricity!D31</f>
        <v>56</v>
      </c>
      <c r="E32" s="10">
        <v>0</v>
      </c>
      <c r="F32" s="3">
        <f t="shared" si="2"/>
        <v>0</v>
      </c>
      <c r="G32" s="10">
        <v>222</v>
      </c>
      <c r="H32" s="3">
        <f t="shared" si="3"/>
        <v>888000</v>
      </c>
      <c r="I32" s="10">
        <v>190</v>
      </c>
      <c r="J32" s="3">
        <f t="shared" si="4"/>
        <v>760000</v>
      </c>
      <c r="K32" s="11">
        <f t="shared" si="0"/>
        <v>1648000</v>
      </c>
      <c r="L32" s="65">
        <f t="shared" si="1"/>
        <v>113.32691514234631</v>
      </c>
      <c r="M32" s="54"/>
    </row>
    <row r="33" spans="1:15" ht="17.100000000000001" customHeight="1">
      <c r="A33" s="64"/>
      <c r="B33" s="61">
        <v>25</v>
      </c>
      <c r="C33" s="28">
        <f>Electricity!C32</f>
        <v>14</v>
      </c>
      <c r="D33" s="28">
        <f>Electricity!D32</f>
        <v>75</v>
      </c>
      <c r="E33" s="10">
        <v>0</v>
      </c>
      <c r="F33" s="3">
        <f t="shared" si="2"/>
        <v>0</v>
      </c>
      <c r="G33" s="10">
        <v>133</v>
      </c>
      <c r="H33" s="3">
        <f t="shared" si="3"/>
        <v>532000</v>
      </c>
      <c r="I33" s="10">
        <v>200</v>
      </c>
      <c r="J33" s="3">
        <f t="shared" si="4"/>
        <v>800000</v>
      </c>
      <c r="K33" s="11">
        <f t="shared" si="0"/>
        <v>1332000</v>
      </c>
      <c r="L33" s="65">
        <f t="shared" si="1"/>
        <v>91.596754229129417</v>
      </c>
      <c r="M33" s="54"/>
    </row>
    <row r="34" spans="1:15" ht="17.100000000000001" customHeight="1">
      <c r="A34" s="64"/>
      <c r="B34" s="61">
        <v>26</v>
      </c>
      <c r="C34" s="28">
        <f>Electricity!C33</f>
        <v>20</v>
      </c>
      <c r="D34" s="28">
        <f>Electricity!D33</f>
        <v>75</v>
      </c>
      <c r="E34" s="10">
        <v>0</v>
      </c>
      <c r="F34" s="3">
        <f t="shared" si="2"/>
        <v>0</v>
      </c>
      <c r="G34" s="10">
        <v>141</v>
      </c>
      <c r="H34" s="3">
        <f t="shared" si="3"/>
        <v>564000</v>
      </c>
      <c r="I34" s="10">
        <v>203</v>
      </c>
      <c r="J34" s="3">
        <f t="shared" si="4"/>
        <v>812000</v>
      </c>
      <c r="K34" s="11">
        <f t="shared" si="0"/>
        <v>1376000</v>
      </c>
      <c r="L34" s="65">
        <f t="shared" si="1"/>
        <v>94.622472837298858</v>
      </c>
      <c r="M34" s="54"/>
    </row>
    <row r="35" spans="1:15" ht="17.100000000000001" customHeight="1">
      <c r="A35" s="64"/>
      <c r="B35" s="61">
        <v>27</v>
      </c>
      <c r="C35" s="28">
        <f>Electricity!C34</f>
        <v>16</v>
      </c>
      <c r="D35" s="28">
        <f>Electricity!D34</f>
        <v>111</v>
      </c>
      <c r="E35" s="10">
        <v>0</v>
      </c>
      <c r="F35" s="3">
        <f t="shared" si="2"/>
        <v>0</v>
      </c>
      <c r="G35" s="10">
        <v>131</v>
      </c>
      <c r="H35" s="3">
        <f t="shared" si="3"/>
        <v>524000</v>
      </c>
      <c r="I35" s="10">
        <v>192</v>
      </c>
      <c r="J35" s="3">
        <f t="shared" si="4"/>
        <v>768000</v>
      </c>
      <c r="K35" s="11">
        <f t="shared" si="0"/>
        <v>1292000</v>
      </c>
      <c r="L35" s="65">
        <f t="shared" si="1"/>
        <v>88.846100948975376</v>
      </c>
      <c r="M35" s="54"/>
    </row>
    <row r="36" spans="1:15" ht="17.100000000000001" customHeight="1">
      <c r="A36" s="64"/>
      <c r="B36" s="61">
        <v>28</v>
      </c>
      <c r="C36" s="28">
        <f>Electricity!C35</f>
        <v>15</v>
      </c>
      <c r="D36" s="28">
        <f>Electricity!D35</f>
        <v>84</v>
      </c>
      <c r="E36" s="10">
        <v>0</v>
      </c>
      <c r="F36" s="3">
        <f t="shared" si="2"/>
        <v>0</v>
      </c>
      <c r="G36" s="10">
        <v>134</v>
      </c>
      <c r="H36" s="3">
        <f t="shared" si="3"/>
        <v>536000</v>
      </c>
      <c r="I36" s="10">
        <v>196</v>
      </c>
      <c r="J36" s="3">
        <f t="shared" si="4"/>
        <v>784000</v>
      </c>
      <c r="K36" s="11">
        <f t="shared" si="0"/>
        <v>1320000</v>
      </c>
      <c r="L36" s="65">
        <f t="shared" si="1"/>
        <v>90.771558245083213</v>
      </c>
      <c r="M36" s="54"/>
    </row>
    <row r="37" spans="1:15" ht="17.100000000000001" customHeight="1">
      <c r="A37" s="64"/>
      <c r="B37" s="61">
        <v>29</v>
      </c>
      <c r="C37" s="28">
        <f>Electricity!C36</f>
        <v>20</v>
      </c>
      <c r="D37" s="28">
        <f>Electricity!D36</f>
        <v>88</v>
      </c>
      <c r="E37" s="10">
        <v>0</v>
      </c>
      <c r="F37" s="3">
        <f t="shared" si="2"/>
        <v>0</v>
      </c>
      <c r="G37" s="10">
        <v>139</v>
      </c>
      <c r="H37" s="3">
        <f t="shared" si="3"/>
        <v>556000</v>
      </c>
      <c r="I37" s="10">
        <v>210</v>
      </c>
      <c r="J37" s="3">
        <f t="shared" si="4"/>
        <v>840000</v>
      </c>
      <c r="K37" s="11">
        <f t="shared" si="0"/>
        <v>1396000</v>
      </c>
      <c r="L37" s="65">
        <f t="shared" si="1"/>
        <v>95.997799477375878</v>
      </c>
      <c r="M37" s="54"/>
    </row>
    <row r="38" spans="1:15" ht="17.100000000000001" customHeight="1">
      <c r="A38" s="64"/>
      <c r="B38" s="61">
        <v>30</v>
      </c>
      <c r="C38" s="28">
        <f>Electricity!C37</f>
        <v>17</v>
      </c>
      <c r="D38" s="28">
        <f>Electricity!D37</f>
        <v>96</v>
      </c>
      <c r="E38" s="10">
        <v>0</v>
      </c>
      <c r="F38" s="3">
        <f t="shared" si="2"/>
        <v>0</v>
      </c>
      <c r="G38" s="10">
        <v>134</v>
      </c>
      <c r="H38" s="3">
        <f t="shared" si="3"/>
        <v>536000</v>
      </c>
      <c r="I38" s="10">
        <v>222</v>
      </c>
      <c r="J38" s="3">
        <f t="shared" si="4"/>
        <v>888000</v>
      </c>
      <c r="K38" s="11">
        <f t="shared" si="0"/>
        <v>1424000</v>
      </c>
      <c r="L38" s="65">
        <f t="shared" si="1"/>
        <v>97.9232567734837</v>
      </c>
      <c r="M38" s="54"/>
    </row>
    <row r="39" spans="1:15" ht="15.75">
      <c r="C39" s="18">
        <f>SUM(C9:C38)</f>
        <v>315</v>
      </c>
      <c r="D39" s="18">
        <f>SUM(D9:D38)</f>
        <v>1678</v>
      </c>
      <c r="E39" s="18">
        <v>0</v>
      </c>
      <c r="G39" s="18">
        <f>SUM(G9:G38)</f>
        <v>4040</v>
      </c>
      <c r="I39" s="18">
        <f>SUM(I9:I38)</f>
        <v>6166</v>
      </c>
      <c r="K39" s="74">
        <f>SUM(K9:K38)</f>
        <v>40824000</v>
      </c>
      <c r="L39" s="38">
        <f>SUM(L9:L38)</f>
        <v>2807.3167377252103</v>
      </c>
      <c r="O39" s="30"/>
    </row>
    <row r="40" spans="1:15">
      <c r="I40" s="32"/>
      <c r="L40" s="31"/>
    </row>
    <row r="41" spans="1:15">
      <c r="C41" t="s">
        <v>29</v>
      </c>
      <c r="E41" s="6"/>
      <c r="F41" s="6"/>
      <c r="G41" s="6"/>
      <c r="H41" s="6"/>
      <c r="L41" s="34"/>
    </row>
    <row r="42" spans="1:15" ht="14.25">
      <c r="E42" s="6"/>
      <c r="F42" s="6"/>
      <c r="G42" s="6"/>
      <c r="H42" s="92" t="s">
        <v>60</v>
      </c>
      <c r="I42" s="92"/>
      <c r="J42" s="73">
        <f>G39+I39</f>
        <v>10206</v>
      </c>
    </row>
  </sheetData>
  <mergeCells count="17">
    <mergeCell ref="B3:L3"/>
    <mergeCell ref="E6:F6"/>
    <mergeCell ref="H42:I42"/>
    <mergeCell ref="B2:L2"/>
    <mergeCell ref="F7:F8"/>
    <mergeCell ref="G7:G8"/>
    <mergeCell ref="H7:H8"/>
    <mergeCell ref="I7:I8"/>
    <mergeCell ref="J7:J8"/>
    <mergeCell ref="C6:C8"/>
    <mergeCell ref="D6:D8"/>
    <mergeCell ref="K6:K8"/>
    <mergeCell ref="L6:L8"/>
    <mergeCell ref="E7:E8"/>
    <mergeCell ref="B6:B8"/>
    <mergeCell ref="G6:J6"/>
    <mergeCell ref="B5:L5"/>
  </mergeCells>
  <pageMargins left="1.5748031496062993" right="0.19685039370078741" top="0.78740157480314965" bottom="0" header="0.51181102362204722" footer="0.51181102362204722"/>
  <pageSetup paperSize="9" scale="72" orientation="landscape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6" ma:contentTypeDescription="Create a new document." ma:contentTypeScope="" ma:versionID="81c4672c6da02fb7b1db7e17f6ab04dc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5e8184ae449050ae8cb2550de7fb5cfb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2154773-ac21-4fb3-b0da-32da3ecd890c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6CE77E5-F11C-4F20-9767-49A6740EB04C}"/>
</file>

<file path=customXml/itemProps2.xml><?xml version="1.0" encoding="utf-8"?>
<ds:datastoreItem xmlns:ds="http://schemas.openxmlformats.org/officeDocument/2006/customXml" ds:itemID="{C94B19BD-07EB-455D-8247-15230974CB43}"/>
</file>

<file path=customXml/itemProps3.xml><?xml version="1.0" encoding="utf-8"?>
<ds:datastoreItem xmlns:ds="http://schemas.openxmlformats.org/officeDocument/2006/customXml" ds:itemID="{DB46D33D-C45E-49F4-8672-4C6A75145E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FSRB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Dinna Wiji Safitri</cp:lastModifiedBy>
  <cp:revision/>
  <dcterms:created xsi:type="dcterms:W3CDTF">2009-02-11T09:03:59Z</dcterms:created>
  <dcterms:modified xsi:type="dcterms:W3CDTF">2023-02-18T04:49:02Z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MediaServiceImageTags">
    <vt:lpwstr/>
  </property>
</Properties>
</file>