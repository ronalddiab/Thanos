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F283F3B2-C32B-4723-816D-C9C366851FE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<sst xmlns="http://schemas.openxmlformats.org/spreadsheetml/2006/main" count="201" uniqueCount="128">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</sst>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>
        <v>19</v>
      </c>
      <c r="N12" s="72">
        <v>44</v>
      </c>
      <c r="O12" s="72">
        <v>116</v>
      </c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>
        <v>20</v>
      </c>
      <c r="N13" s="72">
        <v>50</v>
      </c>
      <c r="O13" s="72">
        <v>151</v>
      </c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>
        <v>18</v>
      </c>
      <c r="N14" s="72">
        <v>49</v>
      </c>
      <c r="O14" s="72">
        <v>144</v>
      </c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>
        <v>11</v>
      </c>
      <c r="N15" s="72">
        <v>32</v>
      </c>
      <c r="O15" s="72">
        <v>78</v>
      </c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>
        <v>9</v>
      </c>
      <c r="N16" s="72">
        <v>30</v>
      </c>
      <c r="O16" s="72">
        <v>69</v>
      </c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343710.00000000023</v>
      </c>
      <c r="F33" s="104">
        <v>0</v>
      </c>
      <c r="G33" s="101">
        <f>SUM(G2:G32)</f>
        <v>94248</v>
      </c>
      <c r="H33" s="102">
        <v>0</v>
      </c>
      <c r="I33" s="103">
        <f>SUM(I2:I32)</f>
        <v>4797</v>
      </c>
      <c r="J33" s="104">
        <v>0</v>
      </c>
      <c r="K33" s="105">
        <v>0</v>
      </c>
      <c r="L33" s="102">
        <v>0</v>
      </c>
      <c r="M33" s="106">
        <f t="shared" ref="M33:O33" si="1">SUM(M2:M32)</f>
        <v>231</v>
      </c>
      <c r="N33" s="106">
        <f t="shared" si="1"/>
        <v>581</v>
      </c>
      <c r="O33" s="106">
        <f t="shared" si="1"/>
        <v>1703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1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>
        <v>19</v>
      </c>
      <c r="W14" s="71">
        <v>44</v>
      </c>
      <c r="X14" s="71">
        <v>116</v>
      </c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>
        <v>20</v>
      </c>
      <c r="W15" s="71">
        <v>50</v>
      </c>
      <c r="X15" s="71">
        <v>151</v>
      </c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>
        <v>18</v>
      </c>
      <c r="W16" s="71">
        <v>49</v>
      </c>
      <c r="X16" s="71">
        <v>144</v>
      </c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>
        <v>11</v>
      </c>
      <c r="W17" s="71">
        <v>32</v>
      </c>
      <c r="X17" s="71">
        <v>78</v>
      </c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>
        <v>9</v>
      </c>
      <c r="W18" s="71">
        <v>30</v>
      </c>
      <c r="X18" s="71">
        <v>69</v>
      </c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/>
      <c r="W19" s="71"/>
      <c r="X19" s="71"/>
      <c r="Y19" s="17"/>
    </row>
    <row r="20" spans="1:25" ht="21" customHeight="1" x14ac:dyDescent="0.25">
      <c r="A20" s="8">
        <v>44364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44365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231</v>
      </c>
      <c r="W35" s="78">
        <f>SUM(W4:W34)</f>
        <v>581</v>
      </c>
      <c r="X35" s="78">
        <f>SUM(X4:X34)</f>
        <v>1703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0</v>
      </c>
      <c r="C19" s="4">
        <f>('Kwh Reading'!T20-'Kwh Reading'!T19)*1000</f>
        <v>-414180</v>
      </c>
      <c r="D19" s="2">
        <f>('Kwh Reading'!F20-'Kwh Reading'!F19)*1000000</f>
        <v>-2343800</v>
      </c>
      <c r="E19" s="2">
        <f>('Kwh Reading'!C20-'Kwh Reading'!C19)*1000</f>
        <v>-226190</v>
      </c>
      <c r="F19" s="2">
        <f>('Kwh Reading'!J20-'Kwh Reading'!J19)*1000</f>
        <v>-313290</v>
      </c>
      <c r="G19" s="2">
        <f>('Kwh Reading'!K20-'Kwh Reading'!K19)*1000</f>
        <v>-336990</v>
      </c>
      <c r="H19" s="2">
        <f>('Kwh Reading'!L20-'Kwh Reading'!L19)*1000</f>
        <v>-231080</v>
      </c>
      <c r="I19" s="2">
        <f>('Kwh Reading'!R20-'Kwh Reading'!R19)*1000</f>
        <v>-153240</v>
      </c>
      <c r="J19" s="2">
        <f>('Kwh Reading'!S20-'Kwh Reading'!S19)*1000</f>
        <v>-113200</v>
      </c>
      <c r="K19" s="2">
        <f>('Kwh Reading'!I20-'Kwh Reading'!I19)*1000</f>
        <v>-231110</v>
      </c>
      <c r="L19" s="2">
        <f>('Kwh Reading'!B20-'Kwh Reading'!B19)*1000</f>
        <v>-961020</v>
      </c>
      <c r="M19" s="2">
        <f>('Kwh Reading'!M20-'Kwh Reading'!M19)*1000</f>
        <v>-506740</v>
      </c>
      <c r="N19" s="2">
        <f>('Kwh Reading'!H20-'Kwh Reading'!H19)*1000</f>
        <v>-615160</v>
      </c>
      <c r="O19" s="2">
        <f>('Kwh Reading'!P20-'Kwh Reading'!P19)*1000</f>
        <v>-603010</v>
      </c>
      <c r="P19" s="2">
        <f>('Kwh Reading'!G20-'Kwh Reading'!G19)*1000</f>
        <v>-733550</v>
      </c>
      <c r="Q19" s="2">
        <f>('Kwh Reading'!Q20-'Kwh Reading'!Q19)*1000</f>
        <v>-450190</v>
      </c>
      <c r="R19" s="2">
        <f>('Kwh Reading'!N20-'Kwh Reading'!N19)*1000</f>
        <v>-461250</v>
      </c>
      <c r="S19" s="34">
        <f>'Kwh Reading'!E20-'Kwh Reading'!E19</f>
        <v>-8135560.4299999997</v>
      </c>
      <c r="T19" s="34">
        <f>'Kwh Reading'!D20-'Kwh Reading'!D19</f>
        <v>-7444179.2400000002</v>
      </c>
      <c r="U19" s="27">
        <f>('Kwh Reading'!O20-'Kwh Reading'!O19)*1000</f>
        <v>-148000</v>
      </c>
      <c r="V19" s="16">
        <f t="shared" si="1"/>
        <v>24421739.670000002</v>
      </c>
    </row>
    <row r="20" spans="1:22" x14ac:dyDescent="0.25">
      <c r="A20" s="3">
        <f>'Kwh Reading'!A20</f>
        <v>44364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346479.99999999953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-148639.99999999997</v>
      </c>
      <c r="J35" s="75">
        <f t="shared" si="6"/>
        <v>-111340</v>
      </c>
      <c r="K35" s="75">
        <f t="shared" si="6"/>
        <v>-226280</v>
      </c>
      <c r="L35" s="75">
        <f t="shared" si="6"/>
        <v>-941590</v>
      </c>
      <c r="M35" s="75">
        <f t="shared" si="6"/>
        <v>-494460</v>
      </c>
      <c r="N35" s="75">
        <f t="shared" si="6"/>
        <v>-608010</v>
      </c>
      <c r="O35" s="75">
        <f t="shared" si="6"/>
        <v>-586590</v>
      </c>
      <c r="P35" s="75">
        <f t="shared" si="6"/>
        <v>-719090.00000000012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24519892.770000003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0</v>
      </c>
      <c r="C18" s="1">
        <f>'Kwh Consumption'!C19</f>
        <v>-414180</v>
      </c>
      <c r="D18" s="1">
        <f>'Kwh Consumption'!D19</f>
        <v>-2343800</v>
      </c>
      <c r="E18" s="1">
        <f>'Kwh Consumption'!E19</f>
        <v>-226190</v>
      </c>
      <c r="F18" s="1">
        <f>('Kwh Consumption'!F19+'Kwh Consumption'!G19+'Kwh Consumption'!H19)</f>
        <v>-881360</v>
      </c>
      <c r="G18" s="16">
        <f>('Kwh Consumption'!I19+'Kwh Consumption'!J19)</f>
        <v>-266440</v>
      </c>
      <c r="H18" s="1">
        <f>('Kwh Consumption'!K19+'Kwh Consumption'!L19)</f>
        <v>-1192130</v>
      </c>
      <c r="I18" s="1">
        <f>('Kwh Consumption'!M19+'Kwh Consumption'!N19+'Kwh Consumption'!O19+'Kwh Consumption'!P19+'Kwh Consumption'!Q19+'Kwh Consumption'!R19)</f>
        <v>-3369900</v>
      </c>
      <c r="J18" s="1">
        <f>('Kwh Consumption'!S19+'Kwh Consumption'!T19)</f>
        <v>-15579739.67</v>
      </c>
      <c r="K18" s="31">
        <f>'Kwh Consumption'!U19</f>
        <v>-148000</v>
      </c>
      <c r="L18" s="32">
        <f t="shared" si="0"/>
        <v>24421739.670000002</v>
      </c>
    </row>
    <row r="19" spans="1:12" x14ac:dyDescent="0.25">
      <c r="A19" s="14">
        <f>'Kwh Reading'!A20</f>
        <v>44364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343710.00000000023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-259979.99999999997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-144040</v>
      </c>
      <c r="L34" s="75">
        <f t="shared" si="1"/>
        <v>24517122.770000003</v>
      </c>
      <c r="M34" s="84">
        <f>C34+D34+E34+F34+G34+H34+I34+J34+K34+L34</f>
        <v>343710.00000000373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-36397.199999999997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-20165.600000000002</v>
      </c>
      <c r="L36" s="75">
        <f>L34*B36</f>
        <v>3432397.1878000009</v>
      </c>
      <c r="M36" s="84">
        <f>C36+D36+E36+F36+G36+H36+I36+J36+K36+L36</f>
        <v>48119.400000000373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-57985.200000000004</v>
      </c>
      <c r="E18" s="1">
        <f>'Kwh Consumption'!D19*' Kwh area wise $ '!B18</f>
        <v>-328132.00000000006</v>
      </c>
      <c r="F18" s="1">
        <f>'Kwh Consumption'!E19*' Kwh area wise $ '!B18</f>
        <v>-31666.600000000002</v>
      </c>
      <c r="G18" s="1">
        <f>('Kwh Consumption'!F19+'Kwh Consumption'!G19+'Kwh Consumption'!H19)*' Kwh area wise $ '!B18</f>
        <v>-123390.40000000001</v>
      </c>
      <c r="H18" s="16">
        <f>('Kwh Consumption'!I19+'Kwh Consumption'!J19)*' Kwh area wise $ '!B18</f>
        <v>-37301.600000000006</v>
      </c>
      <c r="I18" s="1">
        <f>('Kwh Consumption'!K19+'Kwh Consumption'!L19)*' Kwh area wise $ '!B18</f>
        <v>-166898.20000000001</v>
      </c>
      <c r="J18" s="1">
        <f>('Kwh Consumption'!M19+'Kwh Consumption'!N19+'Kwh Consumption'!O19+'Kwh Consumption'!P19+'Kwh Consumption'!Q19+'Kwh Consumption'!R19)*' Kwh area wise $ '!B18</f>
        <v>-471786.00000000006</v>
      </c>
      <c r="K18" s="1">
        <f>('Kwh Consumption'!S19+'Kwh Consumption'!T19)*' Kwh area wise $ '!B18</f>
        <v>-2181163.5538000003</v>
      </c>
      <c r="L18" s="1">
        <f>'Kwh Consumption'!U19*' Kwh area wise $ '!B18</f>
        <v>-20720.000000000004</v>
      </c>
      <c r="M18" s="1">
        <f>'Kwh Consumption'!V19*' Kwh area wise $ '!B18</f>
        <v>3419043.5538000003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48507.199999999953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-2169230.3878000006</v>
      </c>
      <c r="L34" s="75">
        <f t="shared" si="0"/>
        <v>-20165.600000000002</v>
      </c>
      <c r="M34" s="75">
        <f>SUM(M3:M33)</f>
        <v>3432784.9878000002</v>
      </c>
      <c r="N34" s="84">
        <f>D34+E34+F34+G34+H34+I34+J34+K34+L34+M34</f>
        <v>48507.199999999255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8" sqref="R1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124493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51907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124160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44365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2" sqref="C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250</v>
      </c>
      <c r="D16" s="67">
        <f t="shared" si="2"/>
        <v>0.85910652920962194</v>
      </c>
      <c r="E16" s="87">
        <f>'Water Reading'!H16-'Water Reading'!H15</f>
        <v>-14</v>
      </c>
      <c r="F16" s="89">
        <f t="shared" si="3"/>
        <v>-5.6000000000000001E-2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0.84399999999999997</v>
      </c>
      <c r="I16" s="90">
        <f>'Water Reading'!P16-'Water Reading'!P15</f>
        <v>12</v>
      </c>
      <c r="J16" s="68">
        <f t="shared" si="5"/>
        <v>4.8000000000000001E-2</v>
      </c>
      <c r="K16" s="91">
        <f>('Water Reading'!I16-'Water Reading'!I15)-('Water Reading'!P16-'Water Reading'!P15)</f>
        <v>23</v>
      </c>
      <c r="L16" s="68">
        <f t="shared" si="6"/>
        <v>9.1999999999999998E-2</v>
      </c>
      <c r="M16" s="90">
        <f>'Water Reading'!R16-'Water Reading'!R15</f>
        <v>5</v>
      </c>
      <c r="N16" s="92">
        <f t="shared" si="7"/>
        <v>0.02</v>
      </c>
      <c r="O16" s="90">
        <f>'Water Reading'!Q16-'Water Reading'!Q15</f>
        <v>5</v>
      </c>
      <c r="P16" s="99">
        <f t="shared" si="8"/>
        <v>0.02</v>
      </c>
      <c r="Q16" s="91">
        <f>'Water Reading'!F16-'Water Reading'!F15</f>
        <v>1</v>
      </c>
      <c r="R16" s="100">
        <f t="shared" si="9"/>
        <v>4.0000000000000001E-3</v>
      </c>
      <c r="S16" s="94">
        <f>'Water Reading'!E16-'Water Reading'!E15</f>
        <v>63</v>
      </c>
      <c r="T16" s="100">
        <f t="shared" si="10"/>
        <v>0.252</v>
      </c>
      <c r="U16" s="90">
        <f>'Water Reading'!G16-'Water Reading'!G15</f>
        <v>18</v>
      </c>
      <c r="V16" s="100">
        <f t="shared" si="11"/>
        <v>7.1999999999999995E-2</v>
      </c>
      <c r="W16" s="90">
        <f>'Water Reading'!J16-'Water Reading'!J15</f>
        <v>19</v>
      </c>
      <c r="X16" s="100">
        <f t="shared" si="12"/>
        <v>7.5999999999999998E-2</v>
      </c>
      <c r="Y16" s="66">
        <f t="shared" si="0"/>
        <v>343</v>
      </c>
      <c r="Z16" s="67">
        <f t="shared" si="1"/>
        <v>1.1786941580756014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-102</v>
      </c>
      <c r="D17" s="67">
        <f t="shared" si="2"/>
        <v>-0.37226277372262773</v>
      </c>
      <c r="E17" s="87">
        <f>'Water Reading'!H17-'Water Reading'!H16</f>
        <v>141</v>
      </c>
      <c r="F17" s="89">
        <f t="shared" si="3"/>
        <v>-1.3823529411764706</v>
      </c>
      <c r="G17" s="93">
        <f>('Water Reading'!D17-'Water Reading'!D16)-('Water Reading'!R17-'Water Reading'!R16)-('Water Reading'!Q17-'Water Reading'!Q16)</f>
        <v>111</v>
      </c>
      <c r="H17" s="89">
        <f t="shared" si="4"/>
        <v>-1.088235294117647</v>
      </c>
      <c r="I17" s="90">
        <f>'Water Reading'!P17-'Water Reading'!P16</f>
        <v>10</v>
      </c>
      <c r="J17" s="68">
        <f t="shared" si="5"/>
        <v>-9.8039215686274508E-2</v>
      </c>
      <c r="K17" s="91">
        <f>('Water Reading'!I17-'Water Reading'!I16)-('Water Reading'!P17-'Water Reading'!P16)</f>
        <v>16</v>
      </c>
      <c r="L17" s="68">
        <f t="shared" si="6"/>
        <v>-0.15686274509803921</v>
      </c>
      <c r="M17" s="90">
        <f>'Water Reading'!R17-'Water Reading'!R16</f>
        <v>3</v>
      </c>
      <c r="N17" s="92">
        <f t="shared" si="7"/>
        <v>-2.9411764705882353E-2</v>
      </c>
      <c r="O17" s="90">
        <f>'Water Reading'!Q17-'Water Reading'!Q16</f>
        <v>6</v>
      </c>
      <c r="P17" s="99">
        <f t="shared" si="8"/>
        <v>-5.8823529411764705E-2</v>
      </c>
      <c r="Q17" s="91">
        <f>'Water Reading'!F17-'Water Reading'!F16</f>
        <v>1</v>
      </c>
      <c r="R17" s="100">
        <f t="shared" si="9"/>
        <v>-9.8039215686274508E-3</v>
      </c>
      <c r="S17" s="94">
        <f>'Water Reading'!E17-'Water Reading'!E16</f>
        <v>54</v>
      </c>
      <c r="T17" s="100">
        <f t="shared" si="10"/>
        <v>-0.52941176470588236</v>
      </c>
      <c r="U17" s="90">
        <f>'Water Reading'!G17-'Water Reading'!G16</f>
        <v>15</v>
      </c>
      <c r="V17" s="100">
        <f t="shared" si="11"/>
        <v>-0.14705882352941177</v>
      </c>
      <c r="W17" s="90">
        <f>'Water Reading'!J17-'Water Reading'!J16</f>
        <v>18</v>
      </c>
      <c r="X17" s="100">
        <f t="shared" si="12"/>
        <v>-0.17647058823529413</v>
      </c>
      <c r="Y17" s="66">
        <f t="shared" si="0"/>
        <v>375</v>
      </c>
      <c r="Z17" s="67">
        <f t="shared" si="1"/>
        <v>1.3686131386861313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625</v>
      </c>
      <c r="D18" s="67">
        <f t="shared" si="2"/>
        <v>1.8996960486322187</v>
      </c>
      <c r="E18" s="87">
        <f>'Water Reading'!H18-'Water Reading'!H17</f>
        <v>95</v>
      </c>
      <c r="F18" s="89">
        <f t="shared" si="3"/>
        <v>0.152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0.21920000000000001</v>
      </c>
      <c r="I18" s="90">
        <f>'Water Reading'!P18-'Water Reading'!P17</f>
        <v>14</v>
      </c>
      <c r="J18" s="68">
        <f t="shared" si="5"/>
        <v>2.24E-2</v>
      </c>
      <c r="K18" s="91">
        <f>('Water Reading'!I18-'Water Reading'!I17)-('Water Reading'!P18-'Water Reading'!P17)</f>
        <v>11</v>
      </c>
      <c r="L18" s="68">
        <f t="shared" si="6"/>
        <v>1.7600000000000001E-2</v>
      </c>
      <c r="M18" s="90">
        <f>'Water Reading'!R18-'Water Reading'!R17</f>
        <v>4</v>
      </c>
      <c r="N18" s="92">
        <f t="shared" si="7"/>
        <v>6.4000000000000003E-3</v>
      </c>
      <c r="O18" s="90">
        <f>'Water Reading'!Q18-'Water Reading'!Q17</f>
        <v>1</v>
      </c>
      <c r="P18" s="99">
        <f t="shared" si="8"/>
        <v>1.6000000000000001E-3</v>
      </c>
      <c r="Q18" s="91">
        <f>'Water Reading'!F18-'Water Reading'!F17</f>
        <v>1</v>
      </c>
      <c r="R18" s="100">
        <f t="shared" si="9"/>
        <v>1.6000000000000001E-3</v>
      </c>
      <c r="S18" s="94">
        <f>'Water Reading'!E18-'Water Reading'!E17</f>
        <v>59</v>
      </c>
      <c r="T18" s="100">
        <f t="shared" si="10"/>
        <v>9.4399999999999998E-2</v>
      </c>
      <c r="U18" s="90">
        <f>'Water Reading'!G18-'Water Reading'!G17</f>
        <v>15</v>
      </c>
      <c r="V18" s="100">
        <f t="shared" si="11"/>
        <v>2.4E-2</v>
      </c>
      <c r="W18" s="90">
        <f>'Water Reading'!J18-'Water Reading'!J17</f>
        <v>18</v>
      </c>
      <c r="X18" s="100">
        <f t="shared" si="12"/>
        <v>2.8799999999999999E-2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0</v>
      </c>
      <c r="C19" s="66">
        <f>('Water Reading'!B19-'Water Reading'!B18)+('Water Reading'!C19-'Water Reading'!C18)</f>
        <v>-289345</v>
      </c>
      <c r="D19" s="67" t="e">
        <f t="shared" si="2"/>
        <v>#DIV/0!</v>
      </c>
      <c r="E19" s="87">
        <f>'Water Reading'!H19-'Water Reading'!H18</f>
        <v>-52143</v>
      </c>
      <c r="F19" s="89">
        <f t="shared" si="3"/>
        <v>0.1802104753840571</v>
      </c>
      <c r="G19" s="93">
        <f>('Water Reading'!D19-'Water Reading'!D18)-('Water Reading'!R19-'Water Reading'!R18)-('Water Reading'!Q19-'Water Reading'!Q18)</f>
        <v>-200367</v>
      </c>
      <c r="H19" s="89">
        <f t="shared" si="4"/>
        <v>0.69248475003888088</v>
      </c>
      <c r="I19" s="90">
        <f>'Water Reading'!P19-'Water Reading'!P18</f>
        <v>-26915</v>
      </c>
      <c r="J19" s="68">
        <f t="shared" si="5"/>
        <v>9.3020442724083705E-2</v>
      </c>
      <c r="K19" s="91">
        <f>('Water Reading'!I19-'Water Reading'!I18)-('Water Reading'!P19-'Water Reading'!P18)</f>
        <v>-36414</v>
      </c>
      <c r="L19" s="68">
        <f t="shared" si="6"/>
        <v>0.12584976412241441</v>
      </c>
      <c r="M19" s="90">
        <f>'Water Reading'!R19-'Water Reading'!R18</f>
        <v>-6165</v>
      </c>
      <c r="N19" s="92">
        <f t="shared" si="7"/>
        <v>2.1306744543710794E-2</v>
      </c>
      <c r="O19" s="90">
        <f>'Water Reading'!Q19-'Water Reading'!Q18</f>
        <v>-563</v>
      </c>
      <c r="P19" s="99">
        <f t="shared" si="8"/>
        <v>1.945774075930118E-3</v>
      </c>
      <c r="Q19" s="91">
        <f>'Water Reading'!F19-'Water Reading'!F18</f>
        <v>-66918</v>
      </c>
      <c r="R19" s="100">
        <f t="shared" si="9"/>
        <v>0.23127408457032261</v>
      </c>
      <c r="S19" s="94">
        <f>'Water Reading'!E19-'Water Reading'!E18</f>
        <v>-246932</v>
      </c>
      <c r="T19" s="100">
        <f t="shared" si="10"/>
        <v>0.85341720091931772</v>
      </c>
      <c r="U19" s="90">
        <f>'Water Reading'!G19-'Water Reading'!G18</f>
        <v>-111388</v>
      </c>
      <c r="V19" s="100">
        <f t="shared" si="11"/>
        <v>0.38496604399592182</v>
      </c>
      <c r="W19" s="90">
        <f>'Water Reading'!J19-'Water Reading'!J18</f>
        <v>-19996</v>
      </c>
      <c r="X19" s="100">
        <f t="shared" si="12"/>
        <v>6.9107812472999366E-2</v>
      </c>
      <c r="Y19" s="66">
        <f t="shared" si="0"/>
        <v>-767801</v>
      </c>
      <c r="Z19" s="67" t="e">
        <f t="shared" si="1"/>
        <v>#DIV/0!</v>
      </c>
    </row>
    <row r="20" spans="1:26" x14ac:dyDescent="0.25">
      <c r="A20" s="8">
        <f>'Water Reading'!A19</f>
        <v>44364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4838</v>
      </c>
      <c r="C35" s="75">
        <f>SUM(C4:C34)</f>
        <v>-282428</v>
      </c>
      <c r="D35" s="96">
        <f>C35/B35</f>
        <v>-58.377015295576683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-157.5816453079785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2021-06-16T04:46:58Z</dcterms:modified>
  <cp:category/>
  <cp:contentStatus/>
</cp:coreProperties>
</file>