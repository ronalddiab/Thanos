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<sst xmlns="http://schemas.openxmlformats.org/spreadsheetml/2006/main" count="315" uniqueCount="148">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</sst>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5.4944999999999995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12400.000000001633</v>
      </c>
      <c r="F27" s="11">
        <f t="shared" si="0"/>
        <v>0.58765030286592534</v>
      </c>
      <c r="G27" s="12">
        <f>(Submetering!AX27+Submetering!AY27+Submetering!AZ27+Submetering!BA27+Submetering!BB27)</f>
        <v>16.483499999999999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11499.999999999523</v>
      </c>
      <c r="F28" s="11">
        <f t="shared" si="0"/>
        <v>0.58765030286592534</v>
      </c>
      <c r="G28" s="12">
        <f>(Submetering!AX28+Submetering!AY28+Submetering!AZ28+Submetering!BA28+Submetering!BB28)</f>
        <v>9.1574999999999989</v>
      </c>
      <c r="H28" s="11">
        <f t="shared" si="1"/>
        <v>0.99</v>
      </c>
      <c r="I28" s="12">
        <f>'FS Desroches Daily'!CM30</f>
        <v>99.200000000000728</v>
      </c>
      <c r="J28" s="11">
        <f t="shared" si="2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11899.999999999825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99.299999999999272</v>
      </c>
      <c r="J29" s="11">
        <f t="shared" si="2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 t="e">
        <f>Submetering!E30+Submetering!F30+Submetering!G30+Submetering!H30+Submetering!J30-Submetering!AV30</f>
        <v>#VALUE!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 t="e">
        <f>'FS Desroches Daily'!CM32</f>
        <v>#VALUE!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4.7000000000007276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13.600000000002183</v>
      </c>
      <c r="AS26" s="31">
        <f>'FS Desroches Daily'!CF28</f>
        <v>1.2999999999992724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2800.0000000001355</v>
      </c>
      <c r="F27" s="32">
        <f>'FS Desroches Daily'!F29</f>
        <v>3500.0000000007249</v>
      </c>
      <c r="G27" s="31">
        <f>'FS Desroches Daily'!H29</f>
        <v>3500.0000000007249</v>
      </c>
      <c r="H27" s="32">
        <f>'FS Desroches Daily'!J29</f>
        <v>1900.0000000000127</v>
      </c>
      <c r="I27" s="31">
        <f>'FS Desroches Daily'!L29</f>
        <v>2299.9999999999686</v>
      </c>
      <c r="J27" s="32">
        <f>'FS Desroches Daily'!N29</f>
        <v>1700.0000000000348</v>
      </c>
      <c r="K27" s="13">
        <f>'FS Desroches Daily'!P29</f>
        <v>20</v>
      </c>
      <c r="L27" s="31">
        <f>'FS Desroches Daily'!R29</f>
        <v>4</v>
      </c>
      <c r="M27" s="31">
        <f>'FS Desroches Daily'!T29</f>
        <v>1000</v>
      </c>
      <c r="N27" s="31">
        <f>'FS Desroches Daily'!V29</f>
        <v>494.80000000004657</v>
      </c>
      <c r="O27" s="31">
        <f>'FS Desroches Daily'!X29</f>
        <v>440.00000000005457</v>
      </c>
      <c r="P27" s="31">
        <f>'FS Desroches Daily'!Z29</f>
        <v>3000.0000000001137</v>
      </c>
      <c r="Q27" s="31">
        <f>'FS Desroches Daily'!AB29</f>
        <v>250</v>
      </c>
      <c r="R27" s="31">
        <f>'FS Desroches Daily'!AD29</f>
        <v>409.99999999996817</v>
      </c>
      <c r="S27" s="31">
        <f>'FS Desroches Daily'!AF29</f>
        <v>940.00000000005457</v>
      </c>
      <c r="T27" s="31">
        <f>'FS Desroches Daily'!AH29</f>
        <v>42</v>
      </c>
      <c r="U27" s="35">
        <f>'FS Desroches Daily'!AJ29</f>
        <v>799.99999999991189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209.99999999997954</v>
      </c>
      <c r="Y27" s="35">
        <f>'FS Desroches Daily'!AR29</f>
        <v>169.99999999995907</v>
      </c>
      <c r="Z27" s="35">
        <f>'FS Desroches Daily'!AT29</f>
        <v>210.00000000003638</v>
      </c>
      <c r="AA27" s="35">
        <f>'FS Desroches Daily'!AT29</f>
        <v>210.00000000003638</v>
      </c>
      <c r="AB27" s="35">
        <f>'FS Desroches Daily'!AV29</f>
        <v>159.99999999996817</v>
      </c>
      <c r="AC27" s="35">
        <f>'FS Desroches Daily'!AZ29</f>
        <v>170.00000000001592</v>
      </c>
      <c r="AD27" s="35">
        <f>'FS Desroches Daily'!BB29</f>
        <v>159.99999999996817</v>
      </c>
      <c r="AE27" s="35">
        <f>'FS Desroches Daily'!BD29</f>
        <v>100.00000000002274</v>
      </c>
      <c r="AF27" s="31">
        <f>'FS Desroches Daily'!BF29</f>
        <v>54</v>
      </c>
      <c r="AG27" s="32">
        <f>'FS Desroches Daily'!BH29</f>
        <v>50.000000000011369</v>
      </c>
      <c r="AH27" s="32">
        <f>'FS Desroches Daily'!BJ29</f>
        <v>49.999999999954525</v>
      </c>
      <c r="AI27" s="32">
        <f>'FS Desroches Daily'!BL29</f>
        <v>69.999999999993179</v>
      </c>
      <c r="AJ27" s="32">
        <f>'FS Desroches Daily'!BN29</f>
        <v>60.000000000002274</v>
      </c>
      <c r="AK27" s="32">
        <f>'FS Desroches Daily'!BP29</f>
        <v>39.99999999996362</v>
      </c>
      <c r="AL27" s="32">
        <f>'FS Desroches Daily'!BR29</f>
        <v>52</v>
      </c>
      <c r="AM27" s="32">
        <f>'FS Desroches Daily'!BT29</f>
        <v>59.999999999973852</v>
      </c>
      <c r="AN27" s="32">
        <f>'FS Desroches Daily'!BV29</f>
        <v>53</v>
      </c>
      <c r="AO27" s="32">
        <f>'FS Desroches Daily'!BX29</f>
        <v>60.000000000002274</v>
      </c>
      <c r="AP27" s="32">
        <f>'FS Desroches Daily'!BZ29</f>
        <v>67</v>
      </c>
      <c r="AQ27" s="31">
        <f>'FS Desroches Daily'!CB29</f>
        <v>81.599999999998545</v>
      </c>
      <c r="AR27" s="31">
        <f>'FS Desroches Daily'!CD29</f>
        <v>4.5</v>
      </c>
      <c r="AS27" s="31">
        <f>'FS Desroches Daily'!CF29</f>
        <v>3</v>
      </c>
      <c r="AT27" s="31">
        <f>'FS Desroches Daily'!CH29</f>
        <v>44.80000000000291</v>
      </c>
      <c r="AU27" s="31">
        <f>'FS Desroches Daily'!CJ29</f>
        <v>361</v>
      </c>
      <c r="AV27" s="31">
        <f>'FS Desroches Daily'!CL29</f>
        <v>1000</v>
      </c>
      <c r="AW27" s="31">
        <f>'FS Desroches Daily'!CM29</f>
        <v>85</v>
      </c>
      <c r="AX27" s="31">
        <f>IF(LPG!F35-LPG!F33&lt;0,"0",(LPG!F35-LPG!F33)*1.8315)</f>
        <v>0</v>
      </c>
      <c r="AY27" s="31">
        <f>IF(LPG!H35-LPG!H33&lt;0,"0",(LPG!H35-LPG!H33)*1.8315)</f>
        <v>5.4944999999999995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10.988999999999999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2499.9999999999468</v>
      </c>
      <c r="F28" s="32">
        <f>'FS Desroches Daily'!F30</f>
        <v>3199.9999999996476</v>
      </c>
      <c r="G28" s="31">
        <f>'FS Desroches Daily'!H30</f>
        <v>3499.9999999998367</v>
      </c>
      <c r="H28" s="32">
        <f>'FS Desroches Daily'!J30</f>
        <v>1700.0000000000348</v>
      </c>
      <c r="I28" s="31">
        <f>'FS Desroches Daily'!L30</f>
        <v>2099.9999999999909</v>
      </c>
      <c r="J28" s="32">
        <f>'FS Desroches Daily'!N30</f>
        <v>1900.0000000000127</v>
      </c>
      <c r="K28" s="13">
        <f>'FS Desroches Daily'!P30</f>
        <v>161</v>
      </c>
      <c r="L28" s="31">
        <f>'FS Desroches Daily'!R30</f>
        <v>11</v>
      </c>
      <c r="M28" s="31">
        <f>'FS Desroches Daily'!T30</f>
        <v>900.00000000009095</v>
      </c>
      <c r="N28" s="31">
        <f>'FS Desroches Daily'!V30</f>
        <v>368</v>
      </c>
      <c r="O28" s="31">
        <f>'FS Desroches Daily'!X30</f>
        <v>360.00000000001364</v>
      </c>
      <c r="P28" s="31">
        <f>'FS Desroches Daily'!Z30</f>
        <v>2599.9999999992697</v>
      </c>
      <c r="Q28" s="31">
        <f>'FS Desroches Daily'!AB30</f>
        <v>429.99999999994998</v>
      </c>
      <c r="R28" s="31">
        <f>'FS Desroches Daily'!AD30</f>
        <v>389.99999999998636</v>
      </c>
      <c r="S28" s="31">
        <f>'FS Desroches Daily'!AF30</f>
        <v>969.9999999999136</v>
      </c>
      <c r="T28" s="31">
        <f>'FS Desroches Daily'!AH30</f>
        <v>42</v>
      </c>
      <c r="U28" s="35">
        <f>'FS Desroches Daily'!AJ30</f>
        <v>700.00000000014495</v>
      </c>
      <c r="V28" s="35">
        <f>'FS Desroches Daily'!AL30</f>
        <v>210.00000000003638</v>
      </c>
      <c r="W28" s="35">
        <f>'FS Desroches Daily'!AN30</f>
        <v>159.99999999996817</v>
      </c>
      <c r="X28" s="35">
        <f>'FS Desroches Daily'!AP30</f>
        <v>170.00000000001592</v>
      </c>
      <c r="Y28" s="35">
        <f>'FS Desroches Daily'!AR30</f>
        <v>140.0000000000432</v>
      </c>
      <c r="Z28" s="35">
        <f>'FS Desroches Daily'!AT30</f>
        <v>159.99999999996817</v>
      </c>
      <c r="AA28" s="35">
        <f>'FS Desroches Daily'!AT30</f>
        <v>159.99999999996817</v>
      </c>
      <c r="AB28" s="35">
        <f>'FS Desroches Daily'!AV30</f>
        <v>120.00000000000455</v>
      </c>
      <c r="AC28" s="35">
        <f>'FS Desroches Daily'!AZ30</f>
        <v>149.99999999997726</v>
      </c>
      <c r="AD28" s="35">
        <f>'FS Desroches Daily'!BB30</f>
        <v>150.00000000003411</v>
      </c>
      <c r="AE28" s="35">
        <f>'FS Desroches Daily'!BD30</f>
        <v>89.999999999974989</v>
      </c>
      <c r="AF28" s="31">
        <f>'FS Desroches Daily'!BF30</f>
        <v>52</v>
      </c>
      <c r="AG28" s="32">
        <f>'FS Desroches Daily'!BH30</f>
        <v>50.000000000011369</v>
      </c>
      <c r="AH28" s="32">
        <f>'FS Desroches Daily'!BJ30</f>
        <v>40.000000000020464</v>
      </c>
      <c r="AI28" s="32">
        <f>'FS Desroches Daily'!BL30</f>
        <v>70.000000000050022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48</v>
      </c>
      <c r="AM28" s="32">
        <f>'FS Desroches Daily'!BT30</f>
        <v>50.000000000011369</v>
      </c>
      <c r="AN28" s="32">
        <f>'FS Desroches Daily'!BV30</f>
        <v>42</v>
      </c>
      <c r="AO28" s="32">
        <f>'FS Desroches Daily'!BX30</f>
        <v>60.000000000002274</v>
      </c>
      <c r="AP28" s="32">
        <f>'FS Desroches Daily'!BZ30</f>
        <v>55</v>
      </c>
      <c r="AQ28" s="31">
        <f>'FS Desroches Daily'!CB30</f>
        <v>71.5</v>
      </c>
      <c r="AR28" s="31">
        <f>'FS Desroches Daily'!CD30</f>
        <v>7.3999999999978172</v>
      </c>
      <c r="AS28" s="31">
        <f>'FS Desroches Daily'!CF30</f>
        <v>1.8999999999996362</v>
      </c>
      <c r="AT28" s="31">
        <f>'FS Desroches Daily'!CH30</f>
        <v>54.19999999999709</v>
      </c>
      <c r="AU28" s="31">
        <f>'FS Desroches Daily'!CJ30</f>
        <v>333</v>
      </c>
      <c r="AV28" s="31">
        <f>'FS Desroches Daily'!CL30</f>
        <v>1299.9999999999545</v>
      </c>
      <c r="AW28" s="31">
        <f>'FS Desroches Daily'!CM30</f>
        <v>99.200000000000728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9.1574999999999989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2699.9999999999245</v>
      </c>
      <c r="F29" s="32">
        <f>'FS Desroches Daily'!F31</f>
        <v>3199.9999999996476</v>
      </c>
      <c r="G29" s="31">
        <f>'FS Desroches Daily'!H31</f>
        <v>3099.9999999998809</v>
      </c>
      <c r="H29" s="32">
        <f>'FS Desroches Daily'!J31</f>
        <v>1800.0000000002458</v>
      </c>
      <c r="I29" s="31">
        <f>'FS Desroches Daily'!L31</f>
        <v>2299.9999999999686</v>
      </c>
      <c r="J29" s="32">
        <f>'FS Desroches Daily'!N31</f>
        <v>1700.0000000000348</v>
      </c>
      <c r="K29" s="13">
        <f>'FS Desroches Daily'!P31</f>
        <v>41</v>
      </c>
      <c r="L29" s="31">
        <f>'FS Desroches Daily'!R31</f>
        <v>6</v>
      </c>
      <c r="M29" s="31">
        <f>'FS Desroches Daily'!T31</f>
        <v>799.99999999995453</v>
      </c>
      <c r="N29" s="31">
        <f>'FS Desroches Daily'!V31</f>
        <v>353.40000000002328</v>
      </c>
      <c r="O29" s="31">
        <f>'FS Desroches Daily'!X31</f>
        <v>409.99999999996817</v>
      </c>
      <c r="P29" s="31">
        <f>'FS Desroches Daily'!Z31</f>
        <v>2800.0000000005798</v>
      </c>
      <c r="Q29" s="31">
        <f>'FS Desroches Daily'!AB31</f>
        <v>269.99999999998181</v>
      </c>
      <c r="R29" s="31">
        <f>'FS Desroches Daily'!AD31</f>
        <v>340.00000000003183</v>
      </c>
      <c r="S29" s="31">
        <f>'FS Desroches Daily'!AF31</f>
        <v>920.00000000007276</v>
      </c>
      <c r="T29" s="31">
        <f>'FS Desroches Daily'!AH31</f>
        <v>38</v>
      </c>
      <c r="U29" s="35">
        <f>'FS Desroches Daily'!AJ31</f>
        <v>699.99999999992292</v>
      </c>
      <c r="V29" s="35">
        <f>'FS Desroches Daily'!AL31</f>
        <v>230.00000000001819</v>
      </c>
      <c r="W29" s="35">
        <f>'FS Desroches Daily'!AN31</f>
        <v>170.00000000001592</v>
      </c>
      <c r="X29" s="35">
        <f>'FS Desroches Daily'!AP31</f>
        <v>199.99999999998863</v>
      </c>
      <c r="Y29" s="35">
        <f>'FS Desroches Daily'!AR31</f>
        <v>219.99999999997044</v>
      </c>
      <c r="Z29" s="35">
        <f>'FS Desroches Daily'!AT31</f>
        <v>210.00000000003638</v>
      </c>
      <c r="AA29" s="35">
        <f>'FS Desroches Daily'!AT31</f>
        <v>210.00000000003638</v>
      </c>
      <c r="AB29" s="35">
        <f>'FS Desroches Daily'!AV31</f>
        <v>139.99999999998636</v>
      </c>
      <c r="AC29" s="35">
        <f>'FS Desroches Daily'!AZ31</f>
        <v>160.00000000002501</v>
      </c>
      <c r="AD29" s="35">
        <f>'FS Desroches Daily'!BB31</f>
        <v>129.99999999999545</v>
      </c>
      <c r="AE29" s="35">
        <f>'FS Desroches Daily'!BD31</f>
        <v>79.999999999984084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50.000000000011369</v>
      </c>
      <c r="AI29" s="32">
        <f>'FS Desroches Daily'!BL31</f>
        <v>69.999999999993179</v>
      </c>
      <c r="AJ29" s="32">
        <f>'FS Desroches Daily'!BN31</f>
        <v>50.000000000011369</v>
      </c>
      <c r="AK29" s="32">
        <f>'FS Desroches Daily'!BP31</f>
        <v>40.000000000020464</v>
      </c>
      <c r="AL29" s="32">
        <f>'FS Desroches Daily'!BR31</f>
        <v>51</v>
      </c>
      <c r="AM29" s="32">
        <f>'FS Desroches Daily'!BT31</f>
        <v>60.000000000002274</v>
      </c>
      <c r="AN29" s="32">
        <f>'FS Desroches Daily'!BV31</f>
        <v>43</v>
      </c>
      <c r="AO29" s="32">
        <f>'FS Desroches Daily'!BX31</f>
        <v>60.000000000002274</v>
      </c>
      <c r="AP29" s="32">
        <f>'FS Desroches Daily'!BZ31</f>
        <v>58</v>
      </c>
      <c r="AQ29" s="31">
        <f>'FS Desroches Daily'!CB31</f>
        <v>86.900000000001455</v>
      </c>
      <c r="AR29" s="31">
        <f>'FS Desroches Daily'!CD31</f>
        <v>7.5</v>
      </c>
      <c r="AS29" s="31">
        <f>'FS Desroches Daily'!CF31</f>
        <v>7.8999999999996362</v>
      </c>
      <c r="AT29" s="31">
        <f>'FS Desroches Daily'!CH31</f>
        <v>37.5</v>
      </c>
      <c r="AU29" s="31">
        <f>'FS Desroches Daily'!CJ31</f>
        <v>335</v>
      </c>
      <c r="AV29" s="31">
        <f>'FS Desroches Daily'!CL31</f>
        <v>599.99999999990905</v>
      </c>
      <c r="AW29" s="31">
        <f>'FS Desroches Daily'!CM31</f>
        <v>99.299999999999272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e">
        <f>'FS Desroches Daily'!T32</f>
        <v>#VALUE!</v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 t="str">
        <f>'FS Desroches Daily'!BF32</f>
        <v/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85199.999999999956</v>
      </c>
      <c r="F33" s="17">
        <f t="shared" ref="F33:BC33" si="0">SUM(F2:F32)</f>
        <v>93099.999999999782</v>
      </c>
      <c r="G33" s="17">
        <f t="shared" si="0"/>
        <v>107499.99999999999</v>
      </c>
      <c r="H33" s="17">
        <f t="shared" si="0"/>
        <v>47200.000000000153</v>
      </c>
      <c r="I33" s="17">
        <f t="shared" si="0"/>
        <v>69999.999999999854</v>
      </c>
      <c r="J33" s="17">
        <f t="shared" si="0"/>
        <v>47800.000000000095</v>
      </c>
      <c r="K33" s="17">
        <f t="shared" si="0"/>
        <v>928</v>
      </c>
      <c r="L33" s="17">
        <f t="shared" si="0"/>
        <v>137</v>
      </c>
      <c r="M33" s="17" t="e">
        <f t="shared" si="0"/>
        <v>#VALUE!</v>
      </c>
      <c r="N33" s="17">
        <f t="shared" si="0"/>
        <v>13458.599999999977</v>
      </c>
      <c r="O33" s="17">
        <f t="shared" si="0"/>
        <v>9879.9999999999964</v>
      </c>
      <c r="P33" s="17">
        <f t="shared" si="0"/>
        <v>82900.000000000451</v>
      </c>
      <c r="Q33" s="17">
        <f t="shared" si="0"/>
        <v>9159.9999999999673</v>
      </c>
      <c r="R33" s="17">
        <f t="shared" si="0"/>
        <v>11000</v>
      </c>
      <c r="S33" s="17">
        <f t="shared" si="0"/>
        <v>24509.999999999989</v>
      </c>
      <c r="T33" s="17">
        <f t="shared" si="0"/>
        <v>1246</v>
      </c>
      <c r="U33" s="35">
        <f t="shared" si="0"/>
        <v>23200.000000000116</v>
      </c>
      <c r="V33" s="35">
        <f t="shared" si="0"/>
        <v>6530.0000000000327</v>
      </c>
      <c r="W33" s="35">
        <f t="shared" si="0"/>
        <v>4589.9999999999745</v>
      </c>
      <c r="X33" s="35">
        <f t="shared" si="0"/>
        <v>6620.0000000000073</v>
      </c>
      <c r="Y33" s="35">
        <f t="shared" si="0"/>
        <v>5639.9999999999854</v>
      </c>
      <c r="Z33" s="35">
        <f t="shared" si="0"/>
        <v>7595.5199999999813</v>
      </c>
      <c r="AA33" s="35">
        <f t="shared" si="0"/>
        <v>7595.5199999999813</v>
      </c>
      <c r="AB33" s="35">
        <f t="shared" si="0"/>
        <v>4799.9999999999554</v>
      </c>
      <c r="AC33" s="35">
        <f t="shared" si="0"/>
        <v>4819.9999999999927</v>
      </c>
      <c r="AD33" s="35">
        <f t="shared" si="0"/>
        <v>4640.0000000000427</v>
      </c>
      <c r="AE33" s="35">
        <f t="shared" si="0"/>
        <v>3439.9999999999977</v>
      </c>
      <c r="AF33" s="17">
        <f t="shared" si="0"/>
        <v>1337</v>
      </c>
      <c r="AG33" s="32">
        <f t="shared" si="0"/>
        <v>1170.0000000000159</v>
      </c>
      <c r="AH33" s="32">
        <f t="shared" si="0"/>
        <v>1199.9999999999886</v>
      </c>
      <c r="AI33" s="32">
        <f t="shared" si="0"/>
        <v>1810.0000000000023</v>
      </c>
      <c r="AJ33" s="32">
        <f t="shared" si="0"/>
        <v>1250</v>
      </c>
      <c r="AK33" s="32">
        <f t="shared" si="0"/>
        <v>1060.0000000000023</v>
      </c>
      <c r="AL33" s="32">
        <f t="shared" si="0"/>
        <v>1276</v>
      </c>
      <c r="AM33" s="32">
        <f t="shared" si="0"/>
        <v>1319.9999999999932</v>
      </c>
      <c r="AN33" s="32">
        <f t="shared" si="0"/>
        <v>1216</v>
      </c>
      <c r="AO33" s="32">
        <f t="shared" si="0"/>
        <v>1289.999999999992</v>
      </c>
      <c r="AP33" s="32">
        <f t="shared" si="0"/>
        <v>1503</v>
      </c>
      <c r="AQ33" s="17">
        <f t="shared" si="0"/>
        <v>2313.5</v>
      </c>
      <c r="AR33" s="17">
        <f t="shared" si="0"/>
        <v>385.5</v>
      </c>
      <c r="AS33" s="17">
        <f t="shared" si="0"/>
        <v>88.099999999998545</v>
      </c>
      <c r="AT33" s="17">
        <f t="shared" si="0"/>
        <v>1548.5</v>
      </c>
      <c r="AU33" s="17">
        <f t="shared" si="0"/>
        <v>9126</v>
      </c>
      <c r="AV33" s="17">
        <f t="shared" si="0"/>
        <v>29199.999999999814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148.35149999999999</v>
      </c>
      <c r="BC33" s="17">
        <f t="shared" si="0"/>
        <v>767</v>
      </c>
    </row>
    <row r="35" spans="5:55" x14ac:dyDescent="0.25">
      <c r="E35" s="38">
        <f>E33/E37</f>
        <v>0.22907043647059444</v>
      </c>
      <c r="G35" s="29" t="e">
        <f>G33-M36</f>
        <v>#VALUE!</v>
      </c>
      <c r="AE35" s="35">
        <f>SUM(U33:AE33)</f>
        <v>79471.040000000081</v>
      </c>
      <c r="AG35" s="32">
        <f>SUM(AG33:AP33)</f>
        <v>13094.999999999995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371938</v>
      </c>
      <c r="G37" s="37" t="e">
        <f>M36/E37</f>
        <v>#VALUE!</v>
      </c>
      <c r="M37" s="35">
        <f>AE35</f>
        <v>79471.040000000081</v>
      </c>
    </row>
    <row r="38" spans="5:55" x14ac:dyDescent="0.25">
      <c r="L38" s="27">
        <f>M38/E37</f>
        <v>3.5207480816695239E-2</v>
      </c>
      <c r="M38" s="29">
        <f>AG35</f>
        <v>13094.999999999995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D1" zoomScale="82" zoomScaleNormal="82" workbookViewId="0">
      <pane ySplit="1" topLeftCell="A14" activePane="bottomLeft" state="frozen"/>
      <selection pane="bottomLeft" activeCell="CO32" sqref="CO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9053.7000000000007</v>
      </c>
      <c r="CF27" s="67">
        <f t="shared" si="40"/>
        <v>4.7000000000007276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18766.7</v>
      </c>
      <c r="CD28" s="67">
        <f t="shared" si="39"/>
        <v>13.600000000002183</v>
      </c>
      <c r="CE28" s="60">
        <v>9055</v>
      </c>
      <c r="CF28" s="67">
        <f t="shared" si="40"/>
        <v>1.2999999999992724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>
        <v>3.8668</v>
      </c>
      <c r="D29" s="64">
        <f t="shared" si="0"/>
        <v>2800.0000000001355</v>
      </c>
      <c r="E29" s="58">
        <v>5.1199000000000003</v>
      </c>
      <c r="F29" s="64">
        <f t="shared" si="1"/>
        <v>3500.0000000007249</v>
      </c>
      <c r="G29" s="58">
        <v>5.1462000000000003</v>
      </c>
      <c r="H29" s="64">
        <f t="shared" si="2"/>
        <v>3500.0000000007249</v>
      </c>
      <c r="I29" s="58">
        <v>2.5398999999999998</v>
      </c>
      <c r="J29" s="64">
        <f t="shared" si="3"/>
        <v>1900.0000000000127</v>
      </c>
      <c r="K29" s="58">
        <v>3.9003999999999999</v>
      </c>
      <c r="L29" s="64">
        <f t="shared" si="48"/>
        <v>2299.9999999999686</v>
      </c>
      <c r="M29" s="58">
        <v>2.3592</v>
      </c>
      <c r="N29" s="64">
        <f t="shared" si="49"/>
        <v>1700.0000000000348</v>
      </c>
      <c r="O29" s="58">
        <v>28389</v>
      </c>
      <c r="P29" s="67">
        <f t="shared" si="6"/>
        <v>20</v>
      </c>
      <c r="Q29" s="58">
        <v>3550</v>
      </c>
      <c r="R29" s="67">
        <f t="shared" si="7"/>
        <v>4</v>
      </c>
      <c r="S29" s="58">
        <v>1671.3</v>
      </c>
      <c r="T29" s="67">
        <f t="shared" si="8"/>
        <v>1000</v>
      </c>
      <c r="U29" s="58">
        <v>659435</v>
      </c>
      <c r="V29" s="67">
        <f t="shared" si="9"/>
        <v>494.80000000004657</v>
      </c>
      <c r="W29" s="58">
        <v>594.11</v>
      </c>
      <c r="X29" s="65">
        <f t="shared" si="10"/>
        <v>440.00000000005457</v>
      </c>
      <c r="Y29" s="58">
        <v>4.5170000000000003</v>
      </c>
      <c r="Z29" s="65">
        <f t="shared" si="11"/>
        <v>3000.0000000001137</v>
      </c>
      <c r="AA29" s="58">
        <v>601.09</v>
      </c>
      <c r="AB29" s="65">
        <f t="shared" si="12"/>
        <v>250</v>
      </c>
      <c r="AC29" s="58">
        <v>606.03</v>
      </c>
      <c r="AD29" s="65">
        <f t="shared" si="13"/>
        <v>409.99999999996817</v>
      </c>
      <c r="AE29" s="58">
        <v>968.08</v>
      </c>
      <c r="AF29" s="65">
        <f t="shared" si="14"/>
        <v>940.00000000005457</v>
      </c>
      <c r="AG29" s="58">
        <v>26784</v>
      </c>
      <c r="AH29" s="67">
        <f t="shared" si="15"/>
        <v>42</v>
      </c>
      <c r="AI29" s="58">
        <v>1.0326</v>
      </c>
      <c r="AJ29" s="65">
        <f t="shared" si="16"/>
        <v>799.99999999991189</v>
      </c>
      <c r="AK29" s="58">
        <v>341.53</v>
      </c>
      <c r="AL29" s="65">
        <f t="shared" si="17"/>
        <v>250</v>
      </c>
      <c r="AM29" s="58">
        <v>312.12</v>
      </c>
      <c r="AN29" s="65">
        <f t="shared" si="18"/>
        <v>189.99999999999773</v>
      </c>
      <c r="AO29" s="58">
        <v>303.64999999999998</v>
      </c>
      <c r="AP29" s="65">
        <f t="shared" si="19"/>
        <v>209.99999999997954</v>
      </c>
      <c r="AQ29" s="58">
        <v>356.21</v>
      </c>
      <c r="AR29" s="65">
        <f t="shared" si="20"/>
        <v>169.99999999995907</v>
      </c>
      <c r="AS29" s="58">
        <v>482.49</v>
      </c>
      <c r="AT29" s="65">
        <f t="shared" si="21"/>
        <v>210.00000000003638</v>
      </c>
      <c r="AU29" s="58">
        <v>386.7</v>
      </c>
      <c r="AV29" s="65">
        <f t="shared" si="22"/>
        <v>159.99999999996817</v>
      </c>
      <c r="AW29" s="58">
        <v>413.76</v>
      </c>
      <c r="AX29" s="65">
        <f t="shared" si="23"/>
        <v>170.00000000001592</v>
      </c>
      <c r="AY29" s="58">
        <v>448.8</v>
      </c>
      <c r="AZ29" s="65">
        <f t="shared" si="24"/>
        <v>170.00000000001592</v>
      </c>
      <c r="BA29" s="58">
        <v>466.51</v>
      </c>
      <c r="BB29" s="65">
        <f t="shared" si="25"/>
        <v>159.99999999996817</v>
      </c>
      <c r="BC29" s="58">
        <v>299.10000000000002</v>
      </c>
      <c r="BD29" s="65">
        <f t="shared" si="26"/>
        <v>100.00000000002274</v>
      </c>
      <c r="BE29" s="59">
        <v>61206</v>
      </c>
      <c r="BF29" s="67">
        <f t="shared" si="27"/>
        <v>54</v>
      </c>
      <c r="BG29" s="60">
        <v>257.76</v>
      </c>
      <c r="BH29" s="65">
        <f t="shared" si="28"/>
        <v>50.000000000011369</v>
      </c>
      <c r="BI29" s="60">
        <v>311.89999999999998</v>
      </c>
      <c r="BJ29" s="65">
        <f t="shared" si="29"/>
        <v>49.999999999954525</v>
      </c>
      <c r="BK29" s="60">
        <v>264.27999999999997</v>
      </c>
      <c r="BL29" s="65">
        <f t="shared" si="30"/>
        <v>69.999999999993179</v>
      </c>
      <c r="BM29" s="60">
        <v>247.74</v>
      </c>
      <c r="BN29" s="65">
        <f t="shared" si="31"/>
        <v>60.000000000002274</v>
      </c>
      <c r="BO29" s="60">
        <v>316.14999999999998</v>
      </c>
      <c r="BP29" s="65">
        <f t="shared" si="32"/>
        <v>39.99999999996362</v>
      </c>
      <c r="BQ29" s="60">
        <v>66106</v>
      </c>
      <c r="BR29" s="65">
        <f t="shared" si="33"/>
        <v>52</v>
      </c>
      <c r="BS29" s="60">
        <v>225.89</v>
      </c>
      <c r="BT29" s="65">
        <f t="shared" si="34"/>
        <v>59.999999999973852</v>
      </c>
      <c r="BU29" s="60">
        <v>63533</v>
      </c>
      <c r="BV29" s="65">
        <f t="shared" si="35"/>
        <v>53</v>
      </c>
      <c r="BW29" s="60">
        <v>253.98</v>
      </c>
      <c r="BX29" s="65">
        <f t="shared" si="36"/>
        <v>60.000000000002274</v>
      </c>
      <c r="BY29" s="60">
        <v>85279</v>
      </c>
      <c r="BZ29" s="67">
        <f t="shared" si="37"/>
        <v>67</v>
      </c>
      <c r="CA29" s="60">
        <v>62632</v>
      </c>
      <c r="CB29" s="67">
        <f t="shared" si="38"/>
        <v>81.599999999998545</v>
      </c>
      <c r="CC29" s="60">
        <v>18771.2</v>
      </c>
      <c r="CD29" s="67">
        <f t="shared" si="39"/>
        <v>4.5</v>
      </c>
      <c r="CE29" s="60">
        <v>9058</v>
      </c>
      <c r="CF29" s="67">
        <f t="shared" si="40"/>
        <v>3</v>
      </c>
      <c r="CG29" s="60">
        <v>86574</v>
      </c>
      <c r="CH29" s="67">
        <f t="shared" si="41"/>
        <v>44.80000000000291</v>
      </c>
      <c r="CI29" s="60">
        <v>1122376</v>
      </c>
      <c r="CJ29" s="67">
        <f t="shared" si="42"/>
        <v>361</v>
      </c>
      <c r="CK29" s="60">
        <v>1224.2</v>
      </c>
      <c r="CL29" s="64">
        <f t="shared" si="43"/>
        <v>1000</v>
      </c>
      <c r="CM29" s="65">
        <f t="shared" si="50"/>
        <v>85</v>
      </c>
      <c r="CN29" s="62">
        <v>11</v>
      </c>
      <c r="CO29" s="62">
        <v>21</v>
      </c>
      <c r="CP29" s="68">
        <v>53260</v>
      </c>
      <c r="CQ29" s="67">
        <f t="shared" si="51"/>
        <v>80</v>
      </c>
      <c r="CR29" s="68">
        <v>27825</v>
      </c>
      <c r="CS29" s="67">
        <f t="shared" si="44"/>
        <v>5</v>
      </c>
      <c r="CT29" s="75">
        <v>13113</v>
      </c>
      <c r="CU29" s="67">
        <f t="shared" si="45"/>
        <v>15</v>
      </c>
      <c r="CV29" s="68">
        <v>31816</v>
      </c>
      <c r="CW29" s="67">
        <f t="shared" si="46"/>
        <v>48</v>
      </c>
      <c r="CX29" s="58">
        <v>5876.7</v>
      </c>
      <c r="CY29" s="67">
        <f t="shared" si="47"/>
        <v>12.5</v>
      </c>
    </row>
    <row r="30" spans="1:103" ht="25.5" customHeight="1" thickBot="1" x14ac:dyDescent="0.45">
      <c r="A30" s="63">
        <v>44953</v>
      </c>
      <c r="B30" s="44"/>
      <c r="C30" s="58">
        <v>3.8693</v>
      </c>
      <c r="D30" s="64">
        <f t="shared" si="0"/>
        <v>2499.9999999999468</v>
      </c>
      <c r="E30" s="58">
        <v>5.1231</v>
      </c>
      <c r="F30" s="64">
        <f t="shared" si="1"/>
        <v>3199.9999999996476</v>
      </c>
      <c r="G30" s="58">
        <v>5.1497000000000002</v>
      </c>
      <c r="H30" s="64">
        <f t="shared" si="2"/>
        <v>3499.9999999998367</v>
      </c>
      <c r="I30" s="58">
        <v>2.5415999999999999</v>
      </c>
      <c r="J30" s="64">
        <f t="shared" si="3"/>
        <v>1700.0000000000348</v>
      </c>
      <c r="K30" s="58">
        <v>3.9024999999999999</v>
      </c>
      <c r="L30" s="64">
        <f t="shared" si="48"/>
        <v>2099.9999999999909</v>
      </c>
      <c r="M30" s="58">
        <v>2.3611</v>
      </c>
      <c r="N30" s="64">
        <f t="shared" si="49"/>
        <v>1900.0000000000127</v>
      </c>
      <c r="O30" s="58">
        <v>28550</v>
      </c>
      <c r="P30" s="67">
        <f t="shared" si="6"/>
        <v>161</v>
      </c>
      <c r="Q30" s="58">
        <v>3561</v>
      </c>
      <c r="R30" s="67">
        <f t="shared" si="7"/>
        <v>11</v>
      </c>
      <c r="S30" s="58">
        <v>1672.2</v>
      </c>
      <c r="T30" s="67">
        <f t="shared" si="8"/>
        <v>900.00000000009095</v>
      </c>
      <c r="U30" s="58">
        <v>659803</v>
      </c>
      <c r="V30" s="67">
        <f t="shared" si="9"/>
        <v>368</v>
      </c>
      <c r="W30" s="58">
        <v>594.47</v>
      </c>
      <c r="X30" s="65">
        <f t="shared" si="10"/>
        <v>360.00000000001364</v>
      </c>
      <c r="Y30" s="58">
        <v>4.5195999999999996</v>
      </c>
      <c r="Z30" s="65">
        <f t="shared" si="11"/>
        <v>2599.9999999992697</v>
      </c>
      <c r="AA30" s="58">
        <v>601.52</v>
      </c>
      <c r="AB30" s="65">
        <f t="shared" si="12"/>
        <v>429.99999999994998</v>
      </c>
      <c r="AC30" s="58">
        <v>606.41999999999996</v>
      </c>
      <c r="AD30" s="65">
        <f t="shared" si="13"/>
        <v>389.99999999998636</v>
      </c>
      <c r="AE30" s="58">
        <v>969.05</v>
      </c>
      <c r="AF30" s="65">
        <f t="shared" si="14"/>
        <v>969.9999999999136</v>
      </c>
      <c r="AG30" s="58">
        <v>26826</v>
      </c>
      <c r="AH30" s="67">
        <f t="shared" si="15"/>
        <v>42</v>
      </c>
      <c r="AI30" s="58">
        <v>1.0333000000000001</v>
      </c>
      <c r="AJ30" s="65">
        <f t="shared" si="16"/>
        <v>700.00000000014495</v>
      </c>
      <c r="AK30" s="58">
        <v>341.74</v>
      </c>
      <c r="AL30" s="65">
        <f t="shared" si="17"/>
        <v>210.00000000003638</v>
      </c>
      <c r="AM30" s="58">
        <v>312.27999999999997</v>
      </c>
      <c r="AN30" s="65">
        <f t="shared" si="18"/>
        <v>159.99999999996817</v>
      </c>
      <c r="AO30" s="58">
        <v>303.82</v>
      </c>
      <c r="AP30" s="65">
        <f t="shared" si="19"/>
        <v>170.00000000001592</v>
      </c>
      <c r="AQ30" s="58">
        <v>356.35</v>
      </c>
      <c r="AR30" s="65">
        <f t="shared" si="20"/>
        <v>140.0000000000432</v>
      </c>
      <c r="AS30" s="58">
        <v>482.65</v>
      </c>
      <c r="AT30" s="65">
        <f t="shared" si="21"/>
        <v>159.99999999996817</v>
      </c>
      <c r="AU30" s="58">
        <v>386.82</v>
      </c>
      <c r="AV30" s="65">
        <f t="shared" si="22"/>
        <v>120.00000000000455</v>
      </c>
      <c r="AW30" s="58">
        <v>413.91</v>
      </c>
      <c r="AX30" s="65">
        <f t="shared" si="23"/>
        <v>150.00000000003411</v>
      </c>
      <c r="AY30" s="58">
        <v>448.95</v>
      </c>
      <c r="AZ30" s="65">
        <f t="shared" si="24"/>
        <v>149.99999999997726</v>
      </c>
      <c r="BA30" s="58">
        <v>466.66</v>
      </c>
      <c r="BB30" s="65">
        <f t="shared" si="25"/>
        <v>150.00000000003411</v>
      </c>
      <c r="BC30" s="58">
        <v>299.19</v>
      </c>
      <c r="BD30" s="65">
        <f t="shared" si="26"/>
        <v>89.999999999974989</v>
      </c>
      <c r="BE30" s="59">
        <v>61258</v>
      </c>
      <c r="BF30" s="67">
        <f t="shared" si="27"/>
        <v>52</v>
      </c>
      <c r="BG30" s="60">
        <v>257.81</v>
      </c>
      <c r="BH30" s="65">
        <f t="shared" si="28"/>
        <v>50.000000000011369</v>
      </c>
      <c r="BI30" s="60">
        <v>311.94</v>
      </c>
      <c r="BJ30" s="65">
        <f t="shared" si="29"/>
        <v>40.000000000020464</v>
      </c>
      <c r="BK30" s="60">
        <v>264.35000000000002</v>
      </c>
      <c r="BL30" s="65">
        <f t="shared" si="30"/>
        <v>70.000000000050022</v>
      </c>
      <c r="BM30" s="60">
        <v>247.78</v>
      </c>
      <c r="BN30" s="65">
        <f t="shared" si="31"/>
        <v>39.999999999992042</v>
      </c>
      <c r="BO30" s="60">
        <v>316.2</v>
      </c>
      <c r="BP30" s="65">
        <f t="shared" si="32"/>
        <v>50.000000000011369</v>
      </c>
      <c r="BQ30" s="60">
        <v>66154</v>
      </c>
      <c r="BR30" s="65">
        <f t="shared" si="33"/>
        <v>48</v>
      </c>
      <c r="BS30" s="60">
        <v>225.94</v>
      </c>
      <c r="BT30" s="65">
        <f t="shared" si="34"/>
        <v>50.000000000011369</v>
      </c>
      <c r="BU30" s="60">
        <v>63575</v>
      </c>
      <c r="BV30" s="65">
        <f t="shared" si="35"/>
        <v>42</v>
      </c>
      <c r="BW30" s="60">
        <v>254.04</v>
      </c>
      <c r="BX30" s="65">
        <f t="shared" si="36"/>
        <v>60.000000000002274</v>
      </c>
      <c r="BY30" s="60">
        <v>85334</v>
      </c>
      <c r="BZ30" s="67">
        <f t="shared" si="37"/>
        <v>55</v>
      </c>
      <c r="CA30" s="60">
        <v>62703.5</v>
      </c>
      <c r="CB30" s="67">
        <f t="shared" si="38"/>
        <v>71.5</v>
      </c>
      <c r="CC30" s="60">
        <v>18778.599999999999</v>
      </c>
      <c r="CD30" s="67">
        <f t="shared" si="39"/>
        <v>7.3999999999978172</v>
      </c>
      <c r="CE30" s="60">
        <v>9059.9</v>
      </c>
      <c r="CF30" s="67">
        <f t="shared" si="40"/>
        <v>1.8999999999996362</v>
      </c>
      <c r="CG30" s="60">
        <v>86628.2</v>
      </c>
      <c r="CH30" s="67">
        <f t="shared" si="41"/>
        <v>54.19999999999709</v>
      </c>
      <c r="CI30" s="60">
        <v>1122709</v>
      </c>
      <c r="CJ30" s="67">
        <f t="shared" si="42"/>
        <v>333</v>
      </c>
      <c r="CK30" s="60">
        <v>1225.5</v>
      </c>
      <c r="CL30" s="64">
        <f t="shared" si="43"/>
        <v>1299.9999999999545</v>
      </c>
      <c r="CM30" s="65">
        <f t="shared" si="50"/>
        <v>99.200000000000728</v>
      </c>
      <c r="CN30" s="62">
        <v>9</v>
      </c>
      <c r="CO30" s="62">
        <v>16</v>
      </c>
      <c r="CP30" s="68">
        <v>53341</v>
      </c>
      <c r="CQ30" s="67">
        <f t="shared" si="51"/>
        <v>81</v>
      </c>
      <c r="CR30" s="68">
        <v>27843.200000000001</v>
      </c>
      <c r="CS30" s="67">
        <f t="shared" si="44"/>
        <v>18.200000000000728</v>
      </c>
      <c r="CT30" s="75">
        <v>13126</v>
      </c>
      <c r="CU30" s="67">
        <f t="shared" si="45"/>
        <v>13</v>
      </c>
      <c r="CV30" s="68">
        <v>31861</v>
      </c>
      <c r="CW30" s="67">
        <f t="shared" si="46"/>
        <v>45</v>
      </c>
      <c r="CX30" s="58">
        <v>5888.9</v>
      </c>
      <c r="CY30" s="67">
        <f t="shared" si="47"/>
        <v>12.199999999999818</v>
      </c>
    </row>
    <row r="31" spans="1:103" ht="25.5" customHeight="1" thickBot="1" x14ac:dyDescent="0.45">
      <c r="A31" s="63">
        <v>44954</v>
      </c>
      <c r="B31" s="66"/>
      <c r="C31" s="58">
        <v>3.8719999999999999</v>
      </c>
      <c r="D31" s="64">
        <f t="shared" si="0"/>
        <v>2699.9999999999245</v>
      </c>
      <c r="E31" s="58">
        <v>5.1262999999999996</v>
      </c>
      <c r="F31" s="64">
        <f t="shared" si="1"/>
        <v>3199.9999999996476</v>
      </c>
      <c r="G31" s="58">
        <v>5.1528</v>
      </c>
      <c r="H31" s="64">
        <f t="shared" si="2"/>
        <v>3099.9999999998809</v>
      </c>
      <c r="I31" s="58">
        <v>2.5434000000000001</v>
      </c>
      <c r="J31" s="64">
        <f t="shared" si="3"/>
        <v>1800.0000000002458</v>
      </c>
      <c r="K31" s="58">
        <v>3.9047999999999998</v>
      </c>
      <c r="L31" s="64">
        <f t="shared" si="48"/>
        <v>2299.9999999999686</v>
      </c>
      <c r="M31" s="58">
        <v>2.3628</v>
      </c>
      <c r="N31" s="64">
        <f t="shared" si="49"/>
        <v>1700.0000000000348</v>
      </c>
      <c r="O31" s="58">
        <v>28591</v>
      </c>
      <c r="P31" s="67">
        <f t="shared" si="6"/>
        <v>41</v>
      </c>
      <c r="Q31" s="58">
        <v>3567</v>
      </c>
      <c r="R31" s="67">
        <f t="shared" si="7"/>
        <v>6</v>
      </c>
      <c r="S31" s="58">
        <v>1673</v>
      </c>
      <c r="T31" s="67">
        <f t="shared" si="8"/>
        <v>799.99999999995453</v>
      </c>
      <c r="U31" s="58">
        <v>660156.4</v>
      </c>
      <c r="V31" s="67">
        <f t="shared" si="9"/>
        <v>353.40000000002328</v>
      </c>
      <c r="W31" s="58">
        <v>594.88</v>
      </c>
      <c r="X31" s="65">
        <f t="shared" si="10"/>
        <v>409.99999999996817</v>
      </c>
      <c r="Y31" s="58">
        <v>4.5224000000000002</v>
      </c>
      <c r="Z31" s="65">
        <f t="shared" si="11"/>
        <v>2800.0000000005798</v>
      </c>
      <c r="AA31" s="58">
        <v>601.79</v>
      </c>
      <c r="AB31" s="65">
        <f t="shared" si="12"/>
        <v>269.99999999998181</v>
      </c>
      <c r="AC31" s="58">
        <v>606.76</v>
      </c>
      <c r="AD31" s="65">
        <f t="shared" si="13"/>
        <v>340.00000000003183</v>
      </c>
      <c r="AE31" s="58">
        <v>969.97</v>
      </c>
      <c r="AF31" s="65">
        <f t="shared" si="14"/>
        <v>920.00000000007276</v>
      </c>
      <c r="AG31" s="58">
        <v>26864</v>
      </c>
      <c r="AH31" s="67">
        <f t="shared" si="15"/>
        <v>38</v>
      </c>
      <c r="AI31" s="58">
        <v>1.034</v>
      </c>
      <c r="AJ31" s="65">
        <f t="shared" si="16"/>
        <v>699.99999999992292</v>
      </c>
      <c r="AK31" s="58">
        <v>341.97</v>
      </c>
      <c r="AL31" s="65">
        <f t="shared" si="17"/>
        <v>230.00000000001819</v>
      </c>
      <c r="AM31" s="58">
        <v>312.45</v>
      </c>
      <c r="AN31" s="65">
        <f t="shared" si="18"/>
        <v>170.00000000001592</v>
      </c>
      <c r="AO31" s="58">
        <v>304.02</v>
      </c>
      <c r="AP31" s="65">
        <f t="shared" si="19"/>
        <v>199.99999999998863</v>
      </c>
      <c r="AQ31" s="58">
        <v>356.57</v>
      </c>
      <c r="AR31" s="65">
        <f t="shared" si="20"/>
        <v>219.99999999997044</v>
      </c>
      <c r="AS31" s="58">
        <v>482.86</v>
      </c>
      <c r="AT31" s="65">
        <f t="shared" si="21"/>
        <v>210.00000000003638</v>
      </c>
      <c r="AU31" s="58">
        <v>386.96</v>
      </c>
      <c r="AV31" s="65">
        <f t="shared" si="22"/>
        <v>139.99999999998636</v>
      </c>
      <c r="AW31" s="58">
        <v>414.08</v>
      </c>
      <c r="AX31" s="65">
        <f t="shared" si="23"/>
        <v>169.99999999995907</v>
      </c>
      <c r="AY31" s="58">
        <v>449.11</v>
      </c>
      <c r="AZ31" s="65">
        <f t="shared" si="24"/>
        <v>160.00000000002501</v>
      </c>
      <c r="BA31" s="58">
        <v>466.79</v>
      </c>
      <c r="BB31" s="65">
        <f t="shared" si="25"/>
        <v>129.99999999999545</v>
      </c>
      <c r="BC31" s="58">
        <v>299.27</v>
      </c>
      <c r="BD31" s="65">
        <f t="shared" si="26"/>
        <v>79.999999999984084</v>
      </c>
      <c r="BE31" s="59">
        <v>61298</v>
      </c>
      <c r="BF31" s="67">
        <f t="shared" si="27"/>
        <v>40</v>
      </c>
      <c r="BG31" s="60">
        <v>257.86</v>
      </c>
      <c r="BH31" s="65">
        <f t="shared" si="28"/>
        <v>50.000000000011369</v>
      </c>
      <c r="BI31" s="60">
        <v>311.99</v>
      </c>
      <c r="BJ31" s="65">
        <f t="shared" si="29"/>
        <v>50.000000000011369</v>
      </c>
      <c r="BK31" s="60">
        <v>264.42</v>
      </c>
      <c r="BL31" s="65">
        <f t="shared" si="30"/>
        <v>69.999999999993179</v>
      </c>
      <c r="BM31" s="60">
        <v>247.83</v>
      </c>
      <c r="BN31" s="65">
        <f t="shared" si="31"/>
        <v>50.000000000011369</v>
      </c>
      <c r="BO31" s="60">
        <v>316.24</v>
      </c>
      <c r="BP31" s="65">
        <f t="shared" si="32"/>
        <v>40.000000000020464</v>
      </c>
      <c r="BQ31" s="60">
        <v>66205</v>
      </c>
      <c r="BR31" s="65">
        <f t="shared" si="33"/>
        <v>51</v>
      </c>
      <c r="BS31" s="60">
        <v>226</v>
      </c>
      <c r="BT31" s="65">
        <f t="shared" si="34"/>
        <v>60.000000000002274</v>
      </c>
      <c r="BU31" s="60">
        <v>63618</v>
      </c>
      <c r="BV31" s="65">
        <f t="shared" si="35"/>
        <v>43</v>
      </c>
      <c r="BW31" s="60">
        <v>254.1</v>
      </c>
      <c r="BX31" s="65">
        <f t="shared" si="36"/>
        <v>60.000000000002274</v>
      </c>
      <c r="BY31" s="60">
        <v>85392</v>
      </c>
      <c r="BZ31" s="67">
        <f t="shared" si="37"/>
        <v>58</v>
      </c>
      <c r="CA31" s="60">
        <v>62790.400000000001</v>
      </c>
      <c r="CB31" s="67">
        <f t="shared" si="38"/>
        <v>86.900000000001455</v>
      </c>
      <c r="CC31" s="60">
        <v>18786.099999999999</v>
      </c>
      <c r="CD31" s="67">
        <f t="shared" si="39"/>
        <v>7.5</v>
      </c>
      <c r="CE31" s="60">
        <v>9067.7999999999993</v>
      </c>
      <c r="CF31" s="67">
        <f t="shared" si="40"/>
        <v>7.8999999999996362</v>
      </c>
      <c r="CG31" s="60">
        <v>86665.7</v>
      </c>
      <c r="CH31" s="67">
        <f t="shared" si="41"/>
        <v>37.5</v>
      </c>
      <c r="CI31" s="60">
        <v>1123044</v>
      </c>
      <c r="CJ31" s="67">
        <f t="shared" si="42"/>
        <v>335</v>
      </c>
      <c r="CK31" s="60">
        <v>1226.0999999999999</v>
      </c>
      <c r="CL31" s="64">
        <f t="shared" si="43"/>
        <v>599.99999999990905</v>
      </c>
      <c r="CM31" s="65">
        <f t="shared" si="50"/>
        <v>99.299999999999272</v>
      </c>
      <c r="CN31" s="62">
        <v>10</v>
      </c>
      <c r="CO31" s="62">
        <v>19</v>
      </c>
      <c r="CP31" s="68">
        <v>53425</v>
      </c>
      <c r="CQ31" s="67">
        <f t="shared" si="51"/>
        <v>84</v>
      </c>
      <c r="CR31" s="68">
        <v>27858.5</v>
      </c>
      <c r="CS31" s="67">
        <f t="shared" si="44"/>
        <v>15.299999999999272</v>
      </c>
      <c r="CT31" s="75">
        <v>13142</v>
      </c>
      <c r="CU31" s="67">
        <f t="shared" si="45"/>
        <v>16</v>
      </c>
      <c r="CV31" s="68">
        <v>31909</v>
      </c>
      <c r="CW31" s="67">
        <f t="shared" si="46"/>
        <v>48</v>
      </c>
      <c r="CX31" s="58">
        <v>5901.7</v>
      </c>
      <c r="CY31" s="67">
        <f t="shared" si="47"/>
        <v>12.800000000000182</v>
      </c>
    </row>
    <row r="32" spans="1:103" ht="25.5" customHeight="1" thickBot="1" x14ac:dyDescent="0.45">
      <c r="A32" s="63">
        <v>44955</v>
      </c>
      <c r="B32" s="68"/>
      <c r="C32" s="58"/>
      <c r="D32" s="64" t="str">
        <f t="shared" si="0"/>
        <v>0</v>
      </c>
      <c r="E32" s="58"/>
      <c r="F32" s="64" t="str">
        <f t="shared" si="1"/>
        <v>0</v>
      </c>
      <c r="G32" s="58"/>
      <c r="H32" s="64" t="str">
        <f t="shared" si="2"/>
        <v>0</v>
      </c>
      <c r="I32" s="58"/>
      <c r="J32" s="64" t="str">
        <f t="shared" si="3"/>
        <v>0</v>
      </c>
      <c r="K32" s="58"/>
      <c r="L32" s="64" t="str">
        <f t="shared" si="48"/>
        <v>0</v>
      </c>
      <c r="M32" s="58"/>
      <c r="N32" s="64" t="str">
        <f t="shared" si="49"/>
        <v/>
      </c>
      <c r="O32" s="58"/>
      <c r="P32" s="67" t="str">
        <f t="shared" si="6"/>
        <v/>
      </c>
      <c r="Q32" s="58"/>
      <c r="R32" s="67" t="str">
        <f t="shared" si="7"/>
        <v/>
      </c>
      <c r="S32" s="58"/>
      <c r="T32" s="67" t="e">
        <f t="shared" si="8"/>
        <v>#VALUE!</v>
      </c>
      <c r="U32" s="58"/>
      <c r="V32" s="67" t="str">
        <f t="shared" si="9"/>
        <v/>
      </c>
      <c r="W32" s="58"/>
      <c r="X32" s="65" t="str">
        <f t="shared" si="10"/>
        <v/>
      </c>
      <c r="Y32" s="58"/>
      <c r="Z32" s="65" t="str">
        <f t="shared" si="11"/>
        <v/>
      </c>
      <c r="AA32" s="58"/>
      <c r="AB32" s="65" t="str">
        <f t="shared" si="12"/>
        <v/>
      </c>
      <c r="AC32" s="58"/>
      <c r="AD32" s="65" t="str">
        <f t="shared" si="13"/>
        <v/>
      </c>
      <c r="AE32" s="58"/>
      <c r="AF32" s="65" t="str">
        <f t="shared" si="14"/>
        <v/>
      </c>
      <c r="AG32" s="58"/>
      <c r="AH32" s="67" t="str">
        <f t="shared" si="15"/>
        <v/>
      </c>
      <c r="AI32" s="58"/>
      <c r="AJ32" s="65" t="str">
        <f t="shared" si="16"/>
        <v/>
      </c>
      <c r="AK32" s="58"/>
      <c r="AL32" s="65" t="str">
        <f t="shared" si="17"/>
        <v/>
      </c>
      <c r="AM32" s="58"/>
      <c r="AN32" s="65" t="str">
        <f t="shared" si="18"/>
        <v/>
      </c>
      <c r="AO32" s="58"/>
      <c r="AP32" s="65" t="str">
        <f t="shared" si="19"/>
        <v/>
      </c>
      <c r="AQ32" s="58"/>
      <c r="AR32" s="65" t="str">
        <f t="shared" si="20"/>
        <v/>
      </c>
      <c r="AS32" s="58"/>
      <c r="AT32" s="65" t="str">
        <f t="shared" si="21"/>
        <v/>
      </c>
      <c r="AU32" s="58"/>
      <c r="AV32" s="65" t="str">
        <f t="shared" si="22"/>
        <v/>
      </c>
      <c r="AW32" s="58"/>
      <c r="AX32" s="65" t="str">
        <f t="shared" si="23"/>
        <v/>
      </c>
      <c r="AY32" s="58"/>
      <c r="AZ32" s="65" t="str">
        <f t="shared" si="24"/>
        <v/>
      </c>
      <c r="BA32" s="58"/>
      <c r="BB32" s="65" t="str">
        <f t="shared" si="25"/>
        <v/>
      </c>
      <c r="BC32" s="58"/>
      <c r="BD32" s="65" t="str">
        <f t="shared" si="26"/>
        <v/>
      </c>
      <c r="BE32" s="59"/>
      <c r="BF32" s="67" t="str">
        <f t="shared" si="27"/>
        <v/>
      </c>
      <c r="BG32" s="60"/>
      <c r="BH32" s="65" t="str">
        <f t="shared" si="28"/>
        <v/>
      </c>
      <c r="BI32" s="60"/>
      <c r="BJ32" s="65" t="str">
        <f t="shared" si="29"/>
        <v/>
      </c>
      <c r="BK32" s="60"/>
      <c r="BL32" s="65" t="str">
        <f t="shared" si="30"/>
        <v/>
      </c>
      <c r="BM32" s="60"/>
      <c r="BN32" s="65" t="str">
        <f t="shared" si="31"/>
        <v/>
      </c>
      <c r="BO32" s="60"/>
      <c r="BP32" s="65" t="str">
        <f t="shared" si="32"/>
        <v/>
      </c>
      <c r="BQ32" s="60"/>
      <c r="BR32" s="65" t="str">
        <f t="shared" si="33"/>
        <v/>
      </c>
      <c r="BS32" s="60"/>
      <c r="BT32" s="65" t="str">
        <f t="shared" si="34"/>
        <v/>
      </c>
      <c r="BU32" s="60"/>
      <c r="BV32" s="65" t="str">
        <f t="shared" si="35"/>
        <v/>
      </c>
      <c r="BW32" s="60"/>
      <c r="BX32" s="65" t="str">
        <f t="shared" si="36"/>
        <v/>
      </c>
      <c r="BY32" s="60"/>
      <c r="BZ32" s="67" t="str">
        <f t="shared" si="37"/>
        <v/>
      </c>
      <c r="CA32" s="60"/>
      <c r="CB32" s="67" t="str">
        <f t="shared" si="38"/>
        <v/>
      </c>
      <c r="CC32" s="60"/>
      <c r="CD32" s="67" t="str">
        <f t="shared" si="39"/>
        <v/>
      </c>
      <c r="CE32" s="60"/>
      <c r="CF32" s="67" t="str">
        <f t="shared" si="40"/>
        <v/>
      </c>
      <c r="CG32" s="60"/>
      <c r="CH32" s="67" t="str">
        <f t="shared" si="41"/>
        <v/>
      </c>
      <c r="CI32" s="60"/>
      <c r="CJ32" s="67" t="str">
        <f t="shared" si="42"/>
        <v/>
      </c>
      <c r="CK32" s="60"/>
      <c r="CL32" s="64" t="str">
        <f t="shared" si="43"/>
        <v/>
      </c>
      <c r="CM32" s="65" t="e">
        <f t="shared" si="50"/>
        <v>#VALUE!</v>
      </c>
      <c r="CN32" s="62"/>
      <c r="CO32" s="62"/>
      <c r="CP32" s="68"/>
      <c r="CQ32" s="67" t="str">
        <f t="shared" si="51"/>
        <v/>
      </c>
      <c r="CR32" s="68"/>
      <c r="CS32" s="67" t="str">
        <f t="shared" si="44"/>
        <v/>
      </c>
      <c r="CT32" s="75"/>
      <c r="CU32" s="67" t="str">
        <f t="shared" si="45"/>
        <v/>
      </c>
      <c r="CV32" s="68"/>
      <c r="CW32" s="67" t="str">
        <f t="shared" si="46"/>
        <v/>
      </c>
      <c r="CX32" s="58"/>
      <c r="CY32" s="67" t="str">
        <f t="shared" si="47"/>
        <v/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>
        <v>0</v>
      </c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3" zoomScaleNormal="100" workbookViewId="0">
      <selection activeCell="D36" sqref="D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>
        <v>11</v>
      </c>
      <c r="D33" s="40">
        <v>21</v>
      </c>
      <c r="E33" s="41">
        <v>10</v>
      </c>
      <c r="F33" s="41">
        <v>6834</v>
      </c>
      <c r="G33" s="41">
        <v>85</v>
      </c>
      <c r="H33" s="41">
        <v>1339</v>
      </c>
      <c r="I33" s="41">
        <v>80</v>
      </c>
      <c r="J33" s="41">
        <v>2212</v>
      </c>
      <c r="K33" s="42">
        <v>85</v>
      </c>
      <c r="L33" s="42">
        <v>80</v>
      </c>
      <c r="M33" s="42">
        <v>1914</v>
      </c>
      <c r="N33" s="39">
        <v>85</v>
      </c>
      <c r="O33" s="39">
        <v>83</v>
      </c>
      <c r="P33" s="39">
        <v>60</v>
      </c>
      <c r="Q33" s="39">
        <v>5788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44953</v>
      </c>
      <c r="B34" s="40"/>
      <c r="C34" s="40">
        <v>9</v>
      </c>
      <c r="D34" s="40">
        <v>16</v>
      </c>
      <c r="E34" s="41">
        <v>5</v>
      </c>
      <c r="F34" s="41">
        <v>6834</v>
      </c>
      <c r="G34" s="41">
        <v>85</v>
      </c>
      <c r="H34" s="41">
        <v>1340</v>
      </c>
      <c r="I34" s="41">
        <v>80</v>
      </c>
      <c r="J34" s="41">
        <v>2212</v>
      </c>
      <c r="K34" s="42">
        <v>85</v>
      </c>
      <c r="L34" s="42">
        <v>80</v>
      </c>
      <c r="M34" s="42">
        <v>1914</v>
      </c>
      <c r="N34" s="39">
        <v>85</v>
      </c>
      <c r="O34" s="39">
        <v>83</v>
      </c>
      <c r="P34" s="39">
        <v>58</v>
      </c>
      <c r="Q34" s="39">
        <v>5794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44954</v>
      </c>
      <c r="B35" s="40"/>
      <c r="C35" s="40">
        <v>10</v>
      </c>
      <c r="D35" s="40">
        <v>19</v>
      </c>
      <c r="E35" s="41">
        <v>0</v>
      </c>
      <c r="F35" s="41">
        <v>6834</v>
      </c>
      <c r="G35" s="41">
        <v>78</v>
      </c>
      <c r="H35" s="41">
        <v>1342</v>
      </c>
      <c r="I35" s="41">
        <v>80</v>
      </c>
      <c r="J35" s="41">
        <v>2212</v>
      </c>
      <c r="K35" s="42">
        <v>85</v>
      </c>
      <c r="L35" s="42">
        <v>80</v>
      </c>
      <c r="M35" s="42">
        <v>1914</v>
      </c>
      <c r="N35" s="39">
        <v>85</v>
      </c>
      <c r="O35" s="39">
        <v>83</v>
      </c>
      <c r="P35" s="39">
        <v>55</v>
      </c>
      <c r="Q35" s="39">
        <v>5799</v>
      </c>
      <c r="R35" s="77">
        <v>60</v>
      </c>
      <c r="S35" s="77">
        <v>233</v>
      </c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-233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2023-01-29T16:39:07Z</dcterms:modified>
</cp:coreProperties>
</file>