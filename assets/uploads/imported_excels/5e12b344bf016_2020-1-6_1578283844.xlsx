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8" i="7" l="1"/>
  <c r="BX8" i="7" l="1"/>
  <c r="X8" i="7"/>
  <c r="Z8" i="7"/>
  <c r="AB8" i="7"/>
  <c r="V8" i="7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F8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N6" i="6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<sst xmlns="http://schemas.openxmlformats.org/spreadsheetml/2006/main" count="296" uniqueCount="138">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</sst>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 t="e">
        <f>Submetering!E7+Submetering!F7+Submetering!G7+Submetering!H7-Submetering!AV7</f>
        <v>#VALUE!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 t="e">
        <f>'FS Desroches Daily'!#REF!</f>
        <v>#REF!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 t="str">
        <f>'FS Desroches Daily'!T7</f>
        <v/>
      </c>
      <c r="N5" s="35" t="str">
        <f>'FS Desroches Daily'!V7</f>
        <v/>
      </c>
      <c r="O5" s="35">
        <f>'FS Desroches Daily'!X7</f>
        <v>430.00000000000682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716851</v>
      </c>
      <c r="N6" s="35">
        <f>'FS Desroches Daily'!V8</f>
        <v>290165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 t="str">
        <f>'FS Desroches Daily'!D9</f>
        <v>0</v>
      </c>
      <c r="F7" s="36" t="str">
        <f>'FS Desroches Daily'!F9</f>
        <v>0</v>
      </c>
      <c r="G7" s="35" t="str">
        <f>'FS Desroches Daily'!H9</f>
        <v>0</v>
      </c>
      <c r="H7" s="36" t="str">
        <f>'FS Desroches Daily'!J9</f>
        <v>0</v>
      </c>
      <c r="I7" s="35" t="str">
        <f>'FS Desroches Daily'!L9</f>
        <v>0</v>
      </c>
      <c r="J7" s="36" t="str">
        <f>'FS Desroches Daily'!N9</f>
        <v/>
      </c>
      <c r="K7" s="13" t="str">
        <f>'FS Desroches Daily'!P9</f>
        <v/>
      </c>
      <c r="L7" s="35" t="str">
        <f>'FS Desroches Daily'!R9</f>
        <v/>
      </c>
      <c r="M7" s="35" t="str">
        <f>'FS Desroches Daily'!T9</f>
        <v/>
      </c>
      <c r="N7" s="35" t="str">
        <f>'FS Desroches Daily'!V9</f>
        <v/>
      </c>
      <c r="O7" s="35" t="str">
        <f>'FS Desroches Daily'!X9</f>
        <v/>
      </c>
      <c r="P7" s="35" t="str">
        <f>'FS Desroches Daily'!Z9</f>
        <v/>
      </c>
      <c r="Q7" s="35" t="str">
        <f>'FS Desroches Daily'!AB9</f>
        <v/>
      </c>
      <c r="R7" s="35" t="str">
        <f>'FS Desroches Daily'!AD9</f>
        <v/>
      </c>
      <c r="S7" s="35" t="str">
        <f>'FS Desroches Daily'!AF9</f>
        <v/>
      </c>
      <c r="T7" s="35" t="str">
        <f>'FS Desroches Daily'!AH9</f>
        <v/>
      </c>
      <c r="U7" s="39" t="str">
        <f>'FS Desroches Daily'!AJ9</f>
        <v/>
      </c>
      <c r="V7" s="39" t="str">
        <f>'FS Desroches Daily'!AL9</f>
        <v/>
      </c>
      <c r="W7" s="39" t="str">
        <f>'FS Desroches Daily'!AN9</f>
        <v/>
      </c>
      <c r="X7" s="39" t="str">
        <f>'FS Desroches Daily'!AP9</f>
        <v/>
      </c>
      <c r="Y7" s="39" t="str">
        <f>'FS Desroches Daily'!AR9</f>
        <v/>
      </c>
      <c r="Z7" s="39" t="str">
        <f>'FS Desroches Daily'!AT9</f>
        <v/>
      </c>
      <c r="AA7" s="39" t="str">
        <f>'FS Desroches Daily'!AT9</f>
        <v/>
      </c>
      <c r="AB7" s="39" t="str">
        <f>'FS Desroches Daily'!AV9</f>
        <v/>
      </c>
      <c r="AC7" s="39" t="str">
        <f>'FS Desroches Daily'!AZ9</f>
        <v/>
      </c>
      <c r="AD7" s="39" t="str">
        <f>'FS Desroches Daily'!BB9</f>
        <v/>
      </c>
      <c r="AE7" s="39" t="str">
        <f>'FS Desroches Daily'!BD9</f>
        <v/>
      </c>
      <c r="AF7" s="35" t="str">
        <f>'FS Desroches Daily'!BF9</f>
        <v/>
      </c>
      <c r="AG7" s="36" t="str">
        <f>'FS Desroches Daily'!BH9</f>
        <v/>
      </c>
      <c r="AH7" s="36" t="str">
        <f>'FS Desroches Daily'!BJ9</f>
        <v/>
      </c>
      <c r="AI7" s="36" t="str">
        <f>'FS Desroches Daily'!BL9</f>
        <v/>
      </c>
      <c r="AJ7" s="36" t="str">
        <f>'FS Desroches Daily'!BN9</f>
        <v/>
      </c>
      <c r="AK7" s="36" t="str">
        <f>'FS Desroches Daily'!BP9</f>
        <v/>
      </c>
      <c r="AL7" s="36" t="str">
        <f>'FS Desroches Daily'!BR9</f>
        <v/>
      </c>
      <c r="AM7" s="36" t="str">
        <f>'FS Desroches Daily'!BT9</f>
        <v/>
      </c>
      <c r="AN7" s="36" t="str">
        <f>'FS Desroches Daily'!BV9</f>
        <v/>
      </c>
      <c r="AO7" s="36" t="str">
        <f>'FS Desroches Daily'!BX9</f>
        <v/>
      </c>
      <c r="AP7" s="36" t="str">
        <f>'FS Desroches Daily'!BZ9</f>
        <v/>
      </c>
      <c r="AQ7" s="35" t="str">
        <f>'FS Desroches Daily'!CB9</f>
        <v/>
      </c>
      <c r="AR7" s="35" t="str">
        <f>'FS Desroches Daily'!CD9</f>
        <v/>
      </c>
      <c r="AS7" s="35" t="str">
        <f>'FS Desroches Daily'!CF9</f>
        <v/>
      </c>
      <c r="AT7" s="35" t="str">
        <f>'FS Desroches Daily'!CH9</f>
        <v/>
      </c>
      <c r="AU7" s="35" t="str">
        <f>'FS Desroches Daily'!CJ9</f>
        <v/>
      </c>
      <c r="AV7" s="35" t="str">
        <f>'FS Desroches Daily'!CL9</f>
        <v/>
      </c>
      <c r="AW7" s="35">
        <f>'FS Desroches Daily'!CM9</f>
        <v>0</v>
      </c>
      <c r="AX7" s="35" t="str">
        <f>IF(LPG!F14-LPG!F13&lt;0,"0",(LPG!F14-LPG!F13)*1.8315)</f>
        <v>0</v>
      </c>
      <c r="AY7" s="35" t="str">
        <f>IF(LPG!H14-LPG!H13&lt;0,"0",(LPG!H14-LPG!H13)*1.8315)</f>
        <v>0</v>
      </c>
      <c r="AZ7" s="35" t="str">
        <f>IF(LPG!J14-LPG!J13&lt;0,"0",(LPG!J14-LPG!J13)*1.8315)</f>
        <v>0</v>
      </c>
      <c r="BA7" s="35" t="str">
        <f>IF(LPG!M14-LPG!M13&lt;0,"0",(LPG!M14-LPG!M13)*1.8315)</f>
        <v>0</v>
      </c>
      <c r="BB7" s="35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15000.000000000124</v>
      </c>
      <c r="F33" s="17">
        <f t="shared" ref="F33:BC33" si="1">SUM(F2:F32)</f>
        <v>19000.000000000127</v>
      </c>
      <c r="G33" s="17">
        <f t="shared" si="1"/>
        <v>17999.999999999793</v>
      </c>
      <c r="H33" s="17">
        <f t="shared" si="1"/>
        <v>8499.9999999999509</v>
      </c>
      <c r="I33" s="17">
        <f t="shared" si="1"/>
        <v>14599.999999999947</v>
      </c>
      <c r="J33" s="17">
        <f t="shared" si="1"/>
        <v>8399.9999999999782</v>
      </c>
      <c r="K33" s="17">
        <f t="shared" si="1"/>
        <v>105</v>
      </c>
      <c r="L33" s="17">
        <f t="shared" si="1"/>
        <v>43</v>
      </c>
      <c r="M33" s="17">
        <f t="shared" si="1"/>
        <v>721325</v>
      </c>
      <c r="N33" s="17">
        <f t="shared" si="1"/>
        <v>292006</v>
      </c>
      <c r="O33" s="17" t="e">
        <f t="shared" si="1"/>
        <v>#REF!</v>
      </c>
      <c r="P33" s="17">
        <f t="shared" si="1"/>
        <v>16499.999999999734</v>
      </c>
      <c r="Q33" s="17">
        <f t="shared" si="1"/>
        <v>2459.9999999999795</v>
      </c>
      <c r="R33" s="17">
        <f t="shared" si="1"/>
        <v>1600.0000000000227</v>
      </c>
      <c r="S33" s="17">
        <f t="shared" si="1"/>
        <v>3750</v>
      </c>
      <c r="T33" s="17">
        <f t="shared" si="1"/>
        <v>9.6999999999999318</v>
      </c>
      <c r="U33" s="39">
        <f t="shared" si="1"/>
        <v>2839.999999999975</v>
      </c>
      <c r="V33" s="39">
        <f t="shared" si="1"/>
        <v>0.89000000000000057</v>
      </c>
      <c r="W33" s="39">
        <f t="shared" si="1"/>
        <v>1</v>
      </c>
      <c r="X33" s="39">
        <f t="shared" si="1"/>
        <v>0.92999999999999261</v>
      </c>
      <c r="Y33" s="39">
        <f t="shared" si="1"/>
        <v>1340.0000000000034</v>
      </c>
      <c r="Z33" s="39">
        <f t="shared" si="1"/>
        <v>1410.000000000025</v>
      </c>
      <c r="AA33" s="39">
        <f t="shared" si="1"/>
        <v>1410.000000000025</v>
      </c>
      <c r="AB33" s="39">
        <f t="shared" si="1"/>
        <v>1039.999999999992</v>
      </c>
      <c r="AC33" s="39">
        <f t="shared" si="1"/>
        <v>199.99999999998863</v>
      </c>
      <c r="AD33" s="39">
        <f t="shared" si="1"/>
        <v>1250</v>
      </c>
      <c r="AE33" s="39">
        <f t="shared" si="1"/>
        <v>1189.9999999999977</v>
      </c>
      <c r="AF33" s="17">
        <f t="shared" si="1"/>
        <v>327</v>
      </c>
      <c r="AG33" s="36">
        <f t="shared" si="1"/>
        <v>199.99999999998863</v>
      </c>
      <c r="AH33" s="36">
        <f t="shared" si="1"/>
        <v>279.99999999997272</v>
      </c>
      <c r="AI33" s="36">
        <f t="shared" si="1"/>
        <v>250</v>
      </c>
      <c r="AJ33" s="36">
        <f t="shared" si="1"/>
        <v>210.00000000000796</v>
      </c>
      <c r="AK33" s="36">
        <f t="shared" si="1"/>
        <v>250</v>
      </c>
      <c r="AL33" s="36">
        <f t="shared" si="1"/>
        <v>208</v>
      </c>
      <c r="AM33" s="36">
        <f t="shared" si="1"/>
        <v>239.99999999998067</v>
      </c>
      <c r="AN33" s="36">
        <f t="shared" si="1"/>
        <v>205</v>
      </c>
      <c r="AO33" s="36">
        <f t="shared" si="1"/>
        <v>240.00000000000909</v>
      </c>
      <c r="AP33" s="36">
        <f t="shared" si="1"/>
        <v>343</v>
      </c>
      <c r="AQ33" s="17">
        <f t="shared" si="1"/>
        <v>250</v>
      </c>
      <c r="AR33" s="17">
        <f t="shared" si="1"/>
        <v>66.799999999999272</v>
      </c>
      <c r="AS33" s="17">
        <f t="shared" si="1"/>
        <v>44.100000000000364</v>
      </c>
      <c r="AT33" s="17">
        <f t="shared" si="1"/>
        <v>371.40000000000146</v>
      </c>
      <c r="AU33" s="17">
        <f t="shared" si="1"/>
        <v>1486</v>
      </c>
      <c r="AV33" s="17">
        <f t="shared" si="1"/>
        <v>3629.9999999999955</v>
      </c>
      <c r="AW33" s="17">
        <f t="shared" si="1"/>
        <v>498.70000000000005</v>
      </c>
      <c r="AX33" s="17">
        <f t="shared" si="1"/>
        <v>76.923000000000002</v>
      </c>
      <c r="AY33" s="17">
        <f t="shared" si="1"/>
        <v>23.809499999999996</v>
      </c>
      <c r="AZ33" s="17">
        <f t="shared" si="1"/>
        <v>5.4944999999999995</v>
      </c>
      <c r="BA33" s="17">
        <f t="shared" si="1"/>
        <v>21.977999999999998</v>
      </c>
      <c r="BB33" s="17">
        <f t="shared" si="1"/>
        <v>29.303999999999998</v>
      </c>
      <c r="BC33" s="17">
        <f t="shared" si="1"/>
        <v>157</v>
      </c>
    </row>
    <row r="35" spans="5:55" x14ac:dyDescent="0.25">
      <c r="E35" s="42">
        <f>E33/E37</f>
        <v>0.24984176688097756</v>
      </c>
      <c r="G35" s="33">
        <f>G33-M36</f>
        <v>-995331.00000000023</v>
      </c>
      <c r="AE35" s="39">
        <f>SUM(U33:AE33)</f>
        <v>10682.820000000007</v>
      </c>
      <c r="AG35" s="36">
        <f>SUM(AG33:AP33)</f>
        <v>2425.9999999999591</v>
      </c>
    </row>
    <row r="36" spans="5:55" x14ac:dyDescent="0.25">
      <c r="G36" s="33">
        <f>G35-633*14</f>
        <v>-1004193.0000000002</v>
      </c>
      <c r="M36" s="33">
        <f>M33+N33</f>
        <v>1013331</v>
      </c>
    </row>
    <row r="37" spans="5:55" x14ac:dyDescent="0.25">
      <c r="E37" s="17">
        <f>E33+F33+G33+H33+J33-633*14</f>
        <v>60037.999999999971</v>
      </c>
      <c r="G37" s="41">
        <f>M36/E37</f>
        <v>16.878160498351054</v>
      </c>
      <c r="M37" s="39">
        <f>AE35</f>
        <v>10682.820000000007</v>
      </c>
    </row>
    <row r="38" spans="5:55" x14ac:dyDescent="0.25">
      <c r="L38" s="31">
        <f>M38/E37</f>
        <v>4.0407741763549089E-2</v>
      </c>
      <c r="M38" s="33">
        <f>AG35</f>
        <v>2425.9999999999591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G9" sqref="CG9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7">
        <f t="shared" ref="T5:T34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7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/>
      <c r="T7" s="77" t="str">
        <f t="shared" si="8"/>
        <v/>
      </c>
      <c r="U7" s="65"/>
      <c r="V7" s="77" t="str">
        <f t="shared" si="9"/>
        <v/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7">
        <f t="shared" si="8"/>
        <v>716851</v>
      </c>
      <c r="U8" s="65">
        <v>290165</v>
      </c>
      <c r="V8" s="77">
        <f t="shared" si="9"/>
        <v>290165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/>
      <c r="D9" s="76" t="str">
        <f t="shared" si="3"/>
        <v>0</v>
      </c>
      <c r="E9" s="65"/>
      <c r="F9" s="76" t="str">
        <f t="shared" si="4"/>
        <v>0</v>
      </c>
      <c r="G9" s="65"/>
      <c r="H9" s="76" t="str">
        <f t="shared" si="5"/>
        <v>0</v>
      </c>
      <c r="I9" s="65"/>
      <c r="J9" s="76" t="str">
        <f t="shared" ref="J9:J34" si="43">IF((I9-I8&lt;0), "0",(I9-I8)*1000000)</f>
        <v>0</v>
      </c>
      <c r="K9" s="65"/>
      <c r="L9" s="76" t="str">
        <f t="shared" si="0"/>
        <v>0</v>
      </c>
      <c r="M9" s="65"/>
      <c r="N9" s="77" t="str">
        <f t="shared" si="22"/>
        <v/>
      </c>
      <c r="O9" s="65"/>
      <c r="P9" s="77" t="str">
        <f t="shared" si="6"/>
        <v/>
      </c>
      <c r="Q9" s="65"/>
      <c r="R9" s="77" t="str">
        <f t="shared" si="7"/>
        <v/>
      </c>
      <c r="S9" s="65"/>
      <c r="T9" s="77" t="str">
        <f t="shared" si="8"/>
        <v/>
      </c>
      <c r="U9" s="65"/>
      <c r="V9" s="77" t="str">
        <f t="shared" si="9"/>
        <v/>
      </c>
      <c r="W9" s="65"/>
      <c r="X9" s="77" t="str">
        <f t="shared" si="23"/>
        <v/>
      </c>
      <c r="Y9" s="65"/>
      <c r="Z9" s="77" t="str">
        <f t="shared" si="24"/>
        <v/>
      </c>
      <c r="AA9" s="65"/>
      <c r="AB9" s="77" t="str">
        <f t="shared" si="25"/>
        <v/>
      </c>
      <c r="AC9" s="65"/>
      <c r="AD9" s="77" t="str">
        <f t="shared" si="26"/>
        <v/>
      </c>
      <c r="AE9" s="65"/>
      <c r="AF9" s="77" t="str">
        <f t="shared" si="27"/>
        <v/>
      </c>
      <c r="AG9" s="65"/>
      <c r="AH9" s="77" t="str">
        <f t="shared" si="10"/>
        <v/>
      </c>
      <c r="AI9" s="65"/>
      <c r="AJ9" s="77" t="str">
        <f t="shared" si="28"/>
        <v/>
      </c>
      <c r="AK9" s="65"/>
      <c r="AL9" s="77" t="str">
        <f t="shared" si="11"/>
        <v/>
      </c>
      <c r="AM9" s="65"/>
      <c r="AN9" s="77" t="str">
        <f t="shared" si="12"/>
        <v/>
      </c>
      <c r="AO9" s="65"/>
      <c r="AP9" s="77" t="str">
        <f t="shared" si="13"/>
        <v/>
      </c>
      <c r="AQ9" s="65"/>
      <c r="AR9" s="77" t="str">
        <f t="shared" si="29"/>
        <v/>
      </c>
      <c r="AS9" s="65"/>
      <c r="AT9" s="77" t="str">
        <f t="shared" si="30"/>
        <v/>
      </c>
      <c r="AU9" s="65"/>
      <c r="AV9" s="77" t="str">
        <f t="shared" si="31"/>
        <v/>
      </c>
      <c r="AW9" s="65"/>
      <c r="AX9" s="77" t="str">
        <f t="shared" si="32"/>
        <v/>
      </c>
      <c r="AY9" s="65"/>
      <c r="AZ9" s="77" t="str">
        <f t="shared" si="33"/>
        <v/>
      </c>
      <c r="BA9" s="65"/>
      <c r="BB9" s="77" t="str">
        <f t="shared" si="34"/>
        <v/>
      </c>
      <c r="BC9" s="65"/>
      <c r="BD9" s="77" t="str">
        <f t="shared" si="35"/>
        <v/>
      </c>
      <c r="BE9" s="70"/>
      <c r="BF9" s="77" t="str">
        <f t="shared" si="14"/>
        <v/>
      </c>
      <c r="BG9" s="71"/>
      <c r="BH9" s="77" t="str">
        <f t="shared" si="36"/>
        <v/>
      </c>
      <c r="BI9" s="70"/>
      <c r="BJ9" s="77" t="str">
        <f t="shared" si="37"/>
        <v/>
      </c>
      <c r="BK9" s="70"/>
      <c r="BL9" s="77" t="str">
        <f t="shared" si="38"/>
        <v/>
      </c>
      <c r="BM9" s="70"/>
      <c r="BN9" s="77" t="str">
        <f t="shared" si="39"/>
        <v/>
      </c>
      <c r="BO9" s="70"/>
      <c r="BP9" s="77" t="str">
        <f t="shared" si="40"/>
        <v/>
      </c>
      <c r="BQ9" s="70"/>
      <c r="BR9" s="77" t="str">
        <f t="shared" si="15"/>
        <v/>
      </c>
      <c r="BS9" s="70"/>
      <c r="BT9" s="77" t="str">
        <f t="shared" si="41"/>
        <v/>
      </c>
      <c r="BU9" s="70"/>
      <c r="BV9" s="77" t="str">
        <f t="shared" si="1"/>
        <v/>
      </c>
      <c r="BW9" s="70"/>
      <c r="BX9" s="77" t="str">
        <f t="shared" si="42"/>
        <v/>
      </c>
      <c r="BY9" s="72"/>
      <c r="BZ9" s="77" t="str">
        <f t="shared" si="16"/>
        <v/>
      </c>
      <c r="CA9" s="65"/>
      <c r="CB9" s="77" t="str">
        <f t="shared" si="17"/>
        <v/>
      </c>
      <c r="CC9" s="65"/>
      <c r="CD9" s="77" t="str">
        <f t="shared" si="18"/>
        <v/>
      </c>
      <c r="CE9" s="65"/>
      <c r="CF9" s="77" t="str">
        <f t="shared" si="19"/>
        <v/>
      </c>
      <c r="CG9" s="65"/>
      <c r="CH9" s="77" t="str">
        <f t="shared" si="20"/>
        <v/>
      </c>
      <c r="CI9" s="65"/>
      <c r="CJ9" s="77" t="str">
        <f t="shared" si="2"/>
        <v/>
      </c>
      <c r="CK9" s="65"/>
      <c r="CL9" s="76" t="str">
        <f t="shared" si="21"/>
        <v/>
      </c>
      <c r="CM9" s="77"/>
      <c r="CN9" s="74"/>
      <c r="CO9" s="74"/>
    </row>
    <row r="10" spans="1:93" ht="25.5" customHeight="1" thickBot="1" x14ac:dyDescent="0.45">
      <c r="A10" s="75">
        <v>43837</v>
      </c>
      <c r="B10" s="49"/>
      <c r="C10" s="65"/>
      <c r="D10" s="76">
        <f t="shared" si="3"/>
        <v>0</v>
      </c>
      <c r="E10" s="65"/>
      <c r="F10" s="76">
        <f t="shared" si="4"/>
        <v>0</v>
      </c>
      <c r="G10" s="65"/>
      <c r="H10" s="76">
        <f t="shared" si="5"/>
        <v>0</v>
      </c>
      <c r="I10" s="65"/>
      <c r="J10" s="76">
        <f t="shared" si="43"/>
        <v>0</v>
      </c>
      <c r="K10" s="65"/>
      <c r="L10" s="76">
        <f t="shared" si="0"/>
        <v>0</v>
      </c>
      <c r="M10" s="65"/>
      <c r="N10" s="77">
        <f t="shared" si="22"/>
        <v>0</v>
      </c>
      <c r="O10" s="65"/>
      <c r="P10" s="77">
        <f t="shared" si="6"/>
        <v>0</v>
      </c>
      <c r="Q10" s="65"/>
      <c r="R10" s="77">
        <f t="shared" si="7"/>
        <v>0</v>
      </c>
      <c r="S10" s="65"/>
      <c r="T10" s="77">
        <f t="shared" si="8"/>
        <v>0</v>
      </c>
      <c r="U10" s="65"/>
      <c r="V10" s="77">
        <f t="shared" si="9"/>
        <v>0</v>
      </c>
      <c r="W10" s="65"/>
      <c r="X10" s="77">
        <f t="shared" si="23"/>
        <v>0</v>
      </c>
      <c r="Y10" s="65"/>
      <c r="Z10" s="77">
        <f t="shared" si="24"/>
        <v>0</v>
      </c>
      <c r="AA10" s="65"/>
      <c r="AB10" s="77">
        <f t="shared" si="25"/>
        <v>0</v>
      </c>
      <c r="AC10" s="65"/>
      <c r="AD10" s="77">
        <f t="shared" si="26"/>
        <v>0</v>
      </c>
      <c r="AE10" s="65"/>
      <c r="AF10" s="77">
        <f t="shared" si="27"/>
        <v>0</v>
      </c>
      <c r="AG10" s="65"/>
      <c r="AH10" s="77">
        <f t="shared" si="10"/>
        <v>0</v>
      </c>
      <c r="AI10" s="65"/>
      <c r="AJ10" s="77">
        <f t="shared" si="28"/>
        <v>0</v>
      </c>
      <c r="AK10" s="65"/>
      <c r="AL10" s="77">
        <f t="shared" si="11"/>
        <v>0</v>
      </c>
      <c r="AM10" s="65"/>
      <c r="AN10" s="77">
        <f t="shared" si="12"/>
        <v>0</v>
      </c>
      <c r="AO10" s="65"/>
      <c r="AP10" s="77">
        <f t="shared" si="13"/>
        <v>0</v>
      </c>
      <c r="AQ10" s="65"/>
      <c r="AR10" s="77">
        <f t="shared" si="29"/>
        <v>0</v>
      </c>
      <c r="AS10" s="65"/>
      <c r="AT10" s="77">
        <f t="shared" si="30"/>
        <v>0</v>
      </c>
      <c r="AU10" s="65"/>
      <c r="AV10" s="77">
        <f t="shared" si="31"/>
        <v>0</v>
      </c>
      <c r="AW10" s="65"/>
      <c r="AX10" s="77">
        <f t="shared" si="32"/>
        <v>0</v>
      </c>
      <c r="AY10" s="65"/>
      <c r="AZ10" s="77">
        <f t="shared" si="33"/>
        <v>0</v>
      </c>
      <c r="BA10" s="65"/>
      <c r="BB10" s="77">
        <f t="shared" si="34"/>
        <v>0</v>
      </c>
      <c r="BC10" s="65"/>
      <c r="BD10" s="77">
        <f t="shared" si="35"/>
        <v>0</v>
      </c>
      <c r="BE10" s="70"/>
      <c r="BF10" s="77">
        <f t="shared" si="14"/>
        <v>0</v>
      </c>
      <c r="BG10" s="71"/>
      <c r="BH10" s="77">
        <f t="shared" si="36"/>
        <v>0</v>
      </c>
      <c r="BI10" s="70"/>
      <c r="BJ10" s="77">
        <f t="shared" si="37"/>
        <v>0</v>
      </c>
      <c r="BK10" s="70"/>
      <c r="BL10" s="77">
        <f t="shared" si="38"/>
        <v>0</v>
      </c>
      <c r="BM10" s="70"/>
      <c r="BN10" s="77">
        <f t="shared" si="39"/>
        <v>0</v>
      </c>
      <c r="BO10" s="70"/>
      <c r="BP10" s="77">
        <f t="shared" si="40"/>
        <v>0</v>
      </c>
      <c r="BQ10" s="70"/>
      <c r="BR10" s="77">
        <f t="shared" si="15"/>
        <v>0</v>
      </c>
      <c r="BS10" s="70"/>
      <c r="BT10" s="77">
        <f t="shared" si="41"/>
        <v>0</v>
      </c>
      <c r="BU10" s="70"/>
      <c r="BV10" s="77">
        <f t="shared" si="1"/>
        <v>0</v>
      </c>
      <c r="BW10" s="70"/>
      <c r="BX10" s="77">
        <f t="shared" si="42"/>
        <v>0</v>
      </c>
      <c r="BY10" s="72"/>
      <c r="BZ10" s="77">
        <f t="shared" si="16"/>
        <v>0</v>
      </c>
      <c r="CA10" s="65"/>
      <c r="CB10" s="77">
        <f t="shared" si="17"/>
        <v>0</v>
      </c>
      <c r="CC10" s="65"/>
      <c r="CD10" s="77">
        <f t="shared" si="18"/>
        <v>0</v>
      </c>
      <c r="CE10" s="65"/>
      <c r="CF10" s="77">
        <f t="shared" si="19"/>
        <v>0</v>
      </c>
      <c r="CG10" s="65"/>
      <c r="CH10" s="77">
        <f t="shared" si="20"/>
        <v>0</v>
      </c>
      <c r="CI10" s="65"/>
      <c r="CJ10" s="77">
        <f t="shared" si="2"/>
        <v>0</v>
      </c>
      <c r="CK10" s="65"/>
      <c r="CL10" s="76">
        <f t="shared" si="21"/>
        <v>0</v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43"/>
        <v>0</v>
      </c>
      <c r="K11" s="65"/>
      <c r="L11" s="76">
        <f t="shared" si="0"/>
        <v>0</v>
      </c>
      <c r="M11" s="65"/>
      <c r="N11" s="77">
        <f t="shared" si="22"/>
        <v>0</v>
      </c>
      <c r="O11" s="65"/>
      <c r="P11" s="77">
        <f t="shared" si="6"/>
        <v>0</v>
      </c>
      <c r="Q11" s="65"/>
      <c r="R11" s="77">
        <f t="shared" si="7"/>
        <v>0</v>
      </c>
      <c r="S11" s="65"/>
      <c r="T11" s="77">
        <f t="shared" si="8"/>
        <v>0</v>
      </c>
      <c r="U11" s="65"/>
      <c r="V11" s="77">
        <f t="shared" si="9"/>
        <v>0</v>
      </c>
      <c r="W11" s="65"/>
      <c r="X11" s="77">
        <f t="shared" si="2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0"/>
        <v>0</v>
      </c>
      <c r="AI11" s="65"/>
      <c r="AJ11" s="77">
        <f t="shared" si="28"/>
        <v>0</v>
      </c>
      <c r="AK11" s="65"/>
      <c r="AL11" s="77">
        <f t="shared" si="11"/>
        <v>0</v>
      </c>
      <c r="AM11" s="65"/>
      <c r="AN11" s="77">
        <f t="shared" si="12"/>
        <v>0</v>
      </c>
      <c r="AO11" s="65"/>
      <c r="AP11" s="77">
        <f t="shared" si="13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4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5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6"/>
        <v>0</v>
      </c>
      <c r="CA11" s="65"/>
      <c r="CB11" s="77">
        <f t="shared" si="17"/>
        <v>0</v>
      </c>
      <c r="CC11" s="65"/>
      <c r="CD11" s="77">
        <f t="shared" si="18"/>
        <v>0</v>
      </c>
      <c r="CE11" s="65"/>
      <c r="CF11" s="77">
        <f t="shared" si="19"/>
        <v>0</v>
      </c>
      <c r="CG11" s="65"/>
      <c r="CH11" s="77">
        <f t="shared" si="20"/>
        <v>0</v>
      </c>
      <c r="CI11" s="65"/>
      <c r="CJ11" s="77">
        <f t="shared" si="2"/>
        <v>0</v>
      </c>
      <c r="CK11" s="65"/>
      <c r="CL11" s="76">
        <f t="shared" si="21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43"/>
        <v>0</v>
      </c>
      <c r="K12" s="65"/>
      <c r="L12" s="76">
        <f t="shared" si="0"/>
        <v>0</v>
      </c>
      <c r="M12" s="65"/>
      <c r="N12" s="77">
        <f t="shared" si="22"/>
        <v>0</v>
      </c>
      <c r="O12" s="65"/>
      <c r="P12" s="77">
        <f t="shared" si="6"/>
        <v>0</v>
      </c>
      <c r="Q12" s="65"/>
      <c r="R12" s="77">
        <f t="shared" si="7"/>
        <v>0</v>
      </c>
      <c r="S12" s="65"/>
      <c r="T12" s="77">
        <f t="shared" si="8"/>
        <v>0</v>
      </c>
      <c r="U12" s="65"/>
      <c r="V12" s="77">
        <f t="shared" si="9"/>
        <v>0</v>
      </c>
      <c r="W12" s="65"/>
      <c r="X12" s="77">
        <f t="shared" si="2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0"/>
        <v>0</v>
      </c>
      <c r="AI12" s="65"/>
      <c r="AJ12" s="77">
        <f t="shared" si="28"/>
        <v>0</v>
      </c>
      <c r="AK12" s="65"/>
      <c r="AL12" s="77">
        <f t="shared" si="11"/>
        <v>0</v>
      </c>
      <c r="AM12" s="65"/>
      <c r="AN12" s="77">
        <f t="shared" si="12"/>
        <v>0</v>
      </c>
      <c r="AO12" s="65"/>
      <c r="AP12" s="77">
        <f t="shared" si="13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4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5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6"/>
        <v>0</v>
      </c>
      <c r="CA12" s="65"/>
      <c r="CB12" s="77">
        <f t="shared" si="17"/>
        <v>0</v>
      </c>
      <c r="CC12" s="65"/>
      <c r="CD12" s="77">
        <f t="shared" si="18"/>
        <v>0</v>
      </c>
      <c r="CE12" s="65"/>
      <c r="CF12" s="77">
        <f t="shared" si="19"/>
        <v>0</v>
      </c>
      <c r="CG12" s="65"/>
      <c r="CH12" s="77">
        <f t="shared" si="20"/>
        <v>0</v>
      </c>
      <c r="CI12" s="65"/>
      <c r="CJ12" s="77">
        <f t="shared" si="2"/>
        <v>0</v>
      </c>
      <c r="CK12" s="65"/>
      <c r="CL12" s="76">
        <f t="shared" si="21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8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8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8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8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8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8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8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8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8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8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8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8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8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8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8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8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8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8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8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8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8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8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105</v>
      </c>
      <c r="R35" s="81">
        <f>SUM(R4:R33)</f>
        <v>43</v>
      </c>
      <c r="AX35" s="77">
        <f t="shared" si="32"/>
        <v>0</v>
      </c>
      <c r="BF35" s="81">
        <f>SUM(BF4:BF33)</f>
        <v>327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4" sqref="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2020-01-06T03:19:23Z</dcterms:modified>
</cp:coreProperties>
</file>